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6.xml" ContentType="application/vnd.openxmlformats-officedocument.spreadsheetml.externalLink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tial sheet" sheetId="1" state="visible" r:id="rId3"/>
    <sheet name="control vs. scenario-prompt.res" sheetId="2" state="visible" r:id="rId4"/>
    <sheet name="Anova-prompt-response" sheetId="3" state="visible" r:id="rId5"/>
    <sheet name="Compasrison of critical turns" sheetId="4" state="visible" r:id="rId6"/>
    <sheet name="Anchors_raw_information" sheetId="5" state="visible" r:id="rId7"/>
    <sheet name="delta (t)= sim(t)-sim(t-1)" sheetId="6" state="visible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<sst xmlns="http://schemas.openxmlformats.org/spreadsheetml/2006/main" count="1174" uniqueCount="135">
  <si>
    <t xml:space="preserve">average conversation activation</t>
  </si>
  <si>
    <t xml:space="preserve">correlation weights / activation delta</t>
  </si>
  <si>
    <t xml:space="preserve">P</t>
  </si>
  <si>
    <t xml:space="preserve">Scenario 1</t>
  </si>
  <si>
    <t xml:space="preserve">ac15p</t>
  </si>
  <si>
    <t xml:space="preserve">hybrid</t>
  </si>
  <si>
    <t xml:space="preserve">hybsem</t>
  </si>
  <si>
    <t xml:space="preserve">ac15</t>
  </si>
  <si>
    <t xml:space="preserve">Scenario 2</t>
  </si>
  <si>
    <t xml:space="preserve">Scenario 3</t>
  </si>
  <si>
    <t xml:space="preserve">Scenario 4</t>
  </si>
  <si>
    <t xml:space="preserve">Scenario 5</t>
  </si>
  <si>
    <t xml:space="preserve">Scenario 6</t>
  </si>
  <si>
    <t xml:space="preserve">Scenario 7</t>
  </si>
  <si>
    <t xml:space="preserve">Scenario 8</t>
  </si>
  <si>
    <t xml:space="preserve">std. Scenario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</si>
  <si>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</si>
  <si>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</si>
  <si>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</si>
  <si>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</si>
  <si>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</si>
  <si>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scenario</t>
  </si>
  <si>
    <t xml:space="preserve">mean control</t>
  </si>
  <si>
    <t xml:space="preserve">Scenario 1 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</si>
  <si>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</si>
  <si>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</si>
  <si>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</si>
  <si>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</si>
  <si>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</si>
  <si>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</si>
  <si>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</si>
  <si>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</si>
  <si>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</si>
  <si>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</si>
  <si>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</si>
  <si>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</si>
  <si>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</si>
  <si>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</si>
  <si>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</si>
  <si>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</si>
  <si>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</si>
  <si>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</si>
  <si>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</si>
  <si>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</si>
  <si>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</si>
  <si>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* For ABS(response-prompt)&gt;=0.05</t>
  </si>
  <si>
    <t xml:space="preserve">Turn</t>
  </si>
  <si>
    <t xml:space="preserve">comparison</t>
  </si>
  <si>
    <t xml:space="preserve">delta</t>
  </si>
  <si>
    <t xml:space="preserve">Count - delta</t>
  </si>
  <si>
    <t xml:space="preserve">hybrid-hybsem</t>
  </si>
  <si>
    <t xml:space="preserve">ac15 hybrid</t>
  </si>
  <si>
    <t xml:space="preserve">ac15 hybsem</t>
  </si>
  <si>
    <t xml:space="preserve">ac15-ac15p</t>
  </si>
  <si>
    <t xml:space="preserve">hybrid-ac15p</t>
  </si>
  <si>
    <t xml:space="preserve">hybsem ac15p</t>
  </si>
  <si>
    <t xml:space="preserve">Total Result</t>
  </si>
  <si>
    <t xml:space="preserve">turns</t>
  </si>
  <si>
    <t xml:space="preserve">abs delta</t>
  </si>
  <si>
    <t xml:space="preserve">Count - abs delta</t>
  </si>
  <si>
    <t xml:space="preserve">Hybesm-hybrid</t>
  </si>
  <si>
    <t xml:space="preserve">Hybrid-ac15</t>
  </si>
  <si>
    <t xml:space="preserve">Hybrid-ac15p</t>
  </si>
  <si>
    <t xml:space="preserve">Hybsem-ac15</t>
  </si>
  <si>
    <t xml:space="preserve">Hybsem-ac15p</t>
  </si>
  <si>
    <t xml:space="preserve">hybrid-ac15</t>
  </si>
  <si>
    <t xml:space="preserve">hybsem-ac15</t>
  </si>
  <si>
    <t xml:space="preserve">hybsem-ac15p</t>
  </si>
  <si>
    <t xml:space="preserve">Hybsem-hybrid</t>
  </si>
  <si>
    <t xml:space="preserve">Hybrid-hybsem</t>
  </si>
  <si>
    <t xml:space="preserve">Turns</t>
  </si>
  <si>
    <t xml:space="preserve">ABS Delta</t>
  </si>
  <si>
    <t xml:space="preserve">Comparison</t>
  </si>
  <si>
    <t xml:space="preserve">Count - ABS Delta</t>
  </si>
  <si>
    <t xml:space="preserve">ABS delta</t>
  </si>
  <si>
    <t xml:space="preserve">Count - ABS delta</t>
  </si>
  <si>
    <t xml:space="preserve">Scenario 1:</t>
  </si>
  <si>
    <t xml:space="preserve">Project</t>
  </si>
  <si>
    <t xml:space="preserve">Test of Independence (Chi-Square)</t>
  </si>
  <si>
    <t xml:space="preserve">Anchors</t>
  </si>
  <si>
    <t xml:space="preserve">Data</t>
  </si>
  <si>
    <t xml:space="preserve">ac15-plain</t>
  </si>
  <si>
    <t xml:space="preserve">hybrid_v3_5</t>
  </si>
  <si>
    <t xml:space="preserve">hybrid_v3_5_semantic</t>
  </si>
  <si>
    <t xml:space="preserve">test_ac15</t>
  </si>
  <si>
    <t xml:space="preserve">affective_interface</t>
  </si>
  <si>
    <t xml:space="preserve">Count - weights</t>
  </si>
  <si>
    <t xml:space="preserve">Average - weights</t>
  </si>
  <si>
    <t xml:space="preserve">electricity</t>
  </si>
  <si>
    <t xml:space="preserve">Test Statistic</t>
  </si>
  <si>
    <t xml:space="preserve">Critical Value</t>
  </si>
  <si>
    <t xml:space="preserve">freedom_and_limitations</t>
  </si>
  <si>
    <t xml:space="preserve">Test of Independence (Chi-Square) – freedom</t>
  </si>
  <si>
    <t xml:space="preserve">imagination_and_possibility</t>
  </si>
  <si>
    <t xml:space="preserve">mathematics_computer_science_engineering</t>
  </si>
  <si>
    <t xml:space="preserve">metaphorical_scaffolding</t>
  </si>
  <si>
    <t xml:space="preserve">practicality_and_feasibility</t>
  </si>
  <si>
    <t xml:space="preserve">Chi square test – science-truth – freedom</t>
  </si>
  <si>
    <t xml:space="preserve">science</t>
  </si>
  <si>
    <t xml:space="preserve">sovereignty</t>
  </si>
  <si>
    <t xml:space="preserve">temporal_dynamics</t>
  </si>
  <si>
    <t xml:space="preserve">truth_and_fact</t>
  </si>
  <si>
    <t xml:space="preserve">Total Count - weights</t>
  </si>
  <si>
    <t xml:space="preserve">Total Average - weights</t>
  </si>
  <si>
    <t xml:space="preserve">Scenario 2:</t>
  </si>
  <si>
    <t xml:space="preserve">projectName</t>
  </si>
  <si>
    <t xml:space="preserve">anchorName</t>
  </si>
  <si>
    <t xml:space="preserve">hysem</t>
  </si>
  <si>
    <t xml:space="preserve">Count - weight</t>
  </si>
  <si>
    <t xml:space="preserve">Average - weight*</t>
  </si>
  <si>
    <t xml:space="preserve">context_dependent_expression</t>
  </si>
  <si>
    <t xml:space="preserve">Chi Square  - context – freedom – truth</t>
  </si>
  <si>
    <t xml:space="preserve">Total Count - weight</t>
  </si>
  <si>
    <t xml:space="preserve">Total Average - weight*</t>
  </si>
  <si>
    <t xml:space="preserve">Scenario 3:</t>
  </si>
  <si>
    <t xml:space="preserve">Chi Square test – identity</t>
  </si>
  <si>
    <t xml:space="preserve">identity</t>
  </si>
  <si>
    <t xml:space="preserve">Chi Square test – identity-truth</t>
  </si>
  <si>
    <t xml:space="preserve">Scenario 4:</t>
  </si>
  <si>
    <t xml:space="preserve">Chi Square test – context_dependent_expression</t>
  </si>
  <si>
    <t xml:space="preserve">Chi Square test – context_dependent_expression – science</t>
  </si>
  <si>
    <t xml:space="preserve">Chi Square test – context_dependent_expression – science – truth</t>
  </si>
  <si>
    <t xml:space="preserve">Scenario 5:</t>
  </si>
  <si>
    <t xml:space="preserve">Chi Square test – electricity – truth</t>
  </si>
  <si>
    <t xml:space="preserve">Scenario 6:</t>
  </si>
  <si>
    <t xml:space="preserve">Chi Square – truth – science</t>
  </si>
  <si>
    <t xml:space="preserve">Scenario 7:</t>
  </si>
  <si>
    <t xml:space="preserve">Chi Square – truth – electricity</t>
  </si>
  <si>
    <t xml:space="preserve">Scenario 8:</t>
  </si>
  <si>
    <t xml:space="preserve">Chi Square – mathematics – sovereignty  - truth</t>
  </si>
  <si>
    <t xml:space="preserve">std(delta(t)=sim(t)-sim(t-1))</t>
  </si>
  <si>
    <t xml:space="preserve">stdev</t>
  </si>
  <si>
    <t xml:space="preserve">Hybsem</t>
  </si>
  <si>
    <t xml:space="preserve">Hybrid</t>
  </si>
  <si>
    <t xml:space="preserve">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</si>
</sst>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"/>
    <numFmt numFmtId="166" formatCode="0.00E+00"/>
    <numFmt numFmtId="167" formatCode="0.000000;[RED]\-0.000000"/>
    <numFmt numFmtId="168" formatCode="0"/>
  </numFmts>
  <fonts count="10">
    <font>
      <sz val="9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9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left" vertical="center" textRotation="0" wrapText="true" indent="0" shrinkToFit="false"/>
    </xf>
    <xf numFmtId="165" fontId="4" fillId="0" borderId="0" applyFont="true" applyBorder="false" applyAlignment="true" applyProtection="false">
      <alignment horizontal="center" vertical="center" textRotation="0" wrapText="true" indent="0" shrinkToFit="false"/>
    </xf>
    <xf numFmtId="165" fontId="4" fillId="0" borderId="0" applyFont="true" applyBorder="false" applyAlignment="true" applyProtection="false">
      <alignment horizontal="center" vertical="center" textRotation="0" wrapText="true" indent="0" shrinkToFit="false"/>
    </xf>
    <xf numFmtId="165" fontId="5" fillId="0" borderId="0" applyFont="true" applyBorder="false" applyAlignment="true" applyProtection="false">
      <alignment horizontal="center" vertical="center" textRotation="0" wrapText="true" indent="0" shrinkToFit="false"/>
    </xf>
    <xf numFmtId="165" fontId="5" fillId="0" borderId="0" applyFont="true" applyBorder="false" applyAlignment="true" applyProtection="false">
      <alignment horizontal="left" vertical="center" textRotation="0" wrapText="true" indent="0" shrinkToFit="false"/>
    </xf>
    <xf numFmtId="165" fontId="4" fillId="0" borderId="0" applyFont="true" applyBorder="false" applyAlignment="true" applyProtection="false">
      <alignment horizontal="center" vertical="center" textRotation="0" wrapText="true" indent="0" shrinkToFit="false"/>
    </xf>
  </cellStyleXfs>
  <cellXfs count="109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3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4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9" xfId="2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10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1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2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3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0" borderId="14" xfId="2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15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6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7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6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7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8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9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20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21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2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3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4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2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4" xfId="2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0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7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2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6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27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8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0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1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3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9" xfId="2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3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9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8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1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2" xfId="24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3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3" xfId="24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1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2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3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4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6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7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18" xfId="25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9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1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2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3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4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4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5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2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externalLink" Target="externalLinks/externalLink1.xml"/><Relationship Id="rId10" Type="http://schemas.openxmlformats.org/officeDocument/2006/relationships/externalLink" Target="externalLinks/externalLink2.xml"/><Relationship Id="rId11" Type="http://schemas.openxmlformats.org/officeDocument/2006/relationships/externalLink" Target="externalLinks/externalLink3.xml"/><Relationship Id="rId12" Type="http://schemas.openxmlformats.org/officeDocument/2006/relationships/externalLink" Target="externalLinks/externalLink4.xml"/><Relationship Id="rId13" Type="http://schemas.openxmlformats.org/officeDocument/2006/relationships/externalLink" Target="externalLinks/externalLink5.xml"/><Relationship Id="rId14" Type="http://schemas.openxmlformats.org/officeDocument/2006/relationships/externalLink" Target="externalLinks/externalLink6.xml"/><Relationship Id="rId15" Type="http://schemas.openxmlformats.org/officeDocument/2006/relationships/externalLink" Target="externalLinks/externalLink7.xml"/><Relationship Id="rId16" Type="http://schemas.openxmlformats.org/officeDocument/2006/relationships/externalLink" Target="externalLinks/externalLink8.xml"/><Relationship Id="rId17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0.xml"/><Relationship Id="rId19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18.xml"/><Relationship Id="rId2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25"/>
                <c:pt idx="0">
                  <c:v>0.829083516979224</c:v>
                </c:pt>
                <c:pt idx="1">
                  <c:v>0.766444903472076</c:v>
                </c:pt>
                <c:pt idx="2">
                  <c:v>0.820814927176212</c:v>
                </c:pt>
                <c:pt idx="3">
                  <c:v>0.589340681428011</c:v>
                </c:pt>
                <c:pt idx="4">
                  <c:v>0.549939911322228</c:v>
                </c:pt>
                <c:pt idx="5">
                  <c:v>0.806301302771949</c:v>
                </c:pt>
                <c:pt idx="6">
                  <c:v>0.654420747897195</c:v>
                </c:pt>
                <c:pt idx="7">
                  <c:v>0.747457006954611</c:v>
                </c:pt>
                <c:pt idx="8">
                  <c:v>0.763154436571465</c:v>
                </c:pt>
                <c:pt idx="9">
                  <c:v>0.745298826492448</c:v>
                </c:pt>
                <c:pt idx="10">
                  <c:v>0.703599427390625</c:v>
                </c:pt>
                <c:pt idx="11">
                  <c:v>0.792291119607581</c:v>
                </c:pt>
                <c:pt idx="12">
                  <c:v>0.742748844142451</c:v>
                </c:pt>
                <c:pt idx="13">
                  <c:v>0.730739032742495</c:v>
                </c:pt>
                <c:pt idx="14">
                  <c:v>0.727501533855859</c:v>
                </c:pt>
                <c:pt idx="15">
                  <c:v>0.69212024380659</c:v>
                </c:pt>
                <c:pt idx="16">
                  <c:v>0.719549537838803</c:v>
                </c:pt>
                <c:pt idx="17">
                  <c:v>0.708540087240829</c:v>
                </c:pt>
                <c:pt idx="18">
                  <c:v>0.706775862145744</c:v>
                </c:pt>
                <c:pt idx="19">
                  <c:v>0.810552775268533</c:v>
                </c:pt>
                <c:pt idx="20">
                  <c:v>0.779651511367528</c:v>
                </c:pt>
                <c:pt idx="21">
                  <c:v>0.707012650930307</c:v>
                </c:pt>
                <c:pt idx="22">
                  <c:v>0.759411204953021</c:v>
                </c:pt>
                <c:pt idx="23">
                  <c:v>0.754622185376853</c:v>
                </c:pt>
                <c:pt idx="24">
                  <c:v>0.718662412659959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25"/>
                <c:pt idx="0">
                  <c:v>0.834308337570909</c:v>
                </c:pt>
                <c:pt idx="1">
                  <c:v>0.78737808939176</c:v>
                </c:pt>
                <c:pt idx="2">
                  <c:v>0.823470108869694</c:v>
                </c:pt>
                <c:pt idx="3">
                  <c:v>0.641382187119465</c:v>
                </c:pt>
                <c:pt idx="4">
                  <c:v>0.648560742045417</c:v>
                </c:pt>
                <c:pt idx="5">
                  <c:v>0.737540725804953</c:v>
                </c:pt>
                <c:pt idx="6">
                  <c:v>0.634968083396197</c:v>
                </c:pt>
                <c:pt idx="7">
                  <c:v>0.746400854814908</c:v>
                </c:pt>
                <c:pt idx="8">
                  <c:v>0.688805343346949</c:v>
                </c:pt>
                <c:pt idx="9">
                  <c:v>0.743639794674361</c:v>
                </c:pt>
                <c:pt idx="10">
                  <c:v>0.7131914659308</c:v>
                </c:pt>
                <c:pt idx="11">
                  <c:v>0.767138956921052</c:v>
                </c:pt>
                <c:pt idx="12">
                  <c:v>0.725689268577004</c:v>
                </c:pt>
                <c:pt idx="13">
                  <c:v>0.68375138396333</c:v>
                </c:pt>
                <c:pt idx="14">
                  <c:v>0.778810655140002</c:v>
                </c:pt>
                <c:pt idx="15">
                  <c:v>0.720712807955728</c:v>
                </c:pt>
                <c:pt idx="16">
                  <c:v>0.772536760552901</c:v>
                </c:pt>
                <c:pt idx="17">
                  <c:v>0.705400471101386</c:v>
                </c:pt>
                <c:pt idx="18">
                  <c:v>0.654030504893449</c:v>
                </c:pt>
                <c:pt idx="19">
                  <c:v>0.819935063298953</c:v>
                </c:pt>
                <c:pt idx="20">
                  <c:v>0.775935289730371</c:v>
                </c:pt>
                <c:pt idx="21">
                  <c:v>0.689306055979394</c:v>
                </c:pt>
                <c:pt idx="22">
                  <c:v>0.757862366672276</c:v>
                </c:pt>
                <c:pt idx="23">
                  <c:v>0.706727669319429</c:v>
                </c:pt>
                <c:pt idx="24">
                  <c:v>0.70629147268637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25"/>
                <c:pt idx="0">
                  <c:v>0.820329791398556</c:v>
                </c:pt>
                <c:pt idx="1">
                  <c:v>0.760208954092368</c:v>
                </c:pt>
                <c:pt idx="2">
                  <c:v>0.779358920094772</c:v>
                </c:pt>
                <c:pt idx="3">
                  <c:v>0.655474168574833</c:v>
                </c:pt>
                <c:pt idx="4">
                  <c:v>0.601488270812317</c:v>
                </c:pt>
                <c:pt idx="5">
                  <c:v>0.802605111539465</c:v>
                </c:pt>
                <c:pt idx="6">
                  <c:v>0.648878416428975</c:v>
                </c:pt>
                <c:pt idx="7">
                  <c:v>0.75255045120181</c:v>
                </c:pt>
                <c:pt idx="8">
                  <c:v>0.725998440426624</c:v>
                </c:pt>
                <c:pt idx="9">
                  <c:v>0.706819355320024</c:v>
                </c:pt>
                <c:pt idx="10">
                  <c:v>0.663884135279099</c:v>
                </c:pt>
                <c:pt idx="11">
                  <c:v>0.808680515695504</c:v>
                </c:pt>
                <c:pt idx="12">
                  <c:v>0.697789785928682</c:v>
                </c:pt>
                <c:pt idx="13">
                  <c:v>0.749649894113733</c:v>
                </c:pt>
                <c:pt idx="14">
                  <c:v>0.736967328412209</c:v>
                </c:pt>
                <c:pt idx="15">
                  <c:v>0.764104736117937</c:v>
                </c:pt>
                <c:pt idx="16">
                  <c:v>0.722501085513047</c:v>
                </c:pt>
                <c:pt idx="17">
                  <c:v>0.68518214731593</c:v>
                </c:pt>
                <c:pt idx="18">
                  <c:v>0.57422986602436</c:v>
                </c:pt>
                <c:pt idx="19">
                  <c:v>0.862814658531392</c:v>
                </c:pt>
                <c:pt idx="20">
                  <c:v>0.766443599036539</c:v>
                </c:pt>
                <c:pt idx="21">
                  <c:v>0.757219448945817</c:v>
                </c:pt>
                <c:pt idx="22">
                  <c:v>0.75138094509243</c:v>
                </c:pt>
                <c:pt idx="23">
                  <c:v>0.783578798476775</c:v>
                </c:pt>
                <c:pt idx="24">
                  <c:v>0.690023913451965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25"/>
                <c:pt idx="0">
                  <c:v>0.829521350954824</c:v>
                </c:pt>
                <c:pt idx="1">
                  <c:v>0.735193711695633</c:v>
                </c:pt>
                <c:pt idx="2">
                  <c:v>0.73805452066822</c:v>
                </c:pt>
                <c:pt idx="3">
                  <c:v>0.639461451771152</c:v>
                </c:pt>
                <c:pt idx="4">
                  <c:v>0.601148402331265</c:v>
                </c:pt>
                <c:pt idx="5">
                  <c:v>0.773499226539065</c:v>
                </c:pt>
                <c:pt idx="6">
                  <c:v>0.65742523257328</c:v>
                </c:pt>
                <c:pt idx="7">
                  <c:v>0.712613137045905</c:v>
                </c:pt>
                <c:pt idx="8">
                  <c:v>0.695082856151577</c:v>
                </c:pt>
                <c:pt idx="9">
                  <c:v>0.70158644000236</c:v>
                </c:pt>
                <c:pt idx="10">
                  <c:v>0.697028043689582</c:v>
                </c:pt>
                <c:pt idx="11">
                  <c:v>0.780558840331467</c:v>
                </c:pt>
                <c:pt idx="12">
                  <c:v>0.720814394600414</c:v>
                </c:pt>
                <c:pt idx="13">
                  <c:v>0.740298991398541</c:v>
                </c:pt>
                <c:pt idx="14">
                  <c:v>0.70744158301379</c:v>
                </c:pt>
                <c:pt idx="15">
                  <c:v>0.719125866172455</c:v>
                </c:pt>
                <c:pt idx="16">
                  <c:v>0.718889384668267</c:v>
                </c:pt>
                <c:pt idx="17">
                  <c:v>0.735022492301164</c:v>
                </c:pt>
                <c:pt idx="18">
                  <c:v>0.581700376323851</c:v>
                </c:pt>
                <c:pt idx="19">
                  <c:v>0.849425390022398</c:v>
                </c:pt>
                <c:pt idx="20">
                  <c:v>0.782107085098168</c:v>
                </c:pt>
                <c:pt idx="21">
                  <c:v>0.677931474696056</c:v>
                </c:pt>
                <c:pt idx="22">
                  <c:v>0.722134922473597</c:v>
                </c:pt>
                <c:pt idx="23">
                  <c:v>0.727810414332614</c:v>
                </c:pt>
                <c:pt idx="24">
                  <c:v>0.68313653978705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25"/>
                <c:pt idx="0">
                  <c:v>0.843168263254482</c:v>
                </c:pt>
                <c:pt idx="1">
                  <c:v>0.410481566775254</c:v>
                </c:pt>
                <c:pt idx="2">
                  <c:v>0.557975369920795</c:v>
                </c:pt>
                <c:pt idx="3">
                  <c:v>0.619158269088556</c:v>
                </c:pt>
                <c:pt idx="4">
                  <c:v>0.403963080119542</c:v>
                </c:pt>
                <c:pt idx="5">
                  <c:v>0.570743883878626</c:v>
                </c:pt>
                <c:pt idx="6">
                  <c:v>0.611608951562061</c:v>
                </c:pt>
                <c:pt idx="7">
                  <c:v>0.51665838871536</c:v>
                </c:pt>
                <c:pt idx="8">
                  <c:v>0.519107279370953</c:v>
                </c:pt>
                <c:pt idx="9">
                  <c:v>0.681242455451239</c:v>
                </c:pt>
                <c:pt idx="10">
                  <c:v>0.665099248057114</c:v>
                </c:pt>
                <c:pt idx="11">
                  <c:v>0.685595116342696</c:v>
                </c:pt>
                <c:pt idx="12">
                  <c:v>0.65114377143955</c:v>
                </c:pt>
                <c:pt idx="13">
                  <c:v>0.603486770235985</c:v>
                </c:pt>
                <c:pt idx="14">
                  <c:v>0.498068679989705</c:v>
                </c:pt>
                <c:pt idx="15">
                  <c:v>0.630377968860656</c:v>
                </c:pt>
                <c:pt idx="16">
                  <c:v>0.657927168337551</c:v>
                </c:pt>
                <c:pt idx="17">
                  <c:v>0.560860510322618</c:v>
                </c:pt>
                <c:pt idx="18">
                  <c:v>0.502077926373526</c:v>
                </c:pt>
                <c:pt idx="19">
                  <c:v>0.477168485158792</c:v>
                </c:pt>
                <c:pt idx="20">
                  <c:v>0.490712582964214</c:v>
                </c:pt>
                <c:pt idx="21">
                  <c:v>0.373647233999626</c:v>
                </c:pt>
                <c:pt idx="22">
                  <c:v>0.656354995088699</c:v>
                </c:pt>
                <c:pt idx="23">
                  <c:v>0.579731827188496</c:v>
                </c:pt>
                <c:pt idx="24">
                  <c:v>0.300277405978412</c:v>
                </c:pt>
              </c:numCache>
            </c:numRef>
          </c:yVal>
          <c:smooth val="0"/>
        </c:ser>
        <c:axId val="64561285"/>
        <c:axId val="9240075"/>
      </c:scatterChart>
      <c:valAx>
        <c:axId val="645612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240075"/>
        <c:crosses val="autoZero"/>
        <c:crossBetween val="midCat"/>
      </c:valAx>
      <c:valAx>
        <c:axId val="92400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456128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25"/>
                <c:pt idx="0">
                  <c:v>0.820228412658582</c:v>
                </c:pt>
                <c:pt idx="1">
                  <c:v>0.764592146543124</c:v>
                </c:pt>
                <c:pt idx="2">
                  <c:v>0.723011363854634</c:v>
                </c:pt>
                <c:pt idx="3">
                  <c:v>0.756420441420714</c:v>
                </c:pt>
                <c:pt idx="4">
                  <c:v>0.620462176144914</c:v>
                </c:pt>
                <c:pt idx="5">
                  <c:v>0.798549003615991</c:v>
                </c:pt>
                <c:pt idx="6">
                  <c:v>0.754603762692231</c:v>
                </c:pt>
                <c:pt idx="7">
                  <c:v>0.786128366374384</c:v>
                </c:pt>
                <c:pt idx="8">
                  <c:v>0.753257435556755</c:v>
                </c:pt>
                <c:pt idx="9">
                  <c:v>0.807843832088534</c:v>
                </c:pt>
                <c:pt idx="10">
                  <c:v>0.778100841853998</c:v>
                </c:pt>
                <c:pt idx="11">
                  <c:v>0.762452458306693</c:v>
                </c:pt>
                <c:pt idx="12">
                  <c:v>0.720022272820606</c:v>
                </c:pt>
                <c:pt idx="13">
                  <c:v>0.738694358646482</c:v>
                </c:pt>
                <c:pt idx="14">
                  <c:v>0.743421830265577</c:v>
                </c:pt>
                <c:pt idx="15">
                  <c:v>0.763479689807917</c:v>
                </c:pt>
                <c:pt idx="16">
                  <c:v>0.744667994911406</c:v>
                </c:pt>
                <c:pt idx="17">
                  <c:v>0.695089950294851</c:v>
                </c:pt>
                <c:pt idx="18">
                  <c:v>0.719748414663605</c:v>
                </c:pt>
                <c:pt idx="19">
                  <c:v>0.850110132917837</c:v>
                </c:pt>
                <c:pt idx="20">
                  <c:v>0.734658481254958</c:v>
                </c:pt>
                <c:pt idx="21">
                  <c:v>0.702205596693105</c:v>
                </c:pt>
                <c:pt idx="22">
                  <c:v>0.723021317867517</c:v>
                </c:pt>
                <c:pt idx="23">
                  <c:v>0.790978057596565</c:v>
                </c:pt>
                <c:pt idx="24">
                  <c:v>0.730577483299618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25"/>
                <c:pt idx="0">
                  <c:v>0.825587383221469</c:v>
                </c:pt>
                <c:pt idx="1">
                  <c:v>0.784325401049142</c:v>
                </c:pt>
                <c:pt idx="2">
                  <c:v>0.74701543366489</c:v>
                </c:pt>
                <c:pt idx="3">
                  <c:v>0.742572987280356</c:v>
                </c:pt>
                <c:pt idx="4">
                  <c:v>0.638291604257815</c:v>
                </c:pt>
                <c:pt idx="5">
                  <c:v>0.770021861028678</c:v>
                </c:pt>
                <c:pt idx="6">
                  <c:v>0.776708177030339</c:v>
                </c:pt>
                <c:pt idx="7">
                  <c:v>0.766895136055456</c:v>
                </c:pt>
                <c:pt idx="8">
                  <c:v>0.726865282761305</c:v>
                </c:pt>
                <c:pt idx="9">
                  <c:v>0.76670385944117</c:v>
                </c:pt>
                <c:pt idx="10">
                  <c:v>0.826512142391129</c:v>
                </c:pt>
                <c:pt idx="11">
                  <c:v>0.762736139690589</c:v>
                </c:pt>
                <c:pt idx="12">
                  <c:v>0.710160103406143</c:v>
                </c:pt>
                <c:pt idx="13">
                  <c:v>0.734376384357835</c:v>
                </c:pt>
                <c:pt idx="14">
                  <c:v>0.756542240061655</c:v>
                </c:pt>
                <c:pt idx="15">
                  <c:v>0.773732018127407</c:v>
                </c:pt>
                <c:pt idx="16">
                  <c:v>0.812690613075421</c:v>
                </c:pt>
                <c:pt idx="17">
                  <c:v>0.726488853152379</c:v>
                </c:pt>
                <c:pt idx="18">
                  <c:v>0.763300559740396</c:v>
                </c:pt>
                <c:pt idx="19">
                  <c:v>0.816538134208694</c:v>
                </c:pt>
                <c:pt idx="20">
                  <c:v>0.643391428768254</c:v>
                </c:pt>
                <c:pt idx="21">
                  <c:v>0.769255872522075</c:v>
                </c:pt>
                <c:pt idx="22">
                  <c:v>0.684670543211604</c:v>
                </c:pt>
                <c:pt idx="23">
                  <c:v>0.758491886581855</c:v>
                </c:pt>
                <c:pt idx="24">
                  <c:v>0.727230413998473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25"/>
                <c:pt idx="0">
                  <c:v>0.842837131615738</c:v>
                </c:pt>
                <c:pt idx="1">
                  <c:v>0.75574434703051</c:v>
                </c:pt>
                <c:pt idx="2">
                  <c:v>0.75246138552499</c:v>
                </c:pt>
                <c:pt idx="3">
                  <c:v>0.755239937675953</c:v>
                </c:pt>
                <c:pt idx="4">
                  <c:v>0.68196906691827</c:v>
                </c:pt>
                <c:pt idx="5">
                  <c:v>0.805094582904182</c:v>
                </c:pt>
                <c:pt idx="6">
                  <c:v>0.731449097356676</c:v>
                </c:pt>
                <c:pt idx="7">
                  <c:v>0.798699397007465</c:v>
                </c:pt>
                <c:pt idx="8">
                  <c:v>0.751181065835833</c:v>
                </c:pt>
                <c:pt idx="9">
                  <c:v>0.780317010541866</c:v>
                </c:pt>
                <c:pt idx="10">
                  <c:v>0.788964918757002</c:v>
                </c:pt>
                <c:pt idx="11">
                  <c:v>0.744429655439828</c:v>
                </c:pt>
                <c:pt idx="12">
                  <c:v>0.764347939487069</c:v>
                </c:pt>
                <c:pt idx="13">
                  <c:v>0.716647920997565</c:v>
                </c:pt>
                <c:pt idx="14">
                  <c:v>0.761929247616581</c:v>
                </c:pt>
                <c:pt idx="15">
                  <c:v>0.742748731630287</c:v>
                </c:pt>
                <c:pt idx="16">
                  <c:v>0.764209873398772</c:v>
                </c:pt>
                <c:pt idx="17">
                  <c:v>0.700796274261234</c:v>
                </c:pt>
                <c:pt idx="18">
                  <c:v>0.716284059047156</c:v>
                </c:pt>
                <c:pt idx="19">
                  <c:v>0.839023541568098</c:v>
                </c:pt>
                <c:pt idx="20">
                  <c:v>0.704024831920364</c:v>
                </c:pt>
                <c:pt idx="21">
                  <c:v>0.684998594155911</c:v>
                </c:pt>
                <c:pt idx="22">
                  <c:v>0.69681187759039</c:v>
                </c:pt>
                <c:pt idx="23">
                  <c:v>0.809836609324266</c:v>
                </c:pt>
                <c:pt idx="24">
                  <c:v>0.715111970099327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25"/>
                <c:pt idx="0">
                  <c:v>0.826465743120003</c:v>
                </c:pt>
                <c:pt idx="1">
                  <c:v>0.760295791016544</c:v>
                </c:pt>
                <c:pt idx="2">
                  <c:v>0.745513104503565</c:v>
                </c:pt>
                <c:pt idx="3">
                  <c:v>0.740237977344109</c:v>
                </c:pt>
                <c:pt idx="4">
                  <c:v>0.701417807349544</c:v>
                </c:pt>
                <c:pt idx="5">
                  <c:v>0.764412269319662</c:v>
                </c:pt>
                <c:pt idx="6">
                  <c:v>0.704629188099325</c:v>
                </c:pt>
                <c:pt idx="7">
                  <c:v>0.77201186291984</c:v>
                </c:pt>
                <c:pt idx="8">
                  <c:v>0.72188407789367</c:v>
                </c:pt>
                <c:pt idx="9">
                  <c:v>0.801799093845666</c:v>
                </c:pt>
                <c:pt idx="10">
                  <c:v>0.82639186986707</c:v>
                </c:pt>
                <c:pt idx="11">
                  <c:v>0.74557662237038</c:v>
                </c:pt>
                <c:pt idx="12">
                  <c:v>0.739304791041697</c:v>
                </c:pt>
                <c:pt idx="13">
                  <c:v>0.716775890381091</c:v>
                </c:pt>
                <c:pt idx="14">
                  <c:v>0.72335469896996</c:v>
                </c:pt>
                <c:pt idx="15">
                  <c:v>0.74148150305735</c:v>
                </c:pt>
                <c:pt idx="16">
                  <c:v>0.782813226803677</c:v>
                </c:pt>
                <c:pt idx="17">
                  <c:v>0.683924726356955</c:v>
                </c:pt>
                <c:pt idx="18">
                  <c:v>0.741861628869437</c:v>
                </c:pt>
                <c:pt idx="19">
                  <c:v>0.861291025455911</c:v>
                </c:pt>
                <c:pt idx="20">
                  <c:v>0.726997779119958</c:v>
                </c:pt>
                <c:pt idx="21">
                  <c:v>0.665221956623617</c:v>
                </c:pt>
                <c:pt idx="22">
                  <c:v>0.761746926827647</c:v>
                </c:pt>
                <c:pt idx="23">
                  <c:v>0.746216792553118</c:v>
                </c:pt>
                <c:pt idx="24">
                  <c:v>0.725032419587978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25"/>
                <c:pt idx="0">
                  <c:v>0.814239110206597</c:v>
                </c:pt>
                <c:pt idx="1">
                  <c:v>0.490374312148473</c:v>
                </c:pt>
                <c:pt idx="2">
                  <c:v>0.511020333673144</c:v>
                </c:pt>
                <c:pt idx="3">
                  <c:v>0.732127465170909</c:v>
                </c:pt>
                <c:pt idx="4">
                  <c:v>0.504587895177563</c:v>
                </c:pt>
                <c:pt idx="5">
                  <c:v>0.622216951394874</c:v>
                </c:pt>
                <c:pt idx="6">
                  <c:v>0.568213401724064</c:v>
                </c:pt>
                <c:pt idx="7">
                  <c:v>0.41336820596451</c:v>
                </c:pt>
                <c:pt idx="8">
                  <c:v>0.469619098748715</c:v>
                </c:pt>
                <c:pt idx="9">
                  <c:v>0.702597542452374</c:v>
                </c:pt>
                <c:pt idx="10">
                  <c:v>0.535746887825282</c:v>
                </c:pt>
                <c:pt idx="11">
                  <c:v>0.616806330672693</c:v>
                </c:pt>
                <c:pt idx="12">
                  <c:v>0.526308913298082</c:v>
                </c:pt>
                <c:pt idx="13">
                  <c:v>0.427683818632696</c:v>
                </c:pt>
                <c:pt idx="14">
                  <c:v>0.575658160345531</c:v>
                </c:pt>
                <c:pt idx="15">
                  <c:v>0.577045877569951</c:v>
                </c:pt>
                <c:pt idx="16">
                  <c:v>0.651295774227774</c:v>
                </c:pt>
                <c:pt idx="17">
                  <c:v>0.599275891539331</c:v>
                </c:pt>
                <c:pt idx="18">
                  <c:v>0.50621471844151</c:v>
                </c:pt>
                <c:pt idx="19">
                  <c:v>0.478099594542392</c:v>
                </c:pt>
                <c:pt idx="20">
                  <c:v>0.382151937725075</c:v>
                </c:pt>
                <c:pt idx="21">
                  <c:v>0.428068760639408</c:v>
                </c:pt>
                <c:pt idx="22">
                  <c:v>0.344371087443739</c:v>
                </c:pt>
                <c:pt idx="23">
                  <c:v>0.582850658814915</c:v>
                </c:pt>
                <c:pt idx="24">
                  <c:v>0.365408773309983</c:v>
                </c:pt>
              </c:numCache>
            </c:numRef>
          </c:yVal>
          <c:smooth val="0"/>
        </c:ser>
        <c:axId val="69249550"/>
        <c:axId val="9756792"/>
      </c:scatterChart>
      <c:valAx>
        <c:axId val="6924955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756792"/>
        <c:crosses val="autoZero"/>
        <c:crossBetween val="midCat"/>
      </c:valAx>
      <c:valAx>
        <c:axId val="97567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924955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24"/>
                <c:pt idx="0">
                  <c:v>0.816612774002254</c:v>
                </c:pt>
                <c:pt idx="1">
                  <c:v>0.685603988915714</c:v>
                </c:pt>
                <c:pt idx="2">
                  <c:v>0.692192998668189</c:v>
                </c:pt>
                <c:pt idx="3">
                  <c:v>0.631090165894541</c:v>
                </c:pt>
                <c:pt idx="4">
                  <c:v>0.594608889064775</c:v>
                </c:pt>
                <c:pt idx="5">
                  <c:v>0.67289207367249</c:v>
                </c:pt>
                <c:pt idx="6">
                  <c:v>0.815471874765396</c:v>
                </c:pt>
                <c:pt idx="7">
                  <c:v>0.777361261632441</c:v>
                </c:pt>
                <c:pt idx="8">
                  <c:v>0.692246291421963</c:v>
                </c:pt>
                <c:pt idx="9">
                  <c:v>0.615841349915757</c:v>
                </c:pt>
                <c:pt idx="10">
                  <c:v>0.775302494128078</c:v>
                </c:pt>
                <c:pt idx="11">
                  <c:v>0.745549821920152</c:v>
                </c:pt>
                <c:pt idx="12">
                  <c:v>0.675936476989854</c:v>
                </c:pt>
                <c:pt idx="13">
                  <c:v>0.797455345493423</c:v>
                </c:pt>
                <c:pt idx="14">
                  <c:v>0.831683746706372</c:v>
                </c:pt>
                <c:pt idx="15">
                  <c:v>0.665915062167674</c:v>
                </c:pt>
                <c:pt idx="16">
                  <c:v>0.808465032172267</c:v>
                </c:pt>
                <c:pt idx="17">
                  <c:v>0.702923330052347</c:v>
                </c:pt>
                <c:pt idx="18">
                  <c:v>0.833849291363568</c:v>
                </c:pt>
                <c:pt idx="19">
                  <c:v>0.790624245512354</c:v>
                </c:pt>
                <c:pt idx="20">
                  <c:v>0.730617364036752</c:v>
                </c:pt>
                <c:pt idx="21">
                  <c:v>0.765208060825559</c:v>
                </c:pt>
                <c:pt idx="22">
                  <c:v>0.717035427894149</c:v>
                </c:pt>
                <c:pt idx="23">
                  <c:v>0.730354595976365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24"/>
                <c:pt idx="0">
                  <c:v>0.815772031466282</c:v>
                </c:pt>
                <c:pt idx="1">
                  <c:v>0.690178981295079</c:v>
                </c:pt>
                <c:pt idx="2">
                  <c:v>0.678236595135105</c:v>
                </c:pt>
                <c:pt idx="3">
                  <c:v>0.599753209767944</c:v>
                </c:pt>
                <c:pt idx="4">
                  <c:v>0.571410730397255</c:v>
                </c:pt>
                <c:pt idx="5">
                  <c:v>0.665331994991001</c:v>
                </c:pt>
                <c:pt idx="6">
                  <c:v>0.834581956795994</c:v>
                </c:pt>
                <c:pt idx="7">
                  <c:v>0.727191552934014</c:v>
                </c:pt>
                <c:pt idx="8">
                  <c:v>0.69768144989318</c:v>
                </c:pt>
                <c:pt idx="9">
                  <c:v>0.619580092617654</c:v>
                </c:pt>
                <c:pt idx="10">
                  <c:v>0.774921176890618</c:v>
                </c:pt>
                <c:pt idx="11">
                  <c:v>0.753553709109679</c:v>
                </c:pt>
                <c:pt idx="12">
                  <c:v>0.672563929439104</c:v>
                </c:pt>
                <c:pt idx="13">
                  <c:v>0.793428445401866</c:v>
                </c:pt>
                <c:pt idx="14">
                  <c:v>0.822215644660448</c:v>
                </c:pt>
                <c:pt idx="15">
                  <c:v>0.635332717811399</c:v>
                </c:pt>
                <c:pt idx="16">
                  <c:v>0.793594653760174</c:v>
                </c:pt>
                <c:pt idx="17">
                  <c:v>0.704871448301166</c:v>
                </c:pt>
                <c:pt idx="18">
                  <c:v>0.807380134018013</c:v>
                </c:pt>
                <c:pt idx="19">
                  <c:v>0.685839894231455</c:v>
                </c:pt>
                <c:pt idx="20">
                  <c:v>0.744532936686859</c:v>
                </c:pt>
                <c:pt idx="21">
                  <c:v>0.793440478998772</c:v>
                </c:pt>
                <c:pt idx="22">
                  <c:v>0.707901607946691</c:v>
                </c:pt>
                <c:pt idx="23">
                  <c:v>0.737835538427487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24"/>
                <c:pt idx="0">
                  <c:v>0.807629702855429</c:v>
                </c:pt>
                <c:pt idx="1">
                  <c:v>0.738908432891206</c:v>
                </c:pt>
                <c:pt idx="2">
                  <c:v>0.666482514394955</c:v>
                </c:pt>
                <c:pt idx="3">
                  <c:v>0.617232795834209</c:v>
                </c:pt>
                <c:pt idx="4">
                  <c:v>0.610425455654317</c:v>
                </c:pt>
                <c:pt idx="5">
                  <c:v>0.703303990628902</c:v>
                </c:pt>
                <c:pt idx="6">
                  <c:v>0.817692017265563</c:v>
                </c:pt>
                <c:pt idx="7">
                  <c:v>0.762019495081594</c:v>
                </c:pt>
                <c:pt idx="8">
                  <c:v>0.642354213368125</c:v>
                </c:pt>
                <c:pt idx="9">
                  <c:v>0.622913061011376</c:v>
                </c:pt>
                <c:pt idx="10">
                  <c:v>0.771127559172673</c:v>
                </c:pt>
                <c:pt idx="11">
                  <c:v>0.755700494821908</c:v>
                </c:pt>
                <c:pt idx="12">
                  <c:v>0.652206493784056</c:v>
                </c:pt>
                <c:pt idx="13">
                  <c:v>0.774203318401695</c:v>
                </c:pt>
                <c:pt idx="14">
                  <c:v>0.809939048024508</c:v>
                </c:pt>
                <c:pt idx="15">
                  <c:v>0.650131632080799</c:v>
                </c:pt>
                <c:pt idx="16">
                  <c:v>0.797189081830377</c:v>
                </c:pt>
                <c:pt idx="17">
                  <c:v>0.729185376832561</c:v>
                </c:pt>
                <c:pt idx="18">
                  <c:v>0.814317443577555</c:v>
                </c:pt>
                <c:pt idx="19">
                  <c:v>0.726210867823374</c:v>
                </c:pt>
                <c:pt idx="20">
                  <c:v>0.729028212060252</c:v>
                </c:pt>
                <c:pt idx="21">
                  <c:v>0.726360545777343</c:v>
                </c:pt>
                <c:pt idx="22">
                  <c:v>0.697993411397489</c:v>
                </c:pt>
                <c:pt idx="23">
                  <c:v>0.737397050320407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24"/>
                <c:pt idx="0">
                  <c:v>0.81564959143364</c:v>
                </c:pt>
                <c:pt idx="1">
                  <c:v>0.67540263000882</c:v>
                </c:pt>
                <c:pt idx="2">
                  <c:v>0.657949061396672</c:v>
                </c:pt>
                <c:pt idx="3">
                  <c:v>0.595152958150236</c:v>
                </c:pt>
                <c:pt idx="4">
                  <c:v>0.541278025353781</c:v>
                </c:pt>
                <c:pt idx="5">
                  <c:v>0.694560494716742</c:v>
                </c:pt>
                <c:pt idx="6">
                  <c:v>0.821209740996496</c:v>
                </c:pt>
                <c:pt idx="7">
                  <c:v>0.827246504211718</c:v>
                </c:pt>
                <c:pt idx="8">
                  <c:v>0.676694313663238</c:v>
                </c:pt>
                <c:pt idx="9">
                  <c:v>0.611313272409236</c:v>
                </c:pt>
                <c:pt idx="10">
                  <c:v>0.746560934334395</c:v>
                </c:pt>
                <c:pt idx="11">
                  <c:v>0.708796841206483</c:v>
                </c:pt>
                <c:pt idx="12">
                  <c:v>0.728278817795678</c:v>
                </c:pt>
                <c:pt idx="13">
                  <c:v>0.765518878356676</c:v>
                </c:pt>
                <c:pt idx="14">
                  <c:v>0.814180995864153</c:v>
                </c:pt>
                <c:pt idx="15">
                  <c:v>0.711762183520106</c:v>
                </c:pt>
                <c:pt idx="16">
                  <c:v>0.766589952746506</c:v>
                </c:pt>
                <c:pt idx="17">
                  <c:v>0.744973965638361</c:v>
                </c:pt>
                <c:pt idx="18">
                  <c:v>0.80774841591924</c:v>
                </c:pt>
                <c:pt idx="19">
                  <c:v>0.669660142744409</c:v>
                </c:pt>
                <c:pt idx="20">
                  <c:v>0.646445134849864</c:v>
                </c:pt>
                <c:pt idx="21">
                  <c:v>0.690845639182806</c:v>
                </c:pt>
                <c:pt idx="22">
                  <c:v>0.705992721957315</c:v>
                </c:pt>
                <c:pt idx="23">
                  <c:v>0.72779628492836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24"/>
                <c:pt idx="0">
                  <c:v>0.812375866700629</c:v>
                </c:pt>
                <c:pt idx="1">
                  <c:v>0.621326054028327</c:v>
                </c:pt>
                <c:pt idx="2">
                  <c:v>0.681899333424152</c:v>
                </c:pt>
                <c:pt idx="3">
                  <c:v>0.674771839496378</c:v>
                </c:pt>
                <c:pt idx="4">
                  <c:v>0.51803751024012</c:v>
                </c:pt>
                <c:pt idx="5">
                  <c:v>0.606253624859241</c:v>
                </c:pt>
                <c:pt idx="6">
                  <c:v>0.602791213061993</c:v>
                </c:pt>
                <c:pt idx="7">
                  <c:v>0.542603699900357</c:v>
                </c:pt>
                <c:pt idx="8">
                  <c:v>0.652419536797036</c:v>
                </c:pt>
                <c:pt idx="9">
                  <c:v>0.450905597774938</c:v>
                </c:pt>
                <c:pt idx="10">
                  <c:v>0.546133776873995</c:v>
                </c:pt>
                <c:pt idx="11">
                  <c:v>0.665778032490698</c:v>
                </c:pt>
                <c:pt idx="12">
                  <c:v>0.570178682607378</c:v>
                </c:pt>
                <c:pt idx="13">
                  <c:v>0.63671805888081</c:v>
                </c:pt>
                <c:pt idx="14">
                  <c:v>0.686211801872884</c:v>
                </c:pt>
                <c:pt idx="15">
                  <c:v>0.528746891036281</c:v>
                </c:pt>
                <c:pt idx="16">
                  <c:v>0.550793523290854</c:v>
                </c:pt>
                <c:pt idx="17">
                  <c:v>0.573839583361676</c:v>
                </c:pt>
                <c:pt idx="18">
                  <c:v>0.638711323785104</c:v>
                </c:pt>
                <c:pt idx="19">
                  <c:v>0.597975746643383</c:v>
                </c:pt>
                <c:pt idx="20">
                  <c:v>0.620579654001758</c:v>
                </c:pt>
                <c:pt idx="21">
                  <c:v>0.582519361253929</c:v>
                </c:pt>
                <c:pt idx="22">
                  <c:v>0.405468497903575</c:v>
                </c:pt>
                <c:pt idx="23">
                  <c:v>0.631758292696521</c:v>
                </c:pt>
              </c:numCache>
            </c:numRef>
          </c:yVal>
          <c:smooth val="0"/>
        </c:ser>
        <c:axId val="18852621"/>
        <c:axId val="46728630"/>
      </c:scatterChart>
      <c:valAx>
        <c:axId val="188526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6728630"/>
        <c:crosses val="autoZero"/>
        <c:crossBetween val="midCat"/>
      </c:valAx>
      <c:valAx>
        <c:axId val="467286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885262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25"/>
                <c:pt idx="0">
                  <c:v>0.782943341241136</c:v>
                </c:pt>
                <c:pt idx="1">
                  <c:v>0.72616787514369</c:v>
                </c:pt>
                <c:pt idx="2">
                  <c:v>0.762384843564062</c:v>
                </c:pt>
                <c:pt idx="3">
                  <c:v>0.703293963123335</c:v>
                </c:pt>
                <c:pt idx="4">
                  <c:v>0.729690702766813</c:v>
                </c:pt>
                <c:pt idx="5">
                  <c:v>0.752076127330993</c:v>
                </c:pt>
                <c:pt idx="6">
                  <c:v>0.811772559323065</c:v>
                </c:pt>
                <c:pt idx="7">
                  <c:v>0.718329243982785</c:v>
                </c:pt>
                <c:pt idx="8">
                  <c:v>0.750898507673254</c:v>
                </c:pt>
                <c:pt idx="9">
                  <c:v>0.712335367494729</c:v>
                </c:pt>
                <c:pt idx="10">
                  <c:v>0.77617002993037</c:v>
                </c:pt>
                <c:pt idx="11">
                  <c:v>0.770418007906113</c:v>
                </c:pt>
                <c:pt idx="12">
                  <c:v>0.687181835442281</c:v>
                </c:pt>
                <c:pt idx="13">
                  <c:v>0.81381364646817</c:v>
                </c:pt>
                <c:pt idx="14">
                  <c:v>0.78154173279719</c:v>
                </c:pt>
                <c:pt idx="15">
                  <c:v>0.679973262997131</c:v>
                </c:pt>
                <c:pt idx="16">
                  <c:v>0.804539740964931</c:v>
                </c:pt>
                <c:pt idx="17">
                  <c:v>0.575788380252692</c:v>
                </c:pt>
                <c:pt idx="18">
                  <c:v>0.808293439836629</c:v>
                </c:pt>
                <c:pt idx="19">
                  <c:v>0.631098700615939</c:v>
                </c:pt>
                <c:pt idx="20">
                  <c:v>0.723521456744309</c:v>
                </c:pt>
                <c:pt idx="21">
                  <c:v>0.667636089020494</c:v>
                </c:pt>
                <c:pt idx="22">
                  <c:v>0.729145136576755</c:v>
                </c:pt>
                <c:pt idx="23">
                  <c:v>0.768909591560026</c:v>
                </c:pt>
                <c:pt idx="24">
                  <c:v>0.694335761858647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25"/>
                <c:pt idx="0">
                  <c:v>0.796298769133089</c:v>
                </c:pt>
                <c:pt idx="1">
                  <c:v>0.739558549996658</c:v>
                </c:pt>
                <c:pt idx="2">
                  <c:v>0.739544897773702</c:v>
                </c:pt>
                <c:pt idx="3">
                  <c:v>0.743029391601184</c:v>
                </c:pt>
                <c:pt idx="4">
                  <c:v>0.725502046355756</c:v>
                </c:pt>
                <c:pt idx="5">
                  <c:v>0.74855685096753</c:v>
                </c:pt>
                <c:pt idx="6">
                  <c:v>0.734138467252432</c:v>
                </c:pt>
                <c:pt idx="7">
                  <c:v>0.668701341307149</c:v>
                </c:pt>
                <c:pt idx="8">
                  <c:v>0.786880036989265</c:v>
                </c:pt>
                <c:pt idx="9">
                  <c:v>0.80994865911664</c:v>
                </c:pt>
                <c:pt idx="10">
                  <c:v>0.690171891444283</c:v>
                </c:pt>
                <c:pt idx="11">
                  <c:v>0.749125347769507</c:v>
                </c:pt>
                <c:pt idx="12">
                  <c:v>0.677480782400821</c:v>
                </c:pt>
                <c:pt idx="13">
                  <c:v>0.792919049793641</c:v>
                </c:pt>
                <c:pt idx="14">
                  <c:v>0.800884410132615</c:v>
                </c:pt>
                <c:pt idx="15">
                  <c:v>0.645399166816264</c:v>
                </c:pt>
                <c:pt idx="16">
                  <c:v>0.773016224974695</c:v>
                </c:pt>
                <c:pt idx="17">
                  <c:v>0.583045440245199</c:v>
                </c:pt>
                <c:pt idx="18">
                  <c:v>0.795481203585273</c:v>
                </c:pt>
                <c:pt idx="19">
                  <c:v>0.652507768318238</c:v>
                </c:pt>
                <c:pt idx="20">
                  <c:v>0.613427900388095</c:v>
                </c:pt>
                <c:pt idx="21">
                  <c:v>0.656999422835807</c:v>
                </c:pt>
                <c:pt idx="22">
                  <c:v>0.779435389877834</c:v>
                </c:pt>
                <c:pt idx="23">
                  <c:v>0.795672429591334</c:v>
                </c:pt>
                <c:pt idx="24">
                  <c:v>0.695664418244049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25"/>
                <c:pt idx="0">
                  <c:v>0.802858105976441</c:v>
                </c:pt>
                <c:pt idx="1">
                  <c:v>0.723830722485877</c:v>
                </c:pt>
                <c:pt idx="2">
                  <c:v>0.720096923539769</c:v>
                </c:pt>
                <c:pt idx="3">
                  <c:v>0.744563645027981</c:v>
                </c:pt>
                <c:pt idx="4">
                  <c:v>0.67114667173556</c:v>
                </c:pt>
                <c:pt idx="5">
                  <c:v>0.740698706746506</c:v>
                </c:pt>
                <c:pt idx="6">
                  <c:v>0.773772436552573</c:v>
                </c:pt>
                <c:pt idx="7">
                  <c:v>0.669131289751387</c:v>
                </c:pt>
                <c:pt idx="8">
                  <c:v>0.76936357772334</c:v>
                </c:pt>
                <c:pt idx="9">
                  <c:v>0.795393600984621</c:v>
                </c:pt>
                <c:pt idx="10">
                  <c:v>0.750280009673556</c:v>
                </c:pt>
                <c:pt idx="11">
                  <c:v>0.791112051354437</c:v>
                </c:pt>
                <c:pt idx="12">
                  <c:v>0.684900718861709</c:v>
                </c:pt>
                <c:pt idx="13">
                  <c:v>0.81196411023973</c:v>
                </c:pt>
                <c:pt idx="14">
                  <c:v>0.793315446960825</c:v>
                </c:pt>
                <c:pt idx="15">
                  <c:v>0.677622741253111</c:v>
                </c:pt>
                <c:pt idx="16">
                  <c:v>0.775090547764</c:v>
                </c:pt>
                <c:pt idx="17">
                  <c:v>0.608910195539342</c:v>
                </c:pt>
                <c:pt idx="18">
                  <c:v>0.816339008116756</c:v>
                </c:pt>
                <c:pt idx="19">
                  <c:v>0.675912922731983</c:v>
                </c:pt>
                <c:pt idx="20">
                  <c:v>0.748125732839088</c:v>
                </c:pt>
                <c:pt idx="21">
                  <c:v>0.66618628675421</c:v>
                </c:pt>
                <c:pt idx="22">
                  <c:v>0.757211026307674</c:v>
                </c:pt>
                <c:pt idx="23">
                  <c:v>0.74821765393045</c:v>
                </c:pt>
                <c:pt idx="24">
                  <c:v>0.748732725295858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25"/>
                <c:pt idx="0">
                  <c:v>0.772576965117032</c:v>
                </c:pt>
                <c:pt idx="1">
                  <c:v>0.680958683894326</c:v>
                </c:pt>
                <c:pt idx="2">
                  <c:v>0.771466699638375</c:v>
                </c:pt>
                <c:pt idx="3">
                  <c:v>0.746803660511214</c:v>
                </c:pt>
                <c:pt idx="4">
                  <c:v>0.737980761526421</c:v>
                </c:pt>
                <c:pt idx="5">
                  <c:v>0.69925918619606</c:v>
                </c:pt>
                <c:pt idx="6">
                  <c:v>0.735139079782349</c:v>
                </c:pt>
                <c:pt idx="7">
                  <c:v>0.694325378562934</c:v>
                </c:pt>
                <c:pt idx="8">
                  <c:v>0.754953984633863</c:v>
                </c:pt>
                <c:pt idx="9">
                  <c:v>0.780131624434666</c:v>
                </c:pt>
                <c:pt idx="10">
                  <c:v>0.741371410255129</c:v>
                </c:pt>
                <c:pt idx="11">
                  <c:v>0.752430545440722</c:v>
                </c:pt>
                <c:pt idx="12">
                  <c:v>0.658697413887377</c:v>
                </c:pt>
                <c:pt idx="13">
                  <c:v>0.81359317699571</c:v>
                </c:pt>
                <c:pt idx="14">
                  <c:v>0.75883989362582</c:v>
                </c:pt>
                <c:pt idx="15">
                  <c:v>0.648642368618967</c:v>
                </c:pt>
                <c:pt idx="16">
                  <c:v>0.779837433316897</c:v>
                </c:pt>
                <c:pt idx="17">
                  <c:v>0.572089176041892</c:v>
                </c:pt>
                <c:pt idx="18">
                  <c:v>0.763968943789392</c:v>
                </c:pt>
                <c:pt idx="19">
                  <c:v>0.624304602360581</c:v>
                </c:pt>
                <c:pt idx="20">
                  <c:v>0.659893215109107</c:v>
                </c:pt>
                <c:pt idx="21">
                  <c:v>0.689045902907548</c:v>
                </c:pt>
                <c:pt idx="22">
                  <c:v>0.746678659986203</c:v>
                </c:pt>
                <c:pt idx="23">
                  <c:v>0.795702405915841</c:v>
                </c:pt>
                <c:pt idx="24">
                  <c:v>0.71620655928944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25"/>
                <c:pt idx="0">
                  <c:v>0.820620353982448</c:v>
                </c:pt>
                <c:pt idx="1">
                  <c:v>0.677850780887192</c:v>
                </c:pt>
                <c:pt idx="2">
                  <c:v>0.677952285287439</c:v>
                </c:pt>
                <c:pt idx="3">
                  <c:v>0.661353165434158</c:v>
                </c:pt>
                <c:pt idx="4">
                  <c:v>0.593991040073877</c:v>
                </c:pt>
                <c:pt idx="5">
                  <c:v>0.608645298556612</c:v>
                </c:pt>
                <c:pt idx="6">
                  <c:v>0.574818823501635</c:v>
                </c:pt>
                <c:pt idx="7">
                  <c:v>0.522250049685591</c:v>
                </c:pt>
                <c:pt idx="8">
                  <c:v>0.763435630553549</c:v>
                </c:pt>
                <c:pt idx="9">
                  <c:v>0.690362904205506</c:v>
                </c:pt>
                <c:pt idx="10">
                  <c:v>0.669616305799924</c:v>
                </c:pt>
                <c:pt idx="11">
                  <c:v>0.750515577717232</c:v>
                </c:pt>
                <c:pt idx="12">
                  <c:v>0.709222966214306</c:v>
                </c:pt>
                <c:pt idx="13">
                  <c:v>0.526107506619162</c:v>
                </c:pt>
                <c:pt idx="14">
                  <c:v>0.568606644280233</c:v>
                </c:pt>
                <c:pt idx="15">
                  <c:v>0.495011712365797</c:v>
                </c:pt>
                <c:pt idx="16">
                  <c:v>0.672995011679508</c:v>
                </c:pt>
                <c:pt idx="17">
                  <c:v>0.637832242885566</c:v>
                </c:pt>
                <c:pt idx="18">
                  <c:v>0.677348078562667</c:v>
                </c:pt>
                <c:pt idx="19">
                  <c:v>0.675947228908232</c:v>
                </c:pt>
                <c:pt idx="20">
                  <c:v>0.610943329404948</c:v>
                </c:pt>
                <c:pt idx="21">
                  <c:v>0.750091190228488</c:v>
                </c:pt>
                <c:pt idx="22">
                  <c:v>0.569584008433566</c:v>
                </c:pt>
                <c:pt idx="23">
                  <c:v>0.517039819129782</c:v>
                </c:pt>
                <c:pt idx="24">
                  <c:v>0.629656577085868</c:v>
                </c:pt>
              </c:numCache>
            </c:numRef>
          </c:yVal>
          <c:smooth val="0"/>
        </c:ser>
        <c:axId val="68002721"/>
        <c:axId val="37382016"/>
      </c:scatterChart>
      <c:valAx>
        <c:axId val="680027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7382016"/>
        <c:crosses val="autoZero"/>
        <c:crossBetween val="midCat"/>
      </c:valAx>
      <c:valAx>
        <c:axId val="373820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00272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69089257324552"/>
          <c:y val="0.0349549148391406"/>
          <c:w val="0.742993413581649"/>
          <c:h val="0.865301124345987"/>
        </c:manualLayout>
      </c:layout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25"/>
                <c:pt idx="0">
                  <c:v>0.775953672739373</c:v>
                </c:pt>
                <c:pt idx="1">
                  <c:v>0.742381155272784</c:v>
                </c:pt>
                <c:pt idx="2">
                  <c:v>0.71959451369822</c:v>
                </c:pt>
                <c:pt idx="3">
                  <c:v>0.744685778636444</c:v>
                </c:pt>
                <c:pt idx="4">
                  <c:v>0.810472087374711</c:v>
                </c:pt>
                <c:pt idx="5">
                  <c:v>0.726316259765409</c:v>
                </c:pt>
                <c:pt idx="6">
                  <c:v>0.793215439015998</c:v>
                </c:pt>
                <c:pt idx="7">
                  <c:v>0.704599278382629</c:v>
                </c:pt>
                <c:pt idx="8">
                  <c:v>0.753231887262209</c:v>
                </c:pt>
                <c:pt idx="9">
                  <c:v>0.786918063323164</c:v>
                </c:pt>
                <c:pt idx="10">
                  <c:v>0.757737648671806</c:v>
                </c:pt>
                <c:pt idx="11">
                  <c:v>0.790488784330214</c:v>
                </c:pt>
                <c:pt idx="12">
                  <c:v>0.692187737762497</c:v>
                </c:pt>
                <c:pt idx="13">
                  <c:v>0.689379869171306</c:v>
                </c:pt>
                <c:pt idx="14">
                  <c:v>0.769786735181106</c:v>
                </c:pt>
                <c:pt idx="15">
                  <c:v>0.784212018718249</c:v>
                </c:pt>
                <c:pt idx="16">
                  <c:v>0.741725308103978</c:v>
                </c:pt>
                <c:pt idx="17">
                  <c:v>0.71842174917648</c:v>
                </c:pt>
                <c:pt idx="18">
                  <c:v>0.676598731860284</c:v>
                </c:pt>
                <c:pt idx="19">
                  <c:v>0.629078814128947</c:v>
                </c:pt>
                <c:pt idx="20">
                  <c:v>0.716426666679795</c:v>
                </c:pt>
                <c:pt idx="21">
                  <c:v>0.671030917852718</c:v>
                </c:pt>
                <c:pt idx="22">
                  <c:v>0.727473528774715</c:v>
                </c:pt>
                <c:pt idx="23">
                  <c:v>0.721776373024424</c:v>
                </c:pt>
                <c:pt idx="24">
                  <c:v>0.665583111085999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25"/>
                <c:pt idx="0">
                  <c:v>0.748858285036974</c:v>
                </c:pt>
                <c:pt idx="1">
                  <c:v>0.759506316896281</c:v>
                </c:pt>
                <c:pt idx="2">
                  <c:v>0.715413876782416</c:v>
                </c:pt>
                <c:pt idx="3">
                  <c:v>0.758348390419844</c:v>
                </c:pt>
                <c:pt idx="4">
                  <c:v>0.810565062673861</c:v>
                </c:pt>
                <c:pt idx="5">
                  <c:v>0.742289112695254</c:v>
                </c:pt>
                <c:pt idx="6">
                  <c:v>0.764250642039974</c:v>
                </c:pt>
                <c:pt idx="7">
                  <c:v>0.698577720903755</c:v>
                </c:pt>
                <c:pt idx="8">
                  <c:v>0.766115238968207</c:v>
                </c:pt>
                <c:pt idx="9">
                  <c:v>0.777924199556208</c:v>
                </c:pt>
                <c:pt idx="10">
                  <c:v>0.73133786448165</c:v>
                </c:pt>
                <c:pt idx="11">
                  <c:v>0.761644594705368</c:v>
                </c:pt>
                <c:pt idx="12">
                  <c:v>0.719429365683328</c:v>
                </c:pt>
                <c:pt idx="13">
                  <c:v>0.678645514763614</c:v>
                </c:pt>
                <c:pt idx="14">
                  <c:v>0.704961007003307</c:v>
                </c:pt>
                <c:pt idx="15">
                  <c:v>0.701208294690294</c:v>
                </c:pt>
                <c:pt idx="16">
                  <c:v>0.790013915764348</c:v>
                </c:pt>
                <c:pt idx="17">
                  <c:v>0.717785998437983</c:v>
                </c:pt>
                <c:pt idx="18">
                  <c:v>0.704767716501297</c:v>
                </c:pt>
                <c:pt idx="19">
                  <c:v>0.731804893130237</c:v>
                </c:pt>
                <c:pt idx="20">
                  <c:v>0.766896688339251</c:v>
                </c:pt>
                <c:pt idx="21">
                  <c:v>0.628025866777813</c:v>
                </c:pt>
                <c:pt idx="22">
                  <c:v>0.720769368294172</c:v>
                </c:pt>
                <c:pt idx="23">
                  <c:v>0.722411929605002</c:v>
                </c:pt>
                <c:pt idx="24">
                  <c:v>0.687879271648785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25"/>
                <c:pt idx="0">
                  <c:v>0.760680693780003</c:v>
                </c:pt>
                <c:pt idx="1">
                  <c:v>0.715154495370581</c:v>
                </c:pt>
                <c:pt idx="2">
                  <c:v>0.727347354660159</c:v>
                </c:pt>
                <c:pt idx="3">
                  <c:v>0.733055203580666</c:v>
                </c:pt>
                <c:pt idx="4">
                  <c:v>0.800065574864508</c:v>
                </c:pt>
                <c:pt idx="5">
                  <c:v>0.709071195454084</c:v>
                </c:pt>
                <c:pt idx="6">
                  <c:v>0.774946902661732</c:v>
                </c:pt>
                <c:pt idx="7">
                  <c:v>0.751587734037397</c:v>
                </c:pt>
                <c:pt idx="8">
                  <c:v>0.715465626904882</c:v>
                </c:pt>
                <c:pt idx="9">
                  <c:v>0.793443263941369</c:v>
                </c:pt>
                <c:pt idx="10">
                  <c:v>0.730863596114826</c:v>
                </c:pt>
                <c:pt idx="11">
                  <c:v>0.78662472765132</c:v>
                </c:pt>
                <c:pt idx="12">
                  <c:v>0.686816342783247</c:v>
                </c:pt>
                <c:pt idx="13">
                  <c:v>0.718410360602762</c:v>
                </c:pt>
                <c:pt idx="14">
                  <c:v>0.744433669330252</c:v>
                </c:pt>
                <c:pt idx="15">
                  <c:v>0.717764656873297</c:v>
                </c:pt>
                <c:pt idx="16">
                  <c:v>0.737447565963683</c:v>
                </c:pt>
                <c:pt idx="17">
                  <c:v>0.700591538533063</c:v>
                </c:pt>
                <c:pt idx="18">
                  <c:v>0.678930245127542</c:v>
                </c:pt>
                <c:pt idx="19">
                  <c:v>0.696243121106112</c:v>
                </c:pt>
                <c:pt idx="20">
                  <c:v>0.751495467345464</c:v>
                </c:pt>
                <c:pt idx="21">
                  <c:v>0.66012396246485</c:v>
                </c:pt>
                <c:pt idx="22">
                  <c:v>0.738555955351407</c:v>
                </c:pt>
                <c:pt idx="23">
                  <c:v>0.74726844232579</c:v>
                </c:pt>
                <c:pt idx="24">
                  <c:v>0.70142641264434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25"/>
                <c:pt idx="0">
                  <c:v>0.754089393330518</c:v>
                </c:pt>
                <c:pt idx="1">
                  <c:v>0.776695707387166</c:v>
                </c:pt>
                <c:pt idx="2">
                  <c:v>0.739989879595545</c:v>
                </c:pt>
                <c:pt idx="3">
                  <c:v>0.742245918124278</c:v>
                </c:pt>
                <c:pt idx="4">
                  <c:v>0.807638556331572</c:v>
                </c:pt>
                <c:pt idx="5">
                  <c:v>0.740162804506617</c:v>
                </c:pt>
                <c:pt idx="6">
                  <c:v>0.781037553501202</c:v>
                </c:pt>
                <c:pt idx="7">
                  <c:v>0.696417484151069</c:v>
                </c:pt>
                <c:pt idx="8">
                  <c:v>0.742251700755494</c:v>
                </c:pt>
                <c:pt idx="9">
                  <c:v>0.824221753429923</c:v>
                </c:pt>
                <c:pt idx="10">
                  <c:v>0.706116491876793</c:v>
                </c:pt>
                <c:pt idx="11">
                  <c:v>0.779947067179795</c:v>
                </c:pt>
                <c:pt idx="12">
                  <c:v>0.707370269465281</c:v>
                </c:pt>
                <c:pt idx="13">
                  <c:v>0.682205004410646</c:v>
                </c:pt>
                <c:pt idx="14">
                  <c:v>0.666685272176504</c:v>
                </c:pt>
                <c:pt idx="15">
                  <c:v>0.748853205345462</c:v>
                </c:pt>
                <c:pt idx="16">
                  <c:v>0.742965313065697</c:v>
                </c:pt>
                <c:pt idx="17">
                  <c:v>0.728588697645091</c:v>
                </c:pt>
                <c:pt idx="18">
                  <c:v>0.741250956289799</c:v>
                </c:pt>
                <c:pt idx="19">
                  <c:v>0.722251425300955</c:v>
                </c:pt>
                <c:pt idx="20">
                  <c:v>0.803210697319553</c:v>
                </c:pt>
                <c:pt idx="21">
                  <c:v>0.673214279680313</c:v>
                </c:pt>
                <c:pt idx="22">
                  <c:v>0.723840879104647</c:v>
                </c:pt>
                <c:pt idx="23">
                  <c:v>0.727564777752726</c:v>
                </c:pt>
                <c:pt idx="24">
                  <c:v>0.66737838952569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25"/>
                <c:pt idx="0">
                  <c:v>0.75451956501659</c:v>
                </c:pt>
                <c:pt idx="1">
                  <c:v>0.583157820853806</c:v>
                </c:pt>
                <c:pt idx="2">
                  <c:v>0.618904917761491</c:v>
                </c:pt>
                <c:pt idx="3">
                  <c:v>0.74737712465141</c:v>
                </c:pt>
                <c:pt idx="4">
                  <c:v>0.548980230623881</c:v>
                </c:pt>
                <c:pt idx="5">
                  <c:v>0.632690227255637</c:v>
                </c:pt>
                <c:pt idx="6">
                  <c:v>0.701786769943752</c:v>
                </c:pt>
                <c:pt idx="7">
                  <c:v>0.584562320768019</c:v>
                </c:pt>
                <c:pt idx="8">
                  <c:v>0.635530236435515</c:v>
                </c:pt>
                <c:pt idx="9">
                  <c:v>0.69186077854627</c:v>
                </c:pt>
                <c:pt idx="10">
                  <c:v>0.746874410758284</c:v>
                </c:pt>
                <c:pt idx="11">
                  <c:v>0.646103343046236</c:v>
                </c:pt>
                <c:pt idx="12">
                  <c:v>0.714267452106315</c:v>
                </c:pt>
                <c:pt idx="13">
                  <c:v>0.64598849418726</c:v>
                </c:pt>
                <c:pt idx="14">
                  <c:v>0.559125581602383</c:v>
                </c:pt>
                <c:pt idx="15">
                  <c:v>0.664444142276853</c:v>
                </c:pt>
                <c:pt idx="16">
                  <c:v>0.682928718328554</c:v>
                </c:pt>
                <c:pt idx="17">
                  <c:v>0.609029777075647</c:v>
                </c:pt>
                <c:pt idx="18">
                  <c:v>0.625136354501309</c:v>
                </c:pt>
                <c:pt idx="19">
                  <c:v>0.628896991007055</c:v>
                </c:pt>
                <c:pt idx="20">
                  <c:v>0.49049501481858</c:v>
                </c:pt>
                <c:pt idx="21">
                  <c:v>0.551218385467124</c:v>
                </c:pt>
                <c:pt idx="22">
                  <c:v>0.644659585583856</c:v>
                </c:pt>
                <c:pt idx="23">
                  <c:v>0.654980886002206</c:v>
                </c:pt>
                <c:pt idx="24">
                  <c:v>0.512869586028254</c:v>
                </c:pt>
              </c:numCache>
            </c:numRef>
          </c:yVal>
          <c:smooth val="0"/>
        </c:ser>
        <c:axId val="24965572"/>
        <c:axId val="73573751"/>
      </c:scatterChart>
      <c:valAx>
        <c:axId val="249655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3573751"/>
        <c:crosses val="autoZero"/>
        <c:crossBetween val="midCat"/>
      </c:valAx>
      <c:valAx>
        <c:axId val="735737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49655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25"/>
                <c:pt idx="0">
                  <c:v>0.790005749889737</c:v>
                </c:pt>
                <c:pt idx="1">
                  <c:v>0.681735099200446</c:v>
                </c:pt>
                <c:pt idx="2">
                  <c:v>0.736591542434996</c:v>
                </c:pt>
                <c:pt idx="3">
                  <c:v>0.65821229308805</c:v>
                </c:pt>
                <c:pt idx="4">
                  <c:v>0.743184893131854</c:v>
                </c:pt>
                <c:pt idx="5">
                  <c:v>0.738363300257884</c:v>
                </c:pt>
                <c:pt idx="6">
                  <c:v>0.802709380775578</c:v>
                </c:pt>
                <c:pt idx="7">
                  <c:v>0.767137820624339</c:v>
                </c:pt>
                <c:pt idx="8">
                  <c:v>0.655203842604779</c:v>
                </c:pt>
                <c:pt idx="9">
                  <c:v>0.700905183166286</c:v>
                </c:pt>
                <c:pt idx="10">
                  <c:v>0.719629235257693</c:v>
                </c:pt>
                <c:pt idx="11">
                  <c:v>0.831621410337318</c:v>
                </c:pt>
                <c:pt idx="12">
                  <c:v>0.709519501585356</c:v>
                </c:pt>
                <c:pt idx="13">
                  <c:v>0.752588038781123</c:v>
                </c:pt>
                <c:pt idx="14">
                  <c:v>0.742555870420495</c:v>
                </c:pt>
                <c:pt idx="15">
                  <c:v>0.626600189640605</c:v>
                </c:pt>
                <c:pt idx="16">
                  <c:v>0.81814248001184</c:v>
                </c:pt>
                <c:pt idx="17">
                  <c:v>0.647963419254761</c:v>
                </c:pt>
                <c:pt idx="18">
                  <c:v>0.643841741383017</c:v>
                </c:pt>
                <c:pt idx="19">
                  <c:v>0.654547731132537</c:v>
                </c:pt>
                <c:pt idx="20">
                  <c:v>0.737279793404405</c:v>
                </c:pt>
                <c:pt idx="21">
                  <c:v>0.741791001479869</c:v>
                </c:pt>
                <c:pt idx="22">
                  <c:v>0.720324505975325</c:v>
                </c:pt>
                <c:pt idx="23">
                  <c:v>0.85301227080764</c:v>
                </c:pt>
                <c:pt idx="24">
                  <c:v>0.727945465577406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25"/>
                <c:pt idx="0">
                  <c:v>0.818947298519002</c:v>
                </c:pt>
                <c:pt idx="1">
                  <c:v>0.726675054349364</c:v>
                </c:pt>
                <c:pt idx="2">
                  <c:v>0.753823763148008</c:v>
                </c:pt>
                <c:pt idx="3">
                  <c:v>0.694689160951428</c:v>
                </c:pt>
                <c:pt idx="4">
                  <c:v>0.750318975083652</c:v>
                </c:pt>
                <c:pt idx="5">
                  <c:v>0.792897506425522</c:v>
                </c:pt>
                <c:pt idx="6">
                  <c:v>0.740717063652639</c:v>
                </c:pt>
                <c:pt idx="7">
                  <c:v>0.701518866188206</c:v>
                </c:pt>
                <c:pt idx="8">
                  <c:v>0.679408838434061</c:v>
                </c:pt>
                <c:pt idx="9">
                  <c:v>0.693828339018655</c:v>
                </c:pt>
                <c:pt idx="10">
                  <c:v>0.714015093691685</c:v>
                </c:pt>
                <c:pt idx="11">
                  <c:v>0.829353335851788</c:v>
                </c:pt>
                <c:pt idx="12">
                  <c:v>0.741335114714525</c:v>
                </c:pt>
                <c:pt idx="13">
                  <c:v>0.777558691836526</c:v>
                </c:pt>
                <c:pt idx="14">
                  <c:v>0.769655236905789</c:v>
                </c:pt>
                <c:pt idx="15">
                  <c:v>0.692685234430471</c:v>
                </c:pt>
                <c:pt idx="16">
                  <c:v>0.805787272798479</c:v>
                </c:pt>
                <c:pt idx="17">
                  <c:v>0.631093794200336</c:v>
                </c:pt>
                <c:pt idx="18">
                  <c:v>0.690269162854351</c:v>
                </c:pt>
                <c:pt idx="19">
                  <c:v>0.697049065043941</c:v>
                </c:pt>
                <c:pt idx="20">
                  <c:v>0.69517695472312</c:v>
                </c:pt>
                <c:pt idx="21">
                  <c:v>0.757953803081435</c:v>
                </c:pt>
                <c:pt idx="22">
                  <c:v>0.663150812819657</c:v>
                </c:pt>
                <c:pt idx="23">
                  <c:v>0.846569350289584</c:v>
                </c:pt>
                <c:pt idx="24">
                  <c:v>0.736292798571547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25"/>
                <c:pt idx="0">
                  <c:v>0.785168761593727</c:v>
                </c:pt>
                <c:pt idx="1">
                  <c:v>0.7034443874608</c:v>
                </c:pt>
                <c:pt idx="2">
                  <c:v>0.735399855829613</c:v>
                </c:pt>
                <c:pt idx="3">
                  <c:v>0.697297454274584</c:v>
                </c:pt>
                <c:pt idx="4">
                  <c:v>0.713223127756937</c:v>
                </c:pt>
                <c:pt idx="5">
                  <c:v>0.767347429776357</c:v>
                </c:pt>
                <c:pt idx="6">
                  <c:v>0.741214474418534</c:v>
                </c:pt>
                <c:pt idx="7">
                  <c:v>0.702691804836109</c:v>
                </c:pt>
                <c:pt idx="8">
                  <c:v>0.676410925873389</c:v>
                </c:pt>
                <c:pt idx="9">
                  <c:v>0.715155539827357</c:v>
                </c:pt>
                <c:pt idx="10">
                  <c:v>0.72491699498861</c:v>
                </c:pt>
                <c:pt idx="11">
                  <c:v>0.844773353099784</c:v>
                </c:pt>
                <c:pt idx="12">
                  <c:v>0.670771286759802</c:v>
                </c:pt>
                <c:pt idx="13">
                  <c:v>0.749199345598474</c:v>
                </c:pt>
                <c:pt idx="14">
                  <c:v>0.710334404151347</c:v>
                </c:pt>
                <c:pt idx="15">
                  <c:v>0.658233657913275</c:v>
                </c:pt>
                <c:pt idx="16">
                  <c:v>0.821533014122518</c:v>
                </c:pt>
                <c:pt idx="17">
                  <c:v>0.654001563002053</c:v>
                </c:pt>
                <c:pt idx="18">
                  <c:v>0.590768867737282</c:v>
                </c:pt>
                <c:pt idx="19">
                  <c:v>0.716584963681357</c:v>
                </c:pt>
                <c:pt idx="20">
                  <c:v>0.669739555124102</c:v>
                </c:pt>
                <c:pt idx="21">
                  <c:v>0.735555505104196</c:v>
                </c:pt>
                <c:pt idx="22">
                  <c:v>0.705937576250204</c:v>
                </c:pt>
                <c:pt idx="23">
                  <c:v>0.821053723330557</c:v>
                </c:pt>
                <c:pt idx="24">
                  <c:v>0.697201511529907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25"/>
                <c:pt idx="0">
                  <c:v>0.823272744718597</c:v>
                </c:pt>
                <c:pt idx="1">
                  <c:v>0.642199317331402</c:v>
                </c:pt>
                <c:pt idx="2">
                  <c:v>0.724560029881393</c:v>
                </c:pt>
                <c:pt idx="3">
                  <c:v>0.708336187220553</c:v>
                </c:pt>
                <c:pt idx="4">
                  <c:v>0.697620486730694</c:v>
                </c:pt>
                <c:pt idx="5">
                  <c:v>0.757276291011557</c:v>
                </c:pt>
                <c:pt idx="6">
                  <c:v>0.758449701833791</c:v>
                </c:pt>
                <c:pt idx="7">
                  <c:v>0.705275325567815</c:v>
                </c:pt>
                <c:pt idx="8">
                  <c:v>0.638110457472859</c:v>
                </c:pt>
                <c:pt idx="9">
                  <c:v>0.718916919696981</c:v>
                </c:pt>
                <c:pt idx="10">
                  <c:v>0.760910644452133</c:v>
                </c:pt>
                <c:pt idx="11">
                  <c:v>0.812780603575516</c:v>
                </c:pt>
                <c:pt idx="12">
                  <c:v>0.721407571089307</c:v>
                </c:pt>
                <c:pt idx="13">
                  <c:v>0.76471605795332</c:v>
                </c:pt>
                <c:pt idx="14">
                  <c:v>0.711757961516188</c:v>
                </c:pt>
                <c:pt idx="15">
                  <c:v>0.636409131350562</c:v>
                </c:pt>
                <c:pt idx="16">
                  <c:v>0.760684614350216</c:v>
                </c:pt>
                <c:pt idx="17">
                  <c:v>0.689444509253728</c:v>
                </c:pt>
                <c:pt idx="18">
                  <c:v>0.699907553556336</c:v>
                </c:pt>
                <c:pt idx="19">
                  <c:v>0.721470667146881</c:v>
                </c:pt>
                <c:pt idx="20">
                  <c:v>0.694019107158469</c:v>
                </c:pt>
                <c:pt idx="21">
                  <c:v>0.755797582220466</c:v>
                </c:pt>
                <c:pt idx="22">
                  <c:v>0.650885309375863</c:v>
                </c:pt>
                <c:pt idx="23">
                  <c:v>0.810318587583629</c:v>
                </c:pt>
                <c:pt idx="24">
                  <c:v>0.756032220349956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25"/>
                <c:pt idx="0">
                  <c:v>0.820530604737196</c:v>
                </c:pt>
                <c:pt idx="1">
                  <c:v>0.407777700566947</c:v>
                </c:pt>
                <c:pt idx="2">
                  <c:v>0.64741533537976</c:v>
                </c:pt>
                <c:pt idx="3">
                  <c:v>0.492147299468326</c:v>
                </c:pt>
                <c:pt idx="4">
                  <c:v>0.536862868469305</c:v>
                </c:pt>
                <c:pt idx="5">
                  <c:v>0.63772449375854</c:v>
                </c:pt>
                <c:pt idx="6">
                  <c:v>0.616656606375133</c:v>
                </c:pt>
                <c:pt idx="7">
                  <c:v>0.626592572489672</c:v>
                </c:pt>
                <c:pt idx="8">
                  <c:v>0.648034250961909</c:v>
                </c:pt>
                <c:pt idx="9">
                  <c:v>0.506323646773135</c:v>
                </c:pt>
                <c:pt idx="10">
                  <c:v>0.585612272734794</c:v>
                </c:pt>
                <c:pt idx="11">
                  <c:v>0.522675525488207</c:v>
                </c:pt>
                <c:pt idx="12">
                  <c:v>0.59336895192208</c:v>
                </c:pt>
                <c:pt idx="13">
                  <c:v>0.712010193857469</c:v>
                </c:pt>
                <c:pt idx="14">
                  <c:v>0.389590431331602</c:v>
                </c:pt>
                <c:pt idx="15">
                  <c:v>0.538461186911437</c:v>
                </c:pt>
                <c:pt idx="16">
                  <c:v>0.562352229380074</c:v>
                </c:pt>
                <c:pt idx="17">
                  <c:v>0.449019179327942</c:v>
                </c:pt>
                <c:pt idx="18">
                  <c:v>0.547046967409802</c:v>
                </c:pt>
                <c:pt idx="19">
                  <c:v>0.566106097857875</c:v>
                </c:pt>
                <c:pt idx="20">
                  <c:v>0.404581945723551</c:v>
                </c:pt>
                <c:pt idx="21">
                  <c:v>0.662444425177304</c:v>
                </c:pt>
                <c:pt idx="22">
                  <c:v>0.42157129852119</c:v>
                </c:pt>
                <c:pt idx="23">
                  <c:v>0.744339298226825</c:v>
                </c:pt>
                <c:pt idx="24">
                  <c:v>0.469428262971454</c:v>
                </c:pt>
              </c:numCache>
            </c:numRef>
          </c:yVal>
          <c:smooth val="0"/>
        </c:ser>
        <c:axId val="10611838"/>
        <c:axId val="99093352"/>
      </c:scatterChart>
      <c:valAx>
        <c:axId val="1061183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093352"/>
        <c:crosses val="autoZero"/>
        <c:crossBetween val="midCat"/>
      </c:valAx>
      <c:valAx>
        <c:axId val="990933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06118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25"/>
                <c:pt idx="0">
                  <c:v>0.726604447396414</c:v>
                </c:pt>
                <c:pt idx="1">
                  <c:v>0.708959829151642</c:v>
                </c:pt>
                <c:pt idx="2">
                  <c:v>0.656250791088745</c:v>
                </c:pt>
                <c:pt idx="3">
                  <c:v>0.682480064346605</c:v>
                </c:pt>
                <c:pt idx="4">
                  <c:v>0.750666088952323</c:v>
                </c:pt>
                <c:pt idx="5">
                  <c:v>0.690037613967929</c:v>
                </c:pt>
                <c:pt idx="6">
                  <c:v>0.70889799084929</c:v>
                </c:pt>
                <c:pt idx="7">
                  <c:v>0.685546620467512</c:v>
                </c:pt>
                <c:pt idx="8">
                  <c:v>0.727629515141836</c:v>
                </c:pt>
                <c:pt idx="9">
                  <c:v>0.637485514971611</c:v>
                </c:pt>
                <c:pt idx="10">
                  <c:v>0.717989456556699</c:v>
                </c:pt>
                <c:pt idx="11">
                  <c:v>0.770906292597071</c:v>
                </c:pt>
                <c:pt idx="12">
                  <c:v>0.709827899363474</c:v>
                </c:pt>
                <c:pt idx="13">
                  <c:v>0.824775999287701</c:v>
                </c:pt>
                <c:pt idx="14">
                  <c:v>0.611331502918536</c:v>
                </c:pt>
                <c:pt idx="15">
                  <c:v>0.743473367956861</c:v>
                </c:pt>
                <c:pt idx="16">
                  <c:v>0.657769103514598</c:v>
                </c:pt>
                <c:pt idx="17">
                  <c:v>0.7336678926738</c:v>
                </c:pt>
                <c:pt idx="18">
                  <c:v>0.664769831999005</c:v>
                </c:pt>
                <c:pt idx="19">
                  <c:v>0.735511761701567</c:v>
                </c:pt>
                <c:pt idx="20">
                  <c:v>0.715466613809298</c:v>
                </c:pt>
                <c:pt idx="21">
                  <c:v>0.70902009513028</c:v>
                </c:pt>
                <c:pt idx="22">
                  <c:v>0.675856447847683</c:v>
                </c:pt>
                <c:pt idx="23">
                  <c:v>0.770886115042279</c:v>
                </c:pt>
                <c:pt idx="24">
                  <c:v>0.769586409524463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25"/>
                <c:pt idx="0">
                  <c:v>0.745618221992126</c:v>
                </c:pt>
                <c:pt idx="1">
                  <c:v>0.731965622484604</c:v>
                </c:pt>
                <c:pt idx="2">
                  <c:v>0.556349411838211</c:v>
                </c:pt>
                <c:pt idx="3">
                  <c:v>0.746961278269468</c:v>
                </c:pt>
                <c:pt idx="4">
                  <c:v>0.736303129517049</c:v>
                </c:pt>
                <c:pt idx="5">
                  <c:v>0.693060520928815</c:v>
                </c:pt>
                <c:pt idx="6">
                  <c:v>0.748597564255249</c:v>
                </c:pt>
                <c:pt idx="7">
                  <c:v>0.705165938537343</c:v>
                </c:pt>
                <c:pt idx="8">
                  <c:v>0.750368716676119</c:v>
                </c:pt>
                <c:pt idx="9">
                  <c:v>0.682432996770851</c:v>
                </c:pt>
                <c:pt idx="10">
                  <c:v>0.72387381443217</c:v>
                </c:pt>
                <c:pt idx="11">
                  <c:v>0.667701763619203</c:v>
                </c:pt>
                <c:pt idx="12">
                  <c:v>0.72995268032519</c:v>
                </c:pt>
                <c:pt idx="13">
                  <c:v>0.79516955513513</c:v>
                </c:pt>
                <c:pt idx="14">
                  <c:v>0.641361051891741</c:v>
                </c:pt>
                <c:pt idx="15">
                  <c:v>0.758550116405013</c:v>
                </c:pt>
                <c:pt idx="16">
                  <c:v>0.694176028461883</c:v>
                </c:pt>
                <c:pt idx="17">
                  <c:v>0.753547411776315</c:v>
                </c:pt>
                <c:pt idx="18">
                  <c:v>0.718473139733635</c:v>
                </c:pt>
                <c:pt idx="19">
                  <c:v>0.754538991520845</c:v>
                </c:pt>
                <c:pt idx="20">
                  <c:v>0.71601754844973</c:v>
                </c:pt>
                <c:pt idx="21">
                  <c:v>0.751876513039488</c:v>
                </c:pt>
                <c:pt idx="22">
                  <c:v>0.717330086490848</c:v>
                </c:pt>
                <c:pt idx="23">
                  <c:v>0.810165160416988</c:v>
                </c:pt>
                <c:pt idx="24">
                  <c:v>0.72772399535443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25"/>
                <c:pt idx="0">
                  <c:v>0.724099533668665</c:v>
                </c:pt>
                <c:pt idx="1">
                  <c:v>0.690405786547539</c:v>
                </c:pt>
                <c:pt idx="2">
                  <c:v>0.664424091143094</c:v>
                </c:pt>
                <c:pt idx="3">
                  <c:v>0.737872088358781</c:v>
                </c:pt>
                <c:pt idx="4">
                  <c:v>0.731664951542418</c:v>
                </c:pt>
                <c:pt idx="5">
                  <c:v>0.72767431707301</c:v>
                </c:pt>
                <c:pt idx="6">
                  <c:v>0.785159172931949</c:v>
                </c:pt>
                <c:pt idx="7">
                  <c:v>0.699365933104337</c:v>
                </c:pt>
                <c:pt idx="8">
                  <c:v>0.74686473255493</c:v>
                </c:pt>
                <c:pt idx="9">
                  <c:v>0.68571667055349</c:v>
                </c:pt>
                <c:pt idx="10">
                  <c:v>0.765114909147396</c:v>
                </c:pt>
                <c:pt idx="11">
                  <c:v>0.736644236479232</c:v>
                </c:pt>
                <c:pt idx="12">
                  <c:v>0.678666511575506</c:v>
                </c:pt>
                <c:pt idx="13">
                  <c:v>0.800148648147254</c:v>
                </c:pt>
                <c:pt idx="14">
                  <c:v>0.613656437383168</c:v>
                </c:pt>
                <c:pt idx="15">
                  <c:v>0.70191452728509</c:v>
                </c:pt>
                <c:pt idx="16">
                  <c:v>0.696040981259132</c:v>
                </c:pt>
                <c:pt idx="17">
                  <c:v>0.764111372525898</c:v>
                </c:pt>
                <c:pt idx="18">
                  <c:v>0.612949588021736</c:v>
                </c:pt>
                <c:pt idx="19">
                  <c:v>0.761234455225827</c:v>
                </c:pt>
                <c:pt idx="20">
                  <c:v>0.708545748319991</c:v>
                </c:pt>
                <c:pt idx="21">
                  <c:v>0.756069449327172</c:v>
                </c:pt>
                <c:pt idx="22">
                  <c:v>0.671531865451319</c:v>
                </c:pt>
                <c:pt idx="23">
                  <c:v>0.793327292068252</c:v>
                </c:pt>
                <c:pt idx="24">
                  <c:v>0.762254565867078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25"/>
                <c:pt idx="0">
                  <c:v>0.726072655509358</c:v>
                </c:pt>
                <c:pt idx="1">
                  <c:v>0.682663698456168</c:v>
                </c:pt>
                <c:pt idx="2">
                  <c:v>0.615224454504257</c:v>
                </c:pt>
                <c:pt idx="3">
                  <c:v>0.728618275572537</c:v>
                </c:pt>
                <c:pt idx="4">
                  <c:v>0.688604056934627</c:v>
                </c:pt>
                <c:pt idx="5">
                  <c:v>0.669074893749943</c:v>
                </c:pt>
                <c:pt idx="6">
                  <c:v>0.759372504405003</c:v>
                </c:pt>
                <c:pt idx="7">
                  <c:v>0.695828504681874</c:v>
                </c:pt>
                <c:pt idx="8">
                  <c:v>0.779899573323697</c:v>
                </c:pt>
                <c:pt idx="9">
                  <c:v>0.632572298876227</c:v>
                </c:pt>
                <c:pt idx="10">
                  <c:v>0.733064212818954</c:v>
                </c:pt>
                <c:pt idx="11">
                  <c:v>0.693027541837124</c:v>
                </c:pt>
                <c:pt idx="12">
                  <c:v>0.704438316359018</c:v>
                </c:pt>
                <c:pt idx="13">
                  <c:v>0.822923799196468</c:v>
                </c:pt>
                <c:pt idx="14">
                  <c:v>0.598856826351013</c:v>
                </c:pt>
                <c:pt idx="15">
                  <c:v>0.745885490309946</c:v>
                </c:pt>
                <c:pt idx="16">
                  <c:v>0.627413040342658</c:v>
                </c:pt>
                <c:pt idx="17">
                  <c:v>0.764724151507591</c:v>
                </c:pt>
                <c:pt idx="18">
                  <c:v>0.665442717582544</c:v>
                </c:pt>
                <c:pt idx="19">
                  <c:v>0.739120010292957</c:v>
                </c:pt>
                <c:pt idx="20">
                  <c:v>0.740855593294062</c:v>
                </c:pt>
                <c:pt idx="21">
                  <c:v>0.724986030339445</c:v>
                </c:pt>
                <c:pt idx="22">
                  <c:v>0.732548067807027</c:v>
                </c:pt>
                <c:pt idx="23">
                  <c:v>0.810905330263776</c:v>
                </c:pt>
                <c:pt idx="24">
                  <c:v>0.7452068576726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25"/>
                <c:pt idx="0">
                  <c:v>0.780357842803317</c:v>
                </c:pt>
                <c:pt idx="1">
                  <c:v>0.416207094658953</c:v>
                </c:pt>
                <c:pt idx="2">
                  <c:v>0.440694734258005</c:v>
                </c:pt>
                <c:pt idx="3">
                  <c:v>0.50298342709053</c:v>
                </c:pt>
                <c:pt idx="4">
                  <c:v>0.648378238204048</c:v>
                </c:pt>
                <c:pt idx="5">
                  <c:v>0.556905413484638</c:v>
                </c:pt>
                <c:pt idx="6">
                  <c:v>0.676587781456039</c:v>
                </c:pt>
                <c:pt idx="7">
                  <c:v>0.537556987618538</c:v>
                </c:pt>
                <c:pt idx="8">
                  <c:v>0.547450655337536</c:v>
                </c:pt>
                <c:pt idx="9">
                  <c:v>0.404475709994457</c:v>
                </c:pt>
                <c:pt idx="10">
                  <c:v>0.573512450710954</c:v>
                </c:pt>
                <c:pt idx="11">
                  <c:v>0.688426389427952</c:v>
                </c:pt>
                <c:pt idx="12">
                  <c:v>0.536732539192105</c:v>
                </c:pt>
                <c:pt idx="13">
                  <c:v>0.706905423359106</c:v>
                </c:pt>
                <c:pt idx="14">
                  <c:v>0.559275980049327</c:v>
                </c:pt>
                <c:pt idx="15">
                  <c:v>0.696687598503719</c:v>
                </c:pt>
                <c:pt idx="16">
                  <c:v>0.48999145280364</c:v>
                </c:pt>
                <c:pt idx="17">
                  <c:v>0.703777326026319</c:v>
                </c:pt>
                <c:pt idx="18">
                  <c:v>0.538311826027795</c:v>
                </c:pt>
                <c:pt idx="19">
                  <c:v>0.658619577213029</c:v>
                </c:pt>
                <c:pt idx="20">
                  <c:v>0.407653544913038</c:v>
                </c:pt>
                <c:pt idx="21">
                  <c:v>0.515876791249462</c:v>
                </c:pt>
                <c:pt idx="22">
                  <c:v>0.47404366030989</c:v>
                </c:pt>
                <c:pt idx="23">
                  <c:v>0.690137110745753</c:v>
                </c:pt>
                <c:pt idx="24">
                  <c:v>0.454708104680646</c:v>
                </c:pt>
              </c:numCache>
            </c:numRef>
          </c:yVal>
          <c:smooth val="0"/>
        </c:ser>
        <c:axId val="84568941"/>
        <c:axId val="13038752"/>
      </c:scatterChart>
      <c:valAx>
        <c:axId val="845689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038752"/>
        <c:crosses val="autoZero"/>
        <c:crossBetween val="midCat"/>
      </c:valAx>
      <c:valAx>
        <c:axId val="130387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456894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25"/>
                <c:pt idx="0">
                  <c:v>0.746899633688936</c:v>
                </c:pt>
                <c:pt idx="1">
                  <c:v>0.760440771561493</c:v>
                </c:pt>
                <c:pt idx="2">
                  <c:v>0.74542610185569</c:v>
                </c:pt>
                <c:pt idx="3">
                  <c:v>0.754518286707164</c:v>
                </c:pt>
                <c:pt idx="4">
                  <c:v>0.818716946973898</c:v>
                </c:pt>
                <c:pt idx="5">
                  <c:v>0.661475371813803</c:v>
                </c:pt>
                <c:pt idx="6">
                  <c:v>0.704831094854699</c:v>
                </c:pt>
                <c:pt idx="7">
                  <c:v>0.775445669459668</c:v>
                </c:pt>
                <c:pt idx="8">
                  <c:v>0.734922592013555</c:v>
                </c:pt>
                <c:pt idx="9">
                  <c:v>0.809553468856414</c:v>
                </c:pt>
                <c:pt idx="10">
                  <c:v>0.736193634280327</c:v>
                </c:pt>
                <c:pt idx="11">
                  <c:v>0.760450688692101</c:v>
                </c:pt>
                <c:pt idx="12">
                  <c:v>0.783417145572671</c:v>
                </c:pt>
                <c:pt idx="13">
                  <c:v>0.736351406600312</c:v>
                </c:pt>
                <c:pt idx="14">
                  <c:v>0.695164645499178</c:v>
                </c:pt>
                <c:pt idx="15">
                  <c:v>0.753663706301646</c:v>
                </c:pt>
                <c:pt idx="16">
                  <c:v>0.75925493365687</c:v>
                </c:pt>
                <c:pt idx="17">
                  <c:v>0.744001794349238</c:v>
                </c:pt>
                <c:pt idx="18">
                  <c:v>0.777745722291328</c:v>
                </c:pt>
                <c:pt idx="19">
                  <c:v>0.784404877175123</c:v>
                </c:pt>
                <c:pt idx="20">
                  <c:v>0.646558702401536</c:v>
                </c:pt>
                <c:pt idx="21">
                  <c:v>0.64627244396815</c:v>
                </c:pt>
                <c:pt idx="22">
                  <c:v>0.72738343602134</c:v>
                </c:pt>
                <c:pt idx="23">
                  <c:v>0.81572575422772</c:v>
                </c:pt>
                <c:pt idx="24">
                  <c:v>0.672703350703668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25"/>
                <c:pt idx="0">
                  <c:v>0.753427301803647</c:v>
                </c:pt>
                <c:pt idx="1">
                  <c:v>0.765371582562988</c:v>
                </c:pt>
                <c:pt idx="2">
                  <c:v>0.753068668844285</c:v>
                </c:pt>
                <c:pt idx="3">
                  <c:v>0.733184077559232</c:v>
                </c:pt>
                <c:pt idx="4">
                  <c:v>0.839797661168354</c:v>
                </c:pt>
                <c:pt idx="5">
                  <c:v>0.620764082289514</c:v>
                </c:pt>
                <c:pt idx="6">
                  <c:v>0.708249150690089</c:v>
                </c:pt>
                <c:pt idx="7">
                  <c:v>0.81183171273243</c:v>
                </c:pt>
                <c:pt idx="8">
                  <c:v>0.717889791117422</c:v>
                </c:pt>
                <c:pt idx="9">
                  <c:v>0.82670674249406</c:v>
                </c:pt>
                <c:pt idx="10">
                  <c:v>0.751587201916451</c:v>
                </c:pt>
                <c:pt idx="11">
                  <c:v>0.767576286083638</c:v>
                </c:pt>
                <c:pt idx="12">
                  <c:v>0.77472229763671</c:v>
                </c:pt>
                <c:pt idx="13">
                  <c:v>0.714363998847527</c:v>
                </c:pt>
                <c:pt idx="14">
                  <c:v>0.714429881453235</c:v>
                </c:pt>
                <c:pt idx="15">
                  <c:v>0.730575330250292</c:v>
                </c:pt>
                <c:pt idx="16">
                  <c:v>0.731767373432006</c:v>
                </c:pt>
                <c:pt idx="17">
                  <c:v>0.715924581106966</c:v>
                </c:pt>
                <c:pt idx="18">
                  <c:v>0.781932724966578</c:v>
                </c:pt>
                <c:pt idx="19">
                  <c:v>0.770211516204908</c:v>
                </c:pt>
                <c:pt idx="20">
                  <c:v>0.65642930221378</c:v>
                </c:pt>
                <c:pt idx="21">
                  <c:v>0.699675260395181</c:v>
                </c:pt>
                <c:pt idx="22">
                  <c:v>0.736340390593237</c:v>
                </c:pt>
                <c:pt idx="23">
                  <c:v>0.808304244936902</c:v>
                </c:pt>
                <c:pt idx="24">
                  <c:v>0.717501306984114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4</c:f>
              <c:numCache>
                <c:formatCode>General</c:formatCode>
                <c:ptCount val="25"/>
                <c:pt idx="0">
                  <c:v>0.726122663610199</c:v>
                </c:pt>
                <c:pt idx="1">
                  <c:v>0.744387965987341</c:v>
                </c:pt>
                <c:pt idx="2">
                  <c:v>0.722443262715515</c:v>
                </c:pt>
                <c:pt idx="3">
                  <c:v>0.706070089408908</c:v>
                </c:pt>
                <c:pt idx="4">
                  <c:v>0.830465274232832</c:v>
                </c:pt>
                <c:pt idx="5">
                  <c:v>0.639350566619894</c:v>
                </c:pt>
                <c:pt idx="6">
                  <c:v>0.74569214122826</c:v>
                </c:pt>
                <c:pt idx="7">
                  <c:v>0.777583698300188</c:v>
                </c:pt>
                <c:pt idx="8">
                  <c:v>0.716221981108389</c:v>
                </c:pt>
                <c:pt idx="9">
                  <c:v>0.789490175348179</c:v>
                </c:pt>
                <c:pt idx="10">
                  <c:v>0.737754806838827</c:v>
                </c:pt>
                <c:pt idx="11">
                  <c:v>0.746932692465765</c:v>
                </c:pt>
                <c:pt idx="12">
                  <c:v>0.743211804362939</c:v>
                </c:pt>
                <c:pt idx="13">
                  <c:v>0.753566163309058</c:v>
                </c:pt>
                <c:pt idx="14">
                  <c:v>0.679573608456161</c:v>
                </c:pt>
                <c:pt idx="15">
                  <c:v>0.732606769576746</c:v>
                </c:pt>
                <c:pt idx="16">
                  <c:v>0.750546686660056</c:v>
                </c:pt>
                <c:pt idx="17">
                  <c:v>0.737646756450336</c:v>
                </c:pt>
                <c:pt idx="18">
                  <c:v>0.770786882499805</c:v>
                </c:pt>
                <c:pt idx="19">
                  <c:v>0.749337452437493</c:v>
                </c:pt>
                <c:pt idx="20">
                  <c:v>0.676604991476922</c:v>
                </c:pt>
                <c:pt idx="21">
                  <c:v>0.690049864977458</c:v>
                </c:pt>
                <c:pt idx="22">
                  <c:v>0.758614453242321</c:v>
                </c:pt>
                <c:pt idx="23">
                  <c:v>0.798835137250553</c:v>
                </c:pt>
                <c:pt idx="24">
                  <c:v>0.734706374670589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6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6</c:f>
              <c:numCache>
                <c:formatCode>General</c:formatCode>
                <c:ptCount val="25"/>
                <c:pt idx="0">
                  <c:v>0.747843022923881</c:v>
                </c:pt>
                <c:pt idx="1">
                  <c:v>0.748104158889568</c:v>
                </c:pt>
                <c:pt idx="2">
                  <c:v>0.71984400860707</c:v>
                </c:pt>
                <c:pt idx="3">
                  <c:v>0.716086647100763</c:v>
                </c:pt>
                <c:pt idx="4">
                  <c:v>0.762493070097647</c:v>
                </c:pt>
                <c:pt idx="5">
                  <c:v>0.653519592008403</c:v>
                </c:pt>
                <c:pt idx="6">
                  <c:v>0.719750136805701</c:v>
                </c:pt>
                <c:pt idx="7">
                  <c:v>0.778318129572334</c:v>
                </c:pt>
                <c:pt idx="8">
                  <c:v>0.742397408036601</c:v>
                </c:pt>
                <c:pt idx="9">
                  <c:v>0.83322558385751</c:v>
                </c:pt>
                <c:pt idx="10">
                  <c:v>0.717525615290775</c:v>
                </c:pt>
                <c:pt idx="11">
                  <c:v>0.750832143580771</c:v>
                </c:pt>
                <c:pt idx="12">
                  <c:v>0.77358788110411</c:v>
                </c:pt>
                <c:pt idx="13">
                  <c:v>0.746401320572344</c:v>
                </c:pt>
                <c:pt idx="14">
                  <c:v>0.674899879933738</c:v>
                </c:pt>
                <c:pt idx="15">
                  <c:v>0.749348200599637</c:v>
                </c:pt>
                <c:pt idx="16">
                  <c:v>0.784507430286035</c:v>
                </c:pt>
                <c:pt idx="17">
                  <c:v>0.724125949209616</c:v>
                </c:pt>
                <c:pt idx="18">
                  <c:v>0.749855438872011</c:v>
                </c:pt>
                <c:pt idx="19">
                  <c:v>0.776729389363219</c:v>
                </c:pt>
                <c:pt idx="20">
                  <c:v>0.676636427895576</c:v>
                </c:pt>
                <c:pt idx="21">
                  <c:v>0.72066031750692</c:v>
                </c:pt>
                <c:pt idx="22">
                  <c:v>0.772455612590151</c:v>
                </c:pt>
                <c:pt idx="23">
                  <c:v>0.781238004258282</c:v>
                </c:pt>
                <c:pt idx="24">
                  <c:v>0.693940210865722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label 8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8</c:f>
              <c:numCache>
                <c:formatCode>General</c:formatCode>
                <c:ptCount val="25"/>
                <c:pt idx="0">
                  <c:v>0.771814729489856</c:v>
                </c:pt>
                <c:pt idx="1">
                  <c:v>0.585748724447829</c:v>
                </c:pt>
                <c:pt idx="2">
                  <c:v>0.594422528559652</c:v>
                </c:pt>
                <c:pt idx="3">
                  <c:v>0.60678636857711</c:v>
                </c:pt>
                <c:pt idx="4">
                  <c:v>0.69941561269435</c:v>
                </c:pt>
                <c:pt idx="5">
                  <c:v>0.584983605559223</c:v>
                </c:pt>
                <c:pt idx="6">
                  <c:v>0.523434497974195</c:v>
                </c:pt>
                <c:pt idx="7">
                  <c:v>0.733177377705096</c:v>
                </c:pt>
                <c:pt idx="8">
                  <c:v>0.623029352644154</c:v>
                </c:pt>
                <c:pt idx="9">
                  <c:v>0.569126443983933</c:v>
                </c:pt>
                <c:pt idx="10">
                  <c:v>0.712616848746921</c:v>
                </c:pt>
                <c:pt idx="11">
                  <c:v>0.623994668934615</c:v>
                </c:pt>
                <c:pt idx="12">
                  <c:v>0.708175167658807</c:v>
                </c:pt>
                <c:pt idx="13">
                  <c:v>0.598847369877094</c:v>
                </c:pt>
                <c:pt idx="14">
                  <c:v>0.598448875288242</c:v>
                </c:pt>
                <c:pt idx="15">
                  <c:v>0.686112684184051</c:v>
                </c:pt>
                <c:pt idx="16">
                  <c:v>0.656452493829178</c:v>
                </c:pt>
                <c:pt idx="17">
                  <c:v>0.708590115686799</c:v>
                </c:pt>
                <c:pt idx="18">
                  <c:v>0.656250234555418</c:v>
                </c:pt>
                <c:pt idx="19">
                  <c:v>0.766144095586904</c:v>
                </c:pt>
                <c:pt idx="20">
                  <c:v>0.611673917355993</c:v>
                </c:pt>
                <c:pt idx="21">
                  <c:v>0.57321383560315</c:v>
                </c:pt>
                <c:pt idx="22">
                  <c:v>0.46202133657173</c:v>
                </c:pt>
                <c:pt idx="23">
                  <c:v>0.752686085299576</c:v>
                </c:pt>
                <c:pt idx="24">
                  <c:v>0.637351019647471</c:v>
                </c:pt>
              </c:numCache>
            </c:numRef>
          </c:yVal>
          <c:smooth val="0"/>
        </c:ser>
        <c:axId val="2774858"/>
        <c:axId val="88711269"/>
      </c:scatterChart>
      <c:valAx>
        <c:axId val="27748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8711269"/>
        <c:crosses val="autoZero"/>
        <c:crossBetween val="midCat"/>
      </c:valAx>
      <c:valAx>
        <c:axId val="887112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7748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789120</xdr:colOff>
      <xdr:row>1</xdr:row>
      <xdr:rowOff>360</xdr:rowOff>
    </xdr:from>
    <xdr:to>
      <xdr:col>18</xdr:col>
      <xdr:colOff>550440</xdr:colOff>
      <xdr:row>18</xdr:row>
      <xdr:rowOff>122040</xdr:rowOff>
    </xdr:to>
    <xdr:graphicFrame>
      <xdr:nvGraphicFramePr>
        <xdr:cNvPr id="1" name=""/>
        <xdr:cNvGraphicFramePr/>
      </xdr:nvGraphicFramePr>
      <xdr:xfrm>
        <a:off x="7664400" y="163080"/>
        <a:ext cx="7889040" cy="288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788040</xdr:colOff>
      <xdr:row>22</xdr:row>
      <xdr:rowOff>138600</xdr:rowOff>
    </xdr:from>
    <xdr:to>
      <xdr:col>18</xdr:col>
      <xdr:colOff>622800</xdr:colOff>
      <xdr:row>40</xdr:row>
      <xdr:rowOff>136080</xdr:rowOff>
    </xdr:to>
    <xdr:graphicFrame>
      <xdr:nvGraphicFramePr>
        <xdr:cNvPr id="2" name=""/>
        <xdr:cNvGraphicFramePr/>
      </xdr:nvGraphicFramePr>
      <xdr:xfrm rot="5400">
        <a:off x="7663320" y="3714480"/>
        <a:ext cx="7962480" cy="292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3600</xdr:colOff>
      <xdr:row>48</xdr:row>
      <xdr:rowOff>-360</xdr:rowOff>
    </xdr:from>
    <xdr:to>
      <xdr:col>18</xdr:col>
      <xdr:colOff>590040</xdr:colOff>
      <xdr:row>65</xdr:row>
      <xdr:rowOff>5760</xdr:rowOff>
    </xdr:to>
    <xdr:graphicFrame>
      <xdr:nvGraphicFramePr>
        <xdr:cNvPr id="3" name=""/>
        <xdr:cNvGraphicFramePr/>
      </xdr:nvGraphicFramePr>
      <xdr:xfrm>
        <a:off x="7691400" y="7802640"/>
        <a:ext cx="7901640" cy="276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3600</xdr:colOff>
      <xdr:row>69</xdr:row>
      <xdr:rowOff>360</xdr:rowOff>
    </xdr:from>
    <xdr:to>
      <xdr:col>18</xdr:col>
      <xdr:colOff>526680</xdr:colOff>
      <xdr:row>88</xdr:row>
      <xdr:rowOff>151560</xdr:rowOff>
    </xdr:to>
    <xdr:graphicFrame>
      <xdr:nvGraphicFramePr>
        <xdr:cNvPr id="4" name=""/>
        <xdr:cNvGraphicFramePr/>
      </xdr:nvGraphicFramePr>
      <xdr:xfrm>
        <a:off x="7691400" y="11216880"/>
        <a:ext cx="7838280" cy="324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3600</xdr:colOff>
      <xdr:row>92</xdr:row>
      <xdr:rowOff>0</xdr:rowOff>
    </xdr:from>
    <xdr:to>
      <xdr:col>18</xdr:col>
      <xdr:colOff>613440</xdr:colOff>
      <xdr:row>111</xdr:row>
      <xdr:rowOff>144720</xdr:rowOff>
    </xdr:to>
    <xdr:graphicFrame>
      <xdr:nvGraphicFramePr>
        <xdr:cNvPr id="5" name=""/>
        <xdr:cNvGraphicFramePr/>
      </xdr:nvGraphicFramePr>
      <xdr:xfrm>
        <a:off x="7691400" y="14955480"/>
        <a:ext cx="79250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3600</xdr:colOff>
      <xdr:row>115</xdr:row>
      <xdr:rowOff>0</xdr:rowOff>
    </xdr:from>
    <xdr:to>
      <xdr:col>19</xdr:col>
      <xdr:colOff>741960</xdr:colOff>
      <xdr:row>133</xdr:row>
      <xdr:rowOff>129600</xdr:rowOff>
    </xdr:to>
    <xdr:graphicFrame>
      <xdr:nvGraphicFramePr>
        <xdr:cNvPr id="6" name=""/>
        <xdr:cNvGraphicFramePr/>
      </xdr:nvGraphicFramePr>
      <xdr:xfrm>
        <a:off x="7691400" y="18694440"/>
        <a:ext cx="8866440" cy="305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3600</xdr:colOff>
      <xdr:row>136</xdr:row>
      <xdr:rowOff>-360</xdr:rowOff>
    </xdr:from>
    <xdr:to>
      <xdr:col>19</xdr:col>
      <xdr:colOff>747360</xdr:colOff>
      <xdr:row>153</xdr:row>
      <xdr:rowOff>83160</xdr:rowOff>
    </xdr:to>
    <xdr:graphicFrame>
      <xdr:nvGraphicFramePr>
        <xdr:cNvPr id="7" name=""/>
        <xdr:cNvGraphicFramePr/>
      </xdr:nvGraphicFramePr>
      <xdr:xfrm>
        <a:off x="7691400" y="22107960"/>
        <a:ext cx="8871840" cy="284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3600</xdr:colOff>
      <xdr:row>158</xdr:row>
      <xdr:rowOff>-360</xdr:rowOff>
    </xdr:from>
    <xdr:to>
      <xdr:col>19</xdr:col>
      <xdr:colOff>731880</xdr:colOff>
      <xdr:row>179</xdr:row>
      <xdr:rowOff>75600</xdr:rowOff>
    </xdr:to>
    <xdr:graphicFrame>
      <xdr:nvGraphicFramePr>
        <xdr:cNvPr id="8" name=""/>
        <xdr:cNvGraphicFramePr/>
      </xdr:nvGraphicFramePr>
      <xdr:xfrm>
        <a:off x="7691400" y="25684200"/>
        <a:ext cx="8856360" cy="348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hybrid_v3_5_semantic/scenario_1_v2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ac15-plain/Scenario_2_v3_1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test_ac15/Scenario_1_v2_light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test_ac15/Scenario_2_v3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test_ac15/scenario_3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test_ac15/scenario_4.xlsx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test_ac15/scenario_5.xlsx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test_ac15/Scenario_6_1_25turns.xlsx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test_ac15/Scenario_7.xlsx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item_sims_no_separation/test_ac15/Scenario_8.xlsx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inter_system_calc/scen1_analaysis.xlsx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inter_system_calc/scen2_analysis.xlsx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inter_system_calc/scen3_analysis.xlsx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inter_system_calc/scen4_analysis.xlsx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inter_system_calc/scen5_analysis.xlsx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inter_system_calc/scen6_analysis.xlsx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inter_system_calc/scen7_analysis.xlsx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inter_system_calc/scen8_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en1_hybsem"/>
      <sheetName val="notes"/>
      <sheetName val="actdel_prompt_response"/>
      <sheetName val="inter_system stats"/>
    </sheetNames>
    <sheetDataSet>
      <sheetData sheetId="0"/>
      <sheetData sheetId="1"/>
      <sheetData sheetId="2"/>
      <sheetData sheetId="3">
        <row r="3">
          <cell r="B3" t="str">
            <v>hybsem</v>
          </cell>
          <cell r="C3" t="str">
            <v>control</v>
          </cell>
        </row>
        <row r="4">
          <cell r="B4">
            <v>0.829083516979224</v>
          </cell>
          <cell r="C4">
            <v>0.843168263254482</v>
          </cell>
        </row>
        <row r="5">
          <cell r="B5">
            <v>0.766444903472076</v>
          </cell>
          <cell r="C5">
            <v>0.410481566775254</v>
          </cell>
        </row>
        <row r="6">
          <cell r="B6">
            <v>0.820814927176212</v>
          </cell>
          <cell r="C6">
            <v>0.557975369920795</v>
          </cell>
        </row>
        <row r="7">
          <cell r="B7">
            <v>0.589340681428011</v>
          </cell>
          <cell r="C7">
            <v>0.619158269088556</v>
          </cell>
        </row>
        <row r="8">
          <cell r="B8">
            <v>0.549939911322228</v>
          </cell>
          <cell r="C8">
            <v>0.403963080119542</v>
          </cell>
        </row>
        <row r="9">
          <cell r="B9">
            <v>0.806301302771949</v>
          </cell>
          <cell r="C9">
            <v>0.570743883878626</v>
          </cell>
        </row>
        <row r="10">
          <cell r="B10">
            <v>0.654420747897195</v>
          </cell>
          <cell r="C10">
            <v>0.611608951562061</v>
          </cell>
        </row>
        <row r="11">
          <cell r="B11">
            <v>0.747457006954611</v>
          </cell>
          <cell r="C11">
            <v>0.51665838871536</v>
          </cell>
        </row>
        <row r="12">
          <cell r="B12">
            <v>0.763154436571465</v>
          </cell>
          <cell r="C12">
            <v>0.519107279370953</v>
          </cell>
        </row>
        <row r="13">
          <cell r="B13">
            <v>0.745298826492448</v>
          </cell>
          <cell r="C13">
            <v>0.681242455451239</v>
          </cell>
        </row>
        <row r="14">
          <cell r="B14">
            <v>0.703599427390625</v>
          </cell>
          <cell r="C14">
            <v>0.665099248057114</v>
          </cell>
        </row>
        <row r="15">
          <cell r="B15">
            <v>0.792291119607581</v>
          </cell>
          <cell r="C15">
            <v>0.685595116342696</v>
          </cell>
        </row>
        <row r="16">
          <cell r="B16">
            <v>0.742748844142451</v>
          </cell>
          <cell r="C16">
            <v>0.65114377143955</v>
          </cell>
        </row>
        <row r="17">
          <cell r="B17">
            <v>0.730739032742495</v>
          </cell>
          <cell r="C17">
            <v>0.603486770235985</v>
          </cell>
        </row>
        <row r="18">
          <cell r="B18">
            <v>0.727501533855859</v>
          </cell>
          <cell r="C18">
            <v>0.498068679989705</v>
          </cell>
        </row>
        <row r="19">
          <cell r="B19">
            <v>0.69212024380659</v>
          </cell>
          <cell r="C19">
            <v>0.630377968860656</v>
          </cell>
        </row>
        <row r="20">
          <cell r="B20">
            <v>0.719549537838803</v>
          </cell>
          <cell r="C20">
            <v>0.657927168337551</v>
          </cell>
        </row>
        <row r="21">
          <cell r="B21">
            <v>0.708540087240829</v>
          </cell>
          <cell r="C21">
            <v>0.560860510322618</v>
          </cell>
        </row>
        <row r="22">
          <cell r="B22">
            <v>0.706775862145744</v>
          </cell>
          <cell r="C22">
            <v>0.502077926373526</v>
          </cell>
        </row>
        <row r="23">
          <cell r="B23">
            <v>0.810552775268533</v>
          </cell>
          <cell r="C23">
            <v>0.477168485158792</v>
          </cell>
        </row>
        <row r="24">
          <cell r="B24">
            <v>0.779651511367528</v>
          </cell>
          <cell r="C24">
            <v>0.490712582964214</v>
          </cell>
        </row>
        <row r="25">
          <cell r="B25">
            <v>0.707012650930307</v>
          </cell>
          <cell r="C25">
            <v>0.373647233999626</v>
          </cell>
        </row>
        <row r="26">
          <cell r="B26">
            <v>0.759411204953021</v>
          </cell>
          <cell r="C26">
            <v>0.656354995088699</v>
          </cell>
        </row>
        <row r="27">
          <cell r="B27">
            <v>0.754622185376853</v>
          </cell>
          <cell r="C27">
            <v>0.579731827188496</v>
          </cell>
        </row>
        <row r="28">
          <cell r="B28">
            <v>0.718662412659959</v>
          </cell>
          <cell r="C28">
            <v>0.300277405978412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cen2_ac15p"/>
      <sheetName val="notes"/>
      <sheetName val="actdel_prompt_response"/>
      <sheetName val="inter_system_stats"/>
    </sheetNames>
    <sheetDataSet>
      <sheetData sheetId="0"/>
      <sheetData sheetId="1"/>
      <sheetData sheetId="2"/>
      <sheetData sheetId="3">
        <row r="3">
          <cell r="B3" t="str">
            <v>ac15p</v>
          </cell>
          <cell r="C3" t="str">
            <v>control</v>
          </cell>
        </row>
        <row r="4">
          <cell r="B4">
            <v>0.842837131615738</v>
          </cell>
          <cell r="C4">
            <v>0.814239110206597</v>
          </cell>
        </row>
        <row r="5">
          <cell r="B5">
            <v>0.75574434703051</v>
          </cell>
          <cell r="C5">
            <v>0.490374312148473</v>
          </cell>
        </row>
        <row r="6">
          <cell r="B6">
            <v>0.75246138552499</v>
          </cell>
          <cell r="C6">
            <v>0.511020333673144</v>
          </cell>
        </row>
        <row r="7">
          <cell r="B7">
            <v>0.755239937675953</v>
          </cell>
          <cell r="C7">
            <v>0.732127465170909</v>
          </cell>
        </row>
        <row r="8">
          <cell r="B8">
            <v>0.68196906691827</v>
          </cell>
          <cell r="C8">
            <v>0.504587895177563</v>
          </cell>
        </row>
        <row r="9">
          <cell r="B9">
            <v>0.805094582904182</v>
          </cell>
          <cell r="C9">
            <v>0.622216951394874</v>
          </cell>
        </row>
        <row r="10">
          <cell r="B10">
            <v>0.731449097356676</v>
          </cell>
          <cell r="C10">
            <v>0.568213401724064</v>
          </cell>
        </row>
        <row r="11">
          <cell r="B11">
            <v>0.798699397007465</v>
          </cell>
          <cell r="C11">
            <v>0.41336820596451</v>
          </cell>
        </row>
        <row r="12">
          <cell r="B12">
            <v>0.751181065835833</v>
          </cell>
          <cell r="C12">
            <v>0.469619098748715</v>
          </cell>
        </row>
        <row r="13">
          <cell r="B13">
            <v>0.780317010541866</v>
          </cell>
          <cell r="C13">
            <v>0.702597542452374</v>
          </cell>
        </row>
        <row r="14">
          <cell r="B14">
            <v>0.788964918757002</v>
          </cell>
          <cell r="C14">
            <v>0.535746887825282</v>
          </cell>
        </row>
        <row r="15">
          <cell r="B15">
            <v>0.744429655439828</v>
          </cell>
          <cell r="C15">
            <v>0.616806330672693</v>
          </cell>
        </row>
        <row r="16">
          <cell r="B16">
            <v>0.764347939487069</v>
          </cell>
          <cell r="C16">
            <v>0.526308913298082</v>
          </cell>
        </row>
        <row r="17">
          <cell r="B17">
            <v>0.716647920997565</v>
          </cell>
          <cell r="C17">
            <v>0.427683818632696</v>
          </cell>
        </row>
        <row r="18">
          <cell r="B18">
            <v>0.761929247616581</v>
          </cell>
          <cell r="C18">
            <v>0.575658160345531</v>
          </cell>
        </row>
        <row r="19">
          <cell r="B19">
            <v>0.742748731630287</v>
          </cell>
          <cell r="C19">
            <v>0.577045877569951</v>
          </cell>
        </row>
        <row r="20">
          <cell r="B20">
            <v>0.764209873398772</v>
          </cell>
          <cell r="C20">
            <v>0.651295774227774</v>
          </cell>
        </row>
        <row r="21">
          <cell r="B21">
            <v>0.700796274261234</v>
          </cell>
          <cell r="C21">
            <v>0.599275891539331</v>
          </cell>
        </row>
        <row r="22">
          <cell r="B22">
            <v>0.716284059047156</v>
          </cell>
          <cell r="C22">
            <v>0.50621471844151</v>
          </cell>
        </row>
        <row r="23">
          <cell r="B23">
            <v>0.839023541568098</v>
          </cell>
          <cell r="C23">
            <v>0.478099594542392</v>
          </cell>
        </row>
        <row r="24">
          <cell r="B24">
            <v>0.704024831920364</v>
          </cell>
          <cell r="C24">
            <v>0.382151937725075</v>
          </cell>
        </row>
        <row r="25">
          <cell r="B25">
            <v>0.684998594155911</v>
          </cell>
          <cell r="C25">
            <v>0.428068760639408</v>
          </cell>
        </row>
        <row r="26">
          <cell r="B26">
            <v>0.69681187759039</v>
          </cell>
          <cell r="C26">
            <v>0.344371087443739</v>
          </cell>
        </row>
        <row r="27">
          <cell r="B27">
            <v>0.809836609324266</v>
          </cell>
          <cell r="C27">
            <v>0.582850658814915</v>
          </cell>
        </row>
        <row r="28">
          <cell r="B28">
            <v>0.715111970099327</v>
          </cell>
          <cell r="C28">
            <v>0.365408773309983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cen1_ac15"/>
      <sheetName val="notes"/>
      <sheetName val="actdel_prompt_response"/>
      <sheetName val="inter-system stats"/>
      <sheetName val="std delta(sim)-delta(sim-1)"/>
    </sheetNames>
    <sheetDataSet>
      <sheetData sheetId="0"/>
      <sheetData sheetId="1"/>
      <sheetData sheetId="2"/>
      <sheetData sheetId="3">
        <row r="34">
          <cell r="B34" t="str">
            <v>Hybsem</v>
          </cell>
          <cell r="C34" t="str">
            <v>Hybrid</v>
          </cell>
          <cell r="D34" t="str">
            <v>ac15p</v>
          </cell>
          <cell r="E34" t="str">
            <v>ac15</v>
          </cell>
        </row>
        <row r="35">
          <cell r="B35">
            <v>0.829083516979224</v>
          </cell>
          <cell r="C35">
            <v>0.834308337570909</v>
          </cell>
          <cell r="D35">
            <v>0.820329791398556</v>
          </cell>
          <cell r="E35">
            <v>0.829521350954824</v>
          </cell>
        </row>
        <row r="36">
          <cell r="B36">
            <v>0.766444903472076</v>
          </cell>
          <cell r="C36">
            <v>0.78737808939176</v>
          </cell>
          <cell r="D36">
            <v>0.760208954092368</v>
          </cell>
          <cell r="E36">
            <v>0.735193711695633</v>
          </cell>
        </row>
        <row r="37">
          <cell r="B37">
            <v>0.820814927176212</v>
          </cell>
          <cell r="C37">
            <v>0.823470108869694</v>
          </cell>
          <cell r="D37">
            <v>0.779358920094772</v>
          </cell>
          <cell r="E37">
            <v>0.73805452066822</v>
          </cell>
        </row>
        <row r="38">
          <cell r="B38">
            <v>0.589340681428011</v>
          </cell>
          <cell r="C38">
            <v>0.641382187119465</v>
          </cell>
          <cell r="D38">
            <v>0.655474168574833</v>
          </cell>
          <cell r="E38">
            <v>0.639461451771152</v>
          </cell>
        </row>
        <row r="39">
          <cell r="B39">
            <v>0.549939911322228</v>
          </cell>
          <cell r="C39">
            <v>0.648560742045417</v>
          </cell>
          <cell r="D39">
            <v>0.601488270812317</v>
          </cell>
          <cell r="E39">
            <v>0.601148402331265</v>
          </cell>
        </row>
        <row r="40">
          <cell r="B40">
            <v>0.806301302771949</v>
          </cell>
          <cell r="C40">
            <v>0.737540725804953</v>
          </cell>
          <cell r="D40">
            <v>0.802605111539465</v>
          </cell>
          <cell r="E40">
            <v>0.773499226539065</v>
          </cell>
        </row>
        <row r="41">
          <cell r="B41">
            <v>0.654420747897195</v>
          </cell>
          <cell r="C41">
            <v>0.634968083396197</v>
          </cell>
          <cell r="D41">
            <v>0.648878416428975</v>
          </cell>
          <cell r="E41">
            <v>0.65742523257328</v>
          </cell>
        </row>
        <row r="42">
          <cell r="B42">
            <v>0.747457006954611</v>
          </cell>
          <cell r="C42">
            <v>0.746400854814908</v>
          </cell>
          <cell r="D42">
            <v>0.75255045120181</v>
          </cell>
          <cell r="E42">
            <v>0.712613137045905</v>
          </cell>
        </row>
        <row r="43">
          <cell r="B43">
            <v>0.763154436571465</v>
          </cell>
          <cell r="C43">
            <v>0.688805343346949</v>
          </cell>
          <cell r="D43">
            <v>0.725998440426624</v>
          </cell>
          <cell r="E43">
            <v>0.695082856151577</v>
          </cell>
        </row>
        <row r="44">
          <cell r="B44">
            <v>0.745298826492448</v>
          </cell>
          <cell r="C44">
            <v>0.743639794674361</v>
          </cell>
          <cell r="D44">
            <v>0.706819355320024</v>
          </cell>
          <cell r="E44">
            <v>0.70158644000236</v>
          </cell>
        </row>
        <row r="45">
          <cell r="B45">
            <v>0.703599427390625</v>
          </cell>
          <cell r="C45">
            <v>0.7131914659308</v>
          </cell>
          <cell r="D45">
            <v>0.663884135279099</v>
          </cell>
          <cell r="E45">
            <v>0.697028043689582</v>
          </cell>
        </row>
        <row r="46">
          <cell r="B46">
            <v>0.792291119607581</v>
          </cell>
          <cell r="C46">
            <v>0.767138956921052</v>
          </cell>
          <cell r="D46">
            <v>0.808680515695504</v>
          </cell>
          <cell r="E46">
            <v>0.780558840331467</v>
          </cell>
        </row>
        <row r="47">
          <cell r="B47">
            <v>0.742748844142451</v>
          </cell>
          <cell r="C47">
            <v>0.725689268577004</v>
          </cell>
          <cell r="D47">
            <v>0.697789785928682</v>
          </cell>
          <cell r="E47">
            <v>0.720814394600414</v>
          </cell>
        </row>
        <row r="48">
          <cell r="B48">
            <v>0.730739032742495</v>
          </cell>
          <cell r="C48">
            <v>0.68375138396333</v>
          </cell>
          <cell r="D48">
            <v>0.749649894113733</v>
          </cell>
          <cell r="E48">
            <v>0.740298991398541</v>
          </cell>
        </row>
        <row r="49">
          <cell r="B49">
            <v>0.727501533855859</v>
          </cell>
          <cell r="C49">
            <v>0.778810655140002</v>
          </cell>
          <cell r="D49">
            <v>0.736967328412209</v>
          </cell>
          <cell r="E49">
            <v>0.70744158301379</v>
          </cell>
        </row>
        <row r="50">
          <cell r="B50">
            <v>0.69212024380659</v>
          </cell>
          <cell r="C50">
            <v>0.720712807955728</v>
          </cell>
          <cell r="D50">
            <v>0.764104736117937</v>
          </cell>
          <cell r="E50">
            <v>0.719125866172455</v>
          </cell>
        </row>
        <row r="51">
          <cell r="B51">
            <v>0.719549537838803</v>
          </cell>
          <cell r="C51">
            <v>0.772536760552901</v>
          </cell>
          <cell r="D51">
            <v>0.722501085513047</v>
          </cell>
          <cell r="E51">
            <v>0.718889384668267</v>
          </cell>
        </row>
        <row r="52">
          <cell r="B52">
            <v>0.708540087240829</v>
          </cell>
          <cell r="C52">
            <v>0.705400471101386</v>
          </cell>
          <cell r="D52">
            <v>0.68518214731593</v>
          </cell>
          <cell r="E52">
            <v>0.735022492301164</v>
          </cell>
        </row>
        <row r="53">
          <cell r="B53">
            <v>0.706775862145744</v>
          </cell>
          <cell r="C53">
            <v>0.654030504893449</v>
          </cell>
          <cell r="D53">
            <v>0.57422986602436</v>
          </cell>
          <cell r="E53">
            <v>0.581700376323851</v>
          </cell>
        </row>
        <row r="54">
          <cell r="B54">
            <v>0.810552775268533</v>
          </cell>
          <cell r="C54">
            <v>0.819935063298953</v>
          </cell>
          <cell r="D54">
            <v>0.862814658531392</v>
          </cell>
          <cell r="E54">
            <v>0.849425390022398</v>
          </cell>
        </row>
        <row r="55">
          <cell r="B55">
            <v>0.779651511367528</v>
          </cell>
          <cell r="C55">
            <v>0.775935289730371</v>
          </cell>
          <cell r="D55">
            <v>0.766443599036539</v>
          </cell>
          <cell r="E55">
            <v>0.782107085098168</v>
          </cell>
        </row>
        <row r="56">
          <cell r="B56">
            <v>0.707012650930307</v>
          </cell>
          <cell r="C56">
            <v>0.689306055979394</v>
          </cell>
          <cell r="D56">
            <v>0.757219448945817</v>
          </cell>
          <cell r="E56">
            <v>0.677931474696056</v>
          </cell>
        </row>
        <row r="57">
          <cell r="B57">
            <v>0.759411204953021</v>
          </cell>
          <cell r="C57">
            <v>0.757862366672276</v>
          </cell>
          <cell r="D57">
            <v>0.75138094509243</v>
          </cell>
          <cell r="E57">
            <v>0.722134922473597</v>
          </cell>
        </row>
        <row r="58">
          <cell r="B58">
            <v>0.754622185376853</v>
          </cell>
          <cell r="C58">
            <v>0.706727669319429</v>
          </cell>
          <cell r="D58">
            <v>0.783578798476775</v>
          </cell>
          <cell r="E58">
            <v>0.727810414332614</v>
          </cell>
        </row>
        <row r="59">
          <cell r="B59">
            <v>0.718662412659959</v>
          </cell>
          <cell r="C59">
            <v>0.70629147268637</v>
          </cell>
          <cell r="D59">
            <v>0.690023913451965</v>
          </cell>
          <cell r="E59">
            <v>0.68313653978705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cen2_ac15"/>
      <sheetName val="notes"/>
      <sheetName val="actdel_prompt_response"/>
      <sheetName val="inter_system_stats"/>
      <sheetName val="std delta(sim)-delta(sim-1)"/>
    </sheetNames>
    <sheetDataSet>
      <sheetData sheetId="0"/>
      <sheetData sheetId="1"/>
      <sheetData sheetId="2"/>
      <sheetData sheetId="3">
        <row r="35">
          <cell r="B35" t="str">
            <v>ac15</v>
          </cell>
          <cell r="C35" t="str">
            <v>hybrid</v>
          </cell>
          <cell r="D35" t="str">
            <v>ac15p</v>
          </cell>
          <cell r="E35" t="str">
            <v>hybsem</v>
          </cell>
        </row>
        <row r="36">
          <cell r="B36">
            <v>0.820228412658582</v>
          </cell>
          <cell r="C36">
            <v>0.825587383221469</v>
          </cell>
          <cell r="D36">
            <v>0.842837131615738</v>
          </cell>
          <cell r="E36">
            <v>0.826465743120003</v>
          </cell>
        </row>
        <row r="37">
          <cell r="B37">
            <v>0.764592146543124</v>
          </cell>
          <cell r="C37">
            <v>0.784325401049142</v>
          </cell>
          <cell r="D37">
            <v>0.75574434703051</v>
          </cell>
          <cell r="E37">
            <v>0.760295791016544</v>
          </cell>
        </row>
        <row r="38">
          <cell r="B38">
            <v>0.723011363854634</v>
          </cell>
          <cell r="C38">
            <v>0.74701543366489</v>
          </cell>
          <cell r="D38">
            <v>0.75246138552499</v>
          </cell>
          <cell r="E38">
            <v>0.745513104503565</v>
          </cell>
        </row>
        <row r="39">
          <cell r="B39">
            <v>0.756420441420714</v>
          </cell>
          <cell r="C39">
            <v>0.742572987280356</v>
          </cell>
          <cell r="D39">
            <v>0.755239937675953</v>
          </cell>
          <cell r="E39">
            <v>0.740237977344109</v>
          </cell>
        </row>
        <row r="40">
          <cell r="B40">
            <v>0.620462176144914</v>
          </cell>
          <cell r="C40">
            <v>0.638291604257815</v>
          </cell>
          <cell r="D40">
            <v>0.68196906691827</v>
          </cell>
          <cell r="E40">
            <v>0.701417807349544</v>
          </cell>
        </row>
        <row r="41">
          <cell r="B41">
            <v>0.798549003615991</v>
          </cell>
          <cell r="C41">
            <v>0.770021861028678</v>
          </cell>
          <cell r="D41">
            <v>0.805094582904182</v>
          </cell>
          <cell r="E41">
            <v>0.764412269319662</v>
          </cell>
        </row>
        <row r="42">
          <cell r="B42">
            <v>0.754603762692231</v>
          </cell>
          <cell r="C42">
            <v>0.776708177030339</v>
          </cell>
          <cell r="D42">
            <v>0.731449097356676</v>
          </cell>
          <cell r="E42">
            <v>0.704629188099325</v>
          </cell>
        </row>
        <row r="43">
          <cell r="B43">
            <v>0.786128366374384</v>
          </cell>
          <cell r="C43">
            <v>0.766895136055456</v>
          </cell>
          <cell r="D43">
            <v>0.798699397007465</v>
          </cell>
          <cell r="E43">
            <v>0.77201186291984</v>
          </cell>
        </row>
        <row r="44">
          <cell r="B44">
            <v>0.753257435556755</v>
          </cell>
          <cell r="C44">
            <v>0.726865282761305</v>
          </cell>
          <cell r="D44">
            <v>0.751181065835833</v>
          </cell>
          <cell r="E44">
            <v>0.72188407789367</v>
          </cell>
        </row>
        <row r="45">
          <cell r="B45">
            <v>0.807843832088534</v>
          </cell>
          <cell r="C45">
            <v>0.76670385944117</v>
          </cell>
          <cell r="D45">
            <v>0.780317010541866</v>
          </cell>
          <cell r="E45">
            <v>0.801799093845666</v>
          </cell>
        </row>
        <row r="46">
          <cell r="B46">
            <v>0.778100841853998</v>
          </cell>
          <cell r="C46">
            <v>0.826512142391129</v>
          </cell>
          <cell r="D46">
            <v>0.788964918757002</v>
          </cell>
          <cell r="E46">
            <v>0.82639186986707</v>
          </cell>
        </row>
        <row r="47">
          <cell r="B47">
            <v>0.762452458306693</v>
          </cell>
          <cell r="C47">
            <v>0.762736139690589</v>
          </cell>
          <cell r="D47">
            <v>0.744429655439828</v>
          </cell>
          <cell r="E47">
            <v>0.74557662237038</v>
          </cell>
        </row>
        <row r="48">
          <cell r="B48">
            <v>0.720022272820606</v>
          </cell>
          <cell r="C48">
            <v>0.710160103406143</v>
          </cell>
          <cell r="D48">
            <v>0.764347939487069</v>
          </cell>
          <cell r="E48">
            <v>0.739304791041697</v>
          </cell>
        </row>
        <row r="49">
          <cell r="B49">
            <v>0.738694358646482</v>
          </cell>
          <cell r="C49">
            <v>0.734376384357835</v>
          </cell>
          <cell r="D49">
            <v>0.716647920997565</v>
          </cell>
          <cell r="E49">
            <v>0.716775890381091</v>
          </cell>
        </row>
        <row r="50">
          <cell r="B50">
            <v>0.743421830265577</v>
          </cell>
          <cell r="C50">
            <v>0.756542240061655</v>
          </cell>
          <cell r="D50">
            <v>0.761929247616581</v>
          </cell>
          <cell r="E50">
            <v>0.72335469896996</v>
          </cell>
        </row>
        <row r="51">
          <cell r="B51">
            <v>0.763479689807917</v>
          </cell>
          <cell r="C51">
            <v>0.773732018127407</v>
          </cell>
          <cell r="D51">
            <v>0.742748731630287</v>
          </cell>
          <cell r="E51">
            <v>0.74148150305735</v>
          </cell>
        </row>
        <row r="52">
          <cell r="B52">
            <v>0.744667994911406</v>
          </cell>
          <cell r="C52">
            <v>0.812690613075421</v>
          </cell>
          <cell r="D52">
            <v>0.764209873398772</v>
          </cell>
          <cell r="E52">
            <v>0.782813226803677</v>
          </cell>
        </row>
        <row r="53">
          <cell r="B53">
            <v>0.695089950294851</v>
          </cell>
          <cell r="C53">
            <v>0.726488853152379</v>
          </cell>
          <cell r="D53">
            <v>0.700796274261234</v>
          </cell>
          <cell r="E53">
            <v>0.683924726356955</v>
          </cell>
        </row>
        <row r="54">
          <cell r="B54">
            <v>0.719748414663605</v>
          </cell>
          <cell r="C54">
            <v>0.763300559740396</v>
          </cell>
          <cell r="D54">
            <v>0.716284059047156</v>
          </cell>
          <cell r="E54">
            <v>0.741861628869437</v>
          </cell>
        </row>
        <row r="55">
          <cell r="B55">
            <v>0.850110132917837</v>
          </cell>
          <cell r="C55">
            <v>0.816538134208694</v>
          </cell>
          <cell r="D55">
            <v>0.839023541568098</v>
          </cell>
          <cell r="E55">
            <v>0.861291025455911</v>
          </cell>
        </row>
        <row r="56">
          <cell r="B56">
            <v>0.734658481254958</v>
          </cell>
          <cell r="C56">
            <v>0.643391428768254</v>
          </cell>
          <cell r="D56">
            <v>0.704024831920364</v>
          </cell>
          <cell r="E56">
            <v>0.726997779119958</v>
          </cell>
        </row>
        <row r="57">
          <cell r="B57">
            <v>0.702205596693105</v>
          </cell>
          <cell r="C57">
            <v>0.769255872522075</v>
          </cell>
          <cell r="D57">
            <v>0.684998594155911</v>
          </cell>
          <cell r="E57">
            <v>0.665221956623617</v>
          </cell>
        </row>
        <row r="58">
          <cell r="B58">
            <v>0.723021317867517</v>
          </cell>
          <cell r="C58">
            <v>0.684670543211604</v>
          </cell>
          <cell r="D58">
            <v>0.69681187759039</v>
          </cell>
          <cell r="E58">
            <v>0.761746926827647</v>
          </cell>
        </row>
        <row r="59">
          <cell r="B59">
            <v>0.790978057596565</v>
          </cell>
          <cell r="C59">
            <v>0.758491886581855</v>
          </cell>
          <cell r="D59">
            <v>0.809836609324266</v>
          </cell>
          <cell r="E59">
            <v>0.746216792553118</v>
          </cell>
        </row>
        <row r="60">
          <cell r="B60">
            <v>0.730577483299618</v>
          </cell>
          <cell r="C60">
            <v>0.727230413998473</v>
          </cell>
          <cell r="D60">
            <v>0.715111970099327</v>
          </cell>
          <cell r="E60">
            <v>0.725032419587978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cen3_ac15"/>
      <sheetName val="Notes"/>
      <sheetName val="actdel_prompt_response"/>
      <sheetName val="inter_system_stats"/>
      <sheetName val="std delta(sim)-delta(sim-1)"/>
    </sheetNames>
    <sheetDataSet>
      <sheetData sheetId="0"/>
      <sheetData sheetId="1"/>
      <sheetData sheetId="2"/>
      <sheetData sheetId="3">
        <row r="33">
          <cell r="B33" t="str">
            <v>ac15p</v>
          </cell>
          <cell r="C33" t="str">
            <v>hybrid</v>
          </cell>
          <cell r="D33" t="str">
            <v>hybsem</v>
          </cell>
          <cell r="E33" t="str">
            <v>ac15</v>
          </cell>
        </row>
        <row r="34">
          <cell r="B34">
            <v>0.816612774002254</v>
          </cell>
          <cell r="C34">
            <v>0.815772031466282</v>
          </cell>
          <cell r="D34">
            <v>0.807629702855429</v>
          </cell>
          <cell r="E34">
            <v>0.81564959143364</v>
          </cell>
        </row>
        <row r="35">
          <cell r="B35">
            <v>0.685603988915714</v>
          </cell>
          <cell r="C35">
            <v>0.690178981295079</v>
          </cell>
          <cell r="D35">
            <v>0.738908432891206</v>
          </cell>
          <cell r="E35">
            <v>0.67540263000882</v>
          </cell>
        </row>
        <row r="36">
          <cell r="B36">
            <v>0.692192998668189</v>
          </cell>
          <cell r="C36">
            <v>0.678236595135105</v>
          </cell>
          <cell r="D36">
            <v>0.666482514394955</v>
          </cell>
          <cell r="E36">
            <v>0.657949061396672</v>
          </cell>
        </row>
        <row r="37">
          <cell r="B37">
            <v>0.631090165894541</v>
          </cell>
          <cell r="C37">
            <v>0.599753209767944</v>
          </cell>
          <cell r="D37">
            <v>0.617232795834209</v>
          </cell>
          <cell r="E37">
            <v>0.595152958150236</v>
          </cell>
        </row>
        <row r="38">
          <cell r="B38">
            <v>0.594608889064775</v>
          </cell>
          <cell r="C38">
            <v>0.571410730397255</v>
          </cell>
          <cell r="D38">
            <v>0.610425455654317</v>
          </cell>
          <cell r="E38">
            <v>0.541278025353781</v>
          </cell>
        </row>
        <row r="39">
          <cell r="B39">
            <v>0.67289207367249</v>
          </cell>
          <cell r="C39">
            <v>0.665331994991001</v>
          </cell>
          <cell r="D39">
            <v>0.703303990628902</v>
          </cell>
          <cell r="E39">
            <v>0.694560494716742</v>
          </cell>
        </row>
        <row r="40">
          <cell r="B40">
            <v>0.815471874765396</v>
          </cell>
          <cell r="C40">
            <v>0.834581956795994</v>
          </cell>
          <cell r="D40">
            <v>0.817692017265563</v>
          </cell>
          <cell r="E40">
            <v>0.821209740996496</v>
          </cell>
        </row>
        <row r="41">
          <cell r="B41">
            <v>0.777361261632441</v>
          </cell>
          <cell r="C41">
            <v>0.727191552934014</v>
          </cell>
          <cell r="D41">
            <v>0.762019495081594</v>
          </cell>
          <cell r="E41">
            <v>0.827246504211718</v>
          </cell>
        </row>
        <row r="42">
          <cell r="B42">
            <v>0.692246291421963</v>
          </cell>
          <cell r="C42">
            <v>0.69768144989318</v>
          </cell>
          <cell r="D42">
            <v>0.642354213368125</v>
          </cell>
          <cell r="E42">
            <v>0.676694313663238</v>
          </cell>
        </row>
        <row r="43">
          <cell r="B43">
            <v>0.615841349915757</v>
          </cell>
          <cell r="C43">
            <v>0.619580092617654</v>
          </cell>
          <cell r="D43">
            <v>0.622913061011376</v>
          </cell>
          <cell r="E43">
            <v>0.611313272409236</v>
          </cell>
        </row>
        <row r="44">
          <cell r="B44">
            <v>0.775302494128078</v>
          </cell>
          <cell r="C44">
            <v>0.774921176890618</v>
          </cell>
          <cell r="D44">
            <v>0.771127559172673</v>
          </cell>
          <cell r="E44">
            <v>0.746560934334395</v>
          </cell>
        </row>
        <row r="45">
          <cell r="B45">
            <v>0.745549821920152</v>
          </cell>
          <cell r="C45">
            <v>0.753553709109679</v>
          </cell>
          <cell r="D45">
            <v>0.755700494821908</v>
          </cell>
          <cell r="E45">
            <v>0.708796841206483</v>
          </cell>
        </row>
        <row r="46">
          <cell r="B46">
            <v>0.675936476989854</v>
          </cell>
          <cell r="C46">
            <v>0.672563929439104</v>
          </cell>
          <cell r="D46">
            <v>0.652206493784056</v>
          </cell>
          <cell r="E46">
            <v>0.728278817795678</v>
          </cell>
        </row>
        <row r="47">
          <cell r="B47">
            <v>0.797455345493423</v>
          </cell>
          <cell r="C47">
            <v>0.793428445401866</v>
          </cell>
          <cell r="D47">
            <v>0.774203318401695</v>
          </cell>
          <cell r="E47">
            <v>0.765518878356676</v>
          </cell>
        </row>
        <row r="48">
          <cell r="B48">
            <v>0.831683746706372</v>
          </cell>
          <cell r="C48">
            <v>0.822215644660448</v>
          </cell>
          <cell r="D48">
            <v>0.809939048024508</v>
          </cell>
          <cell r="E48">
            <v>0.814180995864153</v>
          </cell>
        </row>
        <row r="49">
          <cell r="B49">
            <v>0.665915062167674</v>
          </cell>
          <cell r="C49">
            <v>0.635332717811399</v>
          </cell>
          <cell r="D49">
            <v>0.650131632080799</v>
          </cell>
          <cell r="E49">
            <v>0.711762183520106</v>
          </cell>
        </row>
        <row r="50">
          <cell r="B50">
            <v>0.808465032172267</v>
          </cell>
          <cell r="C50">
            <v>0.793594653760174</v>
          </cell>
          <cell r="D50">
            <v>0.797189081830377</v>
          </cell>
          <cell r="E50">
            <v>0.766589952746506</v>
          </cell>
        </row>
        <row r="51">
          <cell r="B51">
            <v>0.702923330052347</v>
          </cell>
          <cell r="C51">
            <v>0.704871448301166</v>
          </cell>
          <cell r="D51">
            <v>0.729185376832561</v>
          </cell>
          <cell r="E51">
            <v>0.744973965638361</v>
          </cell>
        </row>
        <row r="52">
          <cell r="B52">
            <v>0.833849291363568</v>
          </cell>
          <cell r="C52">
            <v>0.807380134018013</v>
          </cell>
          <cell r="D52">
            <v>0.814317443577555</v>
          </cell>
          <cell r="E52">
            <v>0.80774841591924</v>
          </cell>
        </row>
        <row r="53">
          <cell r="B53">
            <v>0.790624245512354</v>
          </cell>
          <cell r="C53">
            <v>0.685839894231455</v>
          </cell>
          <cell r="D53">
            <v>0.726210867823374</v>
          </cell>
          <cell r="E53">
            <v>0.669660142744409</v>
          </cell>
        </row>
        <row r="54">
          <cell r="B54">
            <v>0.730617364036752</v>
          </cell>
          <cell r="C54">
            <v>0.744532936686859</v>
          </cell>
          <cell r="D54">
            <v>0.729028212060252</v>
          </cell>
          <cell r="E54">
            <v>0.646445134849864</v>
          </cell>
        </row>
        <row r="55">
          <cell r="B55">
            <v>0.765208060825559</v>
          </cell>
          <cell r="C55">
            <v>0.793440478998772</v>
          </cell>
          <cell r="D55">
            <v>0.726360545777343</v>
          </cell>
          <cell r="E55">
            <v>0.690845639182806</v>
          </cell>
        </row>
        <row r="56">
          <cell r="B56">
            <v>0.717035427894149</v>
          </cell>
          <cell r="C56">
            <v>0.707901607946691</v>
          </cell>
          <cell r="D56">
            <v>0.697993411397489</v>
          </cell>
          <cell r="E56">
            <v>0.705992721957315</v>
          </cell>
        </row>
        <row r="57">
          <cell r="B57">
            <v>0.730354595976365</v>
          </cell>
          <cell r="C57">
            <v>0.737835538427487</v>
          </cell>
          <cell r="D57">
            <v>0.737397050320407</v>
          </cell>
          <cell r="E57">
            <v>0.72779628492836</v>
          </cell>
        </row>
      </sheetData>
      <sheetData sheetId="4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cen4_ac15"/>
      <sheetName val="notes"/>
      <sheetName val="actdel_prompt_response"/>
      <sheetName val="inter_system_stats"/>
      <sheetName val="delta sims"/>
    </sheetNames>
    <sheetDataSet>
      <sheetData sheetId="0"/>
      <sheetData sheetId="1"/>
      <sheetData sheetId="2"/>
      <sheetData sheetId="3">
        <row r="34">
          <cell r="B34" t="str">
            <v>ac15p</v>
          </cell>
          <cell r="C34" t="str">
            <v>hybrid</v>
          </cell>
          <cell r="D34" t="str">
            <v>hybsem</v>
          </cell>
          <cell r="E34" t="str">
            <v>ac15</v>
          </cell>
        </row>
        <row r="35">
          <cell r="B35">
            <v>0.782943341241136</v>
          </cell>
          <cell r="C35">
            <v>0.796298769133089</v>
          </cell>
          <cell r="D35">
            <v>0.802858105976441</v>
          </cell>
          <cell r="E35">
            <v>0.772576965117032</v>
          </cell>
        </row>
        <row r="36">
          <cell r="B36">
            <v>0.72616787514369</v>
          </cell>
          <cell r="C36">
            <v>0.739558549996658</v>
          </cell>
          <cell r="D36">
            <v>0.723830722485877</v>
          </cell>
          <cell r="E36">
            <v>0.680958683894326</v>
          </cell>
        </row>
        <row r="37">
          <cell r="B37">
            <v>0.762384843564062</v>
          </cell>
          <cell r="C37">
            <v>0.739544897773702</v>
          </cell>
          <cell r="D37">
            <v>0.720096923539769</v>
          </cell>
          <cell r="E37">
            <v>0.771466699638375</v>
          </cell>
        </row>
        <row r="38">
          <cell r="B38">
            <v>0.703293963123335</v>
          </cell>
          <cell r="C38">
            <v>0.743029391601184</v>
          </cell>
          <cell r="D38">
            <v>0.744563645027981</v>
          </cell>
          <cell r="E38">
            <v>0.746803660511214</v>
          </cell>
        </row>
        <row r="39">
          <cell r="B39">
            <v>0.729690702766813</v>
          </cell>
          <cell r="C39">
            <v>0.725502046355756</v>
          </cell>
          <cell r="D39">
            <v>0.67114667173556</v>
          </cell>
          <cell r="E39">
            <v>0.737980761526421</v>
          </cell>
        </row>
        <row r="40">
          <cell r="B40">
            <v>0.752076127330993</v>
          </cell>
          <cell r="C40">
            <v>0.74855685096753</v>
          </cell>
          <cell r="D40">
            <v>0.740698706746506</v>
          </cell>
          <cell r="E40">
            <v>0.69925918619606</v>
          </cell>
        </row>
        <row r="41">
          <cell r="B41">
            <v>0.811772559323065</v>
          </cell>
          <cell r="C41">
            <v>0.734138467252432</v>
          </cell>
          <cell r="D41">
            <v>0.773772436552573</v>
          </cell>
          <cell r="E41">
            <v>0.735139079782349</v>
          </cell>
        </row>
        <row r="42">
          <cell r="B42">
            <v>0.718329243982785</v>
          </cell>
          <cell r="C42">
            <v>0.668701341307149</v>
          </cell>
          <cell r="D42">
            <v>0.669131289751387</v>
          </cell>
          <cell r="E42">
            <v>0.694325378562934</v>
          </cell>
        </row>
        <row r="43">
          <cell r="B43">
            <v>0.750898507673254</v>
          </cell>
          <cell r="C43">
            <v>0.786880036989265</v>
          </cell>
          <cell r="D43">
            <v>0.76936357772334</v>
          </cell>
          <cell r="E43">
            <v>0.754953984633863</v>
          </cell>
        </row>
        <row r="44">
          <cell r="B44">
            <v>0.712335367494729</v>
          </cell>
          <cell r="C44">
            <v>0.80994865911664</v>
          </cell>
          <cell r="D44">
            <v>0.795393600984621</v>
          </cell>
          <cell r="E44">
            <v>0.780131624434666</v>
          </cell>
        </row>
        <row r="45">
          <cell r="B45">
            <v>0.77617002993037</v>
          </cell>
          <cell r="C45">
            <v>0.690171891444283</v>
          </cell>
          <cell r="D45">
            <v>0.750280009673556</v>
          </cell>
          <cell r="E45">
            <v>0.741371410255129</v>
          </cell>
        </row>
        <row r="46">
          <cell r="B46">
            <v>0.770418007906113</v>
          </cell>
          <cell r="C46">
            <v>0.749125347769507</v>
          </cell>
          <cell r="D46">
            <v>0.791112051354437</v>
          </cell>
          <cell r="E46">
            <v>0.752430545440722</v>
          </cell>
        </row>
        <row r="47">
          <cell r="B47">
            <v>0.687181835442281</v>
          </cell>
          <cell r="C47">
            <v>0.677480782400821</v>
          </cell>
          <cell r="D47">
            <v>0.684900718861709</v>
          </cell>
          <cell r="E47">
            <v>0.658697413887377</v>
          </cell>
        </row>
        <row r="48">
          <cell r="B48">
            <v>0.81381364646817</v>
          </cell>
          <cell r="C48">
            <v>0.792919049793641</v>
          </cell>
          <cell r="D48">
            <v>0.81196411023973</v>
          </cell>
          <cell r="E48">
            <v>0.81359317699571</v>
          </cell>
        </row>
        <row r="49">
          <cell r="B49">
            <v>0.78154173279719</v>
          </cell>
          <cell r="C49">
            <v>0.800884410132615</v>
          </cell>
          <cell r="D49">
            <v>0.793315446960825</v>
          </cell>
          <cell r="E49">
            <v>0.75883989362582</v>
          </cell>
        </row>
        <row r="50">
          <cell r="B50">
            <v>0.679973262997131</v>
          </cell>
          <cell r="C50">
            <v>0.645399166816264</v>
          </cell>
          <cell r="D50">
            <v>0.677622741253111</v>
          </cell>
          <cell r="E50">
            <v>0.648642368618967</v>
          </cell>
        </row>
        <row r="51">
          <cell r="B51">
            <v>0.804539740964931</v>
          </cell>
          <cell r="C51">
            <v>0.773016224974695</v>
          </cell>
          <cell r="D51">
            <v>0.775090547764</v>
          </cell>
          <cell r="E51">
            <v>0.779837433316897</v>
          </cell>
        </row>
        <row r="52">
          <cell r="B52">
            <v>0.575788380252692</v>
          </cell>
          <cell r="C52">
            <v>0.583045440245199</v>
          </cell>
          <cell r="D52">
            <v>0.608910195539342</v>
          </cell>
          <cell r="E52">
            <v>0.572089176041892</v>
          </cell>
        </row>
        <row r="53">
          <cell r="B53">
            <v>0.808293439836629</v>
          </cell>
          <cell r="C53">
            <v>0.795481203585273</v>
          </cell>
          <cell r="D53">
            <v>0.816339008116756</v>
          </cell>
          <cell r="E53">
            <v>0.763968943789392</v>
          </cell>
        </row>
        <row r="54">
          <cell r="B54">
            <v>0.631098700615939</v>
          </cell>
          <cell r="C54">
            <v>0.652507768318238</v>
          </cell>
          <cell r="D54">
            <v>0.675912922731983</v>
          </cell>
          <cell r="E54">
            <v>0.624304602360581</v>
          </cell>
        </row>
        <row r="55">
          <cell r="B55">
            <v>0.723521456744309</v>
          </cell>
          <cell r="C55">
            <v>0.613427900388095</v>
          </cell>
          <cell r="D55">
            <v>0.748125732839088</v>
          </cell>
          <cell r="E55">
            <v>0.659893215109107</v>
          </cell>
        </row>
        <row r="56">
          <cell r="B56">
            <v>0.667636089020494</v>
          </cell>
          <cell r="C56">
            <v>0.656999422835807</v>
          </cell>
          <cell r="D56">
            <v>0.66618628675421</v>
          </cell>
          <cell r="E56">
            <v>0.689045902907548</v>
          </cell>
        </row>
        <row r="57">
          <cell r="B57">
            <v>0.729145136576755</v>
          </cell>
          <cell r="C57">
            <v>0.779435389877834</v>
          </cell>
          <cell r="D57">
            <v>0.757211026307674</v>
          </cell>
          <cell r="E57">
            <v>0.746678659986203</v>
          </cell>
        </row>
        <row r="58">
          <cell r="B58">
            <v>0.768909591560026</v>
          </cell>
          <cell r="C58">
            <v>0.795672429591334</v>
          </cell>
          <cell r="D58">
            <v>0.74821765393045</v>
          </cell>
          <cell r="E58">
            <v>0.795702405915841</v>
          </cell>
        </row>
        <row r="59">
          <cell r="B59">
            <v>0.694335761858647</v>
          </cell>
          <cell r="C59">
            <v>0.695664418244049</v>
          </cell>
          <cell r="D59">
            <v>0.748732725295858</v>
          </cell>
          <cell r="E59">
            <v>0.71620655928944</v>
          </cell>
        </row>
      </sheetData>
      <sheetData sheetId="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cen5_ac15"/>
      <sheetName val="Notes"/>
      <sheetName val="actdel_prompt_response"/>
      <sheetName val="inter_system_stats"/>
      <sheetName val="sims"/>
    </sheetNames>
    <sheetDataSet>
      <sheetData sheetId="0"/>
      <sheetData sheetId="1"/>
      <sheetData sheetId="2"/>
      <sheetData sheetId="3">
        <row r="34">
          <cell r="B34" t="str">
            <v>ac15p</v>
          </cell>
          <cell r="C34" t="str">
            <v>hybrid</v>
          </cell>
          <cell r="D34" t="str">
            <v>hybsem</v>
          </cell>
          <cell r="E34" t="str">
            <v>ac15</v>
          </cell>
        </row>
        <row r="35">
          <cell r="B35">
            <v>0.775953672739373</v>
          </cell>
          <cell r="C35">
            <v>0.748858285036974</v>
          </cell>
          <cell r="D35">
            <v>0.760680693780003</v>
          </cell>
          <cell r="E35">
            <v>0.754089393330518</v>
          </cell>
        </row>
        <row r="36">
          <cell r="B36">
            <v>0.742381155272784</v>
          </cell>
          <cell r="C36">
            <v>0.759506316896281</v>
          </cell>
          <cell r="D36">
            <v>0.715154495370581</v>
          </cell>
          <cell r="E36">
            <v>0.776695707387166</v>
          </cell>
        </row>
        <row r="37">
          <cell r="B37">
            <v>0.71959451369822</v>
          </cell>
          <cell r="C37">
            <v>0.715413876782416</v>
          </cell>
          <cell r="D37">
            <v>0.727347354660159</v>
          </cell>
          <cell r="E37">
            <v>0.739989879595545</v>
          </cell>
        </row>
        <row r="38">
          <cell r="B38">
            <v>0.744685778636444</v>
          </cell>
          <cell r="C38">
            <v>0.758348390419844</v>
          </cell>
          <cell r="D38">
            <v>0.733055203580666</v>
          </cell>
          <cell r="E38">
            <v>0.742245918124278</v>
          </cell>
        </row>
        <row r="39">
          <cell r="B39">
            <v>0.810472087374711</v>
          </cell>
          <cell r="C39">
            <v>0.810565062673861</v>
          </cell>
          <cell r="D39">
            <v>0.800065574864508</v>
          </cell>
          <cell r="E39">
            <v>0.807638556331572</v>
          </cell>
        </row>
        <row r="40">
          <cell r="B40">
            <v>0.726316259765409</v>
          </cell>
          <cell r="C40">
            <v>0.742289112695254</v>
          </cell>
          <cell r="D40">
            <v>0.709071195454084</v>
          </cell>
          <cell r="E40">
            <v>0.740162804506617</v>
          </cell>
        </row>
        <row r="41">
          <cell r="B41">
            <v>0.793215439015998</v>
          </cell>
          <cell r="C41">
            <v>0.764250642039974</v>
          </cell>
          <cell r="D41">
            <v>0.774946902661732</v>
          </cell>
          <cell r="E41">
            <v>0.781037553501202</v>
          </cell>
        </row>
        <row r="42">
          <cell r="B42">
            <v>0.704599278382629</v>
          </cell>
          <cell r="C42">
            <v>0.698577720903755</v>
          </cell>
          <cell r="D42">
            <v>0.751587734037397</v>
          </cell>
          <cell r="E42">
            <v>0.696417484151069</v>
          </cell>
        </row>
        <row r="43">
          <cell r="B43">
            <v>0.753231887262209</v>
          </cell>
          <cell r="C43">
            <v>0.766115238968207</v>
          </cell>
          <cell r="D43">
            <v>0.715465626904882</v>
          </cell>
          <cell r="E43">
            <v>0.742251700755494</v>
          </cell>
        </row>
        <row r="44">
          <cell r="B44">
            <v>0.786918063323164</v>
          </cell>
          <cell r="C44">
            <v>0.777924199556208</v>
          </cell>
          <cell r="D44">
            <v>0.793443263941369</v>
          </cell>
          <cell r="E44">
            <v>0.824221753429923</v>
          </cell>
        </row>
        <row r="45">
          <cell r="B45">
            <v>0.757737648671806</v>
          </cell>
          <cell r="C45">
            <v>0.73133786448165</v>
          </cell>
          <cell r="D45">
            <v>0.730863596114826</v>
          </cell>
          <cell r="E45">
            <v>0.706116491876793</v>
          </cell>
        </row>
        <row r="46">
          <cell r="B46">
            <v>0.790488784330214</v>
          </cell>
          <cell r="C46">
            <v>0.761644594705368</v>
          </cell>
          <cell r="D46">
            <v>0.78662472765132</v>
          </cell>
          <cell r="E46">
            <v>0.779947067179795</v>
          </cell>
        </row>
        <row r="47">
          <cell r="B47">
            <v>0.692187737762497</v>
          </cell>
          <cell r="C47">
            <v>0.719429365683328</v>
          </cell>
          <cell r="D47">
            <v>0.686816342783247</v>
          </cell>
          <cell r="E47">
            <v>0.707370269465281</v>
          </cell>
        </row>
        <row r="48">
          <cell r="B48">
            <v>0.689379869171306</v>
          </cell>
          <cell r="C48">
            <v>0.678645514763614</v>
          </cell>
          <cell r="D48">
            <v>0.718410360602762</v>
          </cell>
          <cell r="E48">
            <v>0.682205004410646</v>
          </cell>
        </row>
        <row r="49">
          <cell r="B49">
            <v>0.769786735181106</v>
          </cell>
          <cell r="C49">
            <v>0.704961007003307</v>
          </cell>
          <cell r="D49">
            <v>0.744433669330252</v>
          </cell>
          <cell r="E49">
            <v>0.666685272176504</v>
          </cell>
        </row>
        <row r="50">
          <cell r="B50">
            <v>0.784212018718249</v>
          </cell>
          <cell r="C50">
            <v>0.701208294690294</v>
          </cell>
          <cell r="D50">
            <v>0.717764656873297</v>
          </cell>
          <cell r="E50">
            <v>0.748853205345462</v>
          </cell>
        </row>
        <row r="51">
          <cell r="B51">
            <v>0.741725308103978</v>
          </cell>
          <cell r="C51">
            <v>0.790013915764348</v>
          </cell>
          <cell r="D51">
            <v>0.737447565963683</v>
          </cell>
          <cell r="E51">
            <v>0.742965313065697</v>
          </cell>
        </row>
        <row r="52">
          <cell r="B52">
            <v>0.71842174917648</v>
          </cell>
          <cell r="C52">
            <v>0.717785998437983</v>
          </cell>
          <cell r="D52">
            <v>0.700591538533063</v>
          </cell>
          <cell r="E52">
            <v>0.728588697645091</v>
          </cell>
        </row>
        <row r="53">
          <cell r="B53">
            <v>0.676598731860284</v>
          </cell>
          <cell r="C53">
            <v>0.704767716501297</v>
          </cell>
          <cell r="D53">
            <v>0.678930245127542</v>
          </cell>
          <cell r="E53">
            <v>0.741250956289799</v>
          </cell>
        </row>
        <row r="54">
          <cell r="B54">
            <v>0.629078814128947</v>
          </cell>
          <cell r="C54">
            <v>0.731804893130237</v>
          </cell>
          <cell r="D54">
            <v>0.696243121106112</v>
          </cell>
          <cell r="E54">
            <v>0.722251425300955</v>
          </cell>
        </row>
        <row r="55">
          <cell r="B55">
            <v>0.716426666679795</v>
          </cell>
          <cell r="C55">
            <v>0.766896688339251</v>
          </cell>
          <cell r="D55">
            <v>0.751495467345464</v>
          </cell>
          <cell r="E55">
            <v>0.803210697319553</v>
          </cell>
        </row>
        <row r="56">
          <cell r="B56">
            <v>0.671030917852718</v>
          </cell>
          <cell r="C56">
            <v>0.628025866777813</v>
          </cell>
          <cell r="D56">
            <v>0.66012396246485</v>
          </cell>
          <cell r="E56">
            <v>0.673214279680313</v>
          </cell>
        </row>
        <row r="57">
          <cell r="B57">
            <v>0.727473528774715</v>
          </cell>
          <cell r="C57">
            <v>0.720769368294172</v>
          </cell>
          <cell r="D57">
            <v>0.738555955351407</v>
          </cell>
          <cell r="E57">
            <v>0.723840879104647</v>
          </cell>
        </row>
        <row r="58">
          <cell r="B58">
            <v>0.721776373024424</v>
          </cell>
          <cell r="C58">
            <v>0.722411929605002</v>
          </cell>
          <cell r="D58">
            <v>0.74726844232579</v>
          </cell>
          <cell r="E58">
            <v>0.727564777752726</v>
          </cell>
        </row>
        <row r="59">
          <cell r="B59">
            <v>0.665583111085999</v>
          </cell>
          <cell r="C59">
            <v>0.687879271648785</v>
          </cell>
          <cell r="D59">
            <v>0.70142641264434</v>
          </cell>
          <cell r="E59">
            <v>0.66737838952569</v>
          </cell>
        </row>
      </sheetData>
      <sheetData sheetId="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cen6_ac15"/>
      <sheetName val="notes"/>
      <sheetName val="actdel_prompt_response"/>
      <sheetName val="inter_system_stats"/>
      <sheetName val="sims"/>
    </sheetNames>
    <sheetDataSet>
      <sheetData sheetId="0"/>
      <sheetData sheetId="1"/>
      <sheetData sheetId="2"/>
      <sheetData sheetId="3">
        <row r="34">
          <cell r="B34" t="str">
            <v>ac15p</v>
          </cell>
          <cell r="C34" t="str">
            <v>hybrid</v>
          </cell>
          <cell r="D34" t="str">
            <v>hybsem</v>
          </cell>
          <cell r="E34" t="str">
            <v>ac15</v>
          </cell>
        </row>
        <row r="35">
          <cell r="B35">
            <v>0.790005749889737</v>
          </cell>
          <cell r="C35">
            <v>0.818947298519002</v>
          </cell>
          <cell r="D35">
            <v>0.785168761593727</v>
          </cell>
          <cell r="E35">
            <v>0.823272744718597</v>
          </cell>
        </row>
        <row r="36">
          <cell r="B36">
            <v>0.681735099200446</v>
          </cell>
          <cell r="C36">
            <v>0.726675054349364</v>
          </cell>
          <cell r="D36">
            <v>0.7034443874608</v>
          </cell>
          <cell r="E36">
            <v>0.642199317331402</v>
          </cell>
        </row>
        <row r="37">
          <cell r="B37">
            <v>0.736591542434996</v>
          </cell>
          <cell r="C37">
            <v>0.753823763148008</v>
          </cell>
          <cell r="D37">
            <v>0.735399855829613</v>
          </cell>
          <cell r="E37">
            <v>0.724560029881393</v>
          </cell>
        </row>
        <row r="38">
          <cell r="B38">
            <v>0.65821229308805</v>
          </cell>
          <cell r="C38">
            <v>0.694689160951428</v>
          </cell>
          <cell r="D38">
            <v>0.697297454274584</v>
          </cell>
          <cell r="E38">
            <v>0.708336187220553</v>
          </cell>
        </row>
        <row r="39">
          <cell r="B39">
            <v>0.743184893131854</v>
          </cell>
          <cell r="C39">
            <v>0.750318975083652</v>
          </cell>
          <cell r="D39">
            <v>0.713223127756937</v>
          </cell>
          <cell r="E39">
            <v>0.697620486730694</v>
          </cell>
        </row>
        <row r="40">
          <cell r="B40">
            <v>0.738363300257884</v>
          </cell>
          <cell r="C40">
            <v>0.792897506425522</v>
          </cell>
          <cell r="D40">
            <v>0.767347429776357</v>
          </cell>
          <cell r="E40">
            <v>0.757276291011557</v>
          </cell>
        </row>
        <row r="41">
          <cell r="B41">
            <v>0.802709380775578</v>
          </cell>
          <cell r="C41">
            <v>0.740717063652639</v>
          </cell>
          <cell r="D41">
            <v>0.741214474418534</v>
          </cell>
          <cell r="E41">
            <v>0.758449701833791</v>
          </cell>
        </row>
        <row r="42">
          <cell r="B42">
            <v>0.767137820624339</v>
          </cell>
          <cell r="C42">
            <v>0.701518866188206</v>
          </cell>
          <cell r="D42">
            <v>0.702691804836109</v>
          </cell>
          <cell r="E42">
            <v>0.705275325567815</v>
          </cell>
        </row>
        <row r="43">
          <cell r="B43">
            <v>0.655203842604779</v>
          </cell>
          <cell r="C43">
            <v>0.679408838434061</v>
          </cell>
          <cell r="D43">
            <v>0.676410925873389</v>
          </cell>
          <cell r="E43">
            <v>0.638110457472859</v>
          </cell>
        </row>
        <row r="44">
          <cell r="B44">
            <v>0.700905183166286</v>
          </cell>
          <cell r="C44">
            <v>0.693828339018655</v>
          </cell>
          <cell r="D44">
            <v>0.715155539827357</v>
          </cell>
          <cell r="E44">
            <v>0.718916919696981</v>
          </cell>
        </row>
        <row r="45">
          <cell r="B45">
            <v>0.719629235257693</v>
          </cell>
          <cell r="C45">
            <v>0.714015093691685</v>
          </cell>
          <cell r="D45">
            <v>0.72491699498861</v>
          </cell>
          <cell r="E45">
            <v>0.760910644452133</v>
          </cell>
        </row>
        <row r="46">
          <cell r="B46">
            <v>0.831621410337318</v>
          </cell>
          <cell r="C46">
            <v>0.829353335851788</v>
          </cell>
          <cell r="D46">
            <v>0.844773353099784</v>
          </cell>
          <cell r="E46">
            <v>0.812780603575516</v>
          </cell>
        </row>
        <row r="47">
          <cell r="B47">
            <v>0.709519501585356</v>
          </cell>
          <cell r="C47">
            <v>0.741335114714525</v>
          </cell>
          <cell r="D47">
            <v>0.670771286759802</v>
          </cell>
          <cell r="E47">
            <v>0.721407571089307</v>
          </cell>
        </row>
        <row r="48">
          <cell r="B48">
            <v>0.752588038781123</v>
          </cell>
          <cell r="C48">
            <v>0.777558691836526</v>
          </cell>
          <cell r="D48">
            <v>0.749199345598474</v>
          </cell>
          <cell r="E48">
            <v>0.76471605795332</v>
          </cell>
        </row>
        <row r="49">
          <cell r="B49">
            <v>0.742555870420495</v>
          </cell>
          <cell r="C49">
            <v>0.769655236905789</v>
          </cell>
          <cell r="D49">
            <v>0.710334404151347</v>
          </cell>
          <cell r="E49">
            <v>0.711757961516188</v>
          </cell>
        </row>
        <row r="50">
          <cell r="B50">
            <v>0.626600189640605</v>
          </cell>
          <cell r="C50">
            <v>0.692685234430471</v>
          </cell>
          <cell r="D50">
            <v>0.658233657913275</v>
          </cell>
          <cell r="E50">
            <v>0.636409131350562</v>
          </cell>
        </row>
        <row r="51">
          <cell r="B51">
            <v>0.81814248001184</v>
          </cell>
          <cell r="C51">
            <v>0.805787272798479</v>
          </cell>
          <cell r="D51">
            <v>0.821533014122518</v>
          </cell>
          <cell r="E51">
            <v>0.760684614350216</v>
          </cell>
        </row>
        <row r="52">
          <cell r="B52">
            <v>0.647963419254761</v>
          </cell>
          <cell r="C52">
            <v>0.631093794200336</v>
          </cell>
          <cell r="D52">
            <v>0.654001563002053</v>
          </cell>
          <cell r="E52">
            <v>0.689444509253728</v>
          </cell>
        </row>
        <row r="53">
          <cell r="B53">
            <v>0.643841741383017</v>
          </cell>
          <cell r="C53">
            <v>0.690269162854351</v>
          </cell>
          <cell r="D53">
            <v>0.590768867737282</v>
          </cell>
          <cell r="E53">
            <v>0.699907553556336</v>
          </cell>
        </row>
        <row r="54">
          <cell r="B54">
            <v>0.654547731132537</v>
          </cell>
          <cell r="C54">
            <v>0.697049065043941</v>
          </cell>
          <cell r="D54">
            <v>0.716584963681357</v>
          </cell>
          <cell r="E54">
            <v>0.721470667146881</v>
          </cell>
        </row>
        <row r="55">
          <cell r="B55">
            <v>0.737279793404405</v>
          </cell>
          <cell r="C55">
            <v>0.69517695472312</v>
          </cell>
          <cell r="D55">
            <v>0.669739555124102</v>
          </cell>
          <cell r="E55">
            <v>0.694019107158469</v>
          </cell>
        </row>
        <row r="56">
          <cell r="B56">
            <v>0.741791001479869</v>
          </cell>
          <cell r="C56">
            <v>0.757953803081435</v>
          </cell>
          <cell r="D56">
            <v>0.735555505104196</v>
          </cell>
          <cell r="E56">
            <v>0.755797582220466</v>
          </cell>
        </row>
        <row r="57">
          <cell r="B57">
            <v>0.720324505975325</v>
          </cell>
          <cell r="C57">
            <v>0.663150812819657</v>
          </cell>
          <cell r="D57">
            <v>0.705937576250204</v>
          </cell>
          <cell r="E57">
            <v>0.650885309375863</v>
          </cell>
        </row>
        <row r="58">
          <cell r="B58">
            <v>0.85301227080764</v>
          </cell>
          <cell r="C58">
            <v>0.846569350289584</v>
          </cell>
          <cell r="D58">
            <v>0.821053723330557</v>
          </cell>
          <cell r="E58">
            <v>0.810318587583629</v>
          </cell>
        </row>
        <row r="59">
          <cell r="B59">
            <v>0.727945465577406</v>
          </cell>
          <cell r="C59">
            <v>0.736292798571547</v>
          </cell>
          <cell r="D59">
            <v>0.697201511529907</v>
          </cell>
          <cell r="E59">
            <v>0.756032220349956</v>
          </cell>
        </row>
      </sheetData>
      <sheetData sheetId="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cen7_ac15"/>
      <sheetName val="Notes"/>
      <sheetName val="actdel_prompt_response"/>
      <sheetName val="inter_system_stats"/>
      <sheetName val="simst"/>
    </sheetNames>
    <sheetDataSet>
      <sheetData sheetId="0"/>
      <sheetData sheetId="1"/>
      <sheetData sheetId="2"/>
      <sheetData sheetId="3">
        <row r="31">
          <cell r="B31" t="str">
            <v>ac15p</v>
          </cell>
          <cell r="C31" t="str">
            <v>Hybrid</v>
          </cell>
          <cell r="D31" t="str">
            <v>Hybsem</v>
          </cell>
          <cell r="E31" t="str">
            <v>ac15</v>
          </cell>
        </row>
        <row r="32">
          <cell r="B32">
            <v>0.726604447396414</v>
          </cell>
          <cell r="C32">
            <v>0.745618221992126</v>
          </cell>
          <cell r="D32">
            <v>0.724099533668665</v>
          </cell>
          <cell r="E32">
            <v>0.726072655509358</v>
          </cell>
        </row>
        <row r="33">
          <cell r="B33">
            <v>0.708959829151642</v>
          </cell>
          <cell r="C33">
            <v>0.731965622484604</v>
          </cell>
          <cell r="D33">
            <v>0.690405786547539</v>
          </cell>
          <cell r="E33">
            <v>0.682663698456168</v>
          </cell>
        </row>
        <row r="34">
          <cell r="B34">
            <v>0.656250791088745</v>
          </cell>
          <cell r="C34">
            <v>0.556349411838211</v>
          </cell>
          <cell r="D34">
            <v>0.664424091143094</v>
          </cell>
          <cell r="E34">
            <v>0.615224454504257</v>
          </cell>
        </row>
        <row r="35">
          <cell r="B35">
            <v>0.682480064346605</v>
          </cell>
          <cell r="C35">
            <v>0.746961278269468</v>
          </cell>
          <cell r="D35">
            <v>0.737872088358781</v>
          </cell>
          <cell r="E35">
            <v>0.728618275572537</v>
          </cell>
        </row>
        <row r="36">
          <cell r="B36">
            <v>0.750666088952323</v>
          </cell>
          <cell r="C36">
            <v>0.736303129517049</v>
          </cell>
          <cell r="D36">
            <v>0.731664951542418</v>
          </cell>
          <cell r="E36">
            <v>0.688604056934627</v>
          </cell>
        </row>
        <row r="37">
          <cell r="B37">
            <v>0.690037613967929</v>
          </cell>
          <cell r="C37">
            <v>0.693060520928815</v>
          </cell>
          <cell r="D37">
            <v>0.72767431707301</v>
          </cell>
          <cell r="E37">
            <v>0.669074893749943</v>
          </cell>
        </row>
        <row r="38">
          <cell r="B38">
            <v>0.70889799084929</v>
          </cell>
          <cell r="C38">
            <v>0.748597564255249</v>
          </cell>
          <cell r="D38">
            <v>0.785159172931949</v>
          </cell>
          <cell r="E38">
            <v>0.759372504405003</v>
          </cell>
        </row>
        <row r="39">
          <cell r="B39">
            <v>0.685546620467512</v>
          </cell>
          <cell r="C39">
            <v>0.705165938537343</v>
          </cell>
          <cell r="D39">
            <v>0.699365933104337</v>
          </cell>
          <cell r="E39">
            <v>0.695828504681874</v>
          </cell>
        </row>
        <row r="40">
          <cell r="B40">
            <v>0.727629515141836</v>
          </cell>
          <cell r="C40">
            <v>0.750368716676119</v>
          </cell>
          <cell r="D40">
            <v>0.74686473255493</v>
          </cell>
          <cell r="E40">
            <v>0.779899573323697</v>
          </cell>
        </row>
        <row r="41">
          <cell r="B41">
            <v>0.637485514971611</v>
          </cell>
          <cell r="C41">
            <v>0.682432996770851</v>
          </cell>
          <cell r="D41">
            <v>0.68571667055349</v>
          </cell>
          <cell r="E41">
            <v>0.632572298876227</v>
          </cell>
        </row>
        <row r="42">
          <cell r="B42">
            <v>0.717989456556699</v>
          </cell>
          <cell r="C42">
            <v>0.72387381443217</v>
          </cell>
          <cell r="D42">
            <v>0.765114909147396</v>
          </cell>
          <cell r="E42">
            <v>0.733064212818954</v>
          </cell>
        </row>
        <row r="43">
          <cell r="B43">
            <v>0.770906292597071</v>
          </cell>
          <cell r="C43">
            <v>0.667701763619203</v>
          </cell>
          <cell r="D43">
            <v>0.736644236479232</v>
          </cell>
          <cell r="E43">
            <v>0.693027541837124</v>
          </cell>
        </row>
        <row r="44">
          <cell r="B44">
            <v>0.709827899363474</v>
          </cell>
          <cell r="C44">
            <v>0.72995268032519</v>
          </cell>
          <cell r="D44">
            <v>0.678666511575506</v>
          </cell>
          <cell r="E44">
            <v>0.704438316359018</v>
          </cell>
        </row>
        <row r="45">
          <cell r="B45">
            <v>0.824775999287701</v>
          </cell>
          <cell r="C45">
            <v>0.79516955513513</v>
          </cell>
          <cell r="D45">
            <v>0.800148648147254</v>
          </cell>
          <cell r="E45">
            <v>0.822923799196468</v>
          </cell>
        </row>
        <row r="46">
          <cell r="B46">
            <v>0.611331502918536</v>
          </cell>
          <cell r="C46">
            <v>0.641361051891741</v>
          </cell>
          <cell r="D46">
            <v>0.613656437383168</v>
          </cell>
          <cell r="E46">
            <v>0.598856826351013</v>
          </cell>
        </row>
        <row r="47">
          <cell r="B47">
            <v>0.743473367956861</v>
          </cell>
          <cell r="C47">
            <v>0.758550116405013</v>
          </cell>
          <cell r="D47">
            <v>0.70191452728509</v>
          </cell>
          <cell r="E47">
            <v>0.745885490309946</v>
          </cell>
        </row>
        <row r="48">
          <cell r="B48">
            <v>0.657769103514598</v>
          </cell>
          <cell r="C48">
            <v>0.694176028461883</v>
          </cell>
          <cell r="D48">
            <v>0.696040981259132</v>
          </cell>
          <cell r="E48">
            <v>0.627413040342658</v>
          </cell>
        </row>
        <row r="49">
          <cell r="B49">
            <v>0.7336678926738</v>
          </cell>
          <cell r="C49">
            <v>0.753547411776315</v>
          </cell>
          <cell r="D49">
            <v>0.764111372525898</v>
          </cell>
          <cell r="E49">
            <v>0.764724151507591</v>
          </cell>
        </row>
        <row r="50">
          <cell r="B50">
            <v>0.664769831999005</v>
          </cell>
          <cell r="C50">
            <v>0.718473139733635</v>
          </cell>
          <cell r="D50">
            <v>0.612949588021736</v>
          </cell>
          <cell r="E50">
            <v>0.665442717582544</v>
          </cell>
        </row>
        <row r="51">
          <cell r="B51">
            <v>0.735511761701567</v>
          </cell>
          <cell r="C51">
            <v>0.754538991520845</v>
          </cell>
          <cell r="D51">
            <v>0.761234455225827</v>
          </cell>
          <cell r="E51">
            <v>0.739120010292957</v>
          </cell>
        </row>
        <row r="52">
          <cell r="B52">
            <v>0.715466613809298</v>
          </cell>
          <cell r="C52">
            <v>0.71601754844973</v>
          </cell>
          <cell r="D52">
            <v>0.708545748319991</v>
          </cell>
          <cell r="E52">
            <v>0.740855593294062</v>
          </cell>
        </row>
        <row r="53">
          <cell r="B53">
            <v>0.70902009513028</v>
          </cell>
          <cell r="C53">
            <v>0.751876513039488</v>
          </cell>
          <cell r="D53">
            <v>0.756069449327172</v>
          </cell>
          <cell r="E53">
            <v>0.724986030339445</v>
          </cell>
        </row>
        <row r="54">
          <cell r="B54">
            <v>0.675856447847683</v>
          </cell>
          <cell r="C54">
            <v>0.717330086490848</v>
          </cell>
          <cell r="D54">
            <v>0.671531865451319</v>
          </cell>
          <cell r="E54">
            <v>0.732548067807027</v>
          </cell>
        </row>
        <row r="55">
          <cell r="B55">
            <v>0.770886115042279</v>
          </cell>
          <cell r="C55">
            <v>0.810165160416988</v>
          </cell>
          <cell r="D55">
            <v>0.793327292068252</v>
          </cell>
          <cell r="E55">
            <v>0.810905330263776</v>
          </cell>
        </row>
        <row r="56">
          <cell r="B56">
            <v>0.769586409524463</v>
          </cell>
          <cell r="C56">
            <v>0.72772399535443</v>
          </cell>
          <cell r="D56">
            <v>0.762254565867078</v>
          </cell>
          <cell r="E56">
            <v>0.7452068576726</v>
          </cell>
        </row>
      </sheetData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cen8_ac15"/>
      <sheetName val="Notes"/>
      <sheetName val="actdel_prompt_response"/>
      <sheetName val="inter_system_stats"/>
      <sheetName val="simst"/>
    </sheetNames>
    <sheetDataSet>
      <sheetData sheetId="0"/>
      <sheetData sheetId="1"/>
      <sheetData sheetId="2"/>
      <sheetData sheetId="3">
        <row r="33">
          <cell r="B33" t="str">
            <v>ac15p</v>
          </cell>
          <cell r="C33" t="str">
            <v>hybrid</v>
          </cell>
          <cell r="D33" t="str">
            <v>hybsem</v>
          </cell>
          <cell r="E33" t="str">
            <v>ac15</v>
          </cell>
        </row>
        <row r="34">
          <cell r="B34">
            <v>0.746899633688936</v>
          </cell>
          <cell r="C34">
            <v>0.753427301803647</v>
          </cell>
          <cell r="D34">
            <v>0.726122663610199</v>
          </cell>
          <cell r="E34">
            <v>0.747843022923881</v>
          </cell>
        </row>
        <row r="35">
          <cell r="B35">
            <v>0.760440771561493</v>
          </cell>
          <cell r="C35">
            <v>0.765371582562988</v>
          </cell>
          <cell r="D35">
            <v>0.744387965987341</v>
          </cell>
          <cell r="E35">
            <v>0.748104158889568</v>
          </cell>
        </row>
        <row r="36">
          <cell r="B36">
            <v>0.74542610185569</v>
          </cell>
          <cell r="C36">
            <v>0.753068668844285</v>
          </cell>
          <cell r="D36">
            <v>0.722443262715515</v>
          </cell>
          <cell r="E36">
            <v>0.71984400860707</v>
          </cell>
        </row>
        <row r="37">
          <cell r="B37">
            <v>0.754518286707164</v>
          </cell>
          <cell r="C37">
            <v>0.733184077559232</v>
          </cell>
          <cell r="D37">
            <v>0.706070089408908</v>
          </cell>
          <cell r="E37">
            <v>0.716086647100763</v>
          </cell>
        </row>
        <row r="38">
          <cell r="B38">
            <v>0.818716946973898</v>
          </cell>
          <cell r="C38">
            <v>0.839797661168354</v>
          </cell>
          <cell r="D38">
            <v>0.830465274232832</v>
          </cell>
          <cell r="E38">
            <v>0.762493070097647</v>
          </cell>
        </row>
        <row r="39">
          <cell r="B39">
            <v>0.661475371813803</v>
          </cell>
          <cell r="C39">
            <v>0.620764082289514</v>
          </cell>
          <cell r="D39">
            <v>0.639350566619894</v>
          </cell>
          <cell r="E39">
            <v>0.653519592008403</v>
          </cell>
        </row>
        <row r="40">
          <cell r="B40">
            <v>0.704831094854699</v>
          </cell>
          <cell r="C40">
            <v>0.708249150690089</v>
          </cell>
          <cell r="D40">
            <v>0.74569214122826</v>
          </cell>
          <cell r="E40">
            <v>0.719750136805701</v>
          </cell>
        </row>
        <row r="41">
          <cell r="B41">
            <v>0.775445669459668</v>
          </cell>
          <cell r="C41">
            <v>0.81183171273243</v>
          </cell>
          <cell r="D41">
            <v>0.777583698300188</v>
          </cell>
          <cell r="E41">
            <v>0.778318129572334</v>
          </cell>
        </row>
        <row r="42">
          <cell r="B42">
            <v>0.734922592013555</v>
          </cell>
          <cell r="C42">
            <v>0.717889791117422</v>
          </cell>
          <cell r="D42">
            <v>0.716221981108389</v>
          </cell>
          <cell r="E42">
            <v>0.742397408036601</v>
          </cell>
        </row>
        <row r="43">
          <cell r="B43">
            <v>0.809553468856414</v>
          </cell>
          <cell r="C43">
            <v>0.82670674249406</v>
          </cell>
          <cell r="D43">
            <v>0.789490175348179</v>
          </cell>
          <cell r="E43">
            <v>0.83322558385751</v>
          </cell>
        </row>
        <row r="44">
          <cell r="B44">
            <v>0.736193634280327</v>
          </cell>
          <cell r="C44">
            <v>0.751587201916451</v>
          </cell>
          <cell r="D44">
            <v>0.737754806838827</v>
          </cell>
          <cell r="E44">
            <v>0.717525615290775</v>
          </cell>
        </row>
        <row r="45">
          <cell r="B45">
            <v>0.760450688692101</v>
          </cell>
          <cell r="C45">
            <v>0.767576286083638</v>
          </cell>
          <cell r="D45">
            <v>0.746932692465765</v>
          </cell>
          <cell r="E45">
            <v>0.750832143580771</v>
          </cell>
        </row>
        <row r="46">
          <cell r="B46">
            <v>0.783417145572671</v>
          </cell>
          <cell r="C46">
            <v>0.77472229763671</v>
          </cell>
          <cell r="D46">
            <v>0.743211804362939</v>
          </cell>
          <cell r="E46">
            <v>0.77358788110411</v>
          </cell>
        </row>
        <row r="47">
          <cell r="B47">
            <v>0.736351406600312</v>
          </cell>
          <cell r="C47">
            <v>0.714363998847527</v>
          </cell>
          <cell r="D47">
            <v>0.753566163309058</v>
          </cell>
          <cell r="E47">
            <v>0.746401320572344</v>
          </cell>
        </row>
        <row r="48">
          <cell r="B48">
            <v>0.695164645499178</v>
          </cell>
          <cell r="C48">
            <v>0.714429881453235</v>
          </cell>
          <cell r="D48">
            <v>0.679573608456161</v>
          </cell>
          <cell r="E48">
            <v>0.674899879933738</v>
          </cell>
        </row>
        <row r="49">
          <cell r="B49">
            <v>0.753663706301646</v>
          </cell>
          <cell r="C49">
            <v>0.730575330250292</v>
          </cell>
          <cell r="D49">
            <v>0.732606769576746</v>
          </cell>
          <cell r="E49">
            <v>0.749348200599637</v>
          </cell>
        </row>
        <row r="50">
          <cell r="B50">
            <v>0.75925493365687</v>
          </cell>
          <cell r="C50">
            <v>0.731767373432006</v>
          </cell>
          <cell r="D50">
            <v>0.750546686660056</v>
          </cell>
          <cell r="E50">
            <v>0.784507430286035</v>
          </cell>
        </row>
        <row r="51">
          <cell r="B51">
            <v>0.744001794349238</v>
          </cell>
          <cell r="C51">
            <v>0.715924581106966</v>
          </cell>
          <cell r="D51">
            <v>0.737646756450336</v>
          </cell>
          <cell r="E51">
            <v>0.724125949209616</v>
          </cell>
        </row>
        <row r="52">
          <cell r="B52">
            <v>0.777745722291328</v>
          </cell>
          <cell r="C52">
            <v>0.781932724966578</v>
          </cell>
          <cell r="D52">
            <v>0.770786882499805</v>
          </cell>
          <cell r="E52">
            <v>0.749855438872011</v>
          </cell>
        </row>
        <row r="53">
          <cell r="B53">
            <v>0.784404877175123</v>
          </cell>
          <cell r="C53">
            <v>0.770211516204908</v>
          </cell>
          <cell r="D53">
            <v>0.749337452437493</v>
          </cell>
          <cell r="E53">
            <v>0.776729389363219</v>
          </cell>
        </row>
        <row r="54">
          <cell r="B54">
            <v>0.646558702401536</v>
          </cell>
          <cell r="C54">
            <v>0.65642930221378</v>
          </cell>
          <cell r="D54">
            <v>0.676604991476922</v>
          </cell>
          <cell r="E54">
            <v>0.676636427895576</v>
          </cell>
        </row>
        <row r="55">
          <cell r="B55">
            <v>0.64627244396815</v>
          </cell>
          <cell r="C55">
            <v>0.699675260395181</v>
          </cell>
          <cell r="D55">
            <v>0.690049864977458</v>
          </cell>
          <cell r="E55">
            <v>0.72066031750692</v>
          </cell>
        </row>
        <row r="56">
          <cell r="B56">
            <v>0.72738343602134</v>
          </cell>
          <cell r="C56">
            <v>0.736340390593237</v>
          </cell>
          <cell r="D56">
            <v>0.758614453242321</v>
          </cell>
          <cell r="E56">
            <v>0.772455612590151</v>
          </cell>
        </row>
        <row r="57">
          <cell r="B57">
            <v>0.81572575422772</v>
          </cell>
          <cell r="C57">
            <v>0.808304244936902</v>
          </cell>
          <cell r="D57">
            <v>0.798835137250553</v>
          </cell>
          <cell r="E57">
            <v>0.781238004258282</v>
          </cell>
        </row>
        <row r="58">
          <cell r="B58">
            <v>0.672703350703668</v>
          </cell>
          <cell r="C58">
            <v>0.717501306984114</v>
          </cell>
          <cell r="D58">
            <v>0.734706374670589</v>
          </cell>
          <cell r="E58">
            <v>0.693940210865722</v>
          </cell>
        </row>
      </sheetData>
      <sheetData sheetId="4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ims_per_turn"/>
      <sheetName val="Pivot Table_sims_per_turn_1"/>
      <sheetName val="anchors_raw_information"/>
      <sheetName val="Delta(t)=sim(t)-sim(t-1)"/>
    </sheetNames>
    <sheetDataSet>
      <sheetData sheetId="0"/>
      <sheetData sheetId="1"/>
      <sheetData sheetId="2">
        <row r="261">
          <cell r="G261">
            <v>11</v>
          </cell>
          <cell r="H261">
            <v>3</v>
          </cell>
          <cell r="I261">
            <v>10</v>
          </cell>
          <cell r="J261">
            <v>10</v>
          </cell>
        </row>
        <row r="262">
          <cell r="G262">
            <v>10</v>
          </cell>
          <cell r="H262">
            <v>7</v>
          </cell>
          <cell r="I262">
            <v>8</v>
          </cell>
          <cell r="J262">
            <v>6</v>
          </cell>
        </row>
        <row r="263">
          <cell r="G263">
            <v>2</v>
          </cell>
          <cell r="H263">
            <v>5</v>
          </cell>
          <cell r="I263">
            <v>1</v>
          </cell>
          <cell r="J263">
            <v>0</v>
          </cell>
        </row>
        <row r="264">
          <cell r="G264">
            <v>0</v>
          </cell>
          <cell r="H264">
            <v>19</v>
          </cell>
          <cell r="I264">
            <v>15</v>
          </cell>
          <cell r="J264">
            <v>6</v>
          </cell>
        </row>
        <row r="265">
          <cell r="G265">
            <v>23</v>
          </cell>
          <cell r="H265">
            <v>24</v>
          </cell>
          <cell r="I265">
            <v>20</v>
          </cell>
          <cell r="J265">
            <v>25</v>
          </cell>
        </row>
        <row r="266">
          <cell r="G266">
            <v>3</v>
          </cell>
          <cell r="H266">
            <v>0</v>
          </cell>
          <cell r="I266">
            <v>4</v>
          </cell>
          <cell r="J266">
            <v>3</v>
          </cell>
        </row>
        <row r="267">
          <cell r="G267">
            <v>25</v>
          </cell>
          <cell r="H267">
            <v>25</v>
          </cell>
          <cell r="I267">
            <v>25</v>
          </cell>
          <cell r="J267">
            <v>25</v>
          </cell>
        </row>
        <row r="268">
          <cell r="G268">
            <v>1</v>
          </cell>
          <cell r="H268">
            <v>0</v>
          </cell>
          <cell r="I268">
            <v>0</v>
          </cell>
          <cell r="J268">
            <v>3</v>
          </cell>
        </row>
        <row r="269">
          <cell r="G269">
            <v>25</v>
          </cell>
          <cell r="H269">
            <v>15</v>
          </cell>
          <cell r="I269">
            <v>13</v>
          </cell>
          <cell r="J269">
            <v>22</v>
          </cell>
        </row>
        <row r="270">
          <cell r="G270">
            <v>25</v>
          </cell>
          <cell r="H270">
            <v>23</v>
          </cell>
          <cell r="I270">
            <v>25</v>
          </cell>
          <cell r="J270">
            <v>25</v>
          </cell>
        </row>
        <row r="271">
          <cell r="G271">
            <v>25</v>
          </cell>
          <cell r="H271">
            <v>25</v>
          </cell>
          <cell r="I271">
            <v>25</v>
          </cell>
          <cell r="J271">
            <v>25</v>
          </cell>
        </row>
        <row r="282">
          <cell r="G282">
            <v>11</v>
          </cell>
          <cell r="H282">
            <v>3</v>
          </cell>
          <cell r="I282">
            <v>10</v>
          </cell>
          <cell r="J282">
            <v>10</v>
          </cell>
        </row>
        <row r="283">
          <cell r="G283">
            <v>10</v>
          </cell>
          <cell r="H283">
            <v>7</v>
          </cell>
          <cell r="I283">
            <v>8</v>
          </cell>
          <cell r="J283">
            <v>6</v>
          </cell>
        </row>
        <row r="284">
          <cell r="G284">
            <v>0</v>
          </cell>
          <cell r="H284">
            <v>19</v>
          </cell>
          <cell r="I284">
            <v>15</v>
          </cell>
          <cell r="J284">
            <v>6</v>
          </cell>
        </row>
        <row r="285">
          <cell r="G285">
            <v>23</v>
          </cell>
          <cell r="H285">
            <v>24</v>
          </cell>
          <cell r="I285">
            <v>20</v>
          </cell>
          <cell r="J285">
            <v>25</v>
          </cell>
        </row>
        <row r="286">
          <cell r="G286">
            <v>3</v>
          </cell>
          <cell r="H286">
            <v>0</v>
          </cell>
          <cell r="I286">
            <v>4</v>
          </cell>
          <cell r="J286">
            <v>3</v>
          </cell>
        </row>
        <row r="287">
          <cell r="G287">
            <v>25</v>
          </cell>
          <cell r="H287">
            <v>25</v>
          </cell>
          <cell r="I287">
            <v>25</v>
          </cell>
          <cell r="J287">
            <v>25</v>
          </cell>
        </row>
        <row r="288">
          <cell r="G288">
            <v>25</v>
          </cell>
          <cell r="H288">
            <v>15</v>
          </cell>
          <cell r="I288">
            <v>13</v>
          </cell>
          <cell r="J288">
            <v>22</v>
          </cell>
        </row>
        <row r="289">
          <cell r="G289">
            <v>25</v>
          </cell>
          <cell r="H289">
            <v>23</v>
          </cell>
          <cell r="I289">
            <v>25</v>
          </cell>
          <cell r="J289">
            <v>25</v>
          </cell>
        </row>
        <row r="290">
          <cell r="G290">
            <v>25</v>
          </cell>
          <cell r="H290">
            <v>25</v>
          </cell>
          <cell r="I290">
            <v>25</v>
          </cell>
          <cell r="J290">
            <v>25</v>
          </cell>
        </row>
        <row r="301">
          <cell r="G301">
            <v>11</v>
          </cell>
          <cell r="H301">
            <v>3</v>
          </cell>
          <cell r="I301">
            <v>10</v>
          </cell>
          <cell r="J301">
            <v>10</v>
          </cell>
        </row>
        <row r="302">
          <cell r="G302">
            <v>10</v>
          </cell>
          <cell r="H302">
            <v>7</v>
          </cell>
          <cell r="I302">
            <v>8</v>
          </cell>
          <cell r="J302">
            <v>6</v>
          </cell>
        </row>
        <row r="303">
          <cell r="G303">
            <v>0</v>
          </cell>
          <cell r="H303">
            <v>19</v>
          </cell>
          <cell r="I303">
            <v>15</v>
          </cell>
          <cell r="J303">
            <v>6</v>
          </cell>
        </row>
        <row r="304">
          <cell r="G304">
            <v>23</v>
          </cell>
          <cell r="H304">
            <v>24</v>
          </cell>
          <cell r="I304">
            <v>20</v>
          </cell>
          <cell r="J304">
            <v>25</v>
          </cell>
        </row>
        <row r="305">
          <cell r="G305">
            <v>3</v>
          </cell>
          <cell r="H305">
            <v>0</v>
          </cell>
          <cell r="I305">
            <v>4</v>
          </cell>
          <cell r="J305">
            <v>3</v>
          </cell>
        </row>
        <row r="306">
          <cell r="G306">
            <v>25</v>
          </cell>
          <cell r="H306">
            <v>25</v>
          </cell>
          <cell r="I306">
            <v>25</v>
          </cell>
          <cell r="J306">
            <v>25</v>
          </cell>
        </row>
        <row r="307">
          <cell r="G307">
            <v>25</v>
          </cell>
          <cell r="H307">
            <v>15</v>
          </cell>
          <cell r="I307">
            <v>13</v>
          </cell>
          <cell r="J307">
            <v>22</v>
          </cell>
        </row>
        <row r="308">
          <cell r="G308">
            <v>25</v>
          </cell>
          <cell r="H308">
            <v>23</v>
          </cell>
          <cell r="I308">
            <v>25</v>
          </cell>
          <cell r="J308">
            <v>25</v>
          </cell>
        </row>
      </sheetData>
      <sheetData sheetId="3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ims_per_turn"/>
      <sheetName val="pivot-table sims per turn"/>
      <sheetName val="anchors_raw_information"/>
    </sheetNames>
    <sheetDataSet>
      <sheetData sheetId="0"/>
      <sheetData sheetId="1"/>
      <sheetData sheetId="2">
        <row r="81">
          <cell r="H81">
            <v>20</v>
          </cell>
          <cell r="I81">
            <v>18</v>
          </cell>
          <cell r="J81">
            <v>24</v>
          </cell>
          <cell r="K81">
            <v>17</v>
          </cell>
        </row>
        <row r="82">
          <cell r="H82">
            <v>1</v>
          </cell>
          <cell r="I82">
            <v>1</v>
          </cell>
          <cell r="J82">
            <v>0</v>
          </cell>
          <cell r="K82">
            <v>2</v>
          </cell>
        </row>
        <row r="83">
          <cell r="H83">
            <v>0</v>
          </cell>
          <cell r="I83">
            <v>1</v>
          </cell>
          <cell r="J83">
            <v>2</v>
          </cell>
          <cell r="K83">
            <v>0</v>
          </cell>
        </row>
        <row r="84">
          <cell r="H84">
            <v>6</v>
          </cell>
          <cell r="I84">
            <v>18</v>
          </cell>
          <cell r="J84">
            <v>19</v>
          </cell>
          <cell r="K84">
            <v>10</v>
          </cell>
        </row>
        <row r="85">
          <cell r="H85">
            <v>21</v>
          </cell>
          <cell r="I85">
            <v>16</v>
          </cell>
          <cell r="J85">
            <v>16</v>
          </cell>
          <cell r="K85">
            <v>24</v>
          </cell>
        </row>
        <row r="86">
          <cell r="H86">
            <v>1</v>
          </cell>
          <cell r="I86">
            <v>1</v>
          </cell>
          <cell r="J86">
            <v>1</v>
          </cell>
          <cell r="K86">
            <v>2</v>
          </cell>
        </row>
        <row r="87">
          <cell r="H87">
            <v>25</v>
          </cell>
          <cell r="I87">
            <v>25</v>
          </cell>
          <cell r="J87">
            <v>25</v>
          </cell>
          <cell r="K87">
            <v>25</v>
          </cell>
        </row>
        <row r="88">
          <cell r="H88">
            <v>1</v>
          </cell>
          <cell r="I88">
            <v>0</v>
          </cell>
          <cell r="J88">
            <v>1</v>
          </cell>
          <cell r="K88">
            <v>3</v>
          </cell>
        </row>
        <row r="89">
          <cell r="H89">
            <v>18</v>
          </cell>
          <cell r="I89">
            <v>1</v>
          </cell>
          <cell r="J89">
            <v>2</v>
          </cell>
          <cell r="K89">
            <v>6</v>
          </cell>
        </row>
        <row r="90">
          <cell r="H90">
            <v>24</v>
          </cell>
          <cell r="I90">
            <v>25</v>
          </cell>
          <cell r="J90">
            <v>24</v>
          </cell>
          <cell r="K90">
            <v>25</v>
          </cell>
        </row>
        <row r="91">
          <cell r="H91">
            <v>25</v>
          </cell>
          <cell r="I91">
            <v>25</v>
          </cell>
          <cell r="J91">
            <v>25</v>
          </cell>
          <cell r="K91">
            <v>25</v>
          </cell>
        </row>
        <row r="105">
          <cell r="H105">
            <v>20</v>
          </cell>
          <cell r="I105">
            <v>18</v>
          </cell>
          <cell r="J105">
            <v>24</v>
          </cell>
          <cell r="K105">
            <v>17</v>
          </cell>
          <cell r="L105">
            <v>79</v>
          </cell>
        </row>
        <row r="106">
          <cell r="H106">
            <v>6</v>
          </cell>
          <cell r="I106">
            <v>18</v>
          </cell>
          <cell r="J106">
            <v>19</v>
          </cell>
          <cell r="K106">
            <v>10</v>
          </cell>
          <cell r="L106">
            <v>53</v>
          </cell>
        </row>
        <row r="107">
          <cell r="H107">
            <v>21</v>
          </cell>
          <cell r="I107">
            <v>16</v>
          </cell>
          <cell r="J107">
            <v>16</v>
          </cell>
          <cell r="K107">
            <v>24</v>
          </cell>
          <cell r="L107">
            <v>77</v>
          </cell>
        </row>
        <row r="108">
          <cell r="H108">
            <v>1</v>
          </cell>
          <cell r="I108">
            <v>1</v>
          </cell>
          <cell r="J108">
            <v>1</v>
          </cell>
          <cell r="K108">
            <v>2</v>
          </cell>
          <cell r="L108">
            <v>5</v>
          </cell>
        </row>
        <row r="109">
          <cell r="H109">
            <v>25</v>
          </cell>
          <cell r="I109">
            <v>25</v>
          </cell>
          <cell r="J109">
            <v>25</v>
          </cell>
          <cell r="K109">
            <v>25</v>
          </cell>
          <cell r="L109">
            <v>100</v>
          </cell>
        </row>
        <row r="110">
          <cell r="H110">
            <v>1</v>
          </cell>
          <cell r="I110">
            <v>0</v>
          </cell>
          <cell r="J110">
            <v>1</v>
          </cell>
          <cell r="K110">
            <v>3</v>
          </cell>
          <cell r="L110">
            <v>5</v>
          </cell>
        </row>
        <row r="111">
          <cell r="H111">
            <v>18</v>
          </cell>
          <cell r="I111">
            <v>1</v>
          </cell>
          <cell r="J111">
            <v>2</v>
          </cell>
          <cell r="K111">
            <v>6</v>
          </cell>
          <cell r="L111">
            <v>27</v>
          </cell>
        </row>
        <row r="112">
          <cell r="H112">
            <v>24</v>
          </cell>
          <cell r="I112">
            <v>25</v>
          </cell>
          <cell r="J112">
            <v>24</v>
          </cell>
          <cell r="K112">
            <v>25</v>
          </cell>
          <cell r="L112">
            <v>98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ims_per_turn_scen3"/>
      <sheetName val="pivot_sim_per_turn"/>
      <sheetName val="anchors_raw_information"/>
    </sheetNames>
    <sheetDataSet>
      <sheetData sheetId="0"/>
      <sheetData sheetId="1"/>
      <sheetData sheetId="2">
        <row r="252">
          <cell r="H252">
            <v>13</v>
          </cell>
          <cell r="I252">
            <v>6</v>
          </cell>
          <cell r="J252">
            <v>13</v>
          </cell>
          <cell r="K252">
            <v>13</v>
          </cell>
        </row>
        <row r="253">
          <cell r="H253">
            <v>5</v>
          </cell>
          <cell r="I253">
            <v>1</v>
          </cell>
          <cell r="J253">
            <v>1</v>
          </cell>
          <cell r="K253">
            <v>1</v>
          </cell>
        </row>
        <row r="254">
          <cell r="H254">
            <v>13</v>
          </cell>
          <cell r="I254">
            <v>18</v>
          </cell>
          <cell r="J254">
            <v>13</v>
          </cell>
          <cell r="K254">
            <v>6</v>
          </cell>
        </row>
        <row r="255">
          <cell r="H255">
            <v>1</v>
          </cell>
          <cell r="I255">
            <v>2</v>
          </cell>
          <cell r="J255">
            <v>2</v>
          </cell>
          <cell r="K255">
            <v>0</v>
          </cell>
        </row>
        <row r="256">
          <cell r="H256">
            <v>9</v>
          </cell>
          <cell r="I256">
            <v>19</v>
          </cell>
          <cell r="J256">
            <v>18</v>
          </cell>
          <cell r="K256">
            <v>18</v>
          </cell>
        </row>
        <row r="257">
          <cell r="H257">
            <v>20</v>
          </cell>
          <cell r="I257">
            <v>23</v>
          </cell>
          <cell r="J257">
            <v>23</v>
          </cell>
          <cell r="K257">
            <v>20</v>
          </cell>
        </row>
        <row r="258">
          <cell r="H258">
            <v>7</v>
          </cell>
          <cell r="I258">
            <v>4</v>
          </cell>
          <cell r="J258">
            <v>4</v>
          </cell>
          <cell r="K258">
            <v>7</v>
          </cell>
        </row>
        <row r="259">
          <cell r="H259">
            <v>24</v>
          </cell>
          <cell r="I259">
            <v>22</v>
          </cell>
          <cell r="J259">
            <v>23</v>
          </cell>
          <cell r="K259">
            <v>24</v>
          </cell>
        </row>
        <row r="260">
          <cell r="H260">
            <v>2</v>
          </cell>
          <cell r="I260">
            <v>1</v>
          </cell>
          <cell r="J260">
            <v>1</v>
          </cell>
          <cell r="K260">
            <v>3</v>
          </cell>
        </row>
        <row r="261">
          <cell r="H261">
            <v>18</v>
          </cell>
          <cell r="I261">
            <v>12</v>
          </cell>
          <cell r="J261">
            <v>8</v>
          </cell>
          <cell r="K261">
            <v>12</v>
          </cell>
        </row>
        <row r="262">
          <cell r="H262">
            <v>6</v>
          </cell>
          <cell r="I262">
            <v>12</v>
          </cell>
          <cell r="J262">
            <v>14</v>
          </cell>
          <cell r="K262">
            <v>16</v>
          </cell>
        </row>
        <row r="263">
          <cell r="H263">
            <v>24</v>
          </cell>
          <cell r="I263">
            <v>24</v>
          </cell>
          <cell r="J263">
            <v>24</v>
          </cell>
          <cell r="K263">
            <v>24</v>
          </cell>
        </row>
        <row r="276">
          <cell r="H276">
            <v>13</v>
          </cell>
          <cell r="I276">
            <v>6</v>
          </cell>
          <cell r="J276">
            <v>13</v>
          </cell>
          <cell r="K276">
            <v>13</v>
          </cell>
        </row>
        <row r="277">
          <cell r="H277">
            <v>5</v>
          </cell>
          <cell r="I277">
            <v>1</v>
          </cell>
          <cell r="J277">
            <v>1</v>
          </cell>
          <cell r="K277">
            <v>1</v>
          </cell>
        </row>
        <row r="278">
          <cell r="H278">
            <v>13</v>
          </cell>
          <cell r="I278">
            <v>18</v>
          </cell>
          <cell r="J278">
            <v>13</v>
          </cell>
          <cell r="K278">
            <v>6</v>
          </cell>
        </row>
        <row r="279">
          <cell r="H279">
            <v>9</v>
          </cell>
          <cell r="I279">
            <v>19</v>
          </cell>
          <cell r="J279">
            <v>18</v>
          </cell>
          <cell r="K279">
            <v>18</v>
          </cell>
        </row>
        <row r="280">
          <cell r="H280">
            <v>20</v>
          </cell>
          <cell r="I280">
            <v>23</v>
          </cell>
          <cell r="J280">
            <v>23</v>
          </cell>
          <cell r="K280">
            <v>20</v>
          </cell>
        </row>
        <row r="281">
          <cell r="H281">
            <v>7</v>
          </cell>
          <cell r="I281">
            <v>4</v>
          </cell>
          <cell r="J281">
            <v>4</v>
          </cell>
          <cell r="K281">
            <v>7</v>
          </cell>
        </row>
        <row r="282">
          <cell r="H282">
            <v>24</v>
          </cell>
          <cell r="I282">
            <v>22</v>
          </cell>
          <cell r="J282">
            <v>23</v>
          </cell>
          <cell r="K282">
            <v>24</v>
          </cell>
        </row>
        <row r="283">
          <cell r="H283">
            <v>2</v>
          </cell>
          <cell r="I283">
            <v>1</v>
          </cell>
          <cell r="J283">
            <v>1</v>
          </cell>
          <cell r="K283">
            <v>3</v>
          </cell>
        </row>
        <row r="284">
          <cell r="H284">
            <v>18</v>
          </cell>
          <cell r="I284">
            <v>12</v>
          </cell>
          <cell r="J284">
            <v>8</v>
          </cell>
          <cell r="K284">
            <v>12</v>
          </cell>
        </row>
        <row r="285">
          <cell r="H285">
            <v>6</v>
          </cell>
          <cell r="I285">
            <v>12</v>
          </cell>
          <cell r="J285">
            <v>14</v>
          </cell>
          <cell r="K285">
            <v>16</v>
          </cell>
        </row>
        <row r="286">
          <cell r="H286">
            <v>24</v>
          </cell>
          <cell r="I286">
            <v>24</v>
          </cell>
          <cell r="J286">
            <v>24</v>
          </cell>
          <cell r="K286">
            <v>24</v>
          </cell>
        </row>
        <row r="299">
          <cell r="H299">
            <v>13</v>
          </cell>
          <cell r="I299">
            <v>6</v>
          </cell>
          <cell r="J299">
            <v>13</v>
          </cell>
          <cell r="K299">
            <v>13</v>
          </cell>
        </row>
        <row r="300">
          <cell r="H300">
            <v>5</v>
          </cell>
          <cell r="I300">
            <v>1</v>
          </cell>
          <cell r="J300">
            <v>1</v>
          </cell>
          <cell r="K300">
            <v>1</v>
          </cell>
        </row>
        <row r="301">
          <cell r="H301">
            <v>13</v>
          </cell>
          <cell r="I301">
            <v>18</v>
          </cell>
          <cell r="J301">
            <v>13</v>
          </cell>
          <cell r="K301">
            <v>6</v>
          </cell>
        </row>
        <row r="302">
          <cell r="H302">
            <v>9</v>
          </cell>
          <cell r="I302">
            <v>19</v>
          </cell>
          <cell r="J302">
            <v>18</v>
          </cell>
          <cell r="K302">
            <v>18</v>
          </cell>
        </row>
        <row r="303">
          <cell r="H303">
            <v>20</v>
          </cell>
          <cell r="I303">
            <v>23</v>
          </cell>
          <cell r="J303">
            <v>23</v>
          </cell>
          <cell r="K303">
            <v>20</v>
          </cell>
        </row>
        <row r="304">
          <cell r="H304">
            <v>7</v>
          </cell>
          <cell r="I304">
            <v>4</v>
          </cell>
          <cell r="J304">
            <v>4</v>
          </cell>
          <cell r="K304">
            <v>7</v>
          </cell>
        </row>
        <row r="305">
          <cell r="H305">
            <v>24</v>
          </cell>
          <cell r="I305">
            <v>22</v>
          </cell>
          <cell r="J305">
            <v>23</v>
          </cell>
          <cell r="K305">
            <v>24</v>
          </cell>
        </row>
        <row r="306">
          <cell r="H306">
            <v>2</v>
          </cell>
          <cell r="I306">
            <v>1</v>
          </cell>
          <cell r="J306">
            <v>1</v>
          </cell>
          <cell r="K306">
            <v>3</v>
          </cell>
        </row>
        <row r="307">
          <cell r="H307">
            <v>18</v>
          </cell>
          <cell r="I307">
            <v>12</v>
          </cell>
          <cell r="J307">
            <v>8</v>
          </cell>
          <cell r="K307">
            <v>12</v>
          </cell>
        </row>
        <row r="308">
          <cell r="H308">
            <v>6</v>
          </cell>
          <cell r="I308">
            <v>12</v>
          </cell>
          <cell r="J308">
            <v>14</v>
          </cell>
          <cell r="K308">
            <v>16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ims_per_turn_scen4"/>
      <sheetName val="pivot_sim_per_turn"/>
      <sheetName val="anchors_raw_information"/>
    </sheetNames>
    <sheetDataSet>
      <sheetData sheetId="0"/>
      <sheetData sheetId="1"/>
      <sheetData sheetId="2">
        <row r="262">
          <cell r="I262">
            <v>10</v>
          </cell>
          <cell r="J262">
            <v>5</v>
          </cell>
          <cell r="K262">
            <v>14</v>
          </cell>
          <cell r="L262">
            <v>9</v>
          </cell>
        </row>
        <row r="263">
          <cell r="I263">
            <v>0</v>
          </cell>
          <cell r="J263">
            <v>2</v>
          </cell>
          <cell r="K263">
            <v>0</v>
          </cell>
          <cell r="L263">
            <v>0</v>
          </cell>
        </row>
        <row r="264">
          <cell r="I264">
            <v>12</v>
          </cell>
          <cell r="J264">
            <v>16</v>
          </cell>
          <cell r="K264">
            <v>12</v>
          </cell>
          <cell r="L264">
            <v>11</v>
          </cell>
        </row>
        <row r="265">
          <cell r="I265">
            <v>4</v>
          </cell>
          <cell r="J265">
            <v>13</v>
          </cell>
          <cell r="K265">
            <v>10</v>
          </cell>
          <cell r="L265">
            <v>7</v>
          </cell>
        </row>
        <row r="266">
          <cell r="I266">
            <v>21</v>
          </cell>
          <cell r="J266">
            <v>20</v>
          </cell>
          <cell r="K266">
            <v>18</v>
          </cell>
          <cell r="L266">
            <v>21</v>
          </cell>
        </row>
        <row r="267">
          <cell r="I267">
            <v>14</v>
          </cell>
          <cell r="J267">
            <v>18</v>
          </cell>
          <cell r="K267">
            <v>18</v>
          </cell>
          <cell r="L267">
            <v>22</v>
          </cell>
        </row>
        <row r="268">
          <cell r="I268">
            <v>6</v>
          </cell>
          <cell r="J268">
            <v>7</v>
          </cell>
          <cell r="K268">
            <v>9</v>
          </cell>
          <cell r="L268">
            <v>3</v>
          </cell>
        </row>
        <row r="269">
          <cell r="I269">
            <v>25</v>
          </cell>
          <cell r="J269">
            <v>25</v>
          </cell>
          <cell r="K269">
            <v>25</v>
          </cell>
          <cell r="L269">
            <v>25</v>
          </cell>
        </row>
        <row r="270">
          <cell r="I270">
            <v>2</v>
          </cell>
          <cell r="J270">
            <v>0</v>
          </cell>
          <cell r="K270">
            <v>0</v>
          </cell>
          <cell r="L270">
            <v>3</v>
          </cell>
        </row>
        <row r="271">
          <cell r="I271">
            <v>25</v>
          </cell>
          <cell r="J271">
            <v>8</v>
          </cell>
          <cell r="K271">
            <v>11</v>
          </cell>
          <cell r="L271">
            <v>14</v>
          </cell>
        </row>
        <row r="272">
          <cell r="I272">
            <v>6</v>
          </cell>
          <cell r="J272">
            <v>6</v>
          </cell>
          <cell r="K272">
            <v>5</v>
          </cell>
          <cell r="L272">
            <v>10</v>
          </cell>
        </row>
        <row r="273">
          <cell r="I273">
            <v>25</v>
          </cell>
          <cell r="J273">
            <v>25</v>
          </cell>
          <cell r="K273">
            <v>25</v>
          </cell>
          <cell r="L273">
            <v>25</v>
          </cell>
        </row>
        <row r="288">
          <cell r="I288">
            <v>10</v>
          </cell>
          <cell r="J288">
            <v>5</v>
          </cell>
          <cell r="K288">
            <v>14</v>
          </cell>
          <cell r="L288">
            <v>9</v>
          </cell>
        </row>
        <row r="289">
          <cell r="I289">
            <v>12</v>
          </cell>
          <cell r="J289">
            <v>16</v>
          </cell>
          <cell r="K289">
            <v>12</v>
          </cell>
          <cell r="L289">
            <v>11</v>
          </cell>
        </row>
        <row r="290">
          <cell r="I290">
            <v>4</v>
          </cell>
          <cell r="J290">
            <v>13</v>
          </cell>
          <cell r="K290">
            <v>10</v>
          </cell>
          <cell r="L290">
            <v>7</v>
          </cell>
        </row>
        <row r="291">
          <cell r="I291">
            <v>21</v>
          </cell>
          <cell r="J291">
            <v>20</v>
          </cell>
          <cell r="K291">
            <v>18</v>
          </cell>
          <cell r="L291">
            <v>21</v>
          </cell>
        </row>
        <row r="292">
          <cell r="I292">
            <v>14</v>
          </cell>
          <cell r="J292">
            <v>18</v>
          </cell>
          <cell r="K292">
            <v>18</v>
          </cell>
          <cell r="L292">
            <v>22</v>
          </cell>
        </row>
        <row r="293">
          <cell r="I293">
            <v>6</v>
          </cell>
          <cell r="J293">
            <v>7</v>
          </cell>
          <cell r="K293">
            <v>9</v>
          </cell>
          <cell r="L293">
            <v>3</v>
          </cell>
        </row>
        <row r="294">
          <cell r="I294">
            <v>25</v>
          </cell>
          <cell r="J294">
            <v>25</v>
          </cell>
          <cell r="K294">
            <v>25</v>
          </cell>
          <cell r="L294">
            <v>25</v>
          </cell>
        </row>
        <row r="295">
          <cell r="I295">
            <v>2</v>
          </cell>
          <cell r="J295">
            <v>0</v>
          </cell>
          <cell r="K295">
            <v>0</v>
          </cell>
          <cell r="L295">
            <v>3</v>
          </cell>
        </row>
        <row r="296">
          <cell r="I296">
            <v>25</v>
          </cell>
          <cell r="J296">
            <v>8</v>
          </cell>
          <cell r="K296">
            <v>11</v>
          </cell>
          <cell r="L296">
            <v>14</v>
          </cell>
        </row>
        <row r="297">
          <cell r="I297">
            <v>6</v>
          </cell>
          <cell r="J297">
            <v>6</v>
          </cell>
          <cell r="K297">
            <v>5</v>
          </cell>
          <cell r="L297">
            <v>10</v>
          </cell>
        </row>
        <row r="298">
          <cell r="I298">
            <v>25</v>
          </cell>
          <cell r="J298">
            <v>25</v>
          </cell>
          <cell r="K298">
            <v>25</v>
          </cell>
          <cell r="L298">
            <v>25</v>
          </cell>
        </row>
        <row r="313">
          <cell r="I313">
            <v>10</v>
          </cell>
          <cell r="J313">
            <v>5</v>
          </cell>
          <cell r="K313">
            <v>14</v>
          </cell>
          <cell r="L313">
            <v>9</v>
          </cell>
        </row>
        <row r="314">
          <cell r="I314">
            <v>12</v>
          </cell>
          <cell r="J314">
            <v>16</v>
          </cell>
          <cell r="K314">
            <v>12</v>
          </cell>
          <cell r="L314">
            <v>11</v>
          </cell>
        </row>
        <row r="315">
          <cell r="I315">
            <v>4</v>
          </cell>
          <cell r="J315">
            <v>13</v>
          </cell>
          <cell r="K315">
            <v>10</v>
          </cell>
          <cell r="L315">
            <v>7</v>
          </cell>
        </row>
        <row r="316">
          <cell r="I316">
            <v>21</v>
          </cell>
          <cell r="J316">
            <v>20</v>
          </cell>
          <cell r="K316">
            <v>18</v>
          </cell>
          <cell r="L316">
            <v>21</v>
          </cell>
        </row>
        <row r="317">
          <cell r="I317">
            <v>14</v>
          </cell>
          <cell r="J317">
            <v>18</v>
          </cell>
          <cell r="K317">
            <v>18</v>
          </cell>
          <cell r="L317">
            <v>22</v>
          </cell>
        </row>
        <row r="318">
          <cell r="I318">
            <v>6</v>
          </cell>
          <cell r="J318">
            <v>7</v>
          </cell>
          <cell r="K318">
            <v>9</v>
          </cell>
          <cell r="L318">
            <v>3</v>
          </cell>
        </row>
        <row r="319">
          <cell r="I319">
            <v>25</v>
          </cell>
          <cell r="J319">
            <v>25</v>
          </cell>
          <cell r="K319">
            <v>25</v>
          </cell>
          <cell r="L319">
            <v>25</v>
          </cell>
        </row>
        <row r="320">
          <cell r="I320">
            <v>25</v>
          </cell>
          <cell r="J320">
            <v>8</v>
          </cell>
          <cell r="K320">
            <v>11</v>
          </cell>
          <cell r="L320">
            <v>14</v>
          </cell>
        </row>
        <row r="321">
          <cell r="I321">
            <v>6</v>
          </cell>
          <cell r="J321">
            <v>6</v>
          </cell>
          <cell r="K321">
            <v>5</v>
          </cell>
          <cell r="L321">
            <v>10</v>
          </cell>
        </row>
        <row r="322">
          <cell r="I322">
            <v>25</v>
          </cell>
          <cell r="J322">
            <v>25</v>
          </cell>
          <cell r="K322">
            <v>25</v>
          </cell>
          <cell r="L322">
            <v>25</v>
          </cell>
        </row>
        <row r="336">
          <cell r="I336">
            <v>10</v>
          </cell>
          <cell r="J336">
            <v>5</v>
          </cell>
          <cell r="K336">
            <v>14</v>
          </cell>
          <cell r="L336">
            <v>9</v>
          </cell>
        </row>
        <row r="337">
          <cell r="I337">
            <v>12</v>
          </cell>
          <cell r="J337">
            <v>16</v>
          </cell>
          <cell r="K337">
            <v>12</v>
          </cell>
          <cell r="L337">
            <v>11</v>
          </cell>
        </row>
        <row r="338">
          <cell r="I338">
            <v>4</v>
          </cell>
          <cell r="J338">
            <v>13</v>
          </cell>
          <cell r="K338">
            <v>10</v>
          </cell>
          <cell r="L338">
            <v>7</v>
          </cell>
        </row>
        <row r="339">
          <cell r="I339">
            <v>21</v>
          </cell>
          <cell r="J339">
            <v>20</v>
          </cell>
          <cell r="K339">
            <v>18</v>
          </cell>
          <cell r="L339">
            <v>21</v>
          </cell>
        </row>
        <row r="340">
          <cell r="I340">
            <v>14</v>
          </cell>
          <cell r="J340">
            <v>18</v>
          </cell>
          <cell r="K340">
            <v>18</v>
          </cell>
          <cell r="L340">
            <v>22</v>
          </cell>
        </row>
        <row r="341">
          <cell r="I341">
            <v>6</v>
          </cell>
          <cell r="J341">
            <v>7</v>
          </cell>
          <cell r="K341">
            <v>9</v>
          </cell>
          <cell r="L341">
            <v>3</v>
          </cell>
        </row>
        <row r="342">
          <cell r="I342">
            <v>25</v>
          </cell>
          <cell r="J342">
            <v>25</v>
          </cell>
          <cell r="K342">
            <v>25</v>
          </cell>
          <cell r="L342">
            <v>25</v>
          </cell>
        </row>
        <row r="343">
          <cell r="I343">
            <v>25</v>
          </cell>
          <cell r="J343">
            <v>8</v>
          </cell>
          <cell r="K343">
            <v>11</v>
          </cell>
          <cell r="L343">
            <v>14</v>
          </cell>
        </row>
        <row r="344">
          <cell r="I344">
            <v>6</v>
          </cell>
          <cell r="J344">
            <v>6</v>
          </cell>
          <cell r="K344">
            <v>5</v>
          </cell>
          <cell r="L344">
            <v>10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ims_per_turn_scen5"/>
      <sheetName val="pivot_sim_per_turn"/>
      <sheetName val="amchors_raw_information"/>
    </sheetNames>
    <sheetDataSet>
      <sheetData sheetId="0"/>
      <sheetData sheetId="1"/>
      <sheetData sheetId="2">
        <row r="277">
          <cell r="H277">
            <v>16</v>
          </cell>
          <cell r="I277">
            <v>7</v>
          </cell>
          <cell r="J277">
            <v>13</v>
          </cell>
          <cell r="K277">
            <v>13</v>
          </cell>
        </row>
        <row r="278">
          <cell r="H278">
            <v>3</v>
          </cell>
          <cell r="I278">
            <v>4</v>
          </cell>
          <cell r="J278">
            <v>4</v>
          </cell>
          <cell r="K278">
            <v>3</v>
          </cell>
        </row>
        <row r="279">
          <cell r="H279">
            <v>4</v>
          </cell>
          <cell r="I279">
            <v>0</v>
          </cell>
          <cell r="J279">
            <v>0</v>
          </cell>
          <cell r="K279">
            <v>1</v>
          </cell>
        </row>
        <row r="280">
          <cell r="H280">
            <v>4</v>
          </cell>
          <cell r="I280">
            <v>5</v>
          </cell>
          <cell r="J280">
            <v>3</v>
          </cell>
          <cell r="K280">
            <v>7</v>
          </cell>
        </row>
        <row r="281">
          <cell r="H281">
            <v>4</v>
          </cell>
          <cell r="I281">
            <v>17</v>
          </cell>
          <cell r="J281">
            <v>15</v>
          </cell>
          <cell r="K281">
            <v>4</v>
          </cell>
        </row>
        <row r="282">
          <cell r="H282">
            <v>4</v>
          </cell>
          <cell r="I282">
            <v>19</v>
          </cell>
          <cell r="J282">
            <v>21</v>
          </cell>
          <cell r="K282">
            <v>16</v>
          </cell>
        </row>
        <row r="283">
          <cell r="H283">
            <v>18</v>
          </cell>
          <cell r="I283">
            <v>17</v>
          </cell>
          <cell r="J283">
            <v>14</v>
          </cell>
          <cell r="K283">
            <v>18</v>
          </cell>
        </row>
        <row r="284">
          <cell r="H284">
            <v>3</v>
          </cell>
          <cell r="I284">
            <v>2</v>
          </cell>
          <cell r="J284">
            <v>8</v>
          </cell>
          <cell r="K284">
            <v>2</v>
          </cell>
        </row>
        <row r="285">
          <cell r="H285">
            <v>21</v>
          </cell>
          <cell r="I285">
            <v>20</v>
          </cell>
          <cell r="J285">
            <v>19</v>
          </cell>
          <cell r="K285">
            <v>17</v>
          </cell>
        </row>
        <row r="286">
          <cell r="H286">
            <v>5</v>
          </cell>
          <cell r="I286">
            <v>3</v>
          </cell>
          <cell r="J286">
            <v>1</v>
          </cell>
          <cell r="K286">
            <v>8</v>
          </cell>
        </row>
        <row r="287">
          <cell r="H287">
            <v>18</v>
          </cell>
          <cell r="I287">
            <v>6</v>
          </cell>
          <cell r="J287">
            <v>5</v>
          </cell>
          <cell r="K287">
            <v>11</v>
          </cell>
        </row>
        <row r="288">
          <cell r="H288">
            <v>25</v>
          </cell>
          <cell r="I288">
            <v>25</v>
          </cell>
          <cell r="J288">
            <v>22</v>
          </cell>
          <cell r="K288">
            <v>25</v>
          </cell>
        </row>
        <row r="289">
          <cell r="H289">
            <v>25</v>
          </cell>
          <cell r="I289">
            <v>25</v>
          </cell>
          <cell r="J289">
            <v>25</v>
          </cell>
          <cell r="K289">
            <v>25</v>
          </cell>
        </row>
        <row r="304">
          <cell r="H304">
            <v>16</v>
          </cell>
          <cell r="I304">
            <v>7</v>
          </cell>
          <cell r="J304">
            <v>13</v>
          </cell>
          <cell r="K304">
            <v>13</v>
          </cell>
        </row>
        <row r="305">
          <cell r="H305">
            <v>3</v>
          </cell>
          <cell r="I305">
            <v>4</v>
          </cell>
          <cell r="J305">
            <v>4</v>
          </cell>
          <cell r="K305">
            <v>3</v>
          </cell>
        </row>
        <row r="306">
          <cell r="H306">
            <v>4</v>
          </cell>
          <cell r="I306">
            <v>5</v>
          </cell>
          <cell r="J306">
            <v>3</v>
          </cell>
          <cell r="K306">
            <v>7</v>
          </cell>
        </row>
        <row r="307">
          <cell r="H307">
            <v>4</v>
          </cell>
          <cell r="I307">
            <v>17</v>
          </cell>
          <cell r="J307">
            <v>15</v>
          </cell>
          <cell r="K307">
            <v>4</v>
          </cell>
        </row>
        <row r="308">
          <cell r="H308">
            <v>4</v>
          </cell>
          <cell r="I308">
            <v>19</v>
          </cell>
          <cell r="J308">
            <v>21</v>
          </cell>
          <cell r="K308">
            <v>16</v>
          </cell>
        </row>
        <row r="309">
          <cell r="H309">
            <v>18</v>
          </cell>
          <cell r="I309">
            <v>17</v>
          </cell>
          <cell r="J309">
            <v>14</v>
          </cell>
          <cell r="K309">
            <v>18</v>
          </cell>
        </row>
        <row r="310">
          <cell r="H310">
            <v>3</v>
          </cell>
          <cell r="I310">
            <v>2</v>
          </cell>
          <cell r="J310">
            <v>8</v>
          </cell>
          <cell r="K310">
            <v>2</v>
          </cell>
        </row>
        <row r="311">
          <cell r="H311">
            <v>21</v>
          </cell>
          <cell r="I311">
            <v>20</v>
          </cell>
          <cell r="J311">
            <v>19</v>
          </cell>
          <cell r="K311">
            <v>17</v>
          </cell>
        </row>
        <row r="312">
          <cell r="H312">
            <v>5</v>
          </cell>
          <cell r="I312">
            <v>3</v>
          </cell>
          <cell r="J312">
            <v>1</v>
          </cell>
          <cell r="K312">
            <v>8</v>
          </cell>
        </row>
        <row r="313">
          <cell r="H313">
            <v>18</v>
          </cell>
          <cell r="I313">
            <v>6</v>
          </cell>
          <cell r="J313">
            <v>5</v>
          </cell>
          <cell r="K313">
            <v>11</v>
          </cell>
        </row>
        <row r="314">
          <cell r="H314">
            <v>25</v>
          </cell>
          <cell r="I314">
            <v>25</v>
          </cell>
          <cell r="J314">
            <v>22</v>
          </cell>
          <cell r="K314">
            <v>25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ims_per_turn_scen6"/>
      <sheetName val="pivot_sim_per_turn"/>
      <sheetName val="anchor_raw_information"/>
    </sheetNames>
    <sheetDataSet>
      <sheetData sheetId="0"/>
      <sheetData sheetId="1"/>
      <sheetData sheetId="2">
        <row r="227">
          <cell r="G227">
            <v>13</v>
          </cell>
          <cell r="H227">
            <v>13</v>
          </cell>
          <cell r="I227">
            <v>18</v>
          </cell>
          <cell r="J227">
            <v>10</v>
          </cell>
        </row>
        <row r="228">
          <cell r="G228">
            <v>9</v>
          </cell>
          <cell r="H228">
            <v>3</v>
          </cell>
          <cell r="I228">
            <v>2</v>
          </cell>
          <cell r="J228">
            <v>1</v>
          </cell>
        </row>
        <row r="229">
          <cell r="G229">
            <v>13</v>
          </cell>
          <cell r="H229">
            <v>12</v>
          </cell>
          <cell r="I229">
            <v>13</v>
          </cell>
          <cell r="J229">
            <v>14</v>
          </cell>
        </row>
        <row r="230">
          <cell r="G230">
            <v>2</v>
          </cell>
          <cell r="H230">
            <v>3</v>
          </cell>
          <cell r="I230">
            <v>2</v>
          </cell>
          <cell r="J230">
            <v>6</v>
          </cell>
        </row>
        <row r="231">
          <cell r="G231">
            <v>3</v>
          </cell>
          <cell r="H231">
            <v>5</v>
          </cell>
          <cell r="I231">
            <v>5</v>
          </cell>
          <cell r="J231">
            <v>2</v>
          </cell>
        </row>
        <row r="232">
          <cell r="G232">
            <v>3</v>
          </cell>
          <cell r="H232">
            <v>11</v>
          </cell>
          <cell r="I232">
            <v>10</v>
          </cell>
          <cell r="J232">
            <v>10</v>
          </cell>
        </row>
        <row r="233">
          <cell r="G233">
            <v>22</v>
          </cell>
          <cell r="H233">
            <v>20</v>
          </cell>
          <cell r="I233">
            <v>19</v>
          </cell>
          <cell r="J233">
            <v>21</v>
          </cell>
        </row>
        <row r="234">
          <cell r="G234">
            <v>1</v>
          </cell>
          <cell r="H234">
            <v>1</v>
          </cell>
          <cell r="I234">
            <v>0</v>
          </cell>
          <cell r="J234">
            <v>2</v>
          </cell>
        </row>
        <row r="235">
          <cell r="G235">
            <v>19</v>
          </cell>
          <cell r="H235">
            <v>14</v>
          </cell>
          <cell r="I235">
            <v>17</v>
          </cell>
          <cell r="J235">
            <v>17</v>
          </cell>
        </row>
        <row r="236">
          <cell r="G236">
            <v>14</v>
          </cell>
          <cell r="H236">
            <v>6</v>
          </cell>
          <cell r="I236">
            <v>4</v>
          </cell>
          <cell r="J236">
            <v>18</v>
          </cell>
        </row>
        <row r="237">
          <cell r="G237">
            <v>25</v>
          </cell>
          <cell r="H237">
            <v>25</v>
          </cell>
          <cell r="I237">
            <v>25</v>
          </cell>
          <cell r="J237">
            <v>25</v>
          </cell>
        </row>
        <row r="253">
          <cell r="G253">
            <v>13</v>
          </cell>
          <cell r="H253">
            <v>13</v>
          </cell>
          <cell r="I253">
            <v>18</v>
          </cell>
          <cell r="J253">
            <v>10</v>
          </cell>
        </row>
        <row r="254">
          <cell r="G254">
            <v>9</v>
          </cell>
          <cell r="H254">
            <v>3</v>
          </cell>
          <cell r="I254">
            <v>2</v>
          </cell>
          <cell r="J254">
            <v>1</v>
          </cell>
        </row>
        <row r="255">
          <cell r="G255">
            <v>13</v>
          </cell>
          <cell r="H255">
            <v>12</v>
          </cell>
          <cell r="I255">
            <v>13</v>
          </cell>
          <cell r="J255">
            <v>14</v>
          </cell>
        </row>
        <row r="256">
          <cell r="G256">
            <v>2</v>
          </cell>
          <cell r="H256">
            <v>3</v>
          </cell>
          <cell r="I256">
            <v>2</v>
          </cell>
          <cell r="J256">
            <v>6</v>
          </cell>
        </row>
        <row r="257">
          <cell r="G257">
            <v>3</v>
          </cell>
          <cell r="H257">
            <v>5</v>
          </cell>
          <cell r="I257">
            <v>5</v>
          </cell>
          <cell r="J257">
            <v>2</v>
          </cell>
        </row>
        <row r="258">
          <cell r="G258">
            <v>3</v>
          </cell>
          <cell r="H258">
            <v>11</v>
          </cell>
          <cell r="I258">
            <v>10</v>
          </cell>
          <cell r="J258">
            <v>10</v>
          </cell>
        </row>
        <row r="259">
          <cell r="G259">
            <v>22</v>
          </cell>
          <cell r="H259">
            <v>20</v>
          </cell>
          <cell r="I259">
            <v>19</v>
          </cell>
          <cell r="J259">
            <v>21</v>
          </cell>
        </row>
        <row r="260">
          <cell r="G260">
            <v>19</v>
          </cell>
          <cell r="H260">
            <v>14</v>
          </cell>
          <cell r="I260">
            <v>17</v>
          </cell>
          <cell r="J260">
            <v>17</v>
          </cell>
        </row>
        <row r="261">
          <cell r="G261">
            <v>14</v>
          </cell>
          <cell r="H261">
            <v>6</v>
          </cell>
          <cell r="I261">
            <v>4</v>
          </cell>
          <cell r="J261">
            <v>18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ims_per_turn_scen7"/>
      <sheetName val="pivot_sim_per_turn"/>
      <sheetName val="anchor_raw_information"/>
    </sheetNames>
    <sheetDataSet>
      <sheetData sheetId="0"/>
      <sheetData sheetId="1"/>
      <sheetData sheetId="2">
        <row r="229">
          <cell r="G229">
            <v>11</v>
          </cell>
          <cell r="H229">
            <v>15</v>
          </cell>
          <cell r="I229">
            <v>22</v>
          </cell>
          <cell r="J229">
            <v>12</v>
          </cell>
        </row>
        <row r="230">
          <cell r="G230">
            <v>4</v>
          </cell>
          <cell r="H230">
            <v>4</v>
          </cell>
          <cell r="I230">
            <v>7</v>
          </cell>
          <cell r="J230">
            <v>1</v>
          </cell>
        </row>
        <row r="231">
          <cell r="G231">
            <v>1</v>
          </cell>
          <cell r="H231">
            <v>1</v>
          </cell>
          <cell r="I231">
            <v>1</v>
          </cell>
          <cell r="J231">
            <v>1</v>
          </cell>
        </row>
        <row r="232">
          <cell r="G232">
            <v>8</v>
          </cell>
          <cell r="H232">
            <v>10</v>
          </cell>
          <cell r="I232">
            <v>15</v>
          </cell>
          <cell r="J232">
            <v>15</v>
          </cell>
        </row>
        <row r="233">
          <cell r="G233">
            <v>1</v>
          </cell>
          <cell r="H233">
            <v>4</v>
          </cell>
          <cell r="I233">
            <v>4</v>
          </cell>
          <cell r="J233">
            <v>1</v>
          </cell>
        </row>
        <row r="234">
          <cell r="G234">
            <v>18</v>
          </cell>
          <cell r="H234">
            <v>21</v>
          </cell>
          <cell r="I234">
            <v>22</v>
          </cell>
          <cell r="J234">
            <v>23</v>
          </cell>
        </row>
        <row r="235">
          <cell r="G235">
            <v>2</v>
          </cell>
          <cell r="H235">
            <v>10</v>
          </cell>
          <cell r="I235">
            <v>6</v>
          </cell>
          <cell r="J235">
            <v>2</v>
          </cell>
        </row>
        <row r="236">
          <cell r="G236">
            <v>24</v>
          </cell>
          <cell r="H236">
            <v>17</v>
          </cell>
          <cell r="I236">
            <v>20</v>
          </cell>
          <cell r="J236">
            <v>23</v>
          </cell>
        </row>
        <row r="237">
          <cell r="G237">
            <v>5</v>
          </cell>
          <cell r="H237">
            <v>1</v>
          </cell>
          <cell r="I237">
            <v>1</v>
          </cell>
          <cell r="J237">
            <v>6</v>
          </cell>
        </row>
        <row r="238">
          <cell r="G238">
            <v>15</v>
          </cell>
          <cell r="H238">
            <v>2</v>
          </cell>
          <cell r="I238">
            <v>2</v>
          </cell>
          <cell r="J238">
            <v>4</v>
          </cell>
        </row>
        <row r="239">
          <cell r="G239">
            <v>19</v>
          </cell>
          <cell r="H239">
            <v>17</v>
          </cell>
          <cell r="I239">
            <v>16</v>
          </cell>
          <cell r="J239">
            <v>22</v>
          </cell>
        </row>
        <row r="240">
          <cell r="G240">
            <v>25</v>
          </cell>
          <cell r="H240">
            <v>25</v>
          </cell>
          <cell r="I240">
            <v>25</v>
          </cell>
          <cell r="J240">
            <v>25</v>
          </cell>
        </row>
        <row r="258">
          <cell r="G258">
            <v>11</v>
          </cell>
          <cell r="H258">
            <v>15</v>
          </cell>
          <cell r="I258">
            <v>22</v>
          </cell>
          <cell r="J258">
            <v>12</v>
          </cell>
        </row>
        <row r="259">
          <cell r="G259">
            <v>4</v>
          </cell>
          <cell r="H259">
            <v>4</v>
          </cell>
          <cell r="I259">
            <v>7</v>
          </cell>
          <cell r="J259">
            <v>1</v>
          </cell>
        </row>
        <row r="260">
          <cell r="G260">
            <v>8</v>
          </cell>
          <cell r="H260">
            <v>10</v>
          </cell>
          <cell r="I260">
            <v>15</v>
          </cell>
          <cell r="J260">
            <v>15</v>
          </cell>
        </row>
        <row r="261">
          <cell r="G261">
            <v>1</v>
          </cell>
          <cell r="H261">
            <v>4</v>
          </cell>
          <cell r="I261">
            <v>4</v>
          </cell>
          <cell r="J261">
            <v>1</v>
          </cell>
        </row>
        <row r="262">
          <cell r="G262">
            <v>18</v>
          </cell>
          <cell r="H262">
            <v>21</v>
          </cell>
          <cell r="I262">
            <v>22</v>
          </cell>
          <cell r="J262">
            <v>23</v>
          </cell>
        </row>
        <row r="263">
          <cell r="G263">
            <v>2</v>
          </cell>
          <cell r="H263">
            <v>10</v>
          </cell>
          <cell r="I263">
            <v>6</v>
          </cell>
          <cell r="J263">
            <v>2</v>
          </cell>
        </row>
        <row r="264">
          <cell r="G264">
            <v>24</v>
          </cell>
          <cell r="H264">
            <v>17</v>
          </cell>
          <cell r="I264">
            <v>20</v>
          </cell>
          <cell r="J264">
            <v>23</v>
          </cell>
        </row>
        <row r="265">
          <cell r="G265">
            <v>5</v>
          </cell>
          <cell r="H265">
            <v>1</v>
          </cell>
          <cell r="I265">
            <v>1</v>
          </cell>
          <cell r="J265">
            <v>6</v>
          </cell>
        </row>
        <row r="266">
          <cell r="G266">
            <v>15</v>
          </cell>
          <cell r="H266">
            <v>2</v>
          </cell>
          <cell r="I266">
            <v>2</v>
          </cell>
          <cell r="J266">
            <v>4</v>
          </cell>
        </row>
        <row r="267">
          <cell r="G267">
            <v>19</v>
          </cell>
          <cell r="H267">
            <v>17</v>
          </cell>
          <cell r="I267">
            <v>16</v>
          </cell>
          <cell r="J267">
            <v>22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ims_per_turn_scen8"/>
      <sheetName val="pivot_sim_per_turn"/>
      <sheetName val="anchor_raw_information"/>
    </sheetNames>
    <sheetDataSet>
      <sheetData sheetId="0"/>
      <sheetData sheetId="1"/>
      <sheetData sheetId="2">
        <row r="232">
          <cell r="G232">
            <v>24</v>
          </cell>
          <cell r="H232">
            <v>25</v>
          </cell>
          <cell r="I232">
            <v>25</v>
          </cell>
          <cell r="J232">
            <v>22</v>
          </cell>
        </row>
        <row r="233">
          <cell r="G233">
            <v>5</v>
          </cell>
          <cell r="H233">
            <v>6</v>
          </cell>
          <cell r="I233">
            <v>5</v>
          </cell>
          <cell r="J233">
            <v>1</v>
          </cell>
        </row>
        <row r="234">
          <cell r="G234">
            <v>18</v>
          </cell>
          <cell r="H234">
            <v>14</v>
          </cell>
          <cell r="I234">
            <v>16</v>
          </cell>
          <cell r="J234">
            <v>16</v>
          </cell>
        </row>
        <row r="235">
          <cell r="G235">
            <v>9</v>
          </cell>
          <cell r="H235">
            <v>16</v>
          </cell>
          <cell r="I235">
            <v>11</v>
          </cell>
          <cell r="J235">
            <v>20</v>
          </cell>
        </row>
        <row r="236">
          <cell r="G236">
            <v>12</v>
          </cell>
          <cell r="H236">
            <v>18</v>
          </cell>
          <cell r="I236">
            <v>21</v>
          </cell>
          <cell r="J236">
            <v>17</v>
          </cell>
        </row>
        <row r="237">
          <cell r="G237">
            <v>0</v>
          </cell>
          <cell r="H237">
            <v>1</v>
          </cell>
          <cell r="I237">
            <v>0</v>
          </cell>
          <cell r="J237">
            <v>1</v>
          </cell>
        </row>
        <row r="238">
          <cell r="G238">
            <v>2</v>
          </cell>
          <cell r="H238">
            <v>1</v>
          </cell>
          <cell r="I238">
            <v>6</v>
          </cell>
          <cell r="J238">
            <v>2</v>
          </cell>
        </row>
        <row r="239">
          <cell r="G239">
            <v>19</v>
          </cell>
          <cell r="H239">
            <v>11</v>
          </cell>
          <cell r="I239">
            <v>19</v>
          </cell>
          <cell r="J239">
            <v>16</v>
          </cell>
        </row>
        <row r="240">
          <cell r="G240">
            <v>11</v>
          </cell>
          <cell r="H240">
            <v>4</v>
          </cell>
          <cell r="I240">
            <v>2</v>
          </cell>
          <cell r="J240">
            <v>9</v>
          </cell>
        </row>
        <row r="241">
          <cell r="G241">
            <v>3</v>
          </cell>
          <cell r="H241">
            <v>0</v>
          </cell>
          <cell r="I241">
            <v>0</v>
          </cell>
          <cell r="J241">
            <v>0</v>
          </cell>
        </row>
        <row r="242">
          <cell r="G242">
            <v>5</v>
          </cell>
          <cell r="H242">
            <v>4</v>
          </cell>
          <cell r="I242">
            <v>2</v>
          </cell>
          <cell r="J242">
            <v>9</v>
          </cell>
        </row>
        <row r="243">
          <cell r="G243">
            <v>25</v>
          </cell>
          <cell r="H243">
            <v>25</v>
          </cell>
          <cell r="I243">
            <v>25</v>
          </cell>
          <cell r="J243">
            <v>25</v>
          </cell>
        </row>
        <row r="258">
          <cell r="G258">
            <v>24</v>
          </cell>
          <cell r="H258">
            <v>25</v>
          </cell>
          <cell r="I258">
            <v>25</v>
          </cell>
          <cell r="J258">
            <v>22</v>
          </cell>
        </row>
        <row r="259">
          <cell r="G259">
            <v>5</v>
          </cell>
          <cell r="H259">
            <v>6</v>
          </cell>
          <cell r="I259">
            <v>5</v>
          </cell>
          <cell r="J259">
            <v>1</v>
          </cell>
        </row>
        <row r="260">
          <cell r="G260">
            <v>18</v>
          </cell>
          <cell r="H260">
            <v>14</v>
          </cell>
          <cell r="I260">
            <v>16</v>
          </cell>
          <cell r="J260">
            <v>16</v>
          </cell>
        </row>
        <row r="261">
          <cell r="G261">
            <v>9</v>
          </cell>
          <cell r="H261">
            <v>16</v>
          </cell>
          <cell r="I261">
            <v>11</v>
          </cell>
          <cell r="J261">
            <v>20</v>
          </cell>
        </row>
        <row r="262">
          <cell r="G262">
            <v>12</v>
          </cell>
          <cell r="H262">
            <v>18</v>
          </cell>
          <cell r="I262">
            <v>21</v>
          </cell>
          <cell r="J262">
            <v>17</v>
          </cell>
        </row>
        <row r="263">
          <cell r="G263">
            <v>2</v>
          </cell>
          <cell r="H263">
            <v>1</v>
          </cell>
          <cell r="I263">
            <v>6</v>
          </cell>
          <cell r="J263">
            <v>2</v>
          </cell>
        </row>
        <row r="264">
          <cell r="G264">
            <v>19</v>
          </cell>
          <cell r="H264">
            <v>11</v>
          </cell>
          <cell r="I264">
            <v>19</v>
          </cell>
          <cell r="J264">
            <v>16</v>
          </cell>
        </row>
        <row r="265">
          <cell r="G265">
            <v>11</v>
          </cell>
          <cell r="H265">
            <v>4</v>
          </cell>
          <cell r="I265">
            <v>2</v>
          </cell>
          <cell r="J265">
            <v>9</v>
          </cell>
        </row>
        <row r="266">
          <cell r="G266">
            <v>5</v>
          </cell>
          <cell r="H266">
            <v>4</v>
          </cell>
          <cell r="I266">
            <v>2</v>
          </cell>
          <cell r="J266">
            <v>9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48" activeCellId="0" sqref="E48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5" min="3" style="1" width="28.51"/>
  </cols>
  <sheetData>
    <row r="2" customFormat="false" ht="22.35" hidden="false" customHeight="false" outlineLevel="0" collapsed="false">
      <c r="C2" s="2" t="s">
        <v>0</v>
      </c>
      <c r="D2" s="2" t="s">
        <v>1</v>
      </c>
      <c r="E2" s="2" t="s">
        <v>2</v>
      </c>
    </row>
    <row r="3" customFormat="false" ht="12.8" hidden="false" customHeight="false" outlineLevel="0" collapsed="false">
      <c r="A3" s="1" t="s">
        <v>3</v>
      </c>
    </row>
    <row r="4" customFormat="false" ht="12.8" hidden="false" customHeight="false" outlineLevel="0" collapsed="false">
      <c r="B4" s="1" t="s">
        <v>4</v>
      </c>
      <c r="C4" s="1" t="n">
        <v>0.0407277376397779</v>
      </c>
      <c r="D4" s="1" t="n">
        <v>-0.209866735161036</v>
      </c>
      <c r="E4" s="1" t="n">
        <v>0.0099</v>
      </c>
    </row>
    <row r="5" customFormat="false" ht="12.8" hidden="false" customHeight="false" outlineLevel="0" collapsed="false">
      <c r="B5" s="1" t="s">
        <v>5</v>
      </c>
      <c r="C5" s="1" t="n">
        <v>0.0394906803730307</v>
      </c>
      <c r="D5" s="1" t="n">
        <v>-0.0405539100601715</v>
      </c>
      <c r="E5" s="1" t="n">
        <v>0.626965165257702</v>
      </c>
    </row>
    <row r="6" customFormat="false" ht="12.8" hidden="false" customHeight="false" outlineLevel="0" collapsed="false">
      <c r="B6" s="1" t="s">
        <v>6</v>
      </c>
      <c r="C6" s="1" t="n">
        <v>0.0394421402201318</v>
      </c>
      <c r="D6" s="1" t="n">
        <v>-0.00968621621170412</v>
      </c>
      <c r="E6" s="1" t="n">
        <v>0.907624249635993</v>
      </c>
    </row>
    <row r="7" customFormat="false" ht="12.8" hidden="false" customHeight="false" outlineLevel="0" collapsed="false">
      <c r="B7" s="1" t="s">
        <v>7</v>
      </c>
      <c r="C7" s="1" t="n">
        <v>0.0378037804537943</v>
      </c>
      <c r="D7" s="1" t="n">
        <v>-0.117971919502596</v>
      </c>
      <c r="E7" s="1" t="n">
        <v>0.151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B10" s="1" t="s">
        <v>4</v>
      </c>
      <c r="C10" s="1" t="n">
        <v>0.079908646324765</v>
      </c>
      <c r="D10" s="1" t="n">
        <v>0.0886763951697985</v>
      </c>
      <c r="E10" s="1" t="n">
        <v>0.29</v>
      </c>
    </row>
    <row r="11" customFormat="false" ht="12.8" hidden="false" customHeight="false" outlineLevel="0" collapsed="false">
      <c r="B11" s="1" t="s">
        <v>5</v>
      </c>
      <c r="C11" s="1" t="n">
        <v>0.0612424616745225</v>
      </c>
      <c r="D11" s="1" t="n">
        <v>0.191632928993632</v>
      </c>
      <c r="E11" s="1" t="n">
        <v>0.0283303403171434</v>
      </c>
    </row>
    <row r="12" customFormat="false" ht="12.8" hidden="false" customHeight="false" outlineLevel="0" collapsed="false">
      <c r="B12" s="1" t="s">
        <v>6</v>
      </c>
      <c r="C12" s="1" t="n">
        <v>0.0570536592596925</v>
      </c>
      <c r="D12" s="1" t="n">
        <v>0.126855137334041</v>
      </c>
      <c r="E12" s="1" t="n">
        <v>0.1367</v>
      </c>
    </row>
    <row r="13" customFormat="false" ht="12.8" hidden="false" customHeight="false" outlineLevel="0" collapsed="false">
      <c r="B13" s="1" t="s">
        <v>7</v>
      </c>
      <c r="C13" s="1" t="n">
        <v>0.0660822102343729</v>
      </c>
      <c r="D13" s="1" t="n">
        <v>0.165592380440761</v>
      </c>
      <c r="E13" s="1" t="n">
        <v>0.088</v>
      </c>
    </row>
    <row r="15" customFormat="false" ht="12.8" hidden="false" customHeight="false" outlineLevel="0" collapsed="false">
      <c r="A15" s="1" t="s">
        <v>9</v>
      </c>
    </row>
    <row r="16" customFormat="false" ht="12.8" hidden="false" customHeight="false" outlineLevel="0" collapsed="false">
      <c r="B16" s="1" t="s">
        <v>4</v>
      </c>
      <c r="C16" s="1" t="n">
        <v>0.0487674183082847</v>
      </c>
      <c r="D16" s="1" t="n">
        <v>0.0372299094951213</v>
      </c>
      <c r="E16" s="1" t="n">
        <v>0.653</v>
      </c>
    </row>
    <row r="17" customFormat="false" ht="12.8" hidden="false" customHeight="false" outlineLevel="0" collapsed="false">
      <c r="B17" s="1" t="s">
        <v>5</v>
      </c>
      <c r="C17" s="1" t="n">
        <v>0.0510820826857222</v>
      </c>
      <c r="D17" s="1" t="n">
        <v>-0.166128148346189</v>
      </c>
      <c r="E17" s="1" t="n">
        <v>0.0465894069614302</v>
      </c>
    </row>
    <row r="18" customFormat="false" ht="12.8" hidden="false" customHeight="false" outlineLevel="0" collapsed="false">
      <c r="B18" s="1" t="s">
        <v>6</v>
      </c>
      <c r="C18" s="1" t="n">
        <v>0.0491578639668741</v>
      </c>
      <c r="D18" s="1" t="n">
        <v>-0.139521006912146</v>
      </c>
      <c r="E18" s="1" t="n">
        <v>0.0886016307393608</v>
      </c>
    </row>
    <row r="19" customFormat="false" ht="12.8" hidden="false" customHeight="false" outlineLevel="0" collapsed="false">
      <c r="B19" s="1" t="s">
        <v>7</v>
      </c>
      <c r="C19" s="1" t="n">
        <v>0.0568104711368445</v>
      </c>
      <c r="D19" s="1" t="n">
        <v>-0.0470145114528613</v>
      </c>
      <c r="E19" s="1" t="n">
        <v>0.567791571563431</v>
      </c>
    </row>
    <row r="21" customFormat="false" ht="12.8" hidden="false" customHeight="false" outlineLevel="0" collapsed="false">
      <c r="A21" s="1" t="s">
        <v>10</v>
      </c>
    </row>
    <row r="22" customFormat="false" ht="12.8" hidden="false" customHeight="false" outlineLevel="0" collapsed="false">
      <c r="B22" s="1" t="s">
        <v>4</v>
      </c>
      <c r="C22" s="1" t="n">
        <v>0.0522282945400777</v>
      </c>
      <c r="D22" s="1" t="n">
        <v>-0.059158261903144</v>
      </c>
      <c r="E22" s="1" t="n">
        <v>0.472</v>
      </c>
    </row>
    <row r="23" customFormat="false" ht="12.8" hidden="false" customHeight="false" outlineLevel="0" collapsed="false">
      <c r="B23" s="1" t="s">
        <v>5</v>
      </c>
      <c r="C23" s="1" t="n">
        <v>0.054236473713062</v>
      </c>
      <c r="D23" s="1" t="n">
        <v>0.0413936769502948</v>
      </c>
      <c r="E23" s="1" t="n">
        <v>0.621</v>
      </c>
    </row>
    <row r="24" customFormat="false" ht="12.8" hidden="false" customHeight="false" outlineLevel="0" collapsed="false">
      <c r="B24" s="1" t="s">
        <v>6</v>
      </c>
      <c r="C24" s="1" t="n">
        <v>0.0489381426726636</v>
      </c>
      <c r="D24" s="1" t="n">
        <v>-0.00449338363769033</v>
      </c>
      <c r="E24" s="1" t="n">
        <v>0.96</v>
      </c>
    </row>
    <row r="25" customFormat="false" ht="12.8" hidden="false" customHeight="false" outlineLevel="0" collapsed="false">
      <c r="B25" s="1" t="s">
        <v>7</v>
      </c>
      <c r="C25" s="1" t="n">
        <v>0.055958910898612</v>
      </c>
      <c r="D25" s="1" t="n">
        <v>0.0340705437434524</v>
      </c>
      <c r="E25" s="1" t="n">
        <v>0.68</v>
      </c>
    </row>
    <row r="27" customFormat="false" ht="12.8" hidden="false" customHeight="false" outlineLevel="0" collapsed="false">
      <c r="A27" s="1" t="s">
        <v>11</v>
      </c>
    </row>
    <row r="28" customFormat="false" ht="12.8" hidden="false" customHeight="false" outlineLevel="0" collapsed="false">
      <c r="B28" s="1" t="s">
        <v>4</v>
      </c>
      <c r="C28" s="1" t="n">
        <v>0.0270985266961706</v>
      </c>
      <c r="D28" s="1" t="n">
        <v>-0.253839255197165</v>
      </c>
      <c r="E28" s="1" t="n">
        <v>0.00172218608992693</v>
      </c>
    </row>
    <row r="29" customFormat="false" ht="12.8" hidden="false" customHeight="false" outlineLevel="0" collapsed="false">
      <c r="B29" s="1" t="s">
        <v>5</v>
      </c>
      <c r="C29" s="1" t="n">
        <v>0.0376318776183238</v>
      </c>
      <c r="D29" s="1" t="n">
        <v>-0.209987278309567</v>
      </c>
      <c r="E29" s="1" t="n">
        <v>0.00990535003696562</v>
      </c>
    </row>
    <row r="30" customFormat="false" ht="12.8" hidden="false" customHeight="false" outlineLevel="0" collapsed="false">
      <c r="B30" s="1" t="s">
        <v>6</v>
      </c>
      <c r="C30" s="1" t="n">
        <v>0.0300452829512712</v>
      </c>
      <c r="D30" s="1" t="n">
        <v>-0.340780163992808</v>
      </c>
      <c r="E30" s="3" t="n">
        <v>1.97930235413867E-005</v>
      </c>
    </row>
    <row r="31" customFormat="false" ht="12.8" hidden="false" customHeight="false" outlineLevel="0" collapsed="false">
      <c r="B31" s="1" t="s">
        <v>7</v>
      </c>
      <c r="C31" s="1" t="n">
        <v>0.0324796576961667</v>
      </c>
      <c r="D31" s="1" t="n">
        <v>-0.200830685944448</v>
      </c>
      <c r="E31" s="1" t="n">
        <v>0.0137301155038859</v>
      </c>
    </row>
    <row r="33" customFormat="false" ht="12.8" hidden="false" customHeight="false" outlineLevel="0" collapsed="false">
      <c r="A33" s="1" t="s">
        <v>12</v>
      </c>
    </row>
    <row r="34" customFormat="false" ht="12.8" hidden="false" customHeight="false" outlineLevel="0" collapsed="false">
      <c r="B34" s="1" t="s">
        <v>4</v>
      </c>
      <c r="C34" s="1" t="n">
        <v>0.0457028096907403</v>
      </c>
      <c r="D34" s="1" t="n">
        <v>0.257772422758417</v>
      </c>
      <c r="E34" s="1" t="n">
        <v>0.0038478417209188</v>
      </c>
    </row>
    <row r="35" customFormat="false" ht="12.8" hidden="false" customHeight="false" outlineLevel="0" collapsed="false">
      <c r="B35" s="1" t="s">
        <v>5</v>
      </c>
      <c r="C35" s="1" t="n">
        <v>0.0445519943596644</v>
      </c>
      <c r="D35" s="1" t="n">
        <v>0.0356751084490062</v>
      </c>
      <c r="E35" s="1" t="n">
        <v>0.708</v>
      </c>
    </row>
    <row r="36" customFormat="false" ht="12.8" hidden="false" customHeight="false" outlineLevel="0" collapsed="false">
      <c r="B36" s="1" t="s">
        <v>6</v>
      </c>
      <c r="C36" s="1" t="n">
        <v>0.0431400986640625</v>
      </c>
      <c r="D36" s="1" t="n">
        <v>-0.0137304556759604</v>
      </c>
      <c r="E36" s="1" t="n">
        <v>0.88</v>
      </c>
    </row>
    <row r="37" customFormat="false" ht="12.8" hidden="false" customHeight="false" outlineLevel="0" collapsed="false">
      <c r="B37" s="1" t="s">
        <v>7</v>
      </c>
      <c r="C37" s="1" t="n">
        <v>0.0378296131421126</v>
      </c>
      <c r="D37" s="1" t="n">
        <v>0.299337709898856</v>
      </c>
      <c r="E37" s="1" t="n">
        <v>0.000661659041061218</v>
      </c>
    </row>
    <row r="39" customFormat="false" ht="12.8" hidden="false" customHeight="false" outlineLevel="0" collapsed="false">
      <c r="A39" s="1" t="s">
        <v>13</v>
      </c>
    </row>
    <row r="40" customFormat="false" ht="12.8" hidden="false" customHeight="false" outlineLevel="0" collapsed="false">
      <c r="B40" s="1" t="s">
        <v>4</v>
      </c>
      <c r="C40" s="1" t="n">
        <v>0.0461287444860408</v>
      </c>
      <c r="D40" s="1" t="n">
        <v>0.185101107986304</v>
      </c>
      <c r="E40" s="1" t="n">
        <v>0.033</v>
      </c>
    </row>
    <row r="41" customFormat="false" ht="12.8" hidden="false" customHeight="false" outlineLevel="0" collapsed="false">
      <c r="B41" s="1" t="s">
        <v>5</v>
      </c>
      <c r="C41" s="1" t="n">
        <v>0.0451170162812093</v>
      </c>
      <c r="D41" s="1" t="n">
        <v>0.144407810075167</v>
      </c>
      <c r="E41" s="1" t="n">
        <v>0.1053</v>
      </c>
    </row>
    <row r="42" customFormat="false" ht="12.8" hidden="false" customHeight="false" outlineLevel="0" collapsed="false">
      <c r="B42" s="1" t="s">
        <v>6</v>
      </c>
      <c r="C42" s="1" t="n">
        <v>0.033631001996227</v>
      </c>
      <c r="D42" s="1" t="n">
        <v>0.148857368975605</v>
      </c>
      <c r="E42" s="1" t="n">
        <v>0.078</v>
      </c>
    </row>
    <row r="43" customFormat="false" ht="12.8" hidden="false" customHeight="false" outlineLevel="0" collapsed="false">
      <c r="B43" s="1" t="s">
        <v>7</v>
      </c>
      <c r="C43" s="1" t="n">
        <v>0.0462046207247564</v>
      </c>
      <c r="D43" s="1" t="n">
        <v>0.10836358927563</v>
      </c>
      <c r="E43" s="1" t="n">
        <v>0.211</v>
      </c>
    </row>
    <row r="45" customFormat="false" ht="12.8" hidden="false" customHeight="false" outlineLevel="0" collapsed="false">
      <c r="A45" s="1" t="s">
        <v>14</v>
      </c>
    </row>
    <row r="46" customFormat="false" ht="12.8" hidden="false" customHeight="false" outlineLevel="0" collapsed="false">
      <c r="B46" s="1" t="s">
        <v>4</v>
      </c>
      <c r="C46" s="1" t="n">
        <v>0.0575251998774339</v>
      </c>
      <c r="D46" s="1" t="n">
        <v>0.114369859069299</v>
      </c>
      <c r="E46" s="1" t="n">
        <v>0.19</v>
      </c>
    </row>
    <row r="47" customFormat="false" ht="12.8" hidden="false" customHeight="false" outlineLevel="0" collapsed="false">
      <c r="B47" s="1" t="s">
        <v>5</v>
      </c>
      <c r="C47" s="1" t="n">
        <v>0.0704691089897183</v>
      </c>
      <c r="D47" s="1" t="n">
        <v>0.353343840724698</v>
      </c>
      <c r="E47" s="3" t="n">
        <v>5.29980133980888E-005</v>
      </c>
    </row>
    <row r="48" customFormat="false" ht="12.8" hidden="false" customHeight="false" outlineLevel="0" collapsed="false">
      <c r="B48" s="1" t="s">
        <v>6</v>
      </c>
      <c r="C48" s="1" t="n">
        <v>0.0652332470248726</v>
      </c>
      <c r="D48" s="1" t="n">
        <v>0.362400359425218</v>
      </c>
      <c r="E48" s="3" t="n">
        <v>1.95347648853056E-005</v>
      </c>
    </row>
    <row r="49" customFormat="false" ht="12.8" hidden="false" customHeight="false" outlineLevel="0" collapsed="false">
      <c r="B49" s="1" t="s">
        <v>7</v>
      </c>
      <c r="C49" s="1" t="n">
        <v>0.0708993733782481</v>
      </c>
      <c r="D49" s="1" t="n">
        <v>0.104661528715862</v>
      </c>
      <c r="E49" s="1" t="n">
        <v>0.22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7" activeCellId="0" sqref="N7"/>
    </sheetView>
  </sheetViews>
  <sheetFormatPr defaultColWidth="14.0703125" defaultRowHeight="12.8" customHeight="false" zeroHeight="false" outlineLevelRow="0" outlineLevelCol="0"/>
  <cols>
    <col collapsed="false" customWidth="false" hidden="false" outlineLevel="0" max="2" min="1" style="4" width="14.07"/>
    <col collapsed="false" customWidth="true" hidden="false" outlineLevel="0" max="3" min="3" style="4" width="20.79"/>
    <col collapsed="false" customWidth="true" hidden="false" outlineLevel="0" max="4" min="4" style="4" width="19.71"/>
    <col collapsed="false" customWidth="true" hidden="false" outlineLevel="0" max="5" min="5" style="4" width="22.96"/>
    <col collapsed="false" customWidth="true" hidden="false" outlineLevel="0" max="6" min="6" style="4" width="22.42"/>
    <col collapsed="false" customWidth="true" hidden="false" outlineLevel="0" max="7" min="7" style="4" width="22.83"/>
    <col collapsed="false" customWidth="true" hidden="false" outlineLevel="0" max="9" min="8" style="4" width="19.71"/>
    <col collapsed="false" customWidth="true" hidden="false" outlineLevel="0" max="10" min="10" style="4" width="18.62"/>
    <col collapsed="false" customWidth="false" hidden="false" outlineLevel="0" max="16384" min="11" style="4" width="14.07"/>
  </cols>
  <sheetData>
    <row r="3" customFormat="false" ht="12.8" hidden="false" customHeight="false" outlineLevel="0" collapsed="false">
      <c r="A3" s="4" t="s">
        <v>3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4" t="s">
        <v>21</v>
      </c>
      <c r="J3" s="4" t="s">
        <v>22</v>
      </c>
    </row>
    <row r="4" customFormat="false" ht="12.8" hidden="false" customHeight="false" outlineLevel="0" collapsed="false">
      <c r="B4" s="4" t="s">
        <v>4</v>
      </c>
      <c r="C4" s="4" t="n">
        <v>0.0678968994940753</v>
      </c>
      <c r="D4" s="4" t="n">
        <v>0.117883055698871</v>
      </c>
      <c r="E4" s="4" t="n">
        <v>0.00900422310907177</v>
      </c>
      <c r="F4" s="4" t="n">
        <v>1.34474013379499E-007</v>
      </c>
      <c r="G4" s="4" t="n">
        <v>3.14213761379011E-007</v>
      </c>
      <c r="H4" s="4" t="n">
        <v>0.168061021574026</v>
      </c>
      <c r="I4" s="4" t="n">
        <v>0.730726509513007</v>
      </c>
      <c r="J4" s="4" t="n">
        <v>0.56266548793898</v>
      </c>
    </row>
    <row r="5" customFormat="false" ht="12.8" hidden="false" customHeight="false" outlineLevel="0" collapsed="false">
      <c r="B5" s="4" t="s">
        <v>5</v>
      </c>
      <c r="C5" s="4" t="n">
        <v>0.0565815417196385</v>
      </c>
      <c r="D5" s="4" t="n">
        <v>0.117883055698871</v>
      </c>
      <c r="E5" s="4" t="n">
        <v>0.000632553113577771</v>
      </c>
      <c r="F5" s="4" t="n">
        <v>5.71188422207568E-008</v>
      </c>
      <c r="G5" s="4" t="n">
        <v>2.31320714089164E-007</v>
      </c>
      <c r="H5" s="4" t="n">
        <v>0.167885490451302</v>
      </c>
      <c r="I5" s="4" t="n">
        <v>0.730550978390282</v>
      </c>
      <c r="J5" s="4" t="n">
        <v>0.56266548793898</v>
      </c>
    </row>
    <row r="6" customFormat="false" ht="12.8" hidden="false" customHeight="false" outlineLevel="0" collapsed="false">
      <c r="B6" s="4" t="s">
        <v>6</v>
      </c>
      <c r="C6" s="4" t="n">
        <v>0.065483270109739</v>
      </c>
      <c r="D6" s="4" t="n">
        <v>0.117883055698871</v>
      </c>
      <c r="E6" s="4" t="n">
        <v>0.00552345517416043</v>
      </c>
      <c r="F6" s="4" t="n">
        <v>8.19962289448315E-008</v>
      </c>
      <c r="G6" s="4" t="n">
        <v>2.2046053900549E-007</v>
      </c>
      <c r="H6" s="4" t="n">
        <v>0.170375899676724</v>
      </c>
      <c r="I6" s="5" t="n">
        <f aca="false">AVERAGE('[1]inter_system stats'!$B$3:$B$28)</f>
        <v>0.733041387615704</v>
      </c>
      <c r="J6" s="5" t="n">
        <f aca="false">AVERAGE('[1]inter_system stats'!$C$3:$C$28)</f>
        <v>0.56266548793898</v>
      </c>
    </row>
    <row r="7" customFormat="false" ht="12.8" hidden="false" customHeight="false" outlineLevel="0" collapsed="false">
      <c r="B7" s="4" t="s">
        <v>7</v>
      </c>
      <c r="C7" s="4" t="n">
        <v>0.0607815404743681</v>
      </c>
      <c r="D7" s="4" t="n">
        <v>0.117883055698871</v>
      </c>
      <c r="E7" s="4" t="n">
        <v>0.00189927620260391</v>
      </c>
      <c r="F7" s="4" t="n">
        <v>4.69587148688934E-007</v>
      </c>
      <c r="G7" s="4" t="n">
        <v>1.21403506606551E-006</v>
      </c>
      <c r="H7" s="4" t="n">
        <v>0.154414997206727</v>
      </c>
      <c r="I7" s="4" t="n">
        <v>0.717</v>
      </c>
      <c r="J7" s="5" t="n">
        <f aca="false">AVERAGE('[1]inter_system stats'!$C$3:$C$28)</f>
        <v>0.56266548793898</v>
      </c>
    </row>
    <row r="9" customFormat="false" ht="12.8" hidden="false" customHeight="false" outlineLevel="0" collapsed="false">
      <c r="A9" s="4" t="s">
        <v>8</v>
      </c>
      <c r="B9" s="1"/>
      <c r="C9" s="1"/>
      <c r="D9" s="1"/>
      <c r="E9" s="1"/>
      <c r="F9" s="1"/>
      <c r="G9" s="1"/>
      <c r="H9" s="1"/>
    </row>
    <row r="10" customFormat="false" ht="12.8" hidden="false" customHeight="false" outlineLevel="0" collapsed="false">
      <c r="B10" s="1"/>
      <c r="C10" s="5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20</v>
      </c>
      <c r="I10" s="4" t="s">
        <v>21</v>
      </c>
      <c r="J10" s="4" t="s">
        <v>22</v>
      </c>
    </row>
    <row r="11" customFormat="false" ht="12.8" hidden="false" customHeight="false" outlineLevel="0" collapsed="false">
      <c r="B11" s="4" t="s">
        <v>4</v>
      </c>
      <c r="C11" s="1" t="n">
        <v>0.0449889836669305</v>
      </c>
      <c r="D11" s="1" t="n">
        <v>0.115777622594574</v>
      </c>
      <c r="E11" s="1" t="n">
        <v>1.70963854549749E-005</v>
      </c>
      <c r="F11" s="1" t="n">
        <v>2.23895049171478E-011</v>
      </c>
      <c r="G11" s="1" t="n">
        <v>8.5891804842795E-010</v>
      </c>
      <c r="H11" s="1" t="n">
        <v>0.21519230264063</v>
      </c>
      <c r="I11" s="6" t="n">
        <f aca="false">AVERAGE([2]inter_system_stats!$B$3:$B$28)</f>
        <v>0.752206362708213</v>
      </c>
      <c r="J11" s="6" t="n">
        <f aca="false">AVERAGE([2]inter_system_stats!$C$3:$C$28)</f>
        <v>0.537014060067584</v>
      </c>
    </row>
    <row r="12" customFormat="false" ht="12.8" hidden="false" customHeight="false" outlineLevel="0" collapsed="false">
      <c r="B12" s="4" t="s">
        <v>5</v>
      </c>
      <c r="C12" s="1" t="n">
        <v>0.0481466888380114</v>
      </c>
      <c r="D12" s="1" t="n">
        <v>0.115777622594574</v>
      </c>
      <c r="E12" s="1" t="n">
        <v>5.75704787239235E-005</v>
      </c>
      <c r="F12" s="1" t="n">
        <v>2.86430418915093E-011</v>
      </c>
      <c r="G12" s="1" t="n">
        <v>7.99816645335171E-010</v>
      </c>
      <c r="H12" s="1" t="n">
        <v>0.215430118295798</v>
      </c>
      <c r="I12" s="4" t="n">
        <v>0.752444178363381</v>
      </c>
      <c r="J12" s="4" t="n">
        <v>0.537014060067584</v>
      </c>
    </row>
    <row r="13" customFormat="false" ht="12.8" hidden="false" customHeight="false" outlineLevel="0" collapsed="false">
      <c r="B13" s="4" t="s">
        <v>6</v>
      </c>
      <c r="C13" s="1" t="n">
        <v>0.0451266752119654</v>
      </c>
      <c r="D13" s="1" t="n">
        <v>0.115777622594574</v>
      </c>
      <c r="E13" s="1" t="n">
        <v>1.80757993000776E-005</v>
      </c>
      <c r="F13" s="1" t="n">
        <v>3.49397515390277E-011</v>
      </c>
      <c r="G13" s="1" t="n">
        <v>1.18712518621984E-009</v>
      </c>
      <c r="H13" s="1" t="n">
        <v>0.212052290864327</v>
      </c>
      <c r="I13" s="4" t="n">
        <v>0.749066350931911</v>
      </c>
      <c r="J13" s="4" t="n">
        <v>0.537014060067584</v>
      </c>
    </row>
    <row r="14" customFormat="false" ht="12.8" hidden="false" customHeight="false" outlineLevel="0" collapsed="false">
      <c r="B14" s="4" t="s">
        <v>7</v>
      </c>
      <c r="C14" s="1" t="n">
        <v>0.0461761426345903</v>
      </c>
      <c r="D14" s="1" t="n">
        <v>0.115777622594574</v>
      </c>
      <c r="E14" s="1" t="n">
        <v>2.74033142422205E-005</v>
      </c>
      <c r="F14" s="1" t="n">
        <v>2.81509380696742E-011</v>
      </c>
      <c r="G14" s="1" t="n">
        <v>9.2678174882879E-010</v>
      </c>
      <c r="H14" s="1" t="n">
        <v>0.21427897281844</v>
      </c>
      <c r="I14" s="4" t="n">
        <v>0.751293032886024</v>
      </c>
      <c r="J14" s="4" t="n">
        <v>0.537014060067584</v>
      </c>
    </row>
    <row r="15" customFormat="false" ht="12.8" hidden="false" customHeight="false" outlineLevel="0" collapsed="false">
      <c r="B15" s="1"/>
      <c r="C15" s="1"/>
      <c r="D15" s="1"/>
      <c r="E15" s="1"/>
      <c r="F15" s="1"/>
      <c r="G15" s="1"/>
      <c r="H15" s="1"/>
    </row>
    <row r="16" customFormat="false" ht="12.8" hidden="false" customHeight="false" outlineLevel="0" collapsed="false">
      <c r="A16" s="4" t="s">
        <v>9</v>
      </c>
      <c r="B16" s="1"/>
      <c r="C16" s="1"/>
      <c r="D16" s="1"/>
      <c r="E16" s="1"/>
      <c r="F16" s="1"/>
      <c r="G16" s="1"/>
      <c r="H16" s="1"/>
    </row>
    <row r="17" customFormat="false" ht="12.8" hidden="false" customHeight="false" outlineLevel="0" collapsed="false">
      <c r="B17" s="1"/>
      <c r="C17" s="5" t="s">
        <v>15</v>
      </c>
      <c r="D17" s="5" t="s">
        <v>16</v>
      </c>
      <c r="E17" s="5" t="s">
        <v>17</v>
      </c>
      <c r="F17" s="5" t="s">
        <v>18</v>
      </c>
      <c r="G17" s="5" t="s">
        <v>19</v>
      </c>
      <c r="H17" s="5" t="s">
        <v>20</v>
      </c>
      <c r="I17" s="4" t="s">
        <v>21</v>
      </c>
      <c r="J17" s="4" t="s">
        <v>22</v>
      </c>
    </row>
    <row r="18" customFormat="false" ht="12.8" hidden="false" customHeight="false" outlineLevel="0" collapsed="false">
      <c r="B18" s="4" t="s">
        <v>4</v>
      </c>
      <c r="C18" s="1" t="n">
        <v>0.0689427242735475</v>
      </c>
      <c r="D18" s="1" t="n">
        <v>0.0899326263135566</v>
      </c>
      <c r="E18" s="1" t="n">
        <v>0.200124580529644</v>
      </c>
      <c r="F18" s="1" t="n">
        <v>1.18813267062311E-007</v>
      </c>
      <c r="G18" s="1" t="n">
        <v>1.51542548664125E-007</v>
      </c>
      <c r="H18" s="1" t="n">
        <v>0.140788656814249</v>
      </c>
      <c r="I18" s="4" t="n">
        <v>0.733095187517271</v>
      </c>
      <c r="J18" s="4" t="n">
        <v>0.592306530703021</v>
      </c>
    </row>
    <row r="19" customFormat="false" ht="12.8" hidden="false" customHeight="false" outlineLevel="0" collapsed="false">
      <c r="B19" s="4" t="s">
        <v>5</v>
      </c>
      <c r="C19" s="1" t="n">
        <v>0.0738125291380989</v>
      </c>
      <c r="D19" s="1" t="n">
        <v>0.0831594683795507</v>
      </c>
      <c r="E19" s="1" t="n">
        <v>0.572091285549664</v>
      </c>
      <c r="F19" s="1" t="n">
        <v>2.46668526197696E-006</v>
      </c>
      <c r="G19" s="1" t="n">
        <v>2.55570222952692E-006</v>
      </c>
      <c r="H19" s="1" t="n">
        <v>0.122013891999801</v>
      </c>
      <c r="I19" s="4" t="n">
        <v>0.721963787957385</v>
      </c>
      <c r="J19" s="4" t="n">
        <v>0.599949895957584</v>
      </c>
    </row>
    <row r="20" customFormat="false" ht="12.8" hidden="false" customHeight="false" outlineLevel="0" collapsed="false">
      <c r="B20" s="4" t="s">
        <v>6</v>
      </c>
      <c r="C20" s="1" t="n">
        <v>0.0661104933557812</v>
      </c>
      <c r="D20" s="1" t="n">
        <v>0.0831594683795507</v>
      </c>
      <c r="E20" s="1" t="n">
        <v>0.278470321347766</v>
      </c>
      <c r="F20" s="1" t="n">
        <v>8.43129009702449E-007</v>
      </c>
      <c r="G20" s="1" t="n">
        <v>9.77828923709606E-007</v>
      </c>
      <c r="H20" s="1" t="n">
        <v>0.123381446329527</v>
      </c>
      <c r="I20" s="4" t="n">
        <v>0.723331342287111</v>
      </c>
      <c r="J20" s="4" t="n">
        <v>0.599949895957584</v>
      </c>
    </row>
    <row r="21" customFormat="false" ht="12.8" hidden="false" customHeight="false" outlineLevel="0" collapsed="false">
      <c r="B21" s="4" t="s">
        <v>7</v>
      </c>
      <c r="C21" s="4" t="n">
        <v>0.0735041612817633</v>
      </c>
      <c r="D21" s="4" t="n">
        <v>0.0899326263135566</v>
      </c>
      <c r="E21" s="4" t="n">
        <v>0.329695552546665</v>
      </c>
      <c r="F21" s="4" t="n">
        <v>2.90857295374832E-006</v>
      </c>
      <c r="G21" s="4" t="n">
        <v>3.19243210359112E-006</v>
      </c>
      <c r="H21" s="4" t="n">
        <v>0.123055156601286</v>
      </c>
      <c r="I21" s="4" t="n">
        <v>0.715361687304307</v>
      </c>
      <c r="J21" s="4" t="n">
        <v>0.592306530703021</v>
      </c>
    </row>
    <row r="22" customFormat="false" ht="12.8" hidden="false" customHeight="false" outlineLevel="0" collapsed="false">
      <c r="C22" s="1"/>
      <c r="D22" s="1"/>
      <c r="E22" s="1"/>
      <c r="F22" s="1"/>
      <c r="G22" s="1"/>
      <c r="H22" s="1"/>
      <c r="I22" s="1"/>
      <c r="J22" s="1"/>
    </row>
    <row r="23" customFormat="false" ht="12.8" hidden="false" customHeight="false" outlineLevel="0" collapsed="false">
      <c r="A23" s="4" t="s">
        <v>10</v>
      </c>
      <c r="B23" s="1"/>
      <c r="C23" s="1"/>
      <c r="D23" s="1"/>
      <c r="E23" s="1"/>
      <c r="F23" s="1"/>
      <c r="G23" s="1"/>
      <c r="H23" s="1"/>
    </row>
    <row r="24" customFormat="false" ht="12.8" hidden="false" customHeight="false" outlineLevel="0" collapsed="false">
      <c r="B24" s="1"/>
      <c r="C24" s="5" t="s">
        <v>15</v>
      </c>
      <c r="D24" s="5" t="s">
        <v>16</v>
      </c>
      <c r="E24" s="5" t="s">
        <v>17</v>
      </c>
      <c r="F24" s="5" t="s">
        <v>18</v>
      </c>
      <c r="G24" s="5" t="s">
        <v>19</v>
      </c>
      <c r="H24" s="5" t="s">
        <v>20</v>
      </c>
      <c r="I24" s="4" t="s">
        <v>21</v>
      </c>
      <c r="J24" s="4" t="s">
        <v>22</v>
      </c>
    </row>
    <row r="25" customFormat="false" ht="12.8" hidden="false" customHeight="false" outlineLevel="0" collapsed="false">
      <c r="B25" s="4" t="s">
        <v>4</v>
      </c>
      <c r="C25" s="1" t="n">
        <v>0.0584108997678086</v>
      </c>
      <c r="D25" s="1" t="n">
        <v>0.0838485560603297</v>
      </c>
      <c r="E25" s="1" t="n">
        <v>0.0828592304612272</v>
      </c>
      <c r="F25" s="3" t="n">
        <v>4.01807021213056E-005</v>
      </c>
      <c r="G25" s="3" t="n">
        <v>4.78692253172331E-005</v>
      </c>
      <c r="H25" s="1" t="n">
        <v>0.0924184325252903</v>
      </c>
      <c r="I25" s="4" t="n">
        <v>0.73449</v>
      </c>
      <c r="J25" s="4" t="n">
        <v>0.642072</v>
      </c>
    </row>
    <row r="26" customFormat="false" ht="12.8" hidden="false" customHeight="false" outlineLevel="0" collapsed="false">
      <c r="B26" s="4" t="s">
        <v>5</v>
      </c>
      <c r="C26" s="1" t="n">
        <v>0.0644947167005343</v>
      </c>
      <c r="D26" s="1" t="n">
        <v>0.0838485560603297</v>
      </c>
      <c r="E26" s="1" t="n">
        <v>0.205799358881334</v>
      </c>
      <c r="F26" s="1" t="n">
        <v>0.000186628978553067</v>
      </c>
      <c r="G26" s="1" t="n">
        <v>0.000200032245163382</v>
      </c>
      <c r="H26" s="1" t="n">
        <v>0.085663653017111</v>
      </c>
      <c r="I26" s="4" t="n">
        <v>0.727736</v>
      </c>
      <c r="J26" s="4" t="n">
        <v>0.642072</v>
      </c>
    </row>
    <row r="27" customFormat="false" ht="12.8" hidden="false" customHeight="false" outlineLevel="0" collapsed="false">
      <c r="B27" s="4" t="s">
        <v>6</v>
      </c>
      <c r="C27" s="1" t="n">
        <v>0.0545383416454234</v>
      </c>
      <c r="D27" s="1" t="n">
        <v>0.0838485560603297</v>
      </c>
      <c r="E27" s="1" t="n">
        <v>0.0399064319421159</v>
      </c>
      <c r="F27" s="3" t="n">
        <v>1.46042133221283E-005</v>
      </c>
      <c r="G27" s="3" t="n">
        <v>1.94643094559887E-005</v>
      </c>
      <c r="H27" s="1" t="n">
        <v>0.0965191330665399</v>
      </c>
      <c r="I27" s="4" t="n">
        <v>0.738591</v>
      </c>
      <c r="J27" s="4" t="n">
        <v>0.642072</v>
      </c>
    </row>
    <row r="28" customFormat="false" ht="12.8" hidden="false" customHeight="false" outlineLevel="0" collapsed="false">
      <c r="B28" s="4" t="s">
        <v>7</v>
      </c>
      <c r="C28" s="1" t="n">
        <v>0.058444652191189</v>
      </c>
      <c r="D28" s="1" t="n">
        <v>0.0838485560603297</v>
      </c>
      <c r="E28" s="1" t="n">
        <v>0.0833417313184214</v>
      </c>
      <c r="F28" s="1" t="n">
        <v>0.000219433138307484</v>
      </c>
      <c r="G28" s="1" t="n">
        <v>0.000247474789640632</v>
      </c>
      <c r="H28" s="1" t="n">
        <v>0.0817239680141831</v>
      </c>
      <c r="I28" s="4" t="n">
        <v>0.723796</v>
      </c>
      <c r="J28" s="4" t="n">
        <v>0.642072</v>
      </c>
    </row>
    <row r="30" customFormat="false" ht="12.8" hidden="false" customHeight="false" outlineLevel="0" collapsed="false">
      <c r="A30" s="4" t="s">
        <v>11</v>
      </c>
      <c r="B30" s="1"/>
      <c r="C30" s="1"/>
      <c r="D30" s="1"/>
      <c r="E30" s="1"/>
      <c r="F30" s="1"/>
      <c r="G30" s="1"/>
      <c r="H30" s="1"/>
    </row>
    <row r="31" customFormat="false" ht="12.8" hidden="false" customHeight="false" outlineLevel="0" collapsed="false">
      <c r="B31" s="1"/>
      <c r="C31" s="5" t="s">
        <v>15</v>
      </c>
      <c r="D31" s="5" t="s">
        <v>16</v>
      </c>
      <c r="E31" s="5" t="s">
        <v>17</v>
      </c>
      <c r="F31" s="5" t="s">
        <v>18</v>
      </c>
      <c r="G31" s="5" t="s">
        <v>19</v>
      </c>
      <c r="H31" s="5" t="s">
        <v>20</v>
      </c>
      <c r="I31" s="4" t="s">
        <v>21</v>
      </c>
      <c r="J31" s="4" t="s">
        <v>22</v>
      </c>
    </row>
    <row r="32" customFormat="false" ht="12.8" hidden="false" customHeight="false" outlineLevel="0" collapsed="false">
      <c r="B32" s="4" t="s">
        <v>4</v>
      </c>
      <c r="C32" s="1" t="n">
        <v>0.0459084001451673</v>
      </c>
      <c r="D32" s="1" t="n">
        <v>0.0705884316876649</v>
      </c>
      <c r="E32" s="1" t="n">
        <v>0.0398571829844579</v>
      </c>
      <c r="F32" s="3" t="n">
        <v>5.45339144696633E-007</v>
      </c>
      <c r="G32" s="3" t="n">
        <v>8.77890504042088E-007</v>
      </c>
      <c r="H32" s="1" t="n">
        <v>0.0973154966138868</v>
      </c>
      <c r="I32" s="4" t="n">
        <v>0.732371045199738</v>
      </c>
      <c r="J32" s="4" t="n">
        <v>0.635055548585851</v>
      </c>
    </row>
    <row r="33" customFormat="false" ht="12.8" hidden="false" customHeight="false" outlineLevel="0" collapsed="false">
      <c r="B33" s="4" t="s">
        <v>5</v>
      </c>
      <c r="C33" s="1" t="n">
        <v>0.0396760475881895</v>
      </c>
      <c r="D33" s="1" t="n">
        <v>0.0705884316876649</v>
      </c>
      <c r="E33" s="1" t="n">
        <v>0.00648991839634226</v>
      </c>
      <c r="F33" s="3" t="n">
        <v>2.42595870974212E-007</v>
      </c>
      <c r="G33" s="3" t="n">
        <v>5.64111078210971E-007</v>
      </c>
      <c r="H33" s="1" t="n">
        <v>0.0973216968461175</v>
      </c>
      <c r="I33" s="4" t="n">
        <v>0.732377245431969</v>
      </c>
      <c r="J33" s="4" t="n">
        <v>0.635055548585851</v>
      </c>
    </row>
    <row r="34" customFormat="false" ht="12.8" hidden="false" customHeight="false" outlineLevel="0" collapsed="false">
      <c r="B34" s="4" t="s">
        <v>6</v>
      </c>
      <c r="C34" s="1" t="n">
        <v>0.0353445523719691</v>
      </c>
      <c r="D34" s="1" t="n">
        <v>0.0705884316876649</v>
      </c>
      <c r="E34" s="1" t="n">
        <v>0.00122109099153736</v>
      </c>
      <c r="F34" s="3" t="n">
        <v>1.86605077902679E-007</v>
      </c>
      <c r="G34" s="3" t="n">
        <v>5.77710370256951E-007</v>
      </c>
      <c r="H34" s="1" t="n">
        <v>0.0960570157930821</v>
      </c>
      <c r="I34" s="4" t="n">
        <v>0.731112564378934</v>
      </c>
      <c r="J34" s="4" t="n">
        <v>0.635055548585851</v>
      </c>
    </row>
    <row r="35" customFormat="false" ht="12.8" hidden="false" customHeight="false" outlineLevel="0" collapsed="false">
      <c r="B35" s="4" t="s">
        <v>7</v>
      </c>
      <c r="C35" s="1" t="n">
        <v>0.0427163793792672</v>
      </c>
      <c r="D35" s="1" t="n">
        <v>0.0705884316876649</v>
      </c>
      <c r="E35" s="1" t="n">
        <v>0.0169763977882063</v>
      </c>
      <c r="F35" s="3" t="n">
        <v>1.32667033455463E-007</v>
      </c>
      <c r="G35" s="3" t="n">
        <v>2.76411789189177E-007</v>
      </c>
      <c r="H35" s="1" t="n">
        <v>0.101992190504242</v>
      </c>
      <c r="I35" s="4" t="n">
        <v>0.737047739090094</v>
      </c>
      <c r="J35" s="4" t="n">
        <v>0.635055548585851</v>
      </c>
    </row>
    <row r="37" customFormat="false" ht="12.8" hidden="false" customHeight="false" outlineLevel="0" collapsed="false">
      <c r="A37" s="4" t="s">
        <v>12</v>
      </c>
      <c r="B37" s="1"/>
      <c r="C37" s="1"/>
      <c r="D37" s="1"/>
      <c r="E37" s="1"/>
      <c r="F37" s="1"/>
      <c r="G37" s="1"/>
      <c r="H37" s="1"/>
    </row>
    <row r="38" customFormat="false" ht="12.8" hidden="false" customHeight="false" outlineLevel="0" collapsed="false">
      <c r="B38" s="1"/>
      <c r="C38" s="5" t="s">
        <v>15</v>
      </c>
      <c r="D38" s="5" t="s">
        <v>16</v>
      </c>
      <c r="E38" s="5" t="s">
        <v>17</v>
      </c>
      <c r="F38" s="5" t="s">
        <v>18</v>
      </c>
      <c r="G38" s="5" t="s">
        <v>19</v>
      </c>
      <c r="H38" s="5" t="s">
        <v>20</v>
      </c>
      <c r="I38" s="4" t="s">
        <v>21</v>
      </c>
      <c r="J38" s="4" t="s">
        <v>22</v>
      </c>
    </row>
    <row r="39" customFormat="false" ht="12.8" hidden="false" customHeight="false" outlineLevel="0" collapsed="false">
      <c r="B39" s="4" t="s">
        <v>4</v>
      </c>
      <c r="C39" s="1" t="n">
        <v>0.061112561276799</v>
      </c>
      <c r="D39" s="1" t="n">
        <v>0.110296896441833</v>
      </c>
      <c r="E39" s="1" t="n">
        <v>0.00533177209839873</v>
      </c>
      <c r="F39" s="3" t="n">
        <v>4.43223523544308E-008</v>
      </c>
      <c r="G39" s="3" t="n">
        <v>1.28710704947542E-007</v>
      </c>
      <c r="H39" s="1" t="n">
        <v>0.163709524576072</v>
      </c>
      <c r="I39" s="4" t="n">
        <v>0.728056470408934</v>
      </c>
      <c r="J39" s="4" t="n">
        <v>0.564346945832861</v>
      </c>
    </row>
    <row r="40" customFormat="false" ht="12.8" hidden="false" customHeight="false" outlineLevel="0" collapsed="false">
      <c r="B40" s="4" t="s">
        <v>5</v>
      </c>
      <c r="C40" s="1" t="n">
        <v>0.0546785529532491</v>
      </c>
      <c r="D40" s="1" t="n">
        <v>0.110296896441833</v>
      </c>
      <c r="E40" s="1" t="n">
        <v>0.00104774381354375</v>
      </c>
      <c r="F40" s="3" t="n">
        <v>8.08848939614854E-009</v>
      </c>
      <c r="G40" s="3" t="n">
        <v>4.06186414945062E-008</v>
      </c>
      <c r="H40" s="1" t="n">
        <v>0.17168387767049</v>
      </c>
      <c r="I40" s="4" t="n">
        <v>0.736030823503351</v>
      </c>
      <c r="J40" s="4" t="n">
        <v>0.564346945832861</v>
      </c>
    </row>
    <row r="41" customFormat="false" ht="12.8" hidden="false" customHeight="false" outlineLevel="0" collapsed="false">
      <c r="B41" s="4" t="s">
        <v>6</v>
      </c>
      <c r="C41" s="1" t="n">
        <v>0.0570393101549572</v>
      </c>
      <c r="D41" s="1" t="n">
        <v>0.110296896441833</v>
      </c>
      <c r="E41" s="1" t="n">
        <v>0.00198493368424902</v>
      </c>
      <c r="F41" s="3" t="n">
        <v>9.33748793111396E-008</v>
      </c>
      <c r="G41" s="3" t="n">
        <v>2.94397773057012E-007</v>
      </c>
      <c r="H41" s="1" t="n">
        <v>0.155971417528774</v>
      </c>
      <c r="I41" s="4" t="n">
        <v>0.720318363361635</v>
      </c>
      <c r="J41" s="4" t="n">
        <v>0.564346945832861</v>
      </c>
    </row>
    <row r="42" customFormat="false" ht="12.8" hidden="false" customHeight="false" outlineLevel="0" collapsed="false">
      <c r="B42" s="4" t="s">
        <v>7</v>
      </c>
      <c r="C42" s="1" t="n">
        <v>0.052085230841955</v>
      </c>
      <c r="D42" s="1" t="n">
        <v>0.110296896441833</v>
      </c>
      <c r="E42" s="1" t="n">
        <v>0.000487958794691895</v>
      </c>
      <c r="F42" s="3" t="n">
        <v>3.26339212171987E-008</v>
      </c>
      <c r="G42" s="3" t="n">
        <v>1.50267641568853E-007</v>
      </c>
      <c r="H42" s="1" t="n">
        <v>0.160475437463067</v>
      </c>
      <c r="I42" s="4" t="n">
        <v>0.724822383295928</v>
      </c>
      <c r="J42" s="4" t="n">
        <v>0.564346945832861</v>
      </c>
    </row>
    <row r="44" customFormat="false" ht="12.8" hidden="false" customHeight="false" outlineLevel="0" collapsed="false">
      <c r="A44" s="4" t="s">
        <v>13</v>
      </c>
      <c r="B44" s="1"/>
      <c r="C44" s="1"/>
      <c r="D44" s="1"/>
      <c r="E44" s="1"/>
      <c r="F44" s="1"/>
      <c r="G44" s="1"/>
      <c r="H44" s="1"/>
    </row>
    <row r="45" customFormat="false" ht="12.8" hidden="false" customHeight="false" outlineLevel="0" collapsed="false">
      <c r="B45" s="1"/>
      <c r="C45" s="5" t="s">
        <v>15</v>
      </c>
      <c r="D45" s="5" t="s">
        <v>16</v>
      </c>
      <c r="E45" s="5" t="s">
        <v>17</v>
      </c>
      <c r="F45" s="5" t="s">
        <v>18</v>
      </c>
      <c r="G45" s="5" t="s">
        <v>19</v>
      </c>
      <c r="H45" s="5" t="s">
        <v>20</v>
      </c>
      <c r="I45" s="4" t="s">
        <v>21</v>
      </c>
      <c r="J45" s="4" t="s">
        <v>22</v>
      </c>
    </row>
    <row r="46" customFormat="false" ht="12.8" hidden="false" customHeight="false" outlineLevel="0" collapsed="false">
      <c r="B46" s="4" t="s">
        <v>4</v>
      </c>
      <c r="C46" s="1" t="n">
        <v>0.0475813342639696</v>
      </c>
      <c r="D46" s="1" t="n">
        <v>0.108991128921815</v>
      </c>
      <c r="E46" s="1" t="n">
        <v>0.000133261828486721</v>
      </c>
      <c r="F46" s="3" t="n">
        <v>2.34382720015352E-007</v>
      </c>
      <c r="G46" s="3" t="n">
        <v>9.30370774775643E-007</v>
      </c>
      <c r="H46" s="1" t="n">
        <v>0.143165584245537</v>
      </c>
      <c r="I46" s="4" t="n">
        <v>0.711415890650289</v>
      </c>
      <c r="J46" s="4" t="n">
        <v>0.568250306404752</v>
      </c>
    </row>
    <row r="47" customFormat="false" ht="12.8" hidden="false" customHeight="false" outlineLevel="0" collapsed="false">
      <c r="B47" s="4" t="s">
        <v>5</v>
      </c>
      <c r="C47" s="1" t="n">
        <v>0.0503841523134984</v>
      </c>
      <c r="D47" s="1" t="n">
        <v>0.108991128921815</v>
      </c>
      <c r="E47" s="1" t="n">
        <v>0.000345757509679409</v>
      </c>
      <c r="F47" s="3" t="n">
        <v>5.81797607467323E-008</v>
      </c>
      <c r="G47" s="3" t="n">
        <v>2.57028877583832E-007</v>
      </c>
      <c r="H47" s="1" t="n">
        <v>0.154040943928146</v>
      </c>
      <c r="I47" s="4" t="n">
        <v>0.722291250332898</v>
      </c>
      <c r="J47" s="4" t="n">
        <v>0.568250306404752</v>
      </c>
    </row>
    <row r="48" customFormat="false" ht="12.8" hidden="false" customHeight="false" outlineLevel="0" collapsed="false">
      <c r="B48" s="4" t="s">
        <v>6</v>
      </c>
      <c r="C48" s="1" t="n">
        <v>0.0498994733759011</v>
      </c>
      <c r="D48" s="1" t="n">
        <v>0.108991128921815</v>
      </c>
      <c r="E48" s="1" t="n">
        <v>0.00029515490568397</v>
      </c>
      <c r="F48" s="3" t="n">
        <v>7.16386584078716E-008</v>
      </c>
      <c r="G48" s="3" t="n">
        <v>3.12869874322589E-007</v>
      </c>
      <c r="H48" s="1" t="n">
        <v>0.152368008217739</v>
      </c>
      <c r="I48" s="4" t="n">
        <v>0.720618314622491</v>
      </c>
      <c r="J48" s="4" t="n">
        <v>0.568250306404752</v>
      </c>
    </row>
    <row r="49" customFormat="false" ht="12.8" hidden="false" customHeight="false" outlineLevel="0" collapsed="false">
      <c r="B49" s="4" t="s">
        <v>7</v>
      </c>
      <c r="C49" s="1" t="n">
        <v>0.0572807534055345</v>
      </c>
      <c r="D49" s="1" t="n">
        <v>0.108991128921815</v>
      </c>
      <c r="E49" s="1" t="n">
        <v>0.00251652386976962</v>
      </c>
      <c r="F49" s="3" t="n">
        <v>3.79672741519463E-007</v>
      </c>
      <c r="G49" s="3" t="n">
        <v>9.68930300783612E-007</v>
      </c>
      <c r="H49" s="1" t="n">
        <v>0.144842849674803</v>
      </c>
      <c r="I49" s="4" t="n">
        <v>0.713093156079555</v>
      </c>
      <c r="J49" s="4" t="n">
        <v>0.568250306404752</v>
      </c>
    </row>
    <row r="51" customFormat="false" ht="12.8" hidden="false" customHeight="false" outlineLevel="0" collapsed="false">
      <c r="A51" s="4" t="s">
        <v>14</v>
      </c>
      <c r="B51" s="1"/>
      <c r="C51" s="1"/>
      <c r="D51" s="1"/>
      <c r="E51" s="1"/>
      <c r="F51" s="1"/>
      <c r="G51" s="1"/>
      <c r="H51" s="1"/>
    </row>
    <row r="52" customFormat="false" ht="12.8" hidden="false" customHeight="false" outlineLevel="0" collapsed="false">
      <c r="B52" s="1"/>
      <c r="C52" s="5" t="s">
        <v>15</v>
      </c>
      <c r="D52" s="5" t="s">
        <v>16</v>
      </c>
      <c r="E52" s="5" t="s">
        <v>17</v>
      </c>
      <c r="F52" s="5" t="s">
        <v>18</v>
      </c>
      <c r="G52" s="5" t="s">
        <v>19</v>
      </c>
      <c r="H52" s="5" t="s">
        <v>20</v>
      </c>
      <c r="I52" s="4" t="s">
        <v>21</v>
      </c>
      <c r="J52" s="4" t="s">
        <v>22</v>
      </c>
    </row>
    <row r="53" customFormat="false" ht="12.8" hidden="false" customHeight="false" outlineLevel="0" collapsed="false">
      <c r="B53" s="4" t="s">
        <v>4</v>
      </c>
      <c r="C53" s="1" t="n">
        <v>0.0485491512108616</v>
      </c>
      <c r="D53" s="1" t="n">
        <v>0.0774803186336932</v>
      </c>
      <c r="E53" s="1" t="n">
        <v>0.0259236465052402</v>
      </c>
      <c r="F53" s="3" t="n">
        <v>1.52505075243666E-006</v>
      </c>
      <c r="G53" s="3" t="n">
        <v>2.45107716640042E-006</v>
      </c>
      <c r="H53" s="1" t="n">
        <v>0.100280167562607</v>
      </c>
      <c r="I53" s="4" t="n">
        <v>0.742060887181061</v>
      </c>
      <c r="J53" s="4" t="n">
        <v>0.641780719618454</v>
      </c>
    </row>
    <row r="54" customFormat="false" ht="12.8" hidden="false" customHeight="false" outlineLevel="0" collapsed="false">
      <c r="B54" s="4" t="s">
        <v>5</v>
      </c>
      <c r="C54" s="1" t="n">
        <v>0.0498303802326085</v>
      </c>
      <c r="D54" s="1" t="n">
        <v>0.0774803186336932</v>
      </c>
      <c r="E54" s="1" t="n">
        <v>0.0351127395895175</v>
      </c>
      <c r="F54" s="3" t="n">
        <v>1.2042768205911E-006</v>
      </c>
      <c r="G54" s="3" t="n">
        <v>1.88109653188933E-006</v>
      </c>
      <c r="H54" s="1" t="n">
        <v>0.102284579112888</v>
      </c>
      <c r="I54" s="4" t="n">
        <v>0.744065298731342</v>
      </c>
      <c r="J54" s="4" t="n">
        <v>0.641780719618454</v>
      </c>
    </row>
    <row r="55" customFormat="false" ht="12.8" hidden="false" customHeight="false" outlineLevel="0" collapsed="false">
      <c r="B55" s="4" t="s">
        <v>6</v>
      </c>
      <c r="C55" s="1" t="n">
        <v>0.0407389749864047</v>
      </c>
      <c r="D55" s="1" t="n">
        <v>0.0774803186336932</v>
      </c>
      <c r="E55" s="1" t="n">
        <v>0.00253358529325572</v>
      </c>
      <c r="F55" s="3" t="n">
        <v>1.36552596538995E-006</v>
      </c>
      <c r="G55" s="3" t="n">
        <v>3.00484154552399E-006</v>
      </c>
      <c r="H55" s="1" t="n">
        <v>0.0965633709109353</v>
      </c>
      <c r="I55" s="4" t="n">
        <v>0.738344090529389</v>
      </c>
      <c r="J55" s="4" t="n">
        <v>0.641780719618454</v>
      </c>
    </row>
    <row r="56" customFormat="false" ht="12.8" hidden="false" customHeight="false" outlineLevel="0" collapsed="false">
      <c r="B56" s="4" t="s">
        <v>7</v>
      </c>
      <c r="C56" s="1" t="n">
        <v>0.0401649934314296</v>
      </c>
      <c r="D56" s="1" t="n">
        <v>0.0774803186336932</v>
      </c>
      <c r="E56" s="1" t="n">
        <v>0.00205694548781964</v>
      </c>
      <c r="F56" s="3" t="n">
        <v>8.25398350569956E-007</v>
      </c>
      <c r="G56" s="3" t="n">
        <v>1.9737004014302E-006</v>
      </c>
      <c r="H56" s="1" t="n">
        <v>0.0987923035746814</v>
      </c>
      <c r="I56" s="4" t="n">
        <v>0.740573023193135</v>
      </c>
      <c r="J56" s="4" t="n">
        <v>0.641780719618454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71"/>
  <sheetViews>
    <sheetView showFormulas="false" showGridLines="true" showRowColHeaders="true" showZeros="true" rightToLeft="false" tabSelected="false" showOutlineSymbols="true" defaultGridColor="true" view="normal" topLeftCell="A172" colorId="64" zoomScale="100" zoomScaleNormal="100" zoomScalePageLayoutView="100" workbookViewId="0">
      <selection pane="topLeft" activeCell="A163" activeCellId="0" sqref="A163"/>
    </sheetView>
  </sheetViews>
  <sheetFormatPr defaultColWidth="14.0703125" defaultRowHeight="12.8" customHeight="false" zeroHeight="false" outlineLevelRow="0" outlineLevelCol="0"/>
  <cols>
    <col collapsed="false" customWidth="false" hidden="false" outlineLevel="0" max="1" min="1" style="7" width="14.07"/>
    <col collapsed="false" customWidth="true" hidden="false" outlineLevel="0" max="2" min="2" style="7" width="20.52"/>
  </cols>
  <sheetData>
    <row r="2" customFormat="false" ht="12.8" hidden="false" customHeight="false" outlineLevel="0" collapsed="false">
      <c r="A2" s="7" t="s">
        <v>23</v>
      </c>
    </row>
    <row r="3" customFormat="false" ht="12.8" hidden="false" customHeight="false" outlineLevel="0" collapsed="false">
      <c r="B3" s="8" t="s">
        <v>24</v>
      </c>
      <c r="C3" s="9"/>
      <c r="D3" s="9"/>
      <c r="E3" s="9"/>
      <c r="F3" s="9"/>
      <c r="G3" s="9"/>
      <c r="H3" s="9"/>
    </row>
    <row r="4" customFormat="false" ht="12.8" hidden="false" customHeight="false" outlineLevel="0" collapsed="false">
      <c r="B4" s="9" t="s">
        <v>25</v>
      </c>
      <c r="C4" s="9" t="n">
        <v>0.05</v>
      </c>
      <c r="D4" s="9"/>
      <c r="E4" s="9"/>
      <c r="F4" s="9"/>
      <c r="G4" s="9"/>
      <c r="H4" s="9"/>
    </row>
    <row r="5" customFormat="false" ht="12.8" hidden="false" customHeight="false" outlineLevel="0" collapsed="false">
      <c r="B5" s="9"/>
      <c r="C5" s="9"/>
      <c r="D5" s="9"/>
      <c r="E5" s="9"/>
      <c r="F5" s="9"/>
      <c r="G5" s="9"/>
      <c r="H5" s="9"/>
    </row>
    <row r="6" customFormat="false" ht="12.8" hidden="false" customHeight="false" outlineLevel="0" collapsed="false">
      <c r="B6" s="9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/>
      <c r="H6" s="5"/>
    </row>
    <row r="7" customFormat="false" ht="12.8" hidden="false" customHeight="false" outlineLevel="0" collapsed="false">
      <c r="A7" s="7" t="s">
        <v>4</v>
      </c>
      <c r="B7" s="9" t="s">
        <v>31</v>
      </c>
      <c r="C7" s="5" t="n">
        <f aca="false">COUNT('[3]inter-system stats'!$B$34:$B$59)</f>
        <v>25</v>
      </c>
      <c r="D7" s="5" t="n">
        <f aca="false">SUM('[3]inter-system stats'!$B$34:$B$59)</f>
        <v>18.3260346903926</v>
      </c>
      <c r="E7" s="5" t="n">
        <f aca="false">AVERAGE('[3]inter-system stats'!$B$34:$B$59)</f>
        <v>0.733041387615704</v>
      </c>
      <c r="F7" s="5" t="n">
        <f aca="false">VAR('[3]inter-system stats'!$B$34:$B$59)</f>
        <v>0.00428805866426504</v>
      </c>
      <c r="G7" s="5"/>
      <c r="H7" s="5"/>
    </row>
    <row r="8" customFormat="false" ht="12.8" hidden="false" customHeight="false" outlineLevel="0" collapsed="false">
      <c r="A8" s="7" t="s">
        <v>5</v>
      </c>
      <c r="B8" s="9" t="s">
        <v>32</v>
      </c>
      <c r="C8" s="5" t="n">
        <f aca="false">COUNT('[3]inter-system stats'!$C$34:$C$59)</f>
        <v>25</v>
      </c>
      <c r="D8" s="5" t="n">
        <f aca="false">SUM('[3]inter-system stats'!$C$34:$C$59)</f>
        <v>18.2637744597571</v>
      </c>
      <c r="E8" s="5" t="n">
        <f aca="false">AVERAGE('[3]inter-system stats'!$C$34:$C$59)</f>
        <v>0.730550978390282</v>
      </c>
      <c r="F8" s="5" t="n">
        <f aca="false">VAR('[3]inter-system stats'!$C$34:$C$59)</f>
        <v>0.0032014708633712</v>
      </c>
      <c r="G8" s="5"/>
      <c r="H8" s="5"/>
    </row>
    <row r="9" customFormat="false" ht="12.8" hidden="false" customHeight="false" outlineLevel="0" collapsed="false">
      <c r="A9" s="7" t="s">
        <v>6</v>
      </c>
      <c r="B9" s="9" t="s">
        <v>33</v>
      </c>
      <c r="C9" s="5" t="n">
        <f aca="false">COUNT('[3]inter-system stats'!$D$34:$D$59)</f>
        <v>25</v>
      </c>
      <c r="D9" s="5" t="n">
        <f aca="false">SUM('[3]inter-system stats'!$D$34:$D$59)</f>
        <v>18.2681627378252</v>
      </c>
      <c r="E9" s="5" t="n">
        <f aca="false">AVERAGE('[3]inter-system stats'!$D$34:$D$59)</f>
        <v>0.730726509513007</v>
      </c>
      <c r="F9" s="5" t="n">
        <f aca="false">VAR('[3]inter-system stats'!$D$34:$D$59)</f>
        <v>0.00460998896090856</v>
      </c>
      <c r="G9" s="5"/>
      <c r="H9" s="5"/>
    </row>
    <row r="10" customFormat="false" ht="12.8" hidden="false" customHeight="false" outlineLevel="0" collapsed="false">
      <c r="A10" s="7" t="s">
        <v>7</v>
      </c>
      <c r="B10" s="9" t="s">
        <v>34</v>
      </c>
      <c r="C10" s="5" t="n">
        <f aca="false">COUNT('[3]inter-system stats'!$E$34:$E$59)</f>
        <v>25</v>
      </c>
      <c r="D10" s="5" t="n">
        <f aca="false">SUM('[3]inter-system stats'!$E$34:$E$59)</f>
        <v>17.9270121286427</v>
      </c>
      <c r="E10" s="5" t="n">
        <f aca="false">AVERAGE('[3]inter-system stats'!$E$34:$E$59)</f>
        <v>0.717080485145708</v>
      </c>
      <c r="F10" s="5" t="n">
        <f aca="false">VAR('[3]inter-system stats'!$E$34:$E$59)</f>
        <v>0.00369439566243724</v>
      </c>
      <c r="G10" s="5"/>
      <c r="H10" s="5"/>
    </row>
    <row r="11" customFormat="false" ht="12.8" hidden="false" customHeight="false" outlineLevel="0" collapsed="false">
      <c r="B11" s="9"/>
      <c r="C11" s="5"/>
      <c r="D11" s="5"/>
      <c r="E11" s="5"/>
      <c r="F11" s="5"/>
      <c r="G11" s="5"/>
      <c r="H11" s="5"/>
    </row>
    <row r="12" customFormat="false" ht="12.8" hidden="false" customHeight="false" outlineLevel="0" collapsed="false">
      <c r="B12" s="9" t="s">
        <v>35</v>
      </c>
      <c r="C12" s="5" t="s">
        <v>36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41</v>
      </c>
    </row>
    <row r="13" customFormat="false" ht="12.8" hidden="false" customHeight="false" outlineLevel="0" collapsed="false">
      <c r="B13" s="9" t="s">
        <v>42</v>
      </c>
      <c r="C13" s="5" t="n">
        <f aca="false">SUMPRODUCT('Anova-prompt-response'!$D$7:$D$10,'Anova-prompt-response'!$E$7:$E$10)-SUM('Anova-prompt-response'!$D$7:$D$10)^2/SUM('Anova-prompt-response'!$C$7:$C$10)</f>
        <v>0.00396256366785508</v>
      </c>
      <c r="D13" s="5" t="n">
        <f aca="false">COUNT('Anova-prompt-response'!$D$7:$D$10)-1</f>
        <v>3</v>
      </c>
      <c r="E13" s="5" t="n">
        <f aca="false">'Anova-prompt-response'!$C$13 / 'Anova-prompt-response'!$D$13</f>
        <v>0.00132085455595169</v>
      </c>
      <c r="F13" s="5" t="n">
        <f aca="false">'Anova-prompt-response'!$E$13 / 'Anova-prompt-response'!$E$14</f>
        <v>0.334522409916877</v>
      </c>
      <c r="G13" s="5" t="n">
        <f aca="false">FDIST('Anova-prompt-response'!$F$13, 'Anova-prompt-response'!$D$13, 'Anova-prompt-response'!$D$14)</f>
        <v>0.800397615220014</v>
      </c>
      <c r="H13" s="5" t="n">
        <f aca="false">FINV('Anova-prompt-response'!$C$4, 'Anova-prompt-response'!$D$13, 'Anova-prompt-response'!$D$14)</f>
        <v>2.69939259755218</v>
      </c>
    </row>
    <row r="14" customFormat="false" ht="12.8" hidden="false" customHeight="false" outlineLevel="0" collapsed="false">
      <c r="B14" s="9" t="s">
        <v>43</v>
      </c>
      <c r="C14" s="5" t="n">
        <f aca="false">SUM(DEVSQ('[3]inter-system stats'!$B$34:$B$59),DEVSQ('[3]inter-system stats'!$C$34:$C$59),DEVSQ('[3]inter-system stats'!$D$34:$D$59),DEVSQ('[3]inter-system stats'!$E$34:$E$59))</f>
        <v>0.379053939623569</v>
      </c>
      <c r="D14" s="5" t="n">
        <f aca="false">SUM('Anova-prompt-response'!$C$7:$C$10)-COUNT('Anova-prompt-response'!$C$7:$C$10)</f>
        <v>96</v>
      </c>
      <c r="E14" s="5" t="n">
        <f aca="false">'Anova-prompt-response'!$C$14 / 'Anova-prompt-response'!$D$14</f>
        <v>0.00394847853774551</v>
      </c>
      <c r="F14" s="5"/>
      <c r="G14" s="5"/>
      <c r="H14" s="5"/>
    </row>
    <row r="15" customFormat="false" ht="12.8" hidden="false" customHeight="false" outlineLevel="0" collapsed="false">
      <c r="B15" s="9" t="s">
        <v>44</v>
      </c>
      <c r="C15" s="5" t="n">
        <f aca="false">DEVSQ('[3]inter-system stats'!$B$34:$B$59,'[3]inter-system stats'!$C$34:$C$59,'[3]inter-system stats'!$D$34:$D$59,'[3]inter-system stats'!$E$34:$E$59)</f>
        <v>0.383016503291427</v>
      </c>
      <c r="D15" s="5" t="n">
        <f aca="false">SUM('Anova-prompt-response'!$C$7:$C$10) - 1</f>
        <v>99</v>
      </c>
      <c r="E15" s="5"/>
      <c r="F15" s="5"/>
      <c r="G15" s="5"/>
      <c r="H15" s="5"/>
    </row>
    <row r="16" customFormat="false" ht="12.8" hidden="false" customHeight="false" outlineLevel="0" collapsed="false">
      <c r="B16" s="8" t="s">
        <v>24</v>
      </c>
      <c r="C16" s="9"/>
      <c r="D16" s="9"/>
      <c r="E16" s="9"/>
      <c r="F16" s="9"/>
      <c r="G16" s="9"/>
      <c r="H16" s="9"/>
    </row>
    <row r="17" customFormat="false" ht="12.8" hidden="false" customHeight="false" outlineLevel="0" collapsed="false">
      <c r="B17" s="10"/>
      <c r="C17" s="9"/>
      <c r="D17" s="9"/>
      <c r="E17" s="9"/>
      <c r="F17" s="9"/>
      <c r="G17" s="9"/>
      <c r="H17" s="9"/>
    </row>
    <row r="18" customFormat="false" ht="12.8" hidden="false" customHeight="false" outlineLevel="0" collapsed="false">
      <c r="B18" s="10"/>
      <c r="C18" s="9"/>
      <c r="D18" s="9"/>
      <c r="E18" s="9"/>
      <c r="F18" s="9"/>
      <c r="G18" s="9"/>
      <c r="H18" s="9"/>
    </row>
    <row r="19" customFormat="false" ht="12.8" hidden="false" customHeight="false" outlineLevel="0" collapsed="false">
      <c r="B19" s="10"/>
      <c r="C19" s="9"/>
      <c r="D19" s="9"/>
      <c r="E19" s="9"/>
      <c r="F19" s="9"/>
      <c r="G19" s="9"/>
      <c r="H19" s="9"/>
    </row>
    <row r="20" customFormat="false" ht="12.8" hidden="false" customHeight="false" outlineLevel="0" collapsed="false">
      <c r="B20" s="10"/>
      <c r="C20" s="9"/>
      <c r="D20" s="9"/>
      <c r="E20" s="9"/>
      <c r="F20" s="9"/>
      <c r="G20" s="9"/>
      <c r="H20" s="9"/>
    </row>
    <row r="21" customFormat="false" ht="12.8" hidden="false" customHeight="false" outlineLevel="0" collapsed="false">
      <c r="B21" s="10"/>
      <c r="C21" s="9"/>
      <c r="D21" s="9"/>
      <c r="E21" s="9"/>
      <c r="F21" s="9"/>
      <c r="G21" s="9"/>
      <c r="H21" s="9"/>
    </row>
    <row r="22" customFormat="false" ht="12.8" hidden="false" customHeight="false" outlineLevel="0" collapsed="false">
      <c r="B22" s="10"/>
      <c r="C22" s="9"/>
      <c r="D22" s="9"/>
      <c r="E22" s="9"/>
      <c r="F22" s="9"/>
      <c r="G22" s="9"/>
      <c r="H22" s="9"/>
    </row>
    <row r="23" customFormat="false" ht="12.8" hidden="false" customHeight="false" outlineLevel="0" collapsed="false">
      <c r="F23" s="9"/>
    </row>
    <row r="25" customFormat="false" ht="12.8" hidden="false" customHeight="false" outlineLevel="0" collapsed="false">
      <c r="A25" s="7" t="s">
        <v>8</v>
      </c>
    </row>
    <row r="27" customFormat="false" ht="12.8" hidden="false" customHeight="false" outlineLevel="0" collapsed="false">
      <c r="B27" s="11" t="s">
        <v>24</v>
      </c>
      <c r="C27" s="5"/>
      <c r="D27" s="5"/>
      <c r="E27" s="5"/>
      <c r="F27" s="5"/>
      <c r="G27" s="5"/>
      <c r="H27" s="5"/>
    </row>
    <row r="28" customFormat="false" ht="12.8" hidden="false" customHeight="false" outlineLevel="0" collapsed="false">
      <c r="B28" s="10" t="s">
        <v>25</v>
      </c>
      <c r="C28" s="5" t="n">
        <v>0.05</v>
      </c>
      <c r="D28" s="5"/>
      <c r="E28" s="5"/>
      <c r="F28" s="5"/>
      <c r="G28" s="5"/>
      <c r="H28" s="5"/>
    </row>
    <row r="29" customFormat="false" ht="12.8" hidden="false" customHeight="false" outlineLevel="0" collapsed="false">
      <c r="B29" s="10"/>
      <c r="C29" s="5"/>
      <c r="D29" s="5"/>
      <c r="E29" s="5"/>
      <c r="F29" s="5"/>
      <c r="G29" s="5"/>
      <c r="H29" s="5"/>
    </row>
    <row r="30" customFormat="false" ht="12.8" hidden="false" customHeight="false" outlineLevel="0" collapsed="false">
      <c r="B30" s="10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/>
      <c r="H30" s="5"/>
    </row>
    <row r="31" customFormat="false" ht="12.8" hidden="false" customHeight="false" outlineLevel="0" collapsed="false">
      <c r="A31" s="7" t="s">
        <v>4</v>
      </c>
      <c r="B31" s="10" t="s">
        <v>31</v>
      </c>
      <c r="C31" s="5" t="n">
        <f aca="false">COUNT([4]inter_system_stats!$B$35:$B$60)</f>
        <v>25</v>
      </c>
      <c r="D31" s="5" t="n">
        <f aca="false">SUM([4]inter_system_stats!$B$35:$B$60)</f>
        <v>18.7823258221506</v>
      </c>
      <c r="E31" s="5" t="n">
        <f aca="false">AVERAGE([4]inter_system_stats!$B$35:$B$60)</f>
        <v>0.751293032886024</v>
      </c>
      <c r="F31" s="5" t="n">
        <f aca="false">VAR([4]inter_system_stats!$B$35:$B$60)</f>
        <v>0.00213223614861003</v>
      </c>
      <c r="G31" s="5"/>
      <c r="H31" s="5"/>
    </row>
    <row r="32" customFormat="false" ht="12.8" hidden="false" customHeight="false" outlineLevel="0" collapsed="false">
      <c r="A32" s="7" t="s">
        <v>5</v>
      </c>
      <c r="B32" s="10" t="s">
        <v>32</v>
      </c>
      <c r="C32" s="5" t="n">
        <f aca="false">COUNT([4]inter_system_stats!$C$35:$C$60)</f>
        <v>25</v>
      </c>
      <c r="D32" s="5" t="n">
        <f aca="false">SUM([4]inter_system_stats!$C$35:$C$60)</f>
        <v>18.8111044590845</v>
      </c>
      <c r="E32" s="5" t="n">
        <f aca="false">AVERAGE([4]inter_system_stats!$C$35:$C$60)</f>
        <v>0.752444178363381</v>
      </c>
      <c r="F32" s="5" t="n">
        <f aca="false">VAR([4]inter_system_stats!$C$35:$C$60)</f>
        <v>0.00231810364606429</v>
      </c>
      <c r="G32" s="5"/>
      <c r="H32" s="5"/>
    </row>
    <row r="33" customFormat="false" ht="12.8" hidden="false" customHeight="false" outlineLevel="0" collapsed="false">
      <c r="A33" s="7" t="s">
        <v>6</v>
      </c>
      <c r="B33" s="10" t="s">
        <v>33</v>
      </c>
      <c r="C33" s="5" t="n">
        <f aca="false">COUNT([4]inter_system_stats!$D$35:$D$60)</f>
        <v>25</v>
      </c>
      <c r="D33" s="5" t="n">
        <f aca="false">SUM([4]inter_system_stats!$D$35:$D$60)</f>
        <v>18.8051590677053</v>
      </c>
      <c r="E33" s="5" t="n">
        <f aca="false">AVERAGE([4]inter_system_stats!$D$35:$D$60)</f>
        <v>0.752206362708213</v>
      </c>
      <c r="F33" s="5" t="n">
        <f aca="false">VAR([4]inter_system_stats!$D$35:$D$60)</f>
        <v>0.00202400865138334</v>
      </c>
      <c r="G33" s="5"/>
      <c r="H33" s="5"/>
    </row>
    <row r="34" customFormat="false" ht="12.8" hidden="false" customHeight="false" outlineLevel="0" collapsed="false">
      <c r="A34" s="7" t="s">
        <v>7</v>
      </c>
      <c r="B34" s="10" t="s">
        <v>34</v>
      </c>
      <c r="C34" s="5" t="n">
        <f aca="false">COUNT([4]inter_system_stats!$E$35:$E$60)</f>
        <v>25</v>
      </c>
      <c r="D34" s="5" t="n">
        <f aca="false">SUM([4]inter_system_stats!$E$35:$E$60)</f>
        <v>18.7266587732978</v>
      </c>
      <c r="E34" s="5" t="n">
        <f aca="false">AVERAGE([4]inter_system_stats!$E$35:$E$60)</f>
        <v>0.749066350931911</v>
      </c>
      <c r="F34" s="5" t="n">
        <f aca="false">VAR([4]inter_system_stats!$E$35:$E$60)</f>
        <v>0.00203641681568622</v>
      </c>
      <c r="G34" s="5"/>
      <c r="H34" s="5"/>
    </row>
    <row r="35" customFormat="false" ht="12.8" hidden="false" customHeight="false" outlineLevel="0" collapsed="false">
      <c r="B35" s="10"/>
      <c r="C35" s="5"/>
      <c r="D35" s="5"/>
      <c r="E35" s="5"/>
      <c r="F35" s="5"/>
      <c r="G35" s="5"/>
      <c r="H35" s="5"/>
    </row>
    <row r="36" customFormat="false" ht="12.8" hidden="false" customHeight="false" outlineLevel="0" collapsed="false">
      <c r="B36" s="10" t="s">
        <v>35</v>
      </c>
      <c r="C36" s="5" t="s">
        <v>36</v>
      </c>
      <c r="D36" s="5" t="s">
        <v>37</v>
      </c>
      <c r="E36" s="5" t="s">
        <v>38</v>
      </c>
      <c r="F36" s="5" t="s">
        <v>39</v>
      </c>
      <c r="G36" s="5" t="s">
        <v>40</v>
      </c>
      <c r="H36" s="5" t="s">
        <v>41</v>
      </c>
    </row>
    <row r="37" customFormat="false" ht="12.8" hidden="false" customHeight="false" outlineLevel="0" collapsed="false">
      <c r="B37" s="10" t="s">
        <v>42</v>
      </c>
      <c r="C37" s="5" t="n">
        <f aca="false">SUMPRODUCT('Anova-prompt-response'!$D$31:$D$34,'Anova-prompt-response'!$E$31:$E$34)-SUM('Anova-prompt-response'!$D$31:$D$34)^2/SUM('Anova-prompt-response'!$C$31:$C$34)</f>
        <v>0.000177771051234288</v>
      </c>
      <c r="D37" s="5" t="n">
        <f aca="false">COUNT('Anova-prompt-response'!$D$31:$D$34)-1</f>
        <v>3</v>
      </c>
      <c r="E37" s="5" t="n">
        <f aca="false">'Anova-prompt-response'!$C$37 / 'Anova-prompt-response'!$D$37</f>
        <v>5.92570170780959E-005</v>
      </c>
      <c r="F37" s="5" t="n">
        <f aca="false">'Anova-prompt-response'!$E$37 / 'Anova-prompt-response'!$E$38</f>
        <v>0.027850382547599</v>
      </c>
      <c r="G37" s="5" t="n">
        <f aca="false">FDIST('Anova-prompt-response'!$F$37, 'Anova-prompt-response'!$D$37, 'Anova-prompt-response'!$D$38)</f>
        <v>0.993691556840086</v>
      </c>
      <c r="H37" s="5" t="n">
        <f aca="false">FINV('Anova-prompt-response'!$C$28, 'Anova-prompt-response'!$D$37, 'Anova-prompt-response'!$D$38)</f>
        <v>2.69939259755218</v>
      </c>
    </row>
    <row r="38" customFormat="false" ht="12.8" hidden="false" customHeight="false" outlineLevel="0" collapsed="false">
      <c r="B38" s="10" t="s">
        <v>43</v>
      </c>
      <c r="C38" s="5" t="n">
        <f aca="false">SUM(DEVSQ([4]inter_system_stats!$B$35:$B$60),DEVSQ([4]inter_system_stats!$C$35:$C$60),DEVSQ([4]inter_system_stats!$D$35:$D$60),DEVSQ([4]inter_system_stats!$E$35:$E$60))</f>
        <v>0.204258366281853</v>
      </c>
      <c r="D38" s="5" t="n">
        <f aca="false">SUM('Anova-prompt-response'!$C$31:$C$34)-COUNT('Anova-prompt-response'!$C$31:$C$34)</f>
        <v>96</v>
      </c>
      <c r="E38" s="5" t="n">
        <f aca="false">'Anova-prompt-response'!$C$38 / 'Anova-prompt-response'!$D$38</f>
        <v>0.00212769131543597</v>
      </c>
      <c r="F38" s="5"/>
      <c r="G38" s="5"/>
      <c r="H38" s="5"/>
    </row>
    <row r="39" customFormat="false" ht="12.8" hidden="false" customHeight="false" outlineLevel="0" collapsed="false">
      <c r="B39" s="10" t="s">
        <v>44</v>
      </c>
      <c r="C39" s="5" t="n">
        <f aca="false">DEVSQ([4]inter_system_stats!$B$35:$B$60,[4]inter_system_stats!$C$35:$C$60,[4]inter_system_stats!$D$35:$D$60,[4]inter_system_stats!$E$35:$E$60)</f>
        <v>0.204436137333084</v>
      </c>
      <c r="D39" s="5" t="n">
        <f aca="false">SUM('Anova-prompt-response'!$C$31:$C$34) - 1</f>
        <v>99</v>
      </c>
      <c r="E39" s="5"/>
      <c r="F39" s="5"/>
      <c r="G39" s="5"/>
      <c r="H39" s="5"/>
    </row>
    <row r="48" customFormat="false" ht="12.8" hidden="false" customHeight="false" outlineLevel="0" collapsed="false">
      <c r="A48" s="7" t="s">
        <v>9</v>
      </c>
    </row>
    <row r="49" customFormat="false" ht="12.8" hidden="false" customHeight="false" outlineLevel="0" collapsed="false">
      <c r="B49" s="8" t="s">
        <v>24</v>
      </c>
      <c r="C49" s="12"/>
      <c r="D49" s="12"/>
      <c r="E49" s="12"/>
      <c r="F49" s="12"/>
      <c r="G49" s="12"/>
      <c r="H49" s="12"/>
    </row>
    <row r="50" customFormat="false" ht="12.8" hidden="false" customHeight="false" outlineLevel="0" collapsed="false">
      <c r="B50" s="12" t="s">
        <v>25</v>
      </c>
      <c r="C50" s="12" t="n">
        <v>0.05</v>
      </c>
      <c r="D50" s="12"/>
      <c r="E50" s="12"/>
      <c r="F50" s="12"/>
      <c r="G50" s="12"/>
      <c r="H50" s="12"/>
    </row>
    <row r="51" customFormat="false" ht="12.8" hidden="false" customHeight="false" outlineLevel="0" collapsed="false">
      <c r="B51" s="12"/>
      <c r="C51" s="12"/>
      <c r="D51" s="12"/>
      <c r="E51" s="12"/>
      <c r="F51" s="12"/>
      <c r="G51" s="12"/>
      <c r="H51" s="12"/>
    </row>
    <row r="52" customFormat="false" ht="12.8" hidden="false" customHeight="false" outlineLevel="0" collapsed="false">
      <c r="B52" s="12" t="s">
        <v>26</v>
      </c>
      <c r="C52" s="13" t="s">
        <v>27</v>
      </c>
      <c r="D52" s="13" t="s">
        <v>28</v>
      </c>
      <c r="E52" s="13" t="s">
        <v>29</v>
      </c>
      <c r="F52" s="13" t="s">
        <v>30</v>
      </c>
      <c r="G52" s="13"/>
      <c r="H52" s="13"/>
    </row>
    <row r="53" customFormat="false" ht="12.8" hidden="false" customHeight="false" outlineLevel="0" collapsed="false">
      <c r="A53" s="7" t="s">
        <v>4</v>
      </c>
      <c r="B53" s="12" t="s">
        <v>31</v>
      </c>
      <c r="C53" s="13" t="n">
        <f aca="false">COUNT([5]inter_system_stats!$B$33:$B$57)</f>
        <v>24</v>
      </c>
      <c r="D53" s="13" t="n">
        <f aca="false">SUM([5]inter_system_stats!$B$33:$B$57)</f>
        <v>17.5648419631924</v>
      </c>
      <c r="E53" s="13" t="n">
        <f aca="false">AVERAGE([5]inter_system_stats!$B$33:$B$57)</f>
        <v>0.731868415133018</v>
      </c>
      <c r="F53" s="13" t="n">
        <f aca="false">VAR([5]inter_system_stats!$B$33:$B$57)</f>
        <v>0.00492049561898011</v>
      </c>
      <c r="G53" s="13"/>
      <c r="H53" s="13"/>
    </row>
    <row r="54" customFormat="false" ht="12.8" hidden="false" customHeight="false" outlineLevel="0" collapsed="false">
      <c r="A54" s="7" t="s">
        <v>5</v>
      </c>
      <c r="B54" s="12" t="s">
        <v>32</v>
      </c>
      <c r="C54" s="13" t="n">
        <f aca="false">COUNT([5]inter_system_stats!$C$33:$C$57)</f>
        <v>24</v>
      </c>
      <c r="D54" s="13" t="n">
        <f aca="false">SUM([5]inter_system_stats!$C$33:$C$57)</f>
        <v>17.3271309109772</v>
      </c>
      <c r="E54" s="13" t="n">
        <f aca="false">AVERAGE([5]inter_system_stats!$C$33:$C$57)</f>
        <v>0.721963787957385</v>
      </c>
      <c r="F54" s="13" t="n">
        <f aca="false">VAR([5]inter_system_stats!$C$33:$C$57)</f>
        <v>0.00544828945776271</v>
      </c>
      <c r="G54" s="13"/>
      <c r="H54" s="13"/>
    </row>
    <row r="55" customFormat="false" ht="12.8" hidden="false" customHeight="false" outlineLevel="0" collapsed="false">
      <c r="A55" s="7" t="s">
        <v>6</v>
      </c>
      <c r="B55" s="12" t="s">
        <v>33</v>
      </c>
      <c r="C55" s="13" t="n">
        <f aca="false">COUNT([5]inter_system_stats!$D$33:$D$57)</f>
        <v>24</v>
      </c>
      <c r="D55" s="13" t="n">
        <f aca="false">SUM([5]inter_system_stats!$D$33:$D$57)</f>
        <v>17.3599522148907</v>
      </c>
      <c r="E55" s="13" t="n">
        <f aca="false">AVERAGE([5]inter_system_stats!$D$33:$D$57)</f>
        <v>0.723331342287111</v>
      </c>
      <c r="F55" s="13" t="n">
        <f aca="false">VAR([5]inter_system_stats!$D$33:$D$57)</f>
        <v>0.00437059733174479</v>
      </c>
      <c r="G55" s="13"/>
      <c r="H55" s="13"/>
    </row>
    <row r="56" customFormat="false" ht="12.8" hidden="false" customHeight="false" outlineLevel="0" collapsed="false">
      <c r="A56" s="7" t="s">
        <v>7</v>
      </c>
      <c r="B56" s="12" t="s">
        <v>34</v>
      </c>
      <c r="C56" s="13" t="n">
        <f aca="false">COUNT([5]inter_system_stats!$E$33:$E$57)</f>
        <v>24</v>
      </c>
      <c r="D56" s="13" t="n">
        <f aca="false">SUM([5]inter_system_stats!$E$33:$E$57)</f>
        <v>17.1516075013849</v>
      </c>
      <c r="E56" s="13" t="n">
        <f aca="false">AVERAGE([5]inter_system_stats!$E$33:$E$57)</f>
        <v>0.714650312557705</v>
      </c>
      <c r="F56" s="13" t="n">
        <f aca="false">VAR([5]inter_system_stats!$E$33:$E$57)</f>
        <v>0.00562456734780824</v>
      </c>
      <c r="G56" s="13"/>
      <c r="H56" s="13"/>
    </row>
    <row r="57" customFormat="false" ht="12.8" hidden="false" customHeight="false" outlineLevel="0" collapsed="false">
      <c r="B57" s="12"/>
      <c r="C57" s="13"/>
      <c r="D57" s="13"/>
      <c r="E57" s="13"/>
      <c r="F57" s="13"/>
      <c r="G57" s="13"/>
      <c r="H57" s="13"/>
    </row>
    <row r="58" customFormat="false" ht="12.8" hidden="false" customHeight="false" outlineLevel="0" collapsed="false">
      <c r="B58" s="12" t="s">
        <v>35</v>
      </c>
      <c r="C58" s="13" t="s">
        <v>36</v>
      </c>
      <c r="D58" s="13" t="s">
        <v>37</v>
      </c>
      <c r="E58" s="13" t="s">
        <v>38</v>
      </c>
      <c r="F58" s="13" t="s">
        <v>39</v>
      </c>
      <c r="G58" s="13" t="s">
        <v>40</v>
      </c>
      <c r="H58" s="13" t="s">
        <v>41</v>
      </c>
    </row>
    <row r="59" customFormat="false" ht="12.8" hidden="false" customHeight="false" outlineLevel="0" collapsed="false">
      <c r="B59" s="12" t="s">
        <v>42</v>
      </c>
      <c r="C59" s="13" t="n">
        <f aca="false">SUMPRODUCT('Anova-prompt-response'!$D$53:$D$56,'Anova-prompt-response'!$E$53:$E$56)-SUM('Anova-prompt-response'!$D$53:$D$56)^2/SUM('Anova-prompt-response'!$C$53:$C$56)</f>
        <v>0.00358898227791826</v>
      </c>
      <c r="D59" s="13" t="n">
        <f aca="false">COUNT('Anova-prompt-response'!$D$53:$D$56)-1</f>
        <v>3</v>
      </c>
      <c r="E59" s="13" t="n">
        <f aca="false">'Anova-prompt-response'!$C$59 / 'Anova-prompt-response'!$D$59</f>
        <v>0.00119632742597275</v>
      </c>
      <c r="F59" s="13" t="n">
        <f aca="false">'Anova-prompt-response'!$E$59 / 'Anova-prompt-response'!$E$60</f>
        <v>0.234989270802515</v>
      </c>
      <c r="G59" s="13" t="n">
        <f aca="false">FDIST('Anova-prompt-response'!$F$59, 'Anova-prompt-response'!$D$59, 'Anova-prompt-response'!$D$60)</f>
        <v>0.871773495471424</v>
      </c>
      <c r="H59" s="13" t="n">
        <f aca="false">FINV('Anova-prompt-response'!$C$50, 'Anova-prompt-response'!$D$59, 'Anova-prompt-response'!$D$60)</f>
        <v>2.70359404136444</v>
      </c>
    </row>
    <row r="60" customFormat="false" ht="12.8" hidden="false" customHeight="false" outlineLevel="0" collapsed="false">
      <c r="B60" s="12" t="s">
        <v>43</v>
      </c>
      <c r="C60" s="13" t="n">
        <f aca="false">SUM(DEVSQ([5]inter_system_stats!$B$33:$B$57),DEVSQ([5]inter_system_stats!$C$33:$C$57),DEVSQ([5]inter_system_stats!$D$33:$D$57),DEVSQ([5]inter_system_stats!$E$33:$E$57))</f>
        <v>0.468370844394804</v>
      </c>
      <c r="D60" s="13" t="n">
        <f aca="false">SUM('Anova-prompt-response'!$C$53:$C$56)-COUNT('Anova-prompt-response'!$C$53:$C$56)</f>
        <v>92</v>
      </c>
      <c r="E60" s="13" t="n">
        <f aca="false">'Anova-prompt-response'!$C$60 / 'Anova-prompt-response'!$D$60</f>
        <v>0.00509098743907396</v>
      </c>
      <c r="F60" s="13"/>
      <c r="G60" s="13"/>
      <c r="H60" s="13"/>
    </row>
    <row r="61" customFormat="false" ht="12.8" hidden="false" customHeight="false" outlineLevel="0" collapsed="false">
      <c r="B61" s="12" t="s">
        <v>44</v>
      </c>
      <c r="C61" s="13" t="n">
        <f aca="false">DEVSQ([5]inter_system_stats!$B$33:$B$57,[5]inter_system_stats!$C$33:$C$57,[5]inter_system_stats!$D$33:$D$57,[5]inter_system_stats!$E$33:$E$57)</f>
        <v>0.471959826672732</v>
      </c>
      <c r="D61" s="13" t="n">
        <f aca="false">SUM('Anova-prompt-response'!$C$53:$C$56) - 1</f>
        <v>95</v>
      </c>
      <c r="E61" s="13"/>
      <c r="F61" s="13"/>
      <c r="G61" s="13"/>
      <c r="H61" s="13"/>
    </row>
    <row r="69" customFormat="false" ht="12.8" hidden="false" customHeight="false" outlineLevel="0" collapsed="false">
      <c r="A69" s="7" t="s">
        <v>10</v>
      </c>
    </row>
    <row r="70" customFormat="false" ht="12.8" hidden="false" customHeight="false" outlineLevel="0" collapsed="false">
      <c r="B70" s="14" t="s">
        <v>24</v>
      </c>
      <c r="E70" s="14"/>
      <c r="F70" s="14"/>
      <c r="G70" s="14"/>
      <c r="H70" s="14"/>
    </row>
    <row r="71" customFormat="false" ht="12.8" hidden="false" customHeight="false" outlineLevel="0" collapsed="false">
      <c r="B71" s="15" t="s">
        <v>25</v>
      </c>
      <c r="C71" s="1" t="n">
        <v>0.05</v>
      </c>
      <c r="E71" s="15"/>
      <c r="F71" s="15"/>
      <c r="G71" s="15"/>
      <c r="H71" s="15"/>
    </row>
    <row r="72" customFormat="false" ht="12.8" hidden="false" customHeight="false" outlineLevel="0" collapsed="false">
      <c r="B72" s="15"/>
      <c r="E72" s="15"/>
      <c r="F72" s="15"/>
      <c r="G72" s="15"/>
      <c r="H72" s="15"/>
    </row>
    <row r="73" customFormat="false" ht="12.8" hidden="false" customHeight="false" outlineLevel="0" collapsed="false">
      <c r="B73" s="15" t="s">
        <v>26</v>
      </c>
      <c r="C73" s="1" t="s">
        <v>27</v>
      </c>
      <c r="D73" s="1" t="s">
        <v>28</v>
      </c>
      <c r="E73" s="15" t="s">
        <v>29</v>
      </c>
      <c r="F73" s="15" t="s">
        <v>30</v>
      </c>
      <c r="G73" s="15"/>
      <c r="H73" s="15"/>
    </row>
    <row r="74" customFormat="false" ht="12.8" hidden="false" customHeight="false" outlineLevel="0" collapsed="false">
      <c r="A74" s="7" t="s">
        <v>4</v>
      </c>
      <c r="B74" s="15" t="s">
        <v>31</v>
      </c>
      <c r="C74" s="1" t="n">
        <f aca="false">COUNT([6]inter_system_stats!$B$34:$B$59)</f>
        <v>25</v>
      </c>
      <c r="D74" s="1" t="n">
        <f aca="false">SUM([6]inter_system_stats!$B$34:$B$59)</f>
        <v>18.3622593446155</v>
      </c>
      <c r="E74" s="15" t="n">
        <f aca="false">AVERAGE([6]inter_system_stats!$B$34:$B$59)</f>
        <v>0.734490373784622</v>
      </c>
      <c r="F74" s="15" t="n">
        <f aca="false">VAR([6]inter_system_stats!$B$34:$B$59)</f>
        <v>0.00341183321168499</v>
      </c>
      <c r="G74" s="15"/>
      <c r="H74" s="15"/>
    </row>
    <row r="75" customFormat="false" ht="12.8" hidden="false" customHeight="false" outlineLevel="0" collapsed="false">
      <c r="A75" s="7" t="s">
        <v>5</v>
      </c>
      <c r="B75" s="15" t="s">
        <v>32</v>
      </c>
      <c r="C75" s="1" t="n">
        <f aca="false">COUNT([6]inter_system_stats!$C$34:$C$59)</f>
        <v>25</v>
      </c>
      <c r="D75" s="1" t="n">
        <f aca="false">SUM([6]inter_system_stats!$C$34:$C$59)</f>
        <v>18.1933898569111</v>
      </c>
      <c r="E75" s="15" t="n">
        <f aca="false">AVERAGE([6]inter_system_stats!$C$34:$C$59)</f>
        <v>0.727735594276442</v>
      </c>
      <c r="F75" s="15" t="n">
        <f aca="false">VAR([6]inter_system_stats!$C$34:$C$59)</f>
        <v>0.00415956848228219</v>
      </c>
      <c r="G75" s="15"/>
      <c r="H75" s="15"/>
    </row>
    <row r="76" customFormat="false" ht="12.8" hidden="false" customHeight="false" outlineLevel="0" collapsed="false">
      <c r="A76" s="7" t="s">
        <v>6</v>
      </c>
      <c r="B76" s="15" t="s">
        <v>33</v>
      </c>
      <c r="C76" s="1" t="n">
        <f aca="false">COUNT([6]inter_system_stats!$D$34:$D$59)</f>
        <v>25</v>
      </c>
      <c r="D76" s="1" t="n">
        <f aca="false">SUM([6]inter_system_stats!$D$34:$D$59)</f>
        <v>18.4647768581468</v>
      </c>
      <c r="E76" s="15" t="n">
        <f aca="false">AVERAGE([6]inter_system_stats!$D$34:$D$59)</f>
        <v>0.738591074325871</v>
      </c>
      <c r="F76" s="15" t="n">
        <f aca="false">VAR([6]inter_system_stats!$D$34:$D$59)</f>
        <v>0.00297443070943292</v>
      </c>
      <c r="G76" s="15"/>
      <c r="H76" s="15"/>
    </row>
    <row r="77" customFormat="false" ht="12.8" hidden="false" customHeight="false" outlineLevel="0" collapsed="false">
      <c r="A77" s="7" t="s">
        <v>7</v>
      </c>
      <c r="B77" s="15" t="s">
        <v>34</v>
      </c>
      <c r="C77" s="1" t="n">
        <f aca="false">COUNT([6]inter_system_stats!$E$34:$E$59)</f>
        <v>25</v>
      </c>
      <c r="D77" s="1" t="n">
        <f aca="false">SUM([6]inter_system_stats!$E$34:$E$59)</f>
        <v>18.0948977318379</v>
      </c>
      <c r="E77" s="15" t="n">
        <f aca="false">AVERAGE([6]inter_system_stats!$E$34:$E$59)</f>
        <v>0.723795909273515</v>
      </c>
      <c r="F77" s="15" t="n">
        <f aca="false">VAR([6]inter_system_stats!$E$34:$E$59)</f>
        <v>0.00341577736974905</v>
      </c>
      <c r="G77" s="15"/>
      <c r="H77" s="15"/>
    </row>
    <row r="78" customFormat="false" ht="12.8" hidden="false" customHeight="false" outlineLevel="0" collapsed="false">
      <c r="B78" s="15"/>
      <c r="E78" s="15"/>
      <c r="F78" s="15"/>
      <c r="G78" s="15"/>
      <c r="H78" s="15"/>
    </row>
    <row r="79" customFormat="false" ht="12.8" hidden="false" customHeight="false" outlineLevel="0" collapsed="false">
      <c r="B79" s="15" t="s">
        <v>35</v>
      </c>
      <c r="C79" s="1" t="s">
        <v>36</v>
      </c>
      <c r="D79" s="1" t="s">
        <v>37</v>
      </c>
      <c r="E79" s="15" t="s">
        <v>38</v>
      </c>
      <c r="F79" s="15" t="s">
        <v>39</v>
      </c>
      <c r="G79" s="15" t="s">
        <v>40</v>
      </c>
      <c r="H79" s="15" t="s">
        <v>41</v>
      </c>
    </row>
    <row r="80" customFormat="false" ht="12.8" hidden="false" customHeight="false" outlineLevel="0" collapsed="false">
      <c r="B80" s="15" t="s">
        <v>42</v>
      </c>
      <c r="C80" s="1" t="n">
        <f aca="false">SUMPRODUCT('Anova-prompt-response'!$D$74:$D$77,'Anova-prompt-response'!$E$74:$E$77)-SUM('Anova-prompt-response'!$D$74:$D$77)^2/SUM('Anova-prompt-response'!$C$74:$C$77)</f>
        <v>0.00330671147666095</v>
      </c>
      <c r="D80" s="1" t="n">
        <f aca="false">COUNT('Anova-prompt-response'!$D$74:$D$77)-1</f>
        <v>3</v>
      </c>
      <c r="E80" s="15" t="n">
        <f aca="false">'Anova-prompt-response'!$C$80 / 'Anova-prompt-response'!$D$80</f>
        <v>0.00110223715888698</v>
      </c>
      <c r="F80" s="15" t="n">
        <f aca="false">'Anova-prompt-response'!$E$80 / 'Anova-prompt-response'!$E$81</f>
        <v>0.315790851283294</v>
      </c>
      <c r="G80" s="15" t="n">
        <f aca="false">FDIST('Anova-prompt-response'!$F$80, 'Anova-prompt-response'!$D$80, 'Anova-prompt-response'!$D$81)</f>
        <v>0.813925015322071</v>
      </c>
      <c r="H80" s="15" t="n">
        <f aca="false">FINV('Anova-prompt-response'!$C$71, 'Anova-prompt-response'!$D$80, 'Anova-prompt-response'!$D$81)</f>
        <v>2.69939259755218</v>
      </c>
    </row>
    <row r="81" customFormat="false" ht="12.8" hidden="false" customHeight="false" outlineLevel="0" collapsed="false">
      <c r="B81" s="15" t="s">
        <v>43</v>
      </c>
      <c r="C81" s="1" t="n">
        <f aca="false">SUM(DEVSQ([6]inter_system_stats!$B$34:$B$59),DEVSQ([6]inter_system_stats!$C$34:$C$59),DEVSQ([6]inter_system_stats!$D$34:$D$59),DEVSQ([6]inter_system_stats!$E$34:$E$59))</f>
        <v>0.33507863455558</v>
      </c>
      <c r="D81" s="1" t="n">
        <f aca="false">SUM('Anova-prompt-response'!$C$74:$C$77)-COUNT('Anova-prompt-response'!$C$74:$C$77)</f>
        <v>96</v>
      </c>
      <c r="E81" s="15" t="n">
        <f aca="false">'Anova-prompt-response'!$C$81 / 'Anova-prompt-response'!$D$81</f>
        <v>0.00349040244328729</v>
      </c>
      <c r="F81" s="15"/>
      <c r="G81" s="15"/>
      <c r="H81" s="15"/>
    </row>
    <row r="82" customFormat="false" ht="12.8" hidden="false" customHeight="false" outlineLevel="0" collapsed="false">
      <c r="B82" s="15" t="s">
        <v>44</v>
      </c>
      <c r="C82" s="1" t="n">
        <f aca="false">DEVSQ([6]inter_system_stats!$B$34:$B$59,[6]inter_system_stats!$C$34:$C$59,[6]inter_system_stats!$D$34:$D$59,[6]inter_system_stats!$E$34:$E$59)</f>
        <v>0.338385346032234</v>
      </c>
      <c r="D82" s="1" t="n">
        <f aca="false">SUM('Anova-prompt-response'!$C$74:$C$77) - 1</f>
        <v>99</v>
      </c>
      <c r="E82" s="15"/>
      <c r="F82" s="15"/>
      <c r="G82" s="15"/>
      <c r="H82" s="15"/>
    </row>
    <row r="92" customFormat="false" ht="12.8" hidden="false" customHeight="false" outlineLevel="0" collapsed="false">
      <c r="A92" s="7" t="s">
        <v>11</v>
      </c>
    </row>
    <row r="93" customFormat="false" ht="12.8" hidden="false" customHeight="false" outlineLevel="0" collapsed="false">
      <c r="B93" s="16" t="s">
        <v>24</v>
      </c>
      <c r="C93" s="1"/>
    </row>
    <row r="94" customFormat="false" ht="12.8" hidden="false" customHeight="false" outlineLevel="0" collapsed="false">
      <c r="B94" s="1" t="s">
        <v>25</v>
      </c>
      <c r="C94" s="1" t="n">
        <v>0.05</v>
      </c>
    </row>
    <row r="95" customFormat="false" ht="12.8" hidden="false" customHeight="false" outlineLevel="0" collapsed="false">
      <c r="B95" s="1"/>
      <c r="C95" s="1"/>
    </row>
    <row r="96" customFormat="false" ht="12.8" hidden="false" customHeight="false" outlineLevel="0" collapsed="false">
      <c r="B96" s="1" t="s">
        <v>26</v>
      </c>
      <c r="C96" s="1" t="s">
        <v>27</v>
      </c>
      <c r="D96" s="1" t="s">
        <v>28</v>
      </c>
      <c r="E96" s="1" t="s">
        <v>29</v>
      </c>
      <c r="F96" s="1" t="s">
        <v>30</v>
      </c>
    </row>
    <row r="97" customFormat="false" ht="12.8" hidden="false" customHeight="false" outlineLevel="0" collapsed="false">
      <c r="A97" s="7" t="s">
        <v>4</v>
      </c>
      <c r="B97" s="1" t="s">
        <v>31</v>
      </c>
      <c r="C97" s="1" t="n">
        <f aca="false">COUNT([7]inter_system_stats!$B$34:$B$59)</f>
        <v>25</v>
      </c>
      <c r="D97" s="1" t="n">
        <f aca="false">SUM([7]inter_system_stats!$B$34:$B$59)</f>
        <v>18.3092761299935</v>
      </c>
      <c r="E97" s="1" t="n">
        <f aca="false">AVERAGE([7]inter_system_stats!$B$34:$B$59)</f>
        <v>0.732371045199738</v>
      </c>
      <c r="F97" s="1" t="n">
        <f aca="false">VAR([7]inter_system_stats!$B$34:$B$59)</f>
        <v>0.0021075812038888</v>
      </c>
    </row>
    <row r="98" customFormat="false" ht="12.8" hidden="false" customHeight="false" outlineLevel="0" collapsed="false">
      <c r="A98" s="7" t="s">
        <v>5</v>
      </c>
      <c r="B98" s="1" t="s">
        <v>32</v>
      </c>
      <c r="C98" s="1" t="n">
        <f aca="false">COUNT([7]inter_system_stats!$C$34:$C$59)</f>
        <v>25</v>
      </c>
      <c r="D98" s="1" t="n">
        <f aca="false">SUM([7]inter_system_stats!$C$34:$C$59)</f>
        <v>18.3094311357992</v>
      </c>
      <c r="E98" s="1" t="n">
        <f aca="false">AVERAGE([7]inter_system_stats!$C$34:$C$59)</f>
        <v>0.732377245431969</v>
      </c>
      <c r="F98" s="1" t="n">
        <f aca="false">VAR([7]inter_system_stats!$C$34:$C$59)</f>
        <v>0.00157418875222027</v>
      </c>
    </row>
    <row r="99" customFormat="false" ht="12.8" hidden="false" customHeight="false" outlineLevel="0" collapsed="false">
      <c r="A99" s="7" t="s">
        <v>6</v>
      </c>
      <c r="B99" s="1" t="s">
        <v>33</v>
      </c>
      <c r="C99" s="1" t="n">
        <f aca="false">COUNT([7]inter_system_stats!$D$34:$D$59)</f>
        <v>25</v>
      </c>
      <c r="D99" s="1" t="n">
        <f aca="false">SUM([7]inter_system_stats!$D$34:$D$59)</f>
        <v>18.2778141094733</v>
      </c>
      <c r="E99" s="1" t="n">
        <f aca="false">AVERAGE([7]inter_system_stats!$D$34:$D$59)</f>
        <v>0.731112564378934</v>
      </c>
      <c r="F99" s="1" t="n">
        <f aca="false">VAR([7]inter_system_stats!$D$34:$D$59)</f>
        <v>0.00124923738237486</v>
      </c>
    </row>
    <row r="100" customFormat="false" ht="12.8" hidden="false" customHeight="false" outlineLevel="0" collapsed="false">
      <c r="A100" s="7" t="s">
        <v>7</v>
      </c>
      <c r="B100" s="1" t="s">
        <v>34</v>
      </c>
      <c r="C100" s="1" t="n">
        <f aca="false">COUNT([7]inter_system_stats!$E$34:$E$59)</f>
        <v>25</v>
      </c>
      <c r="D100" s="1" t="n">
        <f aca="false">SUM([7]inter_system_stats!$E$34:$E$59)</f>
        <v>18.4261934772523</v>
      </c>
      <c r="E100" s="1" t="n">
        <f aca="false">AVERAGE([7]inter_system_stats!$E$34:$E$59)</f>
        <v>0.737047739090094</v>
      </c>
      <c r="F100" s="1" t="n">
        <f aca="false">VAR([7]inter_system_stats!$E$34:$E$59)</f>
        <v>0.00182468906727348</v>
      </c>
    </row>
    <row r="101" customFormat="false" ht="12.8" hidden="false" customHeight="false" outlineLevel="0" collapsed="false">
      <c r="B101" s="1"/>
      <c r="C101" s="1"/>
    </row>
    <row r="102" customFormat="false" ht="12.8" hidden="false" customHeight="false" outlineLevel="0" collapsed="false">
      <c r="B102" s="1" t="s">
        <v>35</v>
      </c>
      <c r="C102" s="1" t="s">
        <v>36</v>
      </c>
      <c r="D102" s="1" t="s">
        <v>37</v>
      </c>
      <c r="E102" s="1" t="s">
        <v>38</v>
      </c>
      <c r="F102" s="1" t="s">
        <v>39</v>
      </c>
      <c r="G102" s="1" t="s">
        <v>40</v>
      </c>
      <c r="H102" s="1" t="s">
        <v>41</v>
      </c>
    </row>
    <row r="103" customFormat="false" ht="12.8" hidden="false" customHeight="false" outlineLevel="0" collapsed="false">
      <c r="B103" s="1" t="s">
        <v>42</v>
      </c>
      <c r="C103" s="1" t="n">
        <f aca="false">SUMPRODUCT('Anova-prompt-response'!$D$97:$D$100,'Anova-prompt-response'!$E$97:$E$100)-SUM('Anova-prompt-response'!$D$97:$D$100)^2/SUM('Anova-prompt-response'!$C$97:$C$100)</f>
        <v>0.000513090663694982</v>
      </c>
      <c r="D103" s="1" t="n">
        <f aca="false">COUNT('Anova-prompt-response'!$D$97:$D$100)-1</f>
        <v>3</v>
      </c>
      <c r="E103" s="1" t="n">
        <f aca="false">'Anova-prompt-response'!$C$103 / 'Anova-prompt-response'!$D$103</f>
        <v>0.000171030221231661</v>
      </c>
      <c r="F103" s="1" t="n">
        <f aca="false">'Anova-prompt-response'!$E$103 / 'Anova-prompt-response'!$E$104</f>
        <v>0.101265782805695</v>
      </c>
      <c r="G103" s="1" t="n">
        <f aca="false">FDIST('Anova-prompt-response'!$F$103, 'Anova-prompt-response'!$D$103, 'Anova-prompt-response'!$D$104)</f>
        <v>0.959106155222354</v>
      </c>
      <c r="H103" s="1" t="n">
        <f aca="false">FINV('Anova-prompt-response'!$C$94, 'Anova-prompt-response'!$D$103, 'Anova-prompt-response'!$D$104)</f>
        <v>2.69939259755218</v>
      </c>
    </row>
    <row r="104" customFormat="false" ht="12.8" hidden="false" customHeight="false" outlineLevel="0" collapsed="false">
      <c r="B104" s="1" t="s">
        <v>43</v>
      </c>
      <c r="C104" s="1" t="n">
        <f aca="false">SUM(DEVSQ([7]inter_system_stats!$B$34:$B$59),DEVSQ([7]inter_system_stats!$C$34:$C$59),DEVSQ([7]inter_system_stats!$D$34:$D$59),DEVSQ([7]inter_system_stats!$E$34:$E$59))</f>
        <v>0.162136713738178</v>
      </c>
      <c r="D104" s="1" t="n">
        <f aca="false">SUM('Anova-prompt-response'!$C$97:$C$100)-COUNT('Anova-prompt-response'!$C$97:$C$100)</f>
        <v>96</v>
      </c>
      <c r="E104" s="1" t="n">
        <f aca="false">'Anova-prompt-response'!$C$104 / 'Anova-prompt-response'!$D$104</f>
        <v>0.00168892410143935</v>
      </c>
    </row>
    <row r="105" customFormat="false" ht="12.8" hidden="false" customHeight="false" outlineLevel="0" collapsed="false">
      <c r="B105" s="1" t="s">
        <v>44</v>
      </c>
      <c r="C105" s="1" t="n">
        <f aca="false">DEVSQ([7]inter_system_stats!$B$34:$B$59,[7]inter_system_stats!$C$34:$C$59,[7]inter_system_stats!$D$34:$D$59,[7]inter_system_stats!$E$34:$E$59)</f>
        <v>0.162649804401877</v>
      </c>
      <c r="D105" s="1" t="n">
        <f aca="false">SUM('Anova-prompt-response'!$C$97:$C$100) - 1</f>
        <v>99</v>
      </c>
    </row>
    <row r="115" customFormat="false" ht="12.8" hidden="false" customHeight="false" outlineLevel="0" collapsed="false">
      <c r="A115" s="7" t="s">
        <v>12</v>
      </c>
    </row>
    <row r="116" customFormat="false" ht="12.8" hidden="false" customHeight="false" outlineLevel="0" collapsed="false">
      <c r="B116" s="16" t="s">
        <v>24</v>
      </c>
      <c r="C116" s="1"/>
      <c r="D116" s="1"/>
    </row>
    <row r="117" customFormat="false" ht="12.8" hidden="false" customHeight="false" outlineLevel="0" collapsed="false">
      <c r="B117" s="1" t="s">
        <v>25</v>
      </c>
      <c r="C117" s="1" t="n">
        <v>0.05</v>
      </c>
      <c r="D117" s="1"/>
    </row>
    <row r="118" customFormat="false" ht="12.8" hidden="false" customHeight="false" outlineLevel="0" collapsed="false">
      <c r="B118" s="1"/>
      <c r="C118" s="1"/>
      <c r="D118" s="1"/>
    </row>
    <row r="119" customFormat="false" ht="12.8" hidden="false" customHeight="false" outlineLevel="0" collapsed="false">
      <c r="B119" s="1" t="s">
        <v>26</v>
      </c>
      <c r="C119" s="1" t="s">
        <v>27</v>
      </c>
      <c r="D119" s="1" t="s">
        <v>28</v>
      </c>
      <c r="E119" s="1" t="s">
        <v>29</v>
      </c>
      <c r="F119" s="1" t="s">
        <v>30</v>
      </c>
    </row>
    <row r="120" customFormat="false" ht="12.8" hidden="false" customHeight="false" outlineLevel="0" collapsed="false">
      <c r="A120" s="7" t="s">
        <v>4</v>
      </c>
      <c r="B120" s="1" t="s">
        <v>31</v>
      </c>
      <c r="C120" s="1" t="n">
        <f aca="false">COUNT([8]inter_system_stats!$B$34:$B$59)</f>
        <v>25</v>
      </c>
      <c r="D120" s="1" t="n">
        <f aca="false">SUM([8]inter_system_stats!$B$34:$B$59)</f>
        <v>18.2014117602233</v>
      </c>
      <c r="E120" s="1" t="n">
        <f aca="false">AVERAGE([8]inter_system_stats!$B$34:$B$59)</f>
        <v>0.728056470408934</v>
      </c>
      <c r="F120" s="1" t="n">
        <f aca="false">VAR([8]inter_system_stats!$B$34:$B$59)</f>
        <v>0.00373474514581051</v>
      </c>
    </row>
    <row r="121" customFormat="false" ht="12.8" hidden="false" customHeight="false" outlineLevel="0" collapsed="false">
      <c r="A121" s="7" t="s">
        <v>5</v>
      </c>
      <c r="B121" s="1" t="s">
        <v>32</v>
      </c>
      <c r="C121" s="1" t="n">
        <f aca="false">COUNT([8]inter_system_stats!$C$34:$C$59)</f>
        <v>25</v>
      </c>
      <c r="D121" s="1" t="n">
        <f aca="false">SUM([8]inter_system_stats!$C$34:$C$59)</f>
        <v>18.4007705875838</v>
      </c>
      <c r="E121" s="1" t="n">
        <f aca="false">AVERAGE([8]inter_system_stats!$C$34:$C$59)</f>
        <v>0.736030823503351</v>
      </c>
      <c r="F121" s="1" t="n">
        <f aca="false">VAR([8]inter_system_stats!$C$34:$C$59)</f>
        <v>0.00298974415306126</v>
      </c>
    </row>
    <row r="122" customFormat="false" ht="12.8" hidden="false" customHeight="false" outlineLevel="0" collapsed="false">
      <c r="A122" s="7" t="s">
        <v>6</v>
      </c>
      <c r="B122" s="1" t="s">
        <v>33</v>
      </c>
      <c r="C122" s="1" t="n">
        <f aca="false">COUNT([8]inter_system_stats!$D$34:$D$59)</f>
        <v>25</v>
      </c>
      <c r="D122" s="1" t="n">
        <f aca="false">SUM([8]inter_system_stats!$D$34:$D$59)</f>
        <v>18.0079590840409</v>
      </c>
      <c r="E122" s="1" t="n">
        <f aca="false">AVERAGE([8]inter_system_stats!$D$34:$D$59)</f>
        <v>0.720318363361635</v>
      </c>
      <c r="F122" s="1" t="n">
        <f aca="false">VAR([8]inter_system_stats!$D$34:$D$59)</f>
        <v>0.00325348290295341</v>
      </c>
    </row>
    <row r="123" customFormat="false" ht="12.8" hidden="false" customHeight="false" outlineLevel="0" collapsed="false">
      <c r="A123" s="7" t="s">
        <v>7</v>
      </c>
      <c r="B123" s="1" t="s">
        <v>34</v>
      </c>
      <c r="C123" s="1" t="n">
        <f aca="false">COUNT([8]inter_system_stats!$E$34:$E$59)</f>
        <v>25</v>
      </c>
      <c r="D123" s="1" t="n">
        <f aca="false">SUM([8]inter_system_stats!$E$34:$E$59)</f>
        <v>18.1205595823982</v>
      </c>
      <c r="E123" s="1" t="n">
        <f aca="false">AVERAGE([8]inter_system_stats!$E$34:$E$59)</f>
        <v>0.724822383295928</v>
      </c>
      <c r="F123" s="1" t="n">
        <f aca="false">VAR([8]inter_system_stats!$E$34:$E$59)</f>
        <v>0.00271287127185974</v>
      </c>
    </row>
    <row r="124" customFormat="false" ht="12.8" hidden="false" customHeight="false" outlineLevel="0" collapsed="false">
      <c r="B124" s="1"/>
      <c r="C124" s="1"/>
      <c r="D124" s="1"/>
    </row>
    <row r="125" customFormat="false" ht="12.8" hidden="false" customHeight="false" outlineLevel="0" collapsed="false">
      <c r="B125" s="1" t="s">
        <v>35</v>
      </c>
      <c r="C125" s="1" t="s">
        <v>36</v>
      </c>
      <c r="D125" s="1" t="s">
        <v>37</v>
      </c>
      <c r="E125" s="1" t="s">
        <v>38</v>
      </c>
      <c r="F125" s="1" t="s">
        <v>39</v>
      </c>
      <c r="G125" s="1" t="s">
        <v>40</v>
      </c>
      <c r="H125" s="1" t="s">
        <v>41</v>
      </c>
    </row>
    <row r="126" customFormat="false" ht="12.8" hidden="false" customHeight="false" outlineLevel="0" collapsed="false">
      <c r="B126" s="1" t="s">
        <v>42</v>
      </c>
      <c r="C126" s="1" t="n">
        <f aca="false">SUMPRODUCT('Anova-prompt-response'!$D$120:$D$123,'Anova-prompt-response'!$E$120:$E$123)-SUM('Anova-prompt-response'!$D$120:$D$123)^2/SUM('Anova-prompt-response'!$C$120:$C$123)</f>
        <v>0.0032920291159968</v>
      </c>
      <c r="D126" s="1" t="n">
        <f aca="false">COUNT('Anova-prompt-response'!$D$120:$D$123)-1</f>
        <v>3</v>
      </c>
      <c r="E126" s="1" t="n">
        <f aca="false">'Anova-prompt-response'!$C$126 / 'Anova-prompt-response'!$D$126</f>
        <v>0.0010973430386656</v>
      </c>
      <c r="F126" s="1" t="n">
        <f aca="false">'Anova-prompt-response'!$E$126 / 'Anova-prompt-response'!$E$127</f>
        <v>0.345869221676556</v>
      </c>
      <c r="G126" s="1" t="n">
        <f aca="false">FDIST('Anova-prompt-response'!$F$126, 'Anova-prompt-response'!$D$126, 'Anova-prompt-response'!$D$127)</f>
        <v>0.792206314471241</v>
      </c>
      <c r="H126" s="1" t="n">
        <f aca="false">FINV('Anova-prompt-response'!$C$117, 'Anova-prompt-response'!$D$126, 'Anova-prompt-response'!$D$127)</f>
        <v>2.69939259755218</v>
      </c>
    </row>
    <row r="127" customFormat="false" ht="12.8" hidden="false" customHeight="false" outlineLevel="0" collapsed="false">
      <c r="B127" s="1" t="s">
        <v>43</v>
      </c>
      <c r="C127" s="1" t="n">
        <f aca="false">SUM(DEVSQ([8]inter_system_stats!$B$34:$B$59),DEVSQ([8]inter_system_stats!$C$34:$C$59),DEVSQ([8]inter_system_stats!$D$34:$D$59),DEVSQ([8]inter_system_stats!$E$34:$E$59))</f>
        <v>0.304580243368438</v>
      </c>
      <c r="D127" s="1" t="n">
        <f aca="false">SUM('Anova-prompt-response'!$C$120:$C$123)-COUNT('Anova-prompt-response'!$C$120:$C$123)</f>
        <v>96</v>
      </c>
      <c r="E127" s="1" t="n">
        <f aca="false">'Anova-prompt-response'!$C$127 / 'Anova-prompt-response'!$D$127</f>
        <v>0.00317271086842123</v>
      </c>
    </row>
    <row r="128" customFormat="false" ht="12.8" hidden="false" customHeight="false" outlineLevel="0" collapsed="false">
      <c r="B128" s="1" t="s">
        <v>44</v>
      </c>
      <c r="C128" s="1" t="n">
        <f aca="false">DEVSQ([8]inter_system_stats!$B$34:$B$59,[8]inter_system_stats!$C$34:$C$59,[8]inter_system_stats!$D$34:$D$59,[8]inter_system_stats!$E$34:$E$59)</f>
        <v>0.307872272484446</v>
      </c>
      <c r="D128" s="1" t="n">
        <f aca="false">SUM('Anova-prompt-response'!$C$120:$C$123) - 1</f>
        <v>99</v>
      </c>
    </row>
    <row r="136" customFormat="false" ht="12.8" hidden="false" customHeight="false" outlineLevel="0" collapsed="false">
      <c r="A136" s="7" t="s">
        <v>13</v>
      </c>
    </row>
    <row r="137" customFormat="false" ht="12.8" hidden="false" customHeight="false" outlineLevel="0" collapsed="false">
      <c r="B137" s="16" t="s">
        <v>24</v>
      </c>
      <c r="C137" s="1"/>
      <c r="D137" s="1"/>
    </row>
    <row r="138" customFormat="false" ht="12.8" hidden="false" customHeight="false" outlineLevel="0" collapsed="false">
      <c r="B138" s="1" t="s">
        <v>25</v>
      </c>
      <c r="C138" s="1" t="n">
        <v>0.05</v>
      </c>
      <c r="D138" s="1"/>
    </row>
    <row r="139" customFormat="false" ht="12.8" hidden="false" customHeight="false" outlineLevel="0" collapsed="false">
      <c r="B139" s="1"/>
      <c r="C139" s="1"/>
      <c r="D139" s="1"/>
    </row>
    <row r="140" customFormat="false" ht="12.8" hidden="false" customHeight="false" outlineLevel="0" collapsed="false">
      <c r="B140" s="1" t="s">
        <v>26</v>
      </c>
      <c r="C140" s="1" t="s">
        <v>27</v>
      </c>
      <c r="D140" s="1" t="s">
        <v>28</v>
      </c>
      <c r="E140" s="1" t="s">
        <v>29</v>
      </c>
      <c r="F140" s="1" t="s">
        <v>30</v>
      </c>
    </row>
    <row r="141" customFormat="false" ht="12.8" hidden="false" customHeight="false" outlineLevel="0" collapsed="false">
      <c r="A141" s="7" t="s">
        <v>4</v>
      </c>
      <c r="B141" s="1" t="s">
        <v>31</v>
      </c>
      <c r="C141" s="1" t="n">
        <f aca="false">COUNT([9]inter_system_stats!$B$31:$B$56)</f>
        <v>25</v>
      </c>
      <c r="D141" s="1" t="n">
        <f aca="false">SUM([9]inter_system_stats!$B$31:$B$56)</f>
        <v>17.7853972662572</v>
      </c>
      <c r="E141" s="1" t="n">
        <f aca="false">AVERAGE([9]inter_system_stats!$B$31:$B$56)</f>
        <v>0.711415890650289</v>
      </c>
      <c r="F141" s="1" t="n">
        <f aca="false">VAR([9]inter_system_stats!$B$31:$B$56)</f>
        <v>0.0022639833703396</v>
      </c>
    </row>
    <row r="142" customFormat="false" ht="12.8" hidden="false" customHeight="false" outlineLevel="0" collapsed="false">
      <c r="A142" s="7" t="s">
        <v>5</v>
      </c>
      <c r="B142" s="1" t="s">
        <v>32</v>
      </c>
      <c r="C142" s="1" t="n">
        <f aca="false">COUNT([9]inter_system_stats!$C$31:$C$56)</f>
        <v>25</v>
      </c>
      <c r="D142" s="1" t="n">
        <f aca="false">SUM([9]inter_system_stats!$C$31:$C$56)</f>
        <v>18.0572812583224</v>
      </c>
      <c r="E142" s="1" t="n">
        <f aca="false">AVERAGE([9]inter_system_stats!$C$31:$C$56)</f>
        <v>0.722291250332898</v>
      </c>
      <c r="F142" s="1" t="n">
        <f aca="false">VAR([9]inter_system_stats!$C$31:$C$56)</f>
        <v>0.00253856280434981</v>
      </c>
    </row>
    <row r="143" customFormat="false" ht="12.8" hidden="false" customHeight="false" outlineLevel="0" collapsed="false">
      <c r="A143" s="7" t="s">
        <v>6</v>
      </c>
      <c r="B143" s="1" t="s">
        <v>33</v>
      </c>
      <c r="C143" s="1" t="n">
        <f aca="false">COUNT([9]inter_system_stats!$D$31:$D$56)</f>
        <v>25</v>
      </c>
      <c r="D143" s="1" t="n">
        <f aca="false">SUM([9]inter_system_stats!$D$31:$D$56)</f>
        <v>18.0154578655623</v>
      </c>
      <c r="E143" s="1" t="n">
        <f aca="false">AVERAGE([9]inter_system_stats!$D$31:$D$56)</f>
        <v>0.720618314622491</v>
      </c>
      <c r="F143" s="1" t="n">
        <f aca="false">VAR([9]inter_system_stats!$D$31:$D$56)</f>
        <v>0.00248995744319227</v>
      </c>
    </row>
    <row r="144" customFormat="false" ht="12.8" hidden="false" customHeight="false" outlineLevel="0" collapsed="false">
      <c r="A144" s="7" t="s">
        <v>7</v>
      </c>
      <c r="B144" s="1" t="s">
        <v>34</v>
      </c>
      <c r="C144" s="1" t="n">
        <f aca="false">COUNT([9]inter_system_stats!$E$31:$E$56)</f>
        <v>25</v>
      </c>
      <c r="D144" s="1" t="n">
        <f aca="false">SUM([9]inter_system_stats!$E$31:$E$56)</f>
        <v>17.8273289019889</v>
      </c>
      <c r="E144" s="1" t="n">
        <f aca="false">AVERAGE([9]inter_system_stats!$E$31:$E$56)</f>
        <v>0.713093156079555</v>
      </c>
      <c r="F144" s="1" t="n">
        <f aca="false">VAR([9]inter_system_stats!$E$31:$E$56)</f>
        <v>0.00328108471070565</v>
      </c>
    </row>
    <row r="145" customFormat="false" ht="12.8" hidden="false" customHeight="false" outlineLevel="0" collapsed="false">
      <c r="B145" s="1"/>
      <c r="C145" s="1"/>
      <c r="D145" s="1"/>
    </row>
    <row r="146" customFormat="false" ht="12.8" hidden="false" customHeight="false" outlineLevel="0" collapsed="false">
      <c r="B146" s="1" t="s">
        <v>35</v>
      </c>
      <c r="C146" s="1" t="s">
        <v>36</v>
      </c>
      <c r="D146" s="1" t="s">
        <v>37</v>
      </c>
      <c r="E146" s="1" t="s">
        <v>38</v>
      </c>
      <c r="F146" s="1" t="s">
        <v>39</v>
      </c>
      <c r="G146" s="1" t="s">
        <v>40</v>
      </c>
      <c r="H146" s="1" t="s">
        <v>41</v>
      </c>
    </row>
    <row r="147" customFormat="false" ht="12.8" hidden="false" customHeight="false" outlineLevel="0" collapsed="false">
      <c r="B147" s="1" t="s">
        <v>42</v>
      </c>
      <c r="C147" s="1" t="n">
        <f aca="false">SUMPRODUCT('Anova-prompt-response'!$D$141:$D$144,'Anova-prompt-response'!$E$141:$E$144)-SUM('Anova-prompt-response'!$D$141:$D$144)^2/SUM('Anova-prompt-response'!$C$141:$C$144)</f>
        <v>0.00218626835868463</v>
      </c>
      <c r="D147" s="1" t="n">
        <f aca="false">COUNT('Anova-prompt-response'!$D$141:$D$144)-1</f>
        <v>3</v>
      </c>
      <c r="E147" s="1" t="n">
        <f aca="false">'Anova-prompt-response'!$C$147 / 'Anova-prompt-response'!$D$147</f>
        <v>0.000728756119561543</v>
      </c>
      <c r="F147" s="1" t="n">
        <f aca="false">'Anova-prompt-response'!$E$147 / 'Anova-prompt-response'!$E$148</f>
        <v>0.275689235069324</v>
      </c>
      <c r="G147" s="1" t="n">
        <f aca="false">FDIST('Anova-prompt-response'!$F$147, 'Anova-prompt-response'!$D$147, 'Anova-prompt-response'!$D$148)</f>
        <v>0.84280842817501</v>
      </c>
      <c r="H147" s="1" t="n">
        <f aca="false">FINV('Anova-prompt-response'!$C$138, 'Anova-prompt-response'!$D$147, 'Anova-prompt-response'!$D$148)</f>
        <v>2.69939259755218</v>
      </c>
    </row>
    <row r="148" customFormat="false" ht="12.8" hidden="false" customHeight="false" outlineLevel="0" collapsed="false">
      <c r="B148" s="1" t="s">
        <v>43</v>
      </c>
      <c r="C148" s="1" t="n">
        <f aca="false">SUM(DEVSQ([9]inter_system_stats!$B$31:$B$56),DEVSQ([9]inter_system_stats!$C$31:$C$56),DEVSQ([9]inter_system_stats!$D$31:$D$56),DEVSQ([9]inter_system_stats!$E$31:$E$56))</f>
        <v>0.253766119886096</v>
      </c>
      <c r="D148" s="1" t="n">
        <f aca="false">SUM('Anova-prompt-response'!$C$141:$C$144)-COUNT('Anova-prompt-response'!$C$141:$C$144)</f>
        <v>96</v>
      </c>
      <c r="E148" s="1" t="n">
        <f aca="false">'Anova-prompt-response'!$C$148 / 'Anova-prompt-response'!$D$148</f>
        <v>0.00264339708214683</v>
      </c>
    </row>
    <row r="149" customFormat="false" ht="12.8" hidden="false" customHeight="false" outlineLevel="0" collapsed="false">
      <c r="B149" s="1" t="s">
        <v>44</v>
      </c>
      <c r="C149" s="1" t="n">
        <f aca="false">DEVSQ([9]inter_system_stats!$B$31:$B$56,[9]inter_system_stats!$C$31:$C$56,[9]inter_system_stats!$D$31:$D$56,[9]inter_system_stats!$E$31:$E$56)</f>
        <v>0.255952388244792</v>
      </c>
      <c r="D149" s="1" t="n">
        <f aca="false">SUM('Anova-prompt-response'!$C$141:$C$144) - 1</f>
        <v>99</v>
      </c>
    </row>
    <row r="158" customFormat="false" ht="12.8" hidden="false" customHeight="false" outlineLevel="0" collapsed="false">
      <c r="A158" s="7" t="s">
        <v>14</v>
      </c>
    </row>
    <row r="159" customFormat="false" ht="12.8" hidden="false" customHeight="false" outlineLevel="0" collapsed="false">
      <c r="B159" s="16" t="s">
        <v>24</v>
      </c>
      <c r="C159" s="1"/>
      <c r="D159" s="1"/>
    </row>
    <row r="160" customFormat="false" ht="12.8" hidden="false" customHeight="false" outlineLevel="0" collapsed="false">
      <c r="B160" s="1" t="s">
        <v>25</v>
      </c>
      <c r="C160" s="1" t="n">
        <v>0.05</v>
      </c>
      <c r="D160" s="1"/>
    </row>
    <row r="161" customFormat="false" ht="12.8" hidden="false" customHeight="false" outlineLevel="0" collapsed="false">
      <c r="B161" s="1"/>
      <c r="C161" s="1"/>
      <c r="D161" s="1"/>
    </row>
    <row r="162" customFormat="false" ht="12.8" hidden="false" customHeight="false" outlineLevel="0" collapsed="false">
      <c r="B162" s="1" t="s">
        <v>26</v>
      </c>
      <c r="C162" s="1" t="s">
        <v>27</v>
      </c>
      <c r="D162" s="1" t="s">
        <v>28</v>
      </c>
      <c r="E162" s="1" t="s">
        <v>29</v>
      </c>
      <c r="F162" s="1" t="s">
        <v>30</v>
      </c>
    </row>
    <row r="163" customFormat="false" ht="12.8" hidden="false" customHeight="false" outlineLevel="0" collapsed="false">
      <c r="A163" s="7" t="s">
        <v>4</v>
      </c>
      <c r="B163" s="1" t="s">
        <v>31</v>
      </c>
      <c r="C163" s="1" t="n">
        <f aca="false">COUNT([10]inter_system_stats!$B$33:$B$58)</f>
        <v>25</v>
      </c>
      <c r="D163" s="1" t="n">
        <f aca="false">SUM([10]inter_system_stats!$B$33:$B$58)</f>
        <v>18.5515221795265</v>
      </c>
      <c r="E163" s="1" t="n">
        <f aca="false">AVERAGE([10]inter_system_stats!$B$33:$B$58)</f>
        <v>0.742060887181061</v>
      </c>
      <c r="F163" s="1" t="n">
        <f aca="false">VAR([10]inter_system_stats!$B$33:$B$58)</f>
        <v>0.00235702008329509</v>
      </c>
    </row>
    <row r="164" customFormat="false" ht="12.8" hidden="false" customHeight="false" outlineLevel="0" collapsed="false">
      <c r="A164" s="7" t="s">
        <v>5</v>
      </c>
      <c r="B164" s="1" t="s">
        <v>32</v>
      </c>
      <c r="C164" s="1" t="n">
        <f aca="false">COUNT([10]inter_system_stats!$C$33:$C$58)</f>
        <v>25</v>
      </c>
      <c r="D164" s="1" t="n">
        <f aca="false">SUM([10]inter_system_stats!$C$33:$C$58)</f>
        <v>18.6016324682835</v>
      </c>
      <c r="E164" s="1" t="n">
        <f aca="false">AVERAGE([10]inter_system_stats!$C$33:$C$58)</f>
        <v>0.744065298731342</v>
      </c>
      <c r="F164" s="1" t="n">
        <f aca="false">VAR([10]inter_system_stats!$C$33:$C$58)</f>
        <v>0.00248306679412634</v>
      </c>
    </row>
    <row r="165" customFormat="false" ht="12.8" hidden="false" customHeight="false" outlineLevel="0" collapsed="false">
      <c r="A165" s="7" t="s">
        <v>6</v>
      </c>
      <c r="B165" s="1" t="s">
        <v>33</v>
      </c>
      <c r="C165" s="1" t="n">
        <f aca="false">COUNT([10]inter_system_stats!$D$33:$D$58)</f>
        <v>25</v>
      </c>
      <c r="D165" s="1" t="n">
        <f aca="false">SUM([10]inter_system_stats!$D$33:$D$58)</f>
        <v>18.4586022632347</v>
      </c>
      <c r="E165" s="1" t="n">
        <f aca="false">AVERAGE([10]inter_system_stats!$D$33:$D$58)</f>
        <v>0.738344090529389</v>
      </c>
      <c r="F165" s="1" t="n">
        <f aca="false">VAR([10]inter_system_stats!$D$33:$D$58)</f>
        <v>0.00165966408294291</v>
      </c>
    </row>
    <row r="166" customFormat="false" ht="12.8" hidden="false" customHeight="false" outlineLevel="0" collapsed="false">
      <c r="A166" s="7" t="s">
        <v>7</v>
      </c>
      <c r="B166" s="1" t="s">
        <v>34</v>
      </c>
      <c r="C166" s="1" t="n">
        <f aca="false">COUNT([10]inter_system_stats!$E$33:$E$58)</f>
        <v>25</v>
      </c>
      <c r="D166" s="1" t="n">
        <f aca="false">SUM([10]inter_system_stats!$E$33:$E$58)</f>
        <v>18.5143255798284</v>
      </c>
      <c r="E166" s="1" t="n">
        <f aca="false">AVERAGE([10]inter_system_stats!$E$33:$E$58)</f>
        <v>0.740573023193135</v>
      </c>
      <c r="F166" s="1" t="n">
        <f aca="false">VAR([10]inter_system_stats!$E$33:$E$58)</f>
        <v>0.00161322669734678</v>
      </c>
    </row>
    <row r="167" customFormat="false" ht="12.8" hidden="false" customHeight="false" outlineLevel="0" collapsed="false">
      <c r="B167" s="1"/>
      <c r="C167" s="1"/>
      <c r="D167" s="1"/>
    </row>
    <row r="168" customFormat="false" ht="12.8" hidden="false" customHeight="false" outlineLevel="0" collapsed="false">
      <c r="B168" s="1" t="s">
        <v>35</v>
      </c>
      <c r="C168" s="1" t="s">
        <v>36</v>
      </c>
      <c r="D168" s="1" t="s">
        <v>37</v>
      </c>
      <c r="E168" s="1" t="s">
        <v>38</v>
      </c>
      <c r="F168" s="1" t="s">
        <v>39</v>
      </c>
      <c r="G168" s="1" t="s">
        <v>40</v>
      </c>
      <c r="H168" s="1" t="s">
        <v>41</v>
      </c>
    </row>
    <row r="169" customFormat="false" ht="12.8" hidden="false" customHeight="false" outlineLevel="0" collapsed="false">
      <c r="B169" s="1" t="s">
        <v>42</v>
      </c>
      <c r="C169" s="1" t="n">
        <f aca="false">SUMPRODUCT('Anova-prompt-response'!$D$163:$D$166,'Anova-prompt-response'!$E$163:$E$166)-SUM('Anova-prompt-response'!$D$163:$D$166)^2/SUM('Anova-prompt-response'!$C$163:$C$166)</f>
        <v>0.000437139592527558</v>
      </c>
      <c r="D169" s="1" t="n">
        <f aca="false">COUNT('Anova-prompt-response'!$D$163:$D$166)-1</f>
        <v>3</v>
      </c>
      <c r="E169" s="1" t="n">
        <f aca="false">'Anova-prompt-response'!$C$169 / 'Anova-prompt-response'!$D$169</f>
        <v>0.000145713197509186</v>
      </c>
      <c r="F169" s="1" t="n">
        <f aca="false">'Anova-prompt-response'!$E$169 / 'Anova-prompt-response'!$E$170</f>
        <v>0.0718420307102363</v>
      </c>
      <c r="G169" s="1" t="n">
        <f aca="false">FDIST('Anova-prompt-response'!$F$169, 'Anova-prompt-response'!$D$169, 'Anova-prompt-response'!$D$170)</f>
        <v>0.974899215234126</v>
      </c>
      <c r="H169" s="1" t="n">
        <f aca="false">FINV('Anova-prompt-response'!$C$160, 'Anova-prompt-response'!$D$169, 'Anova-prompt-response'!$D$170)</f>
        <v>2.69939259755218</v>
      </c>
    </row>
    <row r="170" customFormat="false" ht="12.8" hidden="false" customHeight="false" outlineLevel="0" collapsed="false">
      <c r="B170" s="1" t="s">
        <v>43</v>
      </c>
      <c r="C170" s="1" t="n">
        <f aca="false">SUM(DEVSQ([10]inter_system_stats!$B$33:$B$58),DEVSQ([10]inter_system_stats!$C$33:$C$58),DEVSQ([10]inter_system_stats!$D$33:$D$58),DEVSQ([10]inter_system_stats!$E$33:$E$58))</f>
        <v>0.194711463785067</v>
      </c>
      <c r="D170" s="1" t="n">
        <f aca="false">SUM('Anova-prompt-response'!$C$163:$C$166)-COUNT('Anova-prompt-response'!$C$163:$C$166)</f>
        <v>96</v>
      </c>
      <c r="E170" s="1" t="n">
        <f aca="false">'Anova-prompt-response'!$C$170 / 'Anova-prompt-response'!$D$170</f>
        <v>0.00202824441442778</v>
      </c>
    </row>
    <row r="171" customFormat="false" ht="12.8" hidden="false" customHeight="false" outlineLevel="0" collapsed="false">
      <c r="B171" s="1" t="s">
        <v>44</v>
      </c>
      <c r="C171" s="1" t="n">
        <f aca="false">DEVSQ([10]inter_system_stats!$B$33:$B$58,[10]inter_system_stats!$C$33:$C$58,[10]inter_system_stats!$D$33:$D$58,[10]inter_system_stats!$E$33:$E$58)</f>
        <v>0.19514860337759</v>
      </c>
      <c r="D171" s="1" t="n">
        <f aca="false">SUM('Anova-prompt-response'!$C$163:$C$166) - 1</f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5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M38" activeCellId="0" sqref="M38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15.35"/>
    <col collapsed="false" customWidth="true" hidden="false" outlineLevel="0" max="3" min="3" style="1" width="20.79"/>
    <col collapsed="false" customWidth="true" hidden="false" outlineLevel="0" max="5" min="5" style="1" width="19.68"/>
    <col collapsed="false" customWidth="true" hidden="false" outlineLevel="0" max="7" min="7" style="1" width="17.51"/>
    <col collapsed="false" customWidth="true" hidden="false" outlineLevel="0" max="8" min="8" style="1" width="19"/>
    <col collapsed="false" customWidth="true" hidden="false" outlineLevel="0" max="9" min="9" style="1" width="21.99"/>
    <col collapsed="false" customWidth="true" hidden="false" outlineLevel="0" max="10" min="10" style="1" width="22.27"/>
    <col collapsed="false" customWidth="true" hidden="false" outlineLevel="0" max="11" min="11" style="1" width="19.81"/>
  </cols>
  <sheetData>
    <row r="1" customFormat="false" ht="12.8" hidden="false" customHeight="false" outlineLevel="0" collapsed="false">
      <c r="A1" s="7" t="s">
        <v>45</v>
      </c>
    </row>
    <row r="4" customFormat="false" ht="12.8" hidden="false" customHeight="false" outlineLevel="0" collapsed="false">
      <c r="A4" s="17" t="s">
        <v>3</v>
      </c>
    </row>
    <row r="6" customFormat="false" ht="12.8" hidden="false" customHeight="false" outlineLevel="0" collapsed="false">
      <c r="A6" s="18" t="s">
        <v>46</v>
      </c>
      <c r="B6" s="18" t="s">
        <v>47</v>
      </c>
      <c r="C6" s="18" t="s">
        <v>48</v>
      </c>
      <c r="E6" s="19" t="s">
        <v>49</v>
      </c>
      <c r="F6" s="20" t="s">
        <v>47</v>
      </c>
      <c r="G6" s="21" t="s">
        <v>3</v>
      </c>
      <c r="H6" s="22"/>
      <c r="I6" s="22"/>
      <c r="J6" s="22"/>
      <c r="K6" s="22"/>
      <c r="L6" s="23"/>
    </row>
    <row r="7" customFormat="false" ht="12.8" hidden="false" customHeight="false" outlineLevel="0" collapsed="false">
      <c r="A7" s="24" t="n">
        <v>5</v>
      </c>
      <c r="B7" s="18" t="s">
        <v>50</v>
      </c>
      <c r="C7" s="18" t="n">
        <v>0.0986208307231895</v>
      </c>
      <c r="E7" s="25" t="s">
        <v>46</v>
      </c>
      <c r="F7" s="26" t="s">
        <v>51</v>
      </c>
      <c r="G7" s="27" t="s">
        <v>52</v>
      </c>
      <c r="H7" s="27" t="s">
        <v>53</v>
      </c>
      <c r="I7" s="27" t="s">
        <v>54</v>
      </c>
      <c r="J7" s="27" t="s">
        <v>50</v>
      </c>
      <c r="K7" s="27" t="s">
        <v>55</v>
      </c>
      <c r="L7" s="28" t="s">
        <v>56</v>
      </c>
    </row>
    <row r="8" customFormat="false" ht="12.8" hidden="false" customHeight="false" outlineLevel="0" collapsed="false">
      <c r="A8" s="24" t="n">
        <v>9</v>
      </c>
      <c r="B8" s="18" t="s">
        <v>50</v>
      </c>
      <c r="C8" s="18" t="n">
        <v>0.0743490932245167</v>
      </c>
      <c r="E8" s="29" t="n">
        <v>2</v>
      </c>
      <c r="F8" s="30" t="n">
        <v>1</v>
      </c>
      <c r="G8" s="31"/>
      <c r="H8" s="31"/>
      <c r="I8" s="31"/>
      <c r="J8" s="31"/>
      <c r="K8" s="32"/>
      <c r="L8" s="33" t="n">
        <v>1</v>
      </c>
    </row>
    <row r="9" customFormat="false" ht="12.8" hidden="false" customHeight="false" outlineLevel="0" collapsed="false">
      <c r="A9" s="24" t="n">
        <v>6</v>
      </c>
      <c r="B9" s="18" t="s">
        <v>50</v>
      </c>
      <c r="C9" s="18" t="n">
        <v>0.068760576966996</v>
      </c>
      <c r="E9" s="34" t="n">
        <v>3</v>
      </c>
      <c r="F9" s="35" t="n">
        <v>1</v>
      </c>
      <c r="G9" s="36" t="n">
        <v>1</v>
      </c>
      <c r="H9" s="36"/>
      <c r="I9" s="36"/>
      <c r="J9" s="36"/>
      <c r="K9" s="37"/>
      <c r="L9" s="38" t="n">
        <v>2</v>
      </c>
    </row>
    <row r="10" customFormat="false" ht="12.8" hidden="false" customHeight="false" outlineLevel="0" collapsed="false">
      <c r="A10" s="24" t="n">
        <v>17</v>
      </c>
      <c r="B10" s="18" t="s">
        <v>50</v>
      </c>
      <c r="C10" s="18" t="n">
        <v>0.0529872227140977</v>
      </c>
      <c r="E10" s="34" t="n">
        <v>4</v>
      </c>
      <c r="F10" s="35"/>
      <c r="G10" s="36" t="n">
        <v>1</v>
      </c>
      <c r="H10" s="36"/>
      <c r="I10" s="36"/>
      <c r="J10" s="36" t="n">
        <v>1</v>
      </c>
      <c r="K10" s="37" t="n">
        <v>1</v>
      </c>
      <c r="L10" s="38" t="n">
        <v>3</v>
      </c>
    </row>
    <row r="11" customFormat="false" ht="12.8" hidden="false" customHeight="false" outlineLevel="0" collapsed="false">
      <c r="A11" s="24" t="n">
        <v>19</v>
      </c>
      <c r="B11" s="18" t="s">
        <v>50</v>
      </c>
      <c r="C11" s="18" t="n">
        <v>0.0527453572522953</v>
      </c>
      <c r="E11" s="34" t="n">
        <v>5</v>
      </c>
      <c r="F11" s="35"/>
      <c r="G11" s="36" t="n">
        <v>1</v>
      </c>
      <c r="H11" s="36"/>
      <c r="I11" s="36"/>
      <c r="J11" s="36" t="n">
        <v>1</v>
      </c>
      <c r="K11" s="37" t="n">
        <v>1</v>
      </c>
      <c r="L11" s="38" t="n">
        <v>3</v>
      </c>
    </row>
    <row r="12" customFormat="false" ht="12.8" hidden="false" customHeight="false" outlineLevel="0" collapsed="false">
      <c r="A12" s="24" t="n">
        <v>4</v>
      </c>
      <c r="B12" s="18" t="s">
        <v>50</v>
      </c>
      <c r="C12" s="18" t="n">
        <v>0.0520415056914544</v>
      </c>
      <c r="E12" s="34" t="n">
        <v>6</v>
      </c>
      <c r="F12" s="35"/>
      <c r="G12" s="36"/>
      <c r="H12" s="36"/>
      <c r="I12" s="36" t="n">
        <v>1</v>
      </c>
      <c r="J12" s="36" t="n">
        <v>1</v>
      </c>
      <c r="K12" s="37"/>
      <c r="L12" s="38" t="n">
        <v>2</v>
      </c>
    </row>
    <row r="13" customFormat="false" ht="12.8" hidden="false" customHeight="false" outlineLevel="0" collapsed="false">
      <c r="A13" s="24" t="n">
        <v>15</v>
      </c>
      <c r="B13" s="18" t="s">
        <v>50</v>
      </c>
      <c r="C13" s="18" t="n">
        <v>0.0513091212841427</v>
      </c>
      <c r="E13" s="34" t="n">
        <v>9</v>
      </c>
      <c r="F13" s="35"/>
      <c r="G13" s="36" t="n">
        <v>1</v>
      </c>
      <c r="H13" s="36"/>
      <c r="I13" s="36"/>
      <c r="J13" s="36" t="n">
        <v>1</v>
      </c>
      <c r="K13" s="37"/>
      <c r="L13" s="38" t="n">
        <v>2</v>
      </c>
    </row>
    <row r="14" customFormat="false" ht="12.8" hidden="false" customHeight="false" outlineLevel="0" collapsed="false">
      <c r="A14" s="39" t="n">
        <v>22</v>
      </c>
      <c r="B14" s="40" t="s">
        <v>53</v>
      </c>
      <c r="C14" s="18" t="n">
        <v>0.0792879742497615</v>
      </c>
      <c r="E14" s="34" t="n">
        <v>14</v>
      </c>
      <c r="F14" s="35" t="n">
        <v>1</v>
      </c>
      <c r="G14" s="36"/>
      <c r="H14" s="36"/>
      <c r="I14" s="36" t="n">
        <v>1</v>
      </c>
      <c r="J14" s="36"/>
      <c r="K14" s="37"/>
      <c r="L14" s="38" t="n">
        <v>2</v>
      </c>
    </row>
    <row r="15" customFormat="false" ht="12.8" hidden="false" customHeight="false" outlineLevel="0" collapsed="false">
      <c r="A15" s="39" t="n">
        <v>24</v>
      </c>
      <c r="B15" s="40" t="s">
        <v>53</v>
      </c>
      <c r="C15" s="18" t="n">
        <v>0.0557683841441609</v>
      </c>
      <c r="E15" s="34" t="n">
        <v>15</v>
      </c>
      <c r="F15" s="35" t="n">
        <v>1</v>
      </c>
      <c r="G15" s="36"/>
      <c r="H15" s="36"/>
      <c r="I15" s="36"/>
      <c r="J15" s="36" t="n">
        <v>1</v>
      </c>
      <c r="K15" s="37"/>
      <c r="L15" s="38" t="n">
        <v>2</v>
      </c>
    </row>
    <row r="16" customFormat="false" ht="12.8" hidden="false" customHeight="false" outlineLevel="0" collapsed="false">
      <c r="A16" s="39" t="n">
        <v>19</v>
      </c>
      <c r="B16" s="40" t="s">
        <v>54</v>
      </c>
      <c r="C16" s="18" t="n">
        <v>0.0798006388690887</v>
      </c>
      <c r="E16" s="34" t="n">
        <v>16</v>
      </c>
      <c r="F16" s="35"/>
      <c r="G16" s="36"/>
      <c r="H16" s="36"/>
      <c r="I16" s="36"/>
      <c r="J16" s="36"/>
      <c r="K16" s="37" t="n">
        <v>1</v>
      </c>
      <c r="L16" s="38" t="n">
        <v>1</v>
      </c>
    </row>
    <row r="17" customFormat="false" ht="12.8" hidden="false" customHeight="false" outlineLevel="0" collapsed="false">
      <c r="A17" s="39" t="n">
        <v>24</v>
      </c>
      <c r="B17" s="40" t="s">
        <v>54</v>
      </c>
      <c r="C17" s="18" t="n">
        <v>0.0768511291573462</v>
      </c>
      <c r="E17" s="34" t="n">
        <v>17</v>
      </c>
      <c r="F17" s="35" t="n">
        <v>1</v>
      </c>
      <c r="G17" s="36"/>
      <c r="H17" s="36"/>
      <c r="I17" s="36" t="n">
        <v>1</v>
      </c>
      <c r="J17" s="36" t="n">
        <v>1</v>
      </c>
      <c r="K17" s="37"/>
      <c r="L17" s="38" t="n">
        <v>3</v>
      </c>
    </row>
    <row r="18" customFormat="false" ht="12.8" hidden="false" customHeight="false" outlineLevel="0" collapsed="false">
      <c r="A18" s="39" t="n">
        <v>22</v>
      </c>
      <c r="B18" s="40" t="s">
        <v>54</v>
      </c>
      <c r="C18" s="18" t="n">
        <v>0.067913392966423</v>
      </c>
      <c r="E18" s="34" t="n">
        <v>19</v>
      </c>
      <c r="F18" s="35" t="n">
        <v>1</v>
      </c>
      <c r="G18" s="36" t="n">
        <v>1</v>
      </c>
      <c r="H18" s="36"/>
      <c r="I18" s="36" t="n">
        <v>1</v>
      </c>
      <c r="J18" s="36" t="n">
        <v>1</v>
      </c>
      <c r="K18" s="37" t="n">
        <v>1</v>
      </c>
      <c r="L18" s="38" t="n">
        <v>5</v>
      </c>
    </row>
    <row r="19" customFormat="false" ht="12.8" hidden="false" customHeight="false" outlineLevel="0" collapsed="false">
      <c r="A19" s="39" t="n">
        <v>14</v>
      </c>
      <c r="B19" s="40" t="s">
        <v>54</v>
      </c>
      <c r="C19" s="18" t="n">
        <v>0.065898510150403</v>
      </c>
      <c r="E19" s="34" t="n">
        <v>20</v>
      </c>
      <c r="F19" s="35"/>
      <c r="G19" s="36"/>
      <c r="H19" s="36"/>
      <c r="I19" s="36"/>
      <c r="J19" s="36"/>
      <c r="K19" s="37" t="n">
        <v>1</v>
      </c>
      <c r="L19" s="38" t="n">
        <v>1</v>
      </c>
    </row>
    <row r="20" customFormat="false" ht="12.8" hidden="false" customHeight="false" outlineLevel="0" collapsed="false">
      <c r="A20" s="39" t="n">
        <v>6</v>
      </c>
      <c r="B20" s="40" t="s">
        <v>54</v>
      </c>
      <c r="C20" s="18" t="n">
        <v>0.0650643857345121</v>
      </c>
      <c r="E20" s="34" t="n">
        <v>22</v>
      </c>
      <c r="F20" s="35"/>
      <c r="G20" s="36"/>
      <c r="H20" s="36" t="n">
        <v>1</v>
      </c>
      <c r="I20" s="36" t="n">
        <v>1</v>
      </c>
      <c r="J20" s="36"/>
      <c r="K20" s="37" t="n">
        <v>1</v>
      </c>
      <c r="L20" s="38" t="n">
        <v>3</v>
      </c>
    </row>
    <row r="21" customFormat="false" ht="12.8" hidden="false" customHeight="false" outlineLevel="0" collapsed="false">
      <c r="A21" s="39" t="n">
        <v>17</v>
      </c>
      <c r="B21" s="40" t="s">
        <v>54</v>
      </c>
      <c r="C21" s="18" t="n">
        <v>0.0500356750398536</v>
      </c>
      <c r="E21" s="34" t="n">
        <v>24</v>
      </c>
      <c r="F21" s="41"/>
      <c r="G21" s="42"/>
      <c r="H21" s="42" t="n">
        <v>1</v>
      </c>
      <c r="I21" s="42" t="n">
        <v>1</v>
      </c>
      <c r="J21" s="42"/>
      <c r="K21" s="43"/>
      <c r="L21" s="44" t="n">
        <v>2</v>
      </c>
    </row>
    <row r="22" customFormat="false" ht="12.8" hidden="false" customHeight="false" outlineLevel="0" collapsed="false">
      <c r="A22" s="39" t="n">
        <v>19</v>
      </c>
      <c r="B22" s="40" t="s">
        <v>55</v>
      </c>
      <c r="C22" s="18" t="n">
        <v>0.132545996121384</v>
      </c>
      <c r="E22" s="45" t="s">
        <v>56</v>
      </c>
      <c r="F22" s="46" t="n">
        <v>6</v>
      </c>
      <c r="G22" s="47" t="n">
        <v>5</v>
      </c>
      <c r="H22" s="47" t="n">
        <v>2</v>
      </c>
      <c r="I22" s="47" t="n">
        <v>6</v>
      </c>
      <c r="J22" s="47" t="n">
        <v>7</v>
      </c>
      <c r="K22" s="48" t="n">
        <v>6</v>
      </c>
      <c r="L22" s="49" t="n">
        <v>32</v>
      </c>
    </row>
    <row r="23" customFormat="false" ht="12.8" hidden="false" customHeight="false" outlineLevel="0" collapsed="false">
      <c r="A23" s="39" t="n">
        <v>16</v>
      </c>
      <c r="B23" s="40" t="s">
        <v>55</v>
      </c>
      <c r="C23" s="18" t="n">
        <v>0.0719844923113469</v>
      </c>
    </row>
    <row r="24" customFormat="false" ht="12.8" hidden="false" customHeight="false" outlineLevel="0" collapsed="false">
      <c r="A24" s="39" t="n">
        <v>4</v>
      </c>
      <c r="B24" s="40" t="s">
        <v>55</v>
      </c>
      <c r="C24" s="18" t="n">
        <v>0.066133487146822</v>
      </c>
    </row>
    <row r="25" customFormat="false" ht="12.8" hidden="false" customHeight="false" outlineLevel="0" collapsed="false">
      <c r="A25" s="39" t="n">
        <v>20</v>
      </c>
      <c r="B25" s="40" t="s">
        <v>55</v>
      </c>
      <c r="C25" s="18" t="n">
        <v>0.0522618832628589</v>
      </c>
    </row>
    <row r="26" customFormat="false" ht="12.8" hidden="false" customHeight="false" outlineLevel="0" collapsed="false">
      <c r="A26" s="39" t="n">
        <v>5</v>
      </c>
      <c r="B26" s="40" t="s">
        <v>55</v>
      </c>
      <c r="C26" s="18" t="n">
        <v>0.0515483594900894</v>
      </c>
    </row>
    <row r="27" customFormat="false" ht="12.8" hidden="false" customHeight="false" outlineLevel="0" collapsed="false">
      <c r="A27" s="39" t="n">
        <v>22</v>
      </c>
      <c r="B27" s="40" t="s">
        <v>55</v>
      </c>
      <c r="C27" s="18" t="n">
        <v>0.0502067980155101</v>
      </c>
    </row>
    <row r="28" customFormat="false" ht="12.8" hidden="false" customHeight="false" outlineLevel="0" collapsed="false">
      <c r="A28" s="39" t="n">
        <v>3</v>
      </c>
      <c r="B28" s="18" t="s">
        <v>51</v>
      </c>
      <c r="C28" s="18" t="n">
        <v>0.0854155882014733</v>
      </c>
    </row>
    <row r="29" customFormat="false" ht="12.8" hidden="false" customHeight="false" outlineLevel="0" collapsed="false">
      <c r="A29" s="39" t="n">
        <v>19</v>
      </c>
      <c r="B29" s="18" t="s">
        <v>51</v>
      </c>
      <c r="C29" s="18" t="n">
        <v>0.0723301285695978</v>
      </c>
    </row>
    <row r="30" customFormat="false" ht="12.8" hidden="false" customHeight="false" outlineLevel="0" collapsed="false">
      <c r="A30" s="39" t="n">
        <v>15</v>
      </c>
      <c r="B30" s="18" t="s">
        <v>51</v>
      </c>
      <c r="C30" s="18" t="n">
        <v>0.0713690721262111</v>
      </c>
    </row>
    <row r="31" customFormat="false" ht="12.8" hidden="false" customHeight="false" outlineLevel="0" collapsed="false">
      <c r="A31" s="39" t="n">
        <v>14</v>
      </c>
      <c r="B31" s="18" t="s">
        <v>51</v>
      </c>
      <c r="C31" s="18" t="n">
        <v>0.0565476074352107</v>
      </c>
    </row>
    <row r="32" customFormat="false" ht="12.8" hidden="false" customHeight="false" outlineLevel="0" collapsed="false">
      <c r="A32" s="39" t="n">
        <v>17</v>
      </c>
      <c r="B32" s="18" t="s">
        <v>51</v>
      </c>
      <c r="C32" s="18" t="n">
        <v>0.0536473758846339</v>
      </c>
    </row>
    <row r="33" customFormat="false" ht="12.8" hidden="false" customHeight="false" outlineLevel="0" collapsed="false">
      <c r="A33" s="39" t="n">
        <v>2</v>
      </c>
      <c r="B33" s="18" t="s">
        <v>51</v>
      </c>
      <c r="C33" s="18" t="n">
        <v>0.0521843776961275</v>
      </c>
    </row>
    <row r="34" customFormat="false" ht="12.8" hidden="false" customHeight="false" outlineLevel="0" collapsed="false">
      <c r="A34" s="39" t="n">
        <v>19</v>
      </c>
      <c r="B34" s="18" t="s">
        <v>52</v>
      </c>
      <c r="C34" s="18" t="n">
        <v>0.125075485821893</v>
      </c>
    </row>
    <row r="35" customFormat="false" ht="12.8" hidden="false" customHeight="false" outlineLevel="0" collapsed="false">
      <c r="A35" s="39" t="n">
        <v>3</v>
      </c>
      <c r="B35" s="18" t="s">
        <v>52</v>
      </c>
      <c r="C35" s="18" t="n">
        <v>0.0827604065079922</v>
      </c>
    </row>
    <row r="36" customFormat="false" ht="12.8" hidden="false" customHeight="false" outlineLevel="0" collapsed="false">
      <c r="A36" s="39" t="n">
        <v>9</v>
      </c>
      <c r="B36" s="18" t="s">
        <v>52</v>
      </c>
      <c r="C36" s="18" t="n">
        <v>0.0680715804198886</v>
      </c>
    </row>
    <row r="37" customFormat="false" ht="12.8" hidden="false" customHeight="false" outlineLevel="0" collapsed="false">
      <c r="A37" s="39" t="n">
        <v>5</v>
      </c>
      <c r="B37" s="18" t="s">
        <v>52</v>
      </c>
      <c r="C37" s="18" t="n">
        <v>0.0512084910090372</v>
      </c>
    </row>
    <row r="38" customFormat="false" ht="12.8" hidden="false" customHeight="false" outlineLevel="0" collapsed="false">
      <c r="A38" s="39" t="n">
        <v>4</v>
      </c>
      <c r="B38" s="18" t="s">
        <v>52</v>
      </c>
      <c r="C38" s="18" t="n">
        <v>0.0501207703431406</v>
      </c>
    </row>
    <row r="41" customFormat="false" ht="12.8" hidden="false" customHeight="false" outlineLevel="0" collapsed="false">
      <c r="A41" s="17" t="s">
        <v>8</v>
      </c>
    </row>
    <row r="43" customFormat="false" ht="12.8" hidden="false" customHeight="false" outlineLevel="0" collapsed="false">
      <c r="A43" s="50" t="s">
        <v>57</v>
      </c>
      <c r="B43" s="18" t="s">
        <v>47</v>
      </c>
      <c r="C43" s="50" t="s">
        <v>58</v>
      </c>
      <c r="E43" s="19" t="s">
        <v>59</v>
      </c>
      <c r="F43" s="20" t="s">
        <v>47</v>
      </c>
      <c r="G43" s="21" t="s">
        <v>8</v>
      </c>
      <c r="H43" s="22"/>
      <c r="I43" s="22"/>
      <c r="J43" s="22"/>
      <c r="K43" s="22"/>
      <c r="L43" s="23"/>
    </row>
    <row r="44" customFormat="false" ht="12.8" hidden="false" customHeight="false" outlineLevel="0" collapsed="false">
      <c r="A44" s="50" t="n">
        <v>22</v>
      </c>
      <c r="B44" s="50" t="s">
        <v>60</v>
      </c>
      <c r="C44" s="51" t="n">
        <v>0.104033915898458</v>
      </c>
      <c r="E44" s="25" t="s">
        <v>57</v>
      </c>
      <c r="F44" s="26" t="s">
        <v>53</v>
      </c>
      <c r="G44" s="27" t="s">
        <v>60</v>
      </c>
      <c r="H44" s="27" t="s">
        <v>61</v>
      </c>
      <c r="I44" s="27" t="s">
        <v>62</v>
      </c>
      <c r="J44" s="27" t="s">
        <v>63</v>
      </c>
      <c r="K44" s="27" t="s">
        <v>64</v>
      </c>
      <c r="L44" s="28" t="s">
        <v>56</v>
      </c>
    </row>
    <row r="45" customFormat="false" ht="12.8" hidden="false" customHeight="false" outlineLevel="0" collapsed="false">
      <c r="A45" s="50" t="n">
        <v>21</v>
      </c>
      <c r="B45" s="50" t="s">
        <v>61</v>
      </c>
      <c r="C45" s="51" t="n">
        <v>0.0912670524867041</v>
      </c>
      <c r="E45" s="52" t="n">
        <v>5</v>
      </c>
      <c r="F45" s="30" t="n">
        <v>1</v>
      </c>
      <c r="G45" s="31" t="n">
        <v>1</v>
      </c>
      <c r="H45" s="31"/>
      <c r="I45" s="31"/>
      <c r="J45" s="31" t="n">
        <v>1</v>
      </c>
      <c r="K45" s="32"/>
      <c r="L45" s="33" t="n">
        <v>3</v>
      </c>
    </row>
    <row r="46" customFormat="false" ht="12.8" hidden="false" customHeight="false" outlineLevel="0" collapsed="false">
      <c r="A46" s="50" t="n">
        <v>22</v>
      </c>
      <c r="B46" s="50" t="s">
        <v>62</v>
      </c>
      <c r="C46" s="51" t="n">
        <v>0.0842572783661639</v>
      </c>
      <c r="E46" s="53" t="n">
        <v>7</v>
      </c>
      <c r="F46" s="35"/>
      <c r="G46" s="36" t="n">
        <v>1</v>
      </c>
      <c r="H46" s="36"/>
      <c r="I46" s="36"/>
      <c r="J46" s="36"/>
      <c r="K46" s="37"/>
      <c r="L46" s="38" t="n">
        <v>1</v>
      </c>
    </row>
    <row r="47" customFormat="false" ht="12.8" hidden="false" customHeight="false" outlineLevel="0" collapsed="false">
      <c r="A47" s="50" t="n">
        <v>21</v>
      </c>
      <c r="B47" s="50" t="s">
        <v>60</v>
      </c>
      <c r="C47" s="51" t="n">
        <v>0.0836063503517041</v>
      </c>
      <c r="E47" s="53" t="n">
        <v>13</v>
      </c>
      <c r="F47" s="35"/>
      <c r="G47" s="36"/>
      <c r="H47" s="36"/>
      <c r="I47" s="36" t="n">
        <v>1</v>
      </c>
      <c r="J47" s="36"/>
      <c r="K47" s="37"/>
      <c r="L47" s="38" t="n">
        <v>1</v>
      </c>
    </row>
    <row r="48" customFormat="false" ht="12.8" hidden="false" customHeight="false" outlineLevel="0" collapsed="false">
      <c r="A48" s="50" t="n">
        <v>5</v>
      </c>
      <c r="B48" s="50" t="s">
        <v>63</v>
      </c>
      <c r="C48" s="51" t="n">
        <v>0.08095563120463</v>
      </c>
      <c r="E48" s="53" t="n">
        <v>17</v>
      </c>
      <c r="F48" s="35"/>
      <c r="G48" s="36"/>
      <c r="H48" s="36" t="n">
        <v>1</v>
      </c>
      <c r="I48" s="36"/>
      <c r="J48" s="36"/>
      <c r="K48" s="37"/>
      <c r="L48" s="38" t="n">
        <v>1</v>
      </c>
    </row>
    <row r="49" customFormat="false" ht="12.8" hidden="false" customHeight="false" outlineLevel="0" collapsed="false">
      <c r="A49" s="50" t="n">
        <v>23</v>
      </c>
      <c r="B49" s="50" t="s">
        <v>60</v>
      </c>
      <c r="C49" s="51" t="n">
        <v>0.077076383616043</v>
      </c>
      <c r="E49" s="53" t="n">
        <v>21</v>
      </c>
      <c r="F49" s="35"/>
      <c r="G49" s="36" t="n">
        <v>1</v>
      </c>
      <c r="H49" s="36" t="n">
        <v>1</v>
      </c>
      <c r="I49" s="36" t="n">
        <v>1</v>
      </c>
      <c r="J49" s="36"/>
      <c r="K49" s="37"/>
      <c r="L49" s="38" t="n">
        <v>3</v>
      </c>
    </row>
    <row r="50" customFormat="false" ht="12.8" hidden="false" customHeight="false" outlineLevel="0" collapsed="false">
      <c r="A50" s="50" t="n">
        <v>7</v>
      </c>
      <c r="B50" s="50" t="s">
        <v>60</v>
      </c>
      <c r="C50" s="51" t="n">
        <v>0.0720789889310141</v>
      </c>
      <c r="E50" s="53" t="n">
        <v>22</v>
      </c>
      <c r="F50" s="35"/>
      <c r="G50" s="36" t="n">
        <v>1</v>
      </c>
      <c r="H50" s="36" t="n">
        <v>1</v>
      </c>
      <c r="I50" s="36" t="n">
        <v>1</v>
      </c>
      <c r="J50" s="36"/>
      <c r="K50" s="37"/>
      <c r="L50" s="38" t="n">
        <v>3</v>
      </c>
    </row>
    <row r="51" customFormat="false" ht="12.8" hidden="false" customHeight="false" outlineLevel="0" collapsed="false">
      <c r="A51" s="50" t="n">
        <v>17</v>
      </c>
      <c r="B51" s="50" t="s">
        <v>61</v>
      </c>
      <c r="C51" s="51" t="n">
        <v>0.068022618164015</v>
      </c>
      <c r="E51" s="53" t="n">
        <v>23</v>
      </c>
      <c r="F51" s="35"/>
      <c r="G51" s="36" t="n">
        <v>1</v>
      </c>
      <c r="H51" s="36"/>
      <c r="I51" s="36"/>
      <c r="J51" s="36"/>
      <c r="K51" s="37" t="n">
        <v>1</v>
      </c>
      <c r="L51" s="38" t="n">
        <v>2</v>
      </c>
    </row>
    <row r="52" customFormat="false" ht="12.8" hidden="false" customHeight="false" outlineLevel="0" collapsed="false">
      <c r="A52" s="50" t="n">
        <v>22</v>
      </c>
      <c r="B52" s="50" t="s">
        <v>61</v>
      </c>
      <c r="C52" s="51" t="n">
        <v>0.0670502758289699</v>
      </c>
      <c r="E52" s="53" t="n">
        <v>24</v>
      </c>
      <c r="F52" s="41"/>
      <c r="G52" s="42"/>
      <c r="H52" s="42"/>
      <c r="I52" s="42" t="n">
        <v>1</v>
      </c>
      <c r="J52" s="42"/>
      <c r="K52" s="43" t="n">
        <v>1</v>
      </c>
      <c r="L52" s="44" t="n">
        <v>2</v>
      </c>
    </row>
    <row r="53" customFormat="false" ht="12.8" hidden="false" customHeight="false" outlineLevel="0" collapsed="false">
      <c r="A53" s="50" t="n">
        <v>23</v>
      </c>
      <c r="B53" s="50" t="s">
        <v>64</v>
      </c>
      <c r="C53" s="51" t="n">
        <v>0.064935049237257</v>
      </c>
      <c r="E53" s="54" t="s">
        <v>56</v>
      </c>
      <c r="F53" s="46" t="n">
        <v>1</v>
      </c>
      <c r="G53" s="47" t="n">
        <v>5</v>
      </c>
      <c r="H53" s="47" t="n">
        <v>3</v>
      </c>
      <c r="I53" s="47" t="n">
        <v>4</v>
      </c>
      <c r="J53" s="47" t="n">
        <v>1</v>
      </c>
      <c r="K53" s="48" t="n">
        <v>2</v>
      </c>
      <c r="L53" s="49" t="n">
        <v>16</v>
      </c>
    </row>
    <row r="54" customFormat="false" ht="12.8" hidden="false" customHeight="false" outlineLevel="0" collapsed="false">
      <c r="A54" s="50" t="n">
        <v>24</v>
      </c>
      <c r="B54" s="50" t="s">
        <v>64</v>
      </c>
      <c r="C54" s="51" t="n">
        <v>0.063619816771148</v>
      </c>
    </row>
    <row r="55" customFormat="false" ht="12.8" hidden="false" customHeight="false" outlineLevel="0" collapsed="false">
      <c r="A55" s="50" t="n">
        <v>5</v>
      </c>
      <c r="B55" s="50" t="s">
        <v>60</v>
      </c>
      <c r="C55" s="51" t="n">
        <v>0.063126203091729</v>
      </c>
    </row>
    <row r="56" customFormat="false" ht="12.8" hidden="false" customHeight="false" outlineLevel="0" collapsed="false">
      <c r="A56" s="50" t="n">
        <v>5</v>
      </c>
      <c r="B56" s="18" t="s">
        <v>53</v>
      </c>
      <c r="C56" s="51" t="n">
        <v>0.061506890773356</v>
      </c>
    </row>
    <row r="57" customFormat="false" ht="12.8" hidden="false" customHeight="false" outlineLevel="0" collapsed="false">
      <c r="A57" s="50" t="n">
        <v>21</v>
      </c>
      <c r="B57" s="50" t="s">
        <v>62</v>
      </c>
      <c r="C57" s="51" t="n">
        <v>0.0606334031521101</v>
      </c>
    </row>
    <row r="58" customFormat="false" ht="12.8" hidden="false" customHeight="false" outlineLevel="0" collapsed="false">
      <c r="A58" s="50" t="n">
        <v>13</v>
      </c>
      <c r="B58" s="50" t="s">
        <v>62</v>
      </c>
      <c r="C58" s="51" t="n">
        <v>0.054187836080926</v>
      </c>
    </row>
    <row r="59" customFormat="false" ht="12.8" hidden="false" customHeight="false" outlineLevel="0" collapsed="false">
      <c r="A59" s="50" t="n">
        <v>24</v>
      </c>
      <c r="B59" s="50" t="s">
        <v>62</v>
      </c>
      <c r="C59" s="51" t="n">
        <v>0.0513447227424111</v>
      </c>
    </row>
    <row r="62" customFormat="false" ht="12.8" hidden="false" customHeight="false" outlineLevel="0" collapsed="false">
      <c r="A62" s="17" t="s">
        <v>9</v>
      </c>
    </row>
    <row r="64" customFormat="false" ht="12.8" hidden="false" customHeight="false" outlineLevel="0" collapsed="false">
      <c r="A64" s="50" t="s">
        <v>57</v>
      </c>
      <c r="B64" s="18" t="s">
        <v>47</v>
      </c>
      <c r="C64" s="50" t="s">
        <v>58</v>
      </c>
      <c r="E64" s="19" t="s">
        <v>59</v>
      </c>
      <c r="F64" s="20" t="s">
        <v>47</v>
      </c>
      <c r="G64" s="21" t="s">
        <v>9</v>
      </c>
      <c r="H64" s="22"/>
      <c r="I64" s="22"/>
      <c r="J64" s="22"/>
      <c r="K64" s="22"/>
      <c r="L64" s="23"/>
    </row>
    <row r="65" customFormat="false" ht="12.8" hidden="false" customHeight="false" outlineLevel="0" collapsed="false">
      <c r="A65" s="55" t="n">
        <v>20</v>
      </c>
      <c r="B65" s="56" t="s">
        <v>53</v>
      </c>
      <c r="C65" s="57" t="n">
        <v>0.120964102767945</v>
      </c>
      <c r="E65" s="25" t="s">
        <v>57</v>
      </c>
      <c r="F65" s="26" t="s">
        <v>53</v>
      </c>
      <c r="G65" s="27" t="s">
        <v>65</v>
      </c>
      <c r="H65" s="27" t="s">
        <v>62</v>
      </c>
      <c r="I65" s="27" t="s">
        <v>66</v>
      </c>
      <c r="J65" s="27" t="s">
        <v>67</v>
      </c>
      <c r="K65" s="27" t="s">
        <v>68</v>
      </c>
      <c r="L65" s="28" t="s">
        <v>56</v>
      </c>
    </row>
    <row r="66" customFormat="false" ht="12.8" hidden="false" customHeight="false" outlineLevel="0" collapsed="false">
      <c r="A66" s="55" t="n">
        <v>20</v>
      </c>
      <c r="B66" s="56" t="s">
        <v>62</v>
      </c>
      <c r="C66" s="57" t="n">
        <v>0.104784351280899</v>
      </c>
      <c r="E66" s="52" t="n">
        <v>2</v>
      </c>
      <c r="F66" s="30"/>
      <c r="G66" s="31"/>
      <c r="H66" s="31"/>
      <c r="I66" s="31" t="n">
        <v>1</v>
      </c>
      <c r="J66" s="31" t="n">
        <v>1</v>
      </c>
      <c r="K66" s="32"/>
      <c r="L66" s="33" t="n">
        <v>2</v>
      </c>
    </row>
    <row r="67" customFormat="false" ht="12.8" hidden="false" customHeight="false" outlineLevel="0" collapsed="false">
      <c r="A67" s="55" t="n">
        <v>22</v>
      </c>
      <c r="B67" s="56" t="s">
        <v>65</v>
      </c>
      <c r="C67" s="57" t="n">
        <v>0.102594839815966</v>
      </c>
      <c r="E67" s="53" t="n">
        <v>5</v>
      </c>
      <c r="F67" s="35" t="n">
        <v>1</v>
      </c>
      <c r="G67" s="36"/>
      <c r="H67" s="36"/>
      <c r="I67" s="36" t="n">
        <v>1</v>
      </c>
      <c r="J67" s="36"/>
      <c r="K67" s="37"/>
      <c r="L67" s="38" t="n">
        <v>2</v>
      </c>
    </row>
    <row r="68" customFormat="false" ht="12.8" hidden="false" customHeight="false" outlineLevel="0" collapsed="false">
      <c r="A68" s="55" t="n">
        <v>8</v>
      </c>
      <c r="B68" s="56" t="s">
        <v>65</v>
      </c>
      <c r="C68" s="57" t="n">
        <v>0.100054951277704</v>
      </c>
      <c r="E68" s="53" t="n">
        <v>8</v>
      </c>
      <c r="F68" s="35"/>
      <c r="G68" s="36" t="n">
        <v>1</v>
      </c>
      <c r="H68" s="36" t="n">
        <v>1</v>
      </c>
      <c r="I68" s="36" t="n">
        <v>1</v>
      </c>
      <c r="J68" s="36"/>
      <c r="K68" s="37"/>
      <c r="L68" s="38" t="n">
        <v>3</v>
      </c>
    </row>
    <row r="69" customFormat="false" ht="12.8" hidden="false" customHeight="false" outlineLevel="0" collapsed="false">
      <c r="A69" s="55" t="n">
        <v>21</v>
      </c>
      <c r="B69" s="56" t="s">
        <v>65</v>
      </c>
      <c r="C69" s="57" t="n">
        <v>0.0980878018369951</v>
      </c>
      <c r="E69" s="53" t="n">
        <v>9</v>
      </c>
      <c r="F69" s="35"/>
      <c r="G69" s="36"/>
      <c r="H69" s="36"/>
      <c r="I69" s="36"/>
      <c r="J69" s="36"/>
      <c r="K69" s="37" t="n">
        <v>1</v>
      </c>
      <c r="L69" s="38" t="n">
        <v>1</v>
      </c>
    </row>
    <row r="70" customFormat="false" ht="12.8" hidden="false" customHeight="false" outlineLevel="0" collapsed="false">
      <c r="A70" s="55" t="n">
        <v>21</v>
      </c>
      <c r="B70" s="56" t="s">
        <v>53</v>
      </c>
      <c r="C70" s="57" t="n">
        <v>0.0841722291868881</v>
      </c>
      <c r="E70" s="53" t="n">
        <v>13</v>
      </c>
      <c r="F70" s="35" t="n">
        <v>1</v>
      </c>
      <c r="G70" s="36" t="n">
        <v>1</v>
      </c>
      <c r="H70" s="36"/>
      <c r="I70" s="36" t="n">
        <v>1</v>
      </c>
      <c r="J70" s="36"/>
      <c r="K70" s="37"/>
      <c r="L70" s="38" t="n">
        <v>3</v>
      </c>
    </row>
    <row r="71" customFormat="false" ht="12.8" hidden="false" customHeight="false" outlineLevel="0" collapsed="false">
      <c r="A71" s="55" t="n">
        <v>21</v>
      </c>
      <c r="B71" s="56" t="s">
        <v>66</v>
      </c>
      <c r="C71" s="57" t="n">
        <v>0.0825830772103881</v>
      </c>
      <c r="E71" s="53" t="n">
        <v>16</v>
      </c>
      <c r="F71" s="35"/>
      <c r="G71" s="36" t="n">
        <v>1</v>
      </c>
      <c r="H71" s="36"/>
      <c r="I71" s="36" t="n">
        <v>1</v>
      </c>
      <c r="J71" s="36"/>
      <c r="K71" s="37"/>
      <c r="L71" s="38" t="n">
        <v>2</v>
      </c>
    </row>
    <row r="72" customFormat="false" ht="12.8" hidden="false" customHeight="false" outlineLevel="0" collapsed="false">
      <c r="A72" s="55" t="n">
        <v>16</v>
      </c>
      <c r="B72" s="56" t="s">
        <v>65</v>
      </c>
      <c r="C72" s="57" t="n">
        <v>0.076429465708707</v>
      </c>
      <c r="E72" s="53" t="n">
        <v>20</v>
      </c>
      <c r="F72" s="35" t="n">
        <v>1</v>
      </c>
      <c r="G72" s="36"/>
      <c r="H72" s="36" t="n">
        <v>1</v>
      </c>
      <c r="I72" s="36" t="n">
        <v>1</v>
      </c>
      <c r="J72" s="36" t="n">
        <v>1</v>
      </c>
      <c r="K72" s="37"/>
      <c r="L72" s="38" t="n">
        <v>4</v>
      </c>
    </row>
    <row r="73" customFormat="false" ht="12.8" hidden="false" customHeight="false" outlineLevel="0" collapsed="false">
      <c r="A73" s="55" t="n">
        <v>13</v>
      </c>
      <c r="B73" s="56" t="s">
        <v>66</v>
      </c>
      <c r="C73" s="57" t="n">
        <v>0.076072324011622</v>
      </c>
      <c r="E73" s="53" t="n">
        <v>21</v>
      </c>
      <c r="F73" s="35" t="n">
        <v>1</v>
      </c>
      <c r="G73" s="36" t="n">
        <v>1</v>
      </c>
      <c r="H73" s="36"/>
      <c r="I73" s="36" t="n">
        <v>1</v>
      </c>
      <c r="J73" s="36"/>
      <c r="K73" s="37"/>
      <c r="L73" s="38" t="n">
        <v>3</v>
      </c>
    </row>
    <row r="74" customFormat="false" ht="12.8" hidden="false" customHeight="false" outlineLevel="0" collapsed="false">
      <c r="A74" s="55" t="n">
        <v>22</v>
      </c>
      <c r="B74" s="56" t="s">
        <v>53</v>
      </c>
      <c r="C74" s="57" t="n">
        <v>0.0743624216427531</v>
      </c>
      <c r="E74" s="53" t="n">
        <v>22</v>
      </c>
      <c r="F74" s="41" t="n">
        <v>1</v>
      </c>
      <c r="G74" s="42" t="n">
        <v>1</v>
      </c>
      <c r="H74" s="42"/>
      <c r="I74" s="42"/>
      <c r="J74" s="42"/>
      <c r="K74" s="43" t="n">
        <v>1</v>
      </c>
      <c r="L74" s="44" t="n">
        <v>3</v>
      </c>
    </row>
    <row r="75" customFormat="false" ht="12.8" hidden="false" customHeight="false" outlineLevel="0" collapsed="false">
      <c r="A75" s="55" t="n">
        <v>5</v>
      </c>
      <c r="B75" s="56" t="s">
        <v>66</v>
      </c>
      <c r="C75" s="57" t="n">
        <v>0.0691474303005361</v>
      </c>
      <c r="E75" s="54" t="s">
        <v>56</v>
      </c>
      <c r="F75" s="46" t="n">
        <v>5</v>
      </c>
      <c r="G75" s="47" t="n">
        <v>5</v>
      </c>
      <c r="H75" s="47" t="n">
        <v>2</v>
      </c>
      <c r="I75" s="47" t="n">
        <v>7</v>
      </c>
      <c r="J75" s="47" t="n">
        <v>2</v>
      </c>
      <c r="K75" s="48" t="n">
        <v>2</v>
      </c>
      <c r="L75" s="49" t="n">
        <v>23</v>
      </c>
    </row>
    <row r="76" customFormat="false" ht="12.8" hidden="false" customHeight="false" outlineLevel="0" collapsed="false">
      <c r="A76" s="55" t="n">
        <v>22</v>
      </c>
      <c r="B76" s="5" t="s">
        <v>68</v>
      </c>
      <c r="C76" s="57" t="n">
        <v>0.067079933221429</v>
      </c>
    </row>
    <row r="77" customFormat="false" ht="12.8" hidden="false" customHeight="false" outlineLevel="0" collapsed="false">
      <c r="A77" s="55" t="n">
        <v>8</v>
      </c>
      <c r="B77" s="56" t="s">
        <v>66</v>
      </c>
      <c r="C77" s="57" t="n">
        <v>0.065227009130124</v>
      </c>
    </row>
    <row r="78" customFormat="false" ht="12.8" hidden="false" customHeight="false" outlineLevel="0" collapsed="false">
      <c r="A78" s="55" t="n">
        <v>20</v>
      </c>
      <c r="B78" s="56" t="s">
        <v>67</v>
      </c>
      <c r="C78" s="57" t="n">
        <v>0.06441337768898</v>
      </c>
    </row>
    <row r="79" customFormat="false" ht="12.8" hidden="false" customHeight="false" outlineLevel="0" collapsed="false">
      <c r="A79" s="55" t="n">
        <v>2</v>
      </c>
      <c r="B79" s="56" t="s">
        <v>66</v>
      </c>
      <c r="C79" s="57" t="n">
        <v>0.0635058028823861</v>
      </c>
    </row>
    <row r="80" customFormat="false" ht="12.8" hidden="false" customHeight="false" outlineLevel="0" collapsed="false">
      <c r="A80" s="55" t="n">
        <v>16</v>
      </c>
      <c r="B80" s="56" t="s">
        <v>66</v>
      </c>
      <c r="C80" s="57" t="n">
        <v>0.061630551439307</v>
      </c>
    </row>
    <row r="81" customFormat="false" ht="12.8" hidden="false" customHeight="false" outlineLevel="0" collapsed="false">
      <c r="A81" s="55" t="n">
        <v>20</v>
      </c>
      <c r="B81" s="56" t="s">
        <v>66</v>
      </c>
      <c r="C81" s="57" t="n">
        <v>0.056550725078965</v>
      </c>
    </row>
    <row r="82" customFormat="false" ht="12.8" hidden="false" customHeight="false" outlineLevel="0" collapsed="false">
      <c r="A82" s="55" t="n">
        <v>13</v>
      </c>
      <c r="B82" s="56" t="s">
        <v>65</v>
      </c>
      <c r="C82" s="57" t="n">
        <v>0.055714888356574</v>
      </c>
    </row>
    <row r="83" customFormat="false" ht="12.8" hidden="false" customHeight="false" outlineLevel="0" collapsed="false">
      <c r="A83" s="55" t="n">
        <v>9</v>
      </c>
      <c r="B83" s="5" t="s">
        <v>68</v>
      </c>
      <c r="C83" s="57" t="n">
        <v>0.055327236525055</v>
      </c>
    </row>
    <row r="84" customFormat="false" ht="12.8" hidden="false" customHeight="false" outlineLevel="0" collapsed="false">
      <c r="A84" s="55" t="n">
        <v>5</v>
      </c>
      <c r="B84" s="56" t="s">
        <v>53</v>
      </c>
      <c r="C84" s="57" t="n">
        <v>0.0533308637109941</v>
      </c>
    </row>
    <row r="85" customFormat="false" ht="12.8" hidden="false" customHeight="false" outlineLevel="0" collapsed="false">
      <c r="A85" s="55" t="n">
        <v>2</v>
      </c>
      <c r="B85" s="56" t="s">
        <v>67</v>
      </c>
      <c r="C85" s="57" t="n">
        <v>0.0533044439754921</v>
      </c>
    </row>
    <row r="86" customFormat="false" ht="12.8" hidden="false" customHeight="false" outlineLevel="0" collapsed="false">
      <c r="A86" s="55" t="n">
        <v>13</v>
      </c>
      <c r="B86" s="56" t="s">
        <v>53</v>
      </c>
      <c r="C86" s="57" t="n">
        <v>0.052342340805824</v>
      </c>
    </row>
    <row r="87" customFormat="false" ht="12.8" hidden="false" customHeight="false" outlineLevel="0" collapsed="false">
      <c r="A87" s="55" t="n">
        <v>8</v>
      </c>
      <c r="B87" s="56" t="s">
        <v>62</v>
      </c>
      <c r="C87" s="57" t="n">
        <v>0.050169708698427</v>
      </c>
    </row>
    <row r="90" customFormat="false" ht="12.8" hidden="false" customHeight="false" outlineLevel="0" collapsed="false">
      <c r="A90" s="17" t="s">
        <v>10</v>
      </c>
    </row>
    <row r="92" customFormat="false" ht="12.8" hidden="false" customHeight="false" outlineLevel="0" collapsed="false">
      <c r="A92" s="58" t="s">
        <v>57</v>
      </c>
      <c r="B92" s="18" t="s">
        <v>47</v>
      </c>
      <c r="C92" s="50" t="s">
        <v>58</v>
      </c>
      <c r="E92" s="19" t="s">
        <v>59</v>
      </c>
      <c r="F92" s="20" t="s">
        <v>47</v>
      </c>
      <c r="G92" s="21" t="s">
        <v>10</v>
      </c>
      <c r="H92" s="22"/>
      <c r="I92" s="22"/>
      <c r="J92" s="22"/>
      <c r="K92" s="22"/>
      <c r="L92" s="23"/>
    </row>
    <row r="93" customFormat="false" ht="12.8" hidden="false" customHeight="false" outlineLevel="0" collapsed="false">
      <c r="A93" s="59" t="n">
        <v>5</v>
      </c>
      <c r="B93" s="57" t="s">
        <v>50</v>
      </c>
      <c r="C93" s="57" t="n">
        <v>0.0543553746201964</v>
      </c>
      <c r="E93" s="25" t="s">
        <v>57</v>
      </c>
      <c r="F93" s="26" t="s">
        <v>53</v>
      </c>
      <c r="G93" s="27" t="s">
        <v>65</v>
      </c>
      <c r="H93" s="27" t="s">
        <v>54</v>
      </c>
      <c r="I93" s="27" t="s">
        <v>50</v>
      </c>
      <c r="J93" s="27" t="s">
        <v>66</v>
      </c>
      <c r="K93" s="27" t="s">
        <v>67</v>
      </c>
      <c r="L93" s="28" t="s">
        <v>56</v>
      </c>
    </row>
    <row r="94" customFormat="false" ht="12.8" hidden="false" customHeight="false" outlineLevel="0" collapsed="false">
      <c r="A94" s="59" t="n">
        <v>11</v>
      </c>
      <c r="B94" s="57" t="s">
        <v>50</v>
      </c>
      <c r="C94" s="57" t="n">
        <v>0.0601081182292729</v>
      </c>
      <c r="E94" s="29" t="n">
        <v>2</v>
      </c>
      <c r="F94" s="30"/>
      <c r="G94" s="31" t="n">
        <v>1</v>
      </c>
      <c r="H94" s="31"/>
      <c r="I94" s="31"/>
      <c r="J94" s="31"/>
      <c r="K94" s="32"/>
      <c r="L94" s="33" t="n">
        <v>1</v>
      </c>
    </row>
    <row r="95" customFormat="false" ht="12.8" hidden="false" customHeight="false" outlineLevel="0" collapsed="false">
      <c r="A95" s="59" t="n">
        <v>21</v>
      </c>
      <c r="B95" s="57" t="s">
        <v>50</v>
      </c>
      <c r="C95" s="57" t="n">
        <v>0.134697832450992</v>
      </c>
      <c r="E95" s="34" t="n">
        <v>3</v>
      </c>
      <c r="F95" s="35"/>
      <c r="G95" s="36"/>
      <c r="H95" s="36"/>
      <c r="I95" s="36"/>
      <c r="J95" s="36" t="n">
        <v>1</v>
      </c>
      <c r="K95" s="37"/>
      <c r="L95" s="38" t="n">
        <v>1</v>
      </c>
    </row>
    <row r="96" customFormat="false" ht="12.8" hidden="false" customHeight="false" outlineLevel="0" collapsed="false">
      <c r="A96" s="59" t="n">
        <v>25</v>
      </c>
      <c r="B96" s="57" t="s">
        <v>50</v>
      </c>
      <c r="C96" s="57" t="n">
        <v>0.053068307051809</v>
      </c>
      <c r="E96" s="34" t="n">
        <v>5</v>
      </c>
      <c r="F96" s="35"/>
      <c r="G96" s="36"/>
      <c r="H96" s="36"/>
      <c r="I96" s="36" t="n">
        <v>1</v>
      </c>
      <c r="J96" s="36" t="n">
        <v>1</v>
      </c>
      <c r="K96" s="37" t="n">
        <v>1</v>
      </c>
      <c r="L96" s="38" t="n">
        <v>3</v>
      </c>
    </row>
    <row r="97" customFormat="false" ht="12.8" hidden="false" customHeight="false" outlineLevel="0" collapsed="false">
      <c r="A97" s="59" t="n">
        <v>6</v>
      </c>
      <c r="B97" s="18" t="s">
        <v>53</v>
      </c>
      <c r="C97" s="57" t="n">
        <v>0.0528169411349331</v>
      </c>
      <c r="E97" s="34" t="n">
        <v>6</v>
      </c>
      <c r="F97" s="35" t="n">
        <v>1</v>
      </c>
      <c r="G97" s="36"/>
      <c r="H97" s="36"/>
      <c r="I97" s="36"/>
      <c r="J97" s="36"/>
      <c r="K97" s="37"/>
      <c r="L97" s="38" t="n">
        <v>1</v>
      </c>
    </row>
    <row r="98" customFormat="false" ht="12.8" hidden="false" customHeight="false" outlineLevel="0" collapsed="false">
      <c r="A98" s="59" t="n">
        <v>7</v>
      </c>
      <c r="B98" s="18" t="s">
        <v>53</v>
      </c>
      <c r="C98" s="57" t="n">
        <v>0.0766334795407158</v>
      </c>
      <c r="E98" s="34" t="n">
        <v>7</v>
      </c>
      <c r="F98" s="35" t="n">
        <v>1</v>
      </c>
      <c r="G98" s="36"/>
      <c r="H98" s="36" t="n">
        <v>1</v>
      </c>
      <c r="I98" s="36"/>
      <c r="J98" s="36"/>
      <c r="K98" s="37"/>
      <c r="L98" s="38" t="n">
        <v>2</v>
      </c>
    </row>
    <row r="99" customFormat="false" ht="12.8" hidden="false" customHeight="false" outlineLevel="0" collapsed="false">
      <c r="A99" s="59" t="n">
        <v>10</v>
      </c>
      <c r="B99" s="18" t="s">
        <v>53</v>
      </c>
      <c r="C99" s="57" t="n">
        <v>0.0677962569399365</v>
      </c>
      <c r="E99" s="34" t="n">
        <v>10</v>
      </c>
      <c r="F99" s="35" t="n">
        <v>1</v>
      </c>
      <c r="G99" s="36"/>
      <c r="H99" s="36" t="n">
        <v>1</v>
      </c>
      <c r="I99" s="36"/>
      <c r="J99" s="36"/>
      <c r="K99" s="37" t="n">
        <v>1</v>
      </c>
      <c r="L99" s="38" t="n">
        <v>3</v>
      </c>
    </row>
    <row r="100" customFormat="false" ht="12.8" hidden="false" customHeight="false" outlineLevel="0" collapsed="false">
      <c r="A100" s="59" t="n">
        <v>21</v>
      </c>
      <c r="B100" s="18" t="s">
        <v>53</v>
      </c>
      <c r="C100" s="57" t="n">
        <v>0.0636282416352019</v>
      </c>
      <c r="E100" s="34" t="n">
        <v>11</v>
      </c>
      <c r="F100" s="35"/>
      <c r="G100" s="36" t="n">
        <v>1</v>
      </c>
      <c r="H100" s="36" t="n">
        <v>1</v>
      </c>
      <c r="I100" s="36" t="n">
        <v>1</v>
      </c>
      <c r="J100" s="36"/>
      <c r="K100" s="37"/>
      <c r="L100" s="38" t="n">
        <v>3</v>
      </c>
    </row>
    <row r="101" customFormat="false" ht="12.8" hidden="false" customHeight="false" outlineLevel="0" collapsed="false">
      <c r="A101" s="59" t="n">
        <v>7</v>
      </c>
      <c r="B101" s="56" t="s">
        <v>54</v>
      </c>
      <c r="C101" s="57" t="n">
        <v>0.0776340920706327</v>
      </c>
      <c r="E101" s="34" t="n">
        <v>19</v>
      </c>
      <c r="F101" s="35"/>
      <c r="G101" s="36"/>
      <c r="H101" s="36"/>
      <c r="I101" s="36"/>
      <c r="J101" s="36" t="n">
        <v>1</v>
      </c>
      <c r="K101" s="37"/>
      <c r="L101" s="38" t="n">
        <v>1</v>
      </c>
    </row>
    <row r="102" customFormat="false" ht="12.8" hidden="false" customHeight="false" outlineLevel="0" collapsed="false">
      <c r="A102" s="59" t="n">
        <v>10</v>
      </c>
      <c r="B102" s="56" t="s">
        <v>54</v>
      </c>
      <c r="C102" s="57" t="n">
        <v>0.097613291621911</v>
      </c>
      <c r="E102" s="34" t="n">
        <v>20</v>
      </c>
      <c r="F102" s="35"/>
      <c r="G102" s="36"/>
      <c r="H102" s="36"/>
      <c r="I102" s="36"/>
      <c r="J102" s="36" t="n">
        <v>1</v>
      </c>
      <c r="K102" s="37"/>
      <c r="L102" s="38" t="n">
        <v>1</v>
      </c>
    </row>
    <row r="103" customFormat="false" ht="12.8" hidden="false" customHeight="false" outlineLevel="0" collapsed="false">
      <c r="A103" s="59" t="n">
        <v>11</v>
      </c>
      <c r="B103" s="56" t="s">
        <v>54</v>
      </c>
      <c r="C103" s="57" t="n">
        <v>0.0859981384860868</v>
      </c>
      <c r="E103" s="34" t="n">
        <v>21</v>
      </c>
      <c r="F103" s="35" t="n">
        <v>1</v>
      </c>
      <c r="G103" s="36"/>
      <c r="H103" s="36" t="n">
        <v>1</v>
      </c>
      <c r="I103" s="36" t="n">
        <v>1</v>
      </c>
      <c r="J103" s="36" t="n">
        <v>1</v>
      </c>
      <c r="K103" s="37"/>
      <c r="L103" s="38" t="n">
        <v>4</v>
      </c>
    </row>
    <row r="104" customFormat="false" ht="12.8" hidden="false" customHeight="false" outlineLevel="0" collapsed="false">
      <c r="A104" s="59" t="n">
        <v>21</v>
      </c>
      <c r="B104" s="56" t="s">
        <v>54</v>
      </c>
      <c r="C104" s="57" t="n">
        <v>0.110093556356214</v>
      </c>
      <c r="E104" s="34" t="n">
        <v>23</v>
      </c>
      <c r="F104" s="35"/>
      <c r="G104" s="36"/>
      <c r="H104" s="36" t="n">
        <v>1</v>
      </c>
      <c r="I104" s="36"/>
      <c r="J104" s="36"/>
      <c r="K104" s="37"/>
      <c r="L104" s="38" t="n">
        <v>1</v>
      </c>
    </row>
    <row r="105" customFormat="false" ht="12.8" hidden="false" customHeight="false" outlineLevel="0" collapsed="false">
      <c r="A105" s="59" t="n">
        <v>23</v>
      </c>
      <c r="B105" s="56" t="s">
        <v>54</v>
      </c>
      <c r="C105" s="57" t="n">
        <v>0.0502902533010785</v>
      </c>
      <c r="E105" s="34" t="n">
        <v>25</v>
      </c>
      <c r="F105" s="41"/>
      <c r="G105" s="42"/>
      <c r="H105" s="42"/>
      <c r="I105" s="42" t="n">
        <v>1</v>
      </c>
      <c r="J105" s="42"/>
      <c r="K105" s="43" t="n">
        <v>1</v>
      </c>
      <c r="L105" s="44" t="n">
        <v>2</v>
      </c>
    </row>
    <row r="106" customFormat="false" ht="12.8" hidden="false" customHeight="false" outlineLevel="0" collapsed="false">
      <c r="A106" s="59" t="n">
        <v>5</v>
      </c>
      <c r="B106" s="56" t="s">
        <v>67</v>
      </c>
      <c r="C106" s="57" t="n">
        <v>0.0585440310312529</v>
      </c>
      <c r="E106" s="45" t="s">
        <v>56</v>
      </c>
      <c r="F106" s="46" t="n">
        <v>4</v>
      </c>
      <c r="G106" s="47" t="n">
        <v>2</v>
      </c>
      <c r="H106" s="47" t="n">
        <v>5</v>
      </c>
      <c r="I106" s="47" t="n">
        <v>4</v>
      </c>
      <c r="J106" s="47" t="n">
        <v>5</v>
      </c>
      <c r="K106" s="48" t="n">
        <v>3</v>
      </c>
      <c r="L106" s="49" t="n">
        <v>23</v>
      </c>
    </row>
    <row r="107" customFormat="false" ht="12.8" hidden="false" customHeight="false" outlineLevel="0" collapsed="false">
      <c r="A107" s="59" t="n">
        <v>10</v>
      </c>
      <c r="B107" s="56" t="s">
        <v>67</v>
      </c>
      <c r="C107" s="57" t="n">
        <v>0.0830582334898924</v>
      </c>
    </row>
    <row r="108" customFormat="false" ht="12.8" hidden="false" customHeight="false" outlineLevel="0" collapsed="false">
      <c r="A108" s="59" t="n">
        <v>25</v>
      </c>
      <c r="B108" s="56" t="s">
        <v>67</v>
      </c>
      <c r="C108" s="57" t="n">
        <v>0.0543969634372112</v>
      </c>
    </row>
    <row r="109" customFormat="false" ht="12.8" hidden="false" customHeight="false" outlineLevel="0" collapsed="false">
      <c r="A109" s="59" t="n">
        <v>3</v>
      </c>
      <c r="B109" s="56" t="s">
        <v>66</v>
      </c>
      <c r="C109" s="57" t="n">
        <v>0.051369776098606</v>
      </c>
    </row>
    <row r="110" customFormat="false" ht="12.8" hidden="false" customHeight="false" outlineLevel="0" collapsed="false">
      <c r="A110" s="59" t="n">
        <v>5</v>
      </c>
      <c r="B110" s="56" t="s">
        <v>66</v>
      </c>
      <c r="C110" s="57" t="n">
        <v>0.066834089790861</v>
      </c>
    </row>
    <row r="111" customFormat="false" ht="12.8" hidden="false" customHeight="false" outlineLevel="0" collapsed="false">
      <c r="A111" s="59" t="n">
        <v>19</v>
      </c>
      <c r="B111" s="56" t="s">
        <v>66</v>
      </c>
      <c r="C111" s="57" t="n">
        <v>0.0523700643273642</v>
      </c>
    </row>
    <row r="112" customFormat="false" ht="12.8" hidden="false" customHeight="false" outlineLevel="0" collapsed="false">
      <c r="A112" s="59" t="n">
        <v>20</v>
      </c>
      <c r="B112" s="56" t="s">
        <v>66</v>
      </c>
      <c r="C112" s="57" t="n">
        <v>0.0516083203714017</v>
      </c>
    </row>
    <row r="113" customFormat="false" ht="12.8" hidden="false" customHeight="false" outlineLevel="0" collapsed="false">
      <c r="A113" s="59" t="n">
        <v>21</v>
      </c>
      <c r="B113" s="56" t="s">
        <v>66</v>
      </c>
      <c r="C113" s="57" t="n">
        <v>0.0882325177299805</v>
      </c>
    </row>
    <row r="114" customFormat="false" ht="12.8" hidden="false" customHeight="false" outlineLevel="0" collapsed="false">
      <c r="A114" s="59" t="n">
        <v>2</v>
      </c>
      <c r="B114" s="56" t="s">
        <v>65</v>
      </c>
      <c r="C114" s="57" t="n">
        <v>0.0585998661023318</v>
      </c>
    </row>
    <row r="115" customFormat="false" ht="12.8" hidden="false" customHeight="false" outlineLevel="0" collapsed="false">
      <c r="A115" s="59" t="n">
        <v>11</v>
      </c>
      <c r="B115" s="56" t="s">
        <v>65</v>
      </c>
      <c r="C115" s="57" t="n">
        <v>0.0511995188108463</v>
      </c>
    </row>
    <row r="118" customFormat="false" ht="12.8" hidden="false" customHeight="false" outlineLevel="0" collapsed="false">
      <c r="A118" s="17" t="s">
        <v>11</v>
      </c>
    </row>
    <row r="120" customFormat="false" ht="12.8" hidden="false" customHeight="false" outlineLevel="0" collapsed="false">
      <c r="A120" s="1" t="s">
        <v>57</v>
      </c>
      <c r="B120" s="1" t="s">
        <v>58</v>
      </c>
      <c r="C120" s="1" t="s">
        <v>47</v>
      </c>
      <c r="E120" s="19" t="s">
        <v>59</v>
      </c>
      <c r="F120" s="20" t="s">
        <v>47</v>
      </c>
      <c r="G120" s="21" t="s">
        <v>11</v>
      </c>
      <c r="H120" s="22"/>
      <c r="I120" s="22"/>
      <c r="J120" s="22"/>
      <c r="K120" s="23"/>
    </row>
    <row r="121" customFormat="false" ht="12.8" hidden="false" customHeight="false" outlineLevel="0" collapsed="false">
      <c r="A121" s="55" t="n">
        <v>15</v>
      </c>
      <c r="B121" s="1" t="n">
        <v>0.103101463004602</v>
      </c>
      <c r="C121" s="1" t="s">
        <v>53</v>
      </c>
      <c r="E121" s="25" t="s">
        <v>57</v>
      </c>
      <c r="F121" s="26" t="s">
        <v>53</v>
      </c>
      <c r="G121" s="27" t="s">
        <v>62</v>
      </c>
      <c r="H121" s="27" t="s">
        <v>69</v>
      </c>
      <c r="I121" s="27" t="s">
        <v>63</v>
      </c>
      <c r="J121" s="27" t="s">
        <v>64</v>
      </c>
      <c r="K121" s="28" t="s">
        <v>56</v>
      </c>
    </row>
    <row r="122" customFormat="false" ht="12.8" hidden="false" customHeight="false" outlineLevel="0" collapsed="false">
      <c r="A122" s="55" t="n">
        <v>20</v>
      </c>
      <c r="B122" s="1" t="n">
        <v>0.10272607900129</v>
      </c>
      <c r="C122" s="1" t="s">
        <v>62</v>
      </c>
      <c r="E122" s="52" t="n">
        <v>2</v>
      </c>
      <c r="F122" s="30"/>
      <c r="G122" s="31"/>
      <c r="H122" s="31"/>
      <c r="I122" s="31" t="n">
        <v>1</v>
      </c>
      <c r="J122" s="32"/>
      <c r="K122" s="33" t="n">
        <v>1</v>
      </c>
    </row>
    <row r="123" customFormat="false" ht="12.8" hidden="false" customHeight="false" outlineLevel="0" collapsed="false">
      <c r="A123" s="55" t="n">
        <v>20</v>
      </c>
      <c r="B123" s="1" t="n">
        <v>0.0931726111720084</v>
      </c>
      <c r="C123" s="1" t="s">
        <v>53</v>
      </c>
      <c r="E123" s="53" t="n">
        <v>8</v>
      </c>
      <c r="F123" s="35"/>
      <c r="G123" s="36"/>
      <c r="H123" s="36" t="n">
        <v>1</v>
      </c>
      <c r="I123" s="36" t="n">
        <v>1</v>
      </c>
      <c r="J123" s="37"/>
      <c r="K123" s="38" t="n">
        <v>2</v>
      </c>
    </row>
    <row r="124" customFormat="false" ht="12.8" hidden="false" customHeight="false" outlineLevel="0" collapsed="false">
      <c r="A124" s="55" t="n">
        <v>21</v>
      </c>
      <c r="B124" s="1" t="n">
        <v>0.0867840306397583</v>
      </c>
      <c r="C124" s="1" t="s">
        <v>53</v>
      </c>
      <c r="E124" s="53" t="n">
        <v>9</v>
      </c>
      <c r="F124" s="35"/>
      <c r="G124" s="36"/>
      <c r="H124" s="36" t="n">
        <v>1</v>
      </c>
      <c r="I124" s="36"/>
      <c r="J124" s="37"/>
      <c r="K124" s="38" t="n">
        <v>1</v>
      </c>
    </row>
    <row r="125" customFormat="false" ht="12.8" hidden="false" customHeight="false" outlineLevel="0" collapsed="false">
      <c r="A125" s="55" t="n">
        <v>16</v>
      </c>
      <c r="B125" s="1" t="n">
        <v>0.083003724027955</v>
      </c>
      <c r="C125" s="1" t="s">
        <v>62</v>
      </c>
      <c r="E125" s="53" t="n">
        <v>11</v>
      </c>
      <c r="F125" s="35" t="n">
        <v>1</v>
      </c>
      <c r="G125" s="36"/>
      <c r="H125" s="36"/>
      <c r="I125" s="36"/>
      <c r="J125" s="37"/>
      <c r="K125" s="38" t="n">
        <v>1</v>
      </c>
    </row>
    <row r="126" customFormat="false" ht="12.8" hidden="false" customHeight="false" outlineLevel="0" collapsed="false">
      <c r="A126" s="55" t="n">
        <v>15</v>
      </c>
      <c r="B126" s="1" t="n">
        <v>0.0777483971537484</v>
      </c>
      <c r="C126" s="1" t="s">
        <v>63</v>
      </c>
      <c r="E126" s="53" t="n">
        <v>15</v>
      </c>
      <c r="F126" s="35" t="n">
        <v>1</v>
      </c>
      <c r="G126" s="36" t="n">
        <v>1</v>
      </c>
      <c r="H126" s="36"/>
      <c r="I126" s="36" t="n">
        <v>1</v>
      </c>
      <c r="J126" s="37"/>
      <c r="K126" s="38" t="n">
        <v>3</v>
      </c>
    </row>
    <row r="127" customFormat="false" ht="12.8" hidden="false" customHeight="false" outlineLevel="0" collapsed="false">
      <c r="A127" s="55" t="n">
        <v>20</v>
      </c>
      <c r="B127" s="1" t="n">
        <v>0.067164306977165</v>
      </c>
      <c r="C127" s="1" t="s">
        <v>64</v>
      </c>
      <c r="E127" s="53" t="n">
        <v>16</v>
      </c>
      <c r="F127" s="35"/>
      <c r="G127" s="36" t="n">
        <v>1</v>
      </c>
      <c r="H127" s="36"/>
      <c r="I127" s="36"/>
      <c r="J127" s="37" t="n">
        <v>1</v>
      </c>
      <c r="K127" s="38" t="n">
        <v>2</v>
      </c>
    </row>
    <row r="128" customFormat="false" ht="12.8" hidden="false" customHeight="false" outlineLevel="0" collapsed="false">
      <c r="A128" s="55" t="n">
        <v>16</v>
      </c>
      <c r="B128" s="1" t="n">
        <v>0.0664473618449519</v>
      </c>
      <c r="C128" s="1" t="s">
        <v>64</v>
      </c>
      <c r="E128" s="53" t="n">
        <v>17</v>
      </c>
      <c r="F128" s="35"/>
      <c r="G128" s="36"/>
      <c r="H128" s="36" t="n">
        <v>1</v>
      </c>
      <c r="I128" s="36"/>
      <c r="J128" s="37"/>
      <c r="K128" s="38" t="n">
        <v>1</v>
      </c>
    </row>
    <row r="129" customFormat="false" ht="12.8" hidden="false" customHeight="false" outlineLevel="0" collapsed="false">
      <c r="A129" s="55" t="n">
        <v>15</v>
      </c>
      <c r="B129" s="1" t="n">
        <v>0.064825728177799</v>
      </c>
      <c r="C129" s="1" t="s">
        <v>62</v>
      </c>
      <c r="E129" s="53" t="n">
        <v>19</v>
      </c>
      <c r="F129" s="35" t="n">
        <v>1</v>
      </c>
      <c r="G129" s="36"/>
      <c r="H129" s="36"/>
      <c r="I129" s="36" t="n">
        <v>1</v>
      </c>
      <c r="J129" s="37"/>
      <c r="K129" s="38" t="n">
        <v>2</v>
      </c>
    </row>
    <row r="130" customFormat="false" ht="12.8" hidden="false" customHeight="false" outlineLevel="0" collapsed="false">
      <c r="A130" s="55" t="n">
        <v>19</v>
      </c>
      <c r="B130" s="1" t="n">
        <v>0.0646522244295149</v>
      </c>
      <c r="C130" s="1" t="s">
        <v>53</v>
      </c>
      <c r="E130" s="53" t="n">
        <v>20</v>
      </c>
      <c r="F130" s="35" t="n">
        <v>1</v>
      </c>
      <c r="G130" s="36" t="n">
        <v>1</v>
      </c>
      <c r="H130" s="36"/>
      <c r="I130" s="36"/>
      <c r="J130" s="37" t="n">
        <v>1</v>
      </c>
      <c r="K130" s="38" t="n">
        <v>3</v>
      </c>
    </row>
    <row r="131" customFormat="false" ht="12.8" hidden="false" customHeight="false" outlineLevel="0" collapsed="false">
      <c r="A131" s="55" t="n">
        <v>19</v>
      </c>
      <c r="B131" s="1" t="n">
        <v>0.0623207111622569</v>
      </c>
      <c r="C131" s="1" t="s">
        <v>63</v>
      </c>
      <c r="E131" s="53" t="n">
        <v>21</v>
      </c>
      <c r="F131" s="41" t="n">
        <v>1</v>
      </c>
      <c r="G131" s="42" t="n">
        <v>1</v>
      </c>
      <c r="H131" s="42"/>
      <c r="I131" s="42" t="n">
        <v>1</v>
      </c>
      <c r="J131" s="43"/>
      <c r="K131" s="44" t="n">
        <v>3</v>
      </c>
    </row>
    <row r="132" customFormat="false" ht="12.8" hidden="false" customHeight="false" outlineLevel="0" collapsed="false">
      <c r="A132" s="55" t="n">
        <v>2</v>
      </c>
      <c r="B132" s="1" t="n">
        <v>0.0615412120165846</v>
      </c>
      <c r="C132" s="1" t="s">
        <v>63</v>
      </c>
      <c r="E132" s="54" t="s">
        <v>56</v>
      </c>
      <c r="F132" s="46" t="n">
        <v>5</v>
      </c>
      <c r="G132" s="47" t="n">
        <v>4</v>
      </c>
      <c r="H132" s="47" t="n">
        <v>3</v>
      </c>
      <c r="I132" s="47" t="n">
        <v>5</v>
      </c>
      <c r="J132" s="48" t="n">
        <v>2</v>
      </c>
      <c r="K132" s="49" t="n">
        <v>19</v>
      </c>
    </row>
    <row r="133" customFormat="false" ht="12.8" hidden="false" customHeight="false" outlineLevel="0" collapsed="false">
      <c r="A133" s="55" t="n">
        <v>8</v>
      </c>
      <c r="B133" s="1" t="n">
        <v>0.0551702498863276</v>
      </c>
      <c r="C133" s="1" t="s">
        <v>63</v>
      </c>
    </row>
    <row r="134" customFormat="false" ht="12.8" hidden="false" customHeight="false" outlineLevel="0" collapsed="false">
      <c r="A134" s="55" t="n">
        <v>8</v>
      </c>
      <c r="B134" s="1" t="n">
        <v>0.053010013133642</v>
      </c>
      <c r="C134" s="1" t="s">
        <v>69</v>
      </c>
    </row>
    <row r="135" customFormat="false" ht="12.8" hidden="false" customHeight="false" outlineLevel="0" collapsed="false">
      <c r="A135" s="55" t="n">
        <v>17</v>
      </c>
      <c r="B135" s="1" t="n">
        <v>0.052566349800665</v>
      </c>
      <c r="C135" s="1" t="s">
        <v>69</v>
      </c>
    </row>
    <row r="136" customFormat="false" ht="12.8" hidden="false" customHeight="false" outlineLevel="0" collapsed="false">
      <c r="A136" s="55" t="n">
        <v>21</v>
      </c>
      <c r="B136" s="1" t="n">
        <v>0.0517152299740893</v>
      </c>
      <c r="C136" s="1" t="s">
        <v>63</v>
      </c>
    </row>
    <row r="137" customFormat="false" ht="12.8" hidden="false" customHeight="false" outlineLevel="0" collapsed="false">
      <c r="A137" s="55" t="n">
        <v>11</v>
      </c>
      <c r="B137" s="1" t="n">
        <v>0.0516211567950134</v>
      </c>
      <c r="C137" s="1" t="s">
        <v>53</v>
      </c>
    </row>
    <row r="138" customFormat="false" ht="12.8" hidden="false" customHeight="false" outlineLevel="0" collapsed="false">
      <c r="A138" s="55" t="n">
        <v>9</v>
      </c>
      <c r="B138" s="1" t="n">
        <v>0.050649612063325</v>
      </c>
      <c r="C138" s="1" t="s">
        <v>69</v>
      </c>
    </row>
    <row r="139" customFormat="false" ht="12.8" hidden="false" customHeight="false" outlineLevel="0" collapsed="false">
      <c r="A139" s="55" t="n">
        <v>21</v>
      </c>
      <c r="B139" s="1" t="n">
        <v>0.0504700216594559</v>
      </c>
      <c r="C139" s="1" t="s">
        <v>62</v>
      </c>
    </row>
    <row r="142" customFormat="false" ht="12.8" hidden="false" customHeight="false" outlineLevel="0" collapsed="false">
      <c r="A142" s="17" t="s">
        <v>12</v>
      </c>
    </row>
    <row r="144" customFormat="false" ht="12.8" hidden="false" customHeight="false" outlineLevel="0" collapsed="false">
      <c r="A144" s="60" t="s">
        <v>70</v>
      </c>
      <c r="B144" s="60" t="s">
        <v>58</v>
      </c>
      <c r="C144" s="60" t="s">
        <v>47</v>
      </c>
      <c r="E144" s="19" t="s">
        <v>59</v>
      </c>
      <c r="F144" s="20" t="s">
        <v>47</v>
      </c>
      <c r="G144" s="21" t="s">
        <v>12</v>
      </c>
      <c r="H144" s="22"/>
      <c r="I144" s="22"/>
      <c r="J144" s="22"/>
      <c r="K144" s="22"/>
      <c r="L144" s="23"/>
    </row>
    <row r="145" customFormat="false" ht="12.8" hidden="false" customHeight="false" outlineLevel="0" collapsed="false">
      <c r="A145" s="55" t="n">
        <v>19</v>
      </c>
      <c r="B145" s="1" t="n">
        <v>0.109138685819054</v>
      </c>
      <c r="C145" s="1" t="s">
        <v>63</v>
      </c>
      <c r="E145" s="25" t="s">
        <v>70</v>
      </c>
      <c r="F145" s="26" t="s">
        <v>53</v>
      </c>
      <c r="G145" s="27" t="s">
        <v>61</v>
      </c>
      <c r="H145" s="27" t="s">
        <v>62</v>
      </c>
      <c r="I145" s="27" t="s">
        <v>69</v>
      </c>
      <c r="J145" s="27" t="s">
        <v>63</v>
      </c>
      <c r="K145" s="27" t="s">
        <v>64</v>
      </c>
      <c r="L145" s="28" t="s">
        <v>56</v>
      </c>
    </row>
    <row r="146" customFormat="false" ht="12.8" hidden="false" customHeight="false" outlineLevel="0" collapsed="false">
      <c r="A146" s="55" t="n">
        <v>19</v>
      </c>
      <c r="B146" s="1" t="n">
        <v>0.099500295117069</v>
      </c>
      <c r="C146" s="1" t="s">
        <v>69</v>
      </c>
      <c r="E146" s="52" t="n">
        <v>2</v>
      </c>
      <c r="F146" s="30"/>
      <c r="G146" s="31" t="n">
        <v>1</v>
      </c>
      <c r="H146" s="31"/>
      <c r="I146" s="31"/>
      <c r="J146" s="31" t="n">
        <v>1</v>
      </c>
      <c r="K146" s="32"/>
      <c r="L146" s="33" t="n">
        <v>2</v>
      </c>
    </row>
    <row r="147" customFormat="false" ht="12.8" hidden="false" customHeight="false" outlineLevel="0" collapsed="false">
      <c r="A147" s="55" t="n">
        <v>2</v>
      </c>
      <c r="B147" s="1" t="n">
        <v>0.084475737017962</v>
      </c>
      <c r="C147" s="1" t="s">
        <v>61</v>
      </c>
      <c r="E147" s="53" t="n">
        <v>4</v>
      </c>
      <c r="F147" s="35" t="n">
        <v>1</v>
      </c>
      <c r="G147" s="36"/>
      <c r="H147" s="36"/>
      <c r="I147" s="36"/>
      <c r="J147" s="36"/>
      <c r="K147" s="37"/>
      <c r="L147" s="38" t="n">
        <v>1</v>
      </c>
    </row>
    <row r="148" customFormat="false" ht="12.8" hidden="false" customHeight="false" outlineLevel="0" collapsed="false">
      <c r="A148" s="55" t="n">
        <v>13</v>
      </c>
      <c r="B148" s="1" t="n">
        <v>0.0705638279547229</v>
      </c>
      <c r="C148" s="1" t="s">
        <v>69</v>
      </c>
      <c r="E148" s="53" t="n">
        <v>5</v>
      </c>
      <c r="F148" s="35"/>
      <c r="G148" s="36" t="n">
        <v>1</v>
      </c>
      <c r="H148" s="36"/>
      <c r="I148" s="36"/>
      <c r="J148" s="36"/>
      <c r="K148" s="37"/>
      <c r="L148" s="38" t="n">
        <v>1</v>
      </c>
    </row>
    <row r="149" customFormat="false" ht="12.8" hidden="false" customHeight="false" outlineLevel="0" collapsed="false">
      <c r="A149" s="55" t="n">
        <v>23</v>
      </c>
      <c r="B149" s="1" t="n">
        <v>0.0694391965994621</v>
      </c>
      <c r="C149" s="1" t="s">
        <v>53</v>
      </c>
      <c r="E149" s="53" t="n">
        <v>6</v>
      </c>
      <c r="F149" s="35"/>
      <c r="G149" s="36"/>
      <c r="H149" s="36" t="n">
        <v>1</v>
      </c>
      <c r="I149" s="36"/>
      <c r="J149" s="36"/>
      <c r="K149" s="37"/>
      <c r="L149" s="38" t="n">
        <v>1</v>
      </c>
    </row>
    <row r="150" customFormat="false" ht="12.8" hidden="false" customHeight="false" outlineLevel="0" collapsed="false">
      <c r="A150" s="55" t="n">
        <v>21</v>
      </c>
      <c r="B150" s="1" t="n">
        <v>0.067540238280303</v>
      </c>
      <c r="C150" s="1" t="s">
        <v>64</v>
      </c>
      <c r="E150" s="53" t="n">
        <v>7</v>
      </c>
      <c r="F150" s="35"/>
      <c r="G150" s="36"/>
      <c r="H150" s="36" t="n">
        <v>1</v>
      </c>
      <c r="I150" s="36"/>
      <c r="J150" s="36"/>
      <c r="K150" s="37" t="n">
        <v>1</v>
      </c>
      <c r="L150" s="38" t="n">
        <v>2</v>
      </c>
    </row>
    <row r="151" customFormat="false" ht="12.8" hidden="false" customHeight="false" outlineLevel="0" collapsed="false">
      <c r="A151" s="55" t="n">
        <v>20</v>
      </c>
      <c r="B151" s="1" t="n">
        <v>0.0669229360143441</v>
      </c>
      <c r="C151" s="1" t="s">
        <v>53</v>
      </c>
      <c r="E151" s="53" t="n">
        <v>8</v>
      </c>
      <c r="F151" s="35" t="n">
        <v>1</v>
      </c>
      <c r="G151" s="36"/>
      <c r="H151" s="36" t="n">
        <v>1</v>
      </c>
      <c r="I151" s="36"/>
      <c r="J151" s="36"/>
      <c r="K151" s="37" t="n">
        <v>1</v>
      </c>
      <c r="L151" s="38" t="n">
        <v>3</v>
      </c>
    </row>
    <row r="152" customFormat="false" ht="12.8" hidden="false" customHeight="false" outlineLevel="0" collapsed="false">
      <c r="A152" s="55" t="n">
        <v>16</v>
      </c>
      <c r="B152" s="1" t="n">
        <v>0.066085044789866</v>
      </c>
      <c r="C152" s="1" t="s">
        <v>62</v>
      </c>
      <c r="E152" s="53" t="n">
        <v>13</v>
      </c>
      <c r="F152" s="35"/>
      <c r="G152" s="36"/>
      <c r="H152" s="36"/>
      <c r="I152" s="36" t="n">
        <v>1</v>
      </c>
      <c r="J152" s="36" t="n">
        <v>1</v>
      </c>
      <c r="K152" s="37"/>
      <c r="L152" s="38" t="n">
        <v>2</v>
      </c>
    </row>
    <row r="153" customFormat="false" ht="12.8" hidden="false" customHeight="false" outlineLevel="0" collapsed="false">
      <c r="A153" s="55" t="n">
        <v>8</v>
      </c>
      <c r="B153" s="1" t="n">
        <v>0.065618954436133</v>
      </c>
      <c r="C153" s="1" t="s">
        <v>62</v>
      </c>
      <c r="E153" s="53" t="n">
        <v>15</v>
      </c>
      <c r="F153" s="35"/>
      <c r="G153" s="36" t="n">
        <v>1</v>
      </c>
      <c r="H153" s="36"/>
      <c r="I153" s="36" t="n">
        <v>1</v>
      </c>
      <c r="J153" s="36"/>
      <c r="K153" s="37"/>
      <c r="L153" s="38" t="n">
        <v>2</v>
      </c>
    </row>
    <row r="154" customFormat="false" ht="12.8" hidden="false" customHeight="false" outlineLevel="0" collapsed="false">
      <c r="A154" s="55" t="n">
        <v>8</v>
      </c>
      <c r="B154" s="1" t="n">
        <v>0.06444601578823</v>
      </c>
      <c r="C154" s="1" t="s">
        <v>64</v>
      </c>
      <c r="E154" s="53" t="n">
        <v>16</v>
      </c>
      <c r="F154" s="35"/>
      <c r="G154" s="36" t="n">
        <v>1</v>
      </c>
      <c r="H154" s="36" t="n">
        <v>1</v>
      </c>
      <c r="I154" s="36"/>
      <c r="J154" s="36"/>
      <c r="K154" s="37"/>
      <c r="L154" s="38" t="n">
        <v>2</v>
      </c>
    </row>
    <row r="155" customFormat="false" ht="12.8" hidden="false" customHeight="false" outlineLevel="0" collapsed="false">
      <c r="A155" s="55" t="n">
        <v>20</v>
      </c>
      <c r="B155" s="1" t="n">
        <v>0.0620372325488201</v>
      </c>
      <c r="C155" s="1" t="s">
        <v>64</v>
      </c>
      <c r="E155" s="53" t="n">
        <v>17</v>
      </c>
      <c r="F155" s="35" t="n">
        <v>1</v>
      </c>
      <c r="G155" s="36"/>
      <c r="H155" s="36"/>
      <c r="I155" s="36"/>
      <c r="J155" s="36" t="n">
        <v>1</v>
      </c>
      <c r="K155" s="37"/>
      <c r="L155" s="38" t="n">
        <v>2</v>
      </c>
    </row>
    <row r="156" customFormat="false" ht="12.8" hidden="false" customHeight="false" outlineLevel="0" collapsed="false">
      <c r="A156" s="55" t="n">
        <v>7</v>
      </c>
      <c r="B156" s="1" t="n">
        <v>0.061992317122939</v>
      </c>
      <c r="C156" s="1" t="s">
        <v>62</v>
      </c>
      <c r="E156" s="53" t="n">
        <v>18</v>
      </c>
      <c r="F156" s="35"/>
      <c r="G156" s="36" t="n">
        <v>1</v>
      </c>
      <c r="H156" s="36"/>
      <c r="I156" s="36"/>
      <c r="J156" s="36"/>
      <c r="K156" s="37"/>
      <c r="L156" s="38" t="n">
        <v>1</v>
      </c>
    </row>
    <row r="157" customFormat="false" ht="12.8" hidden="false" customHeight="false" outlineLevel="0" collapsed="false">
      <c r="A157" s="55" t="n">
        <v>8</v>
      </c>
      <c r="B157" s="1" t="n">
        <v>0.061862495056524</v>
      </c>
      <c r="C157" s="1" t="s">
        <v>53</v>
      </c>
      <c r="E157" s="53" t="n">
        <v>19</v>
      </c>
      <c r="F157" s="35" t="n">
        <v>1</v>
      </c>
      <c r="G157" s="36"/>
      <c r="H157" s="36"/>
      <c r="I157" s="36" t="n">
        <v>1</v>
      </c>
      <c r="J157" s="36" t="n">
        <v>1</v>
      </c>
      <c r="K157" s="37" t="n">
        <v>1</v>
      </c>
      <c r="L157" s="38" t="n">
        <v>4</v>
      </c>
    </row>
    <row r="158" customFormat="false" ht="12.8" hidden="false" customHeight="false" outlineLevel="0" collapsed="false">
      <c r="A158" s="55" t="n">
        <v>7</v>
      </c>
      <c r="B158" s="1" t="n">
        <v>0.0614949063570439</v>
      </c>
      <c r="C158" s="1" t="s">
        <v>64</v>
      </c>
      <c r="E158" s="53" t="n">
        <v>20</v>
      </c>
      <c r="F158" s="35" t="n">
        <v>1</v>
      </c>
      <c r="G158" s="36"/>
      <c r="H158" s="36"/>
      <c r="I158" s="36"/>
      <c r="J158" s="36"/>
      <c r="K158" s="37" t="n">
        <v>1</v>
      </c>
      <c r="L158" s="38" t="n">
        <v>2</v>
      </c>
    </row>
    <row r="159" customFormat="false" ht="12.8" hidden="false" customHeight="false" outlineLevel="0" collapsed="false">
      <c r="A159" s="55" t="n">
        <v>2</v>
      </c>
      <c r="B159" s="1" t="n">
        <v>0.061245070129398</v>
      </c>
      <c r="C159" s="1" t="s">
        <v>63</v>
      </c>
      <c r="E159" s="53" t="n">
        <v>21</v>
      </c>
      <c r="F159" s="35"/>
      <c r="G159" s="36"/>
      <c r="H159" s="36"/>
      <c r="I159" s="36"/>
      <c r="J159" s="36"/>
      <c r="K159" s="37" t="n">
        <v>1</v>
      </c>
      <c r="L159" s="38" t="n">
        <v>1</v>
      </c>
    </row>
    <row r="160" customFormat="false" ht="12.8" hidden="false" customHeight="false" outlineLevel="0" collapsed="false">
      <c r="A160" s="55" t="n">
        <v>17</v>
      </c>
      <c r="B160" s="1" t="n">
        <v>0.0608483997723021</v>
      </c>
      <c r="C160" s="1" t="s">
        <v>63</v>
      </c>
      <c r="E160" s="53" t="n">
        <v>23</v>
      </c>
      <c r="F160" s="35" t="n">
        <v>1</v>
      </c>
      <c r="G160" s="36"/>
      <c r="H160" s="36" t="n">
        <v>1</v>
      </c>
      <c r="I160" s="36"/>
      <c r="J160" s="36" t="n">
        <v>1</v>
      </c>
      <c r="K160" s="37"/>
      <c r="L160" s="38" t="n">
        <v>3</v>
      </c>
    </row>
    <row r="161" customFormat="false" ht="12.8" hidden="false" customHeight="false" outlineLevel="0" collapsed="false">
      <c r="A161" s="55" t="n">
        <v>15</v>
      </c>
      <c r="B161" s="1" t="n">
        <v>0.059320832754442</v>
      </c>
      <c r="C161" s="1" t="s">
        <v>69</v>
      </c>
      <c r="E161" s="53" t="n">
        <v>25</v>
      </c>
      <c r="F161" s="41"/>
      <c r="G161" s="42"/>
      <c r="H161" s="42"/>
      <c r="I161" s="42"/>
      <c r="J161" s="42" t="n">
        <v>1</v>
      </c>
      <c r="K161" s="43"/>
      <c r="L161" s="44" t="n">
        <v>1</v>
      </c>
    </row>
    <row r="162" customFormat="false" ht="12.8" hidden="false" customHeight="false" outlineLevel="0" collapsed="false">
      <c r="A162" s="5" t="n">
        <v>25</v>
      </c>
      <c r="B162" s="1" t="n">
        <v>0.058830708820049</v>
      </c>
      <c r="C162" s="1" t="s">
        <v>63</v>
      </c>
      <c r="E162" s="54" t="s">
        <v>56</v>
      </c>
      <c r="F162" s="46" t="n">
        <v>6</v>
      </c>
      <c r="G162" s="47" t="n">
        <v>5</v>
      </c>
      <c r="H162" s="47" t="n">
        <v>5</v>
      </c>
      <c r="I162" s="47" t="n">
        <v>3</v>
      </c>
      <c r="J162" s="47" t="n">
        <v>6</v>
      </c>
      <c r="K162" s="48" t="n">
        <v>5</v>
      </c>
      <c r="L162" s="49" t="n">
        <v>30</v>
      </c>
    </row>
    <row r="163" customFormat="false" ht="12.8" hidden="false" customHeight="false" outlineLevel="0" collapsed="false">
      <c r="A163" s="55" t="n">
        <v>18</v>
      </c>
      <c r="B163" s="1" t="n">
        <v>0.0583507150533921</v>
      </c>
      <c r="C163" s="1" t="s">
        <v>61</v>
      </c>
    </row>
    <row r="164" customFormat="false" ht="12.8" hidden="false" customHeight="false" outlineLevel="0" collapsed="false">
      <c r="A164" s="55" t="n">
        <v>15</v>
      </c>
      <c r="B164" s="1" t="n">
        <v>0.057897275389601</v>
      </c>
      <c r="C164" s="1" t="s">
        <v>61</v>
      </c>
    </row>
    <row r="165" customFormat="false" ht="12.8" hidden="false" customHeight="false" outlineLevel="0" collapsed="false">
      <c r="A165" s="55" t="n">
        <v>17</v>
      </c>
      <c r="B165" s="1" t="n">
        <v>0.057457865661624</v>
      </c>
      <c r="C165" s="1" t="s">
        <v>53</v>
      </c>
    </row>
    <row r="166" customFormat="false" ht="12.8" hidden="false" customHeight="false" outlineLevel="0" collapsed="false">
      <c r="A166" s="55" t="n">
        <v>23</v>
      </c>
      <c r="B166" s="1" t="n">
        <v>0.057173693155668</v>
      </c>
      <c r="C166" s="1" t="s">
        <v>62</v>
      </c>
    </row>
    <row r="167" customFormat="false" ht="12.8" hidden="false" customHeight="false" outlineLevel="0" collapsed="false">
      <c r="A167" s="55" t="n">
        <v>16</v>
      </c>
      <c r="B167" s="1" t="n">
        <v>0.056276103079909</v>
      </c>
      <c r="C167" s="1" t="s">
        <v>61</v>
      </c>
    </row>
    <row r="168" customFormat="false" ht="12.8" hidden="false" customHeight="false" outlineLevel="0" collapsed="false">
      <c r="A168" s="55" t="n">
        <v>19</v>
      </c>
      <c r="B168" s="1" t="n">
        <v>0.0560658121733191</v>
      </c>
      <c r="C168" s="1" t="s">
        <v>53</v>
      </c>
    </row>
    <row r="169" customFormat="false" ht="12.8" hidden="false" customHeight="false" outlineLevel="0" collapsed="false">
      <c r="A169" s="55" t="n">
        <v>23</v>
      </c>
      <c r="B169" s="1" t="n">
        <v>0.0550522668743411</v>
      </c>
      <c r="C169" s="1" t="s">
        <v>63</v>
      </c>
    </row>
    <row r="170" customFormat="false" ht="12.8" hidden="false" customHeight="false" outlineLevel="0" collapsed="false">
      <c r="A170" s="55" t="n">
        <v>6</v>
      </c>
      <c r="B170" s="1" t="n">
        <v>0.054534206167638</v>
      </c>
      <c r="C170" s="1" t="s">
        <v>62</v>
      </c>
    </row>
    <row r="171" customFormat="false" ht="12.8" hidden="false" customHeight="false" outlineLevel="0" collapsed="false">
      <c r="A171" s="55" t="n">
        <v>19</v>
      </c>
      <c r="B171" s="1" t="n">
        <v>0.053072873645735</v>
      </c>
      <c r="C171" s="1" t="s">
        <v>64</v>
      </c>
    </row>
    <row r="172" customFormat="false" ht="12.8" hidden="false" customHeight="false" outlineLevel="0" collapsed="false">
      <c r="A172" s="55" t="n">
        <v>5</v>
      </c>
      <c r="B172" s="1" t="n">
        <v>0.052698488352958</v>
      </c>
      <c r="C172" s="1" t="s">
        <v>61</v>
      </c>
    </row>
    <row r="173" customFormat="false" ht="12.8" hidden="false" customHeight="false" outlineLevel="0" collapsed="false">
      <c r="A173" s="55" t="n">
        <v>13</v>
      </c>
      <c r="B173" s="1" t="n">
        <v>0.050636284329505</v>
      </c>
      <c r="C173" s="1" t="s">
        <v>63</v>
      </c>
    </row>
    <row r="174" customFormat="false" ht="12.8" hidden="false" customHeight="false" outlineLevel="0" collapsed="false">
      <c r="A174" s="55" t="n">
        <v>4</v>
      </c>
      <c r="B174" s="1" t="n">
        <v>0.0501238941325031</v>
      </c>
      <c r="C174" s="1" t="s">
        <v>53</v>
      </c>
    </row>
    <row r="177" customFormat="false" ht="12.8" hidden="false" customHeight="false" outlineLevel="0" collapsed="false">
      <c r="A177" s="17" t="s">
        <v>13</v>
      </c>
    </row>
    <row r="179" customFormat="false" ht="12.8" hidden="false" customHeight="false" outlineLevel="0" collapsed="false">
      <c r="A179" s="60" t="s">
        <v>70</v>
      </c>
      <c r="B179" s="60" t="s">
        <v>71</v>
      </c>
      <c r="C179" s="60" t="s">
        <v>72</v>
      </c>
      <c r="E179" s="19" t="s">
        <v>73</v>
      </c>
      <c r="F179" s="20" t="s">
        <v>72</v>
      </c>
      <c r="G179" s="21" t="s">
        <v>13</v>
      </c>
      <c r="H179" s="22"/>
      <c r="I179" s="22"/>
      <c r="J179" s="22"/>
      <c r="K179" s="22"/>
      <c r="L179" s="23"/>
    </row>
    <row r="180" customFormat="false" ht="12.8" hidden="false" customHeight="false" outlineLevel="0" collapsed="false">
      <c r="A180" s="55" t="n">
        <v>3</v>
      </c>
      <c r="B180" s="1" t="n">
        <v>0.108074679304883</v>
      </c>
      <c r="C180" s="1" t="s">
        <v>69</v>
      </c>
      <c r="E180" s="25" t="s">
        <v>70</v>
      </c>
      <c r="F180" s="26" t="s">
        <v>53</v>
      </c>
      <c r="G180" s="27" t="s">
        <v>61</v>
      </c>
      <c r="H180" s="27" t="s">
        <v>62</v>
      </c>
      <c r="I180" s="27" t="s">
        <v>69</v>
      </c>
      <c r="J180" s="27" t="s">
        <v>63</v>
      </c>
      <c r="K180" s="27" t="s">
        <v>64</v>
      </c>
      <c r="L180" s="28" t="s">
        <v>56</v>
      </c>
    </row>
    <row r="181" customFormat="false" ht="12.8" hidden="false" customHeight="false" outlineLevel="0" collapsed="false">
      <c r="A181" s="55" t="n">
        <v>19</v>
      </c>
      <c r="B181" s="1" t="n">
        <v>0.105523551711899</v>
      </c>
      <c r="C181" s="1" t="s">
        <v>69</v>
      </c>
      <c r="E181" s="52" t="n">
        <v>3</v>
      </c>
      <c r="F181" s="30"/>
      <c r="G181" s="31" t="n">
        <v>1</v>
      </c>
      <c r="H181" s="31" t="n">
        <v>1</v>
      </c>
      <c r="I181" s="31" t="n">
        <v>1</v>
      </c>
      <c r="J181" s="31"/>
      <c r="K181" s="32"/>
      <c r="L181" s="33" t="n">
        <v>3</v>
      </c>
    </row>
    <row r="182" customFormat="false" ht="12.8" hidden="false" customHeight="false" outlineLevel="0" collapsed="false">
      <c r="A182" s="55" t="n">
        <v>12</v>
      </c>
      <c r="B182" s="1" t="n">
        <v>0.103204528977868</v>
      </c>
      <c r="C182" s="1" t="s">
        <v>62</v>
      </c>
      <c r="E182" s="53" t="n">
        <v>4</v>
      </c>
      <c r="F182" s="35"/>
      <c r="G182" s="36"/>
      <c r="H182" s="36" t="n">
        <v>1</v>
      </c>
      <c r="I182" s="36"/>
      <c r="J182" s="36"/>
      <c r="K182" s="37" t="n">
        <v>1</v>
      </c>
      <c r="L182" s="38" t="n">
        <v>2</v>
      </c>
    </row>
    <row r="183" customFormat="false" ht="12.8" hidden="false" customHeight="false" outlineLevel="0" collapsed="false">
      <c r="A183" s="55" t="n">
        <v>3</v>
      </c>
      <c r="B183" s="1" t="n">
        <v>0.0999013792505343</v>
      </c>
      <c r="C183" s="1" t="s">
        <v>62</v>
      </c>
      <c r="E183" s="53" t="n">
        <v>5</v>
      </c>
      <c r="F183" s="35" t="n">
        <v>1</v>
      </c>
      <c r="G183" s="36"/>
      <c r="H183" s="36"/>
      <c r="I183" s="36"/>
      <c r="J183" s="36"/>
      <c r="K183" s="37"/>
      <c r="L183" s="38" t="n">
        <v>1</v>
      </c>
    </row>
    <row r="184" customFormat="false" ht="12.8" hidden="false" customHeight="false" outlineLevel="0" collapsed="false">
      <c r="A184" s="55" t="n">
        <v>12</v>
      </c>
      <c r="B184" s="1" t="n">
        <v>0.0778787507599474</v>
      </c>
      <c r="C184" s="1" t="s">
        <v>53</v>
      </c>
      <c r="E184" s="53" t="n">
        <v>6</v>
      </c>
      <c r="F184" s="35"/>
      <c r="G184" s="36"/>
      <c r="H184" s="36"/>
      <c r="I184" s="36"/>
      <c r="J184" s="36" t="n">
        <v>1</v>
      </c>
      <c r="K184" s="37"/>
      <c r="L184" s="38" t="n">
        <v>1</v>
      </c>
    </row>
    <row r="185" customFormat="false" ht="12.8" hidden="false" customHeight="false" outlineLevel="0" collapsed="false">
      <c r="A185" s="55" t="n">
        <v>7</v>
      </c>
      <c r="B185" s="1" t="n">
        <v>0.0762611820826588</v>
      </c>
      <c r="C185" s="1" t="s">
        <v>64</v>
      </c>
      <c r="E185" s="53" t="n">
        <v>7</v>
      </c>
      <c r="F185" s="35" t="n">
        <v>1</v>
      </c>
      <c r="G185" s="36"/>
      <c r="H185" s="36"/>
      <c r="I185" s="36"/>
      <c r="J185" s="36"/>
      <c r="K185" s="37" t="n">
        <v>1</v>
      </c>
      <c r="L185" s="38" t="n">
        <v>2</v>
      </c>
    </row>
    <row r="186" customFormat="false" ht="12.8" hidden="false" customHeight="false" outlineLevel="0" collapsed="false">
      <c r="A186" s="55" t="n">
        <v>12</v>
      </c>
      <c r="B186" s="1" t="n">
        <v>0.0689424728600291</v>
      </c>
      <c r="C186" s="1" t="s">
        <v>69</v>
      </c>
      <c r="E186" s="53" t="n">
        <v>9</v>
      </c>
      <c r="F186" s="35" t="n">
        <v>1</v>
      </c>
      <c r="G186" s="36"/>
      <c r="H186" s="36"/>
      <c r="I186" s="36"/>
      <c r="J186" s="36"/>
      <c r="K186" s="37"/>
      <c r="L186" s="38" t="n">
        <v>1</v>
      </c>
    </row>
    <row r="187" customFormat="false" ht="12.8" hidden="false" customHeight="false" outlineLevel="0" collapsed="false">
      <c r="A187" s="55" t="n">
        <v>17</v>
      </c>
      <c r="B187" s="1" t="n">
        <v>0.0686279409164734</v>
      </c>
      <c r="C187" s="1" t="s">
        <v>63</v>
      </c>
      <c r="E187" s="53" t="n">
        <v>10</v>
      </c>
      <c r="F187" s="35"/>
      <c r="G187" s="36"/>
      <c r="H187" s="36"/>
      <c r="I187" s="36"/>
      <c r="J187" s="36" t="n">
        <v>1</v>
      </c>
      <c r="K187" s="37"/>
      <c r="L187" s="38" t="n">
        <v>1</v>
      </c>
    </row>
    <row r="188" customFormat="false" ht="12.8" hidden="false" customHeight="false" outlineLevel="0" collapsed="false">
      <c r="A188" s="55" t="n">
        <v>17</v>
      </c>
      <c r="B188" s="1" t="n">
        <v>0.0667629881192248</v>
      </c>
      <c r="C188" s="1" t="s">
        <v>61</v>
      </c>
      <c r="E188" s="53" t="n">
        <v>12</v>
      </c>
      <c r="F188" s="35" t="n">
        <v>1</v>
      </c>
      <c r="G188" s="36"/>
      <c r="H188" s="36" t="n">
        <v>1</v>
      </c>
      <c r="I188" s="36" t="n">
        <v>1</v>
      </c>
      <c r="J188" s="36"/>
      <c r="K188" s="37"/>
      <c r="L188" s="38" t="n">
        <v>3</v>
      </c>
    </row>
    <row r="189" customFormat="false" ht="12.8" hidden="false" customHeight="false" outlineLevel="0" collapsed="false">
      <c r="A189" s="55" t="n">
        <v>4</v>
      </c>
      <c r="B189" s="1" t="n">
        <v>0.0644812139228626</v>
      </c>
      <c r="C189" s="1" t="s">
        <v>62</v>
      </c>
      <c r="E189" s="53" t="n">
        <v>13</v>
      </c>
      <c r="F189" s="35"/>
      <c r="G189" s="36"/>
      <c r="H189" s="36"/>
      <c r="I189" s="36" t="n">
        <v>1</v>
      </c>
      <c r="J189" s="36"/>
      <c r="K189" s="37"/>
      <c r="L189" s="38" t="n">
        <v>1</v>
      </c>
    </row>
    <row r="190" customFormat="false" ht="12.8" hidden="false" customHeight="false" outlineLevel="0" collapsed="false">
      <c r="A190" s="55" t="n">
        <v>5</v>
      </c>
      <c r="B190" s="1" t="n">
        <v>0.0620620320176963</v>
      </c>
      <c r="C190" s="1" t="s">
        <v>53</v>
      </c>
      <c r="E190" s="53" t="n">
        <v>16</v>
      </c>
      <c r="F190" s="35"/>
      <c r="G190" s="36"/>
      <c r="H190" s="36"/>
      <c r="I190" s="36" t="n">
        <v>1</v>
      </c>
      <c r="J190" s="36"/>
      <c r="K190" s="37"/>
      <c r="L190" s="38" t="n">
        <v>1</v>
      </c>
    </row>
    <row r="191" customFormat="false" ht="12.8" hidden="false" customHeight="false" outlineLevel="0" collapsed="false">
      <c r="A191" s="55" t="n">
        <v>23</v>
      </c>
      <c r="B191" s="1" t="n">
        <v>0.0610162023557078</v>
      </c>
      <c r="C191" s="1" t="s">
        <v>63</v>
      </c>
      <c r="E191" s="53" t="n">
        <v>17</v>
      </c>
      <c r="F191" s="35"/>
      <c r="G191" s="36" t="n">
        <v>1</v>
      </c>
      <c r="H191" s="36"/>
      <c r="I191" s="36"/>
      <c r="J191" s="36" t="n">
        <v>1</v>
      </c>
      <c r="K191" s="37"/>
      <c r="L191" s="38" t="n">
        <v>2</v>
      </c>
    </row>
    <row r="192" customFormat="false" ht="12.8" hidden="false" customHeight="false" outlineLevel="0" collapsed="false">
      <c r="A192" s="55" t="n">
        <v>3</v>
      </c>
      <c r="B192" s="1" t="n">
        <v>0.0588750426660455</v>
      </c>
      <c r="C192" s="1" t="s">
        <v>61</v>
      </c>
      <c r="E192" s="53" t="n">
        <v>19</v>
      </c>
      <c r="F192" s="35"/>
      <c r="G192" s="36" t="n">
        <v>1</v>
      </c>
      <c r="H192" s="36" t="n">
        <v>1</v>
      </c>
      <c r="I192" s="36" t="n">
        <v>1</v>
      </c>
      <c r="J192" s="36" t="n">
        <v>1</v>
      </c>
      <c r="K192" s="37" t="n">
        <v>1</v>
      </c>
      <c r="L192" s="38" t="n">
        <v>5</v>
      </c>
    </row>
    <row r="193" customFormat="false" ht="12.8" hidden="false" customHeight="false" outlineLevel="0" collapsed="false">
      <c r="A193" s="55" t="n">
        <v>6</v>
      </c>
      <c r="B193" s="1" t="n">
        <v>0.0585994233230669</v>
      </c>
      <c r="C193" s="1" t="s">
        <v>63</v>
      </c>
      <c r="E193" s="53" t="n">
        <v>23</v>
      </c>
      <c r="F193" s="41" t="n">
        <v>1</v>
      </c>
      <c r="G193" s="42"/>
      <c r="H193" s="42"/>
      <c r="I193" s="42"/>
      <c r="J193" s="42" t="n">
        <v>1</v>
      </c>
      <c r="K193" s="43"/>
      <c r="L193" s="44" t="n">
        <v>2</v>
      </c>
    </row>
    <row r="194" customFormat="false" ht="12.8" hidden="false" customHeight="false" outlineLevel="0" collapsed="false">
      <c r="A194" s="55" t="n">
        <v>23</v>
      </c>
      <c r="B194" s="1" t="n">
        <v>0.0566916199593441</v>
      </c>
      <c r="C194" s="1" t="s">
        <v>53</v>
      </c>
      <c r="E194" s="54" t="s">
        <v>56</v>
      </c>
      <c r="F194" s="46" t="n">
        <v>5</v>
      </c>
      <c r="G194" s="47" t="n">
        <v>3</v>
      </c>
      <c r="H194" s="47" t="n">
        <v>4</v>
      </c>
      <c r="I194" s="47" t="n">
        <v>5</v>
      </c>
      <c r="J194" s="47" t="n">
        <v>5</v>
      </c>
      <c r="K194" s="48" t="n">
        <v>3</v>
      </c>
      <c r="L194" s="49" t="n">
        <v>25</v>
      </c>
    </row>
    <row r="195" customFormat="false" ht="12.8" hidden="false" customHeight="false" outlineLevel="0" collapsed="false">
      <c r="A195" s="55" t="n">
        <v>16</v>
      </c>
      <c r="B195" s="1" t="n">
        <v>0.0566355891199228</v>
      </c>
      <c r="C195" s="1" t="s">
        <v>69</v>
      </c>
    </row>
    <row r="196" customFormat="false" ht="12.8" hidden="false" customHeight="false" outlineLevel="0" collapsed="false">
      <c r="A196" s="55" t="n">
        <v>4</v>
      </c>
      <c r="B196" s="1" t="n">
        <v>0.0553920240121757</v>
      </c>
      <c r="C196" s="1" t="s">
        <v>64</v>
      </c>
    </row>
    <row r="197" customFormat="false" ht="12.8" hidden="false" customHeight="false" outlineLevel="0" collapsed="false">
      <c r="A197" s="55" t="n">
        <v>19</v>
      </c>
      <c r="B197" s="1" t="n">
        <v>0.0537033077346305</v>
      </c>
      <c r="C197" s="1" t="s">
        <v>62</v>
      </c>
    </row>
    <row r="198" customFormat="false" ht="12.8" hidden="false" customHeight="false" outlineLevel="0" collapsed="false">
      <c r="A198" s="55" t="n">
        <v>10</v>
      </c>
      <c r="B198" s="1" t="n">
        <v>0.0531443716772636</v>
      </c>
      <c r="C198" s="1" t="s">
        <v>63</v>
      </c>
    </row>
    <row r="199" customFormat="false" ht="12.8" hidden="false" customHeight="false" outlineLevel="0" collapsed="false">
      <c r="A199" s="55" t="n">
        <v>19</v>
      </c>
      <c r="B199" s="1" t="n">
        <v>0.0530304221510914</v>
      </c>
      <c r="C199" s="1" t="s">
        <v>61</v>
      </c>
    </row>
    <row r="200" customFormat="false" ht="12.8" hidden="false" customHeight="false" outlineLevel="0" collapsed="false">
      <c r="A200" s="55" t="n">
        <v>19</v>
      </c>
      <c r="B200" s="1" t="n">
        <v>0.0524931295608075</v>
      </c>
      <c r="C200" s="1" t="s">
        <v>63</v>
      </c>
    </row>
    <row r="201" customFormat="false" ht="12.8" hidden="false" customHeight="false" outlineLevel="0" collapsed="false">
      <c r="A201" s="55" t="n">
        <v>9</v>
      </c>
      <c r="B201" s="1" t="n">
        <v>0.0522700581818611</v>
      </c>
      <c r="C201" s="1" t="s">
        <v>53</v>
      </c>
    </row>
    <row r="202" customFormat="false" ht="12.8" hidden="false" customHeight="false" outlineLevel="0" collapsed="false">
      <c r="A202" s="55" t="n">
        <v>19</v>
      </c>
      <c r="B202" s="1" t="n">
        <v>0.0518202439772685</v>
      </c>
      <c r="C202" s="1" t="s">
        <v>64</v>
      </c>
    </row>
    <row r="203" customFormat="false" ht="12.8" hidden="false" customHeight="false" outlineLevel="0" collapsed="false">
      <c r="A203" s="55" t="n">
        <v>13</v>
      </c>
      <c r="B203" s="1" t="n">
        <v>0.0512861687496833</v>
      </c>
      <c r="C203" s="1" t="s">
        <v>69</v>
      </c>
    </row>
    <row r="204" customFormat="false" ht="12.8" hidden="false" customHeight="false" outlineLevel="0" collapsed="false">
      <c r="A204" s="55" t="n">
        <v>7</v>
      </c>
      <c r="B204" s="1" t="n">
        <v>0.0504745135557132</v>
      </c>
      <c r="C204" s="1" t="s">
        <v>53</v>
      </c>
    </row>
    <row r="207" customFormat="false" ht="12.8" hidden="false" customHeight="false" outlineLevel="0" collapsed="false">
      <c r="A207" s="17" t="s">
        <v>14</v>
      </c>
    </row>
    <row r="208" customFormat="false" ht="12.8" hidden="false" customHeight="false" outlineLevel="0" collapsed="false">
      <c r="A208" s="60" t="s">
        <v>57</v>
      </c>
      <c r="B208" s="60" t="s">
        <v>74</v>
      </c>
      <c r="C208" s="60" t="s">
        <v>72</v>
      </c>
      <c r="E208" s="19" t="s">
        <v>75</v>
      </c>
      <c r="F208" s="20" t="s">
        <v>72</v>
      </c>
      <c r="G208" s="21" t="s">
        <v>14</v>
      </c>
      <c r="H208" s="22"/>
      <c r="I208" s="22"/>
      <c r="J208" s="22"/>
      <c r="K208" s="23"/>
    </row>
    <row r="209" customFormat="false" ht="12.8" hidden="false" customHeight="false" outlineLevel="0" collapsed="false">
      <c r="A209" s="55" t="n">
        <v>5</v>
      </c>
      <c r="B209" s="1" t="n">
        <v>0.0773045910707068</v>
      </c>
      <c r="C209" s="1" t="s">
        <v>61</v>
      </c>
      <c r="E209" s="25" t="s">
        <v>57</v>
      </c>
      <c r="F209" s="61" t="s">
        <v>53</v>
      </c>
      <c r="G209" s="62" t="s">
        <v>61</v>
      </c>
      <c r="H209" s="62" t="s">
        <v>62</v>
      </c>
      <c r="I209" s="62" t="s">
        <v>63</v>
      </c>
      <c r="J209" s="62" t="s">
        <v>64</v>
      </c>
      <c r="K209" s="28" t="s">
        <v>56</v>
      </c>
    </row>
    <row r="210" customFormat="false" ht="12.8" hidden="false" customHeight="false" outlineLevel="0" collapsed="false">
      <c r="A210" s="55" t="n">
        <v>22</v>
      </c>
      <c r="B210" s="1" t="n">
        <v>0.0743878735387705</v>
      </c>
      <c r="C210" s="1" t="s">
        <v>53</v>
      </c>
      <c r="E210" s="52" t="n">
        <v>5</v>
      </c>
      <c r="F210" s="30" t="n">
        <v>1</v>
      </c>
      <c r="G210" s="31" t="n">
        <v>1</v>
      </c>
      <c r="H210" s="31"/>
      <c r="I210" s="31" t="n">
        <v>1</v>
      </c>
      <c r="J210" s="32"/>
      <c r="K210" s="33" t="n">
        <v>3</v>
      </c>
    </row>
    <row r="211" customFormat="false" ht="12.8" hidden="false" customHeight="false" outlineLevel="0" collapsed="false">
      <c r="A211" s="55" t="n">
        <v>5</v>
      </c>
      <c r="B211" s="1" t="n">
        <v>0.0679722041351851</v>
      </c>
      <c r="C211" s="1" t="s">
        <v>63</v>
      </c>
      <c r="E211" s="53" t="n">
        <v>17</v>
      </c>
      <c r="F211" s="35"/>
      <c r="G211" s="36" t="n">
        <v>1</v>
      </c>
      <c r="H211" s="36"/>
      <c r="I211" s="36"/>
      <c r="J211" s="37"/>
      <c r="K211" s="38" t="n">
        <v>1</v>
      </c>
    </row>
    <row r="212" customFormat="false" ht="12.8" hidden="false" customHeight="false" outlineLevel="0" collapsed="false">
      <c r="A212" s="5" t="n">
        <v>25</v>
      </c>
      <c r="B212" s="1" t="n">
        <v>0.0620030239669206</v>
      </c>
      <c r="C212" s="1" t="s">
        <v>64</v>
      </c>
      <c r="E212" s="53" t="n">
        <v>22</v>
      </c>
      <c r="F212" s="35" t="n">
        <v>1</v>
      </c>
      <c r="G212" s="36"/>
      <c r="H212" s="36" t="n">
        <v>1</v>
      </c>
      <c r="I212" s="36"/>
      <c r="J212" s="37"/>
      <c r="K212" s="38" t="n">
        <v>2</v>
      </c>
    </row>
    <row r="213" customFormat="false" ht="12.8" hidden="false" customHeight="false" outlineLevel="0" collapsed="false">
      <c r="A213" s="55" t="n">
        <v>5</v>
      </c>
      <c r="B213" s="1" t="n">
        <v>0.0562238768762515</v>
      </c>
      <c r="C213" s="1" t="s">
        <v>53</v>
      </c>
      <c r="E213" s="53" t="n">
        <v>25</v>
      </c>
      <c r="F213" s="41"/>
      <c r="G213" s="42"/>
      <c r="H213" s="42"/>
      <c r="I213" s="42"/>
      <c r="J213" s="43" t="n">
        <v>1</v>
      </c>
      <c r="K213" s="44" t="n">
        <v>1</v>
      </c>
    </row>
    <row r="214" customFormat="false" ht="12.8" hidden="false" customHeight="false" outlineLevel="0" collapsed="false">
      <c r="A214" s="55" t="n">
        <v>22</v>
      </c>
      <c r="B214" s="1" t="n">
        <v>0.0534028164270309</v>
      </c>
      <c r="C214" s="1" t="s">
        <v>62</v>
      </c>
      <c r="E214" s="54" t="s">
        <v>56</v>
      </c>
      <c r="F214" s="46" t="n">
        <v>2</v>
      </c>
      <c r="G214" s="47" t="n">
        <v>2</v>
      </c>
      <c r="H214" s="47" t="n">
        <v>1</v>
      </c>
      <c r="I214" s="47" t="n">
        <v>1</v>
      </c>
      <c r="J214" s="48" t="n">
        <v>1</v>
      </c>
      <c r="K214" s="49" t="n">
        <v>7</v>
      </c>
    </row>
    <row r="215" customFormat="false" ht="12.8" hidden="false" customHeight="false" outlineLevel="0" collapsed="false">
      <c r="A215" s="55" t="n">
        <v>17</v>
      </c>
      <c r="B215" s="1" t="n">
        <v>0.0527400568540286</v>
      </c>
      <c r="C215" s="1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247"/>
  <sheetViews>
    <sheetView showFormulas="false" showGridLines="true" showRowColHeaders="true" showZeros="true" rightToLeft="false" tabSelected="false" showOutlineSymbols="true" defaultGridColor="true" view="normal" topLeftCell="A220" colorId="64" zoomScale="100" zoomScaleNormal="100" zoomScalePageLayoutView="100" workbookViewId="0">
      <selection pane="topLeft" activeCell="J242" activeCellId="0" sqref="J242"/>
    </sheetView>
  </sheetViews>
  <sheetFormatPr defaultColWidth="14.0703125" defaultRowHeight="12.8" customHeight="false" zeroHeight="false" outlineLevelRow="0" outlineLevelCol="0"/>
  <cols>
    <col collapsed="false" customWidth="false" hidden="false" outlineLevel="0" max="1" min="1" style="17" width="14.07"/>
    <col collapsed="false" customWidth="true" hidden="false" outlineLevel="0" max="2" min="2" style="1" width="43.03"/>
    <col collapsed="false" customWidth="true" hidden="false" outlineLevel="0" max="3" min="3" style="1" width="39.64"/>
    <col collapsed="false" customWidth="true" hidden="false" outlineLevel="0" max="5" min="5" style="1" width="19.71"/>
    <col collapsed="false" customWidth="true" hidden="false" outlineLevel="0" max="6" min="6" style="1" width="25.11"/>
    <col collapsed="false" customWidth="true" hidden="false" outlineLevel="0" max="8" min="8" style="1" width="23.62"/>
    <col collapsed="false" customWidth="true" hidden="false" outlineLevel="0" max="10" min="10" style="1" width="47.24"/>
    <col collapsed="false" customWidth="true" hidden="false" outlineLevel="0" max="11" min="11" style="1" width="11.01"/>
  </cols>
  <sheetData>
    <row r="2" customFormat="false" ht="12.8" hidden="false" customHeight="false" outlineLevel="0" collapsed="false">
      <c r="A2" s="17" t="s">
        <v>76</v>
      </c>
    </row>
    <row r="3" customFormat="false" ht="12.8" hidden="false" customHeight="false" outlineLevel="0" collapsed="false">
      <c r="B3" s="63" t="s">
        <v>3</v>
      </c>
      <c r="C3" s="64"/>
      <c r="D3" s="20" t="s">
        <v>77</v>
      </c>
      <c r="E3" s="22"/>
      <c r="F3" s="22"/>
      <c r="G3" s="22"/>
      <c r="H3" s="23"/>
      <c r="J3" s="65" t="s">
        <v>78</v>
      </c>
      <c r="K3" s="40"/>
    </row>
    <row r="4" customFormat="false" ht="12.8" hidden="false" customHeight="false" outlineLevel="0" collapsed="false">
      <c r="B4" s="25" t="s">
        <v>79</v>
      </c>
      <c r="C4" s="66" t="s">
        <v>80</v>
      </c>
      <c r="D4" s="26" t="s">
        <v>81</v>
      </c>
      <c r="E4" s="27" t="s">
        <v>82</v>
      </c>
      <c r="F4" s="27" t="s">
        <v>83</v>
      </c>
      <c r="G4" s="27" t="s">
        <v>84</v>
      </c>
      <c r="H4" s="67" t="s">
        <v>56</v>
      </c>
      <c r="J4" s="40" t="s">
        <v>25</v>
      </c>
      <c r="K4" s="40" t="n">
        <v>0.05</v>
      </c>
    </row>
    <row r="5" customFormat="false" ht="12.8" hidden="false" customHeight="false" outlineLevel="0" collapsed="false">
      <c r="B5" s="68" t="s">
        <v>85</v>
      </c>
      <c r="C5" s="69" t="s">
        <v>86</v>
      </c>
      <c r="D5" s="70" t="n">
        <v>11</v>
      </c>
      <c r="E5" s="71" t="n">
        <v>3</v>
      </c>
      <c r="F5" s="71" t="n">
        <v>10</v>
      </c>
      <c r="G5" s="72" t="n">
        <v>10</v>
      </c>
      <c r="H5" s="73" t="n">
        <v>34</v>
      </c>
      <c r="J5" s="40" t="s">
        <v>37</v>
      </c>
      <c r="K5" s="40" t="n">
        <f aca="false">(COLUMNS([11]anchors_raw_information!$G$261:$J$271) - 1) * (ROWS([11]anchors_raw_information!$G$261:$J$271) - 1)</f>
        <v>30</v>
      </c>
    </row>
    <row r="6" customFormat="false" ht="12.8" hidden="false" customHeight="false" outlineLevel="0" collapsed="false">
      <c r="B6" s="74"/>
      <c r="C6" s="75" t="s">
        <v>87</v>
      </c>
      <c r="D6" s="41" t="n">
        <v>0.157254545454545</v>
      </c>
      <c r="E6" s="42" t="n">
        <v>0.164066666666667</v>
      </c>
      <c r="F6" s="42" t="n">
        <v>0.16736</v>
      </c>
      <c r="G6" s="43" t="n">
        <v>0.1613</v>
      </c>
      <c r="H6" s="76" t="n">
        <v>0.162017647058824</v>
      </c>
      <c r="J6" s="40" t="s">
        <v>40</v>
      </c>
      <c r="K6" s="40" t="n">
        <f aca="false">CHITEST([11]anchors_raw_information!$G$261:$J$271, MMULT(MMULT([11]anchors_raw_information!$G$261:$J$271,TRANSPOSE(IF(COLUMN([11]anchors_raw_information!$G$261:$J$271),TRUE()))),MMULT(TRANSPOSE(IF(ROW([11]anchors_raw_information!$G$261:$J$271),TRUE())),[11]anchors_raw_information!$G$261:$J$271)) / SUM([11]anchors_raw_information!$G$261:$J$271))</f>
        <v>0.010693264321077</v>
      </c>
    </row>
    <row r="7" customFormat="false" ht="12.8" hidden="false" customHeight="false" outlineLevel="0" collapsed="false">
      <c r="B7" s="68" t="s">
        <v>88</v>
      </c>
      <c r="C7" s="69" t="s">
        <v>86</v>
      </c>
      <c r="D7" s="71" t="n">
        <v>10</v>
      </c>
      <c r="E7" s="71" t="n">
        <v>7</v>
      </c>
      <c r="F7" s="71" t="n">
        <v>8</v>
      </c>
      <c r="G7" s="71" t="n">
        <v>6</v>
      </c>
      <c r="H7" s="73" t="n">
        <v>31</v>
      </c>
      <c r="J7" s="40" t="s">
        <v>89</v>
      </c>
      <c r="K7" s="40" t="n">
        <f aca="false">CHIINV(Anchors_raw_information!$K$6, Anchors_raw_information!$K$5)</f>
        <v>50.615989493747</v>
      </c>
    </row>
    <row r="8" customFormat="false" ht="12.8" hidden="false" customHeight="false" outlineLevel="0" collapsed="false">
      <c r="B8" s="74"/>
      <c r="C8" s="75" t="s">
        <v>87</v>
      </c>
      <c r="D8" s="77" t="n">
        <v>0.16259</v>
      </c>
      <c r="E8" s="77" t="n">
        <v>0.166228571428571</v>
      </c>
      <c r="F8" s="77" t="n">
        <v>0.1677625</v>
      </c>
      <c r="G8" s="77" t="n">
        <v>0.160233333333333</v>
      </c>
      <c r="H8" s="76" t="n">
        <v>0.164290322580645</v>
      </c>
      <c r="J8" s="40" t="s">
        <v>90</v>
      </c>
      <c r="K8" s="40" t="n">
        <f aca="false">CHIINV(Anchors_raw_information!$K$4, Anchors_raw_information!$K$5)</f>
        <v>43.7729718257422</v>
      </c>
    </row>
    <row r="9" customFormat="false" ht="12.8" hidden="false" customHeight="false" outlineLevel="0" collapsed="false">
      <c r="B9" s="68" t="s">
        <v>91</v>
      </c>
      <c r="C9" s="69" t="s">
        <v>86</v>
      </c>
      <c r="D9" s="70" t="n">
        <v>2</v>
      </c>
      <c r="E9" s="71" t="n">
        <v>5</v>
      </c>
      <c r="F9" s="71" t="n">
        <v>1</v>
      </c>
      <c r="G9" s="32"/>
      <c r="H9" s="73" t="n">
        <v>8</v>
      </c>
    </row>
    <row r="10" customFormat="false" ht="12.8" hidden="false" customHeight="false" outlineLevel="0" collapsed="false">
      <c r="B10" s="74"/>
      <c r="C10" s="75" t="s">
        <v>87</v>
      </c>
      <c r="D10" s="78" t="n">
        <v>0.1569</v>
      </c>
      <c r="E10" s="77" t="n">
        <v>0.15472</v>
      </c>
      <c r="F10" s="77" t="n">
        <v>0.1453</v>
      </c>
      <c r="G10" s="43"/>
      <c r="H10" s="76" t="n">
        <v>0.1540875</v>
      </c>
      <c r="J10" s="65" t="s">
        <v>92</v>
      </c>
      <c r="K10" s="40"/>
    </row>
    <row r="11" customFormat="false" ht="12.8" hidden="false" customHeight="false" outlineLevel="0" collapsed="false">
      <c r="B11" s="68" t="s">
        <v>93</v>
      </c>
      <c r="C11" s="69" t="s">
        <v>86</v>
      </c>
      <c r="D11" s="31"/>
      <c r="E11" s="71" t="n">
        <v>19</v>
      </c>
      <c r="F11" s="71" t="n">
        <v>15</v>
      </c>
      <c r="G11" s="71" t="n">
        <v>6</v>
      </c>
      <c r="H11" s="73" t="n">
        <v>40</v>
      </c>
      <c r="J11" s="79" t="s">
        <v>25</v>
      </c>
      <c r="K11" s="40" t="n">
        <v>0.05</v>
      </c>
    </row>
    <row r="12" customFormat="false" ht="12.8" hidden="false" customHeight="false" outlineLevel="0" collapsed="false">
      <c r="B12" s="74"/>
      <c r="C12" s="75" t="s">
        <v>87</v>
      </c>
      <c r="D12" s="42"/>
      <c r="E12" s="77" t="n">
        <v>0.166268421052632</v>
      </c>
      <c r="F12" s="77" t="n">
        <v>0.167173333333333</v>
      </c>
      <c r="G12" s="77" t="n">
        <v>0.155483333333333</v>
      </c>
      <c r="H12" s="76" t="n">
        <v>0.16499</v>
      </c>
      <c r="J12" s="40" t="s">
        <v>37</v>
      </c>
      <c r="K12" s="40" t="n">
        <f aca="false">(COLUMNS([11]anchors_raw_information!$G$282:$J$290) - 1) * (ROWS([11]anchors_raw_information!$G$282:$J$290) - 1)</f>
        <v>24</v>
      </c>
    </row>
    <row r="13" customFormat="false" ht="12.8" hidden="false" customHeight="false" outlineLevel="0" collapsed="false">
      <c r="B13" s="68" t="s">
        <v>94</v>
      </c>
      <c r="C13" s="69" t="s">
        <v>86</v>
      </c>
      <c r="D13" s="70" t="n">
        <v>23</v>
      </c>
      <c r="E13" s="71" t="n">
        <v>24</v>
      </c>
      <c r="F13" s="71" t="n">
        <v>20</v>
      </c>
      <c r="G13" s="72" t="n">
        <v>25</v>
      </c>
      <c r="H13" s="73" t="n">
        <v>92</v>
      </c>
      <c r="J13" s="40" t="s">
        <v>40</v>
      </c>
      <c r="K13" s="40" t="n">
        <f aca="false">CHITEST([11]anchors_raw_information!$G$282:$J$290, MMULT(MMULT([11]anchors_raw_information!$G$282:$J$290,TRANSPOSE(IF(COLUMN([11]anchors_raw_information!$G$282:$J$290),TRUE()))),MMULT(TRANSPOSE(IF(ROW([11]anchors_raw_information!$G$282:$J$290),TRUE())),[11]anchors_raw_information!$G$282:$J$290)) / SUM([11]anchors_raw_information!$G$282:$J$290))</f>
        <v>0.0373996290385919</v>
      </c>
    </row>
    <row r="14" customFormat="false" ht="12.8" hidden="false" customHeight="false" outlineLevel="0" collapsed="false">
      <c r="B14" s="74"/>
      <c r="C14" s="75" t="s">
        <v>87</v>
      </c>
      <c r="D14" s="78" t="n">
        <v>0.176060869565217</v>
      </c>
      <c r="E14" s="77" t="n">
        <v>0.177283333333333</v>
      </c>
      <c r="F14" s="77" t="n">
        <v>0.17726</v>
      </c>
      <c r="G14" s="80" t="n">
        <v>0.180072</v>
      </c>
      <c r="H14" s="76" t="n">
        <v>0.177730434782609</v>
      </c>
      <c r="J14" s="40" t="s">
        <v>89</v>
      </c>
      <c r="K14" s="40" t="n">
        <f aca="false">CHIINV(Anchors_raw_information!$K$13, Anchors_raw_information!$K$12)</f>
        <v>37.6775861264827</v>
      </c>
    </row>
    <row r="15" customFormat="false" ht="12.8" hidden="false" customHeight="false" outlineLevel="0" collapsed="false">
      <c r="B15" s="68" t="s">
        <v>95</v>
      </c>
      <c r="C15" s="69" t="s">
        <v>86</v>
      </c>
      <c r="D15" s="71" t="n">
        <v>3</v>
      </c>
      <c r="E15" s="31"/>
      <c r="F15" s="71" t="n">
        <v>4</v>
      </c>
      <c r="G15" s="71" t="n">
        <v>3</v>
      </c>
      <c r="H15" s="73" t="n">
        <v>10</v>
      </c>
      <c r="J15" s="40" t="s">
        <v>90</v>
      </c>
      <c r="K15" s="40" t="n">
        <f aca="false">CHIINV(Anchors_raw_information!$K$11, Anchors_raw_information!$K$12)</f>
        <v>36.4150285018073</v>
      </c>
    </row>
    <row r="16" customFormat="false" ht="12.8" hidden="false" customHeight="false" outlineLevel="0" collapsed="false">
      <c r="B16" s="74"/>
      <c r="C16" s="75" t="s">
        <v>87</v>
      </c>
      <c r="D16" s="77" t="n">
        <v>0.152766666666667</v>
      </c>
      <c r="E16" s="42"/>
      <c r="F16" s="77" t="n">
        <v>0.16345</v>
      </c>
      <c r="G16" s="77" t="n">
        <v>0.153666666666667</v>
      </c>
      <c r="H16" s="76" t="n">
        <v>0.15731</v>
      </c>
    </row>
    <row r="17" customFormat="false" ht="12.8" hidden="false" customHeight="false" outlineLevel="0" collapsed="false">
      <c r="B17" s="68" t="s">
        <v>96</v>
      </c>
      <c r="C17" s="69" t="s">
        <v>86</v>
      </c>
      <c r="D17" s="70" t="n">
        <v>25</v>
      </c>
      <c r="E17" s="71" t="n">
        <v>25</v>
      </c>
      <c r="F17" s="71" t="n">
        <v>25</v>
      </c>
      <c r="G17" s="72" t="n">
        <v>25</v>
      </c>
      <c r="H17" s="73" t="n">
        <v>100</v>
      </c>
    </row>
    <row r="18" customFormat="false" ht="12.8" hidden="false" customHeight="false" outlineLevel="0" collapsed="false">
      <c r="B18" s="74"/>
      <c r="C18" s="75" t="s">
        <v>87</v>
      </c>
      <c r="D18" s="78" t="n">
        <v>0.196308</v>
      </c>
      <c r="E18" s="77" t="n">
        <v>0.214124</v>
      </c>
      <c r="F18" s="77" t="n">
        <v>0.218356</v>
      </c>
      <c r="G18" s="80" t="n">
        <v>0.204948</v>
      </c>
      <c r="H18" s="76" t="n">
        <v>0.208434</v>
      </c>
      <c r="J18" s="65" t="s">
        <v>97</v>
      </c>
    </row>
    <row r="19" customFormat="false" ht="12.8" hidden="false" customHeight="false" outlineLevel="0" collapsed="false">
      <c r="B19" s="68" t="s">
        <v>98</v>
      </c>
      <c r="C19" s="69" t="s">
        <v>86</v>
      </c>
      <c r="D19" s="71" t="n">
        <v>1</v>
      </c>
      <c r="E19" s="31"/>
      <c r="F19" s="31"/>
      <c r="G19" s="71" t="n">
        <v>3</v>
      </c>
      <c r="H19" s="73" t="n">
        <v>4</v>
      </c>
      <c r="J19" s="40" t="s">
        <v>25</v>
      </c>
      <c r="K19" s="40" t="n">
        <v>0.05</v>
      </c>
    </row>
    <row r="20" customFormat="false" ht="12.8" hidden="false" customHeight="false" outlineLevel="0" collapsed="false">
      <c r="B20" s="74"/>
      <c r="C20" s="75" t="s">
        <v>87</v>
      </c>
      <c r="D20" s="77" t="n">
        <v>0.1509</v>
      </c>
      <c r="E20" s="42"/>
      <c r="F20" s="42"/>
      <c r="G20" s="77" t="n">
        <v>0.159266666666667</v>
      </c>
      <c r="H20" s="76" t="n">
        <v>0.157175</v>
      </c>
      <c r="J20" s="40" t="s">
        <v>37</v>
      </c>
      <c r="K20" s="40" t="n">
        <f aca="false">(COLUMNS([11]anchors_raw_information!$G$301:$J$308) - 1) * (ROWS([11]anchors_raw_information!$G$301:$J$308) - 1)</f>
        <v>21</v>
      </c>
    </row>
    <row r="21" customFormat="false" ht="12.8" hidden="false" customHeight="false" outlineLevel="0" collapsed="false">
      <c r="B21" s="68" t="s">
        <v>99</v>
      </c>
      <c r="C21" s="69" t="s">
        <v>86</v>
      </c>
      <c r="D21" s="70" t="n">
        <v>25</v>
      </c>
      <c r="E21" s="71" t="n">
        <v>15</v>
      </c>
      <c r="F21" s="71" t="n">
        <v>13</v>
      </c>
      <c r="G21" s="72" t="n">
        <v>22</v>
      </c>
      <c r="H21" s="73" t="n">
        <v>75</v>
      </c>
      <c r="J21" s="40" t="s">
        <v>40</v>
      </c>
      <c r="K21" s="40" t="n">
        <f aca="false">CHITEST([11]anchors_raw_information!$G$301:$J$308, MMULT(MMULT([11]anchors_raw_information!$G$301:$J$308,TRANSPOSE(IF(COLUMN([11]anchors_raw_information!$G$301:$J$308),TRUE()))),MMULT(TRANSPOSE(IF(ROW([11]anchors_raw_information!$G$301:$J$308),TRUE())),[11]anchors_raw_information!$G$301:$J$308)) / SUM([11]anchors_raw_information!$G$301:$J$308))</f>
        <v>0.0140171883186447</v>
      </c>
    </row>
    <row r="22" customFormat="false" ht="12.8" hidden="false" customHeight="false" outlineLevel="0" collapsed="false">
      <c r="B22" s="74"/>
      <c r="C22" s="75" t="s">
        <v>87</v>
      </c>
      <c r="D22" s="78" t="n">
        <v>0.173296</v>
      </c>
      <c r="E22" s="77" t="n">
        <v>0.16872</v>
      </c>
      <c r="F22" s="77" t="n">
        <v>0.181753846153846</v>
      </c>
      <c r="G22" s="80" t="n">
        <v>0.164595454545455</v>
      </c>
      <c r="H22" s="76" t="n">
        <v>0.171294666666667</v>
      </c>
      <c r="J22" s="40" t="s">
        <v>89</v>
      </c>
      <c r="K22" s="40" t="n">
        <f aca="false">CHIINV(Anchors_raw_information!$K$21, Anchors_raw_information!$K$20)</f>
        <v>37.6878713639144</v>
      </c>
    </row>
    <row r="23" customFormat="false" ht="12.8" hidden="false" customHeight="false" outlineLevel="0" collapsed="false">
      <c r="B23" s="68" t="s">
        <v>100</v>
      </c>
      <c r="C23" s="69" t="s">
        <v>86</v>
      </c>
      <c r="D23" s="71" t="n">
        <v>25</v>
      </c>
      <c r="E23" s="71" t="n">
        <v>23</v>
      </c>
      <c r="F23" s="71" t="n">
        <v>25</v>
      </c>
      <c r="G23" s="71" t="n">
        <v>25</v>
      </c>
      <c r="H23" s="73" t="n">
        <v>98</v>
      </c>
      <c r="J23" s="40" t="s">
        <v>90</v>
      </c>
      <c r="K23" s="40" t="n">
        <f aca="false">CHIINV(Anchors_raw_information!$K$19, Anchors_raw_information!$K$20)</f>
        <v>32.6705733409173</v>
      </c>
    </row>
    <row r="24" customFormat="false" ht="12.8" hidden="false" customHeight="false" outlineLevel="0" collapsed="false">
      <c r="B24" s="74"/>
      <c r="C24" s="75" t="s">
        <v>87</v>
      </c>
      <c r="D24" s="77" t="n">
        <v>0.18282</v>
      </c>
      <c r="E24" s="77" t="n">
        <v>0.2056</v>
      </c>
      <c r="F24" s="77" t="n">
        <v>0.192444</v>
      </c>
      <c r="G24" s="77" t="n">
        <v>0.188348</v>
      </c>
      <c r="H24" s="76" t="n">
        <v>0.192031632653061</v>
      </c>
    </row>
    <row r="25" customFormat="false" ht="12.8" hidden="false" customHeight="false" outlineLevel="0" collapsed="false">
      <c r="B25" s="68" t="s">
        <v>101</v>
      </c>
      <c r="C25" s="69" t="s">
        <v>86</v>
      </c>
      <c r="D25" s="70" t="n">
        <v>25</v>
      </c>
      <c r="E25" s="71" t="n">
        <v>25</v>
      </c>
      <c r="F25" s="71" t="n">
        <v>25</v>
      </c>
      <c r="G25" s="72" t="n">
        <v>25</v>
      </c>
      <c r="H25" s="73" t="n">
        <v>100</v>
      </c>
    </row>
    <row r="26" customFormat="false" ht="12.8" hidden="false" customHeight="false" outlineLevel="0" collapsed="false">
      <c r="B26" s="74"/>
      <c r="C26" s="75" t="s">
        <v>87</v>
      </c>
      <c r="D26" s="78" t="n">
        <v>0.114436</v>
      </c>
      <c r="E26" s="77" t="n">
        <v>0.10174</v>
      </c>
      <c r="F26" s="77" t="n">
        <v>0.1</v>
      </c>
      <c r="G26" s="80" t="n">
        <v>0.103932</v>
      </c>
      <c r="H26" s="76" t="n">
        <v>0.105027</v>
      </c>
    </row>
    <row r="27" customFormat="false" ht="12.8" hidden="false" customHeight="false" outlineLevel="0" collapsed="false">
      <c r="B27" s="81" t="s">
        <v>102</v>
      </c>
      <c r="C27" s="82"/>
      <c r="D27" s="83" t="n">
        <v>150</v>
      </c>
      <c r="E27" s="83" t="n">
        <v>146</v>
      </c>
      <c r="F27" s="83" t="n">
        <v>146</v>
      </c>
      <c r="G27" s="83" t="n">
        <v>150</v>
      </c>
      <c r="H27" s="84" t="n">
        <v>592</v>
      </c>
    </row>
    <row r="28" customFormat="false" ht="12.8" hidden="false" customHeight="false" outlineLevel="0" collapsed="false">
      <c r="B28" s="85" t="s">
        <v>103</v>
      </c>
      <c r="C28" s="86"/>
      <c r="D28" s="87" t="n">
        <v>0.166664</v>
      </c>
      <c r="E28" s="88" t="n">
        <v>0.171229452054795</v>
      </c>
      <c r="F28" s="88" t="n">
        <v>0.171235616438356</v>
      </c>
      <c r="G28" s="89" t="n">
        <v>0.166664666666667</v>
      </c>
      <c r="H28" s="90" t="n">
        <v>0.168917567567567</v>
      </c>
    </row>
    <row r="33" customFormat="false" ht="12.8" hidden="false" customHeight="false" outlineLevel="0" collapsed="false">
      <c r="A33" s="17" t="s">
        <v>104</v>
      </c>
    </row>
    <row r="34" customFormat="false" ht="12.8" hidden="false" customHeight="false" outlineLevel="0" collapsed="false">
      <c r="B34" s="63" t="s">
        <v>8</v>
      </c>
      <c r="C34" s="64"/>
      <c r="D34" s="20" t="s">
        <v>105</v>
      </c>
      <c r="E34" s="22"/>
      <c r="F34" s="22"/>
      <c r="G34" s="22"/>
      <c r="H34" s="23"/>
      <c r="I34" s="51"/>
      <c r="J34" s="91" t="s">
        <v>78</v>
      </c>
      <c r="K34" s="12"/>
    </row>
    <row r="35" customFormat="false" ht="12.8" hidden="false" customHeight="false" outlineLevel="0" collapsed="false">
      <c r="B35" s="25" t="s">
        <v>106</v>
      </c>
      <c r="C35" s="66" t="s">
        <v>80</v>
      </c>
      <c r="D35" s="61" t="s">
        <v>81</v>
      </c>
      <c r="E35" s="62" t="s">
        <v>82</v>
      </c>
      <c r="F35" s="62" t="s">
        <v>107</v>
      </c>
      <c r="G35" s="62" t="s">
        <v>84</v>
      </c>
      <c r="H35" s="28" t="s">
        <v>56</v>
      </c>
      <c r="J35" s="12" t="s">
        <v>25</v>
      </c>
      <c r="K35" s="12" t="n">
        <v>0.05</v>
      </c>
    </row>
    <row r="36" customFormat="false" ht="12.8" hidden="false" customHeight="false" outlineLevel="0" collapsed="false">
      <c r="B36" s="52" t="s">
        <v>85</v>
      </c>
      <c r="C36" s="69" t="s">
        <v>108</v>
      </c>
      <c r="D36" s="70" t="n">
        <v>20</v>
      </c>
      <c r="E36" s="71" t="n">
        <v>18</v>
      </c>
      <c r="F36" s="71" t="n">
        <v>24</v>
      </c>
      <c r="G36" s="72" t="n">
        <v>17</v>
      </c>
      <c r="H36" s="73" t="n">
        <v>79</v>
      </c>
      <c r="J36" s="12" t="s">
        <v>37</v>
      </c>
      <c r="K36" s="12" t="n">
        <f aca="false">(COLUMNS([12]anchors_raw_information!$H$81:$K$91) - 1) * (ROWS([12]anchors_raw_information!$H$81:$K$91) - 1)</f>
        <v>30</v>
      </c>
    </row>
    <row r="37" customFormat="false" ht="12.8" hidden="false" customHeight="false" outlineLevel="0" collapsed="false">
      <c r="B37" s="74"/>
      <c r="C37" s="75" t="s">
        <v>109</v>
      </c>
      <c r="D37" s="92" t="n">
        <v>0.175175</v>
      </c>
      <c r="E37" s="93" t="n">
        <v>0.187722222222222</v>
      </c>
      <c r="F37" s="93" t="n">
        <v>0.2031875</v>
      </c>
      <c r="G37" s="94" t="n">
        <v>0.178070588235294</v>
      </c>
      <c r="H37" s="95" t="n">
        <v>0.187167088607595</v>
      </c>
      <c r="J37" s="12" t="s">
        <v>40</v>
      </c>
      <c r="K37" s="12" t="n">
        <f aca="false">CHITEST([12]anchors_raw_information!$H$81:$K$91, MMULT(MMULT([12]anchors_raw_information!$H$81:$K$91,TRANSPOSE(IF(COLUMN([12]anchors_raw_information!$H$81:$K$91),TRUE()))),MMULT(TRANSPOSE(IF(ROW([12]anchors_raw_information!$H$81:$K$91),TRUE())),[12]anchors_raw_information!$H$81:$K$91)) / SUM([12]anchors_raw_information!$H$81:$K$91))</f>
        <v>0.01531659456663</v>
      </c>
    </row>
    <row r="38" customFormat="false" ht="12.8" hidden="false" customHeight="false" outlineLevel="0" collapsed="false">
      <c r="B38" s="52" t="s">
        <v>110</v>
      </c>
      <c r="C38" s="69" t="s">
        <v>108</v>
      </c>
      <c r="D38" s="71" t="n">
        <v>1</v>
      </c>
      <c r="E38" s="71" t="n">
        <v>1</v>
      </c>
      <c r="F38" s="31"/>
      <c r="G38" s="71" t="n">
        <v>2</v>
      </c>
      <c r="H38" s="73" t="n">
        <v>4</v>
      </c>
      <c r="J38" s="12" t="s">
        <v>89</v>
      </c>
      <c r="K38" s="12" t="n">
        <f aca="false">CHIINV(Anchors_raw_information!$K$37, Anchors_raw_information!$K$36)</f>
        <v>49.1100964317516</v>
      </c>
    </row>
    <row r="39" customFormat="false" ht="12.8" hidden="false" customHeight="false" outlineLevel="0" collapsed="false">
      <c r="B39" s="74"/>
      <c r="C39" s="75" t="s">
        <v>109</v>
      </c>
      <c r="D39" s="93" t="n">
        <v>0.1711</v>
      </c>
      <c r="E39" s="93" t="n">
        <v>0.2002</v>
      </c>
      <c r="F39" s="42"/>
      <c r="G39" s="93" t="n">
        <v>0.16385</v>
      </c>
      <c r="H39" s="95" t="n">
        <v>0.17475</v>
      </c>
      <c r="J39" s="12" t="s">
        <v>90</v>
      </c>
      <c r="K39" s="12" t="n">
        <f aca="false">CHIINV(Anchors_raw_information!$K$35, Anchors_raw_information!$K$36)</f>
        <v>43.7729718257422</v>
      </c>
    </row>
    <row r="40" customFormat="false" ht="12.8" hidden="false" customHeight="false" outlineLevel="0" collapsed="false">
      <c r="B40" s="52" t="s">
        <v>91</v>
      </c>
      <c r="C40" s="69" t="s">
        <v>108</v>
      </c>
      <c r="D40" s="30"/>
      <c r="E40" s="71" t="n">
        <v>1</v>
      </c>
      <c r="F40" s="71" t="n">
        <v>2</v>
      </c>
      <c r="G40" s="32"/>
      <c r="H40" s="73" t="n">
        <v>3</v>
      </c>
    </row>
    <row r="41" customFormat="false" ht="12.8" hidden="false" customHeight="false" outlineLevel="0" collapsed="false">
      <c r="B41" s="74"/>
      <c r="C41" s="75" t="s">
        <v>109</v>
      </c>
      <c r="D41" s="41"/>
      <c r="E41" s="93" t="n">
        <v>0.1772</v>
      </c>
      <c r="F41" s="93" t="n">
        <v>0.15575</v>
      </c>
      <c r="G41" s="43"/>
      <c r="H41" s="95" t="n">
        <v>0.1629</v>
      </c>
      <c r="J41" s="91" t="s">
        <v>111</v>
      </c>
    </row>
    <row r="42" customFormat="false" ht="12.8" hidden="false" customHeight="false" outlineLevel="0" collapsed="false">
      <c r="B42" s="52" t="s">
        <v>93</v>
      </c>
      <c r="C42" s="69" t="s">
        <v>108</v>
      </c>
      <c r="D42" s="71" t="n">
        <v>6</v>
      </c>
      <c r="E42" s="71" t="n">
        <v>18</v>
      </c>
      <c r="F42" s="71" t="n">
        <v>19</v>
      </c>
      <c r="G42" s="71" t="n">
        <v>10</v>
      </c>
      <c r="H42" s="73" t="n">
        <v>53</v>
      </c>
      <c r="J42" s="12" t="s">
        <v>25</v>
      </c>
      <c r="K42" s="12" t="n">
        <v>0.05</v>
      </c>
    </row>
    <row r="43" customFormat="false" ht="12.8" hidden="false" customHeight="false" outlineLevel="0" collapsed="false">
      <c r="B43" s="74"/>
      <c r="C43" s="75" t="s">
        <v>109</v>
      </c>
      <c r="D43" s="93" t="n">
        <v>0.15935</v>
      </c>
      <c r="E43" s="93" t="n">
        <v>0.173316666666667</v>
      </c>
      <c r="F43" s="93" t="n">
        <v>0.166094736842105</v>
      </c>
      <c r="G43" s="93" t="n">
        <v>0.16556</v>
      </c>
      <c r="H43" s="95" t="n">
        <v>0.167683018867925</v>
      </c>
      <c r="J43" s="12" t="s">
        <v>37</v>
      </c>
      <c r="K43" s="12" t="n">
        <f aca="false">(COLUMNS([12]anchors_raw_information!$H$105:$L$112) - 1) * (ROWS([12]anchors_raw_information!$H$105:$L$112) - 1)</f>
        <v>28</v>
      </c>
    </row>
    <row r="44" customFormat="false" ht="12.8" hidden="false" customHeight="false" outlineLevel="0" collapsed="false">
      <c r="B44" s="52" t="s">
        <v>94</v>
      </c>
      <c r="C44" s="69" t="s">
        <v>108</v>
      </c>
      <c r="D44" s="70" t="n">
        <v>21</v>
      </c>
      <c r="E44" s="71" t="n">
        <v>16</v>
      </c>
      <c r="F44" s="71" t="n">
        <v>16</v>
      </c>
      <c r="G44" s="72" t="n">
        <v>24</v>
      </c>
      <c r="H44" s="73" t="n">
        <v>77</v>
      </c>
      <c r="J44" s="12" t="s">
        <v>40</v>
      </c>
      <c r="K44" s="12" t="n">
        <f aca="false">CHITEST([12]anchors_raw_information!$H$105:$L$112, MMULT(MMULT([12]anchors_raw_information!$H$105:$L$112,TRANSPOSE(IF(COLUMN([12]anchors_raw_information!$H$105:$L$112),TRUE()))),MMULT(TRANSPOSE(IF(ROW([12]anchors_raw_information!$H$105:$L$112),TRUE())),[12]anchors_raw_information!$H$105:$L$112)) / SUM([12]anchors_raw_information!$H$105:$L$112))</f>
        <v>0.0337966991257277</v>
      </c>
    </row>
    <row r="45" customFormat="false" ht="12.8" hidden="false" customHeight="false" outlineLevel="0" collapsed="false">
      <c r="B45" s="74"/>
      <c r="C45" s="75" t="s">
        <v>109</v>
      </c>
      <c r="D45" s="92" t="n">
        <v>0.170647619047619</v>
      </c>
      <c r="E45" s="93" t="n">
        <v>0.16456875</v>
      </c>
      <c r="F45" s="93" t="n">
        <v>0.1561375</v>
      </c>
      <c r="G45" s="94" t="n">
        <v>0.197875</v>
      </c>
      <c r="H45" s="95" t="n">
        <v>0.174855844155844</v>
      </c>
      <c r="J45" s="12" t="s">
        <v>89</v>
      </c>
      <c r="K45" s="12" t="n">
        <f aca="false">CHIINV(Anchors_raw_information!$K$44, Anchors_raw_information!$K$43)</f>
        <v>43.1319198938099</v>
      </c>
    </row>
    <row r="46" customFormat="false" ht="12.8" hidden="false" customHeight="false" outlineLevel="0" collapsed="false">
      <c r="B46" s="52" t="s">
        <v>95</v>
      </c>
      <c r="C46" s="69" t="s">
        <v>108</v>
      </c>
      <c r="D46" s="71" t="n">
        <v>1</v>
      </c>
      <c r="E46" s="71" t="n">
        <v>1</v>
      </c>
      <c r="F46" s="71" t="n">
        <v>1</v>
      </c>
      <c r="G46" s="71" t="n">
        <v>2</v>
      </c>
      <c r="H46" s="73" t="n">
        <v>5</v>
      </c>
      <c r="J46" s="12" t="s">
        <v>90</v>
      </c>
      <c r="K46" s="12" t="n">
        <f aca="false">CHIINV(Anchors_raw_information!$K$42, Anchors_raw_information!$K$43)</f>
        <v>41.3371381514274</v>
      </c>
    </row>
    <row r="47" customFormat="false" ht="12.8" hidden="false" customHeight="false" outlineLevel="0" collapsed="false">
      <c r="B47" s="74"/>
      <c r="C47" s="75" t="s">
        <v>109</v>
      </c>
      <c r="D47" s="93" t="n">
        <v>0.1616</v>
      </c>
      <c r="E47" s="93" t="n">
        <v>0.1628</v>
      </c>
      <c r="F47" s="93" t="n">
        <v>0.1625</v>
      </c>
      <c r="G47" s="93" t="n">
        <v>0.1531</v>
      </c>
      <c r="H47" s="95" t="n">
        <v>0.15862</v>
      </c>
    </row>
    <row r="48" customFormat="false" ht="12.8" hidden="false" customHeight="false" outlineLevel="0" collapsed="false">
      <c r="B48" s="52" t="s">
        <v>96</v>
      </c>
      <c r="C48" s="69" t="s">
        <v>108</v>
      </c>
      <c r="D48" s="70" t="n">
        <v>25</v>
      </c>
      <c r="E48" s="71" t="n">
        <v>25</v>
      </c>
      <c r="F48" s="71" t="n">
        <v>25</v>
      </c>
      <c r="G48" s="72" t="n">
        <v>25</v>
      </c>
      <c r="H48" s="73" t="n">
        <v>100</v>
      </c>
    </row>
    <row r="49" customFormat="false" ht="12.8" hidden="false" customHeight="false" outlineLevel="0" collapsed="false">
      <c r="B49" s="74"/>
      <c r="C49" s="75" t="s">
        <v>109</v>
      </c>
      <c r="D49" s="92" t="n">
        <v>0.23228</v>
      </c>
      <c r="E49" s="93" t="n">
        <v>0.264</v>
      </c>
      <c r="F49" s="93" t="n">
        <v>0.24388</v>
      </c>
      <c r="G49" s="94" t="n">
        <v>0.219052</v>
      </c>
      <c r="H49" s="95" t="n">
        <v>0.239803</v>
      </c>
    </row>
    <row r="50" customFormat="false" ht="12.8" hidden="false" customHeight="false" outlineLevel="0" collapsed="false">
      <c r="B50" s="52" t="s">
        <v>98</v>
      </c>
      <c r="C50" s="69" t="s">
        <v>108</v>
      </c>
      <c r="D50" s="71" t="n">
        <v>1</v>
      </c>
      <c r="E50" s="31"/>
      <c r="F50" s="71" t="n">
        <v>1</v>
      </c>
      <c r="G50" s="71" t="n">
        <v>3</v>
      </c>
      <c r="H50" s="73" t="n">
        <v>5</v>
      </c>
    </row>
    <row r="51" customFormat="false" ht="12.8" hidden="false" customHeight="false" outlineLevel="0" collapsed="false">
      <c r="B51" s="74"/>
      <c r="C51" s="75" t="s">
        <v>109</v>
      </c>
      <c r="D51" s="93" t="n">
        <v>0.1614</v>
      </c>
      <c r="E51" s="42"/>
      <c r="F51" s="93" t="n">
        <v>0.1484</v>
      </c>
      <c r="G51" s="93" t="n">
        <v>0.164233333333333</v>
      </c>
      <c r="H51" s="95" t="n">
        <v>0.1605</v>
      </c>
    </row>
    <row r="52" customFormat="false" ht="12.8" hidden="false" customHeight="false" outlineLevel="0" collapsed="false">
      <c r="B52" s="52" t="s">
        <v>99</v>
      </c>
      <c r="C52" s="69" t="s">
        <v>108</v>
      </c>
      <c r="D52" s="70" t="n">
        <v>18</v>
      </c>
      <c r="E52" s="71" t="n">
        <v>1</v>
      </c>
      <c r="F52" s="71" t="n">
        <v>2</v>
      </c>
      <c r="G52" s="72" t="n">
        <v>6</v>
      </c>
      <c r="H52" s="73" t="n">
        <v>27</v>
      </c>
    </row>
    <row r="53" customFormat="false" ht="12.8" hidden="false" customHeight="false" outlineLevel="0" collapsed="false">
      <c r="B53" s="74"/>
      <c r="C53" s="75" t="s">
        <v>109</v>
      </c>
      <c r="D53" s="92" t="n">
        <v>0.1731</v>
      </c>
      <c r="E53" s="93" t="n">
        <v>0.1529</v>
      </c>
      <c r="F53" s="93" t="n">
        <v>0.1544</v>
      </c>
      <c r="G53" s="94" t="n">
        <v>0.165066666666667</v>
      </c>
      <c r="H53" s="95" t="n">
        <v>0.169181481481482</v>
      </c>
    </row>
    <row r="54" customFormat="false" ht="12.8" hidden="false" customHeight="false" outlineLevel="0" collapsed="false">
      <c r="B54" s="52" t="s">
        <v>100</v>
      </c>
      <c r="C54" s="69" t="s">
        <v>108</v>
      </c>
      <c r="D54" s="71" t="n">
        <v>24</v>
      </c>
      <c r="E54" s="71" t="n">
        <v>25</v>
      </c>
      <c r="F54" s="71" t="n">
        <v>24</v>
      </c>
      <c r="G54" s="71" t="n">
        <v>25</v>
      </c>
      <c r="H54" s="73" t="n">
        <v>98</v>
      </c>
    </row>
    <row r="55" customFormat="false" ht="12.8" hidden="false" customHeight="false" outlineLevel="0" collapsed="false">
      <c r="B55" s="74"/>
      <c r="C55" s="75" t="s">
        <v>109</v>
      </c>
      <c r="D55" s="93" t="n">
        <v>0.210016666666667</v>
      </c>
      <c r="E55" s="93" t="n">
        <v>0.243012</v>
      </c>
      <c r="F55" s="93" t="n">
        <v>0.2058875</v>
      </c>
      <c r="G55" s="93" t="n">
        <v>0.218992</v>
      </c>
      <c r="H55" s="95" t="n">
        <v>0.219712244897959</v>
      </c>
    </row>
    <row r="56" customFormat="false" ht="12.8" hidden="false" customHeight="false" outlineLevel="0" collapsed="false">
      <c r="B56" s="52" t="s">
        <v>101</v>
      </c>
      <c r="C56" s="69" t="s">
        <v>108</v>
      </c>
      <c r="D56" s="70" t="n">
        <v>25</v>
      </c>
      <c r="E56" s="71" t="n">
        <v>25</v>
      </c>
      <c r="F56" s="71" t="n">
        <v>25</v>
      </c>
      <c r="G56" s="72" t="n">
        <v>25</v>
      </c>
      <c r="H56" s="73" t="n">
        <v>100</v>
      </c>
    </row>
    <row r="57" customFormat="false" ht="12.8" hidden="false" customHeight="false" outlineLevel="0" collapsed="false">
      <c r="B57" s="74"/>
      <c r="C57" s="75" t="s">
        <v>109</v>
      </c>
      <c r="D57" s="92" t="n">
        <v>0.1</v>
      </c>
      <c r="E57" s="93" t="n">
        <v>0.1</v>
      </c>
      <c r="F57" s="93" t="n">
        <v>0.1</v>
      </c>
      <c r="G57" s="94" t="n">
        <v>0.1</v>
      </c>
      <c r="H57" s="95" t="n">
        <v>0.0999999999999998</v>
      </c>
    </row>
    <row r="58" customFormat="false" ht="12.8" hidden="false" customHeight="false" outlineLevel="0" collapsed="false">
      <c r="B58" s="81" t="s">
        <v>112</v>
      </c>
      <c r="C58" s="82"/>
      <c r="D58" s="83" t="n">
        <v>142</v>
      </c>
      <c r="E58" s="83" t="n">
        <v>131</v>
      </c>
      <c r="F58" s="83" t="n">
        <v>139</v>
      </c>
      <c r="G58" s="83" t="n">
        <v>139</v>
      </c>
      <c r="H58" s="84" t="n">
        <v>551</v>
      </c>
    </row>
    <row r="59" customFormat="false" ht="12.8" hidden="false" customHeight="false" outlineLevel="0" collapsed="false">
      <c r="B59" s="85" t="s">
        <v>113</v>
      </c>
      <c r="C59" s="86"/>
      <c r="D59" s="96" t="n">
        <v>0.17605985915493</v>
      </c>
      <c r="E59" s="97" t="n">
        <v>0.190841221374046</v>
      </c>
      <c r="F59" s="97" t="n">
        <v>0.179856115107914</v>
      </c>
      <c r="G59" s="98" t="n">
        <v>0.179855395683453</v>
      </c>
      <c r="H59" s="99" t="n">
        <v>0.181489292196007</v>
      </c>
    </row>
    <row r="60" customFormat="false" ht="12.8" hidden="false" customHeight="false" outlineLevel="0" collapsed="false">
      <c r="B60" s="51"/>
    </row>
    <row r="62" customFormat="false" ht="12.8" hidden="false" customHeight="false" outlineLevel="0" collapsed="false">
      <c r="A62" s="17" t="s">
        <v>114</v>
      </c>
    </row>
    <row r="63" customFormat="false" ht="12.8" hidden="false" customHeight="false" outlineLevel="0" collapsed="false">
      <c r="B63" s="63" t="s">
        <v>9</v>
      </c>
      <c r="C63" s="64"/>
      <c r="D63" s="20" t="s">
        <v>105</v>
      </c>
      <c r="E63" s="22"/>
      <c r="F63" s="22"/>
      <c r="G63" s="22"/>
      <c r="H63" s="23"/>
      <c r="J63" s="100" t="s">
        <v>78</v>
      </c>
      <c r="K63" s="57"/>
    </row>
    <row r="64" customFormat="false" ht="12.8" hidden="false" customHeight="false" outlineLevel="0" collapsed="false">
      <c r="B64" s="25" t="s">
        <v>106</v>
      </c>
      <c r="C64" s="66" t="s">
        <v>80</v>
      </c>
      <c r="D64" s="26" t="s">
        <v>81</v>
      </c>
      <c r="E64" s="27" t="s">
        <v>82</v>
      </c>
      <c r="F64" s="27" t="s">
        <v>83</v>
      </c>
      <c r="G64" s="27" t="s">
        <v>84</v>
      </c>
      <c r="H64" s="67" t="s">
        <v>56</v>
      </c>
      <c r="J64" s="56" t="s">
        <v>25</v>
      </c>
      <c r="K64" s="57" t="n">
        <v>0.05</v>
      </c>
    </row>
    <row r="65" customFormat="false" ht="12.8" hidden="false" customHeight="false" outlineLevel="0" collapsed="false">
      <c r="B65" s="52" t="s">
        <v>85</v>
      </c>
      <c r="C65" s="69" t="s">
        <v>108</v>
      </c>
      <c r="D65" s="70" t="n">
        <v>13</v>
      </c>
      <c r="E65" s="71" t="n">
        <v>6</v>
      </c>
      <c r="F65" s="71" t="n">
        <v>13</v>
      </c>
      <c r="G65" s="72" t="n">
        <v>13</v>
      </c>
      <c r="H65" s="73" t="n">
        <v>45</v>
      </c>
      <c r="J65" s="56" t="s">
        <v>37</v>
      </c>
      <c r="K65" s="57" t="n">
        <f aca="false">(COLUMNS([13]anchors_raw_information!$H$252:$K$263) - 1) * (ROWS([13]anchors_raw_information!$H$252:$K$263) - 1)</f>
        <v>33</v>
      </c>
    </row>
    <row r="66" customFormat="false" ht="12.8" hidden="false" customHeight="false" outlineLevel="0" collapsed="false">
      <c r="B66" s="74"/>
      <c r="C66" s="75" t="s">
        <v>109</v>
      </c>
      <c r="D66" s="78" t="n">
        <v>0.171846153846154</v>
      </c>
      <c r="E66" s="77" t="n">
        <v>0.167266666666667</v>
      </c>
      <c r="F66" s="77" t="n">
        <v>0.171092307692308</v>
      </c>
      <c r="G66" s="80" t="n">
        <v>0.177561538461538</v>
      </c>
      <c r="H66" s="76" t="n">
        <v>0.172668888888889</v>
      </c>
      <c r="J66" s="56" t="s">
        <v>40</v>
      </c>
      <c r="K66" s="57" t="n">
        <f aca="false">CHITEST([13]anchors_raw_information!$H$252:$K$263, MMULT(MMULT([13]anchors_raw_information!$H$252:$K$263,TRANSPOSE(IF(COLUMN([13]anchors_raw_information!$H$252:$K$263),TRUE()))),MMULT(TRANSPOSE(IF(ROW([13]anchors_raw_information!$H$252:$K$263),TRUE())),[13]anchors_raw_information!$H$252:$K$263)) / SUM([13]anchors_raw_information!$H$252:$K$263))</f>
        <v>0.420215726341063</v>
      </c>
    </row>
    <row r="67" customFormat="false" ht="12.8" hidden="false" customHeight="false" outlineLevel="0" collapsed="false">
      <c r="B67" s="52" t="s">
        <v>88</v>
      </c>
      <c r="C67" s="69" t="s">
        <v>108</v>
      </c>
      <c r="D67" s="71" t="n">
        <v>5</v>
      </c>
      <c r="E67" s="71" t="n">
        <v>1</v>
      </c>
      <c r="F67" s="71" t="n">
        <v>1</v>
      </c>
      <c r="G67" s="71" t="n">
        <v>1</v>
      </c>
      <c r="H67" s="73" t="n">
        <v>8</v>
      </c>
      <c r="J67" s="56" t="s">
        <v>89</v>
      </c>
      <c r="K67" s="57" t="n">
        <f aca="false">CHIINV(Anchors_raw_information!$K$66, Anchors_raw_information!$K$65)</f>
        <v>33.979240156727</v>
      </c>
    </row>
    <row r="68" customFormat="false" ht="12.8" hidden="false" customHeight="false" outlineLevel="0" collapsed="false">
      <c r="B68" s="74"/>
      <c r="C68" s="75" t="s">
        <v>109</v>
      </c>
      <c r="D68" s="77" t="n">
        <v>0.16664</v>
      </c>
      <c r="E68" s="77" t="n">
        <v>0.1654</v>
      </c>
      <c r="F68" s="77" t="n">
        <v>0.1427</v>
      </c>
      <c r="G68" s="77" t="n">
        <v>0.1602</v>
      </c>
      <c r="H68" s="76" t="n">
        <v>0.1626875</v>
      </c>
      <c r="J68" s="56" t="s">
        <v>90</v>
      </c>
      <c r="K68" s="57" t="n">
        <f aca="false">CHIINV(Anchors_raw_information!$K$64, Anchors_raw_information!$K$65)</f>
        <v>47.3998839190809</v>
      </c>
    </row>
    <row r="69" customFormat="false" ht="12.8" hidden="false" customHeight="false" outlineLevel="0" collapsed="false">
      <c r="B69" s="52" t="s">
        <v>91</v>
      </c>
      <c r="C69" s="69" t="s">
        <v>108</v>
      </c>
      <c r="D69" s="70" t="n">
        <v>13</v>
      </c>
      <c r="E69" s="71" t="n">
        <v>18</v>
      </c>
      <c r="F69" s="71" t="n">
        <v>13</v>
      </c>
      <c r="G69" s="72" t="n">
        <v>6</v>
      </c>
      <c r="H69" s="73" t="n">
        <v>50</v>
      </c>
    </row>
    <row r="70" customFormat="false" ht="12.8" hidden="false" customHeight="false" outlineLevel="0" collapsed="false">
      <c r="B70" s="74"/>
      <c r="C70" s="75" t="s">
        <v>109</v>
      </c>
      <c r="D70" s="78" t="n">
        <v>0.166223076923077</v>
      </c>
      <c r="E70" s="77" t="n">
        <v>0.171866666666667</v>
      </c>
      <c r="F70" s="77" t="n">
        <v>0.177292307692308</v>
      </c>
      <c r="G70" s="80" t="n">
        <v>0.171216666666667</v>
      </c>
      <c r="H70" s="76" t="n">
        <v>0.171732</v>
      </c>
      <c r="J70" s="101" t="s">
        <v>115</v>
      </c>
    </row>
    <row r="71" customFormat="false" ht="12.8" hidden="false" customHeight="false" outlineLevel="0" collapsed="false">
      <c r="B71" s="52" t="s">
        <v>116</v>
      </c>
      <c r="C71" s="69" t="s">
        <v>108</v>
      </c>
      <c r="D71" s="71" t="n">
        <v>1</v>
      </c>
      <c r="E71" s="71" t="n">
        <v>2</v>
      </c>
      <c r="F71" s="71" t="n">
        <v>2</v>
      </c>
      <c r="G71" s="31"/>
      <c r="H71" s="73" t="n">
        <v>5</v>
      </c>
      <c r="J71" s="56" t="s">
        <v>25</v>
      </c>
      <c r="K71" s="57" t="n">
        <v>0.05</v>
      </c>
    </row>
    <row r="72" customFormat="false" ht="12.8" hidden="false" customHeight="false" outlineLevel="0" collapsed="false">
      <c r="B72" s="74"/>
      <c r="C72" s="75" t="s">
        <v>109</v>
      </c>
      <c r="D72" s="77" t="n">
        <v>0.1572</v>
      </c>
      <c r="E72" s="77" t="n">
        <v>0.18105</v>
      </c>
      <c r="F72" s="77" t="n">
        <v>0.1825</v>
      </c>
      <c r="G72" s="42"/>
      <c r="H72" s="76" t="n">
        <v>0.17686</v>
      </c>
      <c r="J72" s="56" t="s">
        <v>37</v>
      </c>
      <c r="K72" s="57" t="n">
        <f aca="false">(COLUMNS([13]anchors_raw_information!$H$276:$K$286) - 1) * (ROWS([13]anchors_raw_information!$H$276:$K$286) - 1)</f>
        <v>30</v>
      </c>
    </row>
    <row r="73" customFormat="false" ht="12.8" hidden="false" customHeight="false" outlineLevel="0" collapsed="false">
      <c r="B73" s="52" t="s">
        <v>93</v>
      </c>
      <c r="C73" s="69" t="s">
        <v>108</v>
      </c>
      <c r="D73" s="70" t="n">
        <v>9</v>
      </c>
      <c r="E73" s="71" t="n">
        <v>19</v>
      </c>
      <c r="F73" s="71" t="n">
        <v>18</v>
      </c>
      <c r="G73" s="72" t="n">
        <v>18</v>
      </c>
      <c r="H73" s="73" t="n">
        <v>64</v>
      </c>
      <c r="J73" s="56" t="s">
        <v>40</v>
      </c>
      <c r="K73" s="57" t="n">
        <f aca="false">CHITEST([13]anchors_raw_information!$H$276:$K$286, MMULT(MMULT([13]anchors_raw_information!$H$276:$K$286,TRANSPOSE(IF(COLUMN([13]anchors_raw_information!$H$276:$K$286),TRUE()))),MMULT(TRANSPOSE(IF(ROW([13]anchors_raw_information!$H$276:$K$286),TRUE())),[13]anchors_raw_information!$H$276:$K$286)) / SUM([13]anchors_raw_information!$H$276:$K$286))</f>
        <v>0.379525850913311</v>
      </c>
    </row>
    <row r="74" customFormat="false" ht="12.8" hidden="false" customHeight="false" outlineLevel="0" collapsed="false">
      <c r="B74" s="74"/>
      <c r="C74" s="75" t="s">
        <v>109</v>
      </c>
      <c r="D74" s="78" t="n">
        <v>0.164533333333333</v>
      </c>
      <c r="E74" s="77" t="n">
        <v>0.1712</v>
      </c>
      <c r="F74" s="77" t="n">
        <v>0.173538888888889</v>
      </c>
      <c r="G74" s="80" t="n">
        <v>0.168</v>
      </c>
      <c r="H74" s="76" t="n">
        <v>0.1700203125</v>
      </c>
      <c r="J74" s="56" t="s">
        <v>89</v>
      </c>
      <c r="K74" s="57" t="n">
        <f aca="false">CHIINV(Anchors_raw_information!$K$73, Anchors_raw_information!$K$72)</f>
        <v>31.7440331321673</v>
      </c>
    </row>
    <row r="75" customFormat="false" ht="12.8" hidden="false" customHeight="false" outlineLevel="0" collapsed="false">
      <c r="B75" s="52" t="s">
        <v>94</v>
      </c>
      <c r="C75" s="69" t="s">
        <v>108</v>
      </c>
      <c r="D75" s="71" t="n">
        <v>20</v>
      </c>
      <c r="E75" s="71" t="n">
        <v>23</v>
      </c>
      <c r="F75" s="71" t="n">
        <v>23</v>
      </c>
      <c r="G75" s="71" t="n">
        <v>20</v>
      </c>
      <c r="H75" s="73" t="n">
        <v>86</v>
      </c>
      <c r="J75" s="56" t="s">
        <v>90</v>
      </c>
      <c r="K75" s="57" t="n">
        <f aca="false">CHIINV(Anchors_raw_information!$K$71, Anchors_raw_information!$K$72)</f>
        <v>43.7729718257422</v>
      </c>
    </row>
    <row r="76" customFormat="false" ht="12.8" hidden="false" customHeight="false" outlineLevel="0" collapsed="false">
      <c r="B76" s="74"/>
      <c r="C76" s="75" t="s">
        <v>109</v>
      </c>
      <c r="D76" s="77" t="n">
        <v>0.175305</v>
      </c>
      <c r="E76" s="77" t="n">
        <v>0.185169565217391</v>
      </c>
      <c r="F76" s="77" t="n">
        <v>0.186204347826087</v>
      </c>
      <c r="G76" s="77" t="n">
        <v>0.17941</v>
      </c>
      <c r="H76" s="76" t="n">
        <v>0.181812790697674</v>
      </c>
    </row>
    <row r="77" customFormat="false" ht="12.8" hidden="false" customHeight="false" outlineLevel="0" collapsed="false">
      <c r="B77" s="52" t="s">
        <v>95</v>
      </c>
      <c r="C77" s="69" t="s">
        <v>108</v>
      </c>
      <c r="D77" s="70" t="n">
        <v>7</v>
      </c>
      <c r="E77" s="71" t="n">
        <v>4</v>
      </c>
      <c r="F77" s="71" t="n">
        <v>4</v>
      </c>
      <c r="G77" s="72" t="n">
        <v>7</v>
      </c>
      <c r="H77" s="73" t="n">
        <v>22</v>
      </c>
      <c r="J77" s="101" t="s">
        <v>117</v>
      </c>
    </row>
    <row r="78" customFormat="false" ht="12.8" hidden="false" customHeight="false" outlineLevel="0" collapsed="false">
      <c r="B78" s="74"/>
      <c r="C78" s="75" t="s">
        <v>109</v>
      </c>
      <c r="D78" s="78" t="n">
        <v>0.1652</v>
      </c>
      <c r="E78" s="77" t="n">
        <v>0.164275</v>
      </c>
      <c r="F78" s="77" t="n">
        <v>0.16725</v>
      </c>
      <c r="G78" s="80" t="n">
        <v>0.163685714285714</v>
      </c>
      <c r="H78" s="76" t="n">
        <v>0.164922727272727</v>
      </c>
      <c r="J78" s="57" t="s">
        <v>25</v>
      </c>
      <c r="K78" s="57" t="n">
        <v>0.05</v>
      </c>
    </row>
    <row r="79" customFormat="false" ht="12.8" hidden="false" customHeight="false" outlineLevel="0" collapsed="false">
      <c r="B79" s="52" t="s">
        <v>96</v>
      </c>
      <c r="C79" s="69" t="s">
        <v>108</v>
      </c>
      <c r="D79" s="71" t="n">
        <v>24</v>
      </c>
      <c r="E79" s="71" t="n">
        <v>22</v>
      </c>
      <c r="F79" s="71" t="n">
        <v>23</v>
      </c>
      <c r="G79" s="71" t="n">
        <v>24</v>
      </c>
      <c r="H79" s="73" t="n">
        <v>93</v>
      </c>
      <c r="J79" s="57" t="s">
        <v>37</v>
      </c>
      <c r="K79" s="57" t="n">
        <f aca="false">(COLUMNS([13]anchors_raw_information!$H$299:$K$308) - 1) * (ROWS([13]anchors_raw_information!$H$299:$K$308) - 1)</f>
        <v>27</v>
      </c>
    </row>
    <row r="80" customFormat="false" ht="12.8" hidden="false" customHeight="false" outlineLevel="0" collapsed="false">
      <c r="B80" s="74"/>
      <c r="C80" s="75" t="s">
        <v>109</v>
      </c>
      <c r="D80" s="77" t="n">
        <v>0.20495</v>
      </c>
      <c r="E80" s="77" t="n">
        <v>0.201790909090909</v>
      </c>
      <c r="F80" s="77" t="n">
        <v>0.19555652173913</v>
      </c>
      <c r="G80" s="77" t="n">
        <v>0.196879166666667</v>
      </c>
      <c r="H80" s="76" t="n">
        <v>0.199796774193548</v>
      </c>
      <c r="J80" s="57" t="s">
        <v>40</v>
      </c>
      <c r="K80" s="57" t="n">
        <f aca="false">CHITEST([13]anchors_raw_information!$H$299:$K$308, MMULT(MMULT([13]anchors_raw_information!$H$299:$K$308,TRANSPOSE(IF(COLUMN([13]anchors_raw_information!$H$299:$K$308),TRUE()))),MMULT(TRANSPOSE(IF(ROW([13]anchors_raw_information!$H$299:$K$308),TRUE())),[13]anchors_raw_information!$H$299:$K$308)) / SUM([13]anchors_raw_information!$H$299:$K$308))</f>
        <v>0.24151272180519</v>
      </c>
    </row>
    <row r="81" customFormat="false" ht="12.8" hidden="false" customHeight="false" outlineLevel="0" collapsed="false">
      <c r="B81" s="52" t="s">
        <v>98</v>
      </c>
      <c r="C81" s="69" t="s">
        <v>108</v>
      </c>
      <c r="D81" s="70" t="n">
        <v>2</v>
      </c>
      <c r="E81" s="71" t="n">
        <v>1</v>
      </c>
      <c r="F81" s="71" t="n">
        <v>1</v>
      </c>
      <c r="G81" s="72" t="n">
        <v>3</v>
      </c>
      <c r="H81" s="73" t="n">
        <v>7</v>
      </c>
      <c r="J81" s="57" t="s">
        <v>89</v>
      </c>
      <c r="K81" s="57" t="n">
        <f aca="false">CHIINV(Anchors_raw_information!$K$80, Anchors_raw_information!$K$79)</f>
        <v>31.7488713674082</v>
      </c>
    </row>
    <row r="82" customFormat="false" ht="12.8" hidden="false" customHeight="false" outlineLevel="0" collapsed="false">
      <c r="B82" s="74"/>
      <c r="C82" s="75" t="s">
        <v>109</v>
      </c>
      <c r="D82" s="78" t="n">
        <v>0.15425</v>
      </c>
      <c r="E82" s="77" t="n">
        <v>0.1668</v>
      </c>
      <c r="F82" s="77" t="n">
        <v>0.1661</v>
      </c>
      <c r="G82" s="80" t="n">
        <v>0.167966666666667</v>
      </c>
      <c r="H82" s="76" t="n">
        <v>0.163614285714286</v>
      </c>
      <c r="J82" s="57" t="s">
        <v>90</v>
      </c>
      <c r="K82" s="57" t="n">
        <f aca="false">CHIINV(Anchors_raw_information!$K$78, Anchors_raw_information!$K$79)</f>
        <v>40.1132720694136</v>
      </c>
    </row>
    <row r="83" customFormat="false" ht="12.8" hidden="false" customHeight="false" outlineLevel="0" collapsed="false">
      <c r="B83" s="52" t="s">
        <v>99</v>
      </c>
      <c r="C83" s="69" t="s">
        <v>108</v>
      </c>
      <c r="D83" s="71" t="n">
        <v>18</v>
      </c>
      <c r="E83" s="71" t="n">
        <v>12</v>
      </c>
      <c r="F83" s="71" t="n">
        <v>8</v>
      </c>
      <c r="G83" s="71" t="n">
        <v>12</v>
      </c>
      <c r="H83" s="73" t="n">
        <v>50</v>
      </c>
    </row>
    <row r="84" customFormat="false" ht="12.8" hidden="false" customHeight="false" outlineLevel="0" collapsed="false">
      <c r="B84" s="74"/>
      <c r="C84" s="75" t="s">
        <v>109</v>
      </c>
      <c r="D84" s="77" t="n">
        <v>0.181916666666667</v>
      </c>
      <c r="E84" s="77" t="n">
        <v>0.176033333333333</v>
      </c>
      <c r="F84" s="77" t="n">
        <v>0.1716625</v>
      </c>
      <c r="G84" s="77" t="n">
        <v>0.172858333333333</v>
      </c>
      <c r="H84" s="76" t="n">
        <v>0.17669</v>
      </c>
    </row>
    <row r="85" customFormat="false" ht="12.8" hidden="false" customHeight="false" outlineLevel="0" collapsed="false">
      <c r="B85" s="52" t="s">
        <v>100</v>
      </c>
      <c r="C85" s="69" t="s">
        <v>108</v>
      </c>
      <c r="D85" s="70" t="n">
        <v>6</v>
      </c>
      <c r="E85" s="71" t="n">
        <v>12</v>
      </c>
      <c r="F85" s="71" t="n">
        <v>14</v>
      </c>
      <c r="G85" s="72" t="n">
        <v>16</v>
      </c>
      <c r="H85" s="73" t="n">
        <v>48</v>
      </c>
    </row>
    <row r="86" customFormat="false" ht="12.8" hidden="false" customHeight="false" outlineLevel="0" collapsed="false">
      <c r="B86" s="74"/>
      <c r="C86" s="75" t="s">
        <v>109</v>
      </c>
      <c r="D86" s="78" t="n">
        <v>0.197233333333333</v>
      </c>
      <c r="E86" s="77" t="n">
        <v>0.173975</v>
      </c>
      <c r="F86" s="77" t="n">
        <v>0.175071428571429</v>
      </c>
      <c r="G86" s="80" t="n">
        <v>0.1747625</v>
      </c>
      <c r="H86" s="76" t="n">
        <v>0.177464583333333</v>
      </c>
    </row>
    <row r="87" customFormat="false" ht="12.8" hidden="false" customHeight="false" outlineLevel="0" collapsed="false">
      <c r="B87" s="52" t="s">
        <v>101</v>
      </c>
      <c r="C87" s="69" t="s">
        <v>108</v>
      </c>
      <c r="D87" s="71" t="n">
        <v>24</v>
      </c>
      <c r="E87" s="71" t="n">
        <v>24</v>
      </c>
      <c r="F87" s="71" t="n">
        <v>24</v>
      </c>
      <c r="G87" s="71" t="n">
        <v>24</v>
      </c>
      <c r="H87" s="73" t="n">
        <v>96</v>
      </c>
    </row>
    <row r="88" customFormat="false" ht="12.8" hidden="false" customHeight="false" outlineLevel="0" collapsed="false">
      <c r="B88" s="74"/>
      <c r="C88" s="75" t="s">
        <v>109</v>
      </c>
      <c r="D88" s="77" t="n">
        <v>0.116075</v>
      </c>
      <c r="E88" s="77" t="n">
        <v>0.1</v>
      </c>
      <c r="F88" s="77" t="n">
        <v>0.1</v>
      </c>
      <c r="G88" s="77" t="n">
        <v>0.110279166666667</v>
      </c>
      <c r="H88" s="76" t="n">
        <v>0.106588541666666</v>
      </c>
    </row>
    <row r="89" customFormat="false" ht="12.8" hidden="false" customHeight="false" outlineLevel="0" collapsed="false">
      <c r="B89" s="81" t="s">
        <v>112</v>
      </c>
      <c r="C89" s="82"/>
      <c r="D89" s="102" t="n">
        <v>142</v>
      </c>
      <c r="E89" s="103" t="n">
        <v>144</v>
      </c>
      <c r="F89" s="103" t="n">
        <v>144</v>
      </c>
      <c r="G89" s="104" t="n">
        <v>144</v>
      </c>
      <c r="H89" s="84" t="n">
        <v>574</v>
      </c>
    </row>
    <row r="90" customFormat="false" ht="12.8" hidden="false" customHeight="false" outlineLevel="0" collapsed="false">
      <c r="B90" s="85" t="s">
        <v>113</v>
      </c>
      <c r="C90" s="86"/>
      <c r="D90" s="87" t="n">
        <v>0.169011267605634</v>
      </c>
      <c r="E90" s="88" t="n">
        <v>0.166665277777778</v>
      </c>
      <c r="F90" s="88" t="n">
        <v>0.16666875</v>
      </c>
      <c r="G90" s="89" t="n">
        <v>0.166666666666667</v>
      </c>
      <c r="H90" s="90" t="n">
        <v>0.167246864111498</v>
      </c>
    </row>
    <row r="93" customFormat="false" ht="12.8" hidden="false" customHeight="false" outlineLevel="0" collapsed="false">
      <c r="A93" s="17" t="s">
        <v>118</v>
      </c>
    </row>
    <row r="94" customFormat="false" ht="12.8" hidden="false" customHeight="false" outlineLevel="0" collapsed="false">
      <c r="B94" s="105" t="s">
        <v>10</v>
      </c>
      <c r="C94" s="64"/>
      <c r="D94" s="20" t="s">
        <v>105</v>
      </c>
      <c r="E94" s="22"/>
      <c r="F94" s="22"/>
      <c r="G94" s="22"/>
      <c r="H94" s="23"/>
      <c r="J94" s="100" t="s">
        <v>78</v>
      </c>
      <c r="K94" s="57"/>
    </row>
    <row r="95" customFormat="false" ht="12.8" hidden="false" customHeight="false" outlineLevel="0" collapsed="false">
      <c r="B95" s="25" t="s">
        <v>106</v>
      </c>
      <c r="C95" s="66" t="s">
        <v>80</v>
      </c>
      <c r="D95" s="61" t="s">
        <v>81</v>
      </c>
      <c r="E95" s="62" t="s">
        <v>82</v>
      </c>
      <c r="F95" s="62" t="s">
        <v>83</v>
      </c>
      <c r="G95" s="62" t="s">
        <v>84</v>
      </c>
      <c r="H95" s="28" t="s">
        <v>56</v>
      </c>
      <c r="J95" s="15" t="s">
        <v>25</v>
      </c>
      <c r="K95" s="57" t="n">
        <v>0.05</v>
      </c>
    </row>
    <row r="96" customFormat="false" ht="12.8" hidden="false" customHeight="false" outlineLevel="0" collapsed="false">
      <c r="B96" s="52" t="s">
        <v>85</v>
      </c>
      <c r="C96" s="69" t="s">
        <v>108</v>
      </c>
      <c r="D96" s="70" t="n">
        <v>10</v>
      </c>
      <c r="E96" s="71" t="n">
        <v>5</v>
      </c>
      <c r="F96" s="71" t="n">
        <v>14</v>
      </c>
      <c r="G96" s="72" t="n">
        <v>9</v>
      </c>
      <c r="H96" s="73" t="n">
        <v>38</v>
      </c>
      <c r="J96" s="15" t="s">
        <v>37</v>
      </c>
      <c r="K96" s="57" t="n">
        <f aca="false">(COLUMNS([14]anchors_raw_information!$I$262:$L$273) - 1) * (ROWS([14]anchors_raw_information!$I$262:$L$273) - 1)</f>
        <v>33</v>
      </c>
    </row>
    <row r="97" customFormat="false" ht="12.8" hidden="false" customHeight="false" outlineLevel="0" collapsed="false">
      <c r="B97" s="74"/>
      <c r="C97" s="75" t="s">
        <v>109</v>
      </c>
      <c r="D97" s="92" t="n">
        <v>0.1751</v>
      </c>
      <c r="E97" s="93" t="n">
        <v>0.18746</v>
      </c>
      <c r="F97" s="93" t="n">
        <v>0.175621428571429</v>
      </c>
      <c r="G97" s="94" t="n">
        <v>0.173111111111111</v>
      </c>
      <c r="H97" s="95" t="n">
        <v>0.176447368421053</v>
      </c>
      <c r="J97" s="15" t="s">
        <v>40</v>
      </c>
      <c r="K97" s="57" t="n">
        <f aca="false">CHITEST([14]anchors_raw_information!$I$262:$L$273, MMULT(MMULT([14]anchors_raw_information!$I$262:$L$273,TRANSPOSE(IF(COLUMN([14]anchors_raw_information!$I$262:$L$273),TRUE()))),MMULT(TRANSPOSE(IF(ROW([14]anchors_raw_information!$I$262:$L$273),TRUE())),[14]anchors_raw_information!$I$262:$L$273)) / SUM([14]anchors_raw_information!$I$262:$L$273))</f>
        <v>0.165953078749592</v>
      </c>
    </row>
    <row r="98" customFormat="false" ht="12.8" hidden="false" customHeight="false" outlineLevel="0" collapsed="false">
      <c r="B98" s="52" t="s">
        <v>110</v>
      </c>
      <c r="C98" s="69" t="s">
        <v>108</v>
      </c>
      <c r="D98" s="31"/>
      <c r="E98" s="71" t="n">
        <v>2</v>
      </c>
      <c r="F98" s="31"/>
      <c r="G98" s="31"/>
      <c r="H98" s="73" t="n">
        <v>2</v>
      </c>
      <c r="J98" s="15" t="s">
        <v>89</v>
      </c>
      <c r="K98" s="57" t="n">
        <f aca="false">CHIINV(Anchors_raw_information!$K$97, Anchors_raw_information!$K$96)</f>
        <v>40.7640634988306</v>
      </c>
    </row>
    <row r="99" customFormat="false" ht="12.8" hidden="false" customHeight="false" outlineLevel="0" collapsed="false">
      <c r="B99" s="74"/>
      <c r="C99" s="75" t="s">
        <v>109</v>
      </c>
      <c r="D99" s="42"/>
      <c r="E99" s="93" t="n">
        <v>0.16305</v>
      </c>
      <c r="F99" s="42"/>
      <c r="G99" s="42"/>
      <c r="H99" s="95" t="n">
        <v>0.16305</v>
      </c>
      <c r="J99" s="15" t="s">
        <v>90</v>
      </c>
      <c r="K99" s="57" t="n">
        <f aca="false">CHIINV(Anchors_raw_information!$K$95, Anchors_raw_information!$K$96)</f>
        <v>47.3998839190809</v>
      </c>
    </row>
    <row r="100" customFormat="false" ht="12.8" hidden="false" customHeight="false" outlineLevel="0" collapsed="false">
      <c r="B100" s="52" t="s">
        <v>91</v>
      </c>
      <c r="C100" s="69" t="s">
        <v>108</v>
      </c>
      <c r="D100" s="70" t="n">
        <v>12</v>
      </c>
      <c r="E100" s="71" t="n">
        <v>16</v>
      </c>
      <c r="F100" s="71" t="n">
        <v>12</v>
      </c>
      <c r="G100" s="72" t="n">
        <v>11</v>
      </c>
      <c r="H100" s="73" t="n">
        <v>51</v>
      </c>
      <c r="J100" s="4"/>
    </row>
    <row r="101" customFormat="false" ht="12.8" hidden="false" customHeight="false" outlineLevel="0" collapsed="false">
      <c r="B101" s="74"/>
      <c r="C101" s="75" t="s">
        <v>109</v>
      </c>
      <c r="D101" s="92" t="n">
        <v>0.173016666666667</v>
      </c>
      <c r="E101" s="93" t="n">
        <v>0.184875</v>
      </c>
      <c r="F101" s="93" t="n">
        <v>0.183758333333333</v>
      </c>
      <c r="G101" s="94" t="n">
        <v>0.172245454545455</v>
      </c>
      <c r="H101" s="95" t="n">
        <v>0.179098039215686</v>
      </c>
      <c r="J101" s="106" t="s">
        <v>119</v>
      </c>
    </row>
    <row r="102" customFormat="false" ht="12.8" hidden="false" customHeight="false" outlineLevel="0" collapsed="false">
      <c r="B102" s="52" t="s">
        <v>116</v>
      </c>
      <c r="C102" s="69" t="s">
        <v>108</v>
      </c>
      <c r="D102" s="71" t="n">
        <v>4</v>
      </c>
      <c r="E102" s="71" t="n">
        <v>13</v>
      </c>
      <c r="F102" s="71" t="n">
        <v>10</v>
      </c>
      <c r="G102" s="71" t="n">
        <v>7</v>
      </c>
      <c r="H102" s="73" t="n">
        <v>34</v>
      </c>
      <c r="J102" s="15" t="s">
        <v>25</v>
      </c>
      <c r="K102" s="57" t="n">
        <v>0.05</v>
      </c>
    </row>
    <row r="103" customFormat="false" ht="12.8" hidden="false" customHeight="false" outlineLevel="0" collapsed="false">
      <c r="B103" s="74"/>
      <c r="C103" s="75" t="s">
        <v>109</v>
      </c>
      <c r="D103" s="93" t="n">
        <v>0.180975</v>
      </c>
      <c r="E103" s="93" t="n">
        <v>0.183453846153846</v>
      </c>
      <c r="F103" s="93" t="n">
        <v>0.18193</v>
      </c>
      <c r="G103" s="93" t="n">
        <v>0.172885714285714</v>
      </c>
      <c r="H103" s="95" t="n">
        <v>0.180538235294118</v>
      </c>
      <c r="J103" s="15" t="s">
        <v>37</v>
      </c>
      <c r="K103" s="57" t="n">
        <f aca="false">(COLUMNS([14]anchors_raw_information!$I$288:$L$298) - 1) * (ROWS([14]anchors_raw_information!$I$288:$L$298) - 1)</f>
        <v>30</v>
      </c>
    </row>
    <row r="104" customFormat="false" ht="12.8" hidden="false" customHeight="false" outlineLevel="0" collapsed="false">
      <c r="B104" s="52" t="s">
        <v>93</v>
      </c>
      <c r="C104" s="69" t="s">
        <v>108</v>
      </c>
      <c r="D104" s="70" t="n">
        <v>21</v>
      </c>
      <c r="E104" s="71" t="n">
        <v>20</v>
      </c>
      <c r="F104" s="71" t="n">
        <v>18</v>
      </c>
      <c r="G104" s="72" t="n">
        <v>21</v>
      </c>
      <c r="H104" s="73" t="n">
        <v>80</v>
      </c>
      <c r="J104" s="15" t="s">
        <v>40</v>
      </c>
      <c r="K104" s="57" t="n">
        <f aca="false">CHITEST([14]anchors_raw_information!$I$288:$L$298, MMULT(MMULT([14]anchors_raw_information!$I$288:$L$298,TRANSPOSE(IF(COLUMN([14]anchors_raw_information!$I$288:$L$298),TRUE()))),MMULT(TRANSPOSE(IF(ROW([14]anchors_raw_information!$I$288:$L$298),TRUE())),[14]anchors_raw_information!$I$288:$L$298)) / SUM([14]anchors_raw_information!$I$288:$L$298))</f>
        <v>0.257614587617223</v>
      </c>
    </row>
    <row r="105" customFormat="false" ht="12.8" hidden="false" customHeight="false" outlineLevel="0" collapsed="false">
      <c r="B105" s="74"/>
      <c r="C105" s="75" t="s">
        <v>109</v>
      </c>
      <c r="D105" s="92" t="n">
        <v>0.166976190476191</v>
      </c>
      <c r="E105" s="93" t="n">
        <v>0.17209</v>
      </c>
      <c r="F105" s="93" t="n">
        <v>0.178838888888889</v>
      </c>
      <c r="G105" s="94" t="n">
        <v>0.173</v>
      </c>
      <c r="H105" s="95" t="n">
        <v>0.172505</v>
      </c>
      <c r="J105" s="15" t="s">
        <v>89</v>
      </c>
      <c r="K105" s="57" t="n">
        <f aca="false">CHIINV(Anchors_raw_information!$K$104, Anchors_raw_information!$K$103)</f>
        <v>34.5965881802627</v>
      </c>
    </row>
    <row r="106" customFormat="false" ht="12.8" hidden="false" customHeight="false" outlineLevel="0" collapsed="false">
      <c r="B106" s="52" t="s">
        <v>94</v>
      </c>
      <c r="C106" s="69" t="s">
        <v>108</v>
      </c>
      <c r="D106" s="71" t="n">
        <v>14</v>
      </c>
      <c r="E106" s="71" t="n">
        <v>18</v>
      </c>
      <c r="F106" s="71" t="n">
        <v>18</v>
      </c>
      <c r="G106" s="71" t="n">
        <v>22</v>
      </c>
      <c r="H106" s="73" t="n">
        <v>72</v>
      </c>
      <c r="J106" s="15" t="s">
        <v>90</v>
      </c>
      <c r="K106" s="57" t="n">
        <f aca="false">CHIINV(Anchors_raw_information!$K$102, Anchors_raw_information!$K$103)</f>
        <v>43.7729718257422</v>
      </c>
    </row>
    <row r="107" customFormat="false" ht="12.8" hidden="false" customHeight="false" outlineLevel="0" collapsed="false">
      <c r="B107" s="74"/>
      <c r="C107" s="75" t="s">
        <v>109</v>
      </c>
      <c r="D107" s="93" t="n">
        <v>0.168992857142857</v>
      </c>
      <c r="E107" s="93" t="n">
        <v>0.1852</v>
      </c>
      <c r="F107" s="93" t="n">
        <v>0.175683333333333</v>
      </c>
      <c r="G107" s="93" t="n">
        <v>0.177772727272727</v>
      </c>
      <c r="H107" s="95" t="n">
        <v>0.1774</v>
      </c>
      <c r="J107" s="4"/>
    </row>
    <row r="108" customFormat="false" ht="12.8" hidden="false" customHeight="false" outlineLevel="0" collapsed="false">
      <c r="B108" s="52" t="s">
        <v>95</v>
      </c>
      <c r="C108" s="69" t="s">
        <v>108</v>
      </c>
      <c r="D108" s="70" t="n">
        <v>6</v>
      </c>
      <c r="E108" s="71" t="n">
        <v>7</v>
      </c>
      <c r="F108" s="71" t="n">
        <v>9</v>
      </c>
      <c r="G108" s="72" t="n">
        <v>3</v>
      </c>
      <c r="H108" s="73" t="n">
        <v>25</v>
      </c>
      <c r="J108" s="106" t="s">
        <v>120</v>
      </c>
    </row>
    <row r="109" customFormat="false" ht="12.8" hidden="false" customHeight="false" outlineLevel="0" collapsed="false">
      <c r="B109" s="74"/>
      <c r="C109" s="75" t="s">
        <v>109</v>
      </c>
      <c r="D109" s="92" t="n">
        <v>0.164316666666667</v>
      </c>
      <c r="E109" s="93" t="n">
        <v>0.168842857142857</v>
      </c>
      <c r="F109" s="93" t="n">
        <v>0.172</v>
      </c>
      <c r="G109" s="94" t="n">
        <v>0.1642</v>
      </c>
      <c r="H109" s="95" t="n">
        <v>0.168336</v>
      </c>
      <c r="J109" s="15" t="s">
        <v>25</v>
      </c>
      <c r="K109" s="57" t="n">
        <v>0.05</v>
      </c>
    </row>
    <row r="110" customFormat="false" ht="12.8" hidden="false" customHeight="false" outlineLevel="0" collapsed="false">
      <c r="B110" s="52" t="s">
        <v>96</v>
      </c>
      <c r="C110" s="69" t="s">
        <v>108</v>
      </c>
      <c r="D110" s="71" t="n">
        <v>25</v>
      </c>
      <c r="E110" s="71" t="n">
        <v>25</v>
      </c>
      <c r="F110" s="71" t="n">
        <v>25</v>
      </c>
      <c r="G110" s="71" t="n">
        <v>25</v>
      </c>
      <c r="H110" s="73" t="n">
        <v>100</v>
      </c>
      <c r="J110" s="15" t="s">
        <v>37</v>
      </c>
      <c r="K110" s="57" t="n">
        <f aca="false">(COLUMNS([14]anchors_raw_information!$I$313:$L$322) - 1) * (ROWS([14]anchors_raw_information!$I$313:$L$322) - 1)</f>
        <v>27</v>
      </c>
    </row>
    <row r="111" customFormat="false" ht="12.8" hidden="false" customHeight="false" outlineLevel="0" collapsed="false">
      <c r="B111" s="74"/>
      <c r="C111" s="75" t="s">
        <v>109</v>
      </c>
      <c r="D111" s="93" t="n">
        <v>0.210504</v>
      </c>
      <c r="E111" s="93" t="n">
        <v>0.212612</v>
      </c>
      <c r="F111" s="93" t="n">
        <v>0.207744</v>
      </c>
      <c r="G111" s="93" t="n">
        <v>0.204904</v>
      </c>
      <c r="H111" s="95" t="n">
        <v>0.208941</v>
      </c>
      <c r="J111" s="15" t="s">
        <v>40</v>
      </c>
      <c r="K111" s="57" t="n">
        <f aca="false">CHITEST([14]anchors_raw_information!$I$313:$L$322, MMULT(MMULT([14]anchors_raw_information!$I$313:$L$322,TRANSPOSE(IF(COLUMN([14]anchors_raw_information!$I$313:$L$322),TRUE()))),MMULT(TRANSPOSE(IF(ROW([14]anchors_raw_information!$I$313:$L$322),TRUE())),[14]anchors_raw_information!$I$313:$L$322)) / SUM([14]anchors_raw_information!$I$313:$L$322))</f>
        <v>0.345705707173542</v>
      </c>
    </row>
    <row r="112" customFormat="false" ht="12.8" hidden="false" customHeight="false" outlineLevel="0" collapsed="false">
      <c r="B112" s="52" t="s">
        <v>98</v>
      </c>
      <c r="C112" s="69" t="s">
        <v>108</v>
      </c>
      <c r="D112" s="70" t="n">
        <v>2</v>
      </c>
      <c r="E112" s="31"/>
      <c r="F112" s="31"/>
      <c r="G112" s="72" t="n">
        <v>3</v>
      </c>
      <c r="H112" s="73" t="n">
        <v>5</v>
      </c>
      <c r="J112" s="15" t="s">
        <v>89</v>
      </c>
      <c r="K112" s="57" t="n">
        <f aca="false">CHIINV(Anchors_raw_information!$K$111, Anchors_raw_information!$K$110)</f>
        <v>29.3168349308643</v>
      </c>
    </row>
    <row r="113" customFormat="false" ht="12.8" hidden="false" customHeight="false" outlineLevel="0" collapsed="false">
      <c r="B113" s="74"/>
      <c r="C113" s="75" t="s">
        <v>109</v>
      </c>
      <c r="D113" s="92" t="n">
        <v>0.15385</v>
      </c>
      <c r="E113" s="42"/>
      <c r="F113" s="42"/>
      <c r="G113" s="94" t="n">
        <v>0.164733333333333</v>
      </c>
      <c r="H113" s="95" t="n">
        <v>0.16038</v>
      </c>
      <c r="J113" s="15" t="s">
        <v>90</v>
      </c>
      <c r="K113" s="57" t="n">
        <f aca="false">CHIINV(Anchors_raw_information!$K$109, Anchors_raw_information!$K$110)</f>
        <v>40.1132720694136</v>
      </c>
    </row>
    <row r="114" customFormat="false" ht="12.8" hidden="false" customHeight="false" outlineLevel="0" collapsed="false">
      <c r="B114" s="52" t="s">
        <v>99</v>
      </c>
      <c r="C114" s="69" t="s">
        <v>108</v>
      </c>
      <c r="D114" s="71" t="n">
        <v>25</v>
      </c>
      <c r="E114" s="71" t="n">
        <v>8</v>
      </c>
      <c r="F114" s="71" t="n">
        <v>11</v>
      </c>
      <c r="G114" s="71" t="n">
        <v>14</v>
      </c>
      <c r="H114" s="73" t="n">
        <v>58</v>
      </c>
    </row>
    <row r="115" customFormat="false" ht="12.8" hidden="false" customHeight="false" outlineLevel="0" collapsed="false">
      <c r="B115" s="74"/>
      <c r="C115" s="75" t="s">
        <v>109</v>
      </c>
      <c r="D115" s="93" t="n">
        <v>0.179868</v>
      </c>
      <c r="E115" s="93" t="n">
        <v>0.179925</v>
      </c>
      <c r="F115" s="93" t="n">
        <v>0.184218181818182</v>
      </c>
      <c r="G115" s="93" t="n">
        <v>0.176314285714286</v>
      </c>
      <c r="H115" s="95" t="n">
        <v>0.179843103448276</v>
      </c>
      <c r="J115" s="106" t="s">
        <v>121</v>
      </c>
    </row>
    <row r="116" customFormat="false" ht="12.8" hidden="false" customHeight="false" outlineLevel="0" collapsed="false">
      <c r="B116" s="52" t="s">
        <v>100</v>
      </c>
      <c r="C116" s="69" t="s">
        <v>108</v>
      </c>
      <c r="D116" s="70" t="n">
        <v>6</v>
      </c>
      <c r="E116" s="71" t="n">
        <v>6</v>
      </c>
      <c r="F116" s="71" t="n">
        <v>5</v>
      </c>
      <c r="G116" s="72" t="n">
        <v>10</v>
      </c>
      <c r="H116" s="73" t="n">
        <v>27</v>
      </c>
      <c r="J116" s="57" t="s">
        <v>25</v>
      </c>
      <c r="K116" s="57" t="n">
        <v>0.05</v>
      </c>
    </row>
    <row r="117" customFormat="false" ht="12.8" hidden="false" customHeight="false" outlineLevel="0" collapsed="false">
      <c r="B117" s="74"/>
      <c r="C117" s="75" t="s">
        <v>109</v>
      </c>
      <c r="D117" s="92" t="n">
        <v>0.161533333333333</v>
      </c>
      <c r="E117" s="93" t="n">
        <v>0.1898</v>
      </c>
      <c r="F117" s="93" t="n">
        <v>0.17348</v>
      </c>
      <c r="G117" s="94" t="n">
        <v>0.17149</v>
      </c>
      <c r="H117" s="95" t="n">
        <v>0.173714814814815</v>
      </c>
      <c r="J117" s="57" t="s">
        <v>37</v>
      </c>
      <c r="K117" s="57" t="n">
        <f aca="false">(COLUMNS([14]anchors_raw_information!$I$336:$L$344) - 1) * (ROWS([14]anchors_raw_information!$I$336:$L$344) - 1)</f>
        <v>24</v>
      </c>
    </row>
    <row r="118" customFormat="false" ht="12.8" hidden="false" customHeight="false" outlineLevel="0" collapsed="false">
      <c r="B118" s="52" t="s">
        <v>101</v>
      </c>
      <c r="C118" s="69" t="s">
        <v>108</v>
      </c>
      <c r="D118" s="71" t="n">
        <v>25</v>
      </c>
      <c r="E118" s="71" t="n">
        <v>25</v>
      </c>
      <c r="F118" s="71" t="n">
        <v>25</v>
      </c>
      <c r="G118" s="71" t="n">
        <v>25</v>
      </c>
      <c r="H118" s="73" t="n">
        <v>100</v>
      </c>
      <c r="J118" s="57" t="s">
        <v>40</v>
      </c>
      <c r="K118" s="57" t="n">
        <f aca="false">CHITEST([14]anchors_raw_information!$I$336:$L$344, MMULT(MMULT([14]anchors_raw_information!$I$336:$L$344,TRANSPOSE(IF(COLUMN([14]anchors_raw_information!$I$336:$L$344),TRUE()))),MMULT(TRANSPOSE(IF(ROW([14]anchors_raw_information!$I$336:$L$344),TRUE())),[14]anchors_raw_information!$I$336:$L$344)) / SUM([14]anchors_raw_information!$I$336:$L$344))</f>
        <v>0.209080350610495</v>
      </c>
    </row>
    <row r="119" customFormat="false" ht="12.8" hidden="false" customHeight="false" outlineLevel="0" collapsed="false">
      <c r="B119" s="74"/>
      <c r="C119" s="75" t="s">
        <v>109</v>
      </c>
      <c r="D119" s="93" t="n">
        <v>0.102172</v>
      </c>
      <c r="E119" s="93" t="n">
        <v>0.101732</v>
      </c>
      <c r="F119" s="93" t="n">
        <v>0.1</v>
      </c>
      <c r="G119" s="93" t="n">
        <v>0.1</v>
      </c>
      <c r="H119" s="95" t="n">
        <v>0.100976</v>
      </c>
      <c r="J119" s="57" t="s">
        <v>89</v>
      </c>
      <c r="K119" s="57" t="n">
        <f aca="false">CHIINV(Anchors_raw_information!$K$118, Anchors_raw_information!$K$117)</f>
        <v>29.2990104052191</v>
      </c>
    </row>
    <row r="120" customFormat="false" ht="12.8" hidden="false" customHeight="false" outlineLevel="0" collapsed="false">
      <c r="B120" s="81" t="s">
        <v>112</v>
      </c>
      <c r="C120" s="82"/>
      <c r="D120" s="102" t="n">
        <v>150</v>
      </c>
      <c r="E120" s="103" t="n">
        <v>145</v>
      </c>
      <c r="F120" s="103" t="n">
        <v>147</v>
      </c>
      <c r="G120" s="104" t="n">
        <v>150</v>
      </c>
      <c r="H120" s="84" t="n">
        <v>592</v>
      </c>
      <c r="J120" s="57" t="s">
        <v>90</v>
      </c>
      <c r="K120" s="57" t="n">
        <f aca="false">CHIINV(Anchors_raw_information!$K$116, Anchors_raw_information!$K$117)</f>
        <v>36.4150285018073</v>
      </c>
    </row>
    <row r="121" customFormat="false" ht="12.8" hidden="false" customHeight="false" outlineLevel="0" collapsed="false">
      <c r="B121" s="85" t="s">
        <v>113</v>
      </c>
      <c r="C121" s="86"/>
      <c r="D121" s="96" t="n">
        <v>0.166666</v>
      </c>
      <c r="E121" s="97" t="n">
        <v>0.172416551724138</v>
      </c>
      <c r="F121" s="97" t="n">
        <v>0.170067346938776</v>
      </c>
      <c r="G121" s="98" t="n">
        <v>0.166664</v>
      </c>
      <c r="H121" s="99" t="n">
        <v>0.168918581081081</v>
      </c>
    </row>
    <row r="124" customFormat="false" ht="12.8" hidden="false" customHeight="false" outlineLevel="0" collapsed="false">
      <c r="A124" s="17" t="s">
        <v>122</v>
      </c>
    </row>
    <row r="125" customFormat="false" ht="12.8" hidden="false" customHeight="false" outlineLevel="0" collapsed="false">
      <c r="B125" s="105" t="s">
        <v>11</v>
      </c>
      <c r="C125" s="64"/>
      <c r="D125" s="20" t="s">
        <v>105</v>
      </c>
      <c r="E125" s="22"/>
      <c r="F125" s="22"/>
      <c r="G125" s="22"/>
      <c r="H125" s="23"/>
      <c r="J125" s="107" t="s">
        <v>78</v>
      </c>
    </row>
    <row r="126" customFormat="false" ht="12.8" hidden="false" customHeight="false" outlineLevel="0" collapsed="false">
      <c r="B126" s="25" t="s">
        <v>106</v>
      </c>
      <c r="C126" s="66" t="s">
        <v>80</v>
      </c>
      <c r="D126" s="61" t="s">
        <v>81</v>
      </c>
      <c r="E126" s="62" t="s">
        <v>82</v>
      </c>
      <c r="F126" s="62" t="s">
        <v>83</v>
      </c>
      <c r="G126" s="62" t="s">
        <v>84</v>
      </c>
      <c r="H126" s="28" t="s">
        <v>56</v>
      </c>
      <c r="J126" s="1" t="s">
        <v>25</v>
      </c>
      <c r="K126" s="1" t="n">
        <v>0.05</v>
      </c>
    </row>
    <row r="127" customFormat="false" ht="12.8" hidden="false" customHeight="false" outlineLevel="0" collapsed="false">
      <c r="B127" s="52" t="s">
        <v>85</v>
      </c>
      <c r="C127" s="69" t="s">
        <v>108</v>
      </c>
      <c r="D127" s="70" t="n">
        <v>16</v>
      </c>
      <c r="E127" s="71" t="n">
        <v>7</v>
      </c>
      <c r="F127" s="71" t="n">
        <v>13</v>
      </c>
      <c r="G127" s="72" t="n">
        <v>13</v>
      </c>
      <c r="H127" s="73" t="n">
        <v>49</v>
      </c>
      <c r="J127" s="1" t="s">
        <v>37</v>
      </c>
      <c r="K127" s="1" t="n">
        <f aca="false">(COLUMNS([15]amchors_raw_information!$H$277:$K$289) - 1) * (ROWS([15]amchors_raw_information!$H$277:$K$289) - 1)</f>
        <v>36</v>
      </c>
    </row>
    <row r="128" customFormat="false" ht="12.8" hidden="false" customHeight="false" outlineLevel="0" collapsed="false">
      <c r="B128" s="74"/>
      <c r="C128" s="75" t="s">
        <v>109</v>
      </c>
      <c r="D128" s="78" t="n">
        <v>0.1731875</v>
      </c>
      <c r="E128" s="77" t="n">
        <v>0.1696</v>
      </c>
      <c r="F128" s="77" t="n">
        <v>0.170830769230769</v>
      </c>
      <c r="G128" s="80" t="n">
        <v>0.175461538461538</v>
      </c>
      <c r="H128" s="76" t="n">
        <v>0.17265306122449</v>
      </c>
      <c r="J128" s="1" t="s">
        <v>40</v>
      </c>
      <c r="K128" s="1" t="n">
        <f aca="false">CHITEST([15]amchors_raw_information!$H$277:$K$289, MMULT(MMULT([15]amchors_raw_information!$H$277:$K$289,TRANSPOSE(IF(COLUMN([15]amchors_raw_information!$H$277:$K$289),TRUE()))),MMULT(TRANSPOSE(IF(ROW([15]amchors_raw_information!$H$277:$K$289),TRUE())),[15]amchors_raw_information!$H$277:$K$289)) / SUM([15]amchors_raw_information!$H$277:$K$289))</f>
        <v>0.0020049988739172</v>
      </c>
    </row>
    <row r="129" customFormat="false" ht="12.8" hidden="false" customHeight="false" outlineLevel="0" collapsed="false">
      <c r="B129" s="52" t="s">
        <v>110</v>
      </c>
      <c r="C129" s="69" t="s">
        <v>108</v>
      </c>
      <c r="D129" s="71" t="n">
        <v>3</v>
      </c>
      <c r="E129" s="71" t="n">
        <v>4</v>
      </c>
      <c r="F129" s="71" t="n">
        <v>4</v>
      </c>
      <c r="G129" s="71" t="n">
        <v>3</v>
      </c>
      <c r="H129" s="73" t="n">
        <v>14</v>
      </c>
      <c r="J129" s="1" t="s">
        <v>89</v>
      </c>
      <c r="K129" s="1" t="n">
        <f aca="false">CHIINV(Anchors_raw_information!$K$128, Anchors_raw_information!$K$127)</f>
        <v>65.2864201290838</v>
      </c>
    </row>
    <row r="130" customFormat="false" ht="12.8" hidden="false" customHeight="false" outlineLevel="0" collapsed="false">
      <c r="B130" s="74"/>
      <c r="C130" s="75" t="s">
        <v>109</v>
      </c>
      <c r="D130" s="77" t="n">
        <v>0.167566666666667</v>
      </c>
      <c r="E130" s="77" t="n">
        <v>0.16545</v>
      </c>
      <c r="F130" s="77" t="n">
        <v>0.1709</v>
      </c>
      <c r="G130" s="77" t="n">
        <v>0.1687</v>
      </c>
      <c r="H130" s="76" t="n">
        <v>0.168157142857143</v>
      </c>
      <c r="J130" s="1" t="s">
        <v>90</v>
      </c>
      <c r="K130" s="1" t="n">
        <f aca="false">CHIINV(Anchors_raw_information!$K$126, Anchors_raw_information!$K$127)</f>
        <v>50.9984601657106</v>
      </c>
    </row>
    <row r="131" customFormat="false" ht="12.8" hidden="false" customHeight="false" outlineLevel="0" collapsed="false">
      <c r="B131" s="52" t="s">
        <v>88</v>
      </c>
      <c r="C131" s="69" t="s">
        <v>108</v>
      </c>
      <c r="D131" s="70" t="n">
        <v>4</v>
      </c>
      <c r="E131" s="31"/>
      <c r="F131" s="31"/>
      <c r="G131" s="72" t="n">
        <v>1</v>
      </c>
      <c r="H131" s="73" t="n">
        <v>5</v>
      </c>
    </row>
    <row r="132" customFormat="false" ht="12.8" hidden="false" customHeight="false" outlineLevel="0" collapsed="false">
      <c r="B132" s="74"/>
      <c r="C132" s="75" t="s">
        <v>109</v>
      </c>
      <c r="D132" s="78" t="n">
        <v>0.168175</v>
      </c>
      <c r="E132" s="42"/>
      <c r="F132" s="42"/>
      <c r="G132" s="80" t="n">
        <v>0.1655</v>
      </c>
      <c r="H132" s="76" t="n">
        <v>0.16764</v>
      </c>
    </row>
    <row r="133" customFormat="false" ht="12.8" hidden="false" customHeight="false" outlineLevel="0" collapsed="false">
      <c r="B133" s="52" t="s">
        <v>91</v>
      </c>
      <c r="C133" s="69" t="s">
        <v>108</v>
      </c>
      <c r="D133" s="71" t="n">
        <v>4</v>
      </c>
      <c r="E133" s="71" t="n">
        <v>5</v>
      </c>
      <c r="F133" s="71" t="n">
        <v>3</v>
      </c>
      <c r="G133" s="71" t="n">
        <v>7</v>
      </c>
      <c r="H133" s="73" t="n">
        <v>19</v>
      </c>
      <c r="J133" s="101" t="s">
        <v>123</v>
      </c>
    </row>
    <row r="134" customFormat="false" ht="12.8" hidden="false" customHeight="false" outlineLevel="0" collapsed="false">
      <c r="B134" s="74"/>
      <c r="C134" s="75" t="s">
        <v>109</v>
      </c>
      <c r="D134" s="77" t="n">
        <v>0.165775</v>
      </c>
      <c r="E134" s="77" t="n">
        <v>0.16704</v>
      </c>
      <c r="F134" s="77" t="n">
        <v>0.164433333333333</v>
      </c>
      <c r="G134" s="77" t="n">
        <v>0.171928571428571</v>
      </c>
      <c r="H134" s="76" t="n">
        <v>0.168163157894737</v>
      </c>
      <c r="J134" s="1" t="s">
        <v>25</v>
      </c>
      <c r="K134" s="1" t="n">
        <v>0.05</v>
      </c>
    </row>
    <row r="135" customFormat="false" ht="12.8" hidden="false" customHeight="false" outlineLevel="0" collapsed="false">
      <c r="B135" s="52" t="s">
        <v>116</v>
      </c>
      <c r="C135" s="69" t="s">
        <v>108</v>
      </c>
      <c r="D135" s="70" t="n">
        <v>4</v>
      </c>
      <c r="E135" s="71" t="n">
        <v>17</v>
      </c>
      <c r="F135" s="71" t="n">
        <v>15</v>
      </c>
      <c r="G135" s="72" t="n">
        <v>4</v>
      </c>
      <c r="H135" s="73" t="n">
        <v>40</v>
      </c>
      <c r="J135" s="1" t="s">
        <v>37</v>
      </c>
      <c r="K135" s="1" t="n">
        <f aca="false">(COLUMNS([15]amchors_raw_information!$H$304:$K$314) - 1) * (ROWS([15]amchors_raw_information!$H$304:$K$314) - 1)</f>
        <v>30</v>
      </c>
    </row>
    <row r="136" customFormat="false" ht="12.8" hidden="false" customHeight="false" outlineLevel="0" collapsed="false">
      <c r="B136" s="74"/>
      <c r="C136" s="75" t="s">
        <v>109</v>
      </c>
      <c r="D136" s="78" t="n">
        <v>0.166375</v>
      </c>
      <c r="E136" s="77" t="n">
        <v>0.174811764705882</v>
      </c>
      <c r="F136" s="77" t="n">
        <v>0.181713333333333</v>
      </c>
      <c r="G136" s="80" t="n">
        <v>0.168575</v>
      </c>
      <c r="H136" s="76" t="n">
        <v>0.1759325</v>
      </c>
      <c r="J136" s="1" t="s">
        <v>40</v>
      </c>
      <c r="K136" s="1" t="n">
        <f aca="false">CHITEST([15]amchors_raw_information!$H$304:$K$314, MMULT(MMULT([15]amchors_raw_information!$H$304:$K$314,TRANSPOSE(IF(COLUMN([15]amchors_raw_information!$H$304:$K$314),TRUE()))),MMULT(TRANSPOSE(IF(ROW([15]amchors_raw_information!$H$304:$K$314),TRUE())),[15]amchors_raw_information!$H$304:$K$314)) / SUM([15]amchors_raw_information!$H$304:$K$314))</f>
        <v>0.00223059304093622</v>
      </c>
    </row>
    <row r="137" customFormat="false" ht="12.8" hidden="false" customHeight="false" outlineLevel="0" collapsed="false">
      <c r="B137" s="52" t="s">
        <v>93</v>
      </c>
      <c r="C137" s="69" t="s">
        <v>108</v>
      </c>
      <c r="D137" s="71" t="n">
        <v>4</v>
      </c>
      <c r="E137" s="71" t="n">
        <v>19</v>
      </c>
      <c r="F137" s="71" t="n">
        <v>21</v>
      </c>
      <c r="G137" s="71" t="n">
        <v>16</v>
      </c>
      <c r="H137" s="73" t="n">
        <v>60</v>
      </c>
      <c r="J137" s="1" t="s">
        <v>89</v>
      </c>
      <c r="K137" s="1" t="n">
        <f aca="false">CHIINV(Anchors_raw_information!$K$136, Anchors_raw_information!$K$135)</f>
        <v>56.7603523466459</v>
      </c>
    </row>
    <row r="138" customFormat="false" ht="12.8" hidden="false" customHeight="false" outlineLevel="0" collapsed="false">
      <c r="B138" s="74"/>
      <c r="C138" s="75" t="s">
        <v>109</v>
      </c>
      <c r="D138" s="77" t="n">
        <v>0.169725</v>
      </c>
      <c r="E138" s="77" t="n">
        <v>0.170831578947368</v>
      </c>
      <c r="F138" s="77" t="n">
        <v>0.174580952380952</v>
      </c>
      <c r="G138" s="77" t="n">
        <v>0.1688</v>
      </c>
      <c r="H138" s="76" t="n">
        <v>0.171528333333333</v>
      </c>
      <c r="J138" s="1" t="s">
        <v>90</v>
      </c>
      <c r="K138" s="1" t="n">
        <f aca="false">CHIINV(Anchors_raw_information!$K$134, Anchors_raw_information!$K$135)</f>
        <v>43.7729718257422</v>
      </c>
    </row>
    <row r="139" customFormat="false" ht="12.8" hidden="false" customHeight="false" outlineLevel="0" collapsed="false">
      <c r="B139" s="52" t="s">
        <v>94</v>
      </c>
      <c r="C139" s="69" t="s">
        <v>108</v>
      </c>
      <c r="D139" s="70" t="n">
        <v>18</v>
      </c>
      <c r="E139" s="71" t="n">
        <v>17</v>
      </c>
      <c r="F139" s="71" t="n">
        <v>14</v>
      </c>
      <c r="G139" s="72" t="n">
        <v>18</v>
      </c>
      <c r="H139" s="73" t="n">
        <v>67</v>
      </c>
    </row>
    <row r="140" customFormat="false" ht="12.8" hidden="false" customHeight="false" outlineLevel="0" collapsed="false">
      <c r="B140" s="74"/>
      <c r="C140" s="75" t="s">
        <v>109</v>
      </c>
      <c r="D140" s="78" t="n">
        <v>0.171061111111111</v>
      </c>
      <c r="E140" s="77" t="n">
        <v>0.169923529411765</v>
      </c>
      <c r="F140" s="77" t="n">
        <v>0.1777</v>
      </c>
      <c r="G140" s="80" t="n">
        <v>0.174077777777778</v>
      </c>
      <c r="H140" s="76" t="n">
        <v>0.172970149253731</v>
      </c>
    </row>
    <row r="141" customFormat="false" ht="12.8" hidden="false" customHeight="false" outlineLevel="0" collapsed="false">
      <c r="B141" s="52" t="s">
        <v>95</v>
      </c>
      <c r="C141" s="69" t="s">
        <v>108</v>
      </c>
      <c r="D141" s="71" t="n">
        <v>3</v>
      </c>
      <c r="E141" s="71" t="n">
        <v>2</v>
      </c>
      <c r="F141" s="71" t="n">
        <v>8</v>
      </c>
      <c r="G141" s="71" t="n">
        <v>2</v>
      </c>
      <c r="H141" s="73" t="n">
        <v>15</v>
      </c>
    </row>
    <row r="142" customFormat="false" ht="12.8" hidden="false" customHeight="false" outlineLevel="0" collapsed="false">
      <c r="B142" s="74"/>
      <c r="C142" s="75" t="s">
        <v>109</v>
      </c>
      <c r="D142" s="77" t="n">
        <v>0.1608</v>
      </c>
      <c r="E142" s="77" t="n">
        <v>0.16295</v>
      </c>
      <c r="F142" s="77" t="n">
        <v>0.1633125</v>
      </c>
      <c r="G142" s="77" t="n">
        <v>0.1643</v>
      </c>
      <c r="H142" s="76" t="n">
        <v>0.162893333333333</v>
      </c>
    </row>
    <row r="143" customFormat="false" ht="12.8" hidden="false" customHeight="false" outlineLevel="0" collapsed="false">
      <c r="B143" s="52" t="s">
        <v>96</v>
      </c>
      <c r="C143" s="69" t="s">
        <v>108</v>
      </c>
      <c r="D143" s="70" t="n">
        <v>21</v>
      </c>
      <c r="E143" s="71" t="n">
        <v>20</v>
      </c>
      <c r="F143" s="71" t="n">
        <v>19</v>
      </c>
      <c r="G143" s="72" t="n">
        <v>17</v>
      </c>
      <c r="H143" s="73" t="n">
        <v>77</v>
      </c>
    </row>
    <row r="144" customFormat="false" ht="12.8" hidden="false" customHeight="false" outlineLevel="0" collapsed="false">
      <c r="B144" s="74"/>
      <c r="C144" s="75" t="s">
        <v>109</v>
      </c>
      <c r="D144" s="78" t="n">
        <v>0.179566666666667</v>
      </c>
      <c r="E144" s="77" t="n">
        <v>0.180355</v>
      </c>
      <c r="F144" s="77" t="n">
        <v>0.179331578947368</v>
      </c>
      <c r="G144" s="80" t="n">
        <v>0.178770588235294</v>
      </c>
      <c r="H144" s="76" t="n">
        <v>0.179537662337662</v>
      </c>
    </row>
    <row r="145" customFormat="false" ht="12.8" hidden="false" customHeight="false" outlineLevel="0" collapsed="false">
      <c r="B145" s="52" t="s">
        <v>98</v>
      </c>
      <c r="C145" s="69" t="s">
        <v>108</v>
      </c>
      <c r="D145" s="71" t="n">
        <v>5</v>
      </c>
      <c r="E145" s="71" t="n">
        <v>3</v>
      </c>
      <c r="F145" s="71" t="n">
        <v>1</v>
      </c>
      <c r="G145" s="71" t="n">
        <v>8</v>
      </c>
      <c r="H145" s="73" t="n">
        <v>17</v>
      </c>
    </row>
    <row r="146" customFormat="false" ht="12.8" hidden="false" customHeight="false" outlineLevel="0" collapsed="false">
      <c r="B146" s="74"/>
      <c r="C146" s="75" t="s">
        <v>109</v>
      </c>
      <c r="D146" s="77" t="n">
        <v>0.15858</v>
      </c>
      <c r="E146" s="77" t="n">
        <v>0.159133333333333</v>
      </c>
      <c r="F146" s="77" t="n">
        <v>0.1617</v>
      </c>
      <c r="G146" s="77" t="n">
        <v>0.16515</v>
      </c>
      <c r="H146" s="76" t="n">
        <v>0.161952941176471</v>
      </c>
    </row>
    <row r="147" customFormat="false" ht="12.8" hidden="false" customHeight="false" outlineLevel="0" collapsed="false">
      <c r="B147" s="52" t="s">
        <v>99</v>
      </c>
      <c r="C147" s="69" t="s">
        <v>108</v>
      </c>
      <c r="D147" s="70" t="n">
        <v>18</v>
      </c>
      <c r="E147" s="71" t="n">
        <v>6</v>
      </c>
      <c r="F147" s="71" t="n">
        <v>5</v>
      </c>
      <c r="G147" s="72" t="n">
        <v>11</v>
      </c>
      <c r="H147" s="73" t="n">
        <v>40</v>
      </c>
    </row>
    <row r="148" customFormat="false" ht="12.8" hidden="false" customHeight="false" outlineLevel="0" collapsed="false">
      <c r="B148" s="74"/>
      <c r="C148" s="75" t="s">
        <v>109</v>
      </c>
      <c r="D148" s="78" t="n">
        <v>0.177533333333333</v>
      </c>
      <c r="E148" s="77" t="n">
        <v>0.17295</v>
      </c>
      <c r="F148" s="77" t="n">
        <v>0.17592</v>
      </c>
      <c r="G148" s="80" t="n">
        <v>0.170972727272727</v>
      </c>
      <c r="H148" s="76" t="n">
        <v>0.17484</v>
      </c>
    </row>
    <row r="149" customFormat="false" ht="12.8" hidden="false" customHeight="false" outlineLevel="0" collapsed="false">
      <c r="B149" s="52" t="s">
        <v>100</v>
      </c>
      <c r="C149" s="69" t="s">
        <v>108</v>
      </c>
      <c r="D149" s="71" t="n">
        <v>25</v>
      </c>
      <c r="E149" s="71" t="n">
        <v>25</v>
      </c>
      <c r="F149" s="71" t="n">
        <v>22</v>
      </c>
      <c r="G149" s="71" t="n">
        <v>25</v>
      </c>
      <c r="H149" s="73" t="n">
        <v>97</v>
      </c>
    </row>
    <row r="150" customFormat="false" ht="12.8" hidden="false" customHeight="false" outlineLevel="0" collapsed="false">
      <c r="B150" s="74"/>
      <c r="C150" s="75" t="s">
        <v>109</v>
      </c>
      <c r="D150" s="77" t="n">
        <v>0.18946</v>
      </c>
      <c r="E150" s="77" t="n">
        <v>0.188708</v>
      </c>
      <c r="F150" s="77" t="n">
        <v>0.189181818181818</v>
      </c>
      <c r="G150" s="77" t="n">
        <v>0.201348</v>
      </c>
      <c r="H150" s="76" t="n">
        <v>0.192267010309278</v>
      </c>
    </row>
    <row r="151" customFormat="false" ht="12.8" hidden="false" customHeight="false" outlineLevel="0" collapsed="false">
      <c r="B151" s="52" t="s">
        <v>101</v>
      </c>
      <c r="C151" s="69" t="s">
        <v>108</v>
      </c>
      <c r="D151" s="70" t="n">
        <v>25</v>
      </c>
      <c r="E151" s="71" t="n">
        <v>25</v>
      </c>
      <c r="F151" s="71" t="n">
        <v>25</v>
      </c>
      <c r="G151" s="72" t="n">
        <v>25</v>
      </c>
      <c r="H151" s="73" t="n">
        <v>100</v>
      </c>
    </row>
    <row r="152" customFormat="false" ht="12.8" hidden="false" customHeight="false" outlineLevel="0" collapsed="false">
      <c r="B152" s="74"/>
      <c r="C152" s="75" t="s">
        <v>109</v>
      </c>
      <c r="D152" s="78" t="n">
        <v>0.119568</v>
      </c>
      <c r="E152" s="77" t="n">
        <v>0.121716</v>
      </c>
      <c r="F152" s="77" t="n">
        <v>0.112216</v>
      </c>
      <c r="G152" s="80" t="n">
        <v>0.1093</v>
      </c>
      <c r="H152" s="76" t="n">
        <v>0.1157</v>
      </c>
    </row>
    <row r="153" customFormat="false" ht="12.8" hidden="false" customHeight="false" outlineLevel="0" collapsed="false">
      <c r="B153" s="81" t="s">
        <v>112</v>
      </c>
      <c r="C153" s="82"/>
      <c r="D153" s="83" t="n">
        <v>150</v>
      </c>
      <c r="E153" s="83" t="n">
        <v>150</v>
      </c>
      <c r="F153" s="83" t="n">
        <v>150</v>
      </c>
      <c r="G153" s="83" t="n">
        <v>150</v>
      </c>
      <c r="H153" s="84" t="n">
        <v>600</v>
      </c>
    </row>
    <row r="154" customFormat="false" ht="12.8" hidden="false" customHeight="false" outlineLevel="0" collapsed="false">
      <c r="B154" s="85" t="s">
        <v>113</v>
      </c>
      <c r="C154" s="86"/>
      <c r="D154" s="87" t="n">
        <v>0.16667</v>
      </c>
      <c r="E154" s="88" t="n">
        <v>0.166661333333333</v>
      </c>
      <c r="F154" s="88" t="n">
        <v>0.166666</v>
      </c>
      <c r="G154" s="89" t="n">
        <v>0.166669333333333</v>
      </c>
      <c r="H154" s="90" t="n">
        <v>0.166666666666667</v>
      </c>
    </row>
    <row r="158" customFormat="false" ht="12.8" hidden="false" customHeight="false" outlineLevel="0" collapsed="false">
      <c r="A158" s="17" t="s">
        <v>124</v>
      </c>
    </row>
    <row r="159" customFormat="false" ht="12.8" hidden="false" customHeight="false" outlineLevel="0" collapsed="false">
      <c r="B159" s="17" t="s">
        <v>124</v>
      </c>
      <c r="C159" s="64"/>
      <c r="D159" s="20" t="s">
        <v>105</v>
      </c>
      <c r="E159" s="22"/>
      <c r="F159" s="22"/>
      <c r="G159" s="22"/>
      <c r="H159" s="23"/>
      <c r="J159" s="107" t="s">
        <v>78</v>
      </c>
    </row>
    <row r="160" customFormat="false" ht="12.8" hidden="false" customHeight="false" outlineLevel="0" collapsed="false">
      <c r="B160" s="25" t="s">
        <v>106</v>
      </c>
      <c r="C160" s="66" t="s">
        <v>80</v>
      </c>
      <c r="D160" s="61" t="s">
        <v>81</v>
      </c>
      <c r="E160" s="62" t="s">
        <v>82</v>
      </c>
      <c r="F160" s="62" t="s">
        <v>83</v>
      </c>
      <c r="G160" s="62" t="s">
        <v>84</v>
      </c>
      <c r="H160" s="28" t="s">
        <v>56</v>
      </c>
      <c r="J160" s="1" t="s">
        <v>25</v>
      </c>
      <c r="K160" s="1" t="n">
        <v>0.05</v>
      </c>
    </row>
    <row r="161" customFormat="false" ht="12.8" hidden="false" customHeight="false" outlineLevel="0" collapsed="false">
      <c r="B161" s="52" t="s">
        <v>85</v>
      </c>
      <c r="C161" s="69" t="s">
        <v>108</v>
      </c>
      <c r="D161" s="70" t="n">
        <v>13</v>
      </c>
      <c r="E161" s="71" t="n">
        <v>13</v>
      </c>
      <c r="F161" s="71" t="n">
        <v>18</v>
      </c>
      <c r="G161" s="72" t="n">
        <v>10</v>
      </c>
      <c r="H161" s="73" t="n">
        <v>54</v>
      </c>
      <c r="J161" s="1" t="s">
        <v>37</v>
      </c>
      <c r="K161" s="1" t="n">
        <f aca="false">(COLUMNS([16]anchor_raw_information!$G$227:$J$237) - 1) * (ROWS([16]anchor_raw_information!$G$227:$J$237) - 1)</f>
        <v>30</v>
      </c>
    </row>
    <row r="162" customFormat="false" ht="12.8" hidden="false" customHeight="false" outlineLevel="0" collapsed="false">
      <c r="B162" s="74"/>
      <c r="C162" s="75" t="s">
        <v>109</v>
      </c>
      <c r="D162" s="78" t="n">
        <v>0.169538461538462</v>
      </c>
      <c r="E162" s="77" t="n">
        <v>0.2011</v>
      </c>
      <c r="F162" s="77" t="n">
        <v>0.201394444444444</v>
      </c>
      <c r="G162" s="80" t="n">
        <v>0.172</v>
      </c>
      <c r="H162" s="76" t="n">
        <v>0.188211111111111</v>
      </c>
      <c r="J162" s="1" t="s">
        <v>40</v>
      </c>
      <c r="K162" s="1" t="n">
        <f aca="false">CHITEST([16]anchor_raw_information!$G$227:$J$237, MMULT(MMULT([16]anchor_raw_information!$G$227:$J$237,TRANSPOSE(IF(COLUMN([16]anchor_raw_information!$G$227:$J$237),TRUE()))),MMULT(TRANSPOSE(IF(ROW([16]anchor_raw_information!$G$227:$J$237),TRUE())),[16]anchor_raw_information!$G$227:$J$237)) / SUM([16]anchor_raw_information!$G$227:$J$237))</f>
        <v>0.185575201800211</v>
      </c>
    </row>
    <row r="163" customFormat="false" ht="12.8" hidden="false" customHeight="false" outlineLevel="0" collapsed="false">
      <c r="B163" s="52" t="s">
        <v>110</v>
      </c>
      <c r="C163" s="69" t="s">
        <v>108</v>
      </c>
      <c r="D163" s="71" t="n">
        <v>9</v>
      </c>
      <c r="E163" s="71" t="n">
        <v>3</v>
      </c>
      <c r="F163" s="71" t="n">
        <v>2</v>
      </c>
      <c r="G163" s="71" t="n">
        <v>1</v>
      </c>
      <c r="H163" s="73" t="n">
        <v>15</v>
      </c>
      <c r="J163" s="1" t="s">
        <v>89</v>
      </c>
      <c r="K163" s="1" t="n">
        <f aca="false">CHIINV(Anchors_raw_information!$K$162, Anchors_raw_information!$K$161)</f>
        <v>36.7156301514281</v>
      </c>
    </row>
    <row r="164" customFormat="false" ht="12.8" hidden="false" customHeight="false" outlineLevel="0" collapsed="false">
      <c r="B164" s="74"/>
      <c r="C164" s="75" t="s">
        <v>109</v>
      </c>
      <c r="D164" s="77" t="n">
        <v>0.181833333333333</v>
      </c>
      <c r="E164" s="77" t="n">
        <v>0.186266666666667</v>
      </c>
      <c r="F164" s="77" t="n">
        <v>0.18015</v>
      </c>
      <c r="G164" s="77" t="n">
        <v>0.1622</v>
      </c>
      <c r="H164" s="76" t="n">
        <v>0.181186666666667</v>
      </c>
      <c r="J164" s="1" t="s">
        <v>90</v>
      </c>
      <c r="K164" s="1" t="n">
        <f aca="false">CHIINV(Anchors_raw_information!$K$160, Anchors_raw_information!$K$161)</f>
        <v>43.7729718257422</v>
      </c>
    </row>
    <row r="165" customFormat="false" ht="12.8" hidden="false" customHeight="false" outlineLevel="0" collapsed="false">
      <c r="B165" s="52" t="s">
        <v>91</v>
      </c>
      <c r="C165" s="69" t="s">
        <v>108</v>
      </c>
      <c r="D165" s="70" t="n">
        <v>13</v>
      </c>
      <c r="E165" s="71" t="n">
        <v>12</v>
      </c>
      <c r="F165" s="71" t="n">
        <v>13</v>
      </c>
      <c r="G165" s="72" t="n">
        <v>14</v>
      </c>
      <c r="H165" s="73" t="n">
        <v>52</v>
      </c>
    </row>
    <row r="166" customFormat="false" ht="12.8" hidden="false" customHeight="false" outlineLevel="0" collapsed="false">
      <c r="B166" s="74"/>
      <c r="C166" s="75" t="s">
        <v>109</v>
      </c>
      <c r="D166" s="78" t="n">
        <v>0.168553846153846</v>
      </c>
      <c r="E166" s="77" t="n">
        <v>0.174966666666667</v>
      </c>
      <c r="F166" s="77" t="n">
        <v>0.170869230769231</v>
      </c>
      <c r="G166" s="80" t="n">
        <v>0.172521428571429</v>
      </c>
      <c r="H166" s="76" t="n">
        <v>0.171680769230769</v>
      </c>
    </row>
    <row r="167" customFormat="false" ht="12.8" hidden="false" customHeight="false" outlineLevel="0" collapsed="false">
      <c r="B167" s="52" t="s">
        <v>116</v>
      </c>
      <c r="C167" s="69" t="s">
        <v>108</v>
      </c>
      <c r="D167" s="71" t="n">
        <v>2</v>
      </c>
      <c r="E167" s="71" t="n">
        <v>3</v>
      </c>
      <c r="F167" s="71" t="n">
        <v>2</v>
      </c>
      <c r="G167" s="71" t="n">
        <v>6</v>
      </c>
      <c r="H167" s="73" t="n">
        <v>13</v>
      </c>
      <c r="J167" s="107" t="s">
        <v>125</v>
      </c>
    </row>
    <row r="168" customFormat="false" ht="12.8" hidden="false" customHeight="false" outlineLevel="0" collapsed="false">
      <c r="B168" s="74"/>
      <c r="C168" s="75" t="s">
        <v>109</v>
      </c>
      <c r="D168" s="77" t="n">
        <v>0.1571</v>
      </c>
      <c r="E168" s="77" t="n">
        <v>0.181166666666667</v>
      </c>
      <c r="F168" s="77" t="n">
        <v>0.16175</v>
      </c>
      <c r="G168" s="77" t="n">
        <v>0.17745</v>
      </c>
      <c r="H168" s="76" t="n">
        <v>0.172761538461538</v>
      </c>
      <c r="J168" s="1" t="s">
        <v>25</v>
      </c>
      <c r="K168" s="1" t="n">
        <v>0.05</v>
      </c>
    </row>
    <row r="169" customFormat="false" ht="12.8" hidden="false" customHeight="false" outlineLevel="0" collapsed="false">
      <c r="B169" s="52" t="s">
        <v>93</v>
      </c>
      <c r="C169" s="69" t="s">
        <v>108</v>
      </c>
      <c r="D169" s="70" t="n">
        <v>3</v>
      </c>
      <c r="E169" s="71" t="n">
        <v>5</v>
      </c>
      <c r="F169" s="71" t="n">
        <v>5</v>
      </c>
      <c r="G169" s="72" t="n">
        <v>2</v>
      </c>
      <c r="H169" s="73" t="n">
        <v>15</v>
      </c>
      <c r="J169" s="1" t="s">
        <v>37</v>
      </c>
      <c r="K169" s="1" t="n">
        <f aca="false">(COLUMNS([16]anchor_raw_information!$G$253:$J$261) - 1) * (ROWS([16]anchor_raw_information!$G$253:$J$261) - 1)</f>
        <v>24</v>
      </c>
    </row>
    <row r="170" customFormat="false" ht="12.8" hidden="false" customHeight="false" outlineLevel="0" collapsed="false">
      <c r="B170" s="74"/>
      <c r="C170" s="75" t="s">
        <v>109</v>
      </c>
      <c r="D170" s="78" t="n">
        <v>0.1554</v>
      </c>
      <c r="E170" s="77" t="n">
        <v>0.16666</v>
      </c>
      <c r="F170" s="77" t="n">
        <v>0.16242</v>
      </c>
      <c r="G170" s="80" t="n">
        <v>0.1685</v>
      </c>
      <c r="H170" s="76" t="n">
        <v>0.16324</v>
      </c>
      <c r="J170" s="1" t="s">
        <v>40</v>
      </c>
      <c r="K170" s="1" t="n">
        <f aca="false">CHITEST([16]anchor_raw_information!$G$253:$J$261, MMULT(MMULT([16]anchor_raw_information!$G$253:$J$261,TRANSPOSE(IF(COLUMN([16]anchor_raw_information!$G$253:$J$261),TRUE()))),MMULT(TRANSPOSE(IF(ROW([16]anchor_raw_information!$G$253:$J$261),TRUE())),[16]anchor_raw_information!$G$253:$J$261)) / SUM([16]anchor_raw_information!$G$253:$J$261))</f>
        <v>0.0756295928464179</v>
      </c>
    </row>
    <row r="171" customFormat="false" ht="12.8" hidden="false" customHeight="false" outlineLevel="0" collapsed="false">
      <c r="B171" s="52" t="s">
        <v>94</v>
      </c>
      <c r="C171" s="69" t="s">
        <v>108</v>
      </c>
      <c r="D171" s="71" t="n">
        <v>3</v>
      </c>
      <c r="E171" s="71" t="n">
        <v>11</v>
      </c>
      <c r="F171" s="71" t="n">
        <v>10</v>
      </c>
      <c r="G171" s="71" t="n">
        <v>10</v>
      </c>
      <c r="H171" s="73" t="n">
        <v>34</v>
      </c>
      <c r="J171" s="1" t="s">
        <v>89</v>
      </c>
      <c r="K171" s="1" t="n">
        <f aca="false">CHIINV(Anchors_raw_information!$K$170, Anchors_raw_information!$K$169)</f>
        <v>34.5331605444943</v>
      </c>
    </row>
    <row r="172" customFormat="false" ht="12.8" hidden="false" customHeight="false" outlineLevel="0" collapsed="false">
      <c r="B172" s="74"/>
      <c r="C172" s="75" t="s">
        <v>109</v>
      </c>
      <c r="D172" s="77" t="n">
        <v>0.161133333333333</v>
      </c>
      <c r="E172" s="77" t="n">
        <v>0.174172727272727</v>
      </c>
      <c r="F172" s="77" t="n">
        <v>0.17362</v>
      </c>
      <c r="G172" s="77" t="n">
        <v>0.166</v>
      </c>
      <c r="H172" s="76" t="n">
        <v>0.170455882352941</v>
      </c>
      <c r="J172" s="1" t="s">
        <v>90</v>
      </c>
      <c r="K172" s="1" t="n">
        <f aca="false">CHIINV(Anchors_raw_information!$K$168, Anchors_raw_information!$K$169)</f>
        <v>36.4150285018073</v>
      </c>
    </row>
    <row r="173" customFormat="false" ht="12.8" hidden="false" customHeight="false" outlineLevel="0" collapsed="false">
      <c r="B173" s="52" t="s">
        <v>96</v>
      </c>
      <c r="C173" s="69" t="s">
        <v>108</v>
      </c>
      <c r="D173" s="70" t="n">
        <v>22</v>
      </c>
      <c r="E173" s="71" t="n">
        <v>20</v>
      </c>
      <c r="F173" s="71" t="n">
        <v>19</v>
      </c>
      <c r="G173" s="72" t="n">
        <v>21</v>
      </c>
      <c r="H173" s="73" t="n">
        <v>82</v>
      </c>
    </row>
    <row r="174" customFormat="false" ht="12.8" hidden="false" customHeight="false" outlineLevel="0" collapsed="false">
      <c r="B174" s="74"/>
      <c r="C174" s="75" t="s">
        <v>109</v>
      </c>
      <c r="D174" s="78" t="n">
        <v>0.251577272727273</v>
      </c>
      <c r="E174" s="77" t="n">
        <v>0.26115</v>
      </c>
      <c r="F174" s="77" t="n">
        <v>0.213305263157895</v>
      </c>
      <c r="G174" s="80" t="n">
        <v>0.223166666666667</v>
      </c>
      <c r="H174" s="76" t="n">
        <v>0.237768292682927</v>
      </c>
    </row>
    <row r="175" customFormat="false" ht="12.8" hidden="false" customHeight="false" outlineLevel="0" collapsed="false">
      <c r="B175" s="52" t="s">
        <v>98</v>
      </c>
      <c r="C175" s="69" t="s">
        <v>108</v>
      </c>
      <c r="D175" s="71" t="n">
        <v>1</v>
      </c>
      <c r="E175" s="71" t="n">
        <v>1</v>
      </c>
      <c r="F175" s="31"/>
      <c r="G175" s="71" t="n">
        <v>2</v>
      </c>
      <c r="H175" s="73" t="n">
        <v>4</v>
      </c>
    </row>
    <row r="176" customFormat="false" ht="12.8" hidden="false" customHeight="false" outlineLevel="0" collapsed="false">
      <c r="B176" s="74"/>
      <c r="C176" s="75" t="s">
        <v>109</v>
      </c>
      <c r="D176" s="77" t="n">
        <v>0.1692</v>
      </c>
      <c r="E176" s="77" t="n">
        <v>0.9</v>
      </c>
      <c r="F176" s="42"/>
      <c r="G176" s="77" t="n">
        <v>0.18195</v>
      </c>
      <c r="H176" s="76" t="n">
        <v>0.358275</v>
      </c>
    </row>
    <row r="177" customFormat="false" ht="12.8" hidden="false" customHeight="false" outlineLevel="0" collapsed="false">
      <c r="B177" s="52" t="s">
        <v>99</v>
      </c>
      <c r="C177" s="69" t="s">
        <v>108</v>
      </c>
      <c r="D177" s="70" t="n">
        <v>19</v>
      </c>
      <c r="E177" s="71" t="n">
        <v>14</v>
      </c>
      <c r="F177" s="71" t="n">
        <v>17</v>
      </c>
      <c r="G177" s="72" t="n">
        <v>17</v>
      </c>
      <c r="H177" s="73" t="n">
        <v>67</v>
      </c>
    </row>
    <row r="178" customFormat="false" ht="12.8" hidden="false" customHeight="false" outlineLevel="0" collapsed="false">
      <c r="B178" s="74"/>
      <c r="C178" s="75" t="s">
        <v>109</v>
      </c>
      <c r="D178" s="78" t="n">
        <v>0.224163157894737</v>
      </c>
      <c r="E178" s="77" t="n">
        <v>0.187992857142857</v>
      </c>
      <c r="F178" s="77" t="n">
        <v>0.219205882352941</v>
      </c>
      <c r="G178" s="80" t="n">
        <v>0.207858823529412</v>
      </c>
      <c r="H178" s="76" t="n">
        <v>0.211210447761194</v>
      </c>
    </row>
    <row r="179" customFormat="false" ht="12.8" hidden="false" customHeight="false" outlineLevel="0" collapsed="false">
      <c r="B179" s="52" t="s">
        <v>100</v>
      </c>
      <c r="C179" s="69" t="s">
        <v>108</v>
      </c>
      <c r="D179" s="71" t="n">
        <v>14</v>
      </c>
      <c r="E179" s="71" t="n">
        <v>6</v>
      </c>
      <c r="F179" s="71" t="n">
        <v>4</v>
      </c>
      <c r="G179" s="71" t="n">
        <v>18</v>
      </c>
      <c r="H179" s="73" t="n">
        <v>42</v>
      </c>
    </row>
    <row r="180" customFormat="false" ht="12.8" hidden="false" customHeight="false" outlineLevel="0" collapsed="false">
      <c r="B180" s="74"/>
      <c r="C180" s="75" t="s">
        <v>109</v>
      </c>
      <c r="D180" s="77" t="n">
        <v>0.213592857142857</v>
      </c>
      <c r="E180" s="77" t="n">
        <v>0.2206</v>
      </c>
      <c r="F180" s="77" t="n">
        <v>0.189625</v>
      </c>
      <c r="G180" s="77" t="n">
        <v>0.201022222222222</v>
      </c>
      <c r="H180" s="76" t="n">
        <v>0.20692380952381</v>
      </c>
    </row>
    <row r="181" customFormat="false" ht="12.8" hidden="false" customHeight="false" outlineLevel="0" collapsed="false">
      <c r="B181" s="52" t="s">
        <v>101</v>
      </c>
      <c r="C181" s="69" t="s">
        <v>108</v>
      </c>
      <c r="D181" s="70" t="n">
        <v>25</v>
      </c>
      <c r="E181" s="71" t="n">
        <v>25</v>
      </c>
      <c r="F181" s="71" t="n">
        <v>25</v>
      </c>
      <c r="G181" s="72" t="n">
        <v>25</v>
      </c>
      <c r="H181" s="73" t="n">
        <v>100</v>
      </c>
    </row>
    <row r="182" customFormat="false" ht="12.8" hidden="false" customHeight="false" outlineLevel="0" collapsed="false">
      <c r="B182" s="74"/>
      <c r="C182" s="75" t="s">
        <v>109</v>
      </c>
      <c r="D182" s="78" t="n">
        <v>0.118052</v>
      </c>
      <c r="E182" s="77" t="n">
        <v>0.110248</v>
      </c>
      <c r="F182" s="77" t="n">
        <v>0.11536</v>
      </c>
      <c r="G182" s="80" t="n">
        <v>0.10954</v>
      </c>
      <c r="H182" s="76" t="n">
        <v>0.1133</v>
      </c>
    </row>
    <row r="183" customFormat="false" ht="12.8" hidden="false" customHeight="false" outlineLevel="0" collapsed="false">
      <c r="B183" s="81" t="s">
        <v>112</v>
      </c>
      <c r="C183" s="82"/>
      <c r="D183" s="83" t="n">
        <v>124</v>
      </c>
      <c r="E183" s="83" t="n">
        <v>113</v>
      </c>
      <c r="F183" s="83" t="n">
        <v>115</v>
      </c>
      <c r="G183" s="83" t="n">
        <v>126</v>
      </c>
      <c r="H183" s="84" t="n">
        <v>478</v>
      </c>
    </row>
    <row r="184" customFormat="false" ht="12.8" hidden="false" customHeight="false" outlineLevel="0" collapsed="false">
      <c r="B184" s="85" t="s">
        <v>113</v>
      </c>
      <c r="C184" s="86"/>
      <c r="D184" s="87" t="n">
        <v>0.187097580645161</v>
      </c>
      <c r="E184" s="88" t="n">
        <v>0.189381415929204</v>
      </c>
      <c r="F184" s="88" t="n">
        <v>0.17826347826087</v>
      </c>
      <c r="G184" s="89" t="n">
        <v>0.176984920634921</v>
      </c>
      <c r="H184" s="90" t="n">
        <v>0.182846443514644</v>
      </c>
    </row>
    <row r="188" customFormat="false" ht="12.8" hidden="false" customHeight="false" outlineLevel="0" collapsed="false">
      <c r="A188" s="17" t="s">
        <v>126</v>
      </c>
    </row>
    <row r="189" customFormat="false" ht="12.8" hidden="false" customHeight="false" outlineLevel="0" collapsed="false">
      <c r="B189" s="17" t="s">
        <v>126</v>
      </c>
      <c r="C189" s="64"/>
      <c r="D189" s="20" t="s">
        <v>105</v>
      </c>
      <c r="E189" s="22"/>
      <c r="F189" s="22"/>
      <c r="G189" s="22"/>
      <c r="H189" s="23"/>
      <c r="J189" s="107" t="s">
        <v>78</v>
      </c>
    </row>
    <row r="190" customFormat="false" ht="12.8" hidden="false" customHeight="false" outlineLevel="0" collapsed="false">
      <c r="B190" s="25" t="s">
        <v>106</v>
      </c>
      <c r="C190" s="66" t="s">
        <v>80</v>
      </c>
      <c r="D190" s="61" t="s">
        <v>81</v>
      </c>
      <c r="E190" s="62" t="s">
        <v>82</v>
      </c>
      <c r="F190" s="62" t="s">
        <v>83</v>
      </c>
      <c r="G190" s="62" t="s">
        <v>84</v>
      </c>
      <c r="H190" s="28" t="s">
        <v>56</v>
      </c>
      <c r="J190" s="1" t="s">
        <v>25</v>
      </c>
      <c r="K190" s="1" t="n">
        <v>0.05</v>
      </c>
    </row>
    <row r="191" customFormat="false" ht="12.8" hidden="false" customHeight="false" outlineLevel="0" collapsed="false">
      <c r="B191" s="52" t="s">
        <v>85</v>
      </c>
      <c r="C191" s="69" t="s">
        <v>108</v>
      </c>
      <c r="D191" s="70" t="n">
        <v>11</v>
      </c>
      <c r="E191" s="71" t="n">
        <v>15</v>
      </c>
      <c r="F191" s="71" t="n">
        <v>22</v>
      </c>
      <c r="G191" s="72" t="n">
        <v>12</v>
      </c>
      <c r="H191" s="73" t="n">
        <v>60</v>
      </c>
      <c r="J191" s="1" t="s">
        <v>37</v>
      </c>
      <c r="K191" s="1" t="n">
        <f aca="false">(COLUMNS([17]anchor_raw_information!$G$229:$J$240) - 1) * (ROWS([17]anchor_raw_information!$G$229:$J$240) - 1)</f>
        <v>33</v>
      </c>
    </row>
    <row r="192" customFormat="false" ht="12.8" hidden="false" customHeight="false" outlineLevel="0" collapsed="false">
      <c r="B192" s="74"/>
      <c r="C192" s="75" t="s">
        <v>109</v>
      </c>
      <c r="D192" s="78" t="n">
        <v>0.187118181818182</v>
      </c>
      <c r="E192" s="77" t="n">
        <v>0.214606666666667</v>
      </c>
      <c r="F192" s="77" t="n">
        <v>0.194395454545455</v>
      </c>
      <c r="G192" s="80" t="n">
        <v>0.168275</v>
      </c>
      <c r="H192" s="76" t="n">
        <v>0.19289</v>
      </c>
      <c r="J192" s="1" t="s">
        <v>40</v>
      </c>
      <c r="K192" s="1" t="n">
        <f aca="false">CHITEST([17]anchor_raw_information!$G$229:$J$240, MMULT(MMULT([17]anchor_raw_information!$G$229:$J$240,TRANSPOSE(IF(COLUMN([17]anchor_raw_information!$G$229:$J$240),TRUE()))),MMULT(TRANSPOSE(IF(ROW([17]anchor_raw_information!$G$229:$J$240),TRUE())),[17]anchor_raw_information!$G$229:$J$240)) / SUM([17]anchor_raw_information!$G$229:$J$240))</f>
        <v>0.0112141085111653</v>
      </c>
    </row>
    <row r="193" customFormat="false" ht="12.8" hidden="false" customHeight="false" outlineLevel="0" collapsed="false">
      <c r="B193" s="52" t="s">
        <v>110</v>
      </c>
      <c r="C193" s="69" t="s">
        <v>108</v>
      </c>
      <c r="D193" s="71" t="n">
        <v>4</v>
      </c>
      <c r="E193" s="71" t="n">
        <v>4</v>
      </c>
      <c r="F193" s="71" t="n">
        <v>7</v>
      </c>
      <c r="G193" s="71" t="n">
        <v>1</v>
      </c>
      <c r="H193" s="73" t="n">
        <v>16</v>
      </c>
      <c r="J193" s="1" t="s">
        <v>89</v>
      </c>
      <c r="K193" s="1" t="n">
        <f aca="false">CHIINV(Anchors_raw_information!$K$192, Anchors_raw_information!$K$191)</f>
        <v>54.2863064969934</v>
      </c>
    </row>
    <row r="194" customFormat="false" ht="12.8" hidden="false" customHeight="false" outlineLevel="0" collapsed="false">
      <c r="B194" s="74"/>
      <c r="C194" s="75" t="s">
        <v>109</v>
      </c>
      <c r="D194" s="77" t="n">
        <v>0.169775</v>
      </c>
      <c r="E194" s="77" t="n">
        <v>0.192225</v>
      </c>
      <c r="F194" s="77" t="n">
        <v>0.165971428571429</v>
      </c>
      <c r="G194" s="77" t="n">
        <v>0.1378</v>
      </c>
      <c r="H194" s="76" t="n">
        <v>0.171725</v>
      </c>
      <c r="J194" s="1" t="s">
        <v>90</v>
      </c>
      <c r="K194" s="1" t="n">
        <f aca="false">CHIINV(Anchors_raw_information!$K$190, Anchors_raw_information!$K$191)</f>
        <v>47.3998839190809</v>
      </c>
    </row>
    <row r="195" customFormat="false" ht="12.8" hidden="false" customHeight="false" outlineLevel="0" collapsed="false">
      <c r="B195" s="52" t="s">
        <v>88</v>
      </c>
      <c r="C195" s="69" t="s">
        <v>108</v>
      </c>
      <c r="D195" s="70" t="n">
        <v>1</v>
      </c>
      <c r="E195" s="71" t="n">
        <v>1</v>
      </c>
      <c r="F195" s="71" t="n">
        <v>1</v>
      </c>
      <c r="G195" s="72" t="n">
        <v>1</v>
      </c>
      <c r="H195" s="73" t="n">
        <v>4</v>
      </c>
    </row>
    <row r="196" customFormat="false" ht="12.8" hidden="false" customHeight="false" outlineLevel="0" collapsed="false">
      <c r="B196" s="74"/>
      <c r="C196" s="75" t="s">
        <v>109</v>
      </c>
      <c r="D196" s="78" t="n">
        <v>0.2187</v>
      </c>
      <c r="E196" s="77" t="n">
        <v>0.2967</v>
      </c>
      <c r="F196" s="77" t="n">
        <v>0.1809</v>
      </c>
      <c r="G196" s="80" t="n">
        <v>0.1699</v>
      </c>
      <c r="H196" s="76" t="n">
        <v>0.21655</v>
      </c>
    </row>
    <row r="197" customFormat="false" ht="12.8" hidden="false" customHeight="false" outlineLevel="0" collapsed="false">
      <c r="B197" s="52" t="s">
        <v>91</v>
      </c>
      <c r="C197" s="69" t="s">
        <v>108</v>
      </c>
      <c r="D197" s="71" t="n">
        <v>8</v>
      </c>
      <c r="E197" s="71" t="n">
        <v>10</v>
      </c>
      <c r="F197" s="71" t="n">
        <v>15</v>
      </c>
      <c r="G197" s="71" t="n">
        <v>15</v>
      </c>
      <c r="H197" s="73" t="n">
        <v>48</v>
      </c>
      <c r="J197" s="107" t="s">
        <v>127</v>
      </c>
    </row>
    <row r="198" customFormat="false" ht="12.8" hidden="false" customHeight="false" outlineLevel="0" collapsed="false">
      <c r="B198" s="74"/>
      <c r="C198" s="75" t="s">
        <v>109</v>
      </c>
      <c r="D198" s="77" t="n">
        <v>0.1663</v>
      </c>
      <c r="E198" s="77" t="n">
        <v>0.17012</v>
      </c>
      <c r="F198" s="77" t="n">
        <v>0.174733333333333</v>
      </c>
      <c r="G198" s="77" t="n">
        <v>0.183506666666667</v>
      </c>
      <c r="H198" s="76" t="n">
        <v>0.175108333333333</v>
      </c>
      <c r="J198" s="1" t="s">
        <v>25</v>
      </c>
      <c r="K198" s="1" t="n">
        <v>0.05</v>
      </c>
    </row>
    <row r="199" customFormat="false" ht="12.8" hidden="false" customHeight="false" outlineLevel="0" collapsed="false">
      <c r="B199" s="52" t="s">
        <v>116</v>
      </c>
      <c r="C199" s="69" t="s">
        <v>108</v>
      </c>
      <c r="D199" s="70" t="n">
        <v>1</v>
      </c>
      <c r="E199" s="71" t="n">
        <v>4</v>
      </c>
      <c r="F199" s="71" t="n">
        <v>4</v>
      </c>
      <c r="G199" s="72" t="n">
        <v>1</v>
      </c>
      <c r="H199" s="73" t="n">
        <v>10</v>
      </c>
      <c r="J199" s="1" t="s">
        <v>37</v>
      </c>
      <c r="K199" s="1" t="n">
        <f aca="false">(COLUMNS([17]anchor_raw_information!$G$258:$J$267) - 1) * (ROWS([17]anchor_raw_information!$G$258:$J$267) - 1)</f>
        <v>27</v>
      </c>
    </row>
    <row r="200" customFormat="false" ht="12.8" hidden="false" customHeight="false" outlineLevel="0" collapsed="false">
      <c r="B200" s="74"/>
      <c r="C200" s="75" t="s">
        <v>109</v>
      </c>
      <c r="D200" s="78" t="n">
        <v>0.1574</v>
      </c>
      <c r="E200" s="77" t="n">
        <v>0.21205</v>
      </c>
      <c r="F200" s="77" t="n">
        <v>0.17035</v>
      </c>
      <c r="G200" s="80" t="n">
        <v>0.1768</v>
      </c>
      <c r="H200" s="76" t="n">
        <v>0.18638</v>
      </c>
      <c r="J200" s="1" t="s">
        <v>40</v>
      </c>
      <c r="K200" s="1" t="n">
        <f aca="false">CHITEST([17]anchor_raw_information!$G$258:$J$267, MMULT(MMULT([17]anchor_raw_information!$G$258:$J$267,TRANSPOSE(IF(COLUMN([17]anchor_raw_information!$G$258:$J$267),TRUE()))),MMULT(TRANSPOSE(IF(ROW([17]anchor_raw_information!$G$258:$J$267),TRUE())),[17]anchor_raw_information!$G$258:$J$267)) / SUM([17]anchor_raw_information!$G$258:$J$267))</f>
        <v>0.00145765081566472</v>
      </c>
    </row>
    <row r="201" customFormat="false" ht="12.8" hidden="false" customHeight="false" outlineLevel="0" collapsed="false">
      <c r="B201" s="52" t="s">
        <v>93</v>
      </c>
      <c r="C201" s="69" t="s">
        <v>108</v>
      </c>
      <c r="D201" s="71" t="n">
        <v>18</v>
      </c>
      <c r="E201" s="71" t="n">
        <v>21</v>
      </c>
      <c r="F201" s="71" t="n">
        <v>22</v>
      </c>
      <c r="G201" s="71" t="n">
        <v>23</v>
      </c>
      <c r="H201" s="73" t="n">
        <v>84</v>
      </c>
      <c r="J201" s="1" t="s">
        <v>89</v>
      </c>
      <c r="K201" s="1" t="n">
        <f aca="false">CHIINV(Anchors_raw_information!$K$200, Anchors_raw_information!$K$199)</f>
        <v>54.1519136711424</v>
      </c>
    </row>
    <row r="202" customFormat="false" ht="12.8" hidden="false" customHeight="false" outlineLevel="0" collapsed="false">
      <c r="B202" s="74"/>
      <c r="C202" s="75" t="s">
        <v>109</v>
      </c>
      <c r="D202" s="77" t="n">
        <v>0.185483333333333</v>
      </c>
      <c r="E202" s="77" t="n">
        <v>0.22682380952381</v>
      </c>
      <c r="F202" s="77" t="n">
        <v>0.185177272727273</v>
      </c>
      <c r="G202" s="77" t="n">
        <v>0.229260869565217</v>
      </c>
      <c r="H202" s="76" t="n">
        <v>0.207725</v>
      </c>
      <c r="J202" s="1" t="s">
        <v>90</v>
      </c>
      <c r="K202" s="1" t="n">
        <f aca="false">CHIINV(Anchors_raw_information!$K$198, Anchors_raw_information!$K$199)</f>
        <v>40.1132720694136</v>
      </c>
    </row>
    <row r="203" customFormat="false" ht="12.8" hidden="false" customHeight="false" outlineLevel="0" collapsed="false">
      <c r="B203" s="52" t="s">
        <v>94</v>
      </c>
      <c r="C203" s="69" t="s">
        <v>108</v>
      </c>
      <c r="D203" s="70" t="n">
        <v>2</v>
      </c>
      <c r="E203" s="71" t="n">
        <v>10</v>
      </c>
      <c r="F203" s="71" t="n">
        <v>6</v>
      </c>
      <c r="G203" s="72" t="n">
        <v>2</v>
      </c>
      <c r="H203" s="73" t="n">
        <v>20</v>
      </c>
    </row>
    <row r="204" customFormat="false" ht="12.8" hidden="false" customHeight="false" outlineLevel="0" collapsed="false">
      <c r="B204" s="74"/>
      <c r="C204" s="75" t="s">
        <v>109</v>
      </c>
      <c r="D204" s="78" t="n">
        <v>0.15055</v>
      </c>
      <c r="E204" s="77" t="n">
        <v>0.15195</v>
      </c>
      <c r="F204" s="77" t="n">
        <v>0.1619</v>
      </c>
      <c r="G204" s="80" t="n">
        <v>0.14795</v>
      </c>
      <c r="H204" s="76" t="n">
        <v>0.154395</v>
      </c>
    </row>
    <row r="205" customFormat="false" ht="12.8" hidden="false" customHeight="false" outlineLevel="0" collapsed="false">
      <c r="B205" s="52" t="s">
        <v>96</v>
      </c>
      <c r="C205" s="69" t="s">
        <v>108</v>
      </c>
      <c r="D205" s="71" t="n">
        <v>24</v>
      </c>
      <c r="E205" s="71" t="n">
        <v>17</v>
      </c>
      <c r="F205" s="71" t="n">
        <v>20</v>
      </c>
      <c r="G205" s="71" t="n">
        <v>23</v>
      </c>
      <c r="H205" s="73" t="n">
        <v>84</v>
      </c>
    </row>
    <row r="206" customFormat="false" ht="12.8" hidden="false" customHeight="false" outlineLevel="0" collapsed="false">
      <c r="B206" s="74"/>
      <c r="C206" s="75" t="s">
        <v>109</v>
      </c>
      <c r="D206" s="77" t="n">
        <v>0.265858333333333</v>
      </c>
      <c r="E206" s="77" t="n">
        <v>0.220541176470588</v>
      </c>
      <c r="F206" s="77" t="n">
        <v>0.22238</v>
      </c>
      <c r="G206" s="77" t="n">
        <v>0.208995652173913</v>
      </c>
      <c r="H206" s="76" t="n">
        <v>0.230765476190476</v>
      </c>
    </row>
    <row r="207" customFormat="false" ht="12.8" hidden="false" customHeight="false" outlineLevel="0" collapsed="false">
      <c r="B207" s="52" t="s">
        <v>98</v>
      </c>
      <c r="C207" s="69" t="s">
        <v>108</v>
      </c>
      <c r="D207" s="70" t="n">
        <v>5</v>
      </c>
      <c r="E207" s="71" t="n">
        <v>1</v>
      </c>
      <c r="F207" s="71" t="n">
        <v>1</v>
      </c>
      <c r="G207" s="72" t="n">
        <v>6</v>
      </c>
      <c r="H207" s="73" t="n">
        <v>13</v>
      </c>
    </row>
    <row r="208" customFormat="false" ht="12.8" hidden="false" customHeight="false" outlineLevel="0" collapsed="false">
      <c r="B208" s="74"/>
      <c r="C208" s="75" t="s">
        <v>109</v>
      </c>
      <c r="D208" s="78" t="n">
        <v>0.16156</v>
      </c>
      <c r="E208" s="77" t="n">
        <v>0.1766</v>
      </c>
      <c r="F208" s="77" t="n">
        <v>0.1418</v>
      </c>
      <c r="G208" s="80" t="n">
        <v>0.15775</v>
      </c>
      <c r="H208" s="76" t="n">
        <v>0.159438461538462</v>
      </c>
    </row>
    <row r="209" customFormat="false" ht="12.8" hidden="false" customHeight="false" outlineLevel="0" collapsed="false">
      <c r="B209" s="52" t="s">
        <v>99</v>
      </c>
      <c r="C209" s="69" t="s">
        <v>108</v>
      </c>
      <c r="D209" s="71" t="n">
        <v>15</v>
      </c>
      <c r="E209" s="71" t="n">
        <v>2</v>
      </c>
      <c r="F209" s="71" t="n">
        <v>2</v>
      </c>
      <c r="G209" s="71" t="n">
        <v>4</v>
      </c>
      <c r="H209" s="73" t="n">
        <v>23</v>
      </c>
    </row>
    <row r="210" customFormat="false" ht="12.8" hidden="false" customHeight="false" outlineLevel="0" collapsed="false">
      <c r="B210" s="74"/>
      <c r="C210" s="75" t="s">
        <v>109</v>
      </c>
      <c r="D210" s="77" t="n">
        <v>0.188106666666667</v>
      </c>
      <c r="E210" s="77" t="n">
        <v>0.2367</v>
      </c>
      <c r="F210" s="77" t="n">
        <v>0.1992</v>
      </c>
      <c r="G210" s="77" t="n">
        <v>0.2373</v>
      </c>
      <c r="H210" s="76" t="n">
        <v>0.201852173913043</v>
      </c>
    </row>
    <row r="211" customFormat="false" ht="12.8" hidden="false" customHeight="false" outlineLevel="0" collapsed="false">
      <c r="B211" s="52" t="s">
        <v>100</v>
      </c>
      <c r="C211" s="69" t="s">
        <v>108</v>
      </c>
      <c r="D211" s="70" t="n">
        <v>19</v>
      </c>
      <c r="E211" s="71" t="n">
        <v>17</v>
      </c>
      <c r="F211" s="71" t="n">
        <v>16</v>
      </c>
      <c r="G211" s="72" t="n">
        <v>22</v>
      </c>
      <c r="H211" s="73" t="n">
        <v>74</v>
      </c>
    </row>
    <row r="212" customFormat="false" ht="12.8" hidden="false" customHeight="false" outlineLevel="0" collapsed="false">
      <c r="B212" s="74"/>
      <c r="C212" s="75" t="s">
        <v>109</v>
      </c>
      <c r="D212" s="78" t="n">
        <v>0.192105263157895</v>
      </c>
      <c r="E212" s="77" t="n">
        <v>0.227105882352941</v>
      </c>
      <c r="F212" s="77" t="n">
        <v>0.18240625</v>
      </c>
      <c r="G212" s="80" t="n">
        <v>0.204877272727273</v>
      </c>
      <c r="H212" s="76" t="n">
        <v>0.201845945945946</v>
      </c>
    </row>
    <row r="213" customFormat="false" ht="12.8" hidden="false" customHeight="false" outlineLevel="0" collapsed="false">
      <c r="B213" s="52" t="s">
        <v>101</v>
      </c>
      <c r="C213" s="69" t="s">
        <v>108</v>
      </c>
      <c r="D213" s="71" t="n">
        <v>25</v>
      </c>
      <c r="E213" s="71" t="n">
        <v>25</v>
      </c>
      <c r="F213" s="71" t="n">
        <v>25</v>
      </c>
      <c r="G213" s="71" t="n">
        <v>25</v>
      </c>
      <c r="H213" s="73" t="n">
        <v>100</v>
      </c>
    </row>
    <row r="214" customFormat="false" ht="12.8" hidden="false" customHeight="false" outlineLevel="0" collapsed="false">
      <c r="B214" s="74"/>
      <c r="C214" s="75" t="s">
        <v>109</v>
      </c>
      <c r="D214" s="77" t="n">
        <v>0.130268</v>
      </c>
      <c r="E214" s="77" t="n">
        <v>0.144912</v>
      </c>
      <c r="F214" s="77" t="n">
        <v>0.125052</v>
      </c>
      <c r="G214" s="77" t="n">
        <v>0.118588</v>
      </c>
      <c r="H214" s="76" t="n">
        <v>0.129705</v>
      </c>
    </row>
    <row r="215" customFormat="false" ht="12.8" hidden="false" customHeight="false" outlineLevel="0" collapsed="false">
      <c r="B215" s="81" t="s">
        <v>112</v>
      </c>
      <c r="C215" s="82"/>
      <c r="D215" s="102" t="n">
        <v>133</v>
      </c>
      <c r="E215" s="103" t="n">
        <v>127</v>
      </c>
      <c r="F215" s="103" t="n">
        <v>141</v>
      </c>
      <c r="G215" s="104" t="n">
        <v>135</v>
      </c>
      <c r="H215" s="84" t="n">
        <v>536</v>
      </c>
    </row>
    <row r="216" customFormat="false" ht="12.8" hidden="false" customHeight="false" outlineLevel="0" collapsed="false">
      <c r="B216" s="85" t="s">
        <v>113</v>
      </c>
      <c r="C216" s="86"/>
      <c r="D216" s="87" t="n">
        <v>0.187972932330827</v>
      </c>
      <c r="E216" s="88" t="n">
        <v>0.196848031496063</v>
      </c>
      <c r="F216" s="88" t="n">
        <v>0.177302836879433</v>
      </c>
      <c r="G216" s="89" t="n">
        <v>0.185184444444445</v>
      </c>
      <c r="H216" s="90" t="n">
        <v>0.186566604477612</v>
      </c>
    </row>
    <row r="219" customFormat="false" ht="12.8" hidden="false" customHeight="false" outlineLevel="0" collapsed="false">
      <c r="A219" s="17" t="s">
        <v>128</v>
      </c>
    </row>
    <row r="220" customFormat="false" ht="12.8" hidden="false" customHeight="false" outlineLevel="0" collapsed="false">
      <c r="B220" s="63"/>
      <c r="C220" s="64"/>
      <c r="D220" s="20" t="s">
        <v>105</v>
      </c>
      <c r="E220" s="22"/>
      <c r="F220" s="22"/>
      <c r="G220" s="22"/>
      <c r="H220" s="23"/>
      <c r="J220" s="107" t="s">
        <v>78</v>
      </c>
    </row>
    <row r="221" customFormat="false" ht="12.8" hidden="false" customHeight="false" outlineLevel="0" collapsed="false">
      <c r="B221" s="25" t="s">
        <v>106</v>
      </c>
      <c r="C221" s="66" t="s">
        <v>80</v>
      </c>
      <c r="D221" s="61" t="s">
        <v>81</v>
      </c>
      <c r="E221" s="62" t="s">
        <v>82</v>
      </c>
      <c r="F221" s="62" t="s">
        <v>83</v>
      </c>
      <c r="G221" s="62" t="s">
        <v>84</v>
      </c>
      <c r="H221" s="28" t="s">
        <v>56</v>
      </c>
      <c r="J221" s="1" t="s">
        <v>25</v>
      </c>
      <c r="K221" s="1" t="n">
        <v>0.05</v>
      </c>
    </row>
    <row r="222" customFormat="false" ht="12.8" hidden="false" customHeight="false" outlineLevel="0" collapsed="false">
      <c r="B222" s="52" t="s">
        <v>85</v>
      </c>
      <c r="C222" s="69" t="s">
        <v>108</v>
      </c>
      <c r="D222" s="70" t="n">
        <v>24</v>
      </c>
      <c r="E222" s="71" t="n">
        <v>25</v>
      </c>
      <c r="F222" s="71" t="n">
        <v>25</v>
      </c>
      <c r="G222" s="72" t="n">
        <v>22</v>
      </c>
      <c r="H222" s="73" t="n">
        <v>96</v>
      </c>
      <c r="J222" s="1" t="s">
        <v>37</v>
      </c>
      <c r="K222" s="1" t="n">
        <f aca="false">(COLUMNS([18]anchor_raw_information!$G$232:$J$243) - 1) * (ROWS([18]anchor_raw_information!$G$232:$J$243) - 1)</f>
        <v>33</v>
      </c>
    </row>
    <row r="223" customFormat="false" ht="12.8" hidden="false" customHeight="false" outlineLevel="0" collapsed="false">
      <c r="B223" s="74"/>
      <c r="C223" s="75" t="s">
        <v>109</v>
      </c>
      <c r="D223" s="78" t="n">
        <v>0.249258333333333</v>
      </c>
      <c r="E223" s="77" t="n">
        <v>0.335792</v>
      </c>
      <c r="F223" s="77" t="n">
        <v>0.315068</v>
      </c>
      <c r="G223" s="80" t="n">
        <v>0.213718181818182</v>
      </c>
      <c r="H223" s="76" t="n">
        <v>0.280786458333333</v>
      </c>
      <c r="J223" s="1" t="s">
        <v>40</v>
      </c>
      <c r="K223" s="1" t="n">
        <f aca="false">CHITEST([18]anchor_raw_information!$G$232:$J$243, MMULT(MMULT([18]anchor_raw_information!$G$232:$J$243,TRANSPOSE(IF(COLUMN([18]anchor_raw_information!$G$232:$J$243),TRUE()))),MMULT(TRANSPOSE(IF(ROW([18]anchor_raw_information!$G$232:$J$243),TRUE())),[18]anchor_raw_information!$G$232:$J$243)) / SUM([18]anchor_raw_information!$G$232:$J$243))</f>
        <v>0.105376299643174</v>
      </c>
    </row>
    <row r="224" customFormat="false" ht="12.8" hidden="false" customHeight="false" outlineLevel="0" collapsed="false">
      <c r="B224" s="52" t="s">
        <v>110</v>
      </c>
      <c r="C224" s="69" t="s">
        <v>108</v>
      </c>
      <c r="D224" s="71" t="n">
        <v>5</v>
      </c>
      <c r="E224" s="71" t="n">
        <v>6</v>
      </c>
      <c r="F224" s="71" t="n">
        <v>5</v>
      </c>
      <c r="G224" s="71" t="n">
        <v>1</v>
      </c>
      <c r="H224" s="73" t="n">
        <v>17</v>
      </c>
      <c r="J224" s="1" t="s">
        <v>89</v>
      </c>
      <c r="K224" s="1" t="n">
        <f aca="false">CHIINV(Anchors_raw_information!$K$223, Anchors_raw_information!$K$222)</f>
        <v>43.4513496668015</v>
      </c>
    </row>
    <row r="225" customFormat="false" ht="12.8" hidden="false" customHeight="false" outlineLevel="0" collapsed="false">
      <c r="B225" s="74"/>
      <c r="C225" s="75" t="s">
        <v>109</v>
      </c>
      <c r="D225" s="77" t="n">
        <v>0.17504</v>
      </c>
      <c r="E225" s="77" t="n">
        <v>0.1619</v>
      </c>
      <c r="F225" s="77" t="n">
        <v>0.15764</v>
      </c>
      <c r="G225" s="77" t="n">
        <v>0.1639</v>
      </c>
      <c r="H225" s="76" t="n">
        <v>0.164629411764706</v>
      </c>
      <c r="J225" s="1" t="s">
        <v>90</v>
      </c>
      <c r="K225" s="1" t="n">
        <f aca="false">CHIINV(Anchors_raw_information!$K$221, Anchors_raw_information!$K$222)</f>
        <v>47.3998839190809</v>
      </c>
    </row>
    <row r="226" customFormat="false" ht="12.8" hidden="false" customHeight="false" outlineLevel="0" collapsed="false">
      <c r="B226" s="52" t="s">
        <v>91</v>
      </c>
      <c r="C226" s="69" t="s">
        <v>108</v>
      </c>
      <c r="D226" s="70" t="n">
        <v>18</v>
      </c>
      <c r="E226" s="71" t="n">
        <v>14</v>
      </c>
      <c r="F226" s="71" t="n">
        <v>16</v>
      </c>
      <c r="G226" s="72" t="n">
        <v>16</v>
      </c>
      <c r="H226" s="73" t="n">
        <v>64</v>
      </c>
    </row>
    <row r="227" customFormat="false" ht="12.8" hidden="false" customHeight="false" outlineLevel="0" collapsed="false">
      <c r="B227" s="74"/>
      <c r="C227" s="75" t="s">
        <v>109</v>
      </c>
      <c r="D227" s="78" t="n">
        <v>0.170377777777778</v>
      </c>
      <c r="E227" s="77" t="n">
        <v>0.1616</v>
      </c>
      <c r="F227" s="77" t="n">
        <v>0.16571875</v>
      </c>
      <c r="G227" s="80" t="n">
        <v>0.16936875</v>
      </c>
      <c r="H227" s="76" t="n">
        <v>0.167040625</v>
      </c>
    </row>
    <row r="228" customFormat="false" ht="12.8" hidden="false" customHeight="false" outlineLevel="0" collapsed="false">
      <c r="B228" s="52" t="s">
        <v>116</v>
      </c>
      <c r="C228" s="69" t="s">
        <v>108</v>
      </c>
      <c r="D228" s="71" t="n">
        <v>9</v>
      </c>
      <c r="E228" s="71" t="n">
        <v>16</v>
      </c>
      <c r="F228" s="71" t="n">
        <v>11</v>
      </c>
      <c r="G228" s="71" t="n">
        <v>20</v>
      </c>
      <c r="H228" s="73" t="n">
        <v>56</v>
      </c>
      <c r="J228" s="108" t="s">
        <v>129</v>
      </c>
    </row>
    <row r="229" customFormat="false" ht="12.8" hidden="false" customHeight="false" outlineLevel="0" collapsed="false">
      <c r="B229" s="74"/>
      <c r="C229" s="75" t="s">
        <v>109</v>
      </c>
      <c r="D229" s="77" t="n">
        <v>0.174377777777778</v>
      </c>
      <c r="E229" s="77" t="n">
        <v>0.1723</v>
      </c>
      <c r="F229" s="77" t="n">
        <v>0.159672727272727</v>
      </c>
      <c r="G229" s="77" t="n">
        <v>0.21073</v>
      </c>
      <c r="H229" s="76" t="n">
        <v>0.183878571428571</v>
      </c>
    </row>
    <row r="230" customFormat="false" ht="12.8" hidden="false" customHeight="false" outlineLevel="0" collapsed="false">
      <c r="B230" s="52" t="s">
        <v>93</v>
      </c>
      <c r="C230" s="69" t="s">
        <v>108</v>
      </c>
      <c r="D230" s="70" t="n">
        <v>12</v>
      </c>
      <c r="E230" s="71" t="n">
        <v>18</v>
      </c>
      <c r="F230" s="71" t="n">
        <v>21</v>
      </c>
      <c r="G230" s="72" t="n">
        <v>17</v>
      </c>
      <c r="H230" s="73" t="n">
        <v>68</v>
      </c>
      <c r="J230" s="1" t="s">
        <v>25</v>
      </c>
      <c r="K230" s="1" t="n">
        <v>0.05</v>
      </c>
    </row>
    <row r="231" customFormat="false" ht="12.8" hidden="false" customHeight="false" outlineLevel="0" collapsed="false">
      <c r="B231" s="74"/>
      <c r="C231" s="75" t="s">
        <v>109</v>
      </c>
      <c r="D231" s="78" t="n">
        <v>0.161308333333333</v>
      </c>
      <c r="E231" s="77" t="n">
        <v>0.16485</v>
      </c>
      <c r="F231" s="77" t="n">
        <v>0.172</v>
      </c>
      <c r="G231" s="80" t="n">
        <v>0.173488235294118</v>
      </c>
      <c r="H231" s="76" t="n">
        <v>0.168592647058824</v>
      </c>
      <c r="J231" s="1" t="s">
        <v>37</v>
      </c>
      <c r="K231" s="1" t="n">
        <f aca="false">(COLUMNS([18]anchor_raw_information!$G$258:$J$266) - 1) * (ROWS([18]anchor_raw_information!$G$258:$J$266) - 1)</f>
        <v>24</v>
      </c>
    </row>
    <row r="232" customFormat="false" ht="12.8" hidden="false" customHeight="false" outlineLevel="0" collapsed="false">
      <c r="B232" s="52" t="s">
        <v>94</v>
      </c>
      <c r="C232" s="69" t="s">
        <v>108</v>
      </c>
      <c r="D232" s="31"/>
      <c r="E232" s="71" t="n">
        <v>1</v>
      </c>
      <c r="F232" s="31"/>
      <c r="G232" s="71" t="n">
        <v>1</v>
      </c>
      <c r="H232" s="73" t="n">
        <v>2</v>
      </c>
      <c r="J232" s="1" t="s">
        <v>40</v>
      </c>
      <c r="K232" s="1" t="n">
        <f aca="false">CHITEST([18]anchor_raw_information!$G$258:$J$266, MMULT(MMULT([18]anchor_raw_information!$G$258:$J$266,TRANSPOSE(IF(COLUMN([18]anchor_raw_information!$G$258:$J$266),TRUE()))),MMULT(TRANSPOSE(IF(ROW([18]anchor_raw_information!$G$258:$J$266),TRUE())),[18]anchor_raw_information!$G$258:$J$266)) / SUM([18]anchor_raw_information!$G$258:$J$266))</f>
        <v>0.120939916809851</v>
      </c>
    </row>
    <row r="233" customFormat="false" ht="12.8" hidden="false" customHeight="false" outlineLevel="0" collapsed="false">
      <c r="B233" s="74"/>
      <c r="C233" s="75" t="s">
        <v>109</v>
      </c>
      <c r="D233" s="42"/>
      <c r="E233" s="77" t="n">
        <v>0.1506</v>
      </c>
      <c r="F233" s="42"/>
      <c r="G233" s="77" t="n">
        <v>0.1731</v>
      </c>
      <c r="H233" s="76" t="n">
        <v>0.16185</v>
      </c>
      <c r="J233" s="1" t="s">
        <v>89</v>
      </c>
      <c r="K233" s="1" t="n">
        <f aca="false">CHIINV(Anchors_raw_information!$K$232, Anchors_raw_information!$K$231)</f>
        <v>32.2488829480903</v>
      </c>
    </row>
    <row r="234" customFormat="false" ht="12.8" hidden="false" customHeight="false" outlineLevel="0" collapsed="false">
      <c r="B234" s="52" t="s">
        <v>95</v>
      </c>
      <c r="C234" s="69" t="s">
        <v>108</v>
      </c>
      <c r="D234" s="70" t="n">
        <v>2</v>
      </c>
      <c r="E234" s="71" t="n">
        <v>1</v>
      </c>
      <c r="F234" s="71" t="n">
        <v>6</v>
      </c>
      <c r="G234" s="72" t="n">
        <v>2</v>
      </c>
      <c r="H234" s="73" t="n">
        <v>11</v>
      </c>
      <c r="J234" s="1" t="s">
        <v>90</v>
      </c>
      <c r="K234" s="1" t="n">
        <f aca="false">CHIINV(Anchors_raw_information!$K$230, Anchors_raw_information!$K$231)</f>
        <v>36.4150285018073</v>
      </c>
    </row>
    <row r="235" customFormat="false" ht="12.8" hidden="false" customHeight="false" outlineLevel="0" collapsed="false">
      <c r="B235" s="74"/>
      <c r="C235" s="75" t="s">
        <v>109</v>
      </c>
      <c r="D235" s="78" t="n">
        <v>0.15525</v>
      </c>
      <c r="E235" s="77" t="n">
        <v>0.1683</v>
      </c>
      <c r="F235" s="77" t="n">
        <v>0.16015</v>
      </c>
      <c r="G235" s="80" t="n">
        <v>0.1737</v>
      </c>
      <c r="H235" s="76" t="n">
        <v>0.162463636363636</v>
      </c>
    </row>
    <row r="236" customFormat="false" ht="12.8" hidden="false" customHeight="false" outlineLevel="0" collapsed="false">
      <c r="B236" s="52" t="s">
        <v>96</v>
      </c>
      <c r="C236" s="69" t="s">
        <v>108</v>
      </c>
      <c r="D236" s="71" t="n">
        <v>19</v>
      </c>
      <c r="E236" s="71" t="n">
        <v>11</v>
      </c>
      <c r="F236" s="71" t="n">
        <v>19</v>
      </c>
      <c r="G236" s="71" t="n">
        <v>16</v>
      </c>
      <c r="H236" s="73" t="n">
        <v>65</v>
      </c>
    </row>
    <row r="237" customFormat="false" ht="12.8" hidden="false" customHeight="false" outlineLevel="0" collapsed="false">
      <c r="B237" s="74"/>
      <c r="C237" s="75" t="s">
        <v>109</v>
      </c>
      <c r="D237" s="77" t="n">
        <v>0.172926315789474</v>
      </c>
      <c r="E237" s="77" t="n">
        <v>0.169481818181818</v>
      </c>
      <c r="F237" s="77" t="n">
        <v>0.169321052631579</v>
      </c>
      <c r="G237" s="77" t="n">
        <v>0.16424375</v>
      </c>
      <c r="H237" s="76" t="n">
        <v>0.169152307692308</v>
      </c>
    </row>
    <row r="238" customFormat="false" ht="12.8" hidden="false" customHeight="false" outlineLevel="0" collapsed="false">
      <c r="B238" s="52" t="s">
        <v>98</v>
      </c>
      <c r="C238" s="69" t="s">
        <v>108</v>
      </c>
      <c r="D238" s="70" t="n">
        <v>11</v>
      </c>
      <c r="E238" s="71" t="n">
        <v>4</v>
      </c>
      <c r="F238" s="71" t="n">
        <v>2</v>
      </c>
      <c r="G238" s="72" t="n">
        <v>9</v>
      </c>
      <c r="H238" s="73" t="n">
        <v>26</v>
      </c>
    </row>
    <row r="239" customFormat="false" ht="12.8" hidden="false" customHeight="false" outlineLevel="0" collapsed="false">
      <c r="B239" s="74"/>
      <c r="C239" s="75" t="s">
        <v>109</v>
      </c>
      <c r="D239" s="78" t="n">
        <v>0.158081818181818</v>
      </c>
      <c r="E239" s="77" t="n">
        <v>0.158075</v>
      </c>
      <c r="F239" s="77" t="n">
        <v>0.1436</v>
      </c>
      <c r="G239" s="80" t="n">
        <v>0.167022222222222</v>
      </c>
      <c r="H239" s="76" t="n">
        <v>0.160061538461539</v>
      </c>
    </row>
    <row r="240" customFormat="false" ht="12.8" hidden="false" customHeight="false" outlineLevel="0" collapsed="false">
      <c r="B240" s="52" t="s">
        <v>99</v>
      </c>
      <c r="C240" s="69" t="s">
        <v>108</v>
      </c>
      <c r="D240" s="71" t="n">
        <v>3</v>
      </c>
      <c r="E240" s="31"/>
      <c r="F240" s="31"/>
      <c r="G240" s="31"/>
      <c r="H240" s="73" t="n">
        <v>3</v>
      </c>
    </row>
    <row r="241" customFormat="false" ht="12.8" hidden="false" customHeight="false" outlineLevel="0" collapsed="false">
      <c r="B241" s="74"/>
      <c r="C241" s="75" t="s">
        <v>109</v>
      </c>
      <c r="D241" s="77" t="n">
        <v>0.156033333333333</v>
      </c>
      <c r="E241" s="42"/>
      <c r="F241" s="42"/>
      <c r="G241" s="42"/>
      <c r="H241" s="76" t="n">
        <v>0.156033333333333</v>
      </c>
    </row>
    <row r="242" customFormat="false" ht="12.8" hidden="false" customHeight="false" outlineLevel="0" collapsed="false">
      <c r="B242" s="52" t="s">
        <v>100</v>
      </c>
      <c r="C242" s="69" t="s">
        <v>108</v>
      </c>
      <c r="D242" s="70" t="n">
        <v>5</v>
      </c>
      <c r="E242" s="71" t="n">
        <v>4</v>
      </c>
      <c r="F242" s="71" t="n">
        <v>2</v>
      </c>
      <c r="G242" s="72" t="n">
        <v>9</v>
      </c>
      <c r="H242" s="73" t="n">
        <v>20</v>
      </c>
    </row>
    <row r="243" customFormat="false" ht="12.8" hidden="false" customHeight="false" outlineLevel="0" collapsed="false">
      <c r="B243" s="74"/>
      <c r="C243" s="75" t="s">
        <v>109</v>
      </c>
      <c r="D243" s="78" t="n">
        <v>0.16446</v>
      </c>
      <c r="E243" s="77" t="n">
        <v>0.15735</v>
      </c>
      <c r="F243" s="77" t="n">
        <v>0.1574</v>
      </c>
      <c r="G243" s="80" t="n">
        <v>0.177088888888889</v>
      </c>
      <c r="H243" s="76" t="n">
        <v>0.168015</v>
      </c>
    </row>
    <row r="244" customFormat="false" ht="12.8" hidden="false" customHeight="false" outlineLevel="0" collapsed="false">
      <c r="B244" s="52" t="s">
        <v>101</v>
      </c>
      <c r="C244" s="69" t="s">
        <v>108</v>
      </c>
      <c r="D244" s="71" t="n">
        <v>25</v>
      </c>
      <c r="E244" s="71" t="n">
        <v>25</v>
      </c>
      <c r="F244" s="71" t="n">
        <v>25</v>
      </c>
      <c r="G244" s="71" t="n">
        <v>25</v>
      </c>
      <c r="H244" s="73" t="n">
        <v>100</v>
      </c>
    </row>
    <row r="245" customFormat="false" ht="12.8" hidden="false" customHeight="false" outlineLevel="0" collapsed="false">
      <c r="B245" s="74"/>
      <c r="C245" s="75" t="s">
        <v>109</v>
      </c>
      <c r="D245" s="77" t="n">
        <v>0.161796</v>
      </c>
      <c r="E245" s="77" t="n">
        <v>0.168108</v>
      </c>
      <c r="F245" s="77" t="n">
        <v>0.141396</v>
      </c>
      <c r="G245" s="77" t="n">
        <v>0.124592</v>
      </c>
      <c r="H245" s="76" t="n">
        <v>0.148973</v>
      </c>
    </row>
    <row r="246" customFormat="false" ht="12.8" hidden="false" customHeight="false" outlineLevel="0" collapsed="false">
      <c r="B246" s="81" t="s">
        <v>112</v>
      </c>
      <c r="C246" s="82"/>
      <c r="D246" s="102" t="n">
        <v>133</v>
      </c>
      <c r="E246" s="103" t="n">
        <v>125</v>
      </c>
      <c r="F246" s="103" t="n">
        <v>132</v>
      </c>
      <c r="G246" s="104" t="n">
        <v>138</v>
      </c>
      <c r="H246" s="84" t="n">
        <v>528</v>
      </c>
    </row>
    <row r="247" customFormat="false" ht="12.8" hidden="false" customHeight="false" outlineLevel="0" collapsed="false">
      <c r="B247" s="85" t="s">
        <v>113</v>
      </c>
      <c r="C247" s="86"/>
      <c r="D247" s="87" t="n">
        <v>0.1812</v>
      </c>
      <c r="E247" s="88" t="n">
        <v>0.2000024</v>
      </c>
      <c r="F247" s="88" t="n">
        <v>0.189391666666667</v>
      </c>
      <c r="G247" s="89" t="n">
        <v>0.174635507246377</v>
      </c>
      <c r="H247" s="90" t="n">
        <v>0.185983522727273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E25" activeCellId="0" sqref="E25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1" min="1" style="7" width="25"/>
    <col collapsed="false" customWidth="true" hidden="false" outlineLevel="0" max="5" min="2" style="1" width="20.79"/>
  </cols>
  <sheetData>
    <row r="2" customFormat="false" ht="12.8" hidden="false" customHeight="false" outlineLevel="0" collapsed="false">
      <c r="A2" s="7" t="s">
        <v>130</v>
      </c>
    </row>
    <row r="4" customFormat="false" ht="12.8" hidden="false" customHeight="false" outlineLevel="0" collapsed="false">
      <c r="B4" s="7"/>
      <c r="C4" s="7"/>
      <c r="D4" s="7"/>
      <c r="G4" s="1" t="s">
        <v>131</v>
      </c>
    </row>
    <row r="5" customFormat="false" ht="12.8" hidden="false" customHeight="false" outlineLevel="0" collapsed="false">
      <c r="B5" s="1" t="s">
        <v>132</v>
      </c>
      <c r="C5" s="1" t="s">
        <v>133</v>
      </c>
      <c r="D5" s="1" t="s">
        <v>4</v>
      </c>
      <c r="E5" s="1" t="s">
        <v>7</v>
      </c>
      <c r="G5" s="1" t="s">
        <v>132</v>
      </c>
      <c r="H5" s="1" t="s">
        <v>133</v>
      </c>
      <c r="I5" s="1" t="s">
        <v>4</v>
      </c>
      <c r="J5" s="1" t="s">
        <v>7</v>
      </c>
    </row>
    <row r="6" customFormat="false" ht="12.8" hidden="false" customHeight="false" outlineLevel="0" collapsed="false">
      <c r="A6" s="7" t="s">
        <v>3</v>
      </c>
      <c r="B6" s="1" t="n">
        <v>0.092058481583422</v>
      </c>
      <c r="C6" s="1" t="n">
        <v>0.0799585013225527</v>
      </c>
      <c r="D6" s="1" t="n">
        <v>0.105096259234427</v>
      </c>
      <c r="E6" s="1" t="n">
        <v>0.0915444938739955</v>
      </c>
      <c r="G6" s="1" t="n">
        <f aca="false">STDEV(B6:B13)</f>
        <v>0.0150555470769024</v>
      </c>
      <c r="H6" s="1" t="n">
        <f aca="false">STDEV(C6:C13)</f>
        <v>0.0146442467379938</v>
      </c>
      <c r="I6" s="1" t="n">
        <f aca="false">STDEV(D6:D13)</f>
        <v>0.0176980537731064</v>
      </c>
      <c r="J6" s="1" t="n">
        <f aca="false">STDEV(E6:E13)</f>
        <v>0.0142033477414826</v>
      </c>
    </row>
    <row r="7" customFormat="false" ht="12.8" hidden="false" customHeight="false" outlineLevel="0" collapsed="false">
      <c r="A7" s="7" t="s">
        <v>8</v>
      </c>
      <c r="B7" s="1" t="n">
        <v>0.0645064896899185</v>
      </c>
      <c r="C7" s="1" t="n">
        <v>0.0718065455870482</v>
      </c>
      <c r="D7" s="1" t="n">
        <v>0.0684976501381375</v>
      </c>
      <c r="E7" s="1" t="n">
        <v>0.0691531091687868</v>
      </c>
    </row>
    <row r="8" customFormat="false" ht="12.8" hidden="false" customHeight="false" outlineLevel="0" collapsed="false">
      <c r="A8" s="7" t="s">
        <v>9</v>
      </c>
      <c r="B8" s="1" t="n">
        <v>0.088767685783917</v>
      </c>
      <c r="C8" s="1" t="n">
        <v>0.101589707181432</v>
      </c>
      <c r="D8" s="1" t="n">
        <v>0.0921568147556974</v>
      </c>
      <c r="E8" s="1" t="n">
        <v>0.0809402751746899</v>
      </c>
    </row>
    <row r="9" customFormat="false" ht="12.8" hidden="false" customHeight="false" outlineLevel="0" collapsed="false">
      <c r="A9" s="7" t="s">
        <v>10</v>
      </c>
      <c r="B9" s="1" t="n">
        <v>0.094351</v>
      </c>
      <c r="C9" s="1" t="n">
        <v>0.099953</v>
      </c>
      <c r="D9" s="1" t="n">
        <v>0.101737</v>
      </c>
      <c r="E9" s="1" t="n">
        <v>0.094708</v>
      </c>
    </row>
    <row r="10" customFormat="false" ht="12.8" hidden="false" customHeight="false" outlineLevel="0" collapsed="false">
      <c r="A10" s="7" t="s">
        <v>11</v>
      </c>
      <c r="B10" s="1" t="n">
        <v>0.054679968068455</v>
      </c>
      <c r="C10" s="1" t="n">
        <v>0.0560232370233672</v>
      </c>
      <c r="D10" s="1" t="n">
        <v>0.0550481537481003</v>
      </c>
      <c r="E10" s="1" t="n">
        <v>0.0628105824529672</v>
      </c>
    </row>
    <row r="11" customFormat="false" ht="12.8" hidden="false" customHeight="false" outlineLevel="0" collapsed="false">
      <c r="A11" s="7" t="s">
        <v>12</v>
      </c>
      <c r="B11" s="1" t="n">
        <v>0.088965254850093</v>
      </c>
      <c r="C11" s="1" t="n">
        <v>0.0825350138508295</v>
      </c>
      <c r="D11" s="1" t="n">
        <v>0.0926750313951248</v>
      </c>
      <c r="E11" s="1" t="n">
        <v>0.0795056431294342</v>
      </c>
    </row>
    <row r="12" customFormat="false" ht="12.8" hidden="false" customHeight="false" outlineLevel="0" collapsed="false">
      <c r="A12" s="7" t="s">
        <v>13</v>
      </c>
      <c r="B12" s="1" t="n">
        <v>0.0857572307159665</v>
      </c>
      <c r="C12" s="1" t="n">
        <v>0.0836475979659124</v>
      </c>
      <c r="D12" s="1" t="n">
        <v>0.0795370020385004</v>
      </c>
      <c r="E12" s="1" t="n">
        <v>0.09754820390663</v>
      </c>
    </row>
    <row r="13" customFormat="false" ht="12.8" hidden="false" customHeight="false" outlineLevel="0" collapsed="false">
      <c r="A13" s="7" t="s">
        <v>14</v>
      </c>
      <c r="B13" s="1" t="n">
        <v>0.0671326444363605</v>
      </c>
      <c r="C13" s="1" t="n">
        <v>0.0789089344202259</v>
      </c>
      <c r="D13" s="1" t="n">
        <v>0.0698772313705197</v>
      </c>
      <c r="E13" s="1" t="n">
        <v>0.0615343083403333</v>
      </c>
    </row>
    <row r="29" customFormat="false" ht="12.8" hidden="false" customHeight="false" outlineLevel="0" collapsed="false">
      <c r="J29" s="1" t="s">
        <v>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2026-02-20T13:46:20Z</dcterms:created>
  <dc:creator/>
  <dc:description/>
  <dc:language>en-US</dc:language>
  <cp:lastModifiedBy/>
  <dcterms:modified xsi:type="dcterms:W3CDTF">2026-06-12T15:31:32Z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
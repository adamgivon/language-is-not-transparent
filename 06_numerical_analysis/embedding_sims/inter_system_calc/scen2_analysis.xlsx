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5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ims_per_turn" sheetId="1" state="visible" r:id="rId3"/>
    <sheet name="pivot-table sims per turn" sheetId="2" state="visible" r:id="rId4"/>
    <sheet name="anchors_raw_information" sheetId="3" state="visible" r:id="rId5"/>
  </sheets>
  <definedNames>
    <definedName function="false" hidden="true" localSheetId="0" name="_xlnm._FilterDatabase" vbProcedure="false">sims_per_turn!$A$212:$C$362</definedName>
  </definedNames>
  <calcPr iterateCount="100" refMode="A1" iterate="false" iterateDelta="0.001"/>
  <pivotCaches>
    <pivotCache cacheId="1" r:id="rId7"/>
    <pivotCache cacheId="2" r:id="rId8"/>
    <pivotCache cacheId="3" r:id="rId9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<sst xmlns="http://schemas.openxmlformats.org/spreadsheetml/2006/main" count="1696" uniqueCount="76">
  <si>
    <t xml:space="preserve">General</t>
  </si>
  <si>
    <t xml:space="preserve">turns</t>
  </si>
  <si>
    <t xml:space="preserve">ac15</t>
  </si>
  <si>
    <t xml:space="preserve">hybrid</t>
  </si>
  <si>
    <t xml:space="preserve">ac15p</t>
  </si>
  <si>
    <t xml:space="preserve">hybsem</t>
  </si>
  <si>
    <t xml:space="preserve">per turn, prompt-response deltas</t>
  </si>
  <si>
    <t xml:space="preserve">Delta=hybrid-hybsem</t>
  </si>
  <si>
    <t xml:space="preserve">ABS delta</t>
  </si>
  <si>
    <t xml:space="preserve">Mean difference</t>
  </si>
  <si>
    <t xml:space="preserve">std delta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</si>
  <si>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</si>
  <si>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</si>
  <si>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</si>
  <si>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</si>
  <si>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</si>
  <si>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</si>
  <si>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</si>
  <si>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</si>
  <si>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</si>
  <si>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</si>
  <si>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</si>
  <si>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</si>
  <si>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</si>
  <si>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</si>
  <si>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</si>
  <si>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</si>
  <si>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</si>
  <si>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Delta=ac15-ac15p</t>
  </si>
  <si>
    <t xml:space="preserve">### Comparison of critical turns</t>
  </si>
  <si>
    <t xml:space="preserve">comparison</t>
  </si>
  <si>
    <t xml:space="preserve">abs delta</t>
  </si>
  <si>
    <t xml:space="preserve">Hybesm-hybrid</t>
  </si>
  <si>
    <t xml:space="preserve">Hybrid-ac15</t>
  </si>
  <si>
    <t xml:space="preserve">Hybrid-ac15p</t>
  </si>
  <si>
    <t xml:space="preserve">Hybsem-ac15</t>
  </si>
  <si>
    <t xml:space="preserve">Hybsem-ac15p</t>
  </si>
  <si>
    <t xml:space="preserve">ac15-ac15p</t>
  </si>
  <si>
    <t xml:space="preserve">Count - abs delta</t>
  </si>
  <si>
    <t xml:space="preserve">Total Result</t>
  </si>
  <si>
    <t xml:space="preserve">seq</t>
  </si>
  <si>
    <t xml:space="preserve">anchorName</t>
  </si>
  <si>
    <t xml:space="preserve">weight</t>
  </si>
  <si>
    <t xml:space="preserve">projectName</t>
  </si>
  <si>
    <t xml:space="preserve">practicality_and_feasibility</t>
  </si>
  <si>
    <t xml:space="preserve">test_ac15</t>
  </si>
  <si>
    <t xml:space="preserve">Count - anchorName</t>
  </si>
  <si>
    <t xml:space="preserve">temporal_dynamics</t>
  </si>
  <si>
    <t xml:space="preserve">ac15-plain</t>
  </si>
  <si>
    <t xml:space="preserve">hybrid_v3_5</t>
  </si>
  <si>
    <t xml:space="preserve">hysem</t>
  </si>
  <si>
    <t xml:space="preserve">mathematics_computer_science_engineering</t>
  </si>
  <si>
    <t xml:space="preserve">affective_interface</t>
  </si>
  <si>
    <t xml:space="preserve">imagination_and_possibility</t>
  </si>
  <si>
    <t xml:space="preserve">truth_and_fact</t>
  </si>
  <si>
    <t xml:space="preserve">sovereignty</t>
  </si>
  <si>
    <t xml:space="preserve">science</t>
  </si>
  <si>
    <t xml:space="preserve">context_dependent_expression</t>
  </si>
  <si>
    <t xml:space="preserve">Data</t>
  </si>
  <si>
    <t xml:space="preserve">Count - weight</t>
  </si>
  <si>
    <t xml:space="preserve">Average - weight*</t>
  </si>
  <si>
    <t xml:space="preserve">freedom_and_limitations</t>
  </si>
  <si>
    <t xml:space="preserve">metaphorical_scaffolding</t>
  </si>
  <si>
    <t xml:space="preserve">Total Count - weight</t>
  </si>
  <si>
    <t xml:space="preserve">Total Average - weight*</t>
  </si>
  <si>
    <t xml:space="preserve">Chi Square </t>
  </si>
  <si>
    <t xml:space="preserve">Test of Independence (Chi-Square)</t>
  </si>
  <si>
    <t xml:space="preserve">P-value</t>
  </si>
  <si>
    <t xml:space="preserve">Test Statistic</t>
  </si>
  <si>
    <t xml:space="preserve">Critical Value</t>
  </si>
  <si>
    <t xml:space="preserve">Chi Square  - context – freedom – truth</t>
  </si>
  <si>
    <t xml:space="preserve">Chi Square test</t>
  </si>
  <si>
    <t xml:space="preserve">Chi square without context dependent expression</t>
  </si>
  <si>
    <t xml:space="preserve">Chi square without context dependent expression and freedom and limitation</t>
  </si>
  <si>
    <t xml:space="preserve">Chi square without context dependent expression and freedom and limitation, truth</t>
  </si>
  <si>
    <t xml:space="preserve">Anchors 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</si>
</sst>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"/>
    <numFmt numFmtId="166" formatCode="0;[RED]\-0"/>
    <numFmt numFmtId="167" formatCode="0.000000;[RED]\-0.000000"/>
    <numFmt numFmtId="168" formatCode="0.0000;[RED]\-0.0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9"/>
      <color theme="1"/>
      <name val="Calibri"/>
      <family val="2"/>
      <charset val="1"/>
    </font>
    <font>
      <b val="true"/>
      <sz val="9"/>
      <name val="Arial"/>
      <family val="2"/>
      <charset val="1"/>
    </font>
    <font>
      <b val="true"/>
      <u val="single"/>
      <sz val="1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4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2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2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2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2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5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2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2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2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2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1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2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3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3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7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25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9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51" createdVersion="3">
  <cacheSource type="worksheet">
    <worksheetSource ref="B1:E552" sheet="anchors_raw_information"/>
  </cacheSource>
  <cacheFields count="4">
    <cacheField name="seq" numFmtId="0">
      <sharedItems containsSemiMixedTypes="0" containsString="0" containsNumber="1" containsInteger="1" minValue="1" maxValue="49" count="25">
        <n v="1"/>
        <n v="3"/>
        <n v="5"/>
        <n v="7"/>
        <n v="9"/>
        <n v="11"/>
        <n v="13"/>
        <n v="15"/>
        <n v="17"/>
        <n v="19"/>
        <n v="21"/>
        <n v="23"/>
        <n v="25"/>
        <n v="27"/>
        <n v="29"/>
        <n v="31"/>
        <n v="33"/>
        <n v="35"/>
        <n v="37"/>
        <n v="39"/>
        <n v="41"/>
        <n v="43"/>
        <n v="45"/>
        <n v="47"/>
        <n v="49"/>
      </sharedItems>
    </cacheField>
    <cacheField name="anchorName" numFmtId="0">
      <sharedItems count="11">
        <s v="affective_interface"/>
        <s v="context_dependent_expression"/>
        <s v="freedom_and_limitations"/>
        <s v="imagination_and_possibility"/>
        <s v="mathematics_computer_science_engineering"/>
        <s v="metaphorical_scaffold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4732" count="367">
        <n v="0.1"/>
        <n v="0.1401"/>
        <n v="0.1409"/>
        <n v="0.1425"/>
        <n v="0.1462"/>
        <n v="0.1464"/>
        <n v="0.1475"/>
        <n v="0.1484"/>
        <n v="0.1488"/>
        <n v="0.1494"/>
        <n v="0.1506"/>
        <n v="0.151"/>
        <n v="0.1512"/>
        <n v="0.1517"/>
        <n v="0.1519"/>
        <n v="0.1525"/>
        <n v="0.1527"/>
        <n v="0.1528"/>
        <n v="0.1529"/>
        <n v="0.153"/>
        <n v="0.1533"/>
        <n v="0.1534"/>
        <n v="0.1535"/>
        <n v="0.1536"/>
        <n v="0.1539"/>
        <n v="0.1542"/>
        <n v="0.1545"/>
        <n v="0.1546"/>
        <n v="0.1548"/>
        <n v="0.1549"/>
        <n v="0.155"/>
        <n v="0.1553"/>
        <n v="0.1555"/>
        <n v="0.1556"/>
        <n v="0.1557"/>
        <n v="0.1558"/>
        <n v="0.1562"/>
        <n v="0.1564"/>
        <n v="0.1565"/>
        <n v="0.1566"/>
        <n v="0.1568"/>
        <n v="0.1569"/>
        <n v="0.1572"/>
        <n v="0.1574"/>
        <n v="0.1575"/>
        <n v="0.1581"/>
        <n v="0.1582"/>
        <n v="0.1584"/>
        <n v="0.1585"/>
        <n v="0.1586"/>
        <n v="0.159"/>
        <n v="0.1591"/>
        <n v="0.1593"/>
        <n v="0.1594"/>
        <n v="0.1595"/>
        <n v="0.1596"/>
        <n v="0.1597"/>
        <n v="0.1599"/>
        <n v="0.1601"/>
        <n v="0.1602"/>
        <n v="0.1604"/>
        <n v="0.1605"/>
        <n v="0.1609"/>
        <n v="0.161"/>
        <n v="0.1611"/>
        <n v="0.1613"/>
        <n v="0.1614"/>
        <n v="0.1616"/>
        <n v="0.1617"/>
        <n v="0.1618"/>
        <n v="0.1621"/>
        <n v="0.1623"/>
        <n v="0.1624"/>
        <n v="0.1625"/>
        <n v="0.1627"/>
        <n v="0.1628"/>
        <n v="0.163"/>
        <n v="0.1631"/>
        <n v="0.1632"/>
        <n v="0.1634"/>
        <n v="0.1635"/>
        <n v="0.1636"/>
        <n v="0.1637"/>
        <n v="0.1638"/>
        <n v="0.1639"/>
        <n v="0.1642"/>
        <n v="0.1643"/>
        <n v="0.1644"/>
        <n v="0.1649"/>
        <n v="0.1652"/>
        <n v="0.1655"/>
        <n v="0.1658"/>
        <n v="0.1663"/>
        <n v="0.1665"/>
        <n v="0.1667"/>
        <n v="0.1668"/>
        <n v="0.1672"/>
        <n v="0.1673"/>
        <n v="0.1674"/>
        <n v="0.1675"/>
        <n v="0.1676"/>
        <n v="0.1679"/>
        <n v="0.1682"/>
        <n v="0.1683"/>
        <n v="0.1684"/>
        <n v="0.1686"/>
        <n v="0.1687"/>
        <n v="0.1689"/>
        <n v="0.1692"/>
        <n v="0.1693"/>
        <n v="0.1695"/>
        <n v="0.1697"/>
        <n v="0.1698"/>
        <n v="0.17"/>
        <n v="0.1701"/>
        <n v="0.1702"/>
        <n v="0.1704"/>
        <n v="0.1705"/>
        <n v="0.171"/>
        <n v="0.1711"/>
        <n v="0.1714"/>
        <n v="0.1716"/>
        <n v="0.1719"/>
        <n v="0.172"/>
        <n v="0.1721"/>
        <n v="0.1723"/>
        <n v="0.1724"/>
        <n v="0.1725"/>
        <n v="0.1726"/>
        <n v="0.1727"/>
        <n v="0.173"/>
        <n v="0.1731"/>
        <n v="0.1733"/>
        <n v="0.1734"/>
        <n v="0.1735"/>
        <n v="0.1737"/>
        <n v="0.1743"/>
        <n v="0.1745"/>
        <n v="0.1747"/>
        <n v="0.1748"/>
        <n v="0.1752"/>
        <n v="0.1757"/>
        <n v="0.1759"/>
        <n v="0.176"/>
        <n v="0.1762"/>
        <n v="0.1764"/>
        <n v="0.1766"/>
        <n v="0.1767"/>
        <n v="0.1772"/>
        <n v="0.1777"/>
        <n v="0.1778"/>
        <n v="0.1779"/>
        <n v="0.1784"/>
        <n v="0.1786"/>
        <n v="0.1787"/>
        <n v="0.1795"/>
        <n v="0.1796"/>
        <n v="0.1797"/>
        <n v="0.1801"/>
        <n v="0.1805"/>
        <n v="0.1807"/>
        <n v="0.1809"/>
        <n v="0.1812"/>
        <n v="0.1816"/>
        <n v="0.1819"/>
        <n v="0.182"/>
        <n v="0.1821"/>
        <n v="0.1822"/>
        <n v="0.1828"/>
        <n v="0.1829"/>
        <n v="0.1834"/>
        <n v="0.1835"/>
        <n v="0.184"/>
        <n v="0.1846"/>
        <n v="0.1848"/>
        <n v="0.1849"/>
        <n v="0.185"/>
        <n v="0.1851"/>
        <n v="0.1852"/>
        <n v="0.1854"/>
        <n v="0.1856"/>
        <n v="0.1859"/>
        <n v="0.186"/>
        <n v="0.1864"/>
        <n v="0.1871"/>
        <n v="0.1874"/>
        <n v="0.1879"/>
        <n v="0.1881"/>
        <n v="0.1886"/>
        <n v="0.1888"/>
        <n v="0.1889"/>
        <n v="0.189"/>
        <n v="0.1891"/>
        <n v="0.1892"/>
        <n v="0.1897"/>
        <n v="0.1899"/>
        <n v="0.1901"/>
        <n v="0.1907"/>
        <n v="0.1911"/>
        <n v="0.1917"/>
        <n v="0.1919"/>
        <n v="0.1923"/>
        <n v="0.1928"/>
        <n v="0.1939"/>
        <n v="0.194"/>
        <n v="0.1941"/>
        <n v="0.1943"/>
        <n v="0.1944"/>
        <n v="0.1946"/>
        <n v="0.1948"/>
        <n v="0.1954"/>
        <n v="0.1958"/>
        <n v="0.1959"/>
        <n v="0.196"/>
        <n v="0.1964"/>
        <n v="0.1965"/>
        <n v="0.1967"/>
        <n v="0.1969"/>
        <n v="0.197"/>
        <n v="0.1973"/>
        <n v="0.1975"/>
        <n v="0.1978"/>
        <n v="0.1979"/>
        <n v="0.1986"/>
        <n v="0.1988"/>
        <n v="0.1991"/>
        <n v="0.1992"/>
        <n v="0.1993"/>
        <n v="0.1996"/>
        <n v="0.2"/>
        <n v="0.2002"/>
        <n v="0.2004"/>
        <n v="0.2005"/>
        <n v="0.2007"/>
        <n v="0.2016"/>
        <n v="0.2017"/>
        <n v="0.202"/>
        <n v="0.2023"/>
        <n v="0.2027"/>
        <n v="0.2028"/>
        <n v="0.2034"/>
        <n v="0.2036"/>
        <n v="0.2037"/>
        <n v="0.2038"/>
        <n v="0.2039"/>
        <n v="0.2041"/>
        <n v="0.2042"/>
        <n v="0.2046"/>
        <n v="0.2051"/>
        <n v="0.2056"/>
        <n v="0.2058"/>
        <n v="0.207"/>
        <n v="0.2071"/>
        <n v="0.2075"/>
        <n v="0.2076"/>
        <n v="0.2077"/>
        <n v="0.2078"/>
        <n v="0.2082"/>
        <n v="0.2084"/>
        <n v="0.2085"/>
        <n v="0.2088"/>
        <n v="0.2092"/>
        <n v="0.2094"/>
        <n v="0.2097"/>
        <n v="0.21"/>
        <n v="0.2103"/>
        <n v="0.2106"/>
        <n v="0.2111"/>
        <n v="0.2115"/>
        <n v="0.2122"/>
        <n v="0.2123"/>
        <n v="0.2125"/>
        <n v="0.2129"/>
        <n v="0.2133"/>
        <n v="0.2137"/>
        <n v="0.2138"/>
        <n v="0.2148"/>
        <n v="0.2152"/>
        <n v="0.2164"/>
        <n v="0.2167"/>
        <n v="0.2172"/>
        <n v="0.2184"/>
        <n v="0.2187"/>
        <n v="0.2196"/>
        <n v="0.2198"/>
        <n v="0.2199"/>
        <n v="0.2203"/>
        <n v="0.2204"/>
        <n v="0.2206"/>
        <n v="0.2208"/>
        <n v="0.2212"/>
        <n v="0.2215"/>
        <n v="0.2216"/>
        <n v="0.2217"/>
        <n v="0.2222"/>
        <n v="0.2233"/>
        <n v="0.2239"/>
        <n v="0.2241"/>
        <n v="0.2243"/>
        <n v="0.225"/>
        <n v="0.2257"/>
        <n v="0.2261"/>
        <n v="0.2263"/>
        <n v="0.2295"/>
        <n v="0.2317"/>
        <n v="0.2342"/>
        <n v="0.2344"/>
        <n v="0.2352"/>
        <n v="0.2363"/>
        <n v="0.2405"/>
        <n v="0.2409"/>
        <n v="0.2442"/>
        <n v="0.2474"/>
        <n v="0.2489"/>
        <n v="0.2515"/>
        <n v="0.256"/>
        <n v="0.2664"/>
        <n v="0.2678"/>
        <n v="0.2724"/>
        <n v="0.2739"/>
        <n v="0.2745"/>
        <n v="0.2761"/>
        <n v="0.2771"/>
        <n v="0.2795"/>
        <n v="0.2824"/>
        <n v="0.2828"/>
        <n v="0.2837"/>
        <n v="0.2844"/>
        <n v="0.2846"/>
        <n v="0.2848"/>
        <n v="0.2878"/>
        <n v="0.2886"/>
        <n v="0.2906"/>
        <n v="0.2913"/>
        <n v="0.2944"/>
        <n v="0.2961"/>
        <n v="0.2965"/>
        <n v="0.2969"/>
        <n v="0.297"/>
        <n v="0.2988"/>
        <n v="0.3016"/>
        <n v="0.3023"/>
        <n v="0.3027"/>
        <n v="0.3075"/>
        <n v="0.3088"/>
        <n v="0.3091"/>
        <n v="0.3099"/>
        <n v="0.3126"/>
        <n v="0.3162"/>
        <n v="0.3191"/>
        <n v="0.3201"/>
        <n v="0.3212"/>
        <n v="0.3291"/>
        <n v="0.3328"/>
        <n v="0.3377"/>
        <n v="0.3416"/>
        <n v="0.3418"/>
        <n v="0.4268"/>
        <n v="0.4286"/>
        <n v="0.4359"/>
        <n v="0.4455"/>
        <n v="0.4457"/>
        <n v="0.4543"/>
        <n v="0.4545"/>
        <n v="0.4641"/>
        <n v="0.4714"/>
        <n v="0.4732"/>
      </sharedItems>
    </cacheField>
    <cacheField name="projectName" numFmtId="0">
      <sharedItems count="4">
        <s v="ac15-plain"/>
        <s v="hybrid_v3_5"/>
        <s v="hysem"/>
        <s v="test_ac1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6" createdVersion="3">
  <cacheSource type="worksheet">
    <worksheetSource ref="A3:C19" sheet="pivot-table sims per turn"/>
  </cacheSource>
  <cacheFields count="3">
    <cacheField name="turns" numFmtId="0">
      <sharedItems containsSemiMixedTypes="0" containsString="0" containsNumber="1" containsInteger="1" minValue="5" maxValue="24" count="8">
        <n v="5"/>
        <n v="7"/>
        <n v="13"/>
        <n v="17"/>
        <n v="21"/>
        <n v="22"/>
        <n v="23"/>
        <n v="24"/>
      </sharedItems>
    </cacheField>
    <cacheField name="comparison" numFmtId="0">
      <sharedItems count="6">
        <s v="ac15-ac15p"/>
        <s v="Hybesm-hybrid"/>
        <s v="Hybrid-ac15"/>
        <s v="Hybrid-ac15p"/>
        <s v="Hybsem-ac15"/>
        <s v="Hybsem-ac15p"/>
      </sharedItems>
    </cacheField>
    <cacheField name="abs delta" numFmtId="0">
      <sharedItems containsSemiMixedTypes="0" containsString="0" containsNumber="1" minValue="0.0513447227424111" maxValue="0.104033915898458" count="16">
        <n v="0.0513447227424111"/>
        <n v="0.054187836080926"/>
        <n v="0.0606334031521101"/>
        <n v="0.061506890773356"/>
        <n v="0.063126203091729"/>
        <n v="0.063619816771148"/>
        <n v="0.064935049237257"/>
        <n v="0.0670502758289699"/>
        <n v="0.068022618164015"/>
        <n v="0.0720789889310141"/>
        <n v="0.077076383616043"/>
        <n v="0.08095563120463"/>
        <n v="0.0836063503517041"/>
        <n v="0.0842572783661639"/>
        <n v="0.0912670524867041"/>
        <n v="0.104033915898458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551" createdVersion="3">
  <cacheSource type="worksheet">
    <worksheetSource ref="C1:E552" sheet="anchors_raw_information"/>
  </cacheSource>
  <cacheFields count="3">
    <cacheField name="anchorName" numFmtId="0">
      <sharedItems count="11">
        <s v="affective_interface"/>
        <s v="context_dependent_expression"/>
        <s v="freedom_and_limitations"/>
        <s v="imagination_and_possibility"/>
        <s v="mathematics_computer_science_engineering"/>
        <s v="metaphorical_scaffold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4732" count="367">
        <n v="0.1"/>
        <n v="0.1401"/>
        <n v="0.1409"/>
        <n v="0.1425"/>
        <n v="0.1462"/>
        <n v="0.1464"/>
        <n v="0.1475"/>
        <n v="0.1484"/>
        <n v="0.1488"/>
        <n v="0.1494"/>
        <n v="0.1506"/>
        <n v="0.151"/>
        <n v="0.1512"/>
        <n v="0.1517"/>
        <n v="0.1519"/>
        <n v="0.1525"/>
        <n v="0.1527"/>
        <n v="0.1528"/>
        <n v="0.1529"/>
        <n v="0.153"/>
        <n v="0.1533"/>
        <n v="0.1534"/>
        <n v="0.1535"/>
        <n v="0.1536"/>
        <n v="0.1539"/>
        <n v="0.1542"/>
        <n v="0.1545"/>
        <n v="0.1546"/>
        <n v="0.1548"/>
        <n v="0.1549"/>
        <n v="0.155"/>
        <n v="0.1553"/>
        <n v="0.1555"/>
        <n v="0.1556"/>
        <n v="0.1557"/>
        <n v="0.1558"/>
        <n v="0.1562"/>
        <n v="0.1564"/>
        <n v="0.1565"/>
        <n v="0.1566"/>
        <n v="0.1568"/>
        <n v="0.1569"/>
        <n v="0.1572"/>
        <n v="0.1574"/>
        <n v="0.1575"/>
        <n v="0.1581"/>
        <n v="0.1582"/>
        <n v="0.1584"/>
        <n v="0.1585"/>
        <n v="0.1586"/>
        <n v="0.159"/>
        <n v="0.1591"/>
        <n v="0.1593"/>
        <n v="0.1594"/>
        <n v="0.1595"/>
        <n v="0.1596"/>
        <n v="0.1597"/>
        <n v="0.1599"/>
        <n v="0.1601"/>
        <n v="0.1602"/>
        <n v="0.1604"/>
        <n v="0.1605"/>
        <n v="0.1609"/>
        <n v="0.161"/>
        <n v="0.1611"/>
        <n v="0.1613"/>
        <n v="0.1614"/>
        <n v="0.1616"/>
        <n v="0.1617"/>
        <n v="0.1618"/>
        <n v="0.1621"/>
        <n v="0.1623"/>
        <n v="0.1624"/>
        <n v="0.1625"/>
        <n v="0.1627"/>
        <n v="0.1628"/>
        <n v="0.163"/>
        <n v="0.1631"/>
        <n v="0.1632"/>
        <n v="0.1634"/>
        <n v="0.1635"/>
        <n v="0.1636"/>
        <n v="0.1637"/>
        <n v="0.1638"/>
        <n v="0.1639"/>
        <n v="0.1642"/>
        <n v="0.1643"/>
        <n v="0.1644"/>
        <n v="0.1649"/>
        <n v="0.1652"/>
        <n v="0.1655"/>
        <n v="0.1658"/>
        <n v="0.1663"/>
        <n v="0.1665"/>
        <n v="0.1667"/>
        <n v="0.1668"/>
        <n v="0.1672"/>
        <n v="0.1673"/>
        <n v="0.1674"/>
        <n v="0.1675"/>
        <n v="0.1676"/>
        <n v="0.1679"/>
        <n v="0.1682"/>
        <n v="0.1683"/>
        <n v="0.1684"/>
        <n v="0.1686"/>
        <n v="0.1687"/>
        <n v="0.1689"/>
        <n v="0.1692"/>
        <n v="0.1693"/>
        <n v="0.1695"/>
        <n v="0.1697"/>
        <n v="0.1698"/>
        <n v="0.17"/>
        <n v="0.1701"/>
        <n v="0.1702"/>
        <n v="0.1704"/>
        <n v="0.1705"/>
        <n v="0.171"/>
        <n v="0.1711"/>
        <n v="0.1714"/>
        <n v="0.1716"/>
        <n v="0.1719"/>
        <n v="0.172"/>
        <n v="0.1721"/>
        <n v="0.1723"/>
        <n v="0.1724"/>
        <n v="0.1725"/>
        <n v="0.1726"/>
        <n v="0.1727"/>
        <n v="0.173"/>
        <n v="0.1731"/>
        <n v="0.1733"/>
        <n v="0.1734"/>
        <n v="0.1735"/>
        <n v="0.1737"/>
        <n v="0.1743"/>
        <n v="0.1745"/>
        <n v="0.1747"/>
        <n v="0.1748"/>
        <n v="0.1752"/>
        <n v="0.1757"/>
        <n v="0.1759"/>
        <n v="0.176"/>
        <n v="0.1762"/>
        <n v="0.1764"/>
        <n v="0.1766"/>
        <n v="0.1767"/>
        <n v="0.1772"/>
        <n v="0.1777"/>
        <n v="0.1778"/>
        <n v="0.1779"/>
        <n v="0.1784"/>
        <n v="0.1786"/>
        <n v="0.1787"/>
        <n v="0.1795"/>
        <n v="0.1796"/>
        <n v="0.1797"/>
        <n v="0.1801"/>
        <n v="0.1805"/>
        <n v="0.1807"/>
        <n v="0.1809"/>
        <n v="0.1812"/>
        <n v="0.1816"/>
        <n v="0.1819"/>
        <n v="0.182"/>
        <n v="0.1821"/>
        <n v="0.1822"/>
        <n v="0.1828"/>
        <n v="0.1829"/>
        <n v="0.1834"/>
        <n v="0.1835"/>
        <n v="0.184"/>
        <n v="0.1846"/>
        <n v="0.1848"/>
        <n v="0.1849"/>
        <n v="0.185"/>
        <n v="0.1851"/>
        <n v="0.1852"/>
        <n v="0.1854"/>
        <n v="0.1856"/>
        <n v="0.1859"/>
        <n v="0.186"/>
        <n v="0.1864"/>
        <n v="0.1871"/>
        <n v="0.1874"/>
        <n v="0.1879"/>
        <n v="0.1881"/>
        <n v="0.1886"/>
        <n v="0.1888"/>
        <n v="0.1889"/>
        <n v="0.189"/>
        <n v="0.1891"/>
        <n v="0.1892"/>
        <n v="0.1897"/>
        <n v="0.1899"/>
        <n v="0.1901"/>
        <n v="0.1907"/>
        <n v="0.1911"/>
        <n v="0.1917"/>
        <n v="0.1919"/>
        <n v="0.1923"/>
        <n v="0.1928"/>
        <n v="0.1939"/>
        <n v="0.194"/>
        <n v="0.1941"/>
        <n v="0.1943"/>
        <n v="0.1944"/>
        <n v="0.1946"/>
        <n v="0.1948"/>
        <n v="0.1954"/>
        <n v="0.1958"/>
        <n v="0.1959"/>
        <n v="0.196"/>
        <n v="0.1964"/>
        <n v="0.1965"/>
        <n v="0.1967"/>
        <n v="0.1969"/>
        <n v="0.197"/>
        <n v="0.1973"/>
        <n v="0.1975"/>
        <n v="0.1978"/>
        <n v="0.1979"/>
        <n v="0.1986"/>
        <n v="0.1988"/>
        <n v="0.1991"/>
        <n v="0.1992"/>
        <n v="0.1993"/>
        <n v="0.1996"/>
        <n v="0.2"/>
        <n v="0.2002"/>
        <n v="0.2004"/>
        <n v="0.2005"/>
        <n v="0.2007"/>
        <n v="0.2016"/>
        <n v="0.2017"/>
        <n v="0.202"/>
        <n v="0.2023"/>
        <n v="0.2027"/>
        <n v="0.2028"/>
        <n v="0.2034"/>
        <n v="0.2036"/>
        <n v="0.2037"/>
        <n v="0.2038"/>
        <n v="0.2039"/>
        <n v="0.2041"/>
        <n v="0.2042"/>
        <n v="0.2046"/>
        <n v="0.2051"/>
        <n v="0.2056"/>
        <n v="0.2058"/>
        <n v="0.207"/>
        <n v="0.2071"/>
        <n v="0.2075"/>
        <n v="0.2076"/>
        <n v="0.2077"/>
        <n v="0.2078"/>
        <n v="0.2082"/>
        <n v="0.2084"/>
        <n v="0.2085"/>
        <n v="0.2088"/>
        <n v="0.2092"/>
        <n v="0.2094"/>
        <n v="0.2097"/>
        <n v="0.21"/>
        <n v="0.2103"/>
        <n v="0.2106"/>
        <n v="0.2111"/>
        <n v="0.2115"/>
        <n v="0.2122"/>
        <n v="0.2123"/>
        <n v="0.2125"/>
        <n v="0.2129"/>
        <n v="0.2133"/>
        <n v="0.2137"/>
        <n v="0.2138"/>
        <n v="0.2148"/>
        <n v="0.2152"/>
        <n v="0.2164"/>
        <n v="0.2167"/>
        <n v="0.2172"/>
        <n v="0.2184"/>
        <n v="0.2187"/>
        <n v="0.2196"/>
        <n v="0.2198"/>
        <n v="0.2199"/>
        <n v="0.2203"/>
        <n v="0.2204"/>
        <n v="0.2206"/>
        <n v="0.2208"/>
        <n v="0.2212"/>
        <n v="0.2215"/>
        <n v="0.2216"/>
        <n v="0.2217"/>
        <n v="0.2222"/>
        <n v="0.2233"/>
        <n v="0.2239"/>
        <n v="0.2241"/>
        <n v="0.2243"/>
        <n v="0.225"/>
        <n v="0.2257"/>
        <n v="0.2261"/>
        <n v="0.2263"/>
        <n v="0.2295"/>
        <n v="0.2317"/>
        <n v="0.2342"/>
        <n v="0.2344"/>
        <n v="0.2352"/>
        <n v="0.2363"/>
        <n v="0.2405"/>
        <n v="0.2409"/>
        <n v="0.2442"/>
        <n v="0.2474"/>
        <n v="0.2489"/>
        <n v="0.2515"/>
        <n v="0.256"/>
        <n v="0.2664"/>
        <n v="0.2678"/>
        <n v="0.2724"/>
        <n v="0.2739"/>
        <n v="0.2745"/>
        <n v="0.2761"/>
        <n v="0.2771"/>
        <n v="0.2795"/>
        <n v="0.2824"/>
        <n v="0.2828"/>
        <n v="0.2837"/>
        <n v="0.2844"/>
        <n v="0.2846"/>
        <n v="0.2848"/>
        <n v="0.2878"/>
        <n v="0.2886"/>
        <n v="0.2906"/>
        <n v="0.2913"/>
        <n v="0.2944"/>
        <n v="0.2961"/>
        <n v="0.2965"/>
        <n v="0.2969"/>
        <n v="0.297"/>
        <n v="0.2988"/>
        <n v="0.3016"/>
        <n v="0.3023"/>
        <n v="0.3027"/>
        <n v="0.3075"/>
        <n v="0.3088"/>
        <n v="0.3091"/>
        <n v="0.3099"/>
        <n v="0.3126"/>
        <n v="0.3162"/>
        <n v="0.3191"/>
        <n v="0.3201"/>
        <n v="0.3212"/>
        <n v="0.3291"/>
        <n v="0.3328"/>
        <n v="0.3377"/>
        <n v="0.3416"/>
        <n v="0.3418"/>
        <n v="0.4268"/>
        <n v="0.4286"/>
        <n v="0.4359"/>
        <n v="0.4455"/>
        <n v="0.4457"/>
        <n v="0.4543"/>
        <n v="0.4545"/>
        <n v="0.4641"/>
        <n v="0.4714"/>
        <n v="0.4732"/>
      </sharedItems>
    </cacheField>
    <cacheField name="projectName" numFmtId="0">
      <sharedItems count="4">
        <s v="ac15-plain"/>
        <s v="hybrid_v3_5"/>
        <s v="hysem"/>
        <s v="test_ac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1">
  <r>
    <x v="0"/>
    <x v="6"/>
    <x v="250"/>
    <x v="3"/>
  </r>
  <r>
    <x v="0"/>
    <x v="9"/>
    <x v="200"/>
    <x v="3"/>
  </r>
  <r>
    <x v="0"/>
    <x v="4"/>
    <x v="165"/>
    <x v="3"/>
  </r>
  <r>
    <x v="0"/>
    <x v="0"/>
    <x v="59"/>
    <x v="3"/>
  </r>
  <r>
    <x v="0"/>
    <x v="3"/>
    <x v="58"/>
    <x v="3"/>
  </r>
  <r>
    <x v="0"/>
    <x v="10"/>
    <x v="0"/>
    <x v="3"/>
  </r>
  <r>
    <x v="1"/>
    <x v="6"/>
    <x v="203"/>
    <x v="3"/>
  </r>
  <r>
    <x v="1"/>
    <x v="9"/>
    <x v="190"/>
    <x v="3"/>
  </r>
  <r>
    <x v="1"/>
    <x v="4"/>
    <x v="174"/>
    <x v="3"/>
  </r>
  <r>
    <x v="1"/>
    <x v="8"/>
    <x v="132"/>
    <x v="3"/>
  </r>
  <r>
    <x v="1"/>
    <x v="0"/>
    <x v="51"/>
    <x v="3"/>
  </r>
  <r>
    <x v="1"/>
    <x v="10"/>
    <x v="0"/>
    <x v="3"/>
  </r>
  <r>
    <x v="2"/>
    <x v="6"/>
    <x v="203"/>
    <x v="3"/>
  </r>
  <r>
    <x v="2"/>
    <x v="9"/>
    <x v="196"/>
    <x v="3"/>
  </r>
  <r>
    <x v="2"/>
    <x v="4"/>
    <x v="170"/>
    <x v="3"/>
  </r>
  <r>
    <x v="2"/>
    <x v="0"/>
    <x v="149"/>
    <x v="3"/>
  </r>
  <r>
    <x v="2"/>
    <x v="7"/>
    <x v="29"/>
    <x v="3"/>
  </r>
  <r>
    <x v="2"/>
    <x v="10"/>
    <x v="0"/>
    <x v="3"/>
  </r>
  <r>
    <x v="3"/>
    <x v="9"/>
    <x v="260"/>
    <x v="3"/>
  </r>
  <r>
    <x v="3"/>
    <x v="6"/>
    <x v="203"/>
    <x v="3"/>
  </r>
  <r>
    <x v="3"/>
    <x v="4"/>
    <x v="136"/>
    <x v="3"/>
  </r>
  <r>
    <x v="3"/>
    <x v="3"/>
    <x v="80"/>
    <x v="3"/>
  </r>
  <r>
    <x v="3"/>
    <x v="1"/>
    <x v="54"/>
    <x v="3"/>
  </r>
  <r>
    <x v="3"/>
    <x v="10"/>
    <x v="0"/>
    <x v="3"/>
  </r>
  <r>
    <x v="4"/>
    <x v="6"/>
    <x v="222"/>
    <x v="3"/>
  </r>
  <r>
    <x v="4"/>
    <x v="9"/>
    <x v="197"/>
    <x v="3"/>
  </r>
  <r>
    <x v="4"/>
    <x v="8"/>
    <x v="141"/>
    <x v="3"/>
  </r>
  <r>
    <x v="4"/>
    <x v="0"/>
    <x v="125"/>
    <x v="3"/>
  </r>
  <r>
    <x v="4"/>
    <x v="4"/>
    <x v="79"/>
    <x v="3"/>
  </r>
  <r>
    <x v="4"/>
    <x v="10"/>
    <x v="0"/>
    <x v="3"/>
  </r>
  <r>
    <x v="5"/>
    <x v="6"/>
    <x v="345"/>
    <x v="3"/>
  </r>
  <r>
    <x v="5"/>
    <x v="9"/>
    <x v="341"/>
    <x v="3"/>
  </r>
  <r>
    <x v="5"/>
    <x v="4"/>
    <x v="331"/>
    <x v="3"/>
  </r>
  <r>
    <x v="5"/>
    <x v="10"/>
    <x v="0"/>
    <x v="3"/>
  </r>
  <r>
    <x v="6"/>
    <x v="6"/>
    <x v="246"/>
    <x v="3"/>
  </r>
  <r>
    <x v="6"/>
    <x v="4"/>
    <x v="207"/>
    <x v="3"/>
  </r>
  <r>
    <x v="6"/>
    <x v="9"/>
    <x v="198"/>
    <x v="3"/>
  </r>
  <r>
    <x v="6"/>
    <x v="0"/>
    <x v="31"/>
    <x v="3"/>
  </r>
  <r>
    <x v="6"/>
    <x v="8"/>
    <x v="29"/>
    <x v="3"/>
  </r>
  <r>
    <x v="6"/>
    <x v="10"/>
    <x v="0"/>
    <x v="3"/>
  </r>
  <r>
    <x v="7"/>
    <x v="0"/>
    <x v="182"/>
    <x v="3"/>
  </r>
  <r>
    <x v="7"/>
    <x v="6"/>
    <x v="172"/>
    <x v="3"/>
  </r>
  <r>
    <x v="7"/>
    <x v="9"/>
    <x v="157"/>
    <x v="3"/>
  </r>
  <r>
    <x v="7"/>
    <x v="4"/>
    <x v="154"/>
    <x v="3"/>
  </r>
  <r>
    <x v="7"/>
    <x v="8"/>
    <x v="121"/>
    <x v="3"/>
  </r>
  <r>
    <x v="7"/>
    <x v="10"/>
    <x v="0"/>
    <x v="3"/>
  </r>
  <r>
    <x v="8"/>
    <x v="9"/>
    <x v="263"/>
    <x v="3"/>
  </r>
  <r>
    <x v="8"/>
    <x v="6"/>
    <x v="193"/>
    <x v="3"/>
  </r>
  <r>
    <x v="8"/>
    <x v="4"/>
    <x v="107"/>
    <x v="3"/>
  </r>
  <r>
    <x v="8"/>
    <x v="0"/>
    <x v="96"/>
    <x v="3"/>
  </r>
  <r>
    <x v="8"/>
    <x v="3"/>
    <x v="88"/>
    <x v="3"/>
  </r>
  <r>
    <x v="8"/>
    <x v="10"/>
    <x v="0"/>
    <x v="3"/>
  </r>
  <r>
    <x v="9"/>
    <x v="9"/>
    <x v="234"/>
    <x v="3"/>
  </r>
  <r>
    <x v="9"/>
    <x v="6"/>
    <x v="205"/>
    <x v="3"/>
  </r>
  <r>
    <x v="9"/>
    <x v="4"/>
    <x v="183"/>
    <x v="3"/>
  </r>
  <r>
    <x v="9"/>
    <x v="3"/>
    <x v="53"/>
    <x v="3"/>
  </r>
  <r>
    <x v="9"/>
    <x v="0"/>
    <x v="48"/>
    <x v="3"/>
  </r>
  <r>
    <x v="9"/>
    <x v="10"/>
    <x v="0"/>
    <x v="3"/>
  </r>
  <r>
    <x v="10"/>
    <x v="9"/>
    <x v="228"/>
    <x v="3"/>
  </r>
  <r>
    <x v="10"/>
    <x v="4"/>
    <x v="178"/>
    <x v="3"/>
  </r>
  <r>
    <x v="10"/>
    <x v="6"/>
    <x v="143"/>
    <x v="3"/>
  </r>
  <r>
    <x v="10"/>
    <x v="0"/>
    <x v="118"/>
    <x v="3"/>
  </r>
  <r>
    <x v="10"/>
    <x v="1"/>
    <x v="102"/>
    <x v="3"/>
  </r>
  <r>
    <x v="10"/>
    <x v="10"/>
    <x v="0"/>
    <x v="3"/>
  </r>
  <r>
    <x v="11"/>
    <x v="9"/>
    <x v="312"/>
    <x v="3"/>
  </r>
  <r>
    <x v="11"/>
    <x v="6"/>
    <x v="304"/>
    <x v="3"/>
  </r>
  <r>
    <x v="11"/>
    <x v="0"/>
    <x v="280"/>
    <x v="3"/>
  </r>
  <r>
    <x v="11"/>
    <x v="4"/>
    <x v="242"/>
    <x v="3"/>
  </r>
  <r>
    <x v="11"/>
    <x v="10"/>
    <x v="0"/>
    <x v="3"/>
  </r>
  <r>
    <x v="12"/>
    <x v="6"/>
    <x v="349"/>
    <x v="3"/>
  </r>
  <r>
    <x v="12"/>
    <x v="9"/>
    <x v="336"/>
    <x v="3"/>
  </r>
  <r>
    <x v="12"/>
    <x v="0"/>
    <x v="327"/>
    <x v="3"/>
  </r>
  <r>
    <x v="12"/>
    <x v="10"/>
    <x v="0"/>
    <x v="3"/>
  </r>
  <r>
    <x v="13"/>
    <x v="6"/>
    <x v="267"/>
    <x v="3"/>
  </r>
  <r>
    <x v="13"/>
    <x v="9"/>
    <x v="213"/>
    <x v="3"/>
  </r>
  <r>
    <x v="13"/>
    <x v="4"/>
    <x v="105"/>
    <x v="3"/>
  </r>
  <r>
    <x v="13"/>
    <x v="3"/>
    <x v="79"/>
    <x v="3"/>
  </r>
  <r>
    <x v="13"/>
    <x v="0"/>
    <x v="63"/>
    <x v="3"/>
  </r>
  <r>
    <x v="13"/>
    <x v="10"/>
    <x v="0"/>
    <x v="3"/>
  </r>
  <r>
    <x v="14"/>
    <x v="6"/>
    <x v="239"/>
    <x v="3"/>
  </r>
  <r>
    <x v="14"/>
    <x v="4"/>
    <x v="168"/>
    <x v="3"/>
  </r>
  <r>
    <x v="14"/>
    <x v="9"/>
    <x v="164"/>
    <x v="3"/>
  </r>
  <r>
    <x v="14"/>
    <x v="3"/>
    <x v="113"/>
    <x v="3"/>
  </r>
  <r>
    <x v="14"/>
    <x v="8"/>
    <x v="72"/>
    <x v="3"/>
  </r>
  <r>
    <x v="14"/>
    <x v="10"/>
    <x v="0"/>
    <x v="3"/>
  </r>
  <r>
    <x v="15"/>
    <x v="9"/>
    <x v="344"/>
    <x v="3"/>
  </r>
  <r>
    <x v="15"/>
    <x v="4"/>
    <x v="337"/>
    <x v="3"/>
  </r>
  <r>
    <x v="15"/>
    <x v="6"/>
    <x v="334"/>
    <x v="3"/>
  </r>
  <r>
    <x v="15"/>
    <x v="10"/>
    <x v="0"/>
    <x v="3"/>
  </r>
  <r>
    <x v="16"/>
    <x v="9"/>
    <x v="314"/>
    <x v="3"/>
  </r>
  <r>
    <x v="16"/>
    <x v="6"/>
    <x v="295"/>
    <x v="3"/>
  </r>
  <r>
    <x v="16"/>
    <x v="4"/>
    <x v="279"/>
    <x v="3"/>
  </r>
  <r>
    <x v="16"/>
    <x v="0"/>
    <x v="259"/>
    <x v="3"/>
  </r>
  <r>
    <x v="16"/>
    <x v="10"/>
    <x v="0"/>
    <x v="3"/>
  </r>
  <r>
    <x v="17"/>
    <x v="9"/>
    <x v="219"/>
    <x v="3"/>
  </r>
  <r>
    <x v="17"/>
    <x v="6"/>
    <x v="218"/>
    <x v="3"/>
  </r>
  <r>
    <x v="17"/>
    <x v="4"/>
    <x v="156"/>
    <x v="3"/>
  </r>
  <r>
    <x v="17"/>
    <x v="0"/>
    <x v="83"/>
    <x v="3"/>
  </r>
  <r>
    <x v="17"/>
    <x v="3"/>
    <x v="71"/>
    <x v="3"/>
  </r>
  <r>
    <x v="17"/>
    <x v="10"/>
    <x v="0"/>
    <x v="3"/>
  </r>
  <r>
    <x v="18"/>
    <x v="6"/>
    <x v="223"/>
    <x v="3"/>
  </r>
  <r>
    <x v="18"/>
    <x v="9"/>
    <x v="184"/>
    <x v="3"/>
  </r>
  <r>
    <x v="18"/>
    <x v="4"/>
    <x v="155"/>
    <x v="3"/>
  </r>
  <r>
    <x v="18"/>
    <x v="7"/>
    <x v="125"/>
    <x v="3"/>
  </r>
  <r>
    <x v="18"/>
    <x v="0"/>
    <x v="73"/>
    <x v="3"/>
  </r>
  <r>
    <x v="18"/>
    <x v="10"/>
    <x v="0"/>
    <x v="3"/>
  </r>
  <r>
    <x v="19"/>
    <x v="6"/>
    <x v="214"/>
    <x v="3"/>
  </r>
  <r>
    <x v="19"/>
    <x v="9"/>
    <x v="199"/>
    <x v="3"/>
  </r>
  <r>
    <x v="19"/>
    <x v="4"/>
    <x v="188"/>
    <x v="3"/>
  </r>
  <r>
    <x v="19"/>
    <x v="0"/>
    <x v="111"/>
    <x v="3"/>
  </r>
  <r>
    <x v="19"/>
    <x v="3"/>
    <x v="23"/>
    <x v="3"/>
  </r>
  <r>
    <x v="19"/>
    <x v="10"/>
    <x v="0"/>
    <x v="3"/>
  </r>
  <r>
    <x v="20"/>
    <x v="9"/>
    <x v="313"/>
    <x v="3"/>
  </r>
  <r>
    <x v="20"/>
    <x v="6"/>
    <x v="308"/>
    <x v="3"/>
  </r>
  <r>
    <x v="20"/>
    <x v="4"/>
    <x v="263"/>
    <x v="3"/>
  </r>
  <r>
    <x v="20"/>
    <x v="3"/>
    <x v="248"/>
    <x v="3"/>
  </r>
  <r>
    <x v="20"/>
    <x v="10"/>
    <x v="0"/>
    <x v="3"/>
  </r>
  <r>
    <x v="21"/>
    <x v="9"/>
    <x v="272"/>
    <x v="3"/>
  </r>
  <r>
    <x v="21"/>
    <x v="6"/>
    <x v="271"/>
    <x v="3"/>
  </r>
  <r>
    <x v="21"/>
    <x v="4"/>
    <x v="129"/>
    <x v="3"/>
  </r>
  <r>
    <x v="21"/>
    <x v="8"/>
    <x v="15"/>
    <x v="3"/>
  </r>
  <r>
    <x v="21"/>
    <x v="5"/>
    <x v="9"/>
    <x v="3"/>
  </r>
  <r>
    <x v="21"/>
    <x v="10"/>
    <x v="0"/>
    <x v="3"/>
  </r>
  <r>
    <x v="22"/>
    <x v="6"/>
    <x v="257"/>
    <x v="3"/>
  </r>
  <r>
    <x v="22"/>
    <x v="9"/>
    <x v="215"/>
    <x v="3"/>
  </r>
  <r>
    <x v="22"/>
    <x v="4"/>
    <x v="130"/>
    <x v="3"/>
  </r>
  <r>
    <x v="22"/>
    <x v="7"/>
    <x v="90"/>
    <x v="3"/>
  </r>
  <r>
    <x v="22"/>
    <x v="5"/>
    <x v="40"/>
    <x v="3"/>
  </r>
  <r>
    <x v="22"/>
    <x v="10"/>
    <x v="0"/>
    <x v="3"/>
  </r>
  <r>
    <x v="23"/>
    <x v="9"/>
    <x v="346"/>
    <x v="3"/>
  </r>
  <r>
    <x v="23"/>
    <x v="6"/>
    <x v="339"/>
    <x v="3"/>
  </r>
  <r>
    <x v="23"/>
    <x v="4"/>
    <x v="333"/>
    <x v="3"/>
  </r>
  <r>
    <x v="23"/>
    <x v="10"/>
    <x v="0"/>
    <x v="3"/>
  </r>
  <r>
    <x v="24"/>
    <x v="6"/>
    <x v="245"/>
    <x v="3"/>
  </r>
  <r>
    <x v="24"/>
    <x v="4"/>
    <x v="211"/>
    <x v="3"/>
  </r>
  <r>
    <x v="24"/>
    <x v="9"/>
    <x v="204"/>
    <x v="3"/>
  </r>
  <r>
    <x v="24"/>
    <x v="3"/>
    <x v="20"/>
    <x v="3"/>
  </r>
  <r>
    <x v="24"/>
    <x v="0"/>
    <x v="17"/>
    <x v="3"/>
  </r>
  <r>
    <x v="24"/>
    <x v="10"/>
    <x v="0"/>
    <x v="3"/>
  </r>
  <r>
    <x v="0"/>
    <x v="6"/>
    <x v="277"/>
    <x v="0"/>
  </r>
  <r>
    <x v="0"/>
    <x v="9"/>
    <x v="202"/>
    <x v="0"/>
  </r>
  <r>
    <x v="0"/>
    <x v="4"/>
    <x v="100"/>
    <x v="0"/>
  </r>
  <r>
    <x v="0"/>
    <x v="0"/>
    <x v="79"/>
    <x v="0"/>
  </r>
  <r>
    <x v="0"/>
    <x v="3"/>
    <x v="64"/>
    <x v="0"/>
  </r>
  <r>
    <x v="0"/>
    <x v="10"/>
    <x v="0"/>
    <x v="0"/>
  </r>
  <r>
    <x v="1"/>
    <x v="6"/>
    <x v="274"/>
    <x v="0"/>
  </r>
  <r>
    <x v="1"/>
    <x v="9"/>
    <x v="175"/>
    <x v="0"/>
  </r>
  <r>
    <x v="1"/>
    <x v="8"/>
    <x v="151"/>
    <x v="0"/>
  </r>
  <r>
    <x v="1"/>
    <x v="4"/>
    <x v="76"/>
    <x v="0"/>
  </r>
  <r>
    <x v="1"/>
    <x v="0"/>
    <x v="61"/>
    <x v="0"/>
  </r>
  <r>
    <x v="1"/>
    <x v="10"/>
    <x v="0"/>
    <x v="0"/>
  </r>
  <r>
    <x v="2"/>
    <x v="6"/>
    <x v="271"/>
    <x v="0"/>
  </r>
  <r>
    <x v="2"/>
    <x v="9"/>
    <x v="184"/>
    <x v="0"/>
  </r>
  <r>
    <x v="2"/>
    <x v="0"/>
    <x v="148"/>
    <x v="0"/>
  </r>
  <r>
    <x v="2"/>
    <x v="8"/>
    <x v="91"/>
    <x v="0"/>
  </r>
  <r>
    <x v="2"/>
    <x v="4"/>
    <x v="44"/>
    <x v="0"/>
  </r>
  <r>
    <x v="2"/>
    <x v="10"/>
    <x v="0"/>
    <x v="0"/>
  </r>
  <r>
    <x v="3"/>
    <x v="6"/>
    <x v="299"/>
    <x v="0"/>
  </r>
  <r>
    <x v="3"/>
    <x v="9"/>
    <x v="214"/>
    <x v="0"/>
  </r>
  <r>
    <x v="3"/>
    <x v="4"/>
    <x v="90"/>
    <x v="0"/>
  </r>
  <r>
    <x v="3"/>
    <x v="8"/>
    <x v="41"/>
    <x v="0"/>
  </r>
  <r>
    <x v="3"/>
    <x v="0"/>
    <x v="36"/>
    <x v="0"/>
  </r>
  <r>
    <x v="3"/>
    <x v="10"/>
    <x v="0"/>
    <x v="0"/>
  </r>
  <r>
    <x v="4"/>
    <x v="6"/>
    <x v="275"/>
    <x v="0"/>
  </r>
  <r>
    <x v="4"/>
    <x v="9"/>
    <x v="167"/>
    <x v="0"/>
  </r>
  <r>
    <x v="4"/>
    <x v="8"/>
    <x v="162"/>
    <x v="0"/>
  </r>
  <r>
    <x v="4"/>
    <x v="4"/>
    <x v="77"/>
    <x v="0"/>
  </r>
  <r>
    <x v="4"/>
    <x v="0"/>
    <x v="56"/>
    <x v="0"/>
  </r>
  <r>
    <x v="4"/>
    <x v="10"/>
    <x v="0"/>
    <x v="0"/>
  </r>
  <r>
    <x v="5"/>
    <x v="6"/>
    <x v="291"/>
    <x v="0"/>
  </r>
  <r>
    <x v="5"/>
    <x v="9"/>
    <x v="221"/>
    <x v="0"/>
  </r>
  <r>
    <x v="5"/>
    <x v="4"/>
    <x v="70"/>
    <x v="0"/>
  </r>
  <r>
    <x v="5"/>
    <x v="0"/>
    <x v="59"/>
    <x v="0"/>
  </r>
  <r>
    <x v="5"/>
    <x v="8"/>
    <x v="47"/>
    <x v="0"/>
  </r>
  <r>
    <x v="5"/>
    <x v="10"/>
    <x v="0"/>
    <x v="0"/>
  </r>
  <r>
    <x v="6"/>
    <x v="6"/>
    <x v="302"/>
    <x v="0"/>
  </r>
  <r>
    <x v="6"/>
    <x v="9"/>
    <x v="153"/>
    <x v="0"/>
  </r>
  <r>
    <x v="6"/>
    <x v="4"/>
    <x v="140"/>
    <x v="0"/>
  </r>
  <r>
    <x v="6"/>
    <x v="8"/>
    <x v="85"/>
    <x v="0"/>
  </r>
  <r>
    <x v="6"/>
    <x v="0"/>
    <x v="34"/>
    <x v="0"/>
  </r>
  <r>
    <x v="6"/>
    <x v="10"/>
    <x v="0"/>
    <x v="0"/>
  </r>
  <r>
    <x v="7"/>
    <x v="6"/>
    <x v="236"/>
    <x v="0"/>
  </r>
  <r>
    <x v="7"/>
    <x v="9"/>
    <x v="220"/>
    <x v="0"/>
  </r>
  <r>
    <x v="7"/>
    <x v="8"/>
    <x v="137"/>
    <x v="0"/>
  </r>
  <r>
    <x v="7"/>
    <x v="4"/>
    <x v="81"/>
    <x v="0"/>
  </r>
  <r>
    <x v="7"/>
    <x v="0"/>
    <x v="73"/>
    <x v="0"/>
  </r>
  <r>
    <x v="7"/>
    <x v="10"/>
    <x v="0"/>
    <x v="0"/>
  </r>
  <r>
    <x v="8"/>
    <x v="9"/>
    <x v="241"/>
    <x v="0"/>
  </r>
  <r>
    <x v="8"/>
    <x v="6"/>
    <x v="232"/>
    <x v="0"/>
  </r>
  <r>
    <x v="8"/>
    <x v="8"/>
    <x v="104"/>
    <x v="0"/>
  </r>
  <r>
    <x v="8"/>
    <x v="0"/>
    <x v="89"/>
    <x v="0"/>
  </r>
  <r>
    <x v="8"/>
    <x v="3"/>
    <x v="71"/>
    <x v="0"/>
  </r>
  <r>
    <x v="8"/>
    <x v="10"/>
    <x v="0"/>
    <x v="0"/>
  </r>
  <r>
    <x v="9"/>
    <x v="6"/>
    <x v="264"/>
    <x v="0"/>
  </r>
  <r>
    <x v="9"/>
    <x v="9"/>
    <x v="212"/>
    <x v="0"/>
  </r>
  <r>
    <x v="9"/>
    <x v="4"/>
    <x v="133"/>
    <x v="0"/>
  </r>
  <r>
    <x v="9"/>
    <x v="0"/>
    <x v="79"/>
    <x v="0"/>
  </r>
  <r>
    <x v="9"/>
    <x v="8"/>
    <x v="43"/>
    <x v="0"/>
  </r>
  <r>
    <x v="9"/>
    <x v="10"/>
    <x v="0"/>
    <x v="0"/>
  </r>
  <r>
    <x v="10"/>
    <x v="9"/>
    <x v="247"/>
    <x v="0"/>
  </r>
  <r>
    <x v="10"/>
    <x v="6"/>
    <x v="201"/>
    <x v="0"/>
  </r>
  <r>
    <x v="10"/>
    <x v="0"/>
    <x v="121"/>
    <x v="0"/>
  </r>
  <r>
    <x v="10"/>
    <x v="1"/>
    <x v="119"/>
    <x v="0"/>
  </r>
  <r>
    <x v="10"/>
    <x v="4"/>
    <x v="60"/>
    <x v="0"/>
  </r>
  <r>
    <x v="10"/>
    <x v="10"/>
    <x v="0"/>
    <x v="0"/>
  </r>
  <r>
    <x v="11"/>
    <x v="6"/>
    <x v="310"/>
    <x v="0"/>
  </r>
  <r>
    <x v="11"/>
    <x v="9"/>
    <x v="307"/>
    <x v="0"/>
  </r>
  <r>
    <x v="11"/>
    <x v="0"/>
    <x v="301"/>
    <x v="0"/>
  </r>
  <r>
    <x v="11"/>
    <x v="8"/>
    <x v="221"/>
    <x v="0"/>
  </r>
  <r>
    <x v="11"/>
    <x v="10"/>
    <x v="0"/>
    <x v="0"/>
  </r>
  <r>
    <x v="12"/>
    <x v="6"/>
    <x v="356"/>
    <x v="0"/>
  </r>
  <r>
    <x v="12"/>
    <x v="0"/>
    <x v="326"/>
    <x v="0"/>
  </r>
  <r>
    <x v="12"/>
    <x v="8"/>
    <x v="320"/>
    <x v="0"/>
  </r>
  <r>
    <x v="12"/>
    <x v="10"/>
    <x v="0"/>
    <x v="0"/>
  </r>
  <r>
    <x v="13"/>
    <x v="6"/>
    <x v="293"/>
    <x v="0"/>
  </r>
  <r>
    <x v="13"/>
    <x v="0"/>
    <x v="140"/>
    <x v="0"/>
  </r>
  <r>
    <x v="13"/>
    <x v="8"/>
    <x v="138"/>
    <x v="0"/>
  </r>
  <r>
    <x v="13"/>
    <x v="9"/>
    <x v="110"/>
    <x v="0"/>
  </r>
  <r>
    <x v="13"/>
    <x v="4"/>
    <x v="50"/>
    <x v="0"/>
  </r>
  <r>
    <x v="13"/>
    <x v="10"/>
    <x v="0"/>
    <x v="0"/>
  </r>
  <r>
    <x v="14"/>
    <x v="6"/>
    <x v="295"/>
    <x v="0"/>
  </r>
  <r>
    <x v="14"/>
    <x v="9"/>
    <x v="176"/>
    <x v="0"/>
  </r>
  <r>
    <x v="14"/>
    <x v="4"/>
    <x v="128"/>
    <x v="0"/>
  </r>
  <r>
    <x v="14"/>
    <x v="8"/>
    <x v="80"/>
    <x v="0"/>
  </r>
  <r>
    <x v="14"/>
    <x v="0"/>
    <x v="32"/>
    <x v="0"/>
  </r>
  <r>
    <x v="14"/>
    <x v="10"/>
    <x v="0"/>
    <x v="0"/>
  </r>
  <r>
    <x v="15"/>
    <x v="6"/>
    <x v="355"/>
    <x v="0"/>
  </r>
  <r>
    <x v="15"/>
    <x v="9"/>
    <x v="332"/>
    <x v="0"/>
  </r>
  <r>
    <x v="15"/>
    <x v="4"/>
    <x v="317"/>
    <x v="0"/>
  </r>
  <r>
    <x v="15"/>
    <x v="10"/>
    <x v="0"/>
    <x v="0"/>
  </r>
  <r>
    <x v="16"/>
    <x v="9"/>
    <x v="258"/>
    <x v="0"/>
  </r>
  <r>
    <x v="16"/>
    <x v="0"/>
    <x v="189"/>
    <x v="0"/>
  </r>
  <r>
    <x v="16"/>
    <x v="6"/>
    <x v="185"/>
    <x v="0"/>
  </r>
  <r>
    <x v="16"/>
    <x v="4"/>
    <x v="62"/>
    <x v="0"/>
  </r>
  <r>
    <x v="16"/>
    <x v="8"/>
    <x v="26"/>
    <x v="0"/>
  </r>
  <r>
    <x v="16"/>
    <x v="10"/>
    <x v="0"/>
    <x v="0"/>
  </r>
  <r>
    <x v="17"/>
    <x v="6"/>
    <x v="238"/>
    <x v="0"/>
  </r>
  <r>
    <x v="17"/>
    <x v="9"/>
    <x v="186"/>
    <x v="0"/>
  </r>
  <r>
    <x v="17"/>
    <x v="0"/>
    <x v="144"/>
    <x v="0"/>
  </r>
  <r>
    <x v="17"/>
    <x v="4"/>
    <x v="134"/>
    <x v="0"/>
  </r>
  <r>
    <x v="17"/>
    <x v="3"/>
    <x v="55"/>
    <x v="0"/>
  </r>
  <r>
    <x v="17"/>
    <x v="10"/>
    <x v="0"/>
    <x v="0"/>
  </r>
  <r>
    <x v="18"/>
    <x v="6"/>
    <x v="235"/>
    <x v="0"/>
  </r>
  <r>
    <x v="18"/>
    <x v="9"/>
    <x v="206"/>
    <x v="0"/>
  </r>
  <r>
    <x v="18"/>
    <x v="8"/>
    <x v="124"/>
    <x v="0"/>
  </r>
  <r>
    <x v="18"/>
    <x v="4"/>
    <x v="116"/>
    <x v="0"/>
  </r>
  <r>
    <x v="18"/>
    <x v="7"/>
    <x v="66"/>
    <x v="0"/>
  </r>
  <r>
    <x v="18"/>
    <x v="10"/>
    <x v="0"/>
    <x v="0"/>
  </r>
  <r>
    <x v="19"/>
    <x v="6"/>
    <x v="231"/>
    <x v="0"/>
  </r>
  <r>
    <x v="19"/>
    <x v="9"/>
    <x v="210"/>
    <x v="0"/>
  </r>
  <r>
    <x v="19"/>
    <x v="0"/>
    <x v="147"/>
    <x v="0"/>
  </r>
  <r>
    <x v="19"/>
    <x v="4"/>
    <x v="103"/>
    <x v="0"/>
  </r>
  <r>
    <x v="19"/>
    <x v="8"/>
    <x v="52"/>
    <x v="0"/>
  </r>
  <r>
    <x v="19"/>
    <x v="10"/>
    <x v="0"/>
    <x v="0"/>
  </r>
  <r>
    <x v="20"/>
    <x v="9"/>
    <x v="256"/>
    <x v="0"/>
  </r>
  <r>
    <x v="20"/>
    <x v="6"/>
    <x v="243"/>
    <x v="0"/>
  </r>
  <r>
    <x v="20"/>
    <x v="4"/>
    <x v="117"/>
    <x v="0"/>
  </r>
  <r>
    <x v="20"/>
    <x v="0"/>
    <x v="66"/>
    <x v="0"/>
  </r>
  <r>
    <x v="20"/>
    <x v="3"/>
    <x v="38"/>
    <x v="0"/>
  </r>
  <r>
    <x v="20"/>
    <x v="10"/>
    <x v="0"/>
    <x v="0"/>
  </r>
  <r>
    <x v="21"/>
    <x v="6"/>
    <x v="301"/>
    <x v="0"/>
  </r>
  <r>
    <x v="21"/>
    <x v="9"/>
    <x v="256"/>
    <x v="0"/>
  </r>
  <r>
    <x v="21"/>
    <x v="8"/>
    <x v="39"/>
    <x v="0"/>
  </r>
  <r>
    <x v="21"/>
    <x v="3"/>
    <x v="31"/>
    <x v="0"/>
  </r>
  <r>
    <x v="21"/>
    <x v="4"/>
    <x v="25"/>
    <x v="0"/>
  </r>
  <r>
    <x v="21"/>
    <x v="10"/>
    <x v="0"/>
    <x v="0"/>
  </r>
  <r>
    <x v="22"/>
    <x v="6"/>
    <x v="274"/>
    <x v="0"/>
  </r>
  <r>
    <x v="22"/>
    <x v="9"/>
    <x v="201"/>
    <x v="0"/>
  </r>
  <r>
    <x v="22"/>
    <x v="4"/>
    <x v="102"/>
    <x v="0"/>
  </r>
  <r>
    <x v="22"/>
    <x v="0"/>
    <x v="86"/>
    <x v="0"/>
  </r>
  <r>
    <x v="22"/>
    <x v="5"/>
    <x v="67"/>
    <x v="0"/>
  </r>
  <r>
    <x v="22"/>
    <x v="10"/>
    <x v="0"/>
    <x v="0"/>
  </r>
  <r>
    <x v="23"/>
    <x v="6"/>
    <x v="362"/>
    <x v="0"/>
  </r>
  <r>
    <x v="23"/>
    <x v="9"/>
    <x v="361"/>
    <x v="0"/>
  </r>
  <r>
    <x v="23"/>
    <x v="10"/>
    <x v="0"/>
    <x v="0"/>
  </r>
  <r>
    <x v="24"/>
    <x v="6"/>
    <x v="276"/>
    <x v="0"/>
  </r>
  <r>
    <x v="24"/>
    <x v="9"/>
    <x v="225"/>
    <x v="0"/>
  </r>
  <r>
    <x v="24"/>
    <x v="4"/>
    <x v="95"/>
    <x v="0"/>
  </r>
  <r>
    <x v="24"/>
    <x v="3"/>
    <x v="65"/>
    <x v="0"/>
  </r>
  <r>
    <x v="24"/>
    <x v="8"/>
    <x v="45"/>
    <x v="0"/>
  </r>
  <r>
    <x v="24"/>
    <x v="10"/>
    <x v="0"/>
    <x v="0"/>
  </r>
  <r>
    <x v="0"/>
    <x v="6"/>
    <x v="270"/>
    <x v="1"/>
  </r>
  <r>
    <x v="0"/>
    <x v="9"/>
    <x v="159"/>
    <x v="1"/>
  </r>
  <r>
    <x v="0"/>
    <x v="0"/>
    <x v="116"/>
    <x v="1"/>
  </r>
  <r>
    <x v="0"/>
    <x v="3"/>
    <x v="108"/>
    <x v="1"/>
  </r>
  <r>
    <x v="0"/>
    <x v="4"/>
    <x v="99"/>
    <x v="1"/>
  </r>
  <r>
    <x v="0"/>
    <x v="10"/>
    <x v="0"/>
    <x v="1"/>
  </r>
  <r>
    <x v="1"/>
    <x v="6"/>
    <x v="298"/>
    <x v="1"/>
  </r>
  <r>
    <x v="1"/>
    <x v="9"/>
    <x v="194"/>
    <x v="1"/>
  </r>
  <r>
    <x v="1"/>
    <x v="0"/>
    <x v="126"/>
    <x v="1"/>
  </r>
  <r>
    <x v="1"/>
    <x v="4"/>
    <x v="42"/>
    <x v="1"/>
  </r>
  <r>
    <x v="1"/>
    <x v="3"/>
    <x v="37"/>
    <x v="1"/>
  </r>
  <r>
    <x v="1"/>
    <x v="10"/>
    <x v="0"/>
    <x v="1"/>
  </r>
  <r>
    <x v="2"/>
    <x v="6"/>
    <x v="273"/>
    <x v="1"/>
  </r>
  <r>
    <x v="2"/>
    <x v="9"/>
    <x v="212"/>
    <x v="1"/>
  </r>
  <r>
    <x v="2"/>
    <x v="0"/>
    <x v="135"/>
    <x v="1"/>
  </r>
  <r>
    <x v="2"/>
    <x v="3"/>
    <x v="82"/>
    <x v="1"/>
  </r>
  <r>
    <x v="2"/>
    <x v="4"/>
    <x v="21"/>
    <x v="1"/>
  </r>
  <r>
    <x v="2"/>
    <x v="10"/>
    <x v="0"/>
    <x v="1"/>
  </r>
  <r>
    <x v="3"/>
    <x v="6"/>
    <x v="290"/>
    <x v="1"/>
  </r>
  <r>
    <x v="3"/>
    <x v="9"/>
    <x v="241"/>
    <x v="1"/>
  </r>
  <r>
    <x v="3"/>
    <x v="3"/>
    <x v="87"/>
    <x v="1"/>
  </r>
  <r>
    <x v="3"/>
    <x v="0"/>
    <x v="36"/>
    <x v="1"/>
  </r>
  <r>
    <x v="3"/>
    <x v="4"/>
    <x v="27"/>
    <x v="1"/>
  </r>
  <r>
    <x v="3"/>
    <x v="10"/>
    <x v="0"/>
    <x v="1"/>
  </r>
  <r>
    <x v="4"/>
    <x v="6"/>
    <x v="282"/>
    <x v="1"/>
  </r>
  <r>
    <x v="4"/>
    <x v="9"/>
    <x v="195"/>
    <x v="1"/>
  </r>
  <r>
    <x v="4"/>
    <x v="0"/>
    <x v="122"/>
    <x v="1"/>
  </r>
  <r>
    <x v="4"/>
    <x v="4"/>
    <x v="74"/>
    <x v="1"/>
  </r>
  <r>
    <x v="4"/>
    <x v="3"/>
    <x v="41"/>
    <x v="1"/>
  </r>
  <r>
    <x v="4"/>
    <x v="10"/>
    <x v="0"/>
    <x v="1"/>
  </r>
  <r>
    <x v="5"/>
    <x v="6"/>
    <x v="284"/>
    <x v="1"/>
  </r>
  <r>
    <x v="5"/>
    <x v="9"/>
    <x v="224"/>
    <x v="1"/>
  </r>
  <r>
    <x v="5"/>
    <x v="4"/>
    <x v="93"/>
    <x v="1"/>
  </r>
  <r>
    <x v="5"/>
    <x v="3"/>
    <x v="57"/>
    <x v="1"/>
  </r>
  <r>
    <x v="5"/>
    <x v="0"/>
    <x v="30"/>
    <x v="1"/>
  </r>
  <r>
    <x v="5"/>
    <x v="10"/>
    <x v="0"/>
    <x v="1"/>
  </r>
  <r>
    <x v="6"/>
    <x v="6"/>
    <x v="321"/>
    <x v="1"/>
  </r>
  <r>
    <x v="6"/>
    <x v="4"/>
    <x v="261"/>
    <x v="1"/>
  </r>
  <r>
    <x v="6"/>
    <x v="9"/>
    <x v="255"/>
    <x v="1"/>
  </r>
  <r>
    <x v="6"/>
    <x v="3"/>
    <x v="251"/>
    <x v="1"/>
  </r>
  <r>
    <x v="6"/>
    <x v="10"/>
    <x v="0"/>
    <x v="1"/>
  </r>
  <r>
    <x v="7"/>
    <x v="6"/>
    <x v="249"/>
    <x v="1"/>
  </r>
  <r>
    <x v="7"/>
    <x v="9"/>
    <x v="216"/>
    <x v="1"/>
  </r>
  <r>
    <x v="7"/>
    <x v="0"/>
    <x v="145"/>
    <x v="1"/>
  </r>
  <r>
    <x v="7"/>
    <x v="4"/>
    <x v="106"/>
    <x v="1"/>
  </r>
  <r>
    <x v="7"/>
    <x v="3"/>
    <x v="16"/>
    <x v="1"/>
  </r>
  <r>
    <x v="7"/>
    <x v="10"/>
    <x v="0"/>
    <x v="1"/>
  </r>
  <r>
    <x v="8"/>
    <x v="9"/>
    <x v="268"/>
    <x v="1"/>
  </r>
  <r>
    <x v="8"/>
    <x v="6"/>
    <x v="227"/>
    <x v="1"/>
  </r>
  <r>
    <x v="8"/>
    <x v="3"/>
    <x v="111"/>
    <x v="1"/>
  </r>
  <r>
    <x v="8"/>
    <x v="0"/>
    <x v="104"/>
    <x v="1"/>
  </r>
  <r>
    <x v="8"/>
    <x v="4"/>
    <x v="12"/>
    <x v="1"/>
  </r>
  <r>
    <x v="8"/>
    <x v="10"/>
    <x v="0"/>
    <x v="1"/>
  </r>
  <r>
    <x v="9"/>
    <x v="6"/>
    <x v="283"/>
    <x v="1"/>
  </r>
  <r>
    <x v="9"/>
    <x v="9"/>
    <x v="200"/>
    <x v="1"/>
  </r>
  <r>
    <x v="9"/>
    <x v="3"/>
    <x v="136"/>
    <x v="1"/>
  </r>
  <r>
    <x v="9"/>
    <x v="0"/>
    <x v="43"/>
    <x v="1"/>
  </r>
  <r>
    <x v="9"/>
    <x v="4"/>
    <x v="40"/>
    <x v="1"/>
  </r>
  <r>
    <x v="9"/>
    <x v="10"/>
    <x v="0"/>
    <x v="1"/>
  </r>
  <r>
    <x v="10"/>
    <x v="9"/>
    <x v="315"/>
    <x v="1"/>
  </r>
  <r>
    <x v="10"/>
    <x v="6"/>
    <x v="306"/>
    <x v="1"/>
  </r>
  <r>
    <x v="10"/>
    <x v="0"/>
    <x v="262"/>
    <x v="1"/>
  </r>
  <r>
    <x v="10"/>
    <x v="1"/>
    <x v="230"/>
    <x v="1"/>
  </r>
  <r>
    <x v="10"/>
    <x v="10"/>
    <x v="0"/>
    <x v="1"/>
  </r>
  <r>
    <x v="11"/>
    <x v="9"/>
    <x v="347"/>
    <x v="1"/>
  </r>
  <r>
    <x v="11"/>
    <x v="6"/>
    <x v="342"/>
    <x v="1"/>
  </r>
  <r>
    <x v="11"/>
    <x v="0"/>
    <x v="328"/>
    <x v="1"/>
  </r>
  <r>
    <x v="11"/>
    <x v="10"/>
    <x v="0"/>
    <x v="1"/>
  </r>
  <r>
    <x v="12"/>
    <x v="6"/>
    <x v="354"/>
    <x v="1"/>
  </r>
  <r>
    <x v="12"/>
    <x v="0"/>
    <x v="325"/>
    <x v="1"/>
  </r>
  <r>
    <x v="12"/>
    <x v="9"/>
    <x v="323"/>
    <x v="1"/>
  </r>
  <r>
    <x v="12"/>
    <x v="10"/>
    <x v="0"/>
    <x v="1"/>
  </r>
  <r>
    <x v="13"/>
    <x v="6"/>
    <x v="278"/>
    <x v="1"/>
  </r>
  <r>
    <x v="13"/>
    <x v="9"/>
    <x v="158"/>
    <x v="1"/>
  </r>
  <r>
    <x v="13"/>
    <x v="0"/>
    <x v="146"/>
    <x v="1"/>
  </r>
  <r>
    <x v="13"/>
    <x v="3"/>
    <x v="106"/>
    <x v="1"/>
  </r>
  <r>
    <x v="13"/>
    <x v="4"/>
    <x v="46"/>
    <x v="1"/>
  </r>
  <r>
    <x v="13"/>
    <x v="10"/>
    <x v="0"/>
    <x v="1"/>
  </r>
  <r>
    <x v="14"/>
    <x v="6"/>
    <x v="288"/>
    <x v="1"/>
  </r>
  <r>
    <x v="14"/>
    <x v="9"/>
    <x v="179"/>
    <x v="1"/>
  </r>
  <r>
    <x v="14"/>
    <x v="3"/>
    <x v="177"/>
    <x v="1"/>
  </r>
  <r>
    <x v="14"/>
    <x v="4"/>
    <x v="42"/>
    <x v="1"/>
  </r>
  <r>
    <x v="14"/>
    <x v="0"/>
    <x v="13"/>
    <x v="1"/>
  </r>
  <r>
    <x v="14"/>
    <x v="10"/>
    <x v="0"/>
    <x v="1"/>
  </r>
  <r>
    <x v="15"/>
    <x v="6"/>
    <x v="364"/>
    <x v="1"/>
  </r>
  <r>
    <x v="15"/>
    <x v="9"/>
    <x v="359"/>
    <x v="1"/>
  </r>
  <r>
    <x v="15"/>
    <x v="10"/>
    <x v="0"/>
    <x v="1"/>
  </r>
  <r>
    <x v="16"/>
    <x v="9"/>
    <x v="363"/>
    <x v="1"/>
  </r>
  <r>
    <x v="16"/>
    <x v="6"/>
    <x v="360"/>
    <x v="1"/>
  </r>
  <r>
    <x v="16"/>
    <x v="10"/>
    <x v="0"/>
    <x v="1"/>
  </r>
  <r>
    <x v="17"/>
    <x v="6"/>
    <x v="240"/>
    <x v="1"/>
  </r>
  <r>
    <x v="17"/>
    <x v="9"/>
    <x v="192"/>
    <x v="1"/>
  </r>
  <r>
    <x v="17"/>
    <x v="3"/>
    <x v="127"/>
    <x v="1"/>
  </r>
  <r>
    <x v="17"/>
    <x v="4"/>
    <x v="101"/>
    <x v="1"/>
  </r>
  <r>
    <x v="17"/>
    <x v="0"/>
    <x v="96"/>
    <x v="1"/>
  </r>
  <r>
    <x v="17"/>
    <x v="10"/>
    <x v="0"/>
    <x v="1"/>
  </r>
  <r>
    <x v="18"/>
    <x v="6"/>
    <x v="267"/>
    <x v="1"/>
  </r>
  <r>
    <x v="18"/>
    <x v="9"/>
    <x v="202"/>
    <x v="1"/>
  </r>
  <r>
    <x v="18"/>
    <x v="0"/>
    <x v="173"/>
    <x v="1"/>
  </r>
  <r>
    <x v="18"/>
    <x v="3"/>
    <x v="49"/>
    <x v="1"/>
  </r>
  <r>
    <x v="18"/>
    <x v="8"/>
    <x v="18"/>
    <x v="1"/>
  </r>
  <r>
    <x v="18"/>
    <x v="10"/>
    <x v="0"/>
    <x v="1"/>
  </r>
  <r>
    <x v="19"/>
    <x v="6"/>
    <x v="366"/>
    <x v="1"/>
  </r>
  <r>
    <x v="19"/>
    <x v="9"/>
    <x v="357"/>
    <x v="1"/>
  </r>
  <r>
    <x v="19"/>
    <x v="10"/>
    <x v="0"/>
    <x v="1"/>
  </r>
  <r>
    <x v="20"/>
    <x v="6"/>
    <x v="350"/>
    <x v="1"/>
  </r>
  <r>
    <x v="20"/>
    <x v="9"/>
    <x v="343"/>
    <x v="1"/>
  </r>
  <r>
    <x v="20"/>
    <x v="3"/>
    <x v="318"/>
    <x v="1"/>
  </r>
  <r>
    <x v="20"/>
    <x v="10"/>
    <x v="0"/>
    <x v="1"/>
  </r>
  <r>
    <x v="21"/>
    <x v="6"/>
    <x v="278"/>
    <x v="1"/>
  </r>
  <r>
    <x v="21"/>
    <x v="9"/>
    <x v="269"/>
    <x v="1"/>
  </r>
  <r>
    <x v="21"/>
    <x v="4"/>
    <x v="74"/>
    <x v="1"/>
  </r>
  <r>
    <x v="21"/>
    <x v="3"/>
    <x v="71"/>
    <x v="1"/>
  </r>
  <r>
    <x v="21"/>
    <x v="0"/>
    <x v="5"/>
    <x v="1"/>
  </r>
  <r>
    <x v="21"/>
    <x v="10"/>
    <x v="0"/>
    <x v="1"/>
  </r>
  <r>
    <x v="22"/>
    <x v="6"/>
    <x v="253"/>
    <x v="1"/>
  </r>
  <r>
    <x v="22"/>
    <x v="9"/>
    <x v="217"/>
    <x v="1"/>
  </r>
  <r>
    <x v="22"/>
    <x v="4"/>
    <x v="113"/>
    <x v="1"/>
  </r>
  <r>
    <x v="22"/>
    <x v="5"/>
    <x v="75"/>
    <x v="1"/>
  </r>
  <r>
    <x v="22"/>
    <x v="3"/>
    <x v="74"/>
    <x v="1"/>
  </r>
  <r>
    <x v="22"/>
    <x v="10"/>
    <x v="0"/>
    <x v="1"/>
  </r>
  <r>
    <x v="23"/>
    <x v="6"/>
    <x v="352"/>
    <x v="1"/>
  </r>
  <r>
    <x v="23"/>
    <x v="9"/>
    <x v="338"/>
    <x v="1"/>
  </r>
  <r>
    <x v="23"/>
    <x v="0"/>
    <x v="319"/>
    <x v="1"/>
  </r>
  <r>
    <x v="23"/>
    <x v="10"/>
    <x v="0"/>
    <x v="1"/>
  </r>
  <r>
    <x v="24"/>
    <x v="6"/>
    <x v="254"/>
    <x v="1"/>
  </r>
  <r>
    <x v="24"/>
    <x v="9"/>
    <x v="168"/>
    <x v="1"/>
  </r>
  <r>
    <x v="24"/>
    <x v="2"/>
    <x v="148"/>
    <x v="1"/>
  </r>
  <r>
    <x v="24"/>
    <x v="4"/>
    <x v="109"/>
    <x v="1"/>
  </r>
  <r>
    <x v="24"/>
    <x v="3"/>
    <x v="78"/>
    <x v="1"/>
  </r>
  <r>
    <x v="24"/>
    <x v="10"/>
    <x v="0"/>
    <x v="1"/>
  </r>
  <r>
    <x v="0"/>
    <x v="6"/>
    <x v="294"/>
    <x v="2"/>
  </r>
  <r>
    <x v="0"/>
    <x v="0"/>
    <x v="150"/>
    <x v="2"/>
  </r>
  <r>
    <x v="0"/>
    <x v="9"/>
    <x v="147"/>
    <x v="2"/>
  </r>
  <r>
    <x v="0"/>
    <x v="3"/>
    <x v="125"/>
    <x v="2"/>
  </r>
  <r>
    <x v="0"/>
    <x v="4"/>
    <x v="11"/>
    <x v="2"/>
  </r>
  <r>
    <x v="0"/>
    <x v="10"/>
    <x v="0"/>
    <x v="2"/>
  </r>
  <r>
    <x v="1"/>
    <x v="6"/>
    <x v="305"/>
    <x v="2"/>
  </r>
  <r>
    <x v="1"/>
    <x v="9"/>
    <x v="188"/>
    <x v="2"/>
  </r>
  <r>
    <x v="1"/>
    <x v="0"/>
    <x v="131"/>
    <x v="2"/>
  </r>
  <r>
    <x v="1"/>
    <x v="4"/>
    <x v="22"/>
    <x v="2"/>
  </r>
  <r>
    <x v="1"/>
    <x v="3"/>
    <x v="10"/>
    <x v="2"/>
  </r>
  <r>
    <x v="1"/>
    <x v="10"/>
    <x v="0"/>
    <x v="2"/>
  </r>
  <r>
    <x v="2"/>
    <x v="6"/>
    <x v="286"/>
    <x v="2"/>
  </r>
  <r>
    <x v="2"/>
    <x v="9"/>
    <x v="191"/>
    <x v="2"/>
  </r>
  <r>
    <x v="2"/>
    <x v="0"/>
    <x v="162"/>
    <x v="2"/>
  </r>
  <r>
    <x v="2"/>
    <x v="4"/>
    <x v="33"/>
    <x v="2"/>
  </r>
  <r>
    <x v="2"/>
    <x v="3"/>
    <x v="24"/>
    <x v="2"/>
  </r>
  <r>
    <x v="2"/>
    <x v="10"/>
    <x v="0"/>
    <x v="2"/>
  </r>
  <r>
    <x v="3"/>
    <x v="6"/>
    <x v="292"/>
    <x v="2"/>
  </r>
  <r>
    <x v="3"/>
    <x v="9"/>
    <x v="244"/>
    <x v="2"/>
  </r>
  <r>
    <x v="3"/>
    <x v="0"/>
    <x v="115"/>
    <x v="2"/>
  </r>
  <r>
    <x v="3"/>
    <x v="3"/>
    <x v="40"/>
    <x v="2"/>
  </r>
  <r>
    <x v="3"/>
    <x v="4"/>
    <x v="6"/>
    <x v="2"/>
  </r>
  <r>
    <x v="3"/>
    <x v="10"/>
    <x v="0"/>
    <x v="2"/>
  </r>
  <r>
    <x v="4"/>
    <x v="6"/>
    <x v="265"/>
    <x v="2"/>
  </r>
  <r>
    <x v="4"/>
    <x v="9"/>
    <x v="209"/>
    <x v="2"/>
  </r>
  <r>
    <x v="4"/>
    <x v="0"/>
    <x v="166"/>
    <x v="2"/>
  </r>
  <r>
    <x v="4"/>
    <x v="4"/>
    <x v="84"/>
    <x v="2"/>
  </r>
  <r>
    <x v="4"/>
    <x v="3"/>
    <x v="8"/>
    <x v="2"/>
  </r>
  <r>
    <x v="4"/>
    <x v="10"/>
    <x v="0"/>
    <x v="2"/>
  </r>
  <r>
    <x v="5"/>
    <x v="6"/>
    <x v="289"/>
    <x v="2"/>
  </r>
  <r>
    <x v="5"/>
    <x v="9"/>
    <x v="229"/>
    <x v="2"/>
  </r>
  <r>
    <x v="5"/>
    <x v="0"/>
    <x v="137"/>
    <x v="2"/>
  </r>
  <r>
    <x v="5"/>
    <x v="4"/>
    <x v="48"/>
    <x v="2"/>
  </r>
  <r>
    <x v="5"/>
    <x v="3"/>
    <x v="4"/>
    <x v="2"/>
  </r>
  <r>
    <x v="5"/>
    <x v="10"/>
    <x v="0"/>
    <x v="2"/>
  </r>
  <r>
    <x v="6"/>
    <x v="6"/>
    <x v="309"/>
    <x v="2"/>
  </r>
  <r>
    <x v="6"/>
    <x v="0"/>
    <x v="152"/>
    <x v="2"/>
  </r>
  <r>
    <x v="6"/>
    <x v="4"/>
    <x v="105"/>
    <x v="2"/>
  </r>
  <r>
    <x v="6"/>
    <x v="9"/>
    <x v="40"/>
    <x v="2"/>
  </r>
  <r>
    <x v="6"/>
    <x v="8"/>
    <x v="35"/>
    <x v="2"/>
  </r>
  <r>
    <x v="6"/>
    <x v="10"/>
    <x v="0"/>
    <x v="2"/>
  </r>
  <r>
    <x v="7"/>
    <x v="6"/>
    <x v="296"/>
    <x v="2"/>
  </r>
  <r>
    <x v="7"/>
    <x v="9"/>
    <x v="220"/>
    <x v="2"/>
  </r>
  <r>
    <x v="7"/>
    <x v="0"/>
    <x v="169"/>
    <x v="2"/>
  </r>
  <r>
    <x v="7"/>
    <x v="3"/>
    <x v="28"/>
    <x v="2"/>
  </r>
  <r>
    <x v="7"/>
    <x v="4"/>
    <x v="2"/>
    <x v="2"/>
  </r>
  <r>
    <x v="7"/>
    <x v="10"/>
    <x v="0"/>
    <x v="2"/>
  </r>
  <r>
    <x v="8"/>
    <x v="9"/>
    <x v="269"/>
    <x v="2"/>
  </r>
  <r>
    <x v="8"/>
    <x v="6"/>
    <x v="266"/>
    <x v="2"/>
  </r>
  <r>
    <x v="8"/>
    <x v="3"/>
    <x v="98"/>
    <x v="2"/>
  </r>
  <r>
    <x v="8"/>
    <x v="0"/>
    <x v="97"/>
    <x v="2"/>
  </r>
  <r>
    <x v="8"/>
    <x v="4"/>
    <x v="3"/>
    <x v="2"/>
  </r>
  <r>
    <x v="8"/>
    <x v="10"/>
    <x v="0"/>
    <x v="2"/>
  </r>
  <r>
    <x v="9"/>
    <x v="6"/>
    <x v="300"/>
    <x v="2"/>
  </r>
  <r>
    <x v="9"/>
    <x v="9"/>
    <x v="181"/>
    <x v="2"/>
  </r>
  <r>
    <x v="9"/>
    <x v="0"/>
    <x v="142"/>
    <x v="2"/>
  </r>
  <r>
    <x v="9"/>
    <x v="3"/>
    <x v="40"/>
    <x v="2"/>
  </r>
  <r>
    <x v="9"/>
    <x v="4"/>
    <x v="34"/>
    <x v="2"/>
  </r>
  <r>
    <x v="9"/>
    <x v="10"/>
    <x v="0"/>
    <x v="2"/>
  </r>
  <r>
    <x v="10"/>
    <x v="9"/>
    <x v="351"/>
    <x v="2"/>
  </r>
  <r>
    <x v="10"/>
    <x v="6"/>
    <x v="340"/>
    <x v="2"/>
  </r>
  <r>
    <x v="10"/>
    <x v="0"/>
    <x v="322"/>
    <x v="2"/>
  </r>
  <r>
    <x v="10"/>
    <x v="10"/>
    <x v="0"/>
    <x v="2"/>
  </r>
  <r>
    <x v="11"/>
    <x v="6"/>
    <x v="348"/>
    <x v="2"/>
  </r>
  <r>
    <x v="11"/>
    <x v="0"/>
    <x v="335"/>
    <x v="2"/>
  </r>
  <r>
    <x v="11"/>
    <x v="9"/>
    <x v="330"/>
    <x v="2"/>
  </r>
  <r>
    <x v="11"/>
    <x v="10"/>
    <x v="0"/>
    <x v="2"/>
  </r>
  <r>
    <x v="12"/>
    <x v="6"/>
    <x v="365"/>
    <x v="2"/>
  </r>
  <r>
    <x v="12"/>
    <x v="0"/>
    <x v="358"/>
    <x v="2"/>
  </r>
  <r>
    <x v="12"/>
    <x v="10"/>
    <x v="0"/>
    <x v="2"/>
  </r>
  <r>
    <x v="13"/>
    <x v="6"/>
    <x v="285"/>
    <x v="2"/>
  </r>
  <r>
    <x v="13"/>
    <x v="0"/>
    <x v="208"/>
    <x v="2"/>
  </r>
  <r>
    <x v="13"/>
    <x v="3"/>
    <x v="112"/>
    <x v="2"/>
  </r>
  <r>
    <x v="13"/>
    <x v="9"/>
    <x v="69"/>
    <x v="2"/>
  </r>
  <r>
    <x v="13"/>
    <x v="4"/>
    <x v="24"/>
    <x v="2"/>
  </r>
  <r>
    <x v="13"/>
    <x v="10"/>
    <x v="0"/>
    <x v="2"/>
  </r>
  <r>
    <x v="14"/>
    <x v="6"/>
    <x v="292"/>
    <x v="2"/>
  </r>
  <r>
    <x v="14"/>
    <x v="9"/>
    <x v="233"/>
    <x v="2"/>
  </r>
  <r>
    <x v="14"/>
    <x v="3"/>
    <x v="119"/>
    <x v="2"/>
  </r>
  <r>
    <x v="14"/>
    <x v="0"/>
    <x v="93"/>
    <x v="2"/>
  </r>
  <r>
    <x v="14"/>
    <x v="2"/>
    <x v="1"/>
    <x v="2"/>
  </r>
  <r>
    <x v="14"/>
    <x v="10"/>
    <x v="0"/>
    <x v="2"/>
  </r>
  <r>
    <x v="15"/>
    <x v="6"/>
    <x v="353"/>
    <x v="2"/>
  </r>
  <r>
    <x v="15"/>
    <x v="9"/>
    <x v="329"/>
    <x v="2"/>
  </r>
  <r>
    <x v="15"/>
    <x v="0"/>
    <x v="324"/>
    <x v="2"/>
  </r>
  <r>
    <x v="15"/>
    <x v="10"/>
    <x v="0"/>
    <x v="2"/>
  </r>
  <r>
    <x v="16"/>
    <x v="6"/>
    <x v="252"/>
    <x v="2"/>
  </r>
  <r>
    <x v="16"/>
    <x v="0"/>
    <x v="197"/>
    <x v="2"/>
  </r>
  <r>
    <x v="16"/>
    <x v="9"/>
    <x v="187"/>
    <x v="2"/>
  </r>
  <r>
    <x v="16"/>
    <x v="3"/>
    <x v="71"/>
    <x v="2"/>
  </r>
  <r>
    <x v="16"/>
    <x v="4"/>
    <x v="14"/>
    <x v="2"/>
  </r>
  <r>
    <x v="16"/>
    <x v="10"/>
    <x v="0"/>
    <x v="2"/>
  </r>
  <r>
    <x v="17"/>
    <x v="6"/>
    <x v="237"/>
    <x v="2"/>
  </r>
  <r>
    <x v="17"/>
    <x v="3"/>
    <x v="160"/>
    <x v="2"/>
  </r>
  <r>
    <x v="17"/>
    <x v="0"/>
    <x v="139"/>
    <x v="2"/>
  </r>
  <r>
    <x v="17"/>
    <x v="9"/>
    <x v="123"/>
    <x v="2"/>
  </r>
  <r>
    <x v="17"/>
    <x v="4"/>
    <x v="114"/>
    <x v="2"/>
  </r>
  <r>
    <x v="17"/>
    <x v="10"/>
    <x v="0"/>
    <x v="2"/>
  </r>
  <r>
    <x v="18"/>
    <x v="6"/>
    <x v="287"/>
    <x v="2"/>
  </r>
  <r>
    <x v="18"/>
    <x v="9"/>
    <x v="180"/>
    <x v="2"/>
  </r>
  <r>
    <x v="18"/>
    <x v="0"/>
    <x v="163"/>
    <x v="2"/>
  </r>
  <r>
    <x v="18"/>
    <x v="3"/>
    <x v="53"/>
    <x v="2"/>
  </r>
  <r>
    <x v="18"/>
    <x v="8"/>
    <x v="19"/>
    <x v="2"/>
  </r>
  <r>
    <x v="18"/>
    <x v="10"/>
    <x v="0"/>
    <x v="2"/>
  </r>
  <r>
    <x v="19"/>
    <x v="6"/>
    <x v="316"/>
    <x v="2"/>
  </r>
  <r>
    <x v="19"/>
    <x v="9"/>
    <x v="308"/>
    <x v="2"/>
  </r>
  <r>
    <x v="19"/>
    <x v="0"/>
    <x v="274"/>
    <x v="2"/>
  </r>
  <r>
    <x v="19"/>
    <x v="3"/>
    <x v="171"/>
    <x v="2"/>
  </r>
  <r>
    <x v="19"/>
    <x v="10"/>
    <x v="0"/>
    <x v="2"/>
  </r>
  <r>
    <x v="20"/>
    <x v="6"/>
    <x v="280"/>
    <x v="2"/>
  </r>
  <r>
    <x v="20"/>
    <x v="9"/>
    <x v="208"/>
    <x v="2"/>
  </r>
  <r>
    <x v="20"/>
    <x v="3"/>
    <x v="128"/>
    <x v="2"/>
  </r>
  <r>
    <x v="20"/>
    <x v="0"/>
    <x v="54"/>
    <x v="2"/>
  </r>
  <r>
    <x v="20"/>
    <x v="4"/>
    <x v="36"/>
    <x v="2"/>
  </r>
  <r>
    <x v="20"/>
    <x v="10"/>
    <x v="0"/>
    <x v="2"/>
  </r>
  <r>
    <x v="21"/>
    <x v="6"/>
    <x v="303"/>
    <x v="2"/>
  </r>
  <r>
    <x v="21"/>
    <x v="9"/>
    <x v="224"/>
    <x v="2"/>
  </r>
  <r>
    <x v="21"/>
    <x v="4"/>
    <x v="94"/>
    <x v="2"/>
  </r>
  <r>
    <x v="21"/>
    <x v="0"/>
    <x v="39"/>
    <x v="2"/>
  </r>
  <r>
    <x v="21"/>
    <x v="7"/>
    <x v="7"/>
    <x v="2"/>
  </r>
  <r>
    <x v="21"/>
    <x v="10"/>
    <x v="0"/>
    <x v="2"/>
  </r>
  <r>
    <x v="22"/>
    <x v="6"/>
    <x v="253"/>
    <x v="2"/>
  </r>
  <r>
    <x v="22"/>
    <x v="9"/>
    <x v="226"/>
    <x v="2"/>
  </r>
  <r>
    <x v="22"/>
    <x v="3"/>
    <x v="108"/>
    <x v="2"/>
  </r>
  <r>
    <x v="22"/>
    <x v="5"/>
    <x v="73"/>
    <x v="2"/>
  </r>
  <r>
    <x v="22"/>
    <x v="4"/>
    <x v="68"/>
    <x v="2"/>
  </r>
  <r>
    <x v="22"/>
    <x v="10"/>
    <x v="0"/>
    <x v="2"/>
  </r>
  <r>
    <x v="23"/>
    <x v="6"/>
    <x v="311"/>
    <x v="2"/>
  </r>
  <r>
    <x v="23"/>
    <x v="9"/>
    <x v="297"/>
    <x v="2"/>
  </r>
  <r>
    <x v="23"/>
    <x v="0"/>
    <x v="281"/>
    <x v="2"/>
  </r>
  <r>
    <x v="23"/>
    <x v="3"/>
    <x v="273"/>
    <x v="2"/>
  </r>
  <r>
    <x v="23"/>
    <x v="10"/>
    <x v="0"/>
    <x v="2"/>
  </r>
  <r>
    <x v="24"/>
    <x v="6"/>
    <x v="260"/>
    <x v="2"/>
  </r>
  <r>
    <x v="24"/>
    <x v="9"/>
    <x v="161"/>
    <x v="2"/>
  </r>
  <r>
    <x v="24"/>
    <x v="0"/>
    <x v="127"/>
    <x v="2"/>
  </r>
  <r>
    <x v="24"/>
    <x v="2"/>
    <x v="120"/>
    <x v="2"/>
  </r>
  <r>
    <x v="24"/>
    <x v="3"/>
    <x v="92"/>
    <x v="2"/>
  </r>
  <r>
    <x v="24"/>
    <x v="1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">
  <r>
    <x v="5"/>
    <x v="1"/>
    <x v="15"/>
  </r>
  <r>
    <x v="4"/>
    <x v="2"/>
    <x v="14"/>
  </r>
  <r>
    <x v="5"/>
    <x v="3"/>
    <x v="13"/>
  </r>
  <r>
    <x v="4"/>
    <x v="1"/>
    <x v="12"/>
  </r>
  <r>
    <x v="0"/>
    <x v="4"/>
    <x v="11"/>
  </r>
  <r>
    <x v="6"/>
    <x v="1"/>
    <x v="10"/>
  </r>
  <r>
    <x v="1"/>
    <x v="1"/>
    <x v="9"/>
  </r>
  <r>
    <x v="3"/>
    <x v="2"/>
    <x v="8"/>
  </r>
  <r>
    <x v="5"/>
    <x v="2"/>
    <x v="7"/>
  </r>
  <r>
    <x v="6"/>
    <x v="5"/>
    <x v="6"/>
  </r>
  <r>
    <x v="7"/>
    <x v="5"/>
    <x v="5"/>
  </r>
  <r>
    <x v="0"/>
    <x v="1"/>
    <x v="4"/>
  </r>
  <r>
    <x v="0"/>
    <x v="0"/>
    <x v="3"/>
  </r>
  <r>
    <x v="4"/>
    <x v="3"/>
    <x v="2"/>
  </r>
  <r>
    <x v="2"/>
    <x v="3"/>
    <x v="1"/>
  </r>
  <r>
    <x v="7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1">
  <r>
    <x v="6"/>
    <x v="250"/>
    <x v="3"/>
  </r>
  <r>
    <x v="9"/>
    <x v="200"/>
    <x v="3"/>
  </r>
  <r>
    <x v="4"/>
    <x v="165"/>
    <x v="3"/>
  </r>
  <r>
    <x v="0"/>
    <x v="59"/>
    <x v="3"/>
  </r>
  <r>
    <x v="3"/>
    <x v="58"/>
    <x v="3"/>
  </r>
  <r>
    <x v="10"/>
    <x v="0"/>
    <x v="3"/>
  </r>
  <r>
    <x v="6"/>
    <x v="203"/>
    <x v="3"/>
  </r>
  <r>
    <x v="9"/>
    <x v="190"/>
    <x v="3"/>
  </r>
  <r>
    <x v="4"/>
    <x v="174"/>
    <x v="3"/>
  </r>
  <r>
    <x v="8"/>
    <x v="132"/>
    <x v="3"/>
  </r>
  <r>
    <x v="0"/>
    <x v="51"/>
    <x v="3"/>
  </r>
  <r>
    <x v="10"/>
    <x v="0"/>
    <x v="3"/>
  </r>
  <r>
    <x v="6"/>
    <x v="203"/>
    <x v="3"/>
  </r>
  <r>
    <x v="9"/>
    <x v="196"/>
    <x v="3"/>
  </r>
  <r>
    <x v="4"/>
    <x v="170"/>
    <x v="3"/>
  </r>
  <r>
    <x v="0"/>
    <x v="149"/>
    <x v="3"/>
  </r>
  <r>
    <x v="7"/>
    <x v="29"/>
    <x v="3"/>
  </r>
  <r>
    <x v="10"/>
    <x v="0"/>
    <x v="3"/>
  </r>
  <r>
    <x v="9"/>
    <x v="260"/>
    <x v="3"/>
  </r>
  <r>
    <x v="6"/>
    <x v="203"/>
    <x v="3"/>
  </r>
  <r>
    <x v="4"/>
    <x v="136"/>
    <x v="3"/>
  </r>
  <r>
    <x v="3"/>
    <x v="80"/>
    <x v="3"/>
  </r>
  <r>
    <x v="1"/>
    <x v="54"/>
    <x v="3"/>
  </r>
  <r>
    <x v="10"/>
    <x v="0"/>
    <x v="3"/>
  </r>
  <r>
    <x v="6"/>
    <x v="222"/>
    <x v="3"/>
  </r>
  <r>
    <x v="9"/>
    <x v="197"/>
    <x v="3"/>
  </r>
  <r>
    <x v="8"/>
    <x v="141"/>
    <x v="3"/>
  </r>
  <r>
    <x v="0"/>
    <x v="125"/>
    <x v="3"/>
  </r>
  <r>
    <x v="4"/>
    <x v="79"/>
    <x v="3"/>
  </r>
  <r>
    <x v="10"/>
    <x v="0"/>
    <x v="3"/>
  </r>
  <r>
    <x v="6"/>
    <x v="345"/>
    <x v="3"/>
  </r>
  <r>
    <x v="9"/>
    <x v="341"/>
    <x v="3"/>
  </r>
  <r>
    <x v="4"/>
    <x v="331"/>
    <x v="3"/>
  </r>
  <r>
    <x v="10"/>
    <x v="0"/>
    <x v="3"/>
  </r>
  <r>
    <x v="6"/>
    <x v="246"/>
    <x v="3"/>
  </r>
  <r>
    <x v="4"/>
    <x v="207"/>
    <x v="3"/>
  </r>
  <r>
    <x v="9"/>
    <x v="198"/>
    <x v="3"/>
  </r>
  <r>
    <x v="0"/>
    <x v="31"/>
    <x v="3"/>
  </r>
  <r>
    <x v="8"/>
    <x v="29"/>
    <x v="3"/>
  </r>
  <r>
    <x v="10"/>
    <x v="0"/>
    <x v="3"/>
  </r>
  <r>
    <x v="0"/>
    <x v="182"/>
    <x v="3"/>
  </r>
  <r>
    <x v="6"/>
    <x v="172"/>
    <x v="3"/>
  </r>
  <r>
    <x v="9"/>
    <x v="157"/>
    <x v="3"/>
  </r>
  <r>
    <x v="4"/>
    <x v="154"/>
    <x v="3"/>
  </r>
  <r>
    <x v="8"/>
    <x v="121"/>
    <x v="3"/>
  </r>
  <r>
    <x v="10"/>
    <x v="0"/>
    <x v="3"/>
  </r>
  <r>
    <x v="9"/>
    <x v="263"/>
    <x v="3"/>
  </r>
  <r>
    <x v="6"/>
    <x v="193"/>
    <x v="3"/>
  </r>
  <r>
    <x v="4"/>
    <x v="107"/>
    <x v="3"/>
  </r>
  <r>
    <x v="0"/>
    <x v="96"/>
    <x v="3"/>
  </r>
  <r>
    <x v="3"/>
    <x v="88"/>
    <x v="3"/>
  </r>
  <r>
    <x v="10"/>
    <x v="0"/>
    <x v="3"/>
  </r>
  <r>
    <x v="9"/>
    <x v="234"/>
    <x v="3"/>
  </r>
  <r>
    <x v="6"/>
    <x v="205"/>
    <x v="3"/>
  </r>
  <r>
    <x v="4"/>
    <x v="183"/>
    <x v="3"/>
  </r>
  <r>
    <x v="3"/>
    <x v="53"/>
    <x v="3"/>
  </r>
  <r>
    <x v="0"/>
    <x v="48"/>
    <x v="3"/>
  </r>
  <r>
    <x v="10"/>
    <x v="0"/>
    <x v="3"/>
  </r>
  <r>
    <x v="9"/>
    <x v="228"/>
    <x v="3"/>
  </r>
  <r>
    <x v="4"/>
    <x v="178"/>
    <x v="3"/>
  </r>
  <r>
    <x v="6"/>
    <x v="143"/>
    <x v="3"/>
  </r>
  <r>
    <x v="0"/>
    <x v="118"/>
    <x v="3"/>
  </r>
  <r>
    <x v="1"/>
    <x v="102"/>
    <x v="3"/>
  </r>
  <r>
    <x v="10"/>
    <x v="0"/>
    <x v="3"/>
  </r>
  <r>
    <x v="9"/>
    <x v="312"/>
    <x v="3"/>
  </r>
  <r>
    <x v="6"/>
    <x v="304"/>
    <x v="3"/>
  </r>
  <r>
    <x v="0"/>
    <x v="280"/>
    <x v="3"/>
  </r>
  <r>
    <x v="4"/>
    <x v="242"/>
    <x v="3"/>
  </r>
  <r>
    <x v="10"/>
    <x v="0"/>
    <x v="3"/>
  </r>
  <r>
    <x v="6"/>
    <x v="349"/>
    <x v="3"/>
  </r>
  <r>
    <x v="9"/>
    <x v="336"/>
    <x v="3"/>
  </r>
  <r>
    <x v="0"/>
    <x v="327"/>
    <x v="3"/>
  </r>
  <r>
    <x v="10"/>
    <x v="0"/>
    <x v="3"/>
  </r>
  <r>
    <x v="6"/>
    <x v="267"/>
    <x v="3"/>
  </r>
  <r>
    <x v="9"/>
    <x v="213"/>
    <x v="3"/>
  </r>
  <r>
    <x v="4"/>
    <x v="105"/>
    <x v="3"/>
  </r>
  <r>
    <x v="3"/>
    <x v="79"/>
    <x v="3"/>
  </r>
  <r>
    <x v="0"/>
    <x v="63"/>
    <x v="3"/>
  </r>
  <r>
    <x v="10"/>
    <x v="0"/>
    <x v="3"/>
  </r>
  <r>
    <x v="6"/>
    <x v="239"/>
    <x v="3"/>
  </r>
  <r>
    <x v="4"/>
    <x v="168"/>
    <x v="3"/>
  </r>
  <r>
    <x v="9"/>
    <x v="164"/>
    <x v="3"/>
  </r>
  <r>
    <x v="3"/>
    <x v="113"/>
    <x v="3"/>
  </r>
  <r>
    <x v="8"/>
    <x v="72"/>
    <x v="3"/>
  </r>
  <r>
    <x v="10"/>
    <x v="0"/>
    <x v="3"/>
  </r>
  <r>
    <x v="9"/>
    <x v="344"/>
    <x v="3"/>
  </r>
  <r>
    <x v="4"/>
    <x v="337"/>
    <x v="3"/>
  </r>
  <r>
    <x v="6"/>
    <x v="334"/>
    <x v="3"/>
  </r>
  <r>
    <x v="10"/>
    <x v="0"/>
    <x v="3"/>
  </r>
  <r>
    <x v="9"/>
    <x v="314"/>
    <x v="3"/>
  </r>
  <r>
    <x v="6"/>
    <x v="295"/>
    <x v="3"/>
  </r>
  <r>
    <x v="4"/>
    <x v="279"/>
    <x v="3"/>
  </r>
  <r>
    <x v="0"/>
    <x v="259"/>
    <x v="3"/>
  </r>
  <r>
    <x v="10"/>
    <x v="0"/>
    <x v="3"/>
  </r>
  <r>
    <x v="9"/>
    <x v="219"/>
    <x v="3"/>
  </r>
  <r>
    <x v="6"/>
    <x v="218"/>
    <x v="3"/>
  </r>
  <r>
    <x v="4"/>
    <x v="156"/>
    <x v="3"/>
  </r>
  <r>
    <x v="0"/>
    <x v="83"/>
    <x v="3"/>
  </r>
  <r>
    <x v="3"/>
    <x v="71"/>
    <x v="3"/>
  </r>
  <r>
    <x v="10"/>
    <x v="0"/>
    <x v="3"/>
  </r>
  <r>
    <x v="6"/>
    <x v="223"/>
    <x v="3"/>
  </r>
  <r>
    <x v="9"/>
    <x v="184"/>
    <x v="3"/>
  </r>
  <r>
    <x v="4"/>
    <x v="155"/>
    <x v="3"/>
  </r>
  <r>
    <x v="7"/>
    <x v="125"/>
    <x v="3"/>
  </r>
  <r>
    <x v="0"/>
    <x v="73"/>
    <x v="3"/>
  </r>
  <r>
    <x v="10"/>
    <x v="0"/>
    <x v="3"/>
  </r>
  <r>
    <x v="6"/>
    <x v="214"/>
    <x v="3"/>
  </r>
  <r>
    <x v="9"/>
    <x v="199"/>
    <x v="3"/>
  </r>
  <r>
    <x v="4"/>
    <x v="188"/>
    <x v="3"/>
  </r>
  <r>
    <x v="0"/>
    <x v="111"/>
    <x v="3"/>
  </r>
  <r>
    <x v="3"/>
    <x v="23"/>
    <x v="3"/>
  </r>
  <r>
    <x v="10"/>
    <x v="0"/>
    <x v="3"/>
  </r>
  <r>
    <x v="9"/>
    <x v="313"/>
    <x v="3"/>
  </r>
  <r>
    <x v="6"/>
    <x v="308"/>
    <x v="3"/>
  </r>
  <r>
    <x v="4"/>
    <x v="263"/>
    <x v="3"/>
  </r>
  <r>
    <x v="3"/>
    <x v="248"/>
    <x v="3"/>
  </r>
  <r>
    <x v="10"/>
    <x v="0"/>
    <x v="3"/>
  </r>
  <r>
    <x v="9"/>
    <x v="272"/>
    <x v="3"/>
  </r>
  <r>
    <x v="6"/>
    <x v="271"/>
    <x v="3"/>
  </r>
  <r>
    <x v="4"/>
    <x v="129"/>
    <x v="3"/>
  </r>
  <r>
    <x v="8"/>
    <x v="15"/>
    <x v="3"/>
  </r>
  <r>
    <x v="5"/>
    <x v="9"/>
    <x v="3"/>
  </r>
  <r>
    <x v="10"/>
    <x v="0"/>
    <x v="3"/>
  </r>
  <r>
    <x v="6"/>
    <x v="257"/>
    <x v="3"/>
  </r>
  <r>
    <x v="9"/>
    <x v="215"/>
    <x v="3"/>
  </r>
  <r>
    <x v="4"/>
    <x v="130"/>
    <x v="3"/>
  </r>
  <r>
    <x v="7"/>
    <x v="90"/>
    <x v="3"/>
  </r>
  <r>
    <x v="5"/>
    <x v="40"/>
    <x v="3"/>
  </r>
  <r>
    <x v="10"/>
    <x v="0"/>
    <x v="3"/>
  </r>
  <r>
    <x v="9"/>
    <x v="346"/>
    <x v="3"/>
  </r>
  <r>
    <x v="6"/>
    <x v="339"/>
    <x v="3"/>
  </r>
  <r>
    <x v="4"/>
    <x v="333"/>
    <x v="3"/>
  </r>
  <r>
    <x v="10"/>
    <x v="0"/>
    <x v="3"/>
  </r>
  <r>
    <x v="6"/>
    <x v="245"/>
    <x v="3"/>
  </r>
  <r>
    <x v="4"/>
    <x v="211"/>
    <x v="3"/>
  </r>
  <r>
    <x v="9"/>
    <x v="204"/>
    <x v="3"/>
  </r>
  <r>
    <x v="3"/>
    <x v="20"/>
    <x v="3"/>
  </r>
  <r>
    <x v="0"/>
    <x v="17"/>
    <x v="3"/>
  </r>
  <r>
    <x v="10"/>
    <x v="0"/>
    <x v="3"/>
  </r>
  <r>
    <x v="6"/>
    <x v="277"/>
    <x v="0"/>
  </r>
  <r>
    <x v="9"/>
    <x v="202"/>
    <x v="0"/>
  </r>
  <r>
    <x v="4"/>
    <x v="100"/>
    <x v="0"/>
  </r>
  <r>
    <x v="0"/>
    <x v="79"/>
    <x v="0"/>
  </r>
  <r>
    <x v="3"/>
    <x v="64"/>
    <x v="0"/>
  </r>
  <r>
    <x v="10"/>
    <x v="0"/>
    <x v="0"/>
  </r>
  <r>
    <x v="6"/>
    <x v="274"/>
    <x v="0"/>
  </r>
  <r>
    <x v="9"/>
    <x v="175"/>
    <x v="0"/>
  </r>
  <r>
    <x v="8"/>
    <x v="151"/>
    <x v="0"/>
  </r>
  <r>
    <x v="4"/>
    <x v="76"/>
    <x v="0"/>
  </r>
  <r>
    <x v="0"/>
    <x v="61"/>
    <x v="0"/>
  </r>
  <r>
    <x v="10"/>
    <x v="0"/>
    <x v="0"/>
  </r>
  <r>
    <x v="6"/>
    <x v="271"/>
    <x v="0"/>
  </r>
  <r>
    <x v="9"/>
    <x v="184"/>
    <x v="0"/>
  </r>
  <r>
    <x v="0"/>
    <x v="148"/>
    <x v="0"/>
  </r>
  <r>
    <x v="8"/>
    <x v="91"/>
    <x v="0"/>
  </r>
  <r>
    <x v="4"/>
    <x v="44"/>
    <x v="0"/>
  </r>
  <r>
    <x v="10"/>
    <x v="0"/>
    <x v="0"/>
  </r>
  <r>
    <x v="6"/>
    <x v="299"/>
    <x v="0"/>
  </r>
  <r>
    <x v="9"/>
    <x v="214"/>
    <x v="0"/>
  </r>
  <r>
    <x v="4"/>
    <x v="90"/>
    <x v="0"/>
  </r>
  <r>
    <x v="8"/>
    <x v="41"/>
    <x v="0"/>
  </r>
  <r>
    <x v="0"/>
    <x v="36"/>
    <x v="0"/>
  </r>
  <r>
    <x v="10"/>
    <x v="0"/>
    <x v="0"/>
  </r>
  <r>
    <x v="6"/>
    <x v="275"/>
    <x v="0"/>
  </r>
  <r>
    <x v="9"/>
    <x v="167"/>
    <x v="0"/>
  </r>
  <r>
    <x v="8"/>
    <x v="162"/>
    <x v="0"/>
  </r>
  <r>
    <x v="4"/>
    <x v="77"/>
    <x v="0"/>
  </r>
  <r>
    <x v="0"/>
    <x v="56"/>
    <x v="0"/>
  </r>
  <r>
    <x v="10"/>
    <x v="0"/>
    <x v="0"/>
  </r>
  <r>
    <x v="6"/>
    <x v="291"/>
    <x v="0"/>
  </r>
  <r>
    <x v="9"/>
    <x v="221"/>
    <x v="0"/>
  </r>
  <r>
    <x v="4"/>
    <x v="70"/>
    <x v="0"/>
  </r>
  <r>
    <x v="0"/>
    <x v="59"/>
    <x v="0"/>
  </r>
  <r>
    <x v="8"/>
    <x v="47"/>
    <x v="0"/>
  </r>
  <r>
    <x v="10"/>
    <x v="0"/>
    <x v="0"/>
  </r>
  <r>
    <x v="6"/>
    <x v="302"/>
    <x v="0"/>
  </r>
  <r>
    <x v="9"/>
    <x v="153"/>
    <x v="0"/>
  </r>
  <r>
    <x v="4"/>
    <x v="140"/>
    <x v="0"/>
  </r>
  <r>
    <x v="8"/>
    <x v="85"/>
    <x v="0"/>
  </r>
  <r>
    <x v="0"/>
    <x v="34"/>
    <x v="0"/>
  </r>
  <r>
    <x v="10"/>
    <x v="0"/>
    <x v="0"/>
  </r>
  <r>
    <x v="6"/>
    <x v="236"/>
    <x v="0"/>
  </r>
  <r>
    <x v="9"/>
    <x v="220"/>
    <x v="0"/>
  </r>
  <r>
    <x v="8"/>
    <x v="137"/>
    <x v="0"/>
  </r>
  <r>
    <x v="4"/>
    <x v="81"/>
    <x v="0"/>
  </r>
  <r>
    <x v="0"/>
    <x v="73"/>
    <x v="0"/>
  </r>
  <r>
    <x v="10"/>
    <x v="0"/>
    <x v="0"/>
  </r>
  <r>
    <x v="9"/>
    <x v="241"/>
    <x v="0"/>
  </r>
  <r>
    <x v="6"/>
    <x v="232"/>
    <x v="0"/>
  </r>
  <r>
    <x v="8"/>
    <x v="104"/>
    <x v="0"/>
  </r>
  <r>
    <x v="0"/>
    <x v="89"/>
    <x v="0"/>
  </r>
  <r>
    <x v="3"/>
    <x v="71"/>
    <x v="0"/>
  </r>
  <r>
    <x v="10"/>
    <x v="0"/>
    <x v="0"/>
  </r>
  <r>
    <x v="6"/>
    <x v="264"/>
    <x v="0"/>
  </r>
  <r>
    <x v="9"/>
    <x v="212"/>
    <x v="0"/>
  </r>
  <r>
    <x v="4"/>
    <x v="133"/>
    <x v="0"/>
  </r>
  <r>
    <x v="0"/>
    <x v="79"/>
    <x v="0"/>
  </r>
  <r>
    <x v="8"/>
    <x v="43"/>
    <x v="0"/>
  </r>
  <r>
    <x v="10"/>
    <x v="0"/>
    <x v="0"/>
  </r>
  <r>
    <x v="9"/>
    <x v="247"/>
    <x v="0"/>
  </r>
  <r>
    <x v="6"/>
    <x v="201"/>
    <x v="0"/>
  </r>
  <r>
    <x v="0"/>
    <x v="121"/>
    <x v="0"/>
  </r>
  <r>
    <x v="1"/>
    <x v="119"/>
    <x v="0"/>
  </r>
  <r>
    <x v="4"/>
    <x v="60"/>
    <x v="0"/>
  </r>
  <r>
    <x v="10"/>
    <x v="0"/>
    <x v="0"/>
  </r>
  <r>
    <x v="6"/>
    <x v="310"/>
    <x v="0"/>
  </r>
  <r>
    <x v="9"/>
    <x v="307"/>
    <x v="0"/>
  </r>
  <r>
    <x v="0"/>
    <x v="301"/>
    <x v="0"/>
  </r>
  <r>
    <x v="8"/>
    <x v="221"/>
    <x v="0"/>
  </r>
  <r>
    <x v="10"/>
    <x v="0"/>
    <x v="0"/>
  </r>
  <r>
    <x v="6"/>
    <x v="356"/>
    <x v="0"/>
  </r>
  <r>
    <x v="0"/>
    <x v="326"/>
    <x v="0"/>
  </r>
  <r>
    <x v="8"/>
    <x v="320"/>
    <x v="0"/>
  </r>
  <r>
    <x v="10"/>
    <x v="0"/>
    <x v="0"/>
  </r>
  <r>
    <x v="6"/>
    <x v="293"/>
    <x v="0"/>
  </r>
  <r>
    <x v="0"/>
    <x v="140"/>
    <x v="0"/>
  </r>
  <r>
    <x v="8"/>
    <x v="138"/>
    <x v="0"/>
  </r>
  <r>
    <x v="9"/>
    <x v="110"/>
    <x v="0"/>
  </r>
  <r>
    <x v="4"/>
    <x v="50"/>
    <x v="0"/>
  </r>
  <r>
    <x v="10"/>
    <x v="0"/>
    <x v="0"/>
  </r>
  <r>
    <x v="6"/>
    <x v="295"/>
    <x v="0"/>
  </r>
  <r>
    <x v="9"/>
    <x v="176"/>
    <x v="0"/>
  </r>
  <r>
    <x v="4"/>
    <x v="128"/>
    <x v="0"/>
  </r>
  <r>
    <x v="8"/>
    <x v="80"/>
    <x v="0"/>
  </r>
  <r>
    <x v="0"/>
    <x v="32"/>
    <x v="0"/>
  </r>
  <r>
    <x v="10"/>
    <x v="0"/>
    <x v="0"/>
  </r>
  <r>
    <x v="6"/>
    <x v="355"/>
    <x v="0"/>
  </r>
  <r>
    <x v="9"/>
    <x v="332"/>
    <x v="0"/>
  </r>
  <r>
    <x v="4"/>
    <x v="317"/>
    <x v="0"/>
  </r>
  <r>
    <x v="10"/>
    <x v="0"/>
    <x v="0"/>
  </r>
  <r>
    <x v="9"/>
    <x v="258"/>
    <x v="0"/>
  </r>
  <r>
    <x v="0"/>
    <x v="189"/>
    <x v="0"/>
  </r>
  <r>
    <x v="6"/>
    <x v="185"/>
    <x v="0"/>
  </r>
  <r>
    <x v="4"/>
    <x v="62"/>
    <x v="0"/>
  </r>
  <r>
    <x v="8"/>
    <x v="26"/>
    <x v="0"/>
  </r>
  <r>
    <x v="10"/>
    <x v="0"/>
    <x v="0"/>
  </r>
  <r>
    <x v="6"/>
    <x v="238"/>
    <x v="0"/>
  </r>
  <r>
    <x v="9"/>
    <x v="186"/>
    <x v="0"/>
  </r>
  <r>
    <x v="0"/>
    <x v="144"/>
    <x v="0"/>
  </r>
  <r>
    <x v="4"/>
    <x v="134"/>
    <x v="0"/>
  </r>
  <r>
    <x v="3"/>
    <x v="55"/>
    <x v="0"/>
  </r>
  <r>
    <x v="10"/>
    <x v="0"/>
    <x v="0"/>
  </r>
  <r>
    <x v="6"/>
    <x v="235"/>
    <x v="0"/>
  </r>
  <r>
    <x v="9"/>
    <x v="206"/>
    <x v="0"/>
  </r>
  <r>
    <x v="8"/>
    <x v="124"/>
    <x v="0"/>
  </r>
  <r>
    <x v="4"/>
    <x v="116"/>
    <x v="0"/>
  </r>
  <r>
    <x v="7"/>
    <x v="66"/>
    <x v="0"/>
  </r>
  <r>
    <x v="10"/>
    <x v="0"/>
    <x v="0"/>
  </r>
  <r>
    <x v="6"/>
    <x v="231"/>
    <x v="0"/>
  </r>
  <r>
    <x v="9"/>
    <x v="210"/>
    <x v="0"/>
  </r>
  <r>
    <x v="0"/>
    <x v="147"/>
    <x v="0"/>
  </r>
  <r>
    <x v="4"/>
    <x v="103"/>
    <x v="0"/>
  </r>
  <r>
    <x v="8"/>
    <x v="52"/>
    <x v="0"/>
  </r>
  <r>
    <x v="10"/>
    <x v="0"/>
    <x v="0"/>
  </r>
  <r>
    <x v="9"/>
    <x v="256"/>
    <x v="0"/>
  </r>
  <r>
    <x v="6"/>
    <x v="243"/>
    <x v="0"/>
  </r>
  <r>
    <x v="4"/>
    <x v="117"/>
    <x v="0"/>
  </r>
  <r>
    <x v="0"/>
    <x v="66"/>
    <x v="0"/>
  </r>
  <r>
    <x v="3"/>
    <x v="38"/>
    <x v="0"/>
  </r>
  <r>
    <x v="10"/>
    <x v="0"/>
    <x v="0"/>
  </r>
  <r>
    <x v="6"/>
    <x v="301"/>
    <x v="0"/>
  </r>
  <r>
    <x v="9"/>
    <x v="256"/>
    <x v="0"/>
  </r>
  <r>
    <x v="8"/>
    <x v="39"/>
    <x v="0"/>
  </r>
  <r>
    <x v="3"/>
    <x v="31"/>
    <x v="0"/>
  </r>
  <r>
    <x v="4"/>
    <x v="25"/>
    <x v="0"/>
  </r>
  <r>
    <x v="10"/>
    <x v="0"/>
    <x v="0"/>
  </r>
  <r>
    <x v="6"/>
    <x v="274"/>
    <x v="0"/>
  </r>
  <r>
    <x v="9"/>
    <x v="201"/>
    <x v="0"/>
  </r>
  <r>
    <x v="4"/>
    <x v="102"/>
    <x v="0"/>
  </r>
  <r>
    <x v="0"/>
    <x v="86"/>
    <x v="0"/>
  </r>
  <r>
    <x v="5"/>
    <x v="67"/>
    <x v="0"/>
  </r>
  <r>
    <x v="10"/>
    <x v="0"/>
    <x v="0"/>
  </r>
  <r>
    <x v="6"/>
    <x v="362"/>
    <x v="0"/>
  </r>
  <r>
    <x v="9"/>
    <x v="361"/>
    <x v="0"/>
  </r>
  <r>
    <x v="10"/>
    <x v="0"/>
    <x v="0"/>
  </r>
  <r>
    <x v="6"/>
    <x v="276"/>
    <x v="0"/>
  </r>
  <r>
    <x v="9"/>
    <x v="225"/>
    <x v="0"/>
  </r>
  <r>
    <x v="4"/>
    <x v="95"/>
    <x v="0"/>
  </r>
  <r>
    <x v="3"/>
    <x v="65"/>
    <x v="0"/>
  </r>
  <r>
    <x v="8"/>
    <x v="45"/>
    <x v="0"/>
  </r>
  <r>
    <x v="10"/>
    <x v="0"/>
    <x v="0"/>
  </r>
  <r>
    <x v="6"/>
    <x v="270"/>
    <x v="1"/>
  </r>
  <r>
    <x v="9"/>
    <x v="159"/>
    <x v="1"/>
  </r>
  <r>
    <x v="0"/>
    <x v="116"/>
    <x v="1"/>
  </r>
  <r>
    <x v="3"/>
    <x v="108"/>
    <x v="1"/>
  </r>
  <r>
    <x v="4"/>
    <x v="99"/>
    <x v="1"/>
  </r>
  <r>
    <x v="10"/>
    <x v="0"/>
    <x v="1"/>
  </r>
  <r>
    <x v="6"/>
    <x v="298"/>
    <x v="1"/>
  </r>
  <r>
    <x v="9"/>
    <x v="194"/>
    <x v="1"/>
  </r>
  <r>
    <x v="0"/>
    <x v="126"/>
    <x v="1"/>
  </r>
  <r>
    <x v="4"/>
    <x v="42"/>
    <x v="1"/>
  </r>
  <r>
    <x v="3"/>
    <x v="37"/>
    <x v="1"/>
  </r>
  <r>
    <x v="10"/>
    <x v="0"/>
    <x v="1"/>
  </r>
  <r>
    <x v="6"/>
    <x v="273"/>
    <x v="1"/>
  </r>
  <r>
    <x v="9"/>
    <x v="212"/>
    <x v="1"/>
  </r>
  <r>
    <x v="0"/>
    <x v="135"/>
    <x v="1"/>
  </r>
  <r>
    <x v="3"/>
    <x v="82"/>
    <x v="1"/>
  </r>
  <r>
    <x v="4"/>
    <x v="21"/>
    <x v="1"/>
  </r>
  <r>
    <x v="10"/>
    <x v="0"/>
    <x v="1"/>
  </r>
  <r>
    <x v="6"/>
    <x v="290"/>
    <x v="1"/>
  </r>
  <r>
    <x v="9"/>
    <x v="241"/>
    <x v="1"/>
  </r>
  <r>
    <x v="3"/>
    <x v="87"/>
    <x v="1"/>
  </r>
  <r>
    <x v="0"/>
    <x v="36"/>
    <x v="1"/>
  </r>
  <r>
    <x v="4"/>
    <x v="27"/>
    <x v="1"/>
  </r>
  <r>
    <x v="10"/>
    <x v="0"/>
    <x v="1"/>
  </r>
  <r>
    <x v="6"/>
    <x v="282"/>
    <x v="1"/>
  </r>
  <r>
    <x v="9"/>
    <x v="195"/>
    <x v="1"/>
  </r>
  <r>
    <x v="0"/>
    <x v="122"/>
    <x v="1"/>
  </r>
  <r>
    <x v="4"/>
    <x v="74"/>
    <x v="1"/>
  </r>
  <r>
    <x v="3"/>
    <x v="41"/>
    <x v="1"/>
  </r>
  <r>
    <x v="10"/>
    <x v="0"/>
    <x v="1"/>
  </r>
  <r>
    <x v="6"/>
    <x v="284"/>
    <x v="1"/>
  </r>
  <r>
    <x v="9"/>
    <x v="224"/>
    <x v="1"/>
  </r>
  <r>
    <x v="4"/>
    <x v="93"/>
    <x v="1"/>
  </r>
  <r>
    <x v="3"/>
    <x v="57"/>
    <x v="1"/>
  </r>
  <r>
    <x v="0"/>
    <x v="30"/>
    <x v="1"/>
  </r>
  <r>
    <x v="10"/>
    <x v="0"/>
    <x v="1"/>
  </r>
  <r>
    <x v="6"/>
    <x v="321"/>
    <x v="1"/>
  </r>
  <r>
    <x v="4"/>
    <x v="261"/>
    <x v="1"/>
  </r>
  <r>
    <x v="9"/>
    <x v="255"/>
    <x v="1"/>
  </r>
  <r>
    <x v="3"/>
    <x v="251"/>
    <x v="1"/>
  </r>
  <r>
    <x v="10"/>
    <x v="0"/>
    <x v="1"/>
  </r>
  <r>
    <x v="6"/>
    <x v="249"/>
    <x v="1"/>
  </r>
  <r>
    <x v="9"/>
    <x v="216"/>
    <x v="1"/>
  </r>
  <r>
    <x v="0"/>
    <x v="145"/>
    <x v="1"/>
  </r>
  <r>
    <x v="4"/>
    <x v="106"/>
    <x v="1"/>
  </r>
  <r>
    <x v="3"/>
    <x v="16"/>
    <x v="1"/>
  </r>
  <r>
    <x v="10"/>
    <x v="0"/>
    <x v="1"/>
  </r>
  <r>
    <x v="9"/>
    <x v="268"/>
    <x v="1"/>
  </r>
  <r>
    <x v="6"/>
    <x v="227"/>
    <x v="1"/>
  </r>
  <r>
    <x v="3"/>
    <x v="111"/>
    <x v="1"/>
  </r>
  <r>
    <x v="0"/>
    <x v="104"/>
    <x v="1"/>
  </r>
  <r>
    <x v="4"/>
    <x v="12"/>
    <x v="1"/>
  </r>
  <r>
    <x v="10"/>
    <x v="0"/>
    <x v="1"/>
  </r>
  <r>
    <x v="6"/>
    <x v="283"/>
    <x v="1"/>
  </r>
  <r>
    <x v="9"/>
    <x v="200"/>
    <x v="1"/>
  </r>
  <r>
    <x v="3"/>
    <x v="136"/>
    <x v="1"/>
  </r>
  <r>
    <x v="0"/>
    <x v="43"/>
    <x v="1"/>
  </r>
  <r>
    <x v="4"/>
    <x v="40"/>
    <x v="1"/>
  </r>
  <r>
    <x v="10"/>
    <x v="0"/>
    <x v="1"/>
  </r>
  <r>
    <x v="9"/>
    <x v="315"/>
    <x v="1"/>
  </r>
  <r>
    <x v="6"/>
    <x v="306"/>
    <x v="1"/>
  </r>
  <r>
    <x v="0"/>
    <x v="262"/>
    <x v="1"/>
  </r>
  <r>
    <x v="1"/>
    <x v="230"/>
    <x v="1"/>
  </r>
  <r>
    <x v="10"/>
    <x v="0"/>
    <x v="1"/>
  </r>
  <r>
    <x v="9"/>
    <x v="347"/>
    <x v="1"/>
  </r>
  <r>
    <x v="6"/>
    <x v="342"/>
    <x v="1"/>
  </r>
  <r>
    <x v="0"/>
    <x v="328"/>
    <x v="1"/>
  </r>
  <r>
    <x v="10"/>
    <x v="0"/>
    <x v="1"/>
  </r>
  <r>
    <x v="6"/>
    <x v="354"/>
    <x v="1"/>
  </r>
  <r>
    <x v="0"/>
    <x v="325"/>
    <x v="1"/>
  </r>
  <r>
    <x v="9"/>
    <x v="323"/>
    <x v="1"/>
  </r>
  <r>
    <x v="10"/>
    <x v="0"/>
    <x v="1"/>
  </r>
  <r>
    <x v="6"/>
    <x v="278"/>
    <x v="1"/>
  </r>
  <r>
    <x v="9"/>
    <x v="158"/>
    <x v="1"/>
  </r>
  <r>
    <x v="0"/>
    <x v="146"/>
    <x v="1"/>
  </r>
  <r>
    <x v="3"/>
    <x v="106"/>
    <x v="1"/>
  </r>
  <r>
    <x v="4"/>
    <x v="46"/>
    <x v="1"/>
  </r>
  <r>
    <x v="10"/>
    <x v="0"/>
    <x v="1"/>
  </r>
  <r>
    <x v="6"/>
    <x v="288"/>
    <x v="1"/>
  </r>
  <r>
    <x v="9"/>
    <x v="179"/>
    <x v="1"/>
  </r>
  <r>
    <x v="3"/>
    <x v="177"/>
    <x v="1"/>
  </r>
  <r>
    <x v="4"/>
    <x v="42"/>
    <x v="1"/>
  </r>
  <r>
    <x v="0"/>
    <x v="13"/>
    <x v="1"/>
  </r>
  <r>
    <x v="10"/>
    <x v="0"/>
    <x v="1"/>
  </r>
  <r>
    <x v="6"/>
    <x v="364"/>
    <x v="1"/>
  </r>
  <r>
    <x v="9"/>
    <x v="359"/>
    <x v="1"/>
  </r>
  <r>
    <x v="10"/>
    <x v="0"/>
    <x v="1"/>
  </r>
  <r>
    <x v="9"/>
    <x v="363"/>
    <x v="1"/>
  </r>
  <r>
    <x v="6"/>
    <x v="360"/>
    <x v="1"/>
  </r>
  <r>
    <x v="10"/>
    <x v="0"/>
    <x v="1"/>
  </r>
  <r>
    <x v="6"/>
    <x v="240"/>
    <x v="1"/>
  </r>
  <r>
    <x v="9"/>
    <x v="192"/>
    <x v="1"/>
  </r>
  <r>
    <x v="3"/>
    <x v="127"/>
    <x v="1"/>
  </r>
  <r>
    <x v="4"/>
    <x v="101"/>
    <x v="1"/>
  </r>
  <r>
    <x v="0"/>
    <x v="96"/>
    <x v="1"/>
  </r>
  <r>
    <x v="10"/>
    <x v="0"/>
    <x v="1"/>
  </r>
  <r>
    <x v="6"/>
    <x v="267"/>
    <x v="1"/>
  </r>
  <r>
    <x v="9"/>
    <x v="202"/>
    <x v="1"/>
  </r>
  <r>
    <x v="0"/>
    <x v="173"/>
    <x v="1"/>
  </r>
  <r>
    <x v="3"/>
    <x v="49"/>
    <x v="1"/>
  </r>
  <r>
    <x v="8"/>
    <x v="18"/>
    <x v="1"/>
  </r>
  <r>
    <x v="10"/>
    <x v="0"/>
    <x v="1"/>
  </r>
  <r>
    <x v="6"/>
    <x v="366"/>
    <x v="1"/>
  </r>
  <r>
    <x v="9"/>
    <x v="357"/>
    <x v="1"/>
  </r>
  <r>
    <x v="10"/>
    <x v="0"/>
    <x v="1"/>
  </r>
  <r>
    <x v="6"/>
    <x v="350"/>
    <x v="1"/>
  </r>
  <r>
    <x v="9"/>
    <x v="343"/>
    <x v="1"/>
  </r>
  <r>
    <x v="3"/>
    <x v="318"/>
    <x v="1"/>
  </r>
  <r>
    <x v="10"/>
    <x v="0"/>
    <x v="1"/>
  </r>
  <r>
    <x v="6"/>
    <x v="278"/>
    <x v="1"/>
  </r>
  <r>
    <x v="9"/>
    <x v="269"/>
    <x v="1"/>
  </r>
  <r>
    <x v="4"/>
    <x v="74"/>
    <x v="1"/>
  </r>
  <r>
    <x v="3"/>
    <x v="71"/>
    <x v="1"/>
  </r>
  <r>
    <x v="0"/>
    <x v="5"/>
    <x v="1"/>
  </r>
  <r>
    <x v="10"/>
    <x v="0"/>
    <x v="1"/>
  </r>
  <r>
    <x v="6"/>
    <x v="253"/>
    <x v="1"/>
  </r>
  <r>
    <x v="9"/>
    <x v="217"/>
    <x v="1"/>
  </r>
  <r>
    <x v="4"/>
    <x v="113"/>
    <x v="1"/>
  </r>
  <r>
    <x v="5"/>
    <x v="75"/>
    <x v="1"/>
  </r>
  <r>
    <x v="3"/>
    <x v="74"/>
    <x v="1"/>
  </r>
  <r>
    <x v="10"/>
    <x v="0"/>
    <x v="1"/>
  </r>
  <r>
    <x v="6"/>
    <x v="352"/>
    <x v="1"/>
  </r>
  <r>
    <x v="9"/>
    <x v="338"/>
    <x v="1"/>
  </r>
  <r>
    <x v="0"/>
    <x v="319"/>
    <x v="1"/>
  </r>
  <r>
    <x v="10"/>
    <x v="0"/>
    <x v="1"/>
  </r>
  <r>
    <x v="6"/>
    <x v="254"/>
    <x v="1"/>
  </r>
  <r>
    <x v="9"/>
    <x v="168"/>
    <x v="1"/>
  </r>
  <r>
    <x v="2"/>
    <x v="148"/>
    <x v="1"/>
  </r>
  <r>
    <x v="4"/>
    <x v="109"/>
    <x v="1"/>
  </r>
  <r>
    <x v="3"/>
    <x v="78"/>
    <x v="1"/>
  </r>
  <r>
    <x v="10"/>
    <x v="0"/>
    <x v="1"/>
  </r>
  <r>
    <x v="6"/>
    <x v="294"/>
    <x v="2"/>
  </r>
  <r>
    <x v="0"/>
    <x v="150"/>
    <x v="2"/>
  </r>
  <r>
    <x v="9"/>
    <x v="147"/>
    <x v="2"/>
  </r>
  <r>
    <x v="3"/>
    <x v="125"/>
    <x v="2"/>
  </r>
  <r>
    <x v="4"/>
    <x v="11"/>
    <x v="2"/>
  </r>
  <r>
    <x v="10"/>
    <x v="0"/>
    <x v="2"/>
  </r>
  <r>
    <x v="6"/>
    <x v="305"/>
    <x v="2"/>
  </r>
  <r>
    <x v="9"/>
    <x v="188"/>
    <x v="2"/>
  </r>
  <r>
    <x v="0"/>
    <x v="131"/>
    <x v="2"/>
  </r>
  <r>
    <x v="4"/>
    <x v="22"/>
    <x v="2"/>
  </r>
  <r>
    <x v="3"/>
    <x v="10"/>
    <x v="2"/>
  </r>
  <r>
    <x v="10"/>
    <x v="0"/>
    <x v="2"/>
  </r>
  <r>
    <x v="6"/>
    <x v="286"/>
    <x v="2"/>
  </r>
  <r>
    <x v="9"/>
    <x v="191"/>
    <x v="2"/>
  </r>
  <r>
    <x v="0"/>
    <x v="162"/>
    <x v="2"/>
  </r>
  <r>
    <x v="4"/>
    <x v="33"/>
    <x v="2"/>
  </r>
  <r>
    <x v="3"/>
    <x v="24"/>
    <x v="2"/>
  </r>
  <r>
    <x v="10"/>
    <x v="0"/>
    <x v="2"/>
  </r>
  <r>
    <x v="6"/>
    <x v="292"/>
    <x v="2"/>
  </r>
  <r>
    <x v="9"/>
    <x v="244"/>
    <x v="2"/>
  </r>
  <r>
    <x v="0"/>
    <x v="115"/>
    <x v="2"/>
  </r>
  <r>
    <x v="3"/>
    <x v="40"/>
    <x v="2"/>
  </r>
  <r>
    <x v="4"/>
    <x v="6"/>
    <x v="2"/>
  </r>
  <r>
    <x v="10"/>
    <x v="0"/>
    <x v="2"/>
  </r>
  <r>
    <x v="6"/>
    <x v="265"/>
    <x v="2"/>
  </r>
  <r>
    <x v="9"/>
    <x v="209"/>
    <x v="2"/>
  </r>
  <r>
    <x v="0"/>
    <x v="166"/>
    <x v="2"/>
  </r>
  <r>
    <x v="4"/>
    <x v="84"/>
    <x v="2"/>
  </r>
  <r>
    <x v="3"/>
    <x v="8"/>
    <x v="2"/>
  </r>
  <r>
    <x v="10"/>
    <x v="0"/>
    <x v="2"/>
  </r>
  <r>
    <x v="6"/>
    <x v="289"/>
    <x v="2"/>
  </r>
  <r>
    <x v="9"/>
    <x v="229"/>
    <x v="2"/>
  </r>
  <r>
    <x v="0"/>
    <x v="137"/>
    <x v="2"/>
  </r>
  <r>
    <x v="4"/>
    <x v="48"/>
    <x v="2"/>
  </r>
  <r>
    <x v="3"/>
    <x v="4"/>
    <x v="2"/>
  </r>
  <r>
    <x v="10"/>
    <x v="0"/>
    <x v="2"/>
  </r>
  <r>
    <x v="6"/>
    <x v="309"/>
    <x v="2"/>
  </r>
  <r>
    <x v="0"/>
    <x v="152"/>
    <x v="2"/>
  </r>
  <r>
    <x v="4"/>
    <x v="105"/>
    <x v="2"/>
  </r>
  <r>
    <x v="9"/>
    <x v="40"/>
    <x v="2"/>
  </r>
  <r>
    <x v="8"/>
    <x v="35"/>
    <x v="2"/>
  </r>
  <r>
    <x v="10"/>
    <x v="0"/>
    <x v="2"/>
  </r>
  <r>
    <x v="6"/>
    <x v="296"/>
    <x v="2"/>
  </r>
  <r>
    <x v="9"/>
    <x v="220"/>
    <x v="2"/>
  </r>
  <r>
    <x v="0"/>
    <x v="169"/>
    <x v="2"/>
  </r>
  <r>
    <x v="3"/>
    <x v="28"/>
    <x v="2"/>
  </r>
  <r>
    <x v="4"/>
    <x v="2"/>
    <x v="2"/>
  </r>
  <r>
    <x v="10"/>
    <x v="0"/>
    <x v="2"/>
  </r>
  <r>
    <x v="9"/>
    <x v="269"/>
    <x v="2"/>
  </r>
  <r>
    <x v="6"/>
    <x v="266"/>
    <x v="2"/>
  </r>
  <r>
    <x v="3"/>
    <x v="98"/>
    <x v="2"/>
  </r>
  <r>
    <x v="0"/>
    <x v="97"/>
    <x v="2"/>
  </r>
  <r>
    <x v="4"/>
    <x v="3"/>
    <x v="2"/>
  </r>
  <r>
    <x v="10"/>
    <x v="0"/>
    <x v="2"/>
  </r>
  <r>
    <x v="6"/>
    <x v="300"/>
    <x v="2"/>
  </r>
  <r>
    <x v="9"/>
    <x v="181"/>
    <x v="2"/>
  </r>
  <r>
    <x v="0"/>
    <x v="142"/>
    <x v="2"/>
  </r>
  <r>
    <x v="3"/>
    <x v="40"/>
    <x v="2"/>
  </r>
  <r>
    <x v="4"/>
    <x v="34"/>
    <x v="2"/>
  </r>
  <r>
    <x v="10"/>
    <x v="0"/>
    <x v="2"/>
  </r>
  <r>
    <x v="9"/>
    <x v="351"/>
    <x v="2"/>
  </r>
  <r>
    <x v="6"/>
    <x v="340"/>
    <x v="2"/>
  </r>
  <r>
    <x v="0"/>
    <x v="322"/>
    <x v="2"/>
  </r>
  <r>
    <x v="10"/>
    <x v="0"/>
    <x v="2"/>
  </r>
  <r>
    <x v="6"/>
    <x v="348"/>
    <x v="2"/>
  </r>
  <r>
    <x v="0"/>
    <x v="335"/>
    <x v="2"/>
  </r>
  <r>
    <x v="9"/>
    <x v="330"/>
    <x v="2"/>
  </r>
  <r>
    <x v="10"/>
    <x v="0"/>
    <x v="2"/>
  </r>
  <r>
    <x v="6"/>
    <x v="365"/>
    <x v="2"/>
  </r>
  <r>
    <x v="0"/>
    <x v="358"/>
    <x v="2"/>
  </r>
  <r>
    <x v="10"/>
    <x v="0"/>
    <x v="2"/>
  </r>
  <r>
    <x v="6"/>
    <x v="285"/>
    <x v="2"/>
  </r>
  <r>
    <x v="0"/>
    <x v="208"/>
    <x v="2"/>
  </r>
  <r>
    <x v="3"/>
    <x v="112"/>
    <x v="2"/>
  </r>
  <r>
    <x v="9"/>
    <x v="69"/>
    <x v="2"/>
  </r>
  <r>
    <x v="4"/>
    <x v="24"/>
    <x v="2"/>
  </r>
  <r>
    <x v="10"/>
    <x v="0"/>
    <x v="2"/>
  </r>
  <r>
    <x v="6"/>
    <x v="292"/>
    <x v="2"/>
  </r>
  <r>
    <x v="9"/>
    <x v="233"/>
    <x v="2"/>
  </r>
  <r>
    <x v="3"/>
    <x v="119"/>
    <x v="2"/>
  </r>
  <r>
    <x v="0"/>
    <x v="93"/>
    <x v="2"/>
  </r>
  <r>
    <x v="2"/>
    <x v="1"/>
    <x v="2"/>
  </r>
  <r>
    <x v="10"/>
    <x v="0"/>
    <x v="2"/>
  </r>
  <r>
    <x v="6"/>
    <x v="353"/>
    <x v="2"/>
  </r>
  <r>
    <x v="9"/>
    <x v="329"/>
    <x v="2"/>
  </r>
  <r>
    <x v="0"/>
    <x v="324"/>
    <x v="2"/>
  </r>
  <r>
    <x v="10"/>
    <x v="0"/>
    <x v="2"/>
  </r>
  <r>
    <x v="6"/>
    <x v="252"/>
    <x v="2"/>
  </r>
  <r>
    <x v="0"/>
    <x v="197"/>
    <x v="2"/>
  </r>
  <r>
    <x v="9"/>
    <x v="187"/>
    <x v="2"/>
  </r>
  <r>
    <x v="3"/>
    <x v="71"/>
    <x v="2"/>
  </r>
  <r>
    <x v="4"/>
    <x v="14"/>
    <x v="2"/>
  </r>
  <r>
    <x v="10"/>
    <x v="0"/>
    <x v="2"/>
  </r>
  <r>
    <x v="6"/>
    <x v="237"/>
    <x v="2"/>
  </r>
  <r>
    <x v="3"/>
    <x v="160"/>
    <x v="2"/>
  </r>
  <r>
    <x v="0"/>
    <x v="139"/>
    <x v="2"/>
  </r>
  <r>
    <x v="9"/>
    <x v="123"/>
    <x v="2"/>
  </r>
  <r>
    <x v="4"/>
    <x v="114"/>
    <x v="2"/>
  </r>
  <r>
    <x v="10"/>
    <x v="0"/>
    <x v="2"/>
  </r>
  <r>
    <x v="6"/>
    <x v="287"/>
    <x v="2"/>
  </r>
  <r>
    <x v="9"/>
    <x v="180"/>
    <x v="2"/>
  </r>
  <r>
    <x v="0"/>
    <x v="163"/>
    <x v="2"/>
  </r>
  <r>
    <x v="3"/>
    <x v="53"/>
    <x v="2"/>
  </r>
  <r>
    <x v="8"/>
    <x v="19"/>
    <x v="2"/>
  </r>
  <r>
    <x v="10"/>
    <x v="0"/>
    <x v="2"/>
  </r>
  <r>
    <x v="6"/>
    <x v="316"/>
    <x v="2"/>
  </r>
  <r>
    <x v="9"/>
    <x v="308"/>
    <x v="2"/>
  </r>
  <r>
    <x v="0"/>
    <x v="274"/>
    <x v="2"/>
  </r>
  <r>
    <x v="3"/>
    <x v="171"/>
    <x v="2"/>
  </r>
  <r>
    <x v="10"/>
    <x v="0"/>
    <x v="2"/>
  </r>
  <r>
    <x v="6"/>
    <x v="280"/>
    <x v="2"/>
  </r>
  <r>
    <x v="9"/>
    <x v="208"/>
    <x v="2"/>
  </r>
  <r>
    <x v="3"/>
    <x v="128"/>
    <x v="2"/>
  </r>
  <r>
    <x v="0"/>
    <x v="54"/>
    <x v="2"/>
  </r>
  <r>
    <x v="4"/>
    <x v="36"/>
    <x v="2"/>
  </r>
  <r>
    <x v="10"/>
    <x v="0"/>
    <x v="2"/>
  </r>
  <r>
    <x v="6"/>
    <x v="303"/>
    <x v="2"/>
  </r>
  <r>
    <x v="9"/>
    <x v="224"/>
    <x v="2"/>
  </r>
  <r>
    <x v="4"/>
    <x v="94"/>
    <x v="2"/>
  </r>
  <r>
    <x v="0"/>
    <x v="39"/>
    <x v="2"/>
  </r>
  <r>
    <x v="7"/>
    <x v="7"/>
    <x v="2"/>
  </r>
  <r>
    <x v="10"/>
    <x v="0"/>
    <x v="2"/>
  </r>
  <r>
    <x v="6"/>
    <x v="253"/>
    <x v="2"/>
  </r>
  <r>
    <x v="9"/>
    <x v="226"/>
    <x v="2"/>
  </r>
  <r>
    <x v="3"/>
    <x v="108"/>
    <x v="2"/>
  </r>
  <r>
    <x v="5"/>
    <x v="73"/>
    <x v="2"/>
  </r>
  <r>
    <x v="4"/>
    <x v="68"/>
    <x v="2"/>
  </r>
  <r>
    <x v="10"/>
    <x v="0"/>
    <x v="2"/>
  </r>
  <r>
    <x v="6"/>
    <x v="311"/>
    <x v="2"/>
  </r>
  <r>
    <x v="9"/>
    <x v="297"/>
    <x v="2"/>
  </r>
  <r>
    <x v="0"/>
    <x v="281"/>
    <x v="2"/>
  </r>
  <r>
    <x v="3"/>
    <x v="273"/>
    <x v="2"/>
  </r>
  <r>
    <x v="10"/>
    <x v="0"/>
    <x v="2"/>
  </r>
  <r>
    <x v="6"/>
    <x v="260"/>
    <x v="2"/>
  </r>
  <r>
    <x v="9"/>
    <x v="161"/>
    <x v="2"/>
  </r>
  <r>
    <x v="0"/>
    <x v="127"/>
    <x v="2"/>
  </r>
  <r>
    <x v="2"/>
    <x v="120"/>
    <x v="2"/>
  </r>
  <r>
    <x v="3"/>
    <x v="92"/>
    <x v="2"/>
  </r>
  <r>
    <x v="10"/>
    <x v="0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H2:M29" firstHeaderRow="1" firstDataRow="2" firstDataCol="1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3"/>
        <item x="2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anchorName" fld="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2:L29" firstHeaderRow="1" firstDataRow="2" firstDataCol="1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3"/>
        <item x="2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anchorName" fld="1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33:M58" firstHeaderRow="1" firstDataRow="2" firstDataCol="2"/>
  <pivotFields count="4"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24">
    <i>
      <x/>
    </i>
    <i r="1"/>
    <i>
      <x v="1"/>
    </i>
    <i r="1"/>
    <i>
      <x v="2"/>
    </i>
    <i r="1"/>
    <i>
      <x v="3"/>
    </i>
    <i r="1"/>
    <i>
      <x v="4"/>
    </i>
    <i r="1"/>
    <i>
      <x v="5"/>
    </i>
    <i r="1"/>
    <i>
      <x v="6"/>
    </i>
    <i r="1"/>
    <i>
      <x v="7"/>
    </i>
    <i r="1"/>
    <i>
      <x v="8"/>
    </i>
    <i r="1"/>
    <i>
      <x v="9"/>
    </i>
    <i r="1"/>
    <i>
      <x v="10"/>
    </i>
    <i r="1"/>
    <i t="default">
      <x/>
    </i>
    <i t="default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2">
    <dataField name="Count - weight" fld="2" subtotal="count" numFmtId="164"/>
    <dataField name="Average - weight*" fld="2" subtotal="average" numFmtId="167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5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208:L221" firstHeaderRow="1" firstDataRow="2" firstDataCol="1"/>
  <pivotFields count="4"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2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3:L13" firstHeaderRow="1" firstDataRow="2" firstDataCol="1"/>
  <pivotFields count="3"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- abs delta" fld="2" subtotal="count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6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61:L74" firstHeaderRow="1" firstDataRow="2" firstDataCol="1"/>
  <pivotFields count="3"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368"/>
  <sheetViews>
    <sheetView showFormulas="false" showGridLines="true" showRowColHeaders="true" showZeros="true" rightToLeft="false" tabSelected="false" showOutlineSymbols="true" defaultGridColor="true" view="normal" topLeftCell="A188" colorId="64" zoomScale="125" zoomScaleNormal="125" zoomScalePageLayoutView="100" workbookViewId="0">
      <selection pane="topLeft" activeCell="A212" activeCellId="1" sqref="G116:H120 A21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5" min="2" style="1" width="17.93"/>
    <col collapsed="false" customWidth="true" hidden="false" outlineLevel="0" max="6" min="6" style="1" width="15.35"/>
    <col collapsed="false" customWidth="false" hidden="false" outlineLevel="0" max="8" min="7" style="1" width="11.53"/>
    <col collapsed="false" customWidth="true" hidden="false" outlineLevel="0" max="9" min="9" style="1" width="24.59"/>
    <col collapsed="false" customWidth="true" hidden="false" outlineLevel="0" max="10" min="10" style="2" width="20.36"/>
    <col collapsed="false" customWidth="true" hidden="false" outlineLevel="0" max="11" min="11" style="2" width="27.38"/>
    <col collapsed="false" customWidth="false" hidden="false" outlineLevel="0" max="13" min="12" style="1" width="11.53"/>
    <col collapsed="false" customWidth="true" hidden="false" outlineLevel="0" max="14" min="14" style="2" width="17.93"/>
    <col collapsed="false" customWidth="false" hidden="false" outlineLevel="0" max="16384" min="15" style="1" width="11.53"/>
  </cols>
  <sheetData>
    <row r="1" customFormat="false" ht="12.8" hidden="false" customHeight="false" outlineLevel="0" collapsed="false">
      <c r="B1" s="1" t="s">
        <v>0</v>
      </c>
    </row>
    <row r="2" customFormat="false" ht="12.8" hidden="false" customHeight="false" outlineLevel="0" collapsed="false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2.8" hidden="false" customHeight="false" outlineLevel="0" collapsed="false">
      <c r="A3" s="2" t="n">
        <v>1</v>
      </c>
      <c r="B3" s="3" t="n">
        <v>0.820228412658582</v>
      </c>
      <c r="C3" s="3" t="n">
        <v>0.825587383221469</v>
      </c>
      <c r="D3" s="3" t="n">
        <v>0.842837131615738</v>
      </c>
      <c r="E3" s="3" t="n">
        <v>0.826465743120003</v>
      </c>
    </row>
    <row r="4" customFormat="false" ht="12.8" hidden="false" customHeight="false" outlineLevel="0" collapsed="false">
      <c r="A4" s="2" t="n">
        <v>2</v>
      </c>
      <c r="B4" s="3" t="n">
        <v>0.764592146543124</v>
      </c>
      <c r="C4" s="3" t="n">
        <v>0.784325401049142</v>
      </c>
      <c r="D4" s="3" t="n">
        <v>0.75574434703051</v>
      </c>
      <c r="E4" s="3" t="n">
        <v>0.760295791016544</v>
      </c>
    </row>
    <row r="5" customFormat="false" ht="12.8" hidden="false" customHeight="false" outlineLevel="0" collapsed="false">
      <c r="A5" s="2" t="n">
        <v>3</v>
      </c>
      <c r="B5" s="3" t="n">
        <v>0.723011363854634</v>
      </c>
      <c r="C5" s="3" t="n">
        <v>0.74701543366489</v>
      </c>
      <c r="D5" s="3" t="n">
        <v>0.75246138552499</v>
      </c>
      <c r="E5" s="3" t="n">
        <v>0.745513104503565</v>
      </c>
    </row>
    <row r="6" customFormat="false" ht="12.8" hidden="false" customHeight="false" outlineLevel="0" collapsed="false">
      <c r="A6" s="2" t="n">
        <v>4</v>
      </c>
      <c r="B6" s="3" t="n">
        <v>0.756420441420714</v>
      </c>
      <c r="C6" s="3" t="n">
        <v>0.742572987280356</v>
      </c>
      <c r="D6" s="3" t="n">
        <v>0.755239937675953</v>
      </c>
      <c r="E6" s="3" t="n">
        <v>0.740237977344109</v>
      </c>
    </row>
    <row r="7" customFormat="false" ht="12.8" hidden="false" customHeight="false" outlineLevel="0" collapsed="false">
      <c r="A7" s="2" t="n">
        <v>5</v>
      </c>
      <c r="B7" s="3" t="n">
        <v>0.620462176144914</v>
      </c>
      <c r="C7" s="3" t="n">
        <v>0.638291604257815</v>
      </c>
      <c r="D7" s="3" t="n">
        <v>0.68196906691827</v>
      </c>
      <c r="E7" s="3" t="n">
        <v>0.701417807349544</v>
      </c>
    </row>
    <row r="8" customFormat="false" ht="12.8" hidden="false" customHeight="false" outlineLevel="0" collapsed="false">
      <c r="A8" s="2" t="n">
        <v>6</v>
      </c>
      <c r="B8" s="3" t="n">
        <v>0.798549003615991</v>
      </c>
      <c r="C8" s="3" t="n">
        <v>0.770021861028678</v>
      </c>
      <c r="D8" s="3" t="n">
        <v>0.805094582904182</v>
      </c>
      <c r="E8" s="3" t="n">
        <v>0.764412269319662</v>
      </c>
    </row>
    <row r="9" customFormat="false" ht="12.8" hidden="false" customHeight="false" outlineLevel="0" collapsed="false">
      <c r="A9" s="2" t="n">
        <v>7</v>
      </c>
      <c r="B9" s="3" t="n">
        <v>0.754603762692231</v>
      </c>
      <c r="C9" s="3" t="n">
        <v>0.776708177030339</v>
      </c>
      <c r="D9" s="3" t="n">
        <v>0.731449097356676</v>
      </c>
      <c r="E9" s="3" t="n">
        <v>0.704629188099325</v>
      </c>
    </row>
    <row r="10" customFormat="false" ht="12.8" hidden="false" customHeight="false" outlineLevel="0" collapsed="false">
      <c r="A10" s="2" t="n">
        <v>8</v>
      </c>
      <c r="B10" s="3" t="n">
        <v>0.786128366374384</v>
      </c>
      <c r="C10" s="3" t="n">
        <v>0.766895136055456</v>
      </c>
      <c r="D10" s="3" t="n">
        <v>0.798699397007465</v>
      </c>
      <c r="E10" s="3" t="n">
        <v>0.77201186291984</v>
      </c>
    </row>
    <row r="11" customFormat="false" ht="12.8" hidden="false" customHeight="false" outlineLevel="0" collapsed="false">
      <c r="A11" s="2" t="n">
        <v>9</v>
      </c>
      <c r="B11" s="3" t="n">
        <v>0.753257435556755</v>
      </c>
      <c r="C11" s="3" t="n">
        <v>0.726865282761305</v>
      </c>
      <c r="D11" s="3" t="n">
        <v>0.751181065835833</v>
      </c>
      <c r="E11" s="3" t="n">
        <v>0.72188407789367</v>
      </c>
    </row>
    <row r="12" customFormat="false" ht="12.8" hidden="false" customHeight="false" outlineLevel="0" collapsed="false">
      <c r="A12" s="2" t="n">
        <v>10</v>
      </c>
      <c r="B12" s="3" t="n">
        <v>0.807843832088534</v>
      </c>
      <c r="C12" s="3" t="n">
        <v>0.76670385944117</v>
      </c>
      <c r="D12" s="3" t="n">
        <v>0.780317010541866</v>
      </c>
      <c r="E12" s="3" t="n">
        <v>0.801799093845666</v>
      </c>
    </row>
    <row r="13" customFormat="false" ht="12.8" hidden="false" customHeight="false" outlineLevel="0" collapsed="false">
      <c r="A13" s="2" t="n">
        <v>11</v>
      </c>
      <c r="B13" s="3" t="n">
        <v>0.778100841853998</v>
      </c>
      <c r="C13" s="3" t="n">
        <v>0.826512142391129</v>
      </c>
      <c r="D13" s="3" t="n">
        <v>0.788964918757002</v>
      </c>
      <c r="E13" s="3" t="n">
        <v>0.82639186986707</v>
      </c>
    </row>
    <row r="14" customFormat="false" ht="12.8" hidden="false" customHeight="false" outlineLevel="0" collapsed="false">
      <c r="A14" s="2" t="n">
        <v>12</v>
      </c>
      <c r="B14" s="3" t="n">
        <v>0.762452458306693</v>
      </c>
      <c r="C14" s="3" t="n">
        <v>0.762736139690589</v>
      </c>
      <c r="D14" s="3" t="n">
        <v>0.744429655439828</v>
      </c>
      <c r="E14" s="3" t="n">
        <v>0.74557662237038</v>
      </c>
    </row>
    <row r="15" customFormat="false" ht="12.8" hidden="false" customHeight="false" outlineLevel="0" collapsed="false">
      <c r="A15" s="2" t="n">
        <v>13</v>
      </c>
      <c r="B15" s="3" t="n">
        <v>0.720022272820606</v>
      </c>
      <c r="C15" s="3" t="n">
        <v>0.710160103406143</v>
      </c>
      <c r="D15" s="3" t="n">
        <v>0.764347939487069</v>
      </c>
      <c r="E15" s="3" t="n">
        <v>0.739304791041697</v>
      </c>
    </row>
    <row r="16" customFormat="false" ht="12.8" hidden="false" customHeight="false" outlineLevel="0" collapsed="false">
      <c r="A16" s="2" t="n">
        <v>14</v>
      </c>
      <c r="B16" s="3" t="n">
        <v>0.738694358646482</v>
      </c>
      <c r="C16" s="3" t="n">
        <v>0.734376384357835</v>
      </c>
      <c r="D16" s="3" t="n">
        <v>0.716647920997565</v>
      </c>
      <c r="E16" s="3" t="n">
        <v>0.716775890381091</v>
      </c>
    </row>
    <row r="17" customFormat="false" ht="12.8" hidden="false" customHeight="false" outlineLevel="0" collapsed="false">
      <c r="A17" s="2" t="n">
        <v>15</v>
      </c>
      <c r="B17" s="3" t="n">
        <v>0.743421830265577</v>
      </c>
      <c r="C17" s="3" t="n">
        <v>0.756542240061655</v>
      </c>
      <c r="D17" s="3" t="n">
        <v>0.761929247616581</v>
      </c>
      <c r="E17" s="3" t="n">
        <v>0.72335469896996</v>
      </c>
    </row>
    <row r="18" customFormat="false" ht="12.8" hidden="false" customHeight="false" outlineLevel="0" collapsed="false">
      <c r="A18" s="2" t="n">
        <v>16</v>
      </c>
      <c r="B18" s="3" t="n">
        <v>0.763479689807917</v>
      </c>
      <c r="C18" s="3" t="n">
        <v>0.773732018127407</v>
      </c>
      <c r="D18" s="3" t="n">
        <v>0.742748731630287</v>
      </c>
      <c r="E18" s="3" t="n">
        <v>0.74148150305735</v>
      </c>
    </row>
    <row r="19" customFormat="false" ht="12.8" hidden="false" customHeight="false" outlineLevel="0" collapsed="false">
      <c r="A19" s="2" t="n">
        <v>17</v>
      </c>
      <c r="B19" s="3" t="n">
        <v>0.744667994911406</v>
      </c>
      <c r="C19" s="3" t="n">
        <v>0.812690613075421</v>
      </c>
      <c r="D19" s="3" t="n">
        <v>0.764209873398772</v>
      </c>
      <c r="E19" s="3" t="n">
        <v>0.782813226803677</v>
      </c>
    </row>
    <row r="20" customFormat="false" ht="12.8" hidden="false" customHeight="false" outlineLevel="0" collapsed="false">
      <c r="A20" s="2" t="n">
        <v>18</v>
      </c>
      <c r="B20" s="3" t="n">
        <v>0.695089950294851</v>
      </c>
      <c r="C20" s="3" t="n">
        <v>0.726488853152379</v>
      </c>
      <c r="D20" s="3" t="n">
        <v>0.700796274261234</v>
      </c>
      <c r="E20" s="3" t="n">
        <v>0.683924726356955</v>
      </c>
    </row>
    <row r="21" customFormat="false" ht="12.8" hidden="false" customHeight="false" outlineLevel="0" collapsed="false">
      <c r="A21" s="2" t="n">
        <v>19</v>
      </c>
      <c r="B21" s="3" t="n">
        <v>0.719748414663605</v>
      </c>
      <c r="C21" s="3" t="n">
        <v>0.763300559740396</v>
      </c>
      <c r="D21" s="3" t="n">
        <v>0.716284059047156</v>
      </c>
      <c r="E21" s="3" t="n">
        <v>0.741861628869437</v>
      </c>
    </row>
    <row r="22" customFormat="false" ht="12.8" hidden="false" customHeight="false" outlineLevel="0" collapsed="false">
      <c r="A22" s="2" t="n">
        <v>20</v>
      </c>
      <c r="B22" s="3" t="n">
        <v>0.850110132917837</v>
      </c>
      <c r="C22" s="3" t="n">
        <v>0.816538134208694</v>
      </c>
      <c r="D22" s="3" t="n">
        <v>0.839023541568098</v>
      </c>
      <c r="E22" s="3" t="n">
        <v>0.861291025455911</v>
      </c>
    </row>
    <row r="23" customFormat="false" ht="12.8" hidden="false" customHeight="false" outlineLevel="0" collapsed="false">
      <c r="A23" s="2" t="n">
        <v>21</v>
      </c>
      <c r="B23" s="3" t="n">
        <v>0.734658481254958</v>
      </c>
      <c r="C23" s="3" t="n">
        <v>0.643391428768254</v>
      </c>
      <c r="D23" s="3" t="n">
        <v>0.704024831920364</v>
      </c>
      <c r="E23" s="3" t="n">
        <v>0.726997779119958</v>
      </c>
    </row>
    <row r="24" customFormat="false" ht="12.8" hidden="false" customHeight="false" outlineLevel="0" collapsed="false">
      <c r="A24" s="2" t="n">
        <v>22</v>
      </c>
      <c r="B24" s="3" t="n">
        <v>0.702205596693105</v>
      </c>
      <c r="C24" s="3" t="n">
        <v>0.769255872522075</v>
      </c>
      <c r="D24" s="3" t="n">
        <v>0.684998594155911</v>
      </c>
      <c r="E24" s="3" t="n">
        <v>0.665221956623617</v>
      </c>
    </row>
    <row r="25" customFormat="false" ht="12.8" hidden="false" customHeight="false" outlineLevel="0" collapsed="false">
      <c r="A25" s="2" t="n">
        <v>23</v>
      </c>
      <c r="B25" s="3" t="n">
        <v>0.723021317867517</v>
      </c>
      <c r="C25" s="3" t="n">
        <v>0.684670543211604</v>
      </c>
      <c r="D25" s="3" t="n">
        <v>0.69681187759039</v>
      </c>
      <c r="E25" s="3" t="n">
        <v>0.761746926827647</v>
      </c>
    </row>
    <row r="26" customFormat="false" ht="12.8" hidden="false" customHeight="false" outlineLevel="0" collapsed="false">
      <c r="A26" s="2" t="n">
        <v>24</v>
      </c>
      <c r="B26" s="3" t="n">
        <v>0.790978057596565</v>
      </c>
      <c r="C26" s="3" t="n">
        <v>0.758491886581855</v>
      </c>
      <c r="D26" s="3" t="n">
        <v>0.809836609324266</v>
      </c>
      <c r="E26" s="3" t="n">
        <v>0.746216792553118</v>
      </c>
    </row>
    <row r="27" customFormat="false" ht="12.8" hidden="false" customHeight="false" outlineLevel="0" collapsed="false">
      <c r="A27" s="2" t="n">
        <v>25</v>
      </c>
      <c r="B27" s="3" t="n">
        <v>0.730577483299618</v>
      </c>
      <c r="C27" s="3" t="n">
        <v>0.727230413998473</v>
      </c>
      <c r="D27" s="3" t="n">
        <v>0.715111970099327</v>
      </c>
      <c r="E27" s="3" t="n">
        <v>0.725032419587978</v>
      </c>
    </row>
    <row r="30" customFormat="false" ht="12.8" hidden="false" customHeight="true" outlineLevel="0" collapsed="false">
      <c r="B30" s="4" t="s">
        <v>6</v>
      </c>
      <c r="C30" s="4"/>
    </row>
    <row r="32" customFormat="false" ht="12.8" hidden="false" customHeight="false" outlineLevel="0" collapsed="false">
      <c r="A32" s="2" t="s">
        <v>1</v>
      </c>
      <c r="B32" s="3" t="s">
        <v>5</v>
      </c>
      <c r="C32" s="3" t="s">
        <v>3</v>
      </c>
      <c r="D32" s="5" t="s">
        <v>7</v>
      </c>
      <c r="E32" s="5" t="s">
        <v>8</v>
      </c>
      <c r="F32" s="5" t="s">
        <v>9</v>
      </c>
      <c r="G32" s="5" t="s">
        <v>10</v>
      </c>
      <c r="I32" s="6" t="s">
        <v>11</v>
      </c>
      <c r="M32" s="2" t="s">
        <v>1</v>
      </c>
      <c r="N32" s="5" t="s">
        <v>8</v>
      </c>
    </row>
    <row r="33" customFormat="false" ht="12.8" hidden="false" customHeight="false" outlineLevel="0" collapsed="false">
      <c r="A33" s="2" t="n">
        <v>1</v>
      </c>
      <c r="B33" s="3" t="n">
        <v>0.826465743120003</v>
      </c>
      <c r="C33" s="3" t="n">
        <v>0.825587383221469</v>
      </c>
      <c r="D33" s="5" t="n">
        <f aca="false">C33-B33</f>
        <v>-0.00087835989853402</v>
      </c>
      <c r="E33" s="5" t="n">
        <f aca="false">ABS(D33)</f>
        <v>0.00087835989853402</v>
      </c>
      <c r="F33" s="5" t="n">
        <f aca="false">AVERAGE(D33:D57)</f>
        <v>0.00337782743147019</v>
      </c>
      <c r="G33" s="5" t="n">
        <f aca="false">_xlfn.STDEV.S(D33:D57)</f>
        <v>0.0425570325093647</v>
      </c>
      <c r="I33" s="1" t="s">
        <v>12</v>
      </c>
      <c r="J33" s="2" t="n">
        <v>0.05</v>
      </c>
      <c r="M33" s="2" t="n">
        <v>22</v>
      </c>
      <c r="N33" s="5" t="n">
        <v>0.104033915898458</v>
      </c>
    </row>
    <row r="34" customFormat="false" ht="12.8" hidden="false" customHeight="false" outlineLevel="0" collapsed="false">
      <c r="A34" s="2" t="n">
        <v>2</v>
      </c>
      <c r="B34" s="3" t="n">
        <v>0.760295791016544</v>
      </c>
      <c r="C34" s="3" t="n">
        <v>0.784325401049142</v>
      </c>
      <c r="D34" s="5" t="n">
        <f aca="false">C34-B34</f>
        <v>0.024029610032598</v>
      </c>
      <c r="E34" s="5" t="n">
        <f aca="false">ABS(D34)</f>
        <v>0.024029610032598</v>
      </c>
      <c r="I34" s="1" t="s">
        <v>13</v>
      </c>
      <c r="J34" s="2" t="n">
        <v>0</v>
      </c>
      <c r="M34" s="2" t="n">
        <v>21</v>
      </c>
      <c r="N34" s="5" t="n">
        <v>0.0836063503517041</v>
      </c>
    </row>
    <row r="35" customFormat="false" ht="12.8" hidden="false" customHeight="false" outlineLevel="0" collapsed="false">
      <c r="A35" s="2" t="n">
        <v>3</v>
      </c>
      <c r="B35" s="3" t="n">
        <v>0.745513104503565</v>
      </c>
      <c r="C35" s="3" t="n">
        <v>0.74701543366489</v>
      </c>
      <c r="D35" s="5" t="n">
        <f aca="false">C35-B35</f>
        <v>0.00150232916132498</v>
      </c>
      <c r="E35" s="5" t="n">
        <f aca="false">ABS(D35)</f>
        <v>0.00150232916132498</v>
      </c>
      <c r="J35" s="7" t="s">
        <v>14</v>
      </c>
      <c r="K35" s="7" t="s">
        <v>15</v>
      </c>
      <c r="M35" s="2" t="n">
        <v>23</v>
      </c>
      <c r="N35" s="5" t="n">
        <v>0.077076383616043</v>
      </c>
    </row>
    <row r="36" customFormat="false" ht="12.8" hidden="false" customHeight="false" outlineLevel="0" collapsed="false">
      <c r="A36" s="2" t="n">
        <v>4</v>
      </c>
      <c r="B36" s="3" t="n">
        <v>0.740237977344109</v>
      </c>
      <c r="C36" s="3" t="n">
        <v>0.742572987280356</v>
      </c>
      <c r="D36" s="5" t="n">
        <f aca="false">C36-B36</f>
        <v>0.00233500993624702</v>
      </c>
      <c r="E36" s="5" t="n">
        <f aca="false">ABS(D36)</f>
        <v>0.00233500993624702</v>
      </c>
      <c r="I36" s="1" t="s">
        <v>16</v>
      </c>
      <c r="J36" s="2" t="n">
        <f aca="false">AVERAGE(sims_per_turn!$B$32:$B$57)</f>
        <v>0.749066350931911</v>
      </c>
      <c r="K36" s="2" t="n">
        <f aca="false">AVERAGE(sims_per_turn!$C$32:$C$57)</f>
        <v>0.752444178363381</v>
      </c>
      <c r="M36" s="2" t="n">
        <v>7</v>
      </c>
      <c r="N36" s="5" t="n">
        <v>0.0720789889310141</v>
      </c>
    </row>
    <row r="37" customFormat="false" ht="12.8" hidden="false" customHeight="false" outlineLevel="0" collapsed="false">
      <c r="A37" s="2" t="n">
        <v>5</v>
      </c>
      <c r="B37" s="3" t="n">
        <v>0.701417807349544</v>
      </c>
      <c r="C37" s="3" t="n">
        <v>0.638291604257815</v>
      </c>
      <c r="D37" s="5" t="n">
        <f aca="false">C37-B37</f>
        <v>-0.063126203091729</v>
      </c>
      <c r="E37" s="5" t="n">
        <f aca="false">ABS(D37)</f>
        <v>0.063126203091729</v>
      </c>
      <c r="I37" s="1" t="s">
        <v>17</v>
      </c>
      <c r="J37" s="2" t="n">
        <f aca="false">VAR(sims_per_turn!$B$32:$B$57)</f>
        <v>0.00203641681568622</v>
      </c>
      <c r="K37" s="2" t="n">
        <f aca="false">VAR(sims_per_turn!$C$32:$C$57)</f>
        <v>0.00231810364606429</v>
      </c>
      <c r="M37" s="2" t="n">
        <v>5</v>
      </c>
      <c r="N37" s="5" t="n">
        <v>0.063126203091729</v>
      </c>
    </row>
    <row r="38" customFormat="false" ht="12.8" hidden="false" customHeight="false" outlineLevel="0" collapsed="false">
      <c r="A38" s="2" t="n">
        <v>6</v>
      </c>
      <c r="B38" s="3" t="n">
        <v>0.764412269319662</v>
      </c>
      <c r="C38" s="3" t="n">
        <v>0.770021861028678</v>
      </c>
      <c r="D38" s="5" t="n">
        <f aca="false">C38-B38</f>
        <v>0.00560959170901598</v>
      </c>
      <c r="E38" s="5" t="n">
        <f aca="false">ABS(D38)</f>
        <v>0.00560959170901598</v>
      </c>
      <c r="I38" s="1" t="s">
        <v>18</v>
      </c>
      <c r="J38" s="2" t="n">
        <f aca="false">COUNT(sims_per_turn!$B$32:$B$57)</f>
        <v>25</v>
      </c>
      <c r="K38" s="2" t="n">
        <f aca="false">COUNT(sims_per_turn!$C$32:$C$57)</f>
        <v>25</v>
      </c>
      <c r="M38" s="2" t="n">
        <v>20</v>
      </c>
      <c r="N38" s="5" t="n">
        <v>0.0447528912472169</v>
      </c>
    </row>
    <row r="39" customFormat="false" ht="12.8" hidden="false" customHeight="false" outlineLevel="0" collapsed="false">
      <c r="A39" s="2" t="n">
        <v>7</v>
      </c>
      <c r="B39" s="3" t="n">
        <v>0.704629188099325</v>
      </c>
      <c r="C39" s="3" t="n">
        <v>0.776708177030339</v>
      </c>
      <c r="D39" s="5" t="n">
        <f aca="false">C39-B39</f>
        <v>0.0720789889310141</v>
      </c>
      <c r="E39" s="5" t="n">
        <f aca="false">ABS(D39)</f>
        <v>0.0720789889310141</v>
      </c>
      <c r="I39" s="1" t="s">
        <v>19</v>
      </c>
      <c r="J39" s="2" t="n">
        <f aca="false">CORREL(sims_per_turn!$B$32:$B$57,sims_per_turn!$C$32:$C$57)</f>
        <v>0.585313079987147</v>
      </c>
      <c r="M39" s="2" t="n">
        <v>18</v>
      </c>
      <c r="N39" s="5" t="n">
        <v>0.042564126795424</v>
      </c>
    </row>
    <row r="40" customFormat="false" ht="12.8" hidden="false" customHeight="false" outlineLevel="0" collapsed="false">
      <c r="A40" s="2" t="n">
        <v>8</v>
      </c>
      <c r="B40" s="3" t="n">
        <v>0.77201186291984</v>
      </c>
      <c r="C40" s="3" t="n">
        <v>0.766895136055456</v>
      </c>
      <c r="D40" s="5" t="n">
        <f aca="false">C40-B40</f>
        <v>-0.00511672686438403</v>
      </c>
      <c r="E40" s="5" t="n">
        <f aca="false">ABS(D40)</f>
        <v>0.00511672686438403</v>
      </c>
      <c r="I40" s="1" t="s">
        <v>20</v>
      </c>
      <c r="J40" s="2" t="n">
        <f aca="false" t="array" ref="J40:J40">AVERAGE(IF(ISODD(IF(ISNUMBER(sims_per_turn!$B$32:$B$57), 1, 0) * IF(ISNUMBER(sims_per_turn!$C$32:$C$57), 1, 0)), sims_per_turn!$B$32:$B$57 - sims_per_turn!$C$32:$C$57, "NA"))</f>
        <v>-0.00337782743147019</v>
      </c>
      <c r="M40" s="2" t="n">
        <v>10</v>
      </c>
      <c r="N40" s="5" t="n">
        <v>0.035095234404496</v>
      </c>
    </row>
    <row r="41" customFormat="false" ht="12.8" hidden="false" customHeight="false" outlineLevel="0" collapsed="false">
      <c r="A41" s="2" t="n">
        <v>9</v>
      </c>
      <c r="B41" s="3" t="n">
        <v>0.72188407789367</v>
      </c>
      <c r="C41" s="3" t="n">
        <v>0.726865282761305</v>
      </c>
      <c r="D41" s="5" t="n">
        <f aca="false">C41-B41</f>
        <v>0.00498120486763498</v>
      </c>
      <c r="E41" s="5" t="n">
        <f aca="false">ABS(D41)</f>
        <v>0.00498120486763498</v>
      </c>
      <c r="I41" s="1" t="s">
        <v>21</v>
      </c>
      <c r="J41" s="2" t="n">
        <f aca="false" t="array" ref="J41:J41">VAR(IF(ISODD(IF(ISNUMBER(sims_per_turn!$B$32:$B$57), 1, 0) * IF(ISNUMBER(sims_per_turn!$C$32:$C$57), 1, 0)), sims_per_turn!$B$32:$B$57 - sims_per_turn!$C$32:$C$57, "NA"))</f>
        <v>0.00181110101600312</v>
      </c>
      <c r="M41" s="2" t="n">
        <v>15</v>
      </c>
      <c r="N41" s="5" t="n">
        <v>0.0331875410916951</v>
      </c>
    </row>
    <row r="42" customFormat="false" ht="12.8" hidden="false" customHeight="false" outlineLevel="0" collapsed="false">
      <c r="A42" s="2" t="n">
        <v>10</v>
      </c>
      <c r="B42" s="3" t="n">
        <v>0.801799093845666</v>
      </c>
      <c r="C42" s="3" t="n">
        <v>0.76670385944117</v>
      </c>
      <c r="D42" s="5" t="n">
        <f aca="false">C42-B42</f>
        <v>-0.035095234404496</v>
      </c>
      <c r="E42" s="5" t="n">
        <f aca="false">ABS(D42)</f>
        <v>0.035095234404496</v>
      </c>
      <c r="I42" s="1" t="s">
        <v>22</v>
      </c>
      <c r="J42" s="2" t="n">
        <f aca="false" t="array" ref="J42:J42">SUM(IF(ISNUMBER(sims_per_turn!$B$32:$B$57), 1, 0) * IF(ISNUMBER(sims_per_turn!$C$32:$C$57), 1, 0)) - 1</f>
        <v>24</v>
      </c>
      <c r="M42" s="2" t="n">
        <v>16</v>
      </c>
      <c r="N42" s="5" t="n">
        <v>0.0322505150700569</v>
      </c>
    </row>
    <row r="43" customFormat="false" ht="12.8" hidden="false" customHeight="false" outlineLevel="0" collapsed="false">
      <c r="A43" s="2" t="n">
        <v>11</v>
      </c>
      <c r="B43" s="3" t="n">
        <v>0.82639186986707</v>
      </c>
      <c r="C43" s="3" t="n">
        <v>0.826512142391129</v>
      </c>
      <c r="D43" s="5" t="n">
        <f aca="false">C43-B43</f>
        <v>0.000120272524058995</v>
      </c>
      <c r="E43" s="5" t="n">
        <f aca="false">ABS(D43)</f>
        <v>0.000120272524058995</v>
      </c>
      <c r="I43" s="1" t="s">
        <v>23</v>
      </c>
      <c r="J43" s="2" t="n">
        <f aca="false">(sims_per_turn!$J$40 - sims_per_turn!$J$34) / (sims_per_turn!$J$41 / ( sims_per_turn!$J$42 + 1)) ^ 0.5</f>
        <v>-0.396858901137773</v>
      </c>
      <c r="M43" s="2" t="n">
        <v>17</v>
      </c>
      <c r="N43" s="5" t="n">
        <v>0.029877386271744</v>
      </c>
    </row>
    <row r="44" customFormat="false" ht="12.8" hidden="false" customHeight="false" outlineLevel="0" collapsed="false">
      <c r="A44" s="2" t="n">
        <v>12</v>
      </c>
      <c r="B44" s="3" t="n">
        <v>0.74557662237038</v>
      </c>
      <c r="C44" s="3" t="n">
        <v>0.762736139690589</v>
      </c>
      <c r="D44" s="5" t="n">
        <f aca="false">C44-B44</f>
        <v>0.0171595173202089</v>
      </c>
      <c r="E44" s="5" t="n">
        <f aca="false">ABS(D44)</f>
        <v>0.0171595173202089</v>
      </c>
      <c r="I44" s="1" t="s">
        <v>24</v>
      </c>
      <c r="J44" s="2" t="n">
        <f aca="false">TDIST(ABS(sims_per_turn!$J$43), sims_per_turn!$J$42, 1)</f>
        <v>0.347489280610563</v>
      </c>
      <c r="M44" s="2" t="n">
        <v>13</v>
      </c>
      <c r="N44" s="5" t="n">
        <v>0.029144687635554</v>
      </c>
    </row>
    <row r="45" customFormat="false" ht="12.8" hidden="false" customHeight="false" outlineLevel="0" collapsed="false">
      <c r="A45" s="2" t="n">
        <v>13</v>
      </c>
      <c r="B45" s="3" t="n">
        <v>0.739304791041697</v>
      </c>
      <c r="C45" s="3" t="n">
        <v>0.710160103406143</v>
      </c>
      <c r="D45" s="5" t="n">
        <f aca="false">C45-B45</f>
        <v>-0.029144687635554</v>
      </c>
      <c r="E45" s="5" t="n">
        <f aca="false">ABS(D45)</f>
        <v>0.029144687635554</v>
      </c>
      <c r="I45" s="1" t="s">
        <v>25</v>
      </c>
      <c r="J45" s="2" t="n">
        <f aca="false">TINV(2*sims_per_turn!$J$33, sims_per_turn!$J$42)</f>
        <v>1.71088207990943</v>
      </c>
      <c r="M45" s="2" t="n">
        <v>2</v>
      </c>
      <c r="N45" s="5" t="n">
        <v>0.024029610032598</v>
      </c>
    </row>
    <row r="46" customFormat="false" ht="12.8" hidden="false" customHeight="false" outlineLevel="0" collapsed="false">
      <c r="A46" s="2" t="n">
        <v>14</v>
      </c>
      <c r="B46" s="3" t="n">
        <v>0.716775890381091</v>
      </c>
      <c r="C46" s="3" t="n">
        <v>0.734376384357835</v>
      </c>
      <c r="D46" s="5" t="n">
        <f aca="false">C46-B46</f>
        <v>0.017600493976744</v>
      </c>
      <c r="E46" s="5" t="n">
        <f aca="false">ABS(D46)</f>
        <v>0.017600493976744</v>
      </c>
      <c r="I46" s="1" t="s">
        <v>26</v>
      </c>
      <c r="J46" s="2" t="n">
        <f aca="false">TDIST(ABS(sims_per_turn!$J$43), sims_per_turn!$J$42, 2)</f>
        <v>0.694978561221125</v>
      </c>
      <c r="M46" s="2" t="n">
        <v>19</v>
      </c>
      <c r="N46" s="5" t="n">
        <v>0.0214389308709591</v>
      </c>
    </row>
    <row r="47" customFormat="false" ht="12.8" hidden="false" customHeight="false" outlineLevel="0" collapsed="false">
      <c r="A47" s="2" t="n">
        <v>15</v>
      </c>
      <c r="B47" s="3" t="n">
        <v>0.72335469896996</v>
      </c>
      <c r="C47" s="3" t="n">
        <v>0.756542240061655</v>
      </c>
      <c r="D47" s="5" t="n">
        <f aca="false">C47-B47</f>
        <v>0.0331875410916951</v>
      </c>
      <c r="E47" s="5" t="n">
        <f aca="false">ABS(D47)</f>
        <v>0.0331875410916951</v>
      </c>
      <c r="I47" s="1" t="s">
        <v>27</v>
      </c>
      <c r="J47" s="2" t="n">
        <f aca="false">TINV(sims_per_turn!$J$33, sims_per_turn!$J$42)</f>
        <v>2.06389856162803</v>
      </c>
      <c r="M47" s="2" t="n">
        <v>14</v>
      </c>
      <c r="N47" s="5" t="n">
        <v>0.017600493976744</v>
      </c>
    </row>
    <row r="48" customFormat="false" ht="12.8" hidden="false" customHeight="false" outlineLevel="0" collapsed="false">
      <c r="A48" s="2" t="n">
        <v>16</v>
      </c>
      <c r="B48" s="3" t="n">
        <v>0.74148150305735</v>
      </c>
      <c r="C48" s="3" t="n">
        <v>0.773732018127407</v>
      </c>
      <c r="D48" s="5" t="n">
        <f aca="false">C48-B48</f>
        <v>0.0322505150700569</v>
      </c>
      <c r="E48" s="5" t="n">
        <f aca="false">ABS(D48)</f>
        <v>0.0322505150700569</v>
      </c>
      <c r="M48" s="2" t="n">
        <v>12</v>
      </c>
      <c r="N48" s="5" t="n">
        <v>0.0171595173202089</v>
      </c>
    </row>
    <row r="49" customFormat="false" ht="12.8" hidden="false" customHeight="false" outlineLevel="0" collapsed="false">
      <c r="A49" s="2" t="n">
        <v>17</v>
      </c>
      <c r="B49" s="3" t="n">
        <v>0.782813226803677</v>
      </c>
      <c r="C49" s="3" t="n">
        <v>0.812690613075421</v>
      </c>
      <c r="D49" s="5" t="n">
        <f aca="false">C49-B49</f>
        <v>0.029877386271744</v>
      </c>
      <c r="E49" s="5" t="n">
        <f aca="false">ABS(D49)</f>
        <v>0.029877386271744</v>
      </c>
      <c r="M49" s="2" t="n">
        <v>24</v>
      </c>
      <c r="N49" s="5" t="n">
        <v>0.0122750940287369</v>
      </c>
    </row>
    <row r="50" customFormat="false" ht="12.8" hidden="false" customHeight="false" outlineLevel="0" collapsed="false">
      <c r="A50" s="2" t="n">
        <v>18</v>
      </c>
      <c r="B50" s="3" t="n">
        <v>0.683924726356955</v>
      </c>
      <c r="C50" s="3" t="n">
        <v>0.726488853152379</v>
      </c>
      <c r="D50" s="5" t="n">
        <f aca="false">C50-B50</f>
        <v>0.042564126795424</v>
      </c>
      <c r="E50" s="5" t="n">
        <f aca="false">ABS(D50)</f>
        <v>0.042564126795424</v>
      </c>
      <c r="M50" s="2" t="n">
        <v>6</v>
      </c>
      <c r="N50" s="5" t="n">
        <v>0.00560959170901598</v>
      </c>
    </row>
    <row r="51" customFormat="false" ht="12.8" hidden="false" customHeight="false" outlineLevel="0" collapsed="false">
      <c r="A51" s="2" t="n">
        <v>19</v>
      </c>
      <c r="B51" s="3" t="n">
        <v>0.741861628869437</v>
      </c>
      <c r="C51" s="3" t="n">
        <v>0.763300559740396</v>
      </c>
      <c r="D51" s="5" t="n">
        <f aca="false">C51-B51</f>
        <v>0.0214389308709591</v>
      </c>
      <c r="E51" s="5" t="n">
        <f aca="false">ABS(D51)</f>
        <v>0.0214389308709591</v>
      </c>
      <c r="M51" s="2" t="n">
        <v>8</v>
      </c>
      <c r="N51" s="5" t="n">
        <v>0.00511672686438403</v>
      </c>
    </row>
    <row r="52" customFormat="false" ht="12.8" hidden="false" customHeight="false" outlineLevel="0" collapsed="false">
      <c r="A52" s="2" t="n">
        <v>20</v>
      </c>
      <c r="B52" s="3" t="n">
        <v>0.861291025455911</v>
      </c>
      <c r="C52" s="3" t="n">
        <v>0.816538134208694</v>
      </c>
      <c r="D52" s="5" t="n">
        <f aca="false">C52-B52</f>
        <v>-0.0447528912472169</v>
      </c>
      <c r="E52" s="5" t="n">
        <f aca="false">ABS(D52)</f>
        <v>0.0447528912472169</v>
      </c>
      <c r="M52" s="2" t="n">
        <v>9</v>
      </c>
      <c r="N52" s="5" t="n">
        <v>0.00498120486763498</v>
      </c>
    </row>
    <row r="53" customFormat="false" ht="12.8" hidden="false" customHeight="false" outlineLevel="0" collapsed="false">
      <c r="A53" s="2" t="n">
        <v>21</v>
      </c>
      <c r="B53" s="3" t="n">
        <v>0.726997779119958</v>
      </c>
      <c r="C53" s="3" t="n">
        <v>0.643391428768254</v>
      </c>
      <c r="D53" s="5" t="n">
        <f aca="false">C53-B53</f>
        <v>-0.0836063503517041</v>
      </c>
      <c r="E53" s="5" t="n">
        <f aca="false">ABS(D53)</f>
        <v>0.0836063503517041</v>
      </c>
      <c r="M53" s="2" t="n">
        <v>4</v>
      </c>
      <c r="N53" s="5" t="n">
        <v>0.00233500993624702</v>
      </c>
    </row>
    <row r="54" customFormat="false" ht="12.8" hidden="false" customHeight="false" outlineLevel="0" collapsed="false">
      <c r="A54" s="2" t="n">
        <v>22</v>
      </c>
      <c r="B54" s="3" t="n">
        <v>0.665221956623617</v>
      </c>
      <c r="C54" s="3" t="n">
        <v>0.769255872522075</v>
      </c>
      <c r="D54" s="5" t="n">
        <f aca="false">C54-B54</f>
        <v>0.104033915898458</v>
      </c>
      <c r="E54" s="5" t="n">
        <f aca="false">ABS(D54)</f>
        <v>0.104033915898458</v>
      </c>
      <c r="M54" s="2" t="n">
        <v>25</v>
      </c>
      <c r="N54" s="5" t="n">
        <v>0.00219799441049495</v>
      </c>
    </row>
    <row r="55" customFormat="false" ht="12.8" hidden="false" customHeight="false" outlineLevel="0" collapsed="false">
      <c r="A55" s="2" t="n">
        <v>23</v>
      </c>
      <c r="B55" s="3" t="n">
        <v>0.761746926827647</v>
      </c>
      <c r="C55" s="3" t="n">
        <v>0.684670543211604</v>
      </c>
      <c r="D55" s="5" t="n">
        <f aca="false">C55-B55</f>
        <v>-0.077076383616043</v>
      </c>
      <c r="E55" s="5" t="n">
        <f aca="false">ABS(D55)</f>
        <v>0.077076383616043</v>
      </c>
      <c r="M55" s="2" t="n">
        <v>3</v>
      </c>
      <c r="N55" s="5" t="n">
        <v>0.00150232916132498</v>
      </c>
    </row>
    <row r="56" customFormat="false" ht="12.8" hidden="false" customHeight="false" outlineLevel="0" collapsed="false">
      <c r="A56" s="2" t="n">
        <v>24</v>
      </c>
      <c r="B56" s="3" t="n">
        <v>0.746216792553118</v>
      </c>
      <c r="C56" s="3" t="n">
        <v>0.758491886581855</v>
      </c>
      <c r="D56" s="5" t="n">
        <f aca="false">C56-B56</f>
        <v>0.0122750940287369</v>
      </c>
      <c r="E56" s="5" t="n">
        <f aca="false">ABS(D56)</f>
        <v>0.0122750940287369</v>
      </c>
      <c r="M56" s="2" t="n">
        <v>1</v>
      </c>
      <c r="N56" s="5" t="n">
        <v>0.00087835989853402</v>
      </c>
    </row>
    <row r="57" customFormat="false" ht="12.8" hidden="false" customHeight="false" outlineLevel="0" collapsed="false">
      <c r="A57" s="2" t="n">
        <v>25</v>
      </c>
      <c r="B57" s="3" t="n">
        <v>0.725032419587978</v>
      </c>
      <c r="C57" s="3" t="n">
        <v>0.727230413998473</v>
      </c>
      <c r="D57" s="5" t="n">
        <f aca="false">C57-B57</f>
        <v>0.00219799441049495</v>
      </c>
      <c r="E57" s="5" t="n">
        <f aca="false">ABS(D57)</f>
        <v>0.00219799441049495</v>
      </c>
      <c r="M57" s="2" t="n">
        <v>11</v>
      </c>
      <c r="N57" s="5" t="n">
        <v>0.000120272524058995</v>
      </c>
    </row>
    <row r="61" customFormat="false" ht="12.8" hidden="false" customHeight="false" outlineLevel="0" collapsed="false">
      <c r="A61" s="2" t="s">
        <v>1</v>
      </c>
      <c r="B61" s="3" t="s">
        <v>4</v>
      </c>
      <c r="C61" s="3" t="s">
        <v>2</v>
      </c>
      <c r="D61" s="5" t="s">
        <v>28</v>
      </c>
      <c r="E61" s="5" t="s">
        <v>8</v>
      </c>
      <c r="F61" s="5" t="s">
        <v>9</v>
      </c>
      <c r="G61" s="5" t="s">
        <v>10</v>
      </c>
      <c r="I61" s="6" t="s">
        <v>11</v>
      </c>
      <c r="M61" s="2" t="s">
        <v>1</v>
      </c>
      <c r="N61" s="5" t="s">
        <v>8</v>
      </c>
    </row>
    <row r="62" customFormat="false" ht="12.8" hidden="false" customHeight="false" outlineLevel="0" collapsed="false">
      <c r="A62" s="2" t="n">
        <v>1</v>
      </c>
      <c r="B62" s="3" t="n">
        <v>0.842837131615738</v>
      </c>
      <c r="C62" s="3" t="n">
        <v>0.820228412658582</v>
      </c>
      <c r="D62" s="5" t="n">
        <f aca="false">C62-B62</f>
        <v>-0.022608718957156</v>
      </c>
      <c r="E62" s="5" t="n">
        <f aca="false">ABS(D62)</f>
        <v>0.022608718957156</v>
      </c>
      <c r="F62" s="5" t="n">
        <f aca="false">AVERAGE(D62:D86)</f>
        <v>-0.000913329822189399</v>
      </c>
      <c r="G62" s="5" t="n">
        <f aca="false">_xlfn.STDEV.S(D62:D86)</f>
        <v>0.0236740109723292</v>
      </c>
      <c r="I62" s="1" t="s">
        <v>12</v>
      </c>
      <c r="J62" s="2" t="n">
        <v>0.05</v>
      </c>
      <c r="M62" s="2" t="n">
        <v>5</v>
      </c>
      <c r="N62" s="2" t="n">
        <v>0.061506890773356</v>
      </c>
    </row>
    <row r="63" customFormat="false" ht="12.8" hidden="false" customHeight="false" outlineLevel="0" collapsed="false">
      <c r="A63" s="2" t="n">
        <v>2</v>
      </c>
      <c r="B63" s="3" t="n">
        <v>0.75574434703051</v>
      </c>
      <c r="C63" s="3" t="n">
        <v>0.764592146543124</v>
      </c>
      <c r="D63" s="5" t="n">
        <f aca="false">C63-B63</f>
        <v>0.00884779951261405</v>
      </c>
      <c r="E63" s="5" t="n">
        <f aca="false">ABS(D63)</f>
        <v>0.00884779951261405</v>
      </c>
      <c r="I63" s="1" t="s">
        <v>13</v>
      </c>
      <c r="J63" s="2" t="n">
        <v>0</v>
      </c>
      <c r="M63" s="2" t="n">
        <v>13</v>
      </c>
      <c r="N63" s="2" t="n">
        <v>0.044325666666463</v>
      </c>
    </row>
    <row r="64" customFormat="false" ht="12.8" hidden="false" customHeight="false" outlineLevel="0" collapsed="false">
      <c r="A64" s="2" t="n">
        <v>3</v>
      </c>
      <c r="B64" s="3" t="n">
        <v>0.75246138552499</v>
      </c>
      <c r="C64" s="3" t="n">
        <v>0.723011363854634</v>
      </c>
      <c r="D64" s="5" t="n">
        <f aca="false">C64-B64</f>
        <v>-0.0294500216703559</v>
      </c>
      <c r="E64" s="5" t="n">
        <f aca="false">ABS(D64)</f>
        <v>0.0294500216703559</v>
      </c>
      <c r="J64" s="7" t="s">
        <v>14</v>
      </c>
      <c r="K64" s="7" t="s">
        <v>15</v>
      </c>
      <c r="M64" s="2" t="n">
        <v>21</v>
      </c>
      <c r="N64" s="2" t="n">
        <v>0.030633649334594</v>
      </c>
    </row>
    <row r="65" customFormat="false" ht="12.8" hidden="false" customHeight="false" outlineLevel="0" collapsed="false">
      <c r="A65" s="2" t="n">
        <v>4</v>
      </c>
      <c r="B65" s="3" t="n">
        <v>0.755239937675953</v>
      </c>
      <c r="C65" s="3" t="n">
        <v>0.756420441420714</v>
      </c>
      <c r="D65" s="5" t="n">
        <f aca="false">C65-B65</f>
        <v>0.00118050374476097</v>
      </c>
      <c r="E65" s="5" t="n">
        <f aca="false">ABS(D65)</f>
        <v>0.00118050374476097</v>
      </c>
      <c r="I65" s="1" t="s">
        <v>16</v>
      </c>
      <c r="J65" s="2" t="n">
        <f aca="false">AVERAGE(sims_per_turn!$B$62:$B$86)</f>
        <v>0.752206362708213</v>
      </c>
      <c r="K65" s="2" t="n">
        <f aca="false">AVERAGE(sims_per_turn!$C$62:$C$86)</f>
        <v>0.751293032886024</v>
      </c>
      <c r="M65" s="2" t="n">
        <v>3</v>
      </c>
      <c r="N65" s="2" t="n">
        <v>0.0294500216703559</v>
      </c>
    </row>
    <row r="66" customFormat="false" ht="12.8" hidden="false" customHeight="false" outlineLevel="0" collapsed="false">
      <c r="A66" s="2" t="n">
        <v>5</v>
      </c>
      <c r="B66" s="3" t="n">
        <v>0.68196906691827</v>
      </c>
      <c r="C66" s="3" t="n">
        <v>0.620462176144914</v>
      </c>
      <c r="D66" s="5" t="n">
        <f aca="false">C66-B66</f>
        <v>-0.061506890773356</v>
      </c>
      <c r="E66" s="5" t="n">
        <f aca="false">ABS(D66)</f>
        <v>0.061506890773356</v>
      </c>
      <c r="I66" s="1" t="s">
        <v>17</v>
      </c>
      <c r="J66" s="2" t="n">
        <f aca="false">VAR(sims_per_turn!$B$62:$B$86)</f>
        <v>0.00202400865138334</v>
      </c>
      <c r="K66" s="2" t="n">
        <f aca="false">VAR(sims_per_turn!$C$62:$C$86)</f>
        <v>0.00213223614861003</v>
      </c>
      <c r="M66" s="2" t="n">
        <v>10</v>
      </c>
      <c r="N66" s="2" t="n">
        <v>0.0275268215466681</v>
      </c>
    </row>
    <row r="67" customFormat="false" ht="12.8" hidden="false" customHeight="false" outlineLevel="0" collapsed="false">
      <c r="A67" s="2" t="n">
        <v>6</v>
      </c>
      <c r="B67" s="3" t="n">
        <v>0.805094582904182</v>
      </c>
      <c r="C67" s="3" t="n">
        <v>0.798549003615991</v>
      </c>
      <c r="D67" s="5" t="n">
        <f aca="false">C67-B67</f>
        <v>-0.006545579288191</v>
      </c>
      <c r="E67" s="5" t="n">
        <f aca="false">ABS(D67)</f>
        <v>0.006545579288191</v>
      </c>
      <c r="I67" s="1" t="s">
        <v>18</v>
      </c>
      <c r="J67" s="2" t="n">
        <f aca="false">COUNT(sims_per_turn!$B$62:$B$86)</f>
        <v>25</v>
      </c>
      <c r="K67" s="2" t="n">
        <f aca="false">COUNT(sims_per_turn!$C$62:$C$86)</f>
        <v>25</v>
      </c>
      <c r="M67" s="2" t="n">
        <v>23</v>
      </c>
      <c r="N67" s="2" t="n">
        <v>0.026209440277127</v>
      </c>
    </row>
    <row r="68" customFormat="false" ht="12.8" hidden="false" customHeight="false" outlineLevel="0" collapsed="false">
      <c r="A68" s="2" t="n">
        <v>7</v>
      </c>
      <c r="B68" s="3" t="n">
        <v>0.731449097356676</v>
      </c>
      <c r="C68" s="3" t="n">
        <v>0.754603762692231</v>
      </c>
      <c r="D68" s="5" t="n">
        <f aca="false">C68-B68</f>
        <v>0.023154665335555</v>
      </c>
      <c r="E68" s="5" t="n">
        <f aca="false">ABS(D68)</f>
        <v>0.023154665335555</v>
      </c>
      <c r="I68" s="1" t="s">
        <v>19</v>
      </c>
      <c r="J68" s="2" t="n">
        <f aca="false">CORREL(sims_per_turn!$B$62:$B$86,sims_per_turn!$C$62:$C$86)</f>
        <v>0.865446067515883</v>
      </c>
      <c r="M68" s="2" t="n">
        <v>7</v>
      </c>
      <c r="N68" s="2" t="n">
        <v>0.023154665335555</v>
      </c>
    </row>
    <row r="69" customFormat="false" ht="12.8" hidden="false" customHeight="false" outlineLevel="0" collapsed="false">
      <c r="A69" s="2" t="n">
        <v>8</v>
      </c>
      <c r="B69" s="3" t="n">
        <v>0.798699397007465</v>
      </c>
      <c r="C69" s="3" t="n">
        <v>0.786128366374384</v>
      </c>
      <c r="D69" s="5" t="n">
        <f aca="false">C69-B69</f>
        <v>-0.012571030633081</v>
      </c>
      <c r="E69" s="5" t="n">
        <f aca="false">ABS(D69)</f>
        <v>0.012571030633081</v>
      </c>
      <c r="I69" s="1" t="s">
        <v>20</v>
      </c>
      <c r="J69" s="2" t="n">
        <f aca="false" t="array" ref="J69:J69">AVERAGE(IF(ISODD(IF(ISNUMBER(sims_per_turn!$B$62:$B$86), 1, 0) * IF(ISNUMBER(sims_per_turn!$C$62:$C$86), 1, 0)), sims_per_turn!$B$62:$B$86 - sims_per_turn!$C$62:$C$86, "NA"))</f>
        <v>0.000913329822189399</v>
      </c>
      <c r="M69" s="2" t="n">
        <v>1</v>
      </c>
      <c r="N69" s="2" t="n">
        <v>0.022608718957156</v>
      </c>
    </row>
    <row r="70" customFormat="false" ht="12.8" hidden="false" customHeight="false" outlineLevel="0" collapsed="false">
      <c r="A70" s="2" t="n">
        <v>9</v>
      </c>
      <c r="B70" s="3" t="n">
        <v>0.751181065835833</v>
      </c>
      <c r="C70" s="3" t="n">
        <v>0.753257435556755</v>
      </c>
      <c r="D70" s="5" t="n">
        <f aca="false">C70-B70</f>
        <v>0.00207636972092196</v>
      </c>
      <c r="E70" s="5" t="n">
        <f aca="false">ABS(D70)</f>
        <v>0.00207636972092196</v>
      </c>
      <c r="I70" s="1" t="s">
        <v>21</v>
      </c>
      <c r="J70" s="2" t="n">
        <f aca="false" t="array" ref="J70:J70">VAR(IF(ISODD(IF(ISNUMBER(sims_per_turn!$B$62:$B$86), 1, 0) * IF(ISNUMBER(sims_per_turn!$C$62:$C$86), 1, 0)), sims_per_turn!$B$62:$B$86 - sims_per_turn!$C$62:$C$86, "NA"))</f>
        <v>0.000560458795517962</v>
      </c>
      <c r="M70" s="2" t="n">
        <v>14</v>
      </c>
      <c r="N70" s="2" t="n">
        <v>0.022046437648917</v>
      </c>
    </row>
    <row r="71" customFormat="false" ht="12.8" hidden="false" customHeight="false" outlineLevel="0" collapsed="false">
      <c r="A71" s="2" t="n">
        <v>10</v>
      </c>
      <c r="B71" s="3" t="n">
        <v>0.780317010541866</v>
      </c>
      <c r="C71" s="3" t="n">
        <v>0.807843832088534</v>
      </c>
      <c r="D71" s="5" t="n">
        <f aca="false">C71-B71</f>
        <v>0.0275268215466681</v>
      </c>
      <c r="E71" s="5" t="n">
        <f aca="false">ABS(D71)</f>
        <v>0.0275268215466681</v>
      </c>
      <c r="I71" s="1" t="s">
        <v>22</v>
      </c>
      <c r="J71" s="2" t="n">
        <f aca="false" t="array" ref="J71:J71">SUM(IF(ISNUMBER(sims_per_turn!$B$62:$B$86), 1, 0) * IF(ISNUMBER(sims_per_turn!$C$62:$C$86), 1, 0)) - 1</f>
        <v>24</v>
      </c>
      <c r="M71" s="2" t="n">
        <v>16</v>
      </c>
      <c r="N71" s="2" t="n">
        <v>0.02073095817763</v>
      </c>
    </row>
    <row r="72" customFormat="false" ht="12.8" hidden="false" customHeight="false" outlineLevel="0" collapsed="false">
      <c r="A72" s="2" t="n">
        <v>11</v>
      </c>
      <c r="B72" s="3" t="n">
        <v>0.788964918757002</v>
      </c>
      <c r="C72" s="3" t="n">
        <v>0.778100841853998</v>
      </c>
      <c r="D72" s="5" t="n">
        <f aca="false">C72-B72</f>
        <v>-0.0108640769030041</v>
      </c>
      <c r="E72" s="5" t="n">
        <f aca="false">ABS(D72)</f>
        <v>0.0108640769030041</v>
      </c>
      <c r="I72" s="1" t="s">
        <v>23</v>
      </c>
      <c r="J72" s="2" t="n">
        <f aca="false">(sims_per_turn!$J$69 - sims_per_turn!$J$63) / (sims_per_turn!$J$70 / ( sims_per_turn!$J$71 + 1)) ^ 0.5</f>
        <v>0.192897144310891</v>
      </c>
      <c r="M72" s="2" t="n">
        <v>17</v>
      </c>
      <c r="N72" s="2" t="n">
        <v>0.019541878487366</v>
      </c>
    </row>
    <row r="73" customFormat="false" ht="12.8" hidden="false" customHeight="false" outlineLevel="0" collapsed="false">
      <c r="A73" s="2" t="n">
        <v>12</v>
      </c>
      <c r="B73" s="3" t="n">
        <v>0.744429655439828</v>
      </c>
      <c r="C73" s="3" t="n">
        <v>0.762452458306693</v>
      </c>
      <c r="D73" s="5" t="n">
        <f aca="false">C73-B73</f>
        <v>0.018022802866865</v>
      </c>
      <c r="E73" s="5" t="n">
        <f aca="false">ABS(D73)</f>
        <v>0.018022802866865</v>
      </c>
      <c r="I73" s="1" t="s">
        <v>24</v>
      </c>
      <c r="J73" s="2" t="n">
        <f aca="false">TDIST(ABS(sims_per_turn!$J$72), sims_per_turn!$J$71, 1)</f>
        <v>0.424331298044862</v>
      </c>
      <c r="M73" s="2" t="n">
        <v>24</v>
      </c>
      <c r="N73" s="2" t="n">
        <v>0.018858551727701</v>
      </c>
    </row>
    <row r="74" customFormat="false" ht="12.8" hidden="false" customHeight="false" outlineLevel="0" collapsed="false">
      <c r="A74" s="2" t="n">
        <v>13</v>
      </c>
      <c r="B74" s="3" t="n">
        <v>0.764347939487069</v>
      </c>
      <c r="C74" s="3" t="n">
        <v>0.720022272820606</v>
      </c>
      <c r="D74" s="5" t="n">
        <f aca="false">C74-B74</f>
        <v>-0.044325666666463</v>
      </c>
      <c r="E74" s="5" t="n">
        <f aca="false">ABS(D74)</f>
        <v>0.044325666666463</v>
      </c>
      <c r="I74" s="1" t="s">
        <v>25</v>
      </c>
      <c r="J74" s="2" t="n">
        <f aca="false">TINV(2*sims_per_turn!$J$62, sims_per_turn!$J$71)</f>
        <v>1.71088207990943</v>
      </c>
      <c r="M74" s="2" t="n">
        <v>15</v>
      </c>
      <c r="N74" s="2" t="n">
        <v>0.018507417351004</v>
      </c>
    </row>
    <row r="75" customFormat="false" ht="12.8" hidden="false" customHeight="false" outlineLevel="0" collapsed="false">
      <c r="A75" s="2" t="n">
        <v>14</v>
      </c>
      <c r="B75" s="3" t="n">
        <v>0.716647920997565</v>
      </c>
      <c r="C75" s="3" t="n">
        <v>0.738694358646482</v>
      </c>
      <c r="D75" s="5" t="n">
        <f aca="false">C75-B75</f>
        <v>0.022046437648917</v>
      </c>
      <c r="E75" s="5" t="n">
        <f aca="false">ABS(D75)</f>
        <v>0.022046437648917</v>
      </c>
      <c r="I75" s="1" t="s">
        <v>26</v>
      </c>
      <c r="J75" s="2" t="n">
        <f aca="false">TDIST(ABS(sims_per_turn!$J$72), sims_per_turn!$J$71, 2)</f>
        <v>0.848662596089724</v>
      </c>
      <c r="M75" s="2" t="n">
        <v>12</v>
      </c>
      <c r="N75" s="2" t="n">
        <v>0.018022802866865</v>
      </c>
    </row>
    <row r="76" customFormat="false" ht="12.8" hidden="false" customHeight="false" outlineLevel="0" collapsed="false">
      <c r="A76" s="2" t="n">
        <v>15</v>
      </c>
      <c r="B76" s="3" t="n">
        <v>0.761929247616581</v>
      </c>
      <c r="C76" s="3" t="n">
        <v>0.743421830265577</v>
      </c>
      <c r="D76" s="5" t="n">
        <f aca="false">C76-B76</f>
        <v>-0.018507417351004</v>
      </c>
      <c r="E76" s="5" t="n">
        <f aca="false">ABS(D76)</f>
        <v>0.018507417351004</v>
      </c>
      <c r="I76" s="1" t="s">
        <v>27</v>
      </c>
      <c r="J76" s="2" t="n">
        <f aca="false">TINV(sims_per_turn!$J$62, sims_per_turn!$J$71)</f>
        <v>2.06389856162803</v>
      </c>
      <c r="M76" s="2" t="n">
        <v>22</v>
      </c>
      <c r="N76" s="2" t="n">
        <v>0.017207002537194</v>
      </c>
    </row>
    <row r="77" customFormat="false" ht="12.8" hidden="false" customHeight="false" outlineLevel="0" collapsed="false">
      <c r="A77" s="2" t="n">
        <v>16</v>
      </c>
      <c r="B77" s="3" t="n">
        <v>0.742748731630287</v>
      </c>
      <c r="C77" s="3" t="n">
        <v>0.763479689807917</v>
      </c>
      <c r="D77" s="5" t="n">
        <f aca="false">C77-B77</f>
        <v>0.02073095817763</v>
      </c>
      <c r="E77" s="5" t="n">
        <f aca="false">ABS(D77)</f>
        <v>0.02073095817763</v>
      </c>
      <c r="M77" s="2" t="n">
        <v>25</v>
      </c>
      <c r="N77" s="2" t="n">
        <v>0.015465513200291</v>
      </c>
    </row>
    <row r="78" customFormat="false" ht="12.8" hidden="false" customHeight="false" outlineLevel="0" collapsed="false">
      <c r="A78" s="2" t="n">
        <v>17</v>
      </c>
      <c r="B78" s="3" t="n">
        <v>0.764209873398772</v>
      </c>
      <c r="C78" s="3" t="n">
        <v>0.744667994911406</v>
      </c>
      <c r="D78" s="5" t="n">
        <f aca="false">C78-B78</f>
        <v>-0.019541878487366</v>
      </c>
      <c r="E78" s="5" t="n">
        <f aca="false">ABS(D78)</f>
        <v>0.019541878487366</v>
      </c>
      <c r="M78" s="2" t="n">
        <v>8</v>
      </c>
      <c r="N78" s="2" t="n">
        <v>0.012571030633081</v>
      </c>
    </row>
    <row r="79" customFormat="false" ht="12.8" hidden="false" customHeight="false" outlineLevel="0" collapsed="false">
      <c r="A79" s="2" t="n">
        <v>18</v>
      </c>
      <c r="B79" s="3" t="n">
        <v>0.700796274261234</v>
      </c>
      <c r="C79" s="3" t="n">
        <v>0.695089950294851</v>
      </c>
      <c r="D79" s="5" t="n">
        <f aca="false">C79-B79</f>
        <v>-0.00570632396638304</v>
      </c>
      <c r="E79" s="5" t="n">
        <f aca="false">ABS(D79)</f>
        <v>0.00570632396638304</v>
      </c>
      <c r="M79" s="2" t="n">
        <v>20</v>
      </c>
      <c r="N79" s="2" t="n">
        <v>0.011086591349739</v>
      </c>
    </row>
    <row r="80" customFormat="false" ht="12.8" hidden="false" customHeight="false" outlineLevel="0" collapsed="false">
      <c r="A80" s="2" t="n">
        <v>19</v>
      </c>
      <c r="B80" s="3" t="n">
        <v>0.716284059047156</v>
      </c>
      <c r="C80" s="3" t="n">
        <v>0.719748414663605</v>
      </c>
      <c r="D80" s="5" t="n">
        <f aca="false">C80-B80</f>
        <v>0.00346435561644898</v>
      </c>
      <c r="E80" s="5" t="n">
        <f aca="false">ABS(D80)</f>
        <v>0.00346435561644898</v>
      </c>
      <c r="M80" s="2" t="n">
        <v>11</v>
      </c>
      <c r="N80" s="2" t="n">
        <v>0.0108640769030041</v>
      </c>
    </row>
    <row r="81" customFormat="false" ht="12.8" hidden="false" customHeight="false" outlineLevel="0" collapsed="false">
      <c r="A81" s="2" t="n">
        <v>20</v>
      </c>
      <c r="B81" s="3" t="n">
        <v>0.839023541568098</v>
      </c>
      <c r="C81" s="3" t="n">
        <v>0.850110132917837</v>
      </c>
      <c r="D81" s="5" t="n">
        <f aca="false">C81-B81</f>
        <v>0.011086591349739</v>
      </c>
      <c r="E81" s="5" t="n">
        <f aca="false">ABS(D81)</f>
        <v>0.011086591349739</v>
      </c>
      <c r="M81" s="2" t="n">
        <v>2</v>
      </c>
      <c r="N81" s="2" t="n">
        <v>0.00884779951261405</v>
      </c>
    </row>
    <row r="82" customFormat="false" ht="12.8" hidden="false" customHeight="false" outlineLevel="0" collapsed="false">
      <c r="A82" s="2" t="n">
        <v>21</v>
      </c>
      <c r="B82" s="3" t="n">
        <v>0.704024831920364</v>
      </c>
      <c r="C82" s="3" t="n">
        <v>0.734658481254958</v>
      </c>
      <c r="D82" s="5" t="n">
        <f aca="false">C82-B82</f>
        <v>0.030633649334594</v>
      </c>
      <c r="E82" s="5" t="n">
        <f aca="false">ABS(D82)</f>
        <v>0.030633649334594</v>
      </c>
      <c r="M82" s="2" t="n">
        <v>6</v>
      </c>
      <c r="N82" s="2" t="n">
        <v>0.006545579288191</v>
      </c>
    </row>
    <row r="83" customFormat="false" ht="12.8" hidden="false" customHeight="false" outlineLevel="0" collapsed="false">
      <c r="A83" s="2" t="n">
        <v>22</v>
      </c>
      <c r="B83" s="3" t="n">
        <v>0.684998594155911</v>
      </c>
      <c r="C83" s="3" t="n">
        <v>0.702205596693105</v>
      </c>
      <c r="D83" s="5" t="n">
        <f aca="false">C83-B83</f>
        <v>0.017207002537194</v>
      </c>
      <c r="E83" s="5" t="n">
        <f aca="false">ABS(D83)</f>
        <v>0.017207002537194</v>
      </c>
      <c r="M83" s="2" t="n">
        <v>18</v>
      </c>
      <c r="N83" s="2" t="n">
        <v>0.00570632396638304</v>
      </c>
    </row>
    <row r="84" customFormat="false" ht="12.8" hidden="false" customHeight="false" outlineLevel="0" collapsed="false">
      <c r="A84" s="2" t="n">
        <v>23</v>
      </c>
      <c r="B84" s="3" t="n">
        <v>0.69681187759039</v>
      </c>
      <c r="C84" s="3" t="n">
        <v>0.723021317867517</v>
      </c>
      <c r="D84" s="5" t="n">
        <f aca="false">C84-B84</f>
        <v>0.026209440277127</v>
      </c>
      <c r="E84" s="5" t="n">
        <f aca="false">ABS(D84)</f>
        <v>0.026209440277127</v>
      </c>
      <c r="M84" s="2" t="n">
        <v>19</v>
      </c>
      <c r="N84" s="2" t="n">
        <v>0.00346435561644898</v>
      </c>
    </row>
    <row r="85" customFormat="false" ht="12.8" hidden="false" customHeight="false" outlineLevel="0" collapsed="false">
      <c r="A85" s="2" t="n">
        <v>24</v>
      </c>
      <c r="B85" s="3" t="n">
        <v>0.809836609324266</v>
      </c>
      <c r="C85" s="3" t="n">
        <v>0.790978057596565</v>
      </c>
      <c r="D85" s="5" t="n">
        <f aca="false">C85-B85</f>
        <v>-0.018858551727701</v>
      </c>
      <c r="E85" s="5" t="n">
        <f aca="false">ABS(D85)</f>
        <v>0.018858551727701</v>
      </c>
      <c r="M85" s="2" t="n">
        <v>9</v>
      </c>
      <c r="N85" s="2" t="n">
        <v>0.00207636972092196</v>
      </c>
    </row>
    <row r="86" customFormat="false" ht="12.8" hidden="false" customHeight="false" outlineLevel="0" collapsed="false">
      <c r="A86" s="2" t="n">
        <v>25</v>
      </c>
      <c r="B86" s="3" t="n">
        <v>0.715111970099327</v>
      </c>
      <c r="C86" s="3" t="n">
        <v>0.730577483299618</v>
      </c>
      <c r="D86" s="5" t="n">
        <f aca="false">C86-B86</f>
        <v>0.015465513200291</v>
      </c>
      <c r="E86" s="5" t="n">
        <f aca="false">ABS(D86)</f>
        <v>0.015465513200291</v>
      </c>
      <c r="M86" s="2" t="n">
        <v>4</v>
      </c>
      <c r="N86" s="2" t="n">
        <v>0.00118050374476097</v>
      </c>
    </row>
    <row r="90" customFormat="false" ht="12.8" hidden="false" customHeight="false" outlineLevel="0" collapsed="false">
      <c r="A90" s="2" t="s">
        <v>1</v>
      </c>
      <c r="B90" s="3" t="s">
        <v>4</v>
      </c>
      <c r="C90" s="3" t="s">
        <v>3</v>
      </c>
      <c r="D90" s="5" t="s">
        <v>28</v>
      </c>
      <c r="E90" s="5" t="s">
        <v>8</v>
      </c>
      <c r="F90" s="5" t="s">
        <v>9</v>
      </c>
      <c r="G90" s="5" t="s">
        <v>10</v>
      </c>
      <c r="I90" s="6" t="s">
        <v>11</v>
      </c>
      <c r="M90" s="2" t="s">
        <v>1</v>
      </c>
      <c r="N90" s="5" t="s">
        <v>8</v>
      </c>
    </row>
    <row r="91" customFormat="false" ht="12.8" hidden="false" customHeight="false" outlineLevel="0" collapsed="false">
      <c r="A91" s="2" t="n">
        <v>1</v>
      </c>
      <c r="B91" s="3" t="n">
        <v>0.842837131615738</v>
      </c>
      <c r="C91" s="3" t="n">
        <v>0.825587383221469</v>
      </c>
      <c r="D91" s="5" t="n">
        <f aca="false">C91-B91</f>
        <v>-0.0172497483942691</v>
      </c>
      <c r="E91" s="5" t="n">
        <f aca="false">ABS(D91)</f>
        <v>0.0172497483942691</v>
      </c>
      <c r="F91" s="5" t="n">
        <f aca="false">AVERAGE(D91:D115)</f>
        <v>0.000237815655167837</v>
      </c>
      <c r="G91" s="5" t="n">
        <f aca="false">_xlfn.STDEV.S(D91:D115)</f>
        <v>0.037469333173312</v>
      </c>
      <c r="I91" s="1" t="s">
        <v>12</v>
      </c>
      <c r="J91" s="2" t="n">
        <v>0.05</v>
      </c>
      <c r="M91" s="2" t="n">
        <v>22</v>
      </c>
      <c r="N91" s="2" t="n">
        <v>0.0842572783661639</v>
      </c>
    </row>
    <row r="92" customFormat="false" ht="12.8" hidden="false" customHeight="false" outlineLevel="0" collapsed="false">
      <c r="A92" s="2" t="n">
        <v>2</v>
      </c>
      <c r="B92" s="3" t="n">
        <v>0.75574434703051</v>
      </c>
      <c r="C92" s="3" t="n">
        <v>0.784325401049142</v>
      </c>
      <c r="D92" s="5" t="n">
        <f aca="false">C92-B92</f>
        <v>0.028581054018632</v>
      </c>
      <c r="E92" s="5" t="n">
        <f aca="false">ABS(D92)</f>
        <v>0.028581054018632</v>
      </c>
      <c r="I92" s="1" t="s">
        <v>13</v>
      </c>
      <c r="J92" s="2" t="n">
        <v>0</v>
      </c>
      <c r="M92" s="2" t="n">
        <v>21</v>
      </c>
      <c r="N92" s="2" t="n">
        <v>0.0606334031521101</v>
      </c>
    </row>
    <row r="93" customFormat="false" ht="12.8" hidden="false" customHeight="false" outlineLevel="0" collapsed="false">
      <c r="A93" s="2" t="n">
        <v>3</v>
      </c>
      <c r="B93" s="3" t="n">
        <v>0.75246138552499</v>
      </c>
      <c r="C93" s="3" t="n">
        <v>0.74701543366489</v>
      </c>
      <c r="D93" s="5" t="n">
        <f aca="false">C93-B93</f>
        <v>-0.0054459518601</v>
      </c>
      <c r="E93" s="5" t="n">
        <f aca="false">ABS(D93)</f>
        <v>0.0054459518601</v>
      </c>
      <c r="J93" s="7" t="s">
        <v>14</v>
      </c>
      <c r="K93" s="7" t="s">
        <v>15</v>
      </c>
      <c r="M93" s="2" t="n">
        <v>13</v>
      </c>
      <c r="N93" s="2" t="n">
        <v>0.054187836080926</v>
      </c>
    </row>
    <row r="94" customFormat="false" ht="12.8" hidden="false" customHeight="false" outlineLevel="0" collapsed="false">
      <c r="A94" s="2" t="n">
        <v>4</v>
      </c>
      <c r="B94" s="3" t="n">
        <v>0.755239937675953</v>
      </c>
      <c r="C94" s="3" t="n">
        <v>0.742572987280356</v>
      </c>
      <c r="D94" s="5" t="n">
        <f aca="false">C94-B94</f>
        <v>-0.012666950395597</v>
      </c>
      <c r="E94" s="5" t="n">
        <f aca="false">ABS(D94)</f>
        <v>0.012666950395597</v>
      </c>
      <c r="I94" s="1" t="s">
        <v>16</v>
      </c>
      <c r="J94" s="2" t="n">
        <f aca="false">AVERAGE(sims_per_turn!$B$90:$B$115)</f>
        <v>0.752206362708213</v>
      </c>
      <c r="K94" s="2" t="n">
        <f aca="false">AVERAGE(sims_per_turn!$C$90:$C$115)</f>
        <v>0.752444178363381</v>
      </c>
      <c r="M94" s="2" t="n">
        <v>24</v>
      </c>
      <c r="N94" s="2" t="n">
        <v>0.0513447227424111</v>
      </c>
    </row>
    <row r="95" customFormat="false" ht="12.8" hidden="false" customHeight="false" outlineLevel="0" collapsed="false">
      <c r="A95" s="2" t="n">
        <v>5</v>
      </c>
      <c r="B95" s="3" t="n">
        <v>0.68196906691827</v>
      </c>
      <c r="C95" s="3" t="n">
        <v>0.638291604257815</v>
      </c>
      <c r="D95" s="5" t="n">
        <f aca="false">C95-B95</f>
        <v>-0.043677462660455</v>
      </c>
      <c r="E95" s="5" t="n">
        <f aca="false">ABS(D95)</f>
        <v>0.043677462660455</v>
      </c>
      <c r="I95" s="1" t="s">
        <v>17</v>
      </c>
      <c r="J95" s="2" t="n">
        <f aca="false">VAR(sims_per_turn!$B$90:$B$115)</f>
        <v>0.00202400865138334</v>
      </c>
      <c r="K95" s="2" t="n">
        <f aca="false">VAR(sims_per_turn!$C$90:$C$115)</f>
        <v>0.00231810364606429</v>
      </c>
      <c r="M95" s="2" t="n">
        <v>17</v>
      </c>
      <c r="N95" s="2" t="n">
        <v>0.048480739676649</v>
      </c>
    </row>
    <row r="96" customFormat="false" ht="12.8" hidden="false" customHeight="false" outlineLevel="0" collapsed="false">
      <c r="A96" s="2" t="n">
        <v>6</v>
      </c>
      <c r="B96" s="3" t="n">
        <v>0.805094582904182</v>
      </c>
      <c r="C96" s="3" t="n">
        <v>0.770021861028678</v>
      </c>
      <c r="D96" s="5" t="n">
        <f aca="false">C96-B96</f>
        <v>-0.035072721875504</v>
      </c>
      <c r="E96" s="5" t="n">
        <f aca="false">ABS(D96)</f>
        <v>0.035072721875504</v>
      </c>
      <c r="I96" s="1" t="s">
        <v>18</v>
      </c>
      <c r="J96" s="2" t="n">
        <f aca="false">COUNT(sims_per_turn!$B$90:$B$115)</f>
        <v>25</v>
      </c>
      <c r="K96" s="2" t="n">
        <f aca="false">COUNT(sims_per_turn!$C$90:$C$115)</f>
        <v>25</v>
      </c>
      <c r="M96" s="2" t="n">
        <v>19</v>
      </c>
      <c r="N96" s="2" t="n">
        <v>0.04701650069324</v>
      </c>
    </row>
    <row r="97" customFormat="false" ht="12.8" hidden="false" customHeight="false" outlineLevel="0" collapsed="false">
      <c r="A97" s="2" t="n">
        <v>7</v>
      </c>
      <c r="B97" s="3" t="n">
        <v>0.731449097356676</v>
      </c>
      <c r="C97" s="3" t="n">
        <v>0.776708177030339</v>
      </c>
      <c r="D97" s="5" t="n">
        <f aca="false">C97-B97</f>
        <v>0.0452590796736631</v>
      </c>
      <c r="E97" s="5" t="n">
        <f aca="false">ABS(D97)</f>
        <v>0.0452590796736631</v>
      </c>
      <c r="I97" s="1" t="s">
        <v>19</v>
      </c>
      <c r="J97" s="2" t="n">
        <f aca="false">CORREL(sims_per_turn!$B$90:$B$115,sims_per_turn!$C$90:$C$115)</f>
        <v>0.678223824294294</v>
      </c>
      <c r="M97" s="2" t="n">
        <v>7</v>
      </c>
      <c r="N97" s="2" t="n">
        <v>0.0452590796736631</v>
      </c>
    </row>
    <row r="98" customFormat="false" ht="12.8" hidden="false" customHeight="false" outlineLevel="0" collapsed="false">
      <c r="A98" s="2" t="n">
        <v>8</v>
      </c>
      <c r="B98" s="3" t="n">
        <v>0.798699397007465</v>
      </c>
      <c r="C98" s="3" t="n">
        <v>0.766895136055456</v>
      </c>
      <c r="D98" s="5" t="n">
        <f aca="false">C98-B98</f>
        <v>-0.0318042609520089</v>
      </c>
      <c r="E98" s="5" t="n">
        <f aca="false">ABS(D98)</f>
        <v>0.0318042609520089</v>
      </c>
      <c r="I98" s="1" t="s">
        <v>20</v>
      </c>
      <c r="J98" s="2" t="n">
        <f aca="false" t="array" ref="J98:J98">AVERAGE(IF(ISODD(IF(ISNUMBER(sims_per_turn!$B$90:$B$115), 1, 0) * IF(ISNUMBER(sims_per_turn!$C$90:$C$115), 1, 0)), sims_per_turn!$B$90:$B$115 - sims_per_turn!$C$90:$C$115, "NA"))</f>
        <v>-0.000237815655167837</v>
      </c>
      <c r="M98" s="2" t="n">
        <v>5</v>
      </c>
      <c r="N98" s="2" t="n">
        <v>0.043677462660455</v>
      </c>
    </row>
    <row r="99" customFormat="false" ht="12.8" hidden="false" customHeight="false" outlineLevel="0" collapsed="false">
      <c r="A99" s="2" t="n">
        <v>9</v>
      </c>
      <c r="B99" s="3" t="n">
        <v>0.751181065835833</v>
      </c>
      <c r="C99" s="3" t="n">
        <v>0.726865282761305</v>
      </c>
      <c r="D99" s="5" t="n">
        <f aca="false">C99-B99</f>
        <v>-0.024315783074528</v>
      </c>
      <c r="E99" s="5" t="n">
        <f aca="false">ABS(D99)</f>
        <v>0.024315783074528</v>
      </c>
      <c r="I99" s="1" t="s">
        <v>21</v>
      </c>
      <c r="J99" s="2" t="n">
        <f aca="false" t="array" ref="J99:J99">VAR(IF(ISODD(IF(ISNUMBER(sims_per_turn!$B$90:$B$115), 1, 0) * IF(ISNUMBER(sims_per_turn!$C$90:$C$115), 1, 0)), sims_per_turn!$B$90:$B$115 - sims_per_turn!$C$90:$C$115, "NA"))</f>
        <v>0.00140395092845266</v>
      </c>
      <c r="M99" s="2" t="n">
        <v>11</v>
      </c>
      <c r="N99" s="2" t="n">
        <v>0.037547223634127</v>
      </c>
    </row>
    <row r="100" customFormat="false" ht="12.8" hidden="false" customHeight="false" outlineLevel="0" collapsed="false">
      <c r="A100" s="2" t="n">
        <v>10</v>
      </c>
      <c r="B100" s="3" t="n">
        <v>0.780317010541866</v>
      </c>
      <c r="C100" s="3" t="n">
        <v>0.76670385944117</v>
      </c>
      <c r="D100" s="5" t="n">
        <f aca="false">C100-B100</f>
        <v>-0.0136131511006959</v>
      </c>
      <c r="E100" s="5" t="n">
        <f aca="false">ABS(D100)</f>
        <v>0.0136131511006959</v>
      </c>
      <c r="I100" s="1" t="s">
        <v>22</v>
      </c>
      <c r="J100" s="2" t="n">
        <f aca="false" t="array" ref="J100:J100">SUM(IF(ISNUMBER(sims_per_turn!$B$90:$B$115), 1, 0) * IF(ISNUMBER(sims_per_turn!$C$90:$C$115), 1, 0)) - 1</f>
        <v>24</v>
      </c>
      <c r="M100" s="2" t="n">
        <v>6</v>
      </c>
      <c r="N100" s="2" t="n">
        <v>0.035072721875504</v>
      </c>
    </row>
    <row r="101" customFormat="false" ht="12.8" hidden="false" customHeight="false" outlineLevel="0" collapsed="false">
      <c r="A101" s="2" t="n">
        <v>11</v>
      </c>
      <c r="B101" s="3" t="n">
        <v>0.788964918757002</v>
      </c>
      <c r="C101" s="3" t="n">
        <v>0.826512142391129</v>
      </c>
      <c r="D101" s="5" t="n">
        <f aca="false">C101-B101</f>
        <v>0.037547223634127</v>
      </c>
      <c r="E101" s="5" t="n">
        <f aca="false">ABS(D101)</f>
        <v>0.037547223634127</v>
      </c>
      <c r="I101" s="1" t="s">
        <v>23</v>
      </c>
      <c r="J101" s="2" t="n">
        <f aca="false">(sims_per_turn!$J$98 - sims_per_turn!$J$92) / (sims_per_turn!$J$99 / ( sims_per_turn!$J$100 + 1)) ^ 0.5</f>
        <v>-0.0317347060952267</v>
      </c>
      <c r="M101" s="2" t="n">
        <v>8</v>
      </c>
      <c r="N101" s="2" t="n">
        <v>0.0318042609520089</v>
      </c>
    </row>
    <row r="102" customFormat="false" ht="12.8" hidden="false" customHeight="false" outlineLevel="0" collapsed="false">
      <c r="A102" s="2" t="n">
        <v>12</v>
      </c>
      <c r="B102" s="3" t="n">
        <v>0.744429655439828</v>
      </c>
      <c r="C102" s="3" t="n">
        <v>0.762736139690589</v>
      </c>
      <c r="D102" s="5" t="n">
        <f aca="false">C102-B102</f>
        <v>0.018306484250761</v>
      </c>
      <c r="E102" s="5" t="n">
        <f aca="false">ABS(D102)</f>
        <v>0.018306484250761</v>
      </c>
      <c r="I102" s="1" t="s">
        <v>24</v>
      </c>
      <c r="J102" s="2" t="n">
        <f aca="false">TDIST(ABS(sims_per_turn!$J$101), sims_per_turn!$J$100, 1)</f>
        <v>0.487473030356131</v>
      </c>
      <c r="M102" s="2" t="n">
        <v>16</v>
      </c>
      <c r="N102" s="2" t="n">
        <v>0.03098328649712</v>
      </c>
    </row>
    <row r="103" customFormat="false" ht="12.8" hidden="false" customHeight="false" outlineLevel="0" collapsed="false">
      <c r="A103" s="2" t="n">
        <v>13</v>
      </c>
      <c r="B103" s="3" t="n">
        <v>0.764347939487069</v>
      </c>
      <c r="C103" s="3" t="n">
        <v>0.710160103406143</v>
      </c>
      <c r="D103" s="5" t="n">
        <f aca="false">C103-B103</f>
        <v>-0.054187836080926</v>
      </c>
      <c r="E103" s="5" t="n">
        <f aca="false">ABS(D103)</f>
        <v>0.054187836080926</v>
      </c>
      <c r="I103" s="1" t="s">
        <v>25</v>
      </c>
      <c r="J103" s="2" t="n">
        <f aca="false">TINV(2*sims_per_turn!$J$91, sims_per_turn!$J$100)</f>
        <v>1.71088207990943</v>
      </c>
      <c r="M103" s="2" t="n">
        <v>2</v>
      </c>
      <c r="N103" s="2" t="n">
        <v>0.028581054018632</v>
      </c>
    </row>
    <row r="104" customFormat="false" ht="12.8" hidden="false" customHeight="false" outlineLevel="0" collapsed="false">
      <c r="A104" s="2" t="n">
        <v>14</v>
      </c>
      <c r="B104" s="3" t="n">
        <v>0.716647920997565</v>
      </c>
      <c r="C104" s="3" t="n">
        <v>0.734376384357835</v>
      </c>
      <c r="D104" s="5" t="n">
        <f aca="false">C104-B104</f>
        <v>0.01772846336027</v>
      </c>
      <c r="E104" s="5" t="n">
        <f aca="false">ABS(D104)</f>
        <v>0.01772846336027</v>
      </c>
      <c r="I104" s="1" t="s">
        <v>26</v>
      </c>
      <c r="J104" s="2" t="n">
        <f aca="false">TDIST(ABS(sims_per_turn!$J$101), sims_per_turn!$J$100, 2)</f>
        <v>0.974946060712262</v>
      </c>
      <c r="M104" s="2" t="n">
        <v>18</v>
      </c>
      <c r="N104" s="2" t="n">
        <v>0.025692578891145</v>
      </c>
    </row>
    <row r="105" customFormat="false" ht="12.8" hidden="false" customHeight="false" outlineLevel="0" collapsed="false">
      <c r="A105" s="2" t="n">
        <v>15</v>
      </c>
      <c r="B105" s="3" t="n">
        <v>0.761929247616581</v>
      </c>
      <c r="C105" s="3" t="n">
        <v>0.756542240061655</v>
      </c>
      <c r="D105" s="5" t="n">
        <f aca="false">C105-B105</f>
        <v>-0.00538700755492594</v>
      </c>
      <c r="E105" s="5" t="n">
        <f aca="false">ABS(D105)</f>
        <v>0.00538700755492594</v>
      </c>
      <c r="I105" s="1" t="s">
        <v>27</v>
      </c>
      <c r="J105" s="2" t="n">
        <f aca="false">TINV(sims_per_turn!$J$91, sims_per_turn!$J$100)</f>
        <v>2.06389856162803</v>
      </c>
      <c r="M105" s="2" t="n">
        <v>9</v>
      </c>
      <c r="N105" s="2" t="n">
        <v>0.024315783074528</v>
      </c>
    </row>
    <row r="106" customFormat="false" ht="12.8" hidden="false" customHeight="false" outlineLevel="0" collapsed="false">
      <c r="A106" s="2" t="n">
        <v>16</v>
      </c>
      <c r="B106" s="3" t="n">
        <v>0.742748731630287</v>
      </c>
      <c r="C106" s="3" t="n">
        <v>0.773732018127407</v>
      </c>
      <c r="D106" s="5" t="n">
        <f aca="false">C106-B106</f>
        <v>0.03098328649712</v>
      </c>
      <c r="E106" s="5" t="n">
        <f aca="false">ABS(D106)</f>
        <v>0.03098328649712</v>
      </c>
      <c r="M106" s="2" t="n">
        <v>20</v>
      </c>
      <c r="N106" s="2" t="n">
        <v>0.022485407359404</v>
      </c>
    </row>
    <row r="107" customFormat="false" ht="12.8" hidden="false" customHeight="false" outlineLevel="0" collapsed="false">
      <c r="A107" s="2" t="n">
        <v>17</v>
      </c>
      <c r="B107" s="3" t="n">
        <v>0.764209873398772</v>
      </c>
      <c r="C107" s="3" t="n">
        <v>0.812690613075421</v>
      </c>
      <c r="D107" s="5" t="n">
        <f aca="false">C107-B107</f>
        <v>0.048480739676649</v>
      </c>
      <c r="E107" s="5" t="n">
        <f aca="false">ABS(D107)</f>
        <v>0.048480739676649</v>
      </c>
      <c r="M107" s="2" t="n">
        <v>12</v>
      </c>
      <c r="N107" s="2" t="n">
        <v>0.018306484250761</v>
      </c>
    </row>
    <row r="108" customFormat="false" ht="12.8" hidden="false" customHeight="false" outlineLevel="0" collapsed="false">
      <c r="A108" s="2" t="n">
        <v>18</v>
      </c>
      <c r="B108" s="3" t="n">
        <v>0.700796274261234</v>
      </c>
      <c r="C108" s="3" t="n">
        <v>0.726488853152379</v>
      </c>
      <c r="D108" s="5" t="n">
        <f aca="false">C108-B108</f>
        <v>0.025692578891145</v>
      </c>
      <c r="E108" s="5" t="n">
        <f aca="false">ABS(D108)</f>
        <v>0.025692578891145</v>
      </c>
      <c r="M108" s="2" t="n">
        <v>14</v>
      </c>
      <c r="N108" s="2" t="n">
        <v>0.01772846336027</v>
      </c>
    </row>
    <row r="109" customFormat="false" ht="12.8" hidden="false" customHeight="false" outlineLevel="0" collapsed="false">
      <c r="A109" s="2" t="n">
        <v>19</v>
      </c>
      <c r="B109" s="3" t="n">
        <v>0.716284059047156</v>
      </c>
      <c r="C109" s="3" t="n">
        <v>0.763300559740396</v>
      </c>
      <c r="D109" s="5" t="n">
        <f aca="false">C109-B109</f>
        <v>0.04701650069324</v>
      </c>
      <c r="E109" s="5" t="n">
        <f aca="false">ABS(D109)</f>
        <v>0.04701650069324</v>
      </c>
      <c r="M109" s="2" t="n">
        <v>1</v>
      </c>
      <c r="N109" s="2" t="n">
        <v>0.0172497483942691</v>
      </c>
    </row>
    <row r="110" customFormat="false" ht="12.8" hidden="false" customHeight="false" outlineLevel="0" collapsed="false">
      <c r="A110" s="2" t="n">
        <v>20</v>
      </c>
      <c r="B110" s="3" t="n">
        <v>0.839023541568098</v>
      </c>
      <c r="C110" s="3" t="n">
        <v>0.816538134208694</v>
      </c>
      <c r="D110" s="5" t="n">
        <f aca="false">C110-B110</f>
        <v>-0.022485407359404</v>
      </c>
      <c r="E110" s="5" t="n">
        <f aca="false">ABS(D110)</f>
        <v>0.022485407359404</v>
      </c>
      <c r="M110" s="2" t="n">
        <v>10</v>
      </c>
      <c r="N110" s="2" t="n">
        <v>0.0136131511006959</v>
      </c>
    </row>
    <row r="111" customFormat="false" ht="12.8" hidden="false" customHeight="false" outlineLevel="0" collapsed="false">
      <c r="A111" s="2" t="n">
        <v>21</v>
      </c>
      <c r="B111" s="3" t="n">
        <v>0.704024831920364</v>
      </c>
      <c r="C111" s="3" t="n">
        <v>0.643391428768254</v>
      </c>
      <c r="D111" s="5" t="n">
        <f aca="false">C111-B111</f>
        <v>-0.0606334031521101</v>
      </c>
      <c r="E111" s="5" t="n">
        <f aca="false">ABS(D111)</f>
        <v>0.0606334031521101</v>
      </c>
      <c r="M111" s="2" t="n">
        <v>4</v>
      </c>
      <c r="N111" s="2" t="n">
        <v>0.012666950395597</v>
      </c>
    </row>
    <row r="112" customFormat="false" ht="12.8" hidden="false" customHeight="false" outlineLevel="0" collapsed="false">
      <c r="A112" s="2" t="n">
        <v>22</v>
      </c>
      <c r="B112" s="3" t="n">
        <v>0.684998594155911</v>
      </c>
      <c r="C112" s="3" t="n">
        <v>0.769255872522075</v>
      </c>
      <c r="D112" s="5" t="n">
        <f aca="false">C112-B112</f>
        <v>0.0842572783661639</v>
      </c>
      <c r="E112" s="5" t="n">
        <f aca="false">ABS(D112)</f>
        <v>0.0842572783661639</v>
      </c>
      <c r="M112" s="2" t="n">
        <v>23</v>
      </c>
      <c r="N112" s="2" t="n">
        <v>0.012141334378786</v>
      </c>
    </row>
    <row r="113" customFormat="false" ht="12.8" hidden="false" customHeight="false" outlineLevel="0" collapsed="false">
      <c r="A113" s="2" t="n">
        <v>23</v>
      </c>
      <c r="B113" s="3" t="n">
        <v>0.69681187759039</v>
      </c>
      <c r="C113" s="3" t="n">
        <v>0.684670543211604</v>
      </c>
      <c r="D113" s="5" t="n">
        <f aca="false">C113-B113</f>
        <v>-0.012141334378786</v>
      </c>
      <c r="E113" s="5" t="n">
        <f aca="false">ABS(D113)</f>
        <v>0.012141334378786</v>
      </c>
      <c r="M113" s="2" t="n">
        <v>25</v>
      </c>
      <c r="N113" s="2" t="n">
        <v>0.012118443899146</v>
      </c>
    </row>
    <row r="114" customFormat="false" ht="12.8" hidden="false" customHeight="false" outlineLevel="0" collapsed="false">
      <c r="A114" s="2" t="n">
        <v>24</v>
      </c>
      <c r="B114" s="3" t="n">
        <v>0.809836609324266</v>
      </c>
      <c r="C114" s="3" t="n">
        <v>0.758491886581855</v>
      </c>
      <c r="D114" s="5" t="n">
        <f aca="false">C114-B114</f>
        <v>-0.0513447227424111</v>
      </c>
      <c r="E114" s="5" t="n">
        <f aca="false">ABS(D114)</f>
        <v>0.0513447227424111</v>
      </c>
      <c r="M114" s="2" t="n">
        <v>3</v>
      </c>
      <c r="N114" s="2" t="n">
        <v>0.0054459518601</v>
      </c>
    </row>
    <row r="115" customFormat="false" ht="12.8" hidden="false" customHeight="false" outlineLevel="0" collapsed="false">
      <c r="A115" s="2" t="n">
        <v>25</v>
      </c>
      <c r="B115" s="3" t="n">
        <v>0.715111970099327</v>
      </c>
      <c r="C115" s="3" t="n">
        <v>0.727230413998473</v>
      </c>
      <c r="D115" s="5" t="n">
        <f aca="false">C115-B115</f>
        <v>0.012118443899146</v>
      </c>
      <c r="E115" s="5" t="n">
        <f aca="false">ABS(D115)</f>
        <v>0.012118443899146</v>
      </c>
      <c r="M115" s="2" t="n">
        <v>15</v>
      </c>
      <c r="N115" s="2" t="n">
        <v>0.00538700755492594</v>
      </c>
    </row>
    <row r="119" customFormat="false" ht="12.8" hidden="false" customHeight="false" outlineLevel="0" collapsed="false">
      <c r="A119" s="2" t="s">
        <v>1</v>
      </c>
      <c r="B119" s="3" t="s">
        <v>4</v>
      </c>
      <c r="C119" s="3" t="s">
        <v>5</v>
      </c>
      <c r="D119" s="5" t="s">
        <v>28</v>
      </c>
      <c r="E119" s="5" t="s">
        <v>8</v>
      </c>
      <c r="F119" s="5" t="s">
        <v>9</v>
      </c>
      <c r="G119" s="5" t="s">
        <v>10</v>
      </c>
      <c r="I119" s="6" t="s">
        <v>11</v>
      </c>
      <c r="M119" s="2" t="s">
        <v>1</v>
      </c>
      <c r="N119" s="2" t="s">
        <v>8</v>
      </c>
    </row>
    <row r="120" customFormat="false" ht="12.8" hidden="false" customHeight="false" outlineLevel="0" collapsed="false">
      <c r="A120" s="2" t="n">
        <v>1</v>
      </c>
      <c r="B120" s="3" t="n">
        <v>0.842837131615738</v>
      </c>
      <c r="C120" s="3" t="n">
        <v>0.826465743120003</v>
      </c>
      <c r="D120" s="5" t="n">
        <f aca="false">C120-B120</f>
        <v>-0.0163713884957351</v>
      </c>
      <c r="E120" s="5" t="n">
        <f aca="false">ABS(D120)</f>
        <v>0.0163713884957351</v>
      </c>
      <c r="F120" s="5" t="n">
        <f aca="false">AVERAGE(D120:D144)</f>
        <v>-0.00314001177630235</v>
      </c>
      <c r="G120" s="5" t="n">
        <f aca="false">_xlfn.STDEV.S(D120:D144)</f>
        <v>0.0286365138348177</v>
      </c>
      <c r="I120" s="1" t="s">
        <v>12</v>
      </c>
      <c r="J120" s="2" t="n">
        <v>0.05</v>
      </c>
      <c r="M120" s="2" t="n">
        <v>23</v>
      </c>
      <c r="N120" s="2" t="n">
        <v>0.064935049237257</v>
      </c>
    </row>
    <row r="121" customFormat="false" ht="12.8" hidden="false" customHeight="false" outlineLevel="0" collapsed="false">
      <c r="A121" s="2" t="n">
        <v>2</v>
      </c>
      <c r="B121" s="3" t="n">
        <v>0.75574434703051</v>
      </c>
      <c r="C121" s="3" t="n">
        <v>0.760295791016544</v>
      </c>
      <c r="D121" s="5" t="n">
        <f aca="false">C121-B121</f>
        <v>0.00455144398603402</v>
      </c>
      <c r="E121" s="5" t="n">
        <f aca="false">ABS(D121)</f>
        <v>0.00455144398603402</v>
      </c>
      <c r="I121" s="1" t="s">
        <v>13</v>
      </c>
      <c r="J121" s="2" t="n">
        <v>0</v>
      </c>
      <c r="M121" s="2" t="n">
        <v>24</v>
      </c>
      <c r="N121" s="2" t="n">
        <v>0.063619816771148</v>
      </c>
    </row>
    <row r="122" customFormat="false" ht="12.8" hidden="false" customHeight="false" outlineLevel="0" collapsed="false">
      <c r="A122" s="2" t="n">
        <v>3</v>
      </c>
      <c r="B122" s="3" t="n">
        <v>0.75246138552499</v>
      </c>
      <c r="C122" s="3" t="n">
        <v>0.745513104503565</v>
      </c>
      <c r="D122" s="5" t="n">
        <f aca="false">C122-B122</f>
        <v>-0.00694828102142497</v>
      </c>
      <c r="E122" s="5" t="n">
        <f aca="false">ABS(D122)</f>
        <v>0.00694828102142497</v>
      </c>
      <c r="J122" s="7" t="s">
        <v>14</v>
      </c>
      <c r="K122" s="7" t="s">
        <v>15</v>
      </c>
      <c r="M122" s="2" t="n">
        <v>6</v>
      </c>
      <c r="N122" s="2" t="n">
        <v>0.04068231358452</v>
      </c>
    </row>
    <row r="123" customFormat="false" ht="12.8" hidden="false" customHeight="false" outlineLevel="0" collapsed="false">
      <c r="A123" s="2" t="n">
        <v>4</v>
      </c>
      <c r="B123" s="3" t="n">
        <v>0.755239937675953</v>
      </c>
      <c r="C123" s="3" t="n">
        <v>0.740237977344109</v>
      </c>
      <c r="D123" s="5" t="n">
        <f aca="false">C123-B123</f>
        <v>-0.015001960331844</v>
      </c>
      <c r="E123" s="5" t="n">
        <f aca="false">ABS(D123)</f>
        <v>0.015001960331844</v>
      </c>
      <c r="I123" s="1" t="s">
        <v>16</v>
      </c>
      <c r="J123" s="2" t="n">
        <f aca="false">AVERAGE(sims_per_turn!$B$120:$B$144)</f>
        <v>0.752206362708213</v>
      </c>
      <c r="K123" s="2" t="n">
        <f aca="false">AVERAGE(sims_per_turn!$C$120:$C$144)</f>
        <v>0.749066350931911</v>
      </c>
      <c r="M123" s="2" t="n">
        <v>15</v>
      </c>
      <c r="N123" s="2" t="n">
        <v>0.038574548646621</v>
      </c>
    </row>
    <row r="124" customFormat="false" ht="12.8" hidden="false" customHeight="false" outlineLevel="0" collapsed="false">
      <c r="A124" s="2" t="n">
        <v>5</v>
      </c>
      <c r="B124" s="3" t="n">
        <v>0.68196906691827</v>
      </c>
      <c r="C124" s="3" t="n">
        <v>0.701417807349544</v>
      </c>
      <c r="D124" s="5" t="n">
        <f aca="false">C124-B124</f>
        <v>0.019448740431274</v>
      </c>
      <c r="E124" s="5" t="n">
        <f aca="false">ABS(D124)</f>
        <v>0.019448740431274</v>
      </c>
      <c r="I124" s="1" t="s">
        <v>17</v>
      </c>
      <c r="J124" s="2" t="n">
        <f aca="false">VAR(sims_per_turn!$B$120:$B$144)</f>
        <v>0.00202400865138334</v>
      </c>
      <c r="K124" s="2" t="n">
        <f aca="false">VAR(sims_per_turn!$C$120:$C$144)</f>
        <v>0.00203641681568622</v>
      </c>
      <c r="M124" s="2" t="n">
        <v>11</v>
      </c>
      <c r="N124" s="2" t="n">
        <v>0.037426951110068</v>
      </c>
    </row>
    <row r="125" customFormat="false" ht="12.8" hidden="false" customHeight="false" outlineLevel="0" collapsed="false">
      <c r="A125" s="2" t="n">
        <v>6</v>
      </c>
      <c r="B125" s="3" t="n">
        <v>0.805094582904182</v>
      </c>
      <c r="C125" s="3" t="n">
        <v>0.764412269319662</v>
      </c>
      <c r="D125" s="5" t="n">
        <f aca="false">C125-B125</f>
        <v>-0.04068231358452</v>
      </c>
      <c r="E125" s="5" t="n">
        <f aca="false">ABS(D125)</f>
        <v>0.04068231358452</v>
      </c>
      <c r="I125" s="1" t="s">
        <v>18</v>
      </c>
      <c r="J125" s="2" t="n">
        <f aca="false">COUNT(sims_per_turn!$B$120:$B$144)</f>
        <v>25</v>
      </c>
      <c r="K125" s="2" t="n">
        <f aca="false">COUNT(sims_per_turn!$C$120:$C$144)</f>
        <v>25</v>
      </c>
      <c r="M125" s="2" t="n">
        <v>9</v>
      </c>
      <c r="N125" s="2" t="n">
        <v>0.029296987942163</v>
      </c>
    </row>
    <row r="126" customFormat="false" ht="12.8" hidden="false" customHeight="false" outlineLevel="0" collapsed="false">
      <c r="A126" s="2" t="n">
        <v>7</v>
      </c>
      <c r="B126" s="3" t="n">
        <v>0.731449097356676</v>
      </c>
      <c r="C126" s="3" t="n">
        <v>0.704629188099325</v>
      </c>
      <c r="D126" s="5" t="n">
        <f aca="false">C126-B126</f>
        <v>-0.026819909257351</v>
      </c>
      <c r="E126" s="5" t="n">
        <f aca="false">ABS(D126)</f>
        <v>0.026819909257351</v>
      </c>
      <c r="I126" s="1" t="s">
        <v>19</v>
      </c>
      <c r="J126" s="2" t="n">
        <f aca="false">CORREL(sims_per_turn!$B$120:$B$144,sims_per_turn!$C$120:$C$144)</f>
        <v>0.798042150702728</v>
      </c>
      <c r="M126" s="2" t="n">
        <v>7</v>
      </c>
      <c r="N126" s="2" t="n">
        <v>0.026819909257351</v>
      </c>
    </row>
    <row r="127" customFormat="false" ht="12.8" hidden="false" customHeight="false" outlineLevel="0" collapsed="false">
      <c r="A127" s="2" t="n">
        <v>8</v>
      </c>
      <c r="B127" s="3" t="n">
        <v>0.798699397007465</v>
      </c>
      <c r="C127" s="3" t="n">
        <v>0.77201186291984</v>
      </c>
      <c r="D127" s="5" t="n">
        <f aca="false">C127-B127</f>
        <v>-0.0266875340876249</v>
      </c>
      <c r="E127" s="5" t="n">
        <f aca="false">ABS(D127)</f>
        <v>0.0266875340876249</v>
      </c>
      <c r="I127" s="1" t="s">
        <v>20</v>
      </c>
      <c r="J127" s="2" t="n">
        <f aca="false" t="array" ref="J127:J127">AVERAGE(IF(ISODD(IF(ISNUMBER(sims_per_turn!$B$120:$B$144), 1, 0) * IF(ISNUMBER(sims_per_turn!$C$120:$C$144), 1, 0)), sims_per_turn!$B$120:$B$144 - sims_per_turn!$C$120:$C$144, "NA"))</f>
        <v>0.00314001177630235</v>
      </c>
      <c r="M127" s="2" t="n">
        <v>8</v>
      </c>
      <c r="N127" s="2" t="n">
        <v>0.0266875340876249</v>
      </c>
    </row>
    <row r="128" customFormat="false" ht="12.8" hidden="false" customHeight="false" outlineLevel="0" collapsed="false">
      <c r="A128" s="2" t="n">
        <v>9</v>
      </c>
      <c r="B128" s="3" t="n">
        <v>0.751181065835833</v>
      </c>
      <c r="C128" s="3" t="n">
        <v>0.72188407789367</v>
      </c>
      <c r="D128" s="5" t="n">
        <f aca="false">C128-B128</f>
        <v>-0.029296987942163</v>
      </c>
      <c r="E128" s="5" t="n">
        <f aca="false">ABS(D128)</f>
        <v>0.029296987942163</v>
      </c>
      <c r="I128" s="1" t="s">
        <v>21</v>
      </c>
      <c r="J128" s="2" t="n">
        <f aca="false" t="array" ref="J128:J128">VAR(IF(ISODD(IF(ISNUMBER(sims_per_turn!$B$120:$B$144), 1, 0) * IF(ISNUMBER(sims_per_turn!$C$120:$C$144), 1, 0)), sims_per_turn!$B$120:$B$144 - sims_per_turn!$C$120:$C$144, "NA"))</f>
        <v>0.000820049924611708</v>
      </c>
      <c r="M128" s="2" t="n">
        <v>19</v>
      </c>
      <c r="N128" s="2" t="n">
        <v>0.025577569822281</v>
      </c>
    </row>
    <row r="129" customFormat="false" ht="12.8" hidden="false" customHeight="false" outlineLevel="0" collapsed="false">
      <c r="A129" s="2" t="n">
        <v>10</v>
      </c>
      <c r="B129" s="3" t="n">
        <v>0.780317010541866</v>
      </c>
      <c r="C129" s="3" t="n">
        <v>0.801799093845666</v>
      </c>
      <c r="D129" s="5" t="n">
        <f aca="false">C129-B129</f>
        <v>0.0214820833038001</v>
      </c>
      <c r="E129" s="5" t="n">
        <f aca="false">ABS(D129)</f>
        <v>0.0214820833038001</v>
      </c>
      <c r="I129" s="1" t="s">
        <v>22</v>
      </c>
      <c r="J129" s="2" t="n">
        <f aca="false" t="array" ref="J129:J129">SUM(IF(ISNUMBER(sims_per_turn!$B$120:$B$144), 1, 0) * IF(ISNUMBER(sims_per_turn!$C$120:$C$144), 1, 0)) - 1</f>
        <v>24</v>
      </c>
      <c r="M129" s="2" t="n">
        <v>13</v>
      </c>
      <c r="N129" s="2" t="n">
        <v>0.025043148445372</v>
      </c>
    </row>
    <row r="130" customFormat="false" ht="12.8" hidden="false" customHeight="false" outlineLevel="0" collapsed="false">
      <c r="A130" s="2" t="n">
        <v>11</v>
      </c>
      <c r="B130" s="3" t="n">
        <v>0.788964918757002</v>
      </c>
      <c r="C130" s="3" t="n">
        <v>0.82639186986707</v>
      </c>
      <c r="D130" s="5" t="n">
        <f aca="false">C130-B130</f>
        <v>0.037426951110068</v>
      </c>
      <c r="E130" s="5" t="n">
        <f aca="false">ABS(D130)</f>
        <v>0.037426951110068</v>
      </c>
      <c r="I130" s="1" t="s">
        <v>23</v>
      </c>
      <c r="J130" s="2" t="n">
        <f aca="false">(sims_per_turn!$J$127 - sims_per_turn!$J$121) / (sims_per_turn!$J$128 / ( sims_per_turn!$J$129 + 1)) ^ 0.5</f>
        <v>0.548253148832063</v>
      </c>
      <c r="M130" s="2" t="n">
        <v>21</v>
      </c>
      <c r="N130" s="2" t="n">
        <v>0.022972947199594</v>
      </c>
    </row>
    <row r="131" customFormat="false" ht="12.8" hidden="false" customHeight="false" outlineLevel="0" collapsed="false">
      <c r="A131" s="2" t="n">
        <v>12</v>
      </c>
      <c r="B131" s="3" t="n">
        <v>0.744429655439828</v>
      </c>
      <c r="C131" s="3" t="n">
        <v>0.74557662237038</v>
      </c>
      <c r="D131" s="5" t="n">
        <f aca="false">C131-B131</f>
        <v>0.00114696693055205</v>
      </c>
      <c r="E131" s="5" t="n">
        <f aca="false">ABS(D131)</f>
        <v>0.00114696693055205</v>
      </c>
      <c r="I131" s="1" t="s">
        <v>24</v>
      </c>
      <c r="J131" s="2" t="n">
        <f aca="false">TDIST(ABS(sims_per_turn!$J$130), sims_per_turn!$J$129, 1)</f>
        <v>0.29429100786985</v>
      </c>
      <c r="M131" s="2" t="n">
        <v>20</v>
      </c>
      <c r="N131" s="2" t="n">
        <v>0.022267483887813</v>
      </c>
    </row>
    <row r="132" customFormat="false" ht="12.8" hidden="false" customHeight="false" outlineLevel="0" collapsed="false">
      <c r="A132" s="2" t="n">
        <v>13</v>
      </c>
      <c r="B132" s="3" t="n">
        <v>0.764347939487069</v>
      </c>
      <c r="C132" s="3" t="n">
        <v>0.739304791041697</v>
      </c>
      <c r="D132" s="5" t="n">
        <f aca="false">C132-B132</f>
        <v>-0.025043148445372</v>
      </c>
      <c r="E132" s="5" t="n">
        <f aca="false">ABS(D132)</f>
        <v>0.025043148445372</v>
      </c>
      <c r="I132" s="1" t="s">
        <v>25</v>
      </c>
      <c r="J132" s="2" t="n">
        <f aca="false">TINV(2*sims_per_turn!$J$120, sims_per_turn!$J$129)</f>
        <v>1.71088207990943</v>
      </c>
      <c r="M132" s="2" t="n">
        <v>10</v>
      </c>
      <c r="N132" s="2" t="n">
        <v>0.0214820833038001</v>
      </c>
    </row>
    <row r="133" customFormat="false" ht="12.8" hidden="false" customHeight="false" outlineLevel="0" collapsed="false">
      <c r="A133" s="2" t="n">
        <v>14</v>
      </c>
      <c r="B133" s="3" t="n">
        <v>0.716647920997565</v>
      </c>
      <c r="C133" s="3" t="n">
        <v>0.716775890381091</v>
      </c>
      <c r="D133" s="5" t="n">
        <f aca="false">C133-B133</f>
        <v>0.000127969383525994</v>
      </c>
      <c r="E133" s="5" t="n">
        <f aca="false">ABS(D133)</f>
        <v>0.000127969383525994</v>
      </c>
      <c r="I133" s="1" t="s">
        <v>26</v>
      </c>
      <c r="J133" s="2" t="n">
        <f aca="false">TDIST(ABS(sims_per_turn!$J$130), sims_per_turn!$J$129, 2)</f>
        <v>0.588582015739699</v>
      </c>
      <c r="M133" s="2" t="n">
        <v>22</v>
      </c>
      <c r="N133" s="2" t="n">
        <v>0.019776637532294</v>
      </c>
    </row>
    <row r="134" customFormat="false" ht="12.8" hidden="false" customHeight="false" outlineLevel="0" collapsed="false">
      <c r="A134" s="2" t="n">
        <v>15</v>
      </c>
      <c r="B134" s="3" t="n">
        <v>0.761929247616581</v>
      </c>
      <c r="C134" s="3" t="n">
        <v>0.72335469896996</v>
      </c>
      <c r="D134" s="5" t="n">
        <f aca="false">C134-B134</f>
        <v>-0.038574548646621</v>
      </c>
      <c r="E134" s="5" t="n">
        <f aca="false">ABS(D134)</f>
        <v>0.038574548646621</v>
      </c>
      <c r="I134" s="1" t="s">
        <v>27</v>
      </c>
      <c r="J134" s="2" t="n">
        <f aca="false">TINV(sims_per_turn!$J$120, sims_per_turn!$J$129)</f>
        <v>2.06389856162803</v>
      </c>
      <c r="M134" s="2" t="n">
        <v>5</v>
      </c>
      <c r="N134" s="2" t="n">
        <v>0.019448740431274</v>
      </c>
    </row>
    <row r="135" customFormat="false" ht="12.8" hidden="false" customHeight="false" outlineLevel="0" collapsed="false">
      <c r="A135" s="2" t="n">
        <v>16</v>
      </c>
      <c r="B135" s="3" t="n">
        <v>0.742748731630287</v>
      </c>
      <c r="C135" s="3" t="n">
        <v>0.74148150305735</v>
      </c>
      <c r="D135" s="5" t="n">
        <f aca="false">C135-B135</f>
        <v>-0.00126722857293693</v>
      </c>
      <c r="E135" s="5" t="n">
        <f aca="false">ABS(D135)</f>
        <v>0.00126722857293693</v>
      </c>
      <c r="M135" s="2" t="n">
        <v>17</v>
      </c>
      <c r="N135" s="2" t="n">
        <v>0.018603353404905</v>
      </c>
    </row>
    <row r="136" customFormat="false" ht="12.8" hidden="false" customHeight="false" outlineLevel="0" collapsed="false">
      <c r="A136" s="2" t="n">
        <v>17</v>
      </c>
      <c r="B136" s="3" t="n">
        <v>0.764209873398772</v>
      </c>
      <c r="C136" s="3" t="n">
        <v>0.782813226803677</v>
      </c>
      <c r="D136" s="5" t="n">
        <f aca="false">C136-B136</f>
        <v>0.018603353404905</v>
      </c>
      <c r="E136" s="5" t="n">
        <f aca="false">ABS(D136)</f>
        <v>0.018603353404905</v>
      </c>
      <c r="M136" s="2" t="n">
        <v>18</v>
      </c>
      <c r="N136" s="2" t="n">
        <v>0.016871547904279</v>
      </c>
    </row>
    <row r="137" customFormat="false" ht="12.8" hidden="false" customHeight="false" outlineLevel="0" collapsed="false">
      <c r="A137" s="2" t="n">
        <v>18</v>
      </c>
      <c r="B137" s="3" t="n">
        <v>0.700796274261234</v>
      </c>
      <c r="C137" s="3" t="n">
        <v>0.683924726356955</v>
      </c>
      <c r="D137" s="5" t="n">
        <f aca="false">C137-B137</f>
        <v>-0.016871547904279</v>
      </c>
      <c r="E137" s="5" t="n">
        <f aca="false">ABS(D137)</f>
        <v>0.016871547904279</v>
      </c>
      <c r="M137" s="2" t="n">
        <v>1</v>
      </c>
      <c r="N137" s="2" t="n">
        <v>0.0163713884957351</v>
      </c>
    </row>
    <row r="138" customFormat="false" ht="12.8" hidden="false" customHeight="false" outlineLevel="0" collapsed="false">
      <c r="A138" s="2" t="n">
        <v>19</v>
      </c>
      <c r="B138" s="3" t="n">
        <v>0.716284059047156</v>
      </c>
      <c r="C138" s="3" t="n">
        <v>0.741861628869437</v>
      </c>
      <c r="D138" s="5" t="n">
        <f aca="false">C138-B138</f>
        <v>0.025577569822281</v>
      </c>
      <c r="E138" s="5" t="n">
        <f aca="false">ABS(D138)</f>
        <v>0.025577569822281</v>
      </c>
      <c r="M138" s="2" t="n">
        <v>4</v>
      </c>
      <c r="N138" s="2" t="n">
        <v>0.015001960331844</v>
      </c>
    </row>
    <row r="139" customFormat="false" ht="12.8" hidden="false" customHeight="false" outlineLevel="0" collapsed="false">
      <c r="A139" s="2" t="n">
        <v>20</v>
      </c>
      <c r="B139" s="3" t="n">
        <v>0.839023541568098</v>
      </c>
      <c r="C139" s="3" t="n">
        <v>0.861291025455911</v>
      </c>
      <c r="D139" s="5" t="n">
        <f aca="false">C139-B139</f>
        <v>0.022267483887813</v>
      </c>
      <c r="E139" s="5" t="n">
        <f aca="false">ABS(D139)</f>
        <v>0.022267483887813</v>
      </c>
      <c r="M139" s="2" t="n">
        <v>25</v>
      </c>
      <c r="N139" s="2" t="n">
        <v>0.00992044948865101</v>
      </c>
    </row>
    <row r="140" customFormat="false" ht="12.8" hidden="false" customHeight="false" outlineLevel="0" collapsed="false">
      <c r="A140" s="2" t="n">
        <v>21</v>
      </c>
      <c r="B140" s="3" t="n">
        <v>0.704024831920364</v>
      </c>
      <c r="C140" s="3" t="n">
        <v>0.726997779119958</v>
      </c>
      <c r="D140" s="5" t="n">
        <f aca="false">C140-B140</f>
        <v>0.022972947199594</v>
      </c>
      <c r="E140" s="5" t="n">
        <f aca="false">ABS(D140)</f>
        <v>0.022972947199594</v>
      </c>
      <c r="M140" s="2" t="n">
        <v>3</v>
      </c>
      <c r="N140" s="2" t="n">
        <v>0.00694828102142497</v>
      </c>
    </row>
    <row r="141" customFormat="false" ht="12.8" hidden="false" customHeight="false" outlineLevel="0" collapsed="false">
      <c r="A141" s="2" t="n">
        <v>22</v>
      </c>
      <c r="B141" s="3" t="n">
        <v>0.684998594155911</v>
      </c>
      <c r="C141" s="3" t="n">
        <v>0.665221956623617</v>
      </c>
      <c r="D141" s="5" t="n">
        <f aca="false">C141-B141</f>
        <v>-0.019776637532294</v>
      </c>
      <c r="E141" s="5" t="n">
        <f aca="false">ABS(D141)</f>
        <v>0.019776637532294</v>
      </c>
      <c r="M141" s="2" t="n">
        <v>2</v>
      </c>
      <c r="N141" s="2" t="n">
        <v>0.00455144398603402</v>
      </c>
    </row>
    <row r="142" customFormat="false" ht="12.8" hidden="false" customHeight="false" outlineLevel="0" collapsed="false">
      <c r="A142" s="2" t="n">
        <v>23</v>
      </c>
      <c r="B142" s="3" t="n">
        <v>0.69681187759039</v>
      </c>
      <c r="C142" s="3" t="n">
        <v>0.761746926827647</v>
      </c>
      <c r="D142" s="5" t="n">
        <f aca="false">C142-B142</f>
        <v>0.064935049237257</v>
      </c>
      <c r="E142" s="5" t="n">
        <f aca="false">ABS(D142)</f>
        <v>0.064935049237257</v>
      </c>
      <c r="M142" s="2" t="n">
        <v>16</v>
      </c>
      <c r="N142" s="2" t="n">
        <v>0.00126722857293693</v>
      </c>
    </row>
    <row r="143" customFormat="false" ht="12.8" hidden="false" customHeight="false" outlineLevel="0" collapsed="false">
      <c r="A143" s="2" t="n">
        <v>24</v>
      </c>
      <c r="B143" s="3" t="n">
        <v>0.809836609324266</v>
      </c>
      <c r="C143" s="3" t="n">
        <v>0.746216792553118</v>
      </c>
      <c r="D143" s="5" t="n">
        <f aca="false">C143-B143</f>
        <v>-0.063619816771148</v>
      </c>
      <c r="E143" s="5" t="n">
        <f aca="false">ABS(D143)</f>
        <v>0.063619816771148</v>
      </c>
      <c r="M143" s="2" t="n">
        <v>12</v>
      </c>
      <c r="N143" s="2" t="n">
        <v>0.00114696693055205</v>
      </c>
    </row>
    <row r="144" customFormat="false" ht="12.8" hidden="false" customHeight="false" outlineLevel="0" collapsed="false">
      <c r="A144" s="2" t="n">
        <v>25</v>
      </c>
      <c r="B144" s="3" t="n">
        <v>0.715111970099327</v>
      </c>
      <c r="C144" s="3" t="n">
        <v>0.725032419587978</v>
      </c>
      <c r="D144" s="5" t="n">
        <f aca="false">C144-B144</f>
        <v>0.00992044948865101</v>
      </c>
      <c r="E144" s="5" t="n">
        <f aca="false">ABS(D144)</f>
        <v>0.00992044948865101</v>
      </c>
      <c r="M144" s="2" t="n">
        <v>14</v>
      </c>
      <c r="N144" s="2" t="n">
        <v>0.000127969383525994</v>
      </c>
    </row>
    <row r="148" customFormat="false" ht="12.8" hidden="false" customHeight="false" outlineLevel="0" collapsed="false">
      <c r="A148" s="2" t="s">
        <v>1</v>
      </c>
      <c r="B148" s="3" t="s">
        <v>2</v>
      </c>
      <c r="C148" s="3" t="s">
        <v>3</v>
      </c>
      <c r="D148" s="5" t="s">
        <v>28</v>
      </c>
      <c r="E148" s="5" t="s">
        <v>8</v>
      </c>
      <c r="F148" s="5" t="s">
        <v>9</v>
      </c>
      <c r="G148" s="5" t="s">
        <v>10</v>
      </c>
      <c r="I148" s="6" t="s">
        <v>11</v>
      </c>
      <c r="M148" s="2" t="s">
        <v>1</v>
      </c>
      <c r="N148" s="5" t="s">
        <v>8</v>
      </c>
    </row>
    <row r="149" customFormat="false" ht="12.8" hidden="false" customHeight="false" outlineLevel="0" collapsed="false">
      <c r="A149" s="2" t="n">
        <v>1</v>
      </c>
      <c r="B149" s="3" t="n">
        <v>0.820228412658582</v>
      </c>
      <c r="C149" s="3" t="n">
        <v>0.825587383221469</v>
      </c>
      <c r="D149" s="5" t="n">
        <f aca="false">C149-B149</f>
        <v>0.00535897056288692</v>
      </c>
      <c r="E149" s="5" t="n">
        <f aca="false">ABS(D149)</f>
        <v>0.00535897056288692</v>
      </c>
      <c r="F149" s="5" t="n">
        <f aca="false">AVERAGE(D149:D173)</f>
        <v>0.00115114547735724</v>
      </c>
      <c r="G149" s="5" t="n">
        <f aca="false">_xlfn.STDEV.S(D149:D173)</f>
        <v>0.0366678073687068</v>
      </c>
      <c r="I149" s="1" t="s">
        <v>12</v>
      </c>
      <c r="J149" s="2" t="n">
        <v>0.05</v>
      </c>
      <c r="M149" s="2" t="n">
        <v>21</v>
      </c>
      <c r="N149" s="2" t="n">
        <v>0.0912670524867041</v>
      </c>
    </row>
    <row r="150" customFormat="false" ht="12.8" hidden="false" customHeight="false" outlineLevel="0" collapsed="false">
      <c r="A150" s="2" t="n">
        <v>2</v>
      </c>
      <c r="B150" s="3" t="n">
        <v>0.764592146543124</v>
      </c>
      <c r="C150" s="3" t="n">
        <v>0.784325401049142</v>
      </c>
      <c r="D150" s="5" t="n">
        <f aca="false">C150-B150</f>
        <v>0.0197332545060179</v>
      </c>
      <c r="E150" s="5" t="n">
        <f aca="false">ABS(D150)</f>
        <v>0.0197332545060179</v>
      </c>
      <c r="I150" s="1" t="s">
        <v>13</v>
      </c>
      <c r="J150" s="2" t="n">
        <v>0</v>
      </c>
      <c r="M150" s="2" t="n">
        <v>17</v>
      </c>
      <c r="N150" s="2" t="n">
        <v>0.068022618164015</v>
      </c>
    </row>
    <row r="151" customFormat="false" ht="12.8" hidden="false" customHeight="false" outlineLevel="0" collapsed="false">
      <c r="A151" s="2" t="n">
        <v>3</v>
      </c>
      <c r="B151" s="3" t="n">
        <v>0.723011363854634</v>
      </c>
      <c r="C151" s="3" t="n">
        <v>0.74701543366489</v>
      </c>
      <c r="D151" s="5" t="n">
        <f aca="false">C151-B151</f>
        <v>0.0240040698102559</v>
      </c>
      <c r="E151" s="5" t="n">
        <f aca="false">ABS(D151)</f>
        <v>0.0240040698102559</v>
      </c>
      <c r="J151" s="7" t="s">
        <v>14</v>
      </c>
      <c r="K151" s="7" t="s">
        <v>15</v>
      </c>
      <c r="M151" s="2" t="n">
        <v>22</v>
      </c>
      <c r="N151" s="2" t="n">
        <v>0.0670502758289699</v>
      </c>
    </row>
    <row r="152" customFormat="false" ht="12.8" hidden="false" customHeight="false" outlineLevel="0" collapsed="false">
      <c r="A152" s="2" t="n">
        <v>4</v>
      </c>
      <c r="B152" s="3" t="n">
        <v>0.756420441420714</v>
      </c>
      <c r="C152" s="3" t="n">
        <v>0.742572987280356</v>
      </c>
      <c r="D152" s="5" t="n">
        <f aca="false">C152-B152</f>
        <v>-0.0138474541403579</v>
      </c>
      <c r="E152" s="5" t="n">
        <f aca="false">ABS(D152)</f>
        <v>0.0138474541403579</v>
      </c>
      <c r="I152" s="1" t="s">
        <v>16</v>
      </c>
      <c r="J152" s="2" t="n">
        <f aca="false">AVERAGE(sims_per_turn!$B$149:$B$173)</f>
        <v>0.751293032886024</v>
      </c>
      <c r="K152" s="2" t="n">
        <f aca="false">AVERAGE(sims_per_turn!$C$149:$C$173)</f>
        <v>0.752444178363381</v>
      </c>
      <c r="M152" s="2" t="n">
        <v>11</v>
      </c>
      <c r="N152" s="2" t="n">
        <v>0.0484113005371311</v>
      </c>
    </row>
    <row r="153" customFormat="false" ht="12.8" hidden="false" customHeight="false" outlineLevel="0" collapsed="false">
      <c r="A153" s="2" t="n">
        <v>5</v>
      </c>
      <c r="B153" s="3" t="n">
        <v>0.620462176144914</v>
      </c>
      <c r="C153" s="3" t="n">
        <v>0.638291604257815</v>
      </c>
      <c r="D153" s="5" t="n">
        <f aca="false">C153-B153</f>
        <v>0.017829428112901</v>
      </c>
      <c r="E153" s="5" t="n">
        <f aca="false">ABS(D153)</f>
        <v>0.017829428112901</v>
      </c>
      <c r="I153" s="1" t="s">
        <v>17</v>
      </c>
      <c r="J153" s="2" t="n">
        <f aca="false">VAR(sims_per_turn!$B$149:$B$173)</f>
        <v>0.00213223614861003</v>
      </c>
      <c r="K153" s="2" t="n">
        <f aca="false">VAR(sims_per_turn!$C$149:$C$173)</f>
        <v>0.00231810364606429</v>
      </c>
      <c r="M153" s="2" t="n">
        <v>19</v>
      </c>
      <c r="N153" s="2" t="n">
        <v>0.0435521450767911</v>
      </c>
    </row>
    <row r="154" customFormat="false" ht="12.8" hidden="false" customHeight="false" outlineLevel="0" collapsed="false">
      <c r="A154" s="2" t="n">
        <v>6</v>
      </c>
      <c r="B154" s="3" t="n">
        <v>0.798549003615991</v>
      </c>
      <c r="C154" s="3" t="n">
        <v>0.770021861028678</v>
      </c>
      <c r="D154" s="5" t="n">
        <f aca="false">C154-B154</f>
        <v>-0.028527142587313</v>
      </c>
      <c r="E154" s="5" t="n">
        <f aca="false">ABS(D154)</f>
        <v>0.028527142587313</v>
      </c>
      <c r="I154" s="1" t="s">
        <v>18</v>
      </c>
      <c r="J154" s="2" t="n">
        <f aca="false">COUNT(sims_per_turn!$B$149:$B$173)</f>
        <v>25</v>
      </c>
      <c r="K154" s="2" t="n">
        <f aca="false">COUNT(sims_per_turn!$C$149:$C$173)</f>
        <v>25</v>
      </c>
      <c r="M154" s="2" t="n">
        <v>10</v>
      </c>
      <c r="N154" s="2" t="n">
        <v>0.041139972647364</v>
      </c>
    </row>
    <row r="155" customFormat="false" ht="12.8" hidden="false" customHeight="false" outlineLevel="0" collapsed="false">
      <c r="A155" s="2" t="n">
        <v>7</v>
      </c>
      <c r="B155" s="3" t="n">
        <v>0.754603762692231</v>
      </c>
      <c r="C155" s="3" t="n">
        <v>0.776708177030339</v>
      </c>
      <c r="D155" s="5" t="n">
        <f aca="false">C155-B155</f>
        <v>0.0221044143381081</v>
      </c>
      <c r="E155" s="5" t="n">
        <f aca="false">ABS(D155)</f>
        <v>0.0221044143381081</v>
      </c>
      <c r="I155" s="1" t="s">
        <v>19</v>
      </c>
      <c r="J155" s="2" t="n">
        <f aca="false">CORREL(sims_per_turn!$B$149:$B$173,sims_per_turn!$C$149:$C$173)</f>
        <v>0.698491378061873</v>
      </c>
      <c r="M155" s="2" t="n">
        <v>23</v>
      </c>
      <c r="N155" s="2" t="n">
        <v>0.038350774655913</v>
      </c>
    </row>
    <row r="156" customFormat="false" ht="12.8" hidden="false" customHeight="false" outlineLevel="0" collapsed="false">
      <c r="A156" s="2" t="n">
        <v>8</v>
      </c>
      <c r="B156" s="3" t="n">
        <v>0.786128366374384</v>
      </c>
      <c r="C156" s="3" t="n">
        <v>0.766895136055456</v>
      </c>
      <c r="D156" s="5" t="n">
        <f aca="false">C156-B156</f>
        <v>-0.019233230318928</v>
      </c>
      <c r="E156" s="5" t="n">
        <f aca="false">ABS(D156)</f>
        <v>0.019233230318928</v>
      </c>
      <c r="I156" s="1" t="s">
        <v>20</v>
      </c>
      <c r="J156" s="2" t="n">
        <f aca="false" t="array" ref="J156:J156">AVERAGE(IF(ISODD(IF(ISNUMBER(sims_per_turn!$B$149:$B$173), 1, 0) * IF(ISNUMBER(sims_per_turn!$C$149:$C$173), 1, 0)), sims_per_turn!$B$149:$B$173 - sims_per_turn!$C$149:$C$173, "NA"))</f>
        <v>-0.00115114547735724</v>
      </c>
      <c r="M156" s="2" t="n">
        <v>20</v>
      </c>
      <c r="N156" s="2" t="n">
        <v>0.033571998709143</v>
      </c>
    </row>
    <row r="157" customFormat="false" ht="12.8" hidden="false" customHeight="false" outlineLevel="0" collapsed="false">
      <c r="A157" s="2" t="n">
        <v>9</v>
      </c>
      <c r="B157" s="3" t="n">
        <v>0.753257435556755</v>
      </c>
      <c r="C157" s="3" t="n">
        <v>0.726865282761305</v>
      </c>
      <c r="D157" s="5" t="n">
        <f aca="false">C157-B157</f>
        <v>-0.0263921527954499</v>
      </c>
      <c r="E157" s="5" t="n">
        <f aca="false">ABS(D157)</f>
        <v>0.0263921527954499</v>
      </c>
      <c r="I157" s="1" t="s">
        <v>21</v>
      </c>
      <c r="J157" s="2" t="n">
        <f aca="false" t="array" ref="J157:J157">VAR(IF(ISODD(IF(ISNUMBER(sims_per_turn!$B$149:$B$173), 1, 0) * IF(ISNUMBER(sims_per_turn!$C$149:$C$173), 1, 0)), sims_per_turn!$B$149:$B$173 - sims_per_turn!$C$149:$C$173, "NA"))</f>
        <v>0.00134452809722859</v>
      </c>
      <c r="M157" s="2" t="n">
        <v>24</v>
      </c>
      <c r="N157" s="2" t="n">
        <v>0.0324861710147101</v>
      </c>
    </row>
    <row r="158" customFormat="false" ht="12.8" hidden="false" customHeight="false" outlineLevel="0" collapsed="false">
      <c r="A158" s="2" t="n">
        <v>10</v>
      </c>
      <c r="B158" s="3" t="n">
        <v>0.807843832088534</v>
      </c>
      <c r="C158" s="3" t="n">
        <v>0.76670385944117</v>
      </c>
      <c r="D158" s="5" t="n">
        <f aca="false">C158-B158</f>
        <v>-0.041139972647364</v>
      </c>
      <c r="E158" s="5" t="n">
        <f aca="false">ABS(D158)</f>
        <v>0.041139972647364</v>
      </c>
      <c r="I158" s="1" t="s">
        <v>22</v>
      </c>
      <c r="J158" s="2" t="n">
        <f aca="false" t="array" ref="J158:J158">SUM(IF(ISNUMBER(sims_per_turn!$B$149:$B$173), 1, 0) * IF(ISNUMBER(sims_per_turn!$C$149:$C$173), 1, 0)) - 1</f>
        <v>24</v>
      </c>
      <c r="M158" s="2" t="n">
        <v>18</v>
      </c>
      <c r="N158" s="2" t="n">
        <v>0.031398902857528</v>
      </c>
    </row>
    <row r="159" customFormat="false" ht="12.8" hidden="false" customHeight="false" outlineLevel="0" collapsed="false">
      <c r="A159" s="2" t="n">
        <v>11</v>
      </c>
      <c r="B159" s="3" t="n">
        <v>0.778100841853998</v>
      </c>
      <c r="C159" s="3" t="n">
        <v>0.826512142391129</v>
      </c>
      <c r="D159" s="5" t="n">
        <f aca="false">C159-B159</f>
        <v>0.0484113005371311</v>
      </c>
      <c r="E159" s="5" t="n">
        <f aca="false">ABS(D159)</f>
        <v>0.0484113005371311</v>
      </c>
      <c r="I159" s="1" t="s">
        <v>23</v>
      </c>
      <c r="J159" s="2" t="n">
        <f aca="false">(sims_per_turn!$J$156 - sims_per_turn!$J$150) / (sims_per_turn!$J$157 / ( sims_per_turn!$J$158 + 1)) ^ 0.5</f>
        <v>-0.15696949994611</v>
      </c>
      <c r="M159" s="2" t="n">
        <v>6</v>
      </c>
      <c r="N159" s="2" t="n">
        <v>0.028527142587313</v>
      </c>
    </row>
    <row r="160" customFormat="false" ht="12.8" hidden="false" customHeight="false" outlineLevel="0" collapsed="false">
      <c r="A160" s="2" t="n">
        <v>12</v>
      </c>
      <c r="B160" s="3" t="n">
        <v>0.762452458306693</v>
      </c>
      <c r="C160" s="3" t="n">
        <v>0.762736139690589</v>
      </c>
      <c r="D160" s="5" t="n">
        <f aca="false">C160-B160</f>
        <v>0.000283681383896006</v>
      </c>
      <c r="E160" s="5" t="n">
        <f aca="false">ABS(D160)</f>
        <v>0.000283681383896006</v>
      </c>
      <c r="I160" s="1" t="s">
        <v>24</v>
      </c>
      <c r="J160" s="2" t="n">
        <f aca="false">TDIST(ABS(sims_per_turn!$J$159), sims_per_turn!$J$158, 1)</f>
        <v>0.438290970051993</v>
      </c>
      <c r="M160" s="2" t="n">
        <v>9</v>
      </c>
      <c r="N160" s="2" t="n">
        <v>0.0263921527954499</v>
      </c>
    </row>
    <row r="161" customFormat="false" ht="12.8" hidden="false" customHeight="false" outlineLevel="0" collapsed="false">
      <c r="A161" s="2" t="n">
        <v>13</v>
      </c>
      <c r="B161" s="3" t="n">
        <v>0.720022272820606</v>
      </c>
      <c r="C161" s="3" t="n">
        <v>0.710160103406143</v>
      </c>
      <c r="D161" s="5" t="n">
        <f aca="false">C161-B161</f>
        <v>-0.00986216941446305</v>
      </c>
      <c r="E161" s="5" t="n">
        <f aca="false">ABS(D161)</f>
        <v>0.00986216941446305</v>
      </c>
      <c r="I161" s="1" t="s">
        <v>25</v>
      </c>
      <c r="J161" s="2" t="n">
        <f aca="false">TINV(2*sims_per_turn!$J$149, sims_per_turn!$J$158)</f>
        <v>1.71088207990943</v>
      </c>
      <c r="M161" s="2" t="n">
        <v>3</v>
      </c>
      <c r="N161" s="2" t="n">
        <v>0.0240040698102559</v>
      </c>
    </row>
    <row r="162" customFormat="false" ht="12.8" hidden="false" customHeight="false" outlineLevel="0" collapsed="false">
      <c r="A162" s="2" t="n">
        <v>14</v>
      </c>
      <c r="B162" s="3" t="n">
        <v>0.738694358646482</v>
      </c>
      <c r="C162" s="3" t="n">
        <v>0.734376384357835</v>
      </c>
      <c r="D162" s="5" t="n">
        <f aca="false">C162-B162</f>
        <v>-0.004317974288647</v>
      </c>
      <c r="E162" s="5" t="n">
        <f aca="false">ABS(D162)</f>
        <v>0.004317974288647</v>
      </c>
      <c r="I162" s="1" t="s">
        <v>26</v>
      </c>
      <c r="J162" s="2" t="n">
        <f aca="false">TDIST(ABS(sims_per_turn!$J$159), sims_per_turn!$J$158, 2)</f>
        <v>0.876581940103986</v>
      </c>
      <c r="M162" s="2" t="n">
        <v>7</v>
      </c>
      <c r="N162" s="2" t="n">
        <v>0.0221044143381081</v>
      </c>
    </row>
    <row r="163" customFormat="false" ht="12.8" hidden="false" customHeight="false" outlineLevel="0" collapsed="false">
      <c r="A163" s="2" t="n">
        <v>15</v>
      </c>
      <c r="B163" s="3" t="n">
        <v>0.743421830265577</v>
      </c>
      <c r="C163" s="3" t="n">
        <v>0.756542240061655</v>
      </c>
      <c r="D163" s="5" t="n">
        <f aca="false">C163-B163</f>
        <v>0.0131204097960781</v>
      </c>
      <c r="E163" s="5" t="n">
        <f aca="false">ABS(D163)</f>
        <v>0.0131204097960781</v>
      </c>
      <c r="I163" s="1" t="s">
        <v>27</v>
      </c>
      <c r="J163" s="2" t="n">
        <f aca="false">TINV(sims_per_turn!$J$149, sims_per_turn!$J$158)</f>
        <v>2.06389856162803</v>
      </c>
      <c r="M163" s="2" t="n">
        <v>2</v>
      </c>
      <c r="N163" s="2" t="n">
        <v>0.0197332545060179</v>
      </c>
    </row>
    <row r="164" customFormat="false" ht="12.8" hidden="false" customHeight="false" outlineLevel="0" collapsed="false">
      <c r="A164" s="2" t="n">
        <v>16</v>
      </c>
      <c r="B164" s="3" t="n">
        <v>0.763479689807917</v>
      </c>
      <c r="C164" s="3" t="n">
        <v>0.773732018127407</v>
      </c>
      <c r="D164" s="5" t="n">
        <f aca="false">C164-B164</f>
        <v>0.01025232831949</v>
      </c>
      <c r="E164" s="5" t="n">
        <f aca="false">ABS(D164)</f>
        <v>0.01025232831949</v>
      </c>
      <c r="M164" s="2" t="n">
        <v>8</v>
      </c>
      <c r="N164" s="2" t="n">
        <v>0.019233230318928</v>
      </c>
    </row>
    <row r="165" customFormat="false" ht="12.8" hidden="false" customHeight="false" outlineLevel="0" collapsed="false">
      <c r="A165" s="2" t="n">
        <v>17</v>
      </c>
      <c r="B165" s="3" t="n">
        <v>0.744667994911406</v>
      </c>
      <c r="C165" s="3" t="n">
        <v>0.812690613075421</v>
      </c>
      <c r="D165" s="5" t="n">
        <f aca="false">C165-B165</f>
        <v>0.068022618164015</v>
      </c>
      <c r="E165" s="5" t="n">
        <f aca="false">ABS(D165)</f>
        <v>0.068022618164015</v>
      </c>
      <c r="M165" s="2" t="n">
        <v>5</v>
      </c>
      <c r="N165" s="2" t="n">
        <v>0.017829428112901</v>
      </c>
    </row>
    <row r="166" customFormat="false" ht="12.8" hidden="false" customHeight="false" outlineLevel="0" collapsed="false">
      <c r="A166" s="2" t="n">
        <v>18</v>
      </c>
      <c r="B166" s="3" t="n">
        <v>0.695089950294851</v>
      </c>
      <c r="C166" s="3" t="n">
        <v>0.726488853152379</v>
      </c>
      <c r="D166" s="5" t="n">
        <f aca="false">C166-B166</f>
        <v>0.031398902857528</v>
      </c>
      <c r="E166" s="5" t="n">
        <f aca="false">ABS(D166)</f>
        <v>0.031398902857528</v>
      </c>
      <c r="M166" s="2" t="n">
        <v>4</v>
      </c>
      <c r="N166" s="2" t="n">
        <v>0.0138474541403579</v>
      </c>
    </row>
    <row r="167" customFormat="false" ht="12.8" hidden="false" customHeight="false" outlineLevel="0" collapsed="false">
      <c r="A167" s="2" t="n">
        <v>19</v>
      </c>
      <c r="B167" s="3" t="n">
        <v>0.719748414663605</v>
      </c>
      <c r="C167" s="3" t="n">
        <v>0.763300559740396</v>
      </c>
      <c r="D167" s="5" t="n">
        <f aca="false">C167-B167</f>
        <v>0.0435521450767911</v>
      </c>
      <c r="E167" s="5" t="n">
        <f aca="false">ABS(D167)</f>
        <v>0.0435521450767911</v>
      </c>
      <c r="M167" s="2" t="n">
        <v>15</v>
      </c>
      <c r="N167" s="2" t="n">
        <v>0.0131204097960781</v>
      </c>
    </row>
    <row r="168" customFormat="false" ht="12.8" hidden="false" customHeight="false" outlineLevel="0" collapsed="false">
      <c r="A168" s="2" t="n">
        <v>20</v>
      </c>
      <c r="B168" s="3" t="n">
        <v>0.850110132917837</v>
      </c>
      <c r="C168" s="3" t="n">
        <v>0.816538134208694</v>
      </c>
      <c r="D168" s="5" t="n">
        <f aca="false">C168-B168</f>
        <v>-0.033571998709143</v>
      </c>
      <c r="E168" s="5" t="n">
        <f aca="false">ABS(D168)</f>
        <v>0.033571998709143</v>
      </c>
      <c r="M168" s="2" t="n">
        <v>16</v>
      </c>
      <c r="N168" s="2" t="n">
        <v>0.01025232831949</v>
      </c>
    </row>
    <row r="169" customFormat="false" ht="12.8" hidden="false" customHeight="false" outlineLevel="0" collapsed="false">
      <c r="A169" s="2" t="n">
        <v>21</v>
      </c>
      <c r="B169" s="3" t="n">
        <v>0.734658481254958</v>
      </c>
      <c r="C169" s="3" t="n">
        <v>0.643391428768254</v>
      </c>
      <c r="D169" s="5" t="n">
        <f aca="false">C169-B169</f>
        <v>-0.0912670524867041</v>
      </c>
      <c r="E169" s="5" t="n">
        <f aca="false">ABS(D169)</f>
        <v>0.0912670524867041</v>
      </c>
      <c r="M169" s="2" t="n">
        <v>13</v>
      </c>
      <c r="N169" s="2" t="n">
        <v>0.00986216941446305</v>
      </c>
    </row>
    <row r="170" customFormat="false" ht="12.8" hidden="false" customHeight="false" outlineLevel="0" collapsed="false">
      <c r="A170" s="2" t="n">
        <v>22</v>
      </c>
      <c r="B170" s="3" t="n">
        <v>0.702205596693105</v>
      </c>
      <c r="C170" s="3" t="n">
        <v>0.769255872522075</v>
      </c>
      <c r="D170" s="5" t="n">
        <f aca="false">C170-B170</f>
        <v>0.0670502758289699</v>
      </c>
      <c r="E170" s="5" t="n">
        <f aca="false">ABS(D170)</f>
        <v>0.0670502758289699</v>
      </c>
      <c r="M170" s="2" t="n">
        <v>1</v>
      </c>
      <c r="N170" s="2" t="n">
        <v>0.00535897056288692</v>
      </c>
    </row>
    <row r="171" customFormat="false" ht="12.8" hidden="false" customHeight="false" outlineLevel="0" collapsed="false">
      <c r="A171" s="2" t="n">
        <v>23</v>
      </c>
      <c r="B171" s="3" t="n">
        <v>0.723021317867517</v>
      </c>
      <c r="C171" s="3" t="n">
        <v>0.684670543211604</v>
      </c>
      <c r="D171" s="5" t="n">
        <f aca="false">C171-B171</f>
        <v>-0.038350774655913</v>
      </c>
      <c r="E171" s="5" t="n">
        <f aca="false">ABS(D171)</f>
        <v>0.038350774655913</v>
      </c>
      <c r="M171" s="2" t="n">
        <v>14</v>
      </c>
      <c r="N171" s="2" t="n">
        <v>0.004317974288647</v>
      </c>
    </row>
    <row r="172" customFormat="false" ht="12.8" hidden="false" customHeight="false" outlineLevel="0" collapsed="false">
      <c r="A172" s="2" t="n">
        <v>24</v>
      </c>
      <c r="B172" s="3" t="n">
        <v>0.790978057596565</v>
      </c>
      <c r="C172" s="3" t="n">
        <v>0.758491886581855</v>
      </c>
      <c r="D172" s="5" t="n">
        <f aca="false">C172-B172</f>
        <v>-0.0324861710147101</v>
      </c>
      <c r="E172" s="5" t="n">
        <f aca="false">ABS(D172)</f>
        <v>0.0324861710147101</v>
      </c>
      <c r="M172" s="2" t="n">
        <v>25</v>
      </c>
      <c r="N172" s="2" t="n">
        <v>0.00334706930114503</v>
      </c>
    </row>
    <row r="173" customFormat="false" ht="12.8" hidden="false" customHeight="false" outlineLevel="0" collapsed="false">
      <c r="A173" s="2" t="n">
        <v>25</v>
      </c>
      <c r="B173" s="3" t="n">
        <v>0.730577483299618</v>
      </c>
      <c r="C173" s="3" t="n">
        <v>0.727230413998473</v>
      </c>
      <c r="D173" s="5" t="n">
        <f aca="false">C173-B173</f>
        <v>-0.00334706930114503</v>
      </c>
      <c r="E173" s="5" t="n">
        <f aca="false">ABS(D173)</f>
        <v>0.00334706930114503</v>
      </c>
      <c r="M173" s="2" t="n">
        <v>12</v>
      </c>
      <c r="N173" s="2" t="n">
        <v>0.000283681383896006</v>
      </c>
    </row>
    <row r="177" customFormat="false" ht="12.8" hidden="false" customHeight="false" outlineLevel="0" collapsed="false">
      <c r="A177" s="2" t="s">
        <v>1</v>
      </c>
      <c r="B177" s="3" t="s">
        <v>2</v>
      </c>
      <c r="C177" s="3" t="s">
        <v>5</v>
      </c>
      <c r="D177" s="5" t="s">
        <v>28</v>
      </c>
      <c r="E177" s="5" t="s">
        <v>8</v>
      </c>
      <c r="F177" s="5" t="s">
        <v>9</v>
      </c>
      <c r="G177" s="5" t="s">
        <v>10</v>
      </c>
      <c r="I177" s="6" t="s">
        <v>11</v>
      </c>
      <c r="M177" s="2" t="s">
        <v>1</v>
      </c>
      <c r="N177" s="5" t="s">
        <v>8</v>
      </c>
    </row>
    <row r="178" customFormat="false" ht="12.8" hidden="false" customHeight="false" outlineLevel="0" collapsed="false">
      <c r="A178" s="2" t="n">
        <v>1</v>
      </c>
      <c r="B178" s="3" t="n">
        <v>0.820228412658582</v>
      </c>
      <c r="C178" s="3" t="n">
        <v>0.826465743120003</v>
      </c>
      <c r="D178" s="5" t="n">
        <f aca="false">C178-B178</f>
        <v>0.00623733046142094</v>
      </c>
      <c r="E178" s="5" t="n">
        <f aca="false">ABS(D178)</f>
        <v>0.00623733046142094</v>
      </c>
      <c r="F178" s="5" t="n">
        <f aca="false">AVERAGE(D178:D202)</f>
        <v>-0.00222668195411295</v>
      </c>
      <c r="G178" s="5" t="n">
        <f aca="false">_xlfn.STDEV.S(D178:D202)</f>
        <v>0.0313901248731224</v>
      </c>
      <c r="I178" s="1" t="s">
        <v>12</v>
      </c>
      <c r="J178" s="2" t="n">
        <v>0.05</v>
      </c>
      <c r="M178" s="2" t="n">
        <v>5</v>
      </c>
      <c r="N178" s="2" t="n">
        <v>0.08095563120463</v>
      </c>
    </row>
    <row r="179" customFormat="false" ht="12.8" hidden="false" customHeight="false" outlineLevel="0" collapsed="false">
      <c r="A179" s="2" t="n">
        <v>2</v>
      </c>
      <c r="B179" s="3" t="n">
        <v>0.764592146543124</v>
      </c>
      <c r="C179" s="3" t="n">
        <v>0.760295791016544</v>
      </c>
      <c r="D179" s="5" t="n">
        <f aca="false">C179-B179</f>
        <v>-0.00429635552658003</v>
      </c>
      <c r="E179" s="5" t="n">
        <f aca="false">ABS(D179)</f>
        <v>0.00429635552658003</v>
      </c>
      <c r="I179" s="1" t="s">
        <v>13</v>
      </c>
      <c r="J179" s="2" t="n">
        <v>0</v>
      </c>
      <c r="M179" s="2" t="n">
        <v>7</v>
      </c>
      <c r="N179" s="2" t="n">
        <v>0.049974574592906</v>
      </c>
    </row>
    <row r="180" customFormat="false" ht="12.8" hidden="false" customHeight="false" outlineLevel="0" collapsed="false">
      <c r="A180" s="2" t="n">
        <v>3</v>
      </c>
      <c r="B180" s="3" t="n">
        <v>0.723011363854634</v>
      </c>
      <c r="C180" s="3" t="n">
        <v>0.745513104503565</v>
      </c>
      <c r="D180" s="5" t="n">
        <f aca="false">C180-B180</f>
        <v>0.022501740648931</v>
      </c>
      <c r="E180" s="5" t="n">
        <f aca="false">ABS(D180)</f>
        <v>0.022501740648931</v>
      </c>
      <c r="J180" s="7" t="s">
        <v>14</v>
      </c>
      <c r="K180" s="7" t="s">
        <v>15</v>
      </c>
      <c r="M180" s="2" t="n">
        <v>11</v>
      </c>
      <c r="N180" s="2" t="n">
        <v>0.0482910280130721</v>
      </c>
    </row>
    <row r="181" customFormat="false" ht="12.8" hidden="false" customHeight="false" outlineLevel="0" collapsed="false">
      <c r="A181" s="2" t="n">
        <v>4</v>
      </c>
      <c r="B181" s="3" t="n">
        <v>0.756420441420714</v>
      </c>
      <c r="C181" s="3" t="n">
        <v>0.740237977344109</v>
      </c>
      <c r="D181" s="5" t="n">
        <f aca="false">C181-B181</f>
        <v>-0.016182464076605</v>
      </c>
      <c r="E181" s="5" t="n">
        <f aca="false">ABS(D181)</f>
        <v>0.016182464076605</v>
      </c>
      <c r="I181" s="1" t="s">
        <v>16</v>
      </c>
      <c r="J181" s="2" t="n">
        <f aca="false">AVERAGE(sims_per_turn!$B$177:$B$202)</f>
        <v>0.751293032886024</v>
      </c>
      <c r="K181" s="2" t="n">
        <f aca="false">AVERAGE(sims_per_turn!$C$177:$C$202)</f>
        <v>0.749066350931911</v>
      </c>
      <c r="M181" s="2" t="n">
        <v>24</v>
      </c>
      <c r="N181" s="2" t="n">
        <v>0.044761265043447</v>
      </c>
    </row>
    <row r="182" customFormat="false" ht="12.8" hidden="false" customHeight="false" outlineLevel="0" collapsed="false">
      <c r="A182" s="2" t="n">
        <v>5</v>
      </c>
      <c r="B182" s="3" t="n">
        <v>0.620462176144914</v>
      </c>
      <c r="C182" s="3" t="n">
        <v>0.701417807349544</v>
      </c>
      <c r="D182" s="5" t="n">
        <f aca="false">C182-B182</f>
        <v>0.08095563120463</v>
      </c>
      <c r="E182" s="5" t="n">
        <f aca="false">ABS(D182)</f>
        <v>0.08095563120463</v>
      </c>
      <c r="I182" s="1" t="s">
        <v>17</v>
      </c>
      <c r="J182" s="2" t="n">
        <f aca="false">VAR(sims_per_turn!$B$177:$B$202)</f>
        <v>0.00213223614861003</v>
      </c>
      <c r="K182" s="2" t="n">
        <f aca="false">VAR(sims_per_turn!$C$177:$C$202)</f>
        <v>0.00203641681568622</v>
      </c>
      <c r="M182" s="2" t="n">
        <v>23</v>
      </c>
      <c r="N182" s="2" t="n">
        <v>0.03872560896013</v>
      </c>
    </row>
    <row r="183" customFormat="false" ht="12.8" hidden="false" customHeight="false" outlineLevel="0" collapsed="false">
      <c r="A183" s="2" t="n">
        <v>6</v>
      </c>
      <c r="B183" s="3" t="n">
        <v>0.798549003615991</v>
      </c>
      <c r="C183" s="3" t="n">
        <v>0.764412269319662</v>
      </c>
      <c r="D183" s="5" t="n">
        <f aca="false">C183-B183</f>
        <v>-0.034136734296329</v>
      </c>
      <c r="E183" s="5" t="n">
        <f aca="false">ABS(D183)</f>
        <v>0.034136734296329</v>
      </c>
      <c r="I183" s="1" t="s">
        <v>18</v>
      </c>
      <c r="J183" s="2" t="n">
        <f aca="false">COUNT(sims_per_turn!$B$177:$B$202)</f>
        <v>25</v>
      </c>
      <c r="K183" s="2" t="n">
        <f aca="false">COUNT(sims_per_turn!$C$177:$C$202)</f>
        <v>25</v>
      </c>
      <c r="M183" s="2" t="n">
        <v>17</v>
      </c>
      <c r="N183" s="2" t="n">
        <v>0.038145231892271</v>
      </c>
    </row>
    <row r="184" customFormat="false" ht="12.8" hidden="false" customHeight="false" outlineLevel="0" collapsed="false">
      <c r="A184" s="2" t="n">
        <v>7</v>
      </c>
      <c r="B184" s="3" t="n">
        <v>0.754603762692231</v>
      </c>
      <c r="C184" s="3" t="n">
        <v>0.704629188099325</v>
      </c>
      <c r="D184" s="5" t="n">
        <f aca="false">C184-B184</f>
        <v>-0.049974574592906</v>
      </c>
      <c r="E184" s="5" t="n">
        <f aca="false">ABS(D184)</f>
        <v>0.049974574592906</v>
      </c>
      <c r="I184" s="1" t="s">
        <v>19</v>
      </c>
      <c r="J184" s="2" t="n">
        <f aca="false">CORREL(sims_per_turn!$B$177:$B$202,sims_per_turn!$C$177:$C$202)</f>
        <v>0.763832903273547</v>
      </c>
      <c r="M184" s="2" t="n">
        <v>22</v>
      </c>
      <c r="N184" s="2" t="n">
        <v>0.036983640069488</v>
      </c>
    </row>
    <row r="185" customFormat="false" ht="12.8" hidden="false" customHeight="false" outlineLevel="0" collapsed="false">
      <c r="A185" s="2" t="n">
        <v>8</v>
      </c>
      <c r="B185" s="3" t="n">
        <v>0.786128366374384</v>
      </c>
      <c r="C185" s="3" t="n">
        <v>0.77201186291984</v>
      </c>
      <c r="D185" s="5" t="n">
        <f aca="false">C185-B185</f>
        <v>-0.014116503454544</v>
      </c>
      <c r="E185" s="5" t="n">
        <f aca="false">ABS(D185)</f>
        <v>0.014116503454544</v>
      </c>
      <c r="I185" s="1" t="s">
        <v>20</v>
      </c>
      <c r="J185" s="2" t="n">
        <f aca="false" t="array" ref="J185:J185">AVERAGE(IF(ISODD(IF(ISNUMBER(sims_per_turn!$B$177:$B$202), 1, 0) * IF(ISNUMBER(sims_per_turn!$C$177:$C$202), 1, 0)), sims_per_turn!$B$177:$B$202 - sims_per_turn!$C$177:$C$202, "NA"))</f>
        <v>0.00222668195411295</v>
      </c>
      <c r="M185" s="2" t="n">
        <v>6</v>
      </c>
      <c r="N185" s="2" t="n">
        <v>0.034136734296329</v>
      </c>
    </row>
    <row r="186" customFormat="false" ht="12.8" hidden="false" customHeight="false" outlineLevel="0" collapsed="false">
      <c r="A186" s="2" t="n">
        <v>9</v>
      </c>
      <c r="B186" s="3" t="n">
        <v>0.753257435556755</v>
      </c>
      <c r="C186" s="3" t="n">
        <v>0.72188407789367</v>
      </c>
      <c r="D186" s="5" t="n">
        <f aca="false">C186-B186</f>
        <v>-0.0313733576630849</v>
      </c>
      <c r="E186" s="5" t="n">
        <f aca="false">ABS(D186)</f>
        <v>0.0313733576630849</v>
      </c>
      <c r="I186" s="1" t="s">
        <v>21</v>
      </c>
      <c r="J186" s="2" t="n">
        <f aca="false" t="array" ref="J186:J186">VAR(IF(ISODD(IF(ISNUMBER(sims_per_turn!$B$177:$B$202), 1, 0) * IF(ISNUMBER(sims_per_turn!$C$177:$C$202), 1, 0)), sims_per_turn!$B$177:$B$202 - sims_per_turn!$C$177:$C$202, "NA"))</f>
        <v>0.00098533993955022</v>
      </c>
      <c r="M186" s="2" t="n">
        <v>9</v>
      </c>
      <c r="N186" s="2" t="n">
        <v>0.0313733576630849</v>
      </c>
    </row>
    <row r="187" customFormat="false" ht="12.8" hidden="false" customHeight="false" outlineLevel="0" collapsed="false">
      <c r="A187" s="2" t="n">
        <v>10</v>
      </c>
      <c r="B187" s="3" t="n">
        <v>0.807843832088534</v>
      </c>
      <c r="C187" s="3" t="n">
        <v>0.801799093845666</v>
      </c>
      <c r="D187" s="5" t="n">
        <f aca="false">C187-B187</f>
        <v>-0.006044738242868</v>
      </c>
      <c r="E187" s="5" t="n">
        <f aca="false">ABS(D187)</f>
        <v>0.006044738242868</v>
      </c>
      <c r="I187" s="1" t="s">
        <v>22</v>
      </c>
      <c r="J187" s="2" t="n">
        <f aca="false" t="array" ref="J187:J187">SUM(IF(ISNUMBER(sims_per_turn!$B$177:$B$202), 1, 0) * IF(ISNUMBER(sims_per_turn!$C$177:$C$202), 1, 0)) - 1</f>
        <v>24</v>
      </c>
      <c r="M187" s="2" t="n">
        <v>3</v>
      </c>
      <c r="N187" s="2" t="n">
        <v>0.022501740648931</v>
      </c>
    </row>
    <row r="188" customFormat="false" ht="12.8" hidden="false" customHeight="false" outlineLevel="0" collapsed="false">
      <c r="A188" s="2" t="n">
        <v>11</v>
      </c>
      <c r="B188" s="3" t="n">
        <v>0.778100841853998</v>
      </c>
      <c r="C188" s="3" t="n">
        <v>0.82639186986707</v>
      </c>
      <c r="D188" s="5" t="n">
        <f aca="false">C188-B188</f>
        <v>0.0482910280130721</v>
      </c>
      <c r="E188" s="5" t="n">
        <f aca="false">ABS(D188)</f>
        <v>0.0482910280130721</v>
      </c>
      <c r="I188" s="1" t="s">
        <v>23</v>
      </c>
      <c r="J188" s="2" t="n">
        <f aca="false">(sims_per_turn!$J$185 - sims_per_turn!$J$179) / (sims_per_turn!$J$186 / ( sims_per_turn!$J$187 + 1)) ^ 0.5</f>
        <v>0.354678734651918</v>
      </c>
      <c r="M188" s="2" t="n">
        <v>19</v>
      </c>
      <c r="N188" s="2" t="n">
        <v>0.022113214205832</v>
      </c>
    </row>
    <row r="189" customFormat="false" ht="12.8" hidden="false" customHeight="false" outlineLevel="0" collapsed="false">
      <c r="A189" s="2" t="n">
        <v>12</v>
      </c>
      <c r="B189" s="3" t="n">
        <v>0.762452458306693</v>
      </c>
      <c r="C189" s="3" t="n">
        <v>0.74557662237038</v>
      </c>
      <c r="D189" s="5" t="n">
        <f aca="false">C189-B189</f>
        <v>-0.0168758359363129</v>
      </c>
      <c r="E189" s="5" t="n">
        <f aca="false">ABS(D189)</f>
        <v>0.0168758359363129</v>
      </c>
      <c r="I189" s="1" t="s">
        <v>24</v>
      </c>
      <c r="J189" s="2" t="n">
        <f aca="false">TDIST(ABS(sims_per_turn!$J$188), sims_per_turn!$J$187, 1)</f>
        <v>0.362963973433454</v>
      </c>
      <c r="M189" s="2" t="n">
        <v>16</v>
      </c>
      <c r="N189" s="2" t="n">
        <v>0.021998186750567</v>
      </c>
    </row>
    <row r="190" customFormat="false" ht="12.8" hidden="false" customHeight="false" outlineLevel="0" collapsed="false">
      <c r="A190" s="2" t="n">
        <v>13</v>
      </c>
      <c r="B190" s="3" t="n">
        <v>0.720022272820606</v>
      </c>
      <c r="C190" s="3" t="n">
        <v>0.739304791041697</v>
      </c>
      <c r="D190" s="5" t="n">
        <f aca="false">C190-B190</f>
        <v>0.019282518221091</v>
      </c>
      <c r="E190" s="5" t="n">
        <f aca="false">ABS(D190)</f>
        <v>0.019282518221091</v>
      </c>
      <c r="I190" s="1" t="s">
        <v>25</v>
      </c>
      <c r="J190" s="2" t="n">
        <f aca="false">TINV(2*sims_per_turn!$J$178, sims_per_turn!$J$187)</f>
        <v>1.71088207990943</v>
      </c>
      <c r="M190" s="2" t="n">
        <v>14</v>
      </c>
      <c r="N190" s="2" t="n">
        <v>0.021918468265391</v>
      </c>
    </row>
    <row r="191" customFormat="false" ht="12.8" hidden="false" customHeight="false" outlineLevel="0" collapsed="false">
      <c r="A191" s="2" t="n">
        <v>14</v>
      </c>
      <c r="B191" s="3" t="n">
        <v>0.738694358646482</v>
      </c>
      <c r="C191" s="3" t="n">
        <v>0.716775890381091</v>
      </c>
      <c r="D191" s="5" t="n">
        <f aca="false">C191-B191</f>
        <v>-0.021918468265391</v>
      </c>
      <c r="E191" s="5" t="n">
        <f aca="false">ABS(D191)</f>
        <v>0.021918468265391</v>
      </c>
      <c r="I191" s="1" t="s">
        <v>26</v>
      </c>
      <c r="J191" s="2" t="n">
        <f aca="false">TDIST(ABS(sims_per_turn!$J$188), sims_per_turn!$J$187, 2)</f>
        <v>0.725927946866908</v>
      </c>
      <c r="M191" s="2" t="n">
        <v>15</v>
      </c>
      <c r="N191" s="2" t="n">
        <v>0.020067131295617</v>
      </c>
    </row>
    <row r="192" customFormat="false" ht="12.8" hidden="false" customHeight="false" outlineLevel="0" collapsed="false">
      <c r="A192" s="2" t="n">
        <v>15</v>
      </c>
      <c r="B192" s="3" t="n">
        <v>0.743421830265577</v>
      </c>
      <c r="C192" s="3" t="n">
        <v>0.72335469896996</v>
      </c>
      <c r="D192" s="5" t="n">
        <f aca="false">C192-B192</f>
        <v>-0.020067131295617</v>
      </c>
      <c r="E192" s="5" t="n">
        <f aca="false">ABS(D192)</f>
        <v>0.020067131295617</v>
      </c>
      <c r="I192" s="1" t="s">
        <v>27</v>
      </c>
      <c r="J192" s="2" t="n">
        <f aca="false">TINV(sims_per_turn!$J$178, sims_per_turn!$J$187)</f>
        <v>2.06389856162803</v>
      </c>
      <c r="M192" s="2" t="n">
        <v>13</v>
      </c>
      <c r="N192" s="2" t="n">
        <v>0.019282518221091</v>
      </c>
    </row>
    <row r="193" customFormat="false" ht="12.8" hidden="false" customHeight="false" outlineLevel="0" collapsed="false">
      <c r="A193" s="2" t="n">
        <v>16</v>
      </c>
      <c r="B193" s="3" t="n">
        <v>0.763479689807917</v>
      </c>
      <c r="C193" s="3" t="n">
        <v>0.74148150305735</v>
      </c>
      <c r="D193" s="5" t="n">
        <f aca="false">C193-B193</f>
        <v>-0.021998186750567</v>
      </c>
      <c r="E193" s="5" t="n">
        <f aca="false">ABS(D193)</f>
        <v>0.021998186750567</v>
      </c>
      <c r="M193" s="2" t="n">
        <v>12</v>
      </c>
      <c r="N193" s="2" t="n">
        <v>0.0168758359363129</v>
      </c>
    </row>
    <row r="194" customFormat="false" ht="12.8" hidden="false" customHeight="false" outlineLevel="0" collapsed="false">
      <c r="A194" s="2" t="n">
        <v>17</v>
      </c>
      <c r="B194" s="3" t="n">
        <v>0.744667994911406</v>
      </c>
      <c r="C194" s="3" t="n">
        <v>0.782813226803677</v>
      </c>
      <c r="D194" s="5" t="n">
        <f aca="false">C194-B194</f>
        <v>0.038145231892271</v>
      </c>
      <c r="E194" s="5" t="n">
        <f aca="false">ABS(D194)</f>
        <v>0.038145231892271</v>
      </c>
      <c r="M194" s="2" t="n">
        <v>4</v>
      </c>
      <c r="N194" s="2" t="n">
        <v>0.016182464076605</v>
      </c>
    </row>
    <row r="195" customFormat="false" ht="12.8" hidden="false" customHeight="false" outlineLevel="0" collapsed="false">
      <c r="A195" s="2" t="n">
        <v>18</v>
      </c>
      <c r="B195" s="3" t="n">
        <v>0.695089950294851</v>
      </c>
      <c r="C195" s="3" t="n">
        <v>0.683924726356955</v>
      </c>
      <c r="D195" s="5" t="n">
        <f aca="false">C195-B195</f>
        <v>-0.011165223937896</v>
      </c>
      <c r="E195" s="5" t="n">
        <f aca="false">ABS(D195)</f>
        <v>0.011165223937896</v>
      </c>
      <c r="M195" s="2" t="n">
        <v>8</v>
      </c>
      <c r="N195" s="2" t="n">
        <v>0.014116503454544</v>
      </c>
    </row>
    <row r="196" customFormat="false" ht="12.8" hidden="false" customHeight="false" outlineLevel="0" collapsed="false">
      <c r="A196" s="2" t="n">
        <v>19</v>
      </c>
      <c r="B196" s="3" t="n">
        <v>0.719748414663605</v>
      </c>
      <c r="C196" s="3" t="n">
        <v>0.741861628869437</v>
      </c>
      <c r="D196" s="5" t="n">
        <f aca="false">C196-B196</f>
        <v>0.022113214205832</v>
      </c>
      <c r="E196" s="5" t="n">
        <f aca="false">ABS(D196)</f>
        <v>0.022113214205832</v>
      </c>
      <c r="M196" s="2" t="n">
        <v>20</v>
      </c>
      <c r="N196" s="2" t="n">
        <v>0.011180892538074</v>
      </c>
    </row>
    <row r="197" customFormat="false" ht="12.8" hidden="false" customHeight="false" outlineLevel="0" collapsed="false">
      <c r="A197" s="2" t="n">
        <v>20</v>
      </c>
      <c r="B197" s="3" t="n">
        <v>0.850110132917837</v>
      </c>
      <c r="C197" s="3" t="n">
        <v>0.861291025455911</v>
      </c>
      <c r="D197" s="5" t="n">
        <f aca="false">C197-B197</f>
        <v>0.011180892538074</v>
      </c>
      <c r="E197" s="5" t="n">
        <f aca="false">ABS(D197)</f>
        <v>0.011180892538074</v>
      </c>
      <c r="M197" s="2" t="n">
        <v>18</v>
      </c>
      <c r="N197" s="2" t="n">
        <v>0.011165223937896</v>
      </c>
    </row>
    <row r="198" customFormat="false" ht="12.8" hidden="false" customHeight="false" outlineLevel="0" collapsed="false">
      <c r="A198" s="2" t="n">
        <v>21</v>
      </c>
      <c r="B198" s="3" t="n">
        <v>0.734658481254958</v>
      </c>
      <c r="C198" s="3" t="n">
        <v>0.726997779119958</v>
      </c>
      <c r="D198" s="5" t="n">
        <f aca="false">C198-B198</f>
        <v>-0.00766070213500003</v>
      </c>
      <c r="E198" s="5" t="n">
        <f aca="false">ABS(D198)</f>
        <v>0.00766070213500003</v>
      </c>
      <c r="M198" s="2" t="n">
        <v>21</v>
      </c>
      <c r="N198" s="2" t="n">
        <v>0.00766070213500003</v>
      </c>
    </row>
    <row r="199" customFormat="false" ht="12.8" hidden="false" customHeight="false" outlineLevel="0" collapsed="false">
      <c r="A199" s="2" t="n">
        <v>22</v>
      </c>
      <c r="B199" s="3" t="n">
        <v>0.702205596693105</v>
      </c>
      <c r="C199" s="3" t="n">
        <v>0.665221956623617</v>
      </c>
      <c r="D199" s="5" t="n">
        <f aca="false">C199-B199</f>
        <v>-0.036983640069488</v>
      </c>
      <c r="E199" s="5" t="n">
        <f aca="false">ABS(D199)</f>
        <v>0.036983640069488</v>
      </c>
      <c r="M199" s="2" t="n">
        <v>1</v>
      </c>
      <c r="N199" s="2" t="n">
        <v>0.00623733046142094</v>
      </c>
    </row>
    <row r="200" customFormat="false" ht="12.8" hidden="false" customHeight="false" outlineLevel="0" collapsed="false">
      <c r="A200" s="2" t="n">
        <v>23</v>
      </c>
      <c r="B200" s="3" t="n">
        <v>0.723021317867517</v>
      </c>
      <c r="C200" s="3" t="n">
        <v>0.761746926827647</v>
      </c>
      <c r="D200" s="5" t="n">
        <f aca="false">C200-B200</f>
        <v>0.03872560896013</v>
      </c>
      <c r="E200" s="5" t="n">
        <f aca="false">ABS(D200)</f>
        <v>0.03872560896013</v>
      </c>
      <c r="M200" s="2" t="n">
        <v>10</v>
      </c>
      <c r="N200" s="2" t="n">
        <v>0.006044738242868</v>
      </c>
    </row>
    <row r="201" customFormat="false" ht="12.8" hidden="false" customHeight="false" outlineLevel="0" collapsed="false">
      <c r="A201" s="2" t="n">
        <v>24</v>
      </c>
      <c r="B201" s="3" t="n">
        <v>0.790978057596565</v>
      </c>
      <c r="C201" s="3" t="n">
        <v>0.746216792553118</v>
      </c>
      <c r="D201" s="5" t="n">
        <f aca="false">C201-B201</f>
        <v>-0.044761265043447</v>
      </c>
      <c r="E201" s="5" t="n">
        <f aca="false">ABS(D201)</f>
        <v>0.044761265043447</v>
      </c>
      <c r="M201" s="2" t="n">
        <v>25</v>
      </c>
      <c r="N201" s="2" t="n">
        <v>0.00554506371163999</v>
      </c>
    </row>
    <row r="202" customFormat="false" ht="12.8" hidden="false" customHeight="false" outlineLevel="0" collapsed="false">
      <c r="A202" s="2" t="n">
        <v>25</v>
      </c>
      <c r="B202" s="3" t="n">
        <v>0.730577483299618</v>
      </c>
      <c r="C202" s="3" t="n">
        <v>0.725032419587978</v>
      </c>
      <c r="D202" s="5" t="n">
        <f aca="false">C202-B202</f>
        <v>-0.00554506371163999</v>
      </c>
      <c r="E202" s="5" t="n">
        <f aca="false">ABS(D202)</f>
        <v>0.00554506371163999</v>
      </c>
      <c r="M202" s="2" t="n">
        <v>2</v>
      </c>
      <c r="N202" s="2" t="n">
        <v>0.00429635552658003</v>
      </c>
    </row>
    <row r="208" customFormat="false" ht="16.15" hidden="false" customHeight="false" outlineLevel="0" collapsed="false">
      <c r="A208" s="8" t="s">
        <v>29</v>
      </c>
    </row>
    <row r="210" customFormat="false" ht="12.8" hidden="false" customHeight="false" outlineLevel="0" collapsed="false">
      <c r="A210" s="2"/>
      <c r="B210" s="5"/>
    </row>
    <row r="211" customFormat="false" ht="12.8" hidden="false" customHeight="false" outlineLevel="0" collapsed="false">
      <c r="A211" s="2"/>
      <c r="B211" s="5"/>
    </row>
    <row r="212" customFormat="false" ht="12.8" hidden="false" customHeight="false" outlineLevel="0" collapsed="false">
      <c r="A212" s="2" t="s">
        <v>1</v>
      </c>
      <c r="B212" s="5" t="s">
        <v>30</v>
      </c>
      <c r="C212" s="2" t="s">
        <v>31</v>
      </c>
    </row>
    <row r="213" customFormat="false" ht="12.8" hidden="false" customHeight="false" outlineLevel="0" collapsed="false">
      <c r="A213" s="2" t="n">
        <v>22</v>
      </c>
      <c r="B213" s="2" t="s">
        <v>32</v>
      </c>
      <c r="C213" s="1" t="n">
        <v>0.104033915898458</v>
      </c>
    </row>
    <row r="214" customFormat="false" ht="12.8" hidden="false" customHeight="false" outlineLevel="0" collapsed="false">
      <c r="A214" s="2" t="n">
        <v>21</v>
      </c>
      <c r="B214" s="2" t="s">
        <v>33</v>
      </c>
      <c r="C214" s="1" t="n">
        <v>0.0912670524867041</v>
      </c>
    </row>
    <row r="215" customFormat="false" ht="12.8" hidden="false" customHeight="false" outlineLevel="0" collapsed="false">
      <c r="A215" s="2" t="n">
        <v>22</v>
      </c>
      <c r="B215" s="2" t="s">
        <v>34</v>
      </c>
      <c r="C215" s="1" t="n">
        <v>0.0842572783661639</v>
      </c>
    </row>
    <row r="216" customFormat="false" ht="12.8" hidden="false" customHeight="false" outlineLevel="0" collapsed="false">
      <c r="A216" s="2" t="n">
        <v>21</v>
      </c>
      <c r="B216" s="2" t="s">
        <v>32</v>
      </c>
      <c r="C216" s="1" t="n">
        <v>0.0836063503517041</v>
      </c>
    </row>
    <row r="217" customFormat="false" ht="12.8" hidden="false" customHeight="false" outlineLevel="0" collapsed="false">
      <c r="A217" s="2" t="n">
        <v>5</v>
      </c>
      <c r="B217" s="2" t="s">
        <v>35</v>
      </c>
      <c r="C217" s="1" t="n">
        <v>0.08095563120463</v>
      </c>
    </row>
    <row r="218" customFormat="false" ht="12.8" hidden="false" customHeight="false" outlineLevel="0" collapsed="false">
      <c r="A218" s="2" t="n">
        <v>23</v>
      </c>
      <c r="B218" s="2" t="s">
        <v>32</v>
      </c>
      <c r="C218" s="1" t="n">
        <v>0.077076383616043</v>
      </c>
    </row>
    <row r="219" customFormat="false" ht="12.8" hidden="false" customHeight="false" outlineLevel="0" collapsed="false">
      <c r="A219" s="2" t="n">
        <v>7</v>
      </c>
      <c r="B219" s="2" t="s">
        <v>32</v>
      </c>
      <c r="C219" s="1" t="n">
        <v>0.0720789889310141</v>
      </c>
    </row>
    <row r="220" customFormat="false" ht="12.8" hidden="false" customHeight="false" outlineLevel="0" collapsed="false">
      <c r="A220" s="2" t="n">
        <v>17</v>
      </c>
      <c r="B220" s="2" t="s">
        <v>33</v>
      </c>
      <c r="C220" s="1" t="n">
        <v>0.068022618164015</v>
      </c>
    </row>
    <row r="221" customFormat="false" ht="12.8" hidden="false" customHeight="false" outlineLevel="0" collapsed="false">
      <c r="A221" s="2" t="n">
        <v>22</v>
      </c>
      <c r="B221" s="2" t="s">
        <v>33</v>
      </c>
      <c r="C221" s="1" t="n">
        <v>0.0670502758289699</v>
      </c>
    </row>
    <row r="222" customFormat="false" ht="12.8" hidden="false" customHeight="false" outlineLevel="0" collapsed="false">
      <c r="A222" s="2" t="n">
        <v>23</v>
      </c>
      <c r="B222" s="2" t="s">
        <v>36</v>
      </c>
      <c r="C222" s="1" t="n">
        <v>0.064935049237257</v>
      </c>
    </row>
    <row r="223" customFormat="false" ht="12.8" hidden="false" customHeight="false" outlineLevel="0" collapsed="false">
      <c r="A223" s="2" t="n">
        <v>24</v>
      </c>
      <c r="B223" s="2" t="s">
        <v>36</v>
      </c>
      <c r="C223" s="1" t="n">
        <v>0.063619816771148</v>
      </c>
    </row>
    <row r="224" customFormat="false" ht="12.8" hidden="false" customHeight="false" outlineLevel="0" collapsed="false">
      <c r="A224" s="2" t="n">
        <v>5</v>
      </c>
      <c r="B224" s="2" t="s">
        <v>32</v>
      </c>
      <c r="C224" s="1" t="n">
        <v>0.063126203091729</v>
      </c>
    </row>
    <row r="225" customFormat="false" ht="12.8" hidden="false" customHeight="false" outlineLevel="0" collapsed="false">
      <c r="A225" s="2" t="n">
        <v>5</v>
      </c>
      <c r="B225" s="5" t="s">
        <v>37</v>
      </c>
      <c r="C225" s="1" t="n">
        <v>0.061506890773356</v>
      </c>
    </row>
    <row r="226" customFormat="false" ht="12.8" hidden="false" customHeight="false" outlineLevel="0" collapsed="false">
      <c r="A226" s="2" t="n">
        <v>21</v>
      </c>
      <c r="B226" s="2" t="s">
        <v>34</v>
      </c>
      <c r="C226" s="1" t="n">
        <v>0.0606334031521101</v>
      </c>
    </row>
    <row r="227" customFormat="false" ht="12.8" hidden="false" customHeight="false" outlineLevel="0" collapsed="false">
      <c r="A227" s="2" t="n">
        <v>13</v>
      </c>
      <c r="B227" s="2" t="s">
        <v>34</v>
      </c>
      <c r="C227" s="1" t="n">
        <v>0.054187836080926</v>
      </c>
    </row>
    <row r="228" customFormat="false" ht="12.8" hidden="false" customHeight="false" outlineLevel="0" collapsed="false">
      <c r="A228" s="2" t="n">
        <v>24</v>
      </c>
      <c r="B228" s="2" t="s">
        <v>34</v>
      </c>
      <c r="C228" s="1" t="n">
        <v>0.0513447227424111</v>
      </c>
    </row>
    <row r="229" customFormat="false" ht="12.8" hidden="true" customHeight="false" outlineLevel="0" collapsed="false">
      <c r="A229" s="2" t="n">
        <v>7</v>
      </c>
      <c r="B229" s="2" t="s">
        <v>35</v>
      </c>
      <c r="C229" s="1" t="n">
        <v>0.049974574592906</v>
      </c>
    </row>
    <row r="230" customFormat="false" ht="12.8" hidden="true" customHeight="false" outlineLevel="0" collapsed="false">
      <c r="A230" s="2" t="n">
        <v>17</v>
      </c>
      <c r="B230" s="2" t="s">
        <v>34</v>
      </c>
      <c r="C230" s="1" t="n">
        <v>0.048480739676649</v>
      </c>
    </row>
    <row r="231" customFormat="false" ht="12.8" hidden="true" customHeight="false" outlineLevel="0" collapsed="false">
      <c r="A231" s="2" t="n">
        <v>11</v>
      </c>
      <c r="B231" s="2" t="s">
        <v>33</v>
      </c>
      <c r="C231" s="1" t="n">
        <v>0.0484113005371311</v>
      </c>
    </row>
    <row r="232" customFormat="false" ht="12.8" hidden="true" customHeight="false" outlineLevel="0" collapsed="false">
      <c r="A232" s="2" t="n">
        <v>11</v>
      </c>
      <c r="B232" s="2" t="s">
        <v>35</v>
      </c>
      <c r="C232" s="1" t="n">
        <v>0.0482910280130721</v>
      </c>
    </row>
    <row r="233" customFormat="false" ht="12.8" hidden="true" customHeight="false" outlineLevel="0" collapsed="false">
      <c r="A233" s="2" t="n">
        <v>19</v>
      </c>
      <c r="B233" s="2" t="s">
        <v>34</v>
      </c>
      <c r="C233" s="1" t="n">
        <v>0.04701650069324</v>
      </c>
    </row>
    <row r="234" customFormat="false" ht="12.8" hidden="true" customHeight="false" outlineLevel="0" collapsed="false">
      <c r="A234" s="2" t="n">
        <v>7</v>
      </c>
      <c r="B234" s="2" t="s">
        <v>34</v>
      </c>
      <c r="C234" s="1" t="n">
        <v>0.0452590796736631</v>
      </c>
    </row>
    <row r="235" customFormat="false" ht="12.8" hidden="true" customHeight="false" outlineLevel="0" collapsed="false">
      <c r="A235" s="2" t="n">
        <v>24</v>
      </c>
      <c r="B235" s="2" t="s">
        <v>35</v>
      </c>
      <c r="C235" s="1" t="n">
        <v>0.044761265043447</v>
      </c>
    </row>
    <row r="236" customFormat="false" ht="12.8" hidden="true" customHeight="false" outlineLevel="0" collapsed="false">
      <c r="A236" s="2" t="n">
        <v>20</v>
      </c>
      <c r="B236" s="2" t="s">
        <v>32</v>
      </c>
      <c r="C236" s="1" t="n">
        <v>0.0447528912472169</v>
      </c>
    </row>
    <row r="237" customFormat="false" ht="12.8" hidden="true" customHeight="false" outlineLevel="0" collapsed="false">
      <c r="A237" s="2" t="n">
        <v>13</v>
      </c>
      <c r="B237" s="5" t="s">
        <v>37</v>
      </c>
      <c r="C237" s="1" t="n">
        <v>0.044325666666463</v>
      </c>
    </row>
    <row r="238" customFormat="false" ht="12.8" hidden="true" customHeight="false" outlineLevel="0" collapsed="false">
      <c r="A238" s="2" t="n">
        <v>5</v>
      </c>
      <c r="B238" s="2" t="s">
        <v>34</v>
      </c>
      <c r="C238" s="1" t="n">
        <v>0.043677462660455</v>
      </c>
    </row>
    <row r="239" customFormat="false" ht="12.8" hidden="true" customHeight="false" outlineLevel="0" collapsed="false">
      <c r="A239" s="2" t="n">
        <v>19</v>
      </c>
      <c r="B239" s="2" t="s">
        <v>33</v>
      </c>
      <c r="C239" s="1" t="n">
        <v>0.0435521450767911</v>
      </c>
    </row>
    <row r="240" customFormat="false" ht="12.8" hidden="true" customHeight="false" outlineLevel="0" collapsed="false">
      <c r="A240" s="2" t="n">
        <v>18</v>
      </c>
      <c r="B240" s="2" t="s">
        <v>32</v>
      </c>
      <c r="C240" s="1" t="n">
        <v>0.042564126795424</v>
      </c>
    </row>
    <row r="241" customFormat="false" ht="12.8" hidden="true" customHeight="false" outlineLevel="0" collapsed="false">
      <c r="A241" s="2" t="n">
        <v>10</v>
      </c>
      <c r="B241" s="2" t="s">
        <v>33</v>
      </c>
      <c r="C241" s="1" t="n">
        <v>0.041139972647364</v>
      </c>
    </row>
    <row r="242" customFormat="false" ht="12.8" hidden="true" customHeight="false" outlineLevel="0" collapsed="false">
      <c r="A242" s="2" t="n">
        <v>6</v>
      </c>
      <c r="B242" s="2" t="s">
        <v>36</v>
      </c>
      <c r="C242" s="1" t="n">
        <v>0.04068231358452</v>
      </c>
    </row>
    <row r="243" customFormat="false" ht="12.8" hidden="true" customHeight="false" outlineLevel="0" collapsed="false">
      <c r="A243" s="2" t="n">
        <v>23</v>
      </c>
      <c r="B243" s="2" t="s">
        <v>35</v>
      </c>
      <c r="C243" s="1" t="n">
        <v>0.03872560896013</v>
      </c>
    </row>
    <row r="244" customFormat="false" ht="12.8" hidden="true" customHeight="false" outlineLevel="0" collapsed="false">
      <c r="A244" s="2" t="n">
        <v>15</v>
      </c>
      <c r="B244" s="2" t="s">
        <v>36</v>
      </c>
      <c r="C244" s="1" t="n">
        <v>0.038574548646621</v>
      </c>
    </row>
    <row r="245" customFormat="false" ht="12.8" hidden="true" customHeight="false" outlineLevel="0" collapsed="false">
      <c r="A245" s="2" t="n">
        <v>23</v>
      </c>
      <c r="B245" s="2" t="s">
        <v>33</v>
      </c>
      <c r="C245" s="1" t="n">
        <v>0.038350774655913</v>
      </c>
    </row>
    <row r="246" customFormat="false" ht="12.8" hidden="true" customHeight="false" outlineLevel="0" collapsed="false">
      <c r="A246" s="2" t="n">
        <v>17</v>
      </c>
      <c r="B246" s="2" t="s">
        <v>35</v>
      </c>
      <c r="C246" s="1" t="n">
        <v>0.038145231892271</v>
      </c>
    </row>
    <row r="247" customFormat="false" ht="12.8" hidden="true" customHeight="false" outlineLevel="0" collapsed="false">
      <c r="A247" s="2" t="n">
        <v>11</v>
      </c>
      <c r="B247" s="2" t="s">
        <v>34</v>
      </c>
      <c r="C247" s="1" t="n">
        <v>0.037547223634127</v>
      </c>
    </row>
    <row r="248" customFormat="false" ht="12.8" hidden="true" customHeight="false" outlineLevel="0" collapsed="false">
      <c r="A248" s="2" t="n">
        <v>11</v>
      </c>
      <c r="B248" s="2" t="s">
        <v>36</v>
      </c>
      <c r="C248" s="1" t="n">
        <v>0.037426951110068</v>
      </c>
    </row>
    <row r="249" customFormat="false" ht="12.8" hidden="true" customHeight="false" outlineLevel="0" collapsed="false">
      <c r="A249" s="2" t="n">
        <v>22</v>
      </c>
      <c r="B249" s="2" t="s">
        <v>35</v>
      </c>
      <c r="C249" s="1" t="n">
        <v>0.036983640069488</v>
      </c>
    </row>
    <row r="250" customFormat="false" ht="12.8" hidden="true" customHeight="false" outlineLevel="0" collapsed="false">
      <c r="A250" s="2" t="n">
        <v>10</v>
      </c>
      <c r="B250" s="2" t="s">
        <v>32</v>
      </c>
      <c r="C250" s="1" t="n">
        <v>0.035095234404496</v>
      </c>
    </row>
    <row r="251" customFormat="false" ht="12.8" hidden="true" customHeight="false" outlineLevel="0" collapsed="false">
      <c r="A251" s="2" t="n">
        <v>6</v>
      </c>
      <c r="B251" s="2" t="s">
        <v>34</v>
      </c>
      <c r="C251" s="1" t="n">
        <v>0.035072721875504</v>
      </c>
    </row>
    <row r="252" customFormat="false" ht="12.8" hidden="true" customHeight="false" outlineLevel="0" collapsed="false">
      <c r="A252" s="2" t="n">
        <v>6</v>
      </c>
      <c r="B252" s="2" t="s">
        <v>35</v>
      </c>
      <c r="C252" s="1" t="n">
        <v>0.034136734296329</v>
      </c>
    </row>
    <row r="253" customFormat="false" ht="12.8" hidden="true" customHeight="false" outlineLevel="0" collapsed="false">
      <c r="A253" s="2" t="n">
        <v>20</v>
      </c>
      <c r="B253" s="2" t="s">
        <v>33</v>
      </c>
      <c r="C253" s="1" t="n">
        <v>0.033571998709143</v>
      </c>
    </row>
    <row r="254" customFormat="false" ht="12.8" hidden="true" customHeight="false" outlineLevel="0" collapsed="false">
      <c r="A254" s="2" t="n">
        <v>15</v>
      </c>
      <c r="B254" s="2" t="s">
        <v>32</v>
      </c>
      <c r="C254" s="1" t="n">
        <v>0.0331875410916951</v>
      </c>
    </row>
    <row r="255" customFormat="false" ht="12.8" hidden="true" customHeight="false" outlineLevel="0" collapsed="false">
      <c r="A255" s="2" t="n">
        <v>24</v>
      </c>
      <c r="B255" s="2" t="s">
        <v>33</v>
      </c>
      <c r="C255" s="1" t="n">
        <v>0.0324861710147101</v>
      </c>
    </row>
    <row r="256" customFormat="false" ht="12.8" hidden="true" customHeight="false" outlineLevel="0" collapsed="false">
      <c r="A256" s="2" t="n">
        <v>16</v>
      </c>
      <c r="B256" s="2" t="s">
        <v>32</v>
      </c>
      <c r="C256" s="1" t="n">
        <v>0.0322505150700569</v>
      </c>
    </row>
    <row r="257" customFormat="false" ht="12.8" hidden="true" customHeight="false" outlineLevel="0" collapsed="false">
      <c r="A257" s="2" t="n">
        <v>8</v>
      </c>
      <c r="B257" s="2" t="s">
        <v>34</v>
      </c>
      <c r="C257" s="1" t="n">
        <v>0.0318042609520089</v>
      </c>
    </row>
    <row r="258" customFormat="false" ht="12.8" hidden="true" customHeight="false" outlineLevel="0" collapsed="false">
      <c r="A258" s="2" t="n">
        <v>18</v>
      </c>
      <c r="B258" s="2" t="s">
        <v>33</v>
      </c>
      <c r="C258" s="1" t="n">
        <v>0.031398902857528</v>
      </c>
    </row>
    <row r="259" customFormat="false" ht="12.8" hidden="true" customHeight="false" outlineLevel="0" collapsed="false">
      <c r="A259" s="2" t="n">
        <v>9</v>
      </c>
      <c r="B259" s="2" t="s">
        <v>35</v>
      </c>
      <c r="C259" s="1" t="n">
        <v>0.0313733576630849</v>
      </c>
    </row>
    <row r="260" customFormat="false" ht="12.8" hidden="true" customHeight="false" outlineLevel="0" collapsed="false">
      <c r="A260" s="2" t="n">
        <v>16</v>
      </c>
      <c r="B260" s="2" t="s">
        <v>34</v>
      </c>
      <c r="C260" s="1" t="n">
        <v>0.03098328649712</v>
      </c>
    </row>
    <row r="261" customFormat="false" ht="12.8" hidden="true" customHeight="false" outlineLevel="0" collapsed="false">
      <c r="A261" s="2" t="n">
        <v>21</v>
      </c>
      <c r="B261" s="5" t="s">
        <v>37</v>
      </c>
      <c r="C261" s="1" t="n">
        <v>0.030633649334594</v>
      </c>
    </row>
    <row r="262" customFormat="false" ht="12.8" hidden="true" customHeight="false" outlineLevel="0" collapsed="false">
      <c r="A262" s="2" t="n">
        <v>17</v>
      </c>
      <c r="B262" s="2" t="s">
        <v>32</v>
      </c>
      <c r="C262" s="1" t="n">
        <v>0.029877386271744</v>
      </c>
    </row>
    <row r="263" customFormat="false" ht="12.8" hidden="true" customHeight="false" outlineLevel="0" collapsed="false">
      <c r="A263" s="2" t="n">
        <v>3</v>
      </c>
      <c r="B263" s="5" t="s">
        <v>37</v>
      </c>
      <c r="C263" s="1" t="n">
        <v>0.0294500216703559</v>
      </c>
    </row>
    <row r="264" customFormat="false" ht="12.8" hidden="true" customHeight="false" outlineLevel="0" collapsed="false">
      <c r="A264" s="2" t="n">
        <v>9</v>
      </c>
      <c r="B264" s="2" t="s">
        <v>36</v>
      </c>
      <c r="C264" s="1" t="n">
        <v>0.029296987942163</v>
      </c>
    </row>
    <row r="265" customFormat="false" ht="12.8" hidden="true" customHeight="false" outlineLevel="0" collapsed="false">
      <c r="A265" s="2" t="n">
        <v>13</v>
      </c>
      <c r="B265" s="2" t="s">
        <v>32</v>
      </c>
      <c r="C265" s="1" t="n">
        <v>0.029144687635554</v>
      </c>
    </row>
    <row r="266" customFormat="false" ht="12.8" hidden="true" customHeight="false" outlineLevel="0" collapsed="false">
      <c r="A266" s="2" t="n">
        <v>2</v>
      </c>
      <c r="B266" s="2" t="s">
        <v>34</v>
      </c>
      <c r="C266" s="1" t="n">
        <v>0.028581054018632</v>
      </c>
    </row>
    <row r="267" customFormat="false" ht="12.8" hidden="true" customHeight="false" outlineLevel="0" collapsed="false">
      <c r="A267" s="2" t="n">
        <v>6</v>
      </c>
      <c r="B267" s="2" t="s">
        <v>33</v>
      </c>
      <c r="C267" s="1" t="n">
        <v>0.028527142587313</v>
      </c>
    </row>
    <row r="268" customFormat="false" ht="12.8" hidden="true" customHeight="false" outlineLevel="0" collapsed="false">
      <c r="A268" s="2" t="n">
        <v>10</v>
      </c>
      <c r="B268" s="5" t="s">
        <v>37</v>
      </c>
      <c r="C268" s="1" t="n">
        <v>0.0275268215466681</v>
      </c>
    </row>
    <row r="269" customFormat="false" ht="12.8" hidden="true" customHeight="false" outlineLevel="0" collapsed="false">
      <c r="A269" s="2" t="n">
        <v>7</v>
      </c>
      <c r="B269" s="2" t="s">
        <v>36</v>
      </c>
      <c r="C269" s="1" t="n">
        <v>0.026819909257351</v>
      </c>
    </row>
    <row r="270" customFormat="false" ht="12.8" hidden="true" customHeight="false" outlineLevel="0" collapsed="false">
      <c r="A270" s="2" t="n">
        <v>8</v>
      </c>
      <c r="B270" s="2" t="s">
        <v>36</v>
      </c>
      <c r="C270" s="1" t="n">
        <v>0.0266875340876249</v>
      </c>
    </row>
    <row r="271" customFormat="false" ht="12.8" hidden="true" customHeight="false" outlineLevel="0" collapsed="false">
      <c r="A271" s="2" t="n">
        <v>9</v>
      </c>
      <c r="B271" s="2" t="s">
        <v>33</v>
      </c>
      <c r="C271" s="1" t="n">
        <v>0.0263921527954499</v>
      </c>
    </row>
    <row r="272" customFormat="false" ht="12.8" hidden="true" customHeight="false" outlineLevel="0" collapsed="false">
      <c r="A272" s="2" t="n">
        <v>23</v>
      </c>
      <c r="B272" s="5" t="s">
        <v>37</v>
      </c>
      <c r="C272" s="1" t="n">
        <v>0.026209440277127</v>
      </c>
    </row>
    <row r="273" customFormat="false" ht="12.8" hidden="true" customHeight="false" outlineLevel="0" collapsed="false">
      <c r="A273" s="2" t="n">
        <v>18</v>
      </c>
      <c r="B273" s="2" t="s">
        <v>34</v>
      </c>
      <c r="C273" s="1" t="n">
        <v>0.025692578891145</v>
      </c>
    </row>
    <row r="274" customFormat="false" ht="12.8" hidden="true" customHeight="false" outlineLevel="0" collapsed="false">
      <c r="A274" s="2" t="n">
        <v>19</v>
      </c>
      <c r="B274" s="2" t="s">
        <v>36</v>
      </c>
      <c r="C274" s="1" t="n">
        <v>0.025577569822281</v>
      </c>
    </row>
    <row r="275" customFormat="false" ht="12.8" hidden="true" customHeight="false" outlineLevel="0" collapsed="false">
      <c r="A275" s="2" t="n">
        <v>13</v>
      </c>
      <c r="B275" s="2" t="s">
        <v>36</v>
      </c>
      <c r="C275" s="1" t="n">
        <v>0.025043148445372</v>
      </c>
    </row>
    <row r="276" customFormat="false" ht="12.8" hidden="true" customHeight="false" outlineLevel="0" collapsed="false">
      <c r="A276" s="2" t="n">
        <v>9</v>
      </c>
      <c r="B276" s="2" t="s">
        <v>34</v>
      </c>
      <c r="C276" s="1" t="n">
        <v>0.024315783074528</v>
      </c>
    </row>
    <row r="277" customFormat="false" ht="12.8" hidden="true" customHeight="false" outlineLevel="0" collapsed="false">
      <c r="A277" s="2" t="n">
        <v>2</v>
      </c>
      <c r="B277" s="2" t="s">
        <v>32</v>
      </c>
      <c r="C277" s="1" t="n">
        <v>0.024029610032598</v>
      </c>
    </row>
    <row r="278" customFormat="false" ht="12.8" hidden="true" customHeight="false" outlineLevel="0" collapsed="false">
      <c r="A278" s="2" t="n">
        <v>3</v>
      </c>
      <c r="B278" s="2" t="s">
        <v>33</v>
      </c>
      <c r="C278" s="1" t="n">
        <v>0.0240040698102559</v>
      </c>
    </row>
    <row r="279" customFormat="false" ht="12.8" hidden="true" customHeight="false" outlineLevel="0" collapsed="false">
      <c r="A279" s="2" t="n">
        <v>7</v>
      </c>
      <c r="B279" s="5" t="s">
        <v>37</v>
      </c>
      <c r="C279" s="1" t="n">
        <v>0.023154665335555</v>
      </c>
    </row>
    <row r="280" customFormat="false" ht="12.8" hidden="true" customHeight="false" outlineLevel="0" collapsed="false">
      <c r="A280" s="2" t="n">
        <v>21</v>
      </c>
      <c r="B280" s="2" t="s">
        <v>36</v>
      </c>
      <c r="C280" s="1" t="n">
        <v>0.022972947199594</v>
      </c>
    </row>
    <row r="281" customFormat="false" ht="12.8" hidden="true" customHeight="false" outlineLevel="0" collapsed="false">
      <c r="A281" s="2" t="n">
        <v>1</v>
      </c>
      <c r="B281" s="5" t="s">
        <v>37</v>
      </c>
      <c r="C281" s="1" t="n">
        <v>0.022608718957156</v>
      </c>
    </row>
    <row r="282" customFormat="false" ht="12.8" hidden="true" customHeight="false" outlineLevel="0" collapsed="false">
      <c r="A282" s="2" t="n">
        <v>3</v>
      </c>
      <c r="B282" s="2" t="s">
        <v>35</v>
      </c>
      <c r="C282" s="1" t="n">
        <v>0.022501740648931</v>
      </c>
    </row>
    <row r="283" customFormat="false" ht="12.8" hidden="true" customHeight="false" outlineLevel="0" collapsed="false">
      <c r="A283" s="2" t="n">
        <v>20</v>
      </c>
      <c r="B283" s="2" t="s">
        <v>34</v>
      </c>
      <c r="C283" s="1" t="n">
        <v>0.022485407359404</v>
      </c>
    </row>
    <row r="284" customFormat="false" ht="12.8" hidden="true" customHeight="false" outlineLevel="0" collapsed="false">
      <c r="A284" s="2" t="n">
        <v>20</v>
      </c>
      <c r="B284" s="2" t="s">
        <v>36</v>
      </c>
      <c r="C284" s="1" t="n">
        <v>0.022267483887813</v>
      </c>
    </row>
    <row r="285" customFormat="false" ht="12.8" hidden="true" customHeight="false" outlineLevel="0" collapsed="false">
      <c r="A285" s="2" t="n">
        <v>19</v>
      </c>
      <c r="B285" s="2" t="s">
        <v>35</v>
      </c>
      <c r="C285" s="1" t="n">
        <v>0.022113214205832</v>
      </c>
    </row>
    <row r="286" customFormat="false" ht="12.8" hidden="true" customHeight="false" outlineLevel="0" collapsed="false">
      <c r="A286" s="2" t="n">
        <v>7</v>
      </c>
      <c r="B286" s="2" t="s">
        <v>33</v>
      </c>
      <c r="C286" s="1" t="n">
        <v>0.0221044143381081</v>
      </c>
    </row>
    <row r="287" customFormat="false" ht="12.8" hidden="true" customHeight="false" outlineLevel="0" collapsed="false">
      <c r="A287" s="2" t="n">
        <v>14</v>
      </c>
      <c r="B287" s="5" t="s">
        <v>37</v>
      </c>
      <c r="C287" s="1" t="n">
        <v>0.022046437648917</v>
      </c>
    </row>
    <row r="288" customFormat="false" ht="12.8" hidden="true" customHeight="false" outlineLevel="0" collapsed="false">
      <c r="A288" s="2" t="n">
        <v>16</v>
      </c>
      <c r="B288" s="2" t="s">
        <v>35</v>
      </c>
      <c r="C288" s="1" t="n">
        <v>0.021998186750567</v>
      </c>
    </row>
    <row r="289" customFormat="false" ht="12.8" hidden="true" customHeight="false" outlineLevel="0" collapsed="false">
      <c r="A289" s="2" t="n">
        <v>14</v>
      </c>
      <c r="B289" s="2" t="s">
        <v>35</v>
      </c>
      <c r="C289" s="1" t="n">
        <v>0.021918468265391</v>
      </c>
    </row>
    <row r="290" customFormat="false" ht="12.8" hidden="true" customHeight="false" outlineLevel="0" collapsed="false">
      <c r="A290" s="2" t="n">
        <v>10</v>
      </c>
      <c r="B290" s="2" t="s">
        <v>36</v>
      </c>
      <c r="C290" s="1" t="n">
        <v>0.0214820833038001</v>
      </c>
    </row>
    <row r="291" customFormat="false" ht="12.8" hidden="true" customHeight="false" outlineLevel="0" collapsed="false">
      <c r="A291" s="2" t="n">
        <v>19</v>
      </c>
      <c r="B291" s="2" t="s">
        <v>32</v>
      </c>
      <c r="C291" s="1" t="n">
        <v>0.0214389308709591</v>
      </c>
    </row>
    <row r="292" customFormat="false" ht="12.8" hidden="true" customHeight="false" outlineLevel="0" collapsed="false">
      <c r="A292" s="2" t="n">
        <v>16</v>
      </c>
      <c r="B292" s="5" t="s">
        <v>37</v>
      </c>
      <c r="C292" s="1" t="n">
        <v>0.02073095817763</v>
      </c>
    </row>
    <row r="293" customFormat="false" ht="12.8" hidden="true" customHeight="false" outlineLevel="0" collapsed="false">
      <c r="A293" s="2" t="n">
        <v>15</v>
      </c>
      <c r="B293" s="2" t="s">
        <v>35</v>
      </c>
      <c r="C293" s="1" t="n">
        <v>0.020067131295617</v>
      </c>
    </row>
    <row r="294" customFormat="false" ht="12.8" hidden="true" customHeight="false" outlineLevel="0" collapsed="false">
      <c r="A294" s="2" t="n">
        <v>22</v>
      </c>
      <c r="B294" s="2" t="s">
        <v>36</v>
      </c>
      <c r="C294" s="1" t="n">
        <v>0.019776637532294</v>
      </c>
    </row>
    <row r="295" customFormat="false" ht="12.8" hidden="true" customHeight="false" outlineLevel="0" collapsed="false">
      <c r="A295" s="2" t="n">
        <v>2</v>
      </c>
      <c r="B295" s="2" t="s">
        <v>33</v>
      </c>
      <c r="C295" s="1" t="n">
        <v>0.0197332545060179</v>
      </c>
    </row>
    <row r="296" customFormat="false" ht="12.8" hidden="true" customHeight="false" outlineLevel="0" collapsed="false">
      <c r="A296" s="2" t="n">
        <v>17</v>
      </c>
      <c r="B296" s="5" t="s">
        <v>37</v>
      </c>
      <c r="C296" s="1" t="n">
        <v>0.019541878487366</v>
      </c>
    </row>
    <row r="297" customFormat="false" ht="12.8" hidden="true" customHeight="false" outlineLevel="0" collapsed="false">
      <c r="A297" s="2" t="n">
        <v>5</v>
      </c>
      <c r="B297" s="2" t="s">
        <v>36</v>
      </c>
      <c r="C297" s="1" t="n">
        <v>0.019448740431274</v>
      </c>
    </row>
    <row r="298" customFormat="false" ht="12.8" hidden="true" customHeight="false" outlineLevel="0" collapsed="false">
      <c r="A298" s="2" t="n">
        <v>13</v>
      </c>
      <c r="B298" s="2" t="s">
        <v>35</v>
      </c>
      <c r="C298" s="1" t="n">
        <v>0.019282518221091</v>
      </c>
    </row>
    <row r="299" customFormat="false" ht="12.8" hidden="true" customHeight="false" outlineLevel="0" collapsed="false">
      <c r="A299" s="2" t="n">
        <v>8</v>
      </c>
      <c r="B299" s="2" t="s">
        <v>33</v>
      </c>
      <c r="C299" s="1" t="n">
        <v>0.019233230318928</v>
      </c>
    </row>
    <row r="300" customFormat="false" ht="12.8" hidden="true" customHeight="false" outlineLevel="0" collapsed="false">
      <c r="A300" s="2" t="n">
        <v>24</v>
      </c>
      <c r="B300" s="5" t="s">
        <v>37</v>
      </c>
      <c r="C300" s="1" t="n">
        <v>0.018858551727701</v>
      </c>
    </row>
    <row r="301" customFormat="false" ht="12.8" hidden="true" customHeight="false" outlineLevel="0" collapsed="false">
      <c r="A301" s="2" t="n">
        <v>17</v>
      </c>
      <c r="B301" s="2" t="s">
        <v>36</v>
      </c>
      <c r="C301" s="1" t="n">
        <v>0.018603353404905</v>
      </c>
    </row>
    <row r="302" customFormat="false" ht="12.8" hidden="true" customHeight="false" outlineLevel="0" collapsed="false">
      <c r="A302" s="2" t="n">
        <v>15</v>
      </c>
      <c r="B302" s="5" t="s">
        <v>37</v>
      </c>
      <c r="C302" s="1" t="n">
        <v>0.018507417351004</v>
      </c>
    </row>
    <row r="303" customFormat="false" ht="12.8" hidden="true" customHeight="false" outlineLevel="0" collapsed="false">
      <c r="A303" s="2" t="n">
        <v>12</v>
      </c>
      <c r="B303" s="2" t="s">
        <v>34</v>
      </c>
      <c r="C303" s="1" t="n">
        <v>0.018306484250761</v>
      </c>
    </row>
    <row r="304" customFormat="false" ht="12.8" hidden="true" customHeight="false" outlineLevel="0" collapsed="false">
      <c r="A304" s="2" t="n">
        <v>12</v>
      </c>
      <c r="B304" s="5" t="s">
        <v>37</v>
      </c>
      <c r="C304" s="1" t="n">
        <v>0.018022802866865</v>
      </c>
    </row>
    <row r="305" customFormat="false" ht="12.8" hidden="true" customHeight="false" outlineLevel="0" collapsed="false">
      <c r="A305" s="2" t="n">
        <v>5</v>
      </c>
      <c r="B305" s="2" t="s">
        <v>33</v>
      </c>
      <c r="C305" s="1" t="n">
        <v>0.017829428112901</v>
      </c>
    </row>
    <row r="306" customFormat="false" ht="12.8" hidden="true" customHeight="false" outlineLevel="0" collapsed="false">
      <c r="A306" s="2" t="n">
        <v>14</v>
      </c>
      <c r="B306" s="2" t="s">
        <v>34</v>
      </c>
      <c r="C306" s="1" t="n">
        <v>0.01772846336027</v>
      </c>
    </row>
    <row r="307" customFormat="false" ht="12.8" hidden="true" customHeight="false" outlineLevel="0" collapsed="false">
      <c r="A307" s="2" t="n">
        <v>14</v>
      </c>
      <c r="B307" s="2" t="s">
        <v>32</v>
      </c>
      <c r="C307" s="1" t="n">
        <v>0.017600493976744</v>
      </c>
    </row>
    <row r="308" customFormat="false" ht="12.8" hidden="true" customHeight="false" outlineLevel="0" collapsed="false">
      <c r="A308" s="2" t="n">
        <v>1</v>
      </c>
      <c r="B308" s="2" t="s">
        <v>34</v>
      </c>
      <c r="C308" s="1" t="n">
        <v>0.0172497483942691</v>
      </c>
    </row>
    <row r="309" customFormat="false" ht="12.8" hidden="true" customHeight="false" outlineLevel="0" collapsed="false">
      <c r="A309" s="2" t="n">
        <v>22</v>
      </c>
      <c r="B309" s="5" t="s">
        <v>37</v>
      </c>
      <c r="C309" s="1" t="n">
        <v>0.017207002537194</v>
      </c>
    </row>
    <row r="310" customFormat="false" ht="12.8" hidden="true" customHeight="false" outlineLevel="0" collapsed="false">
      <c r="A310" s="2" t="n">
        <v>12</v>
      </c>
      <c r="B310" s="2" t="s">
        <v>32</v>
      </c>
      <c r="C310" s="1" t="n">
        <v>0.0171595173202089</v>
      </c>
    </row>
    <row r="311" customFormat="false" ht="12.8" hidden="true" customHeight="false" outlineLevel="0" collapsed="false">
      <c r="A311" s="2" t="n">
        <v>12</v>
      </c>
      <c r="B311" s="2" t="s">
        <v>35</v>
      </c>
      <c r="C311" s="1" t="n">
        <v>0.0168758359363129</v>
      </c>
    </row>
    <row r="312" customFormat="false" ht="12.8" hidden="true" customHeight="false" outlineLevel="0" collapsed="false">
      <c r="A312" s="2" t="n">
        <v>18</v>
      </c>
      <c r="B312" s="2" t="s">
        <v>36</v>
      </c>
      <c r="C312" s="1" t="n">
        <v>0.016871547904279</v>
      </c>
    </row>
    <row r="313" customFormat="false" ht="12.8" hidden="true" customHeight="false" outlineLevel="0" collapsed="false">
      <c r="A313" s="2" t="n">
        <v>1</v>
      </c>
      <c r="B313" s="2" t="s">
        <v>36</v>
      </c>
      <c r="C313" s="1" t="n">
        <v>0.0163713884957351</v>
      </c>
    </row>
    <row r="314" customFormat="false" ht="12.8" hidden="true" customHeight="false" outlineLevel="0" collapsed="false">
      <c r="A314" s="2" t="n">
        <v>4</v>
      </c>
      <c r="B314" s="2" t="s">
        <v>35</v>
      </c>
      <c r="C314" s="1" t="n">
        <v>0.016182464076605</v>
      </c>
    </row>
    <row r="315" customFormat="false" ht="12.8" hidden="true" customHeight="false" outlineLevel="0" collapsed="false">
      <c r="A315" s="2" t="n">
        <v>25</v>
      </c>
      <c r="B315" s="5" t="s">
        <v>37</v>
      </c>
      <c r="C315" s="1" t="n">
        <v>0.015465513200291</v>
      </c>
    </row>
    <row r="316" customFormat="false" ht="12.8" hidden="true" customHeight="false" outlineLevel="0" collapsed="false">
      <c r="A316" s="2" t="n">
        <v>4</v>
      </c>
      <c r="B316" s="2" t="s">
        <v>36</v>
      </c>
      <c r="C316" s="1" t="n">
        <v>0.015001960331844</v>
      </c>
    </row>
    <row r="317" customFormat="false" ht="12.8" hidden="true" customHeight="false" outlineLevel="0" collapsed="false">
      <c r="A317" s="2" t="n">
        <v>8</v>
      </c>
      <c r="B317" s="2" t="s">
        <v>35</v>
      </c>
      <c r="C317" s="1" t="n">
        <v>0.014116503454544</v>
      </c>
    </row>
    <row r="318" customFormat="false" ht="12.8" hidden="true" customHeight="false" outlineLevel="0" collapsed="false">
      <c r="A318" s="2" t="n">
        <v>4</v>
      </c>
      <c r="B318" s="2" t="s">
        <v>33</v>
      </c>
      <c r="C318" s="1" t="n">
        <v>0.0138474541403579</v>
      </c>
    </row>
    <row r="319" customFormat="false" ht="12.8" hidden="true" customHeight="false" outlineLevel="0" collapsed="false">
      <c r="A319" s="2" t="n">
        <v>10</v>
      </c>
      <c r="B319" s="2" t="s">
        <v>34</v>
      </c>
      <c r="C319" s="1" t="n">
        <v>0.0136131511006959</v>
      </c>
    </row>
    <row r="320" customFormat="false" ht="12.8" hidden="true" customHeight="false" outlineLevel="0" collapsed="false">
      <c r="A320" s="2" t="n">
        <v>15</v>
      </c>
      <c r="B320" s="2" t="s">
        <v>33</v>
      </c>
      <c r="C320" s="1" t="n">
        <v>0.0131204097960781</v>
      </c>
    </row>
    <row r="321" customFormat="false" ht="12.8" hidden="true" customHeight="false" outlineLevel="0" collapsed="false">
      <c r="A321" s="2" t="n">
        <v>4</v>
      </c>
      <c r="B321" s="2" t="s">
        <v>34</v>
      </c>
      <c r="C321" s="1" t="n">
        <v>0.012666950395597</v>
      </c>
    </row>
    <row r="322" customFormat="false" ht="12.8" hidden="true" customHeight="false" outlineLevel="0" collapsed="false">
      <c r="A322" s="2" t="n">
        <v>8</v>
      </c>
      <c r="B322" s="5" t="s">
        <v>37</v>
      </c>
      <c r="C322" s="1" t="n">
        <v>0.012571030633081</v>
      </c>
    </row>
    <row r="323" customFormat="false" ht="12.8" hidden="true" customHeight="false" outlineLevel="0" collapsed="false">
      <c r="A323" s="2" t="n">
        <v>24</v>
      </c>
      <c r="B323" s="2" t="s">
        <v>32</v>
      </c>
      <c r="C323" s="1" t="n">
        <v>0.0122750940287369</v>
      </c>
    </row>
    <row r="324" customFormat="false" ht="12.8" hidden="true" customHeight="false" outlineLevel="0" collapsed="false">
      <c r="A324" s="2" t="n">
        <v>23</v>
      </c>
      <c r="B324" s="2" t="s">
        <v>34</v>
      </c>
      <c r="C324" s="1" t="n">
        <v>0.012141334378786</v>
      </c>
    </row>
    <row r="325" customFormat="false" ht="12.8" hidden="true" customHeight="false" outlineLevel="0" collapsed="false">
      <c r="A325" s="2" t="n">
        <v>25</v>
      </c>
      <c r="B325" s="2" t="s">
        <v>34</v>
      </c>
      <c r="C325" s="1" t="n">
        <v>0.012118443899146</v>
      </c>
    </row>
    <row r="326" customFormat="false" ht="12.8" hidden="true" customHeight="false" outlineLevel="0" collapsed="false">
      <c r="A326" s="2" t="n">
        <v>20</v>
      </c>
      <c r="B326" s="2" t="s">
        <v>35</v>
      </c>
      <c r="C326" s="1" t="n">
        <v>0.011180892538074</v>
      </c>
    </row>
    <row r="327" customFormat="false" ht="12.8" hidden="true" customHeight="false" outlineLevel="0" collapsed="false">
      <c r="A327" s="2" t="n">
        <v>18</v>
      </c>
      <c r="B327" s="2" t="s">
        <v>35</v>
      </c>
      <c r="C327" s="1" t="n">
        <v>0.011165223937896</v>
      </c>
    </row>
    <row r="328" customFormat="false" ht="12.8" hidden="true" customHeight="false" outlineLevel="0" collapsed="false">
      <c r="A328" s="2" t="n">
        <v>20</v>
      </c>
      <c r="B328" s="5" t="s">
        <v>37</v>
      </c>
      <c r="C328" s="1" t="n">
        <v>0.011086591349739</v>
      </c>
    </row>
    <row r="329" customFormat="false" ht="12.8" hidden="true" customHeight="false" outlineLevel="0" collapsed="false">
      <c r="A329" s="2" t="n">
        <v>11</v>
      </c>
      <c r="B329" s="5" t="s">
        <v>37</v>
      </c>
      <c r="C329" s="1" t="n">
        <v>0.0108640769030041</v>
      </c>
    </row>
    <row r="330" customFormat="false" ht="12.8" hidden="true" customHeight="false" outlineLevel="0" collapsed="false">
      <c r="A330" s="2" t="n">
        <v>16</v>
      </c>
      <c r="B330" s="2" t="s">
        <v>33</v>
      </c>
      <c r="C330" s="1" t="n">
        <v>0.01025232831949</v>
      </c>
    </row>
    <row r="331" customFormat="false" ht="12.8" hidden="true" customHeight="false" outlineLevel="0" collapsed="false">
      <c r="A331" s="2" t="n">
        <v>25</v>
      </c>
      <c r="B331" s="2" t="s">
        <v>36</v>
      </c>
      <c r="C331" s="1" t="n">
        <v>0.00992044948865101</v>
      </c>
    </row>
    <row r="332" customFormat="false" ht="12.8" hidden="true" customHeight="false" outlineLevel="0" collapsed="false">
      <c r="A332" s="2" t="n">
        <v>13</v>
      </c>
      <c r="B332" s="2" t="s">
        <v>33</v>
      </c>
      <c r="C332" s="1" t="n">
        <v>0.00986216941446305</v>
      </c>
    </row>
    <row r="333" customFormat="false" ht="12.8" hidden="true" customHeight="false" outlineLevel="0" collapsed="false">
      <c r="A333" s="2" t="n">
        <v>2</v>
      </c>
      <c r="B333" s="5" t="s">
        <v>37</v>
      </c>
      <c r="C333" s="1" t="n">
        <v>0.00884779951261405</v>
      </c>
    </row>
    <row r="334" customFormat="false" ht="12.8" hidden="true" customHeight="false" outlineLevel="0" collapsed="false">
      <c r="A334" s="2" t="n">
        <v>21</v>
      </c>
      <c r="B334" s="2" t="s">
        <v>35</v>
      </c>
      <c r="C334" s="1" t="n">
        <v>0.00766070213500003</v>
      </c>
    </row>
    <row r="335" customFormat="false" ht="12.8" hidden="true" customHeight="false" outlineLevel="0" collapsed="false">
      <c r="A335" s="2" t="n">
        <v>3</v>
      </c>
      <c r="B335" s="2" t="s">
        <v>36</v>
      </c>
      <c r="C335" s="1" t="n">
        <v>0.00694828102142497</v>
      </c>
    </row>
    <row r="336" customFormat="false" ht="12.8" hidden="true" customHeight="false" outlineLevel="0" collapsed="false">
      <c r="A336" s="2" t="n">
        <v>6</v>
      </c>
      <c r="B336" s="5" t="s">
        <v>37</v>
      </c>
      <c r="C336" s="1" t="n">
        <v>0.006545579288191</v>
      </c>
    </row>
    <row r="337" customFormat="false" ht="12.8" hidden="true" customHeight="false" outlineLevel="0" collapsed="false">
      <c r="A337" s="2" t="n">
        <v>1</v>
      </c>
      <c r="B337" s="2" t="s">
        <v>35</v>
      </c>
      <c r="C337" s="1" t="n">
        <v>0.00623733046142094</v>
      </c>
    </row>
    <row r="338" customFormat="false" ht="12.8" hidden="true" customHeight="false" outlineLevel="0" collapsed="false">
      <c r="A338" s="2" t="n">
        <v>10</v>
      </c>
      <c r="B338" s="2" t="s">
        <v>35</v>
      </c>
      <c r="C338" s="1" t="n">
        <v>0.006044738242868</v>
      </c>
    </row>
    <row r="339" customFormat="false" ht="12.8" hidden="true" customHeight="false" outlineLevel="0" collapsed="false">
      <c r="A339" s="2" t="n">
        <v>18</v>
      </c>
      <c r="B339" s="5" t="s">
        <v>37</v>
      </c>
      <c r="C339" s="1" t="n">
        <v>0.00570632396638304</v>
      </c>
    </row>
    <row r="340" customFormat="false" ht="12.8" hidden="true" customHeight="false" outlineLevel="0" collapsed="false">
      <c r="A340" s="2" t="n">
        <v>6</v>
      </c>
      <c r="B340" s="2" t="s">
        <v>32</v>
      </c>
      <c r="C340" s="1" t="n">
        <v>0.00560959170901598</v>
      </c>
    </row>
    <row r="341" customFormat="false" ht="12.8" hidden="true" customHeight="false" outlineLevel="0" collapsed="false">
      <c r="A341" s="2" t="n">
        <v>25</v>
      </c>
      <c r="B341" s="2" t="s">
        <v>35</v>
      </c>
      <c r="C341" s="1" t="n">
        <v>0.00554506371163999</v>
      </c>
    </row>
    <row r="342" customFormat="false" ht="12.8" hidden="true" customHeight="false" outlineLevel="0" collapsed="false">
      <c r="A342" s="2" t="n">
        <v>3</v>
      </c>
      <c r="B342" s="2" t="s">
        <v>34</v>
      </c>
      <c r="C342" s="1" t="n">
        <v>0.0054459518601</v>
      </c>
    </row>
    <row r="343" customFormat="false" ht="12.8" hidden="true" customHeight="false" outlineLevel="0" collapsed="false">
      <c r="A343" s="2" t="n">
        <v>15</v>
      </c>
      <c r="B343" s="2" t="s">
        <v>34</v>
      </c>
      <c r="C343" s="1" t="n">
        <v>0.00538700755492594</v>
      </c>
    </row>
    <row r="344" customFormat="false" ht="12.8" hidden="true" customHeight="false" outlineLevel="0" collapsed="false">
      <c r="A344" s="2" t="n">
        <v>1</v>
      </c>
      <c r="B344" s="2" t="s">
        <v>33</v>
      </c>
      <c r="C344" s="1" t="n">
        <v>0.00535897056288692</v>
      </c>
    </row>
    <row r="345" customFormat="false" ht="12.8" hidden="true" customHeight="false" outlineLevel="0" collapsed="false">
      <c r="A345" s="2" t="n">
        <v>8</v>
      </c>
      <c r="B345" s="2" t="s">
        <v>32</v>
      </c>
      <c r="C345" s="1" t="n">
        <v>0.00511672686438403</v>
      </c>
    </row>
    <row r="346" customFormat="false" ht="12.8" hidden="true" customHeight="false" outlineLevel="0" collapsed="false">
      <c r="A346" s="2" t="n">
        <v>9</v>
      </c>
      <c r="B346" s="2" t="s">
        <v>32</v>
      </c>
      <c r="C346" s="1" t="n">
        <v>0.00498120486763498</v>
      </c>
    </row>
    <row r="347" customFormat="false" ht="12.8" hidden="true" customHeight="false" outlineLevel="0" collapsed="false">
      <c r="A347" s="2" t="n">
        <v>2</v>
      </c>
      <c r="B347" s="2" t="s">
        <v>36</v>
      </c>
      <c r="C347" s="1" t="n">
        <v>0.00455144398603402</v>
      </c>
    </row>
    <row r="348" customFormat="false" ht="12.8" hidden="true" customHeight="false" outlineLevel="0" collapsed="false">
      <c r="A348" s="2" t="n">
        <v>14</v>
      </c>
      <c r="B348" s="2" t="s">
        <v>33</v>
      </c>
      <c r="C348" s="1" t="n">
        <v>0.004317974288647</v>
      </c>
    </row>
    <row r="349" customFormat="false" ht="12.8" hidden="true" customHeight="false" outlineLevel="0" collapsed="false">
      <c r="A349" s="2" t="n">
        <v>2</v>
      </c>
      <c r="B349" s="2" t="s">
        <v>35</v>
      </c>
      <c r="C349" s="1" t="n">
        <v>0.00429635552658003</v>
      </c>
    </row>
    <row r="350" customFormat="false" ht="12.8" hidden="true" customHeight="false" outlineLevel="0" collapsed="false">
      <c r="A350" s="2" t="n">
        <v>19</v>
      </c>
      <c r="B350" s="5" t="s">
        <v>37</v>
      </c>
      <c r="C350" s="1" t="n">
        <v>0.00346435561644898</v>
      </c>
    </row>
    <row r="351" customFormat="false" ht="12.8" hidden="true" customHeight="false" outlineLevel="0" collapsed="false">
      <c r="A351" s="2" t="n">
        <v>25</v>
      </c>
      <c r="B351" s="2" t="s">
        <v>33</v>
      </c>
      <c r="C351" s="1" t="n">
        <v>0.00334706930114503</v>
      </c>
    </row>
    <row r="352" customFormat="false" ht="12.8" hidden="true" customHeight="false" outlineLevel="0" collapsed="false">
      <c r="A352" s="2" t="n">
        <v>4</v>
      </c>
      <c r="B352" s="2" t="s">
        <v>32</v>
      </c>
      <c r="C352" s="1" t="n">
        <v>0.00233500993624702</v>
      </c>
    </row>
    <row r="353" customFormat="false" ht="12.8" hidden="true" customHeight="false" outlineLevel="0" collapsed="false">
      <c r="A353" s="2" t="n">
        <v>25</v>
      </c>
      <c r="B353" s="2" t="s">
        <v>32</v>
      </c>
      <c r="C353" s="1" t="n">
        <v>0.00219799441049495</v>
      </c>
    </row>
    <row r="354" customFormat="false" ht="12.8" hidden="true" customHeight="false" outlineLevel="0" collapsed="false">
      <c r="A354" s="2" t="n">
        <v>9</v>
      </c>
      <c r="B354" s="5" t="s">
        <v>37</v>
      </c>
      <c r="C354" s="1" t="n">
        <v>0.00207636972092196</v>
      </c>
    </row>
    <row r="355" customFormat="false" ht="12.8" hidden="true" customHeight="false" outlineLevel="0" collapsed="false">
      <c r="A355" s="2" t="n">
        <v>3</v>
      </c>
      <c r="B355" s="2" t="s">
        <v>32</v>
      </c>
      <c r="C355" s="1" t="n">
        <v>0.00150232916132498</v>
      </c>
    </row>
    <row r="356" customFormat="false" ht="12.8" hidden="true" customHeight="false" outlineLevel="0" collapsed="false">
      <c r="A356" s="2" t="n">
        <v>16</v>
      </c>
      <c r="B356" s="2" t="s">
        <v>36</v>
      </c>
      <c r="C356" s="1" t="n">
        <v>0.00126722857293693</v>
      </c>
    </row>
    <row r="357" customFormat="false" ht="12.8" hidden="true" customHeight="false" outlineLevel="0" collapsed="false">
      <c r="A357" s="2" t="n">
        <v>4</v>
      </c>
      <c r="B357" s="5" t="s">
        <v>37</v>
      </c>
      <c r="C357" s="1" t="n">
        <v>0.00118050374476097</v>
      </c>
    </row>
    <row r="358" customFormat="false" ht="12.8" hidden="true" customHeight="false" outlineLevel="0" collapsed="false">
      <c r="A358" s="2" t="n">
        <v>12</v>
      </c>
      <c r="B358" s="2" t="s">
        <v>36</v>
      </c>
      <c r="C358" s="1" t="n">
        <v>0.00114696693055205</v>
      </c>
    </row>
    <row r="359" customFormat="false" ht="12.8" hidden="true" customHeight="false" outlineLevel="0" collapsed="false">
      <c r="A359" s="2" t="n">
        <v>1</v>
      </c>
      <c r="B359" s="2" t="s">
        <v>32</v>
      </c>
      <c r="C359" s="1" t="n">
        <v>0.00087835989853402</v>
      </c>
    </row>
    <row r="360" customFormat="false" ht="12.8" hidden="true" customHeight="false" outlineLevel="0" collapsed="false">
      <c r="A360" s="2" t="n">
        <v>12</v>
      </c>
      <c r="B360" s="2" t="s">
        <v>33</v>
      </c>
      <c r="C360" s="1" t="n">
        <v>0.000283681383896006</v>
      </c>
    </row>
    <row r="361" customFormat="false" ht="12.8" hidden="true" customHeight="false" outlineLevel="0" collapsed="false">
      <c r="A361" s="2" t="n">
        <v>14</v>
      </c>
      <c r="B361" s="2" t="s">
        <v>36</v>
      </c>
      <c r="C361" s="1" t="n">
        <v>0.000127969383525994</v>
      </c>
    </row>
    <row r="362" customFormat="false" ht="12.8" hidden="true" customHeight="false" outlineLevel="0" collapsed="false">
      <c r="A362" s="2" t="n">
        <v>11</v>
      </c>
      <c r="B362" s="2" t="s">
        <v>32</v>
      </c>
      <c r="C362" s="1" t="n">
        <v>0.000120272524058995</v>
      </c>
    </row>
    <row r="363" customFormat="false" ht="12.8" hidden="false" customHeight="false" outlineLevel="0" collapsed="false">
      <c r="A363" s="2"/>
      <c r="B363" s="2"/>
    </row>
    <row r="364" customFormat="false" ht="12.8" hidden="false" customHeight="false" outlineLevel="0" collapsed="false">
      <c r="A364" s="2"/>
      <c r="B364" s="2"/>
    </row>
    <row r="365" customFormat="false" ht="12.8" hidden="false" customHeight="false" outlineLevel="0" collapsed="false">
      <c r="A365" s="2"/>
      <c r="B365" s="2"/>
    </row>
    <row r="366" customFormat="false" ht="12.8" hidden="false" customHeight="false" outlineLevel="0" collapsed="false">
      <c r="A366" s="2"/>
      <c r="B366" s="2"/>
    </row>
    <row r="367" customFormat="false" ht="12.8" hidden="false" customHeight="false" outlineLevel="0" collapsed="false">
      <c r="A367" s="2"/>
      <c r="B367" s="2"/>
    </row>
    <row r="368" customFormat="false" ht="12.8" hidden="false" customHeight="false" outlineLevel="0" collapsed="false">
      <c r="A368" s="2"/>
      <c r="B368" s="2"/>
    </row>
  </sheetData>
  <autoFilter ref="A212:C362">
    <filterColumn colId="2">
      <customFilters and="true">
        <customFilter operator="greaterThan" val="0.05"/>
      </customFilters>
    </filterColumn>
  </autoFilter>
  <mergeCells count="1">
    <mergeCell ref="B30:C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1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E3" activeCellId="1" sqref="G116:H120 E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9" width="14.67"/>
    <col collapsed="false" customWidth="true" hidden="false" outlineLevel="0" max="3" min="3" style="9" width="17.04"/>
    <col collapsed="false" customWidth="true" hidden="false" outlineLevel="0" max="5" min="5" style="9" width="15.58"/>
    <col collapsed="false" customWidth="true" hidden="false" outlineLevel="0" max="6" min="6" style="9" width="15.8"/>
  </cols>
  <sheetData>
    <row r="3" customFormat="false" ht="12.8" hidden="false" customHeight="false" outlineLevel="0" collapsed="false">
      <c r="A3" s="2" t="s">
        <v>1</v>
      </c>
      <c r="B3" s="5" t="s">
        <v>30</v>
      </c>
      <c r="C3" s="2" t="s">
        <v>31</v>
      </c>
      <c r="E3" s="10" t="s">
        <v>38</v>
      </c>
      <c r="F3" s="11" t="s">
        <v>30</v>
      </c>
      <c r="G3" s="12"/>
      <c r="H3" s="12"/>
      <c r="I3" s="12"/>
      <c r="J3" s="12"/>
      <c r="K3" s="12"/>
      <c r="L3" s="13"/>
    </row>
    <row r="4" customFormat="false" ht="12.8" hidden="false" customHeight="false" outlineLevel="0" collapsed="false">
      <c r="A4" s="2" t="n">
        <v>22</v>
      </c>
      <c r="B4" s="2" t="s">
        <v>32</v>
      </c>
      <c r="C4" s="1" t="n">
        <v>0.104033915898458</v>
      </c>
      <c r="E4" s="14" t="s">
        <v>1</v>
      </c>
      <c r="F4" s="15" t="s">
        <v>37</v>
      </c>
      <c r="G4" s="16" t="s">
        <v>32</v>
      </c>
      <c r="H4" s="16" t="s">
        <v>33</v>
      </c>
      <c r="I4" s="16" t="s">
        <v>34</v>
      </c>
      <c r="J4" s="16" t="s">
        <v>35</v>
      </c>
      <c r="K4" s="16" t="s">
        <v>36</v>
      </c>
      <c r="L4" s="17" t="s">
        <v>39</v>
      </c>
    </row>
    <row r="5" customFormat="false" ht="12.8" hidden="false" customHeight="false" outlineLevel="0" collapsed="false">
      <c r="A5" s="2" t="n">
        <v>21</v>
      </c>
      <c r="B5" s="2" t="s">
        <v>33</v>
      </c>
      <c r="C5" s="1" t="n">
        <v>0.0912670524867041</v>
      </c>
      <c r="E5" s="18" t="n">
        <v>5</v>
      </c>
      <c r="F5" s="19" t="n">
        <v>1</v>
      </c>
      <c r="G5" s="20" t="n">
        <v>1</v>
      </c>
      <c r="H5" s="20"/>
      <c r="I5" s="20"/>
      <c r="J5" s="20" t="n">
        <v>1</v>
      </c>
      <c r="K5" s="21"/>
      <c r="L5" s="22" t="n">
        <v>3</v>
      </c>
    </row>
    <row r="6" customFormat="false" ht="12.8" hidden="false" customHeight="false" outlineLevel="0" collapsed="false">
      <c r="A6" s="2" t="n">
        <v>22</v>
      </c>
      <c r="B6" s="2" t="s">
        <v>34</v>
      </c>
      <c r="C6" s="1" t="n">
        <v>0.0842572783661639</v>
      </c>
      <c r="E6" s="23" t="n">
        <v>7</v>
      </c>
      <c r="F6" s="24"/>
      <c r="G6" s="25" t="n">
        <v>1</v>
      </c>
      <c r="H6" s="25"/>
      <c r="I6" s="25"/>
      <c r="J6" s="25"/>
      <c r="K6" s="26"/>
      <c r="L6" s="27" t="n">
        <v>1</v>
      </c>
    </row>
    <row r="7" customFormat="false" ht="12.8" hidden="false" customHeight="false" outlineLevel="0" collapsed="false">
      <c r="A7" s="2" t="n">
        <v>21</v>
      </c>
      <c r="B7" s="2" t="s">
        <v>32</v>
      </c>
      <c r="C7" s="1" t="n">
        <v>0.0836063503517041</v>
      </c>
      <c r="E7" s="23" t="n">
        <v>13</v>
      </c>
      <c r="F7" s="24"/>
      <c r="G7" s="25"/>
      <c r="H7" s="25"/>
      <c r="I7" s="25" t="n">
        <v>1</v>
      </c>
      <c r="J7" s="25"/>
      <c r="K7" s="26"/>
      <c r="L7" s="27" t="n">
        <v>1</v>
      </c>
    </row>
    <row r="8" customFormat="false" ht="12.8" hidden="false" customHeight="false" outlineLevel="0" collapsed="false">
      <c r="A8" s="2" t="n">
        <v>5</v>
      </c>
      <c r="B8" s="2" t="s">
        <v>35</v>
      </c>
      <c r="C8" s="1" t="n">
        <v>0.08095563120463</v>
      </c>
      <c r="E8" s="23" t="n">
        <v>17</v>
      </c>
      <c r="F8" s="24"/>
      <c r="G8" s="25"/>
      <c r="H8" s="25" t="n">
        <v>1</v>
      </c>
      <c r="I8" s="25"/>
      <c r="J8" s="25"/>
      <c r="K8" s="26"/>
      <c r="L8" s="27" t="n">
        <v>1</v>
      </c>
    </row>
    <row r="9" customFormat="false" ht="12.8" hidden="false" customHeight="false" outlineLevel="0" collapsed="false">
      <c r="A9" s="2" t="n">
        <v>23</v>
      </c>
      <c r="B9" s="2" t="s">
        <v>32</v>
      </c>
      <c r="C9" s="1" t="n">
        <v>0.077076383616043</v>
      </c>
      <c r="E9" s="23" t="n">
        <v>21</v>
      </c>
      <c r="F9" s="24"/>
      <c r="G9" s="25" t="n">
        <v>1</v>
      </c>
      <c r="H9" s="25" t="n">
        <v>1</v>
      </c>
      <c r="I9" s="25" t="n">
        <v>1</v>
      </c>
      <c r="J9" s="25"/>
      <c r="K9" s="26"/>
      <c r="L9" s="27" t="n">
        <v>3</v>
      </c>
    </row>
    <row r="10" customFormat="false" ht="12.8" hidden="false" customHeight="false" outlineLevel="0" collapsed="false">
      <c r="A10" s="2" t="n">
        <v>7</v>
      </c>
      <c r="B10" s="2" t="s">
        <v>32</v>
      </c>
      <c r="C10" s="1" t="n">
        <v>0.0720789889310141</v>
      </c>
      <c r="E10" s="23" t="n">
        <v>22</v>
      </c>
      <c r="F10" s="24"/>
      <c r="G10" s="25" t="n">
        <v>1</v>
      </c>
      <c r="H10" s="25" t="n">
        <v>1</v>
      </c>
      <c r="I10" s="25" t="n">
        <v>1</v>
      </c>
      <c r="J10" s="25"/>
      <c r="K10" s="26"/>
      <c r="L10" s="27" t="n">
        <v>3</v>
      </c>
    </row>
    <row r="11" customFormat="false" ht="12.8" hidden="false" customHeight="false" outlineLevel="0" collapsed="false">
      <c r="A11" s="2" t="n">
        <v>17</v>
      </c>
      <c r="B11" s="2" t="s">
        <v>33</v>
      </c>
      <c r="C11" s="1" t="n">
        <v>0.068022618164015</v>
      </c>
      <c r="E11" s="23" t="n">
        <v>23</v>
      </c>
      <c r="F11" s="24"/>
      <c r="G11" s="25" t="n">
        <v>1</v>
      </c>
      <c r="H11" s="25"/>
      <c r="I11" s="25"/>
      <c r="J11" s="25"/>
      <c r="K11" s="26" t="n">
        <v>1</v>
      </c>
      <c r="L11" s="27" t="n">
        <v>2</v>
      </c>
    </row>
    <row r="12" customFormat="false" ht="12.8" hidden="false" customHeight="false" outlineLevel="0" collapsed="false">
      <c r="A12" s="2" t="n">
        <v>22</v>
      </c>
      <c r="B12" s="2" t="s">
        <v>33</v>
      </c>
      <c r="C12" s="1" t="n">
        <v>0.0670502758289699</v>
      </c>
      <c r="E12" s="23" t="n">
        <v>24</v>
      </c>
      <c r="F12" s="28"/>
      <c r="G12" s="29"/>
      <c r="H12" s="29"/>
      <c r="I12" s="29" t="n">
        <v>1</v>
      </c>
      <c r="J12" s="29"/>
      <c r="K12" s="30" t="n">
        <v>1</v>
      </c>
      <c r="L12" s="31" t="n">
        <v>2</v>
      </c>
    </row>
    <row r="13" customFormat="false" ht="12.8" hidden="false" customHeight="false" outlineLevel="0" collapsed="false">
      <c r="A13" s="2" t="n">
        <v>23</v>
      </c>
      <c r="B13" s="2" t="s">
        <v>36</v>
      </c>
      <c r="C13" s="1" t="n">
        <v>0.064935049237257</v>
      </c>
      <c r="E13" s="32" t="s">
        <v>39</v>
      </c>
      <c r="F13" s="33" t="n">
        <v>1</v>
      </c>
      <c r="G13" s="34" t="n">
        <v>5</v>
      </c>
      <c r="H13" s="34" t="n">
        <v>3</v>
      </c>
      <c r="I13" s="34" t="n">
        <v>4</v>
      </c>
      <c r="J13" s="34" t="n">
        <v>1</v>
      </c>
      <c r="K13" s="35" t="n">
        <v>2</v>
      </c>
      <c r="L13" s="36" t="n">
        <v>16</v>
      </c>
    </row>
    <row r="14" customFormat="false" ht="12.8" hidden="false" customHeight="false" outlineLevel="0" collapsed="false">
      <c r="A14" s="2" t="n">
        <v>24</v>
      </c>
      <c r="B14" s="2" t="s">
        <v>36</v>
      </c>
      <c r="C14" s="1" t="n">
        <v>0.063619816771148</v>
      </c>
    </row>
    <row r="15" customFormat="false" ht="12.8" hidden="false" customHeight="false" outlineLevel="0" collapsed="false">
      <c r="A15" s="2" t="n">
        <v>5</v>
      </c>
      <c r="B15" s="2" t="s">
        <v>32</v>
      </c>
      <c r="C15" s="1" t="n">
        <v>0.063126203091729</v>
      </c>
    </row>
    <row r="16" customFormat="false" ht="12.8" hidden="false" customHeight="false" outlineLevel="0" collapsed="false">
      <c r="A16" s="2" t="n">
        <v>5</v>
      </c>
      <c r="B16" s="5" t="s">
        <v>37</v>
      </c>
      <c r="C16" s="1" t="n">
        <v>0.061506890773356</v>
      </c>
    </row>
    <row r="17" customFormat="false" ht="12.8" hidden="false" customHeight="false" outlineLevel="0" collapsed="false">
      <c r="A17" s="2" t="n">
        <v>21</v>
      </c>
      <c r="B17" s="2" t="s">
        <v>34</v>
      </c>
      <c r="C17" s="1" t="n">
        <v>0.0606334031521101</v>
      </c>
    </row>
    <row r="18" customFormat="false" ht="12.8" hidden="false" customHeight="false" outlineLevel="0" collapsed="false">
      <c r="A18" s="2" t="n">
        <v>13</v>
      </c>
      <c r="B18" s="2" t="s">
        <v>34</v>
      </c>
      <c r="C18" s="1" t="n">
        <v>0.054187836080926</v>
      </c>
    </row>
    <row r="19" customFormat="false" ht="12.8" hidden="false" customHeight="false" outlineLevel="0" collapsed="false">
      <c r="A19" s="2" t="n">
        <v>24</v>
      </c>
      <c r="B19" s="2" t="s">
        <v>34</v>
      </c>
      <c r="C19" s="1" t="n">
        <v>0.0513447227424111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552"/>
  <sheetViews>
    <sheetView showFormulas="false" showGridLines="true" showRowColHeaders="true" showZeros="true" rightToLeft="false" tabSelected="true" showOutlineSymbols="true" defaultGridColor="true" view="normal" topLeftCell="C82" colorId="64" zoomScale="125" zoomScaleNormal="125" zoomScalePageLayoutView="100" workbookViewId="0">
      <selection pane="topLeft" activeCell="G116" activeCellId="0" sqref="G116:H1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7"/>
    <col collapsed="false" customWidth="false" hidden="false" outlineLevel="0" max="2" min="2" style="1" width="11.53"/>
    <col collapsed="false" customWidth="true" hidden="false" outlineLevel="0" max="3" min="3" style="1" width="38.96"/>
    <col collapsed="false" customWidth="false" hidden="false" outlineLevel="0" max="4" min="4" style="1" width="11.53"/>
    <col collapsed="false" customWidth="true" hidden="false" outlineLevel="0" max="5" min="5" style="1" width="20.14"/>
    <col collapsed="false" customWidth="false" hidden="false" outlineLevel="0" max="6" min="6" style="1" width="11.53"/>
    <col collapsed="false" customWidth="true" hidden="false" outlineLevel="0" max="7" min="7" style="1" width="38.96"/>
    <col collapsed="false" customWidth="true" hidden="false" outlineLevel="0" max="8" min="8" style="1" width="35.95"/>
    <col collapsed="false" customWidth="false" hidden="false" outlineLevel="0" max="10" min="9" style="1" width="11.53"/>
    <col collapsed="false" customWidth="true" hidden="false" outlineLevel="0" max="11" min="11" style="1" width="19.59"/>
    <col collapsed="false" customWidth="true" hidden="false" outlineLevel="0" max="12" min="12" style="1" width="18.47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B1" s="3" t="s">
        <v>40</v>
      </c>
      <c r="C1" s="3" t="s">
        <v>41</v>
      </c>
      <c r="D1" s="3" t="s">
        <v>42</v>
      </c>
      <c r="E1" s="3" t="s">
        <v>43</v>
      </c>
    </row>
    <row r="2" customFormat="false" ht="12.8" hidden="false" customHeight="false" outlineLevel="0" collapsed="false">
      <c r="B2" s="2" t="n">
        <v>1</v>
      </c>
      <c r="C2" s="37" t="s">
        <v>44</v>
      </c>
      <c r="D2" s="2" t="n">
        <v>0.2058</v>
      </c>
      <c r="E2" s="2" t="s">
        <v>45</v>
      </c>
      <c r="G2" s="10" t="s">
        <v>46</v>
      </c>
      <c r="H2" s="11" t="s">
        <v>43</v>
      </c>
      <c r="I2" s="12"/>
      <c r="J2" s="12"/>
      <c r="K2" s="12"/>
      <c r="L2" s="13"/>
      <c r="M2" s="13"/>
    </row>
    <row r="3" customFormat="false" ht="12.8" hidden="false" customHeight="false" outlineLevel="0" collapsed="false">
      <c r="B3" s="2" t="n">
        <v>1</v>
      </c>
      <c r="C3" s="37" t="s">
        <v>47</v>
      </c>
      <c r="D3" s="2" t="n">
        <v>0.1919</v>
      </c>
      <c r="E3" s="2" t="s">
        <v>45</v>
      </c>
      <c r="G3" s="14" t="s">
        <v>40</v>
      </c>
      <c r="H3" s="15" t="s">
        <v>48</v>
      </c>
      <c r="I3" s="16" t="s">
        <v>49</v>
      </c>
      <c r="J3" s="16" t="s">
        <v>45</v>
      </c>
      <c r="K3" s="16" t="s">
        <v>50</v>
      </c>
      <c r="L3" s="17" t="s">
        <v>39</v>
      </c>
      <c r="M3" s="17" t="s">
        <v>39</v>
      </c>
    </row>
    <row r="4" customFormat="false" ht="12.8" hidden="false" customHeight="false" outlineLevel="0" collapsed="false">
      <c r="B4" s="2" t="n">
        <v>1</v>
      </c>
      <c r="C4" s="37" t="s">
        <v>51</v>
      </c>
      <c r="D4" s="2" t="n">
        <v>0.182</v>
      </c>
      <c r="E4" s="2" t="s">
        <v>45</v>
      </c>
      <c r="G4" s="38" t="n">
        <v>1</v>
      </c>
      <c r="H4" s="19" t="n">
        <v>6</v>
      </c>
      <c r="I4" s="20" t="n">
        <v>6</v>
      </c>
      <c r="J4" s="20" t="n">
        <v>6</v>
      </c>
      <c r="K4" s="21" t="n">
        <v>6</v>
      </c>
      <c r="L4" s="22" t="n">
        <v>24</v>
      </c>
      <c r="M4" s="22" t="n">
        <v>24</v>
      </c>
    </row>
    <row r="5" customFormat="false" ht="12.8" hidden="false" customHeight="false" outlineLevel="0" collapsed="false">
      <c r="B5" s="2" t="n">
        <v>1</v>
      </c>
      <c r="C5" s="37" t="s">
        <v>52</v>
      </c>
      <c r="D5" s="2" t="n">
        <v>0.1602</v>
      </c>
      <c r="E5" s="2" t="s">
        <v>45</v>
      </c>
      <c r="G5" s="39" t="n">
        <v>3</v>
      </c>
      <c r="H5" s="24" t="n">
        <v>6</v>
      </c>
      <c r="I5" s="25" t="n">
        <v>6</v>
      </c>
      <c r="J5" s="25" t="n">
        <v>6</v>
      </c>
      <c r="K5" s="26" t="n">
        <v>6</v>
      </c>
      <c r="L5" s="27" t="n">
        <v>24</v>
      </c>
      <c r="M5" s="27" t="n">
        <v>24</v>
      </c>
    </row>
    <row r="6" customFormat="false" ht="12.8" hidden="false" customHeight="false" outlineLevel="0" collapsed="false">
      <c r="B6" s="2" t="n">
        <v>1</v>
      </c>
      <c r="C6" s="37" t="s">
        <v>53</v>
      </c>
      <c r="D6" s="2" t="n">
        <v>0.1601</v>
      </c>
      <c r="E6" s="2" t="s">
        <v>45</v>
      </c>
      <c r="G6" s="39" t="n">
        <v>5</v>
      </c>
      <c r="H6" s="24" t="n">
        <v>6</v>
      </c>
      <c r="I6" s="25" t="n">
        <v>6</v>
      </c>
      <c r="J6" s="25" t="n">
        <v>6</v>
      </c>
      <c r="K6" s="26" t="n">
        <v>6</v>
      </c>
      <c r="L6" s="27" t="n">
        <v>24</v>
      </c>
      <c r="M6" s="27" t="n">
        <v>24</v>
      </c>
    </row>
    <row r="7" customFormat="false" ht="12.8" hidden="false" customHeight="false" outlineLevel="0" collapsed="false">
      <c r="B7" s="2" t="n">
        <v>1</v>
      </c>
      <c r="C7" s="37" t="s">
        <v>54</v>
      </c>
      <c r="D7" s="2" t="n">
        <v>0.1</v>
      </c>
      <c r="E7" s="2" t="s">
        <v>45</v>
      </c>
      <c r="G7" s="39" t="n">
        <v>7</v>
      </c>
      <c r="H7" s="24" t="n">
        <v>6</v>
      </c>
      <c r="I7" s="25" t="n">
        <v>6</v>
      </c>
      <c r="J7" s="25" t="n">
        <v>6</v>
      </c>
      <c r="K7" s="26" t="n">
        <v>6</v>
      </c>
      <c r="L7" s="27" t="n">
        <v>24</v>
      </c>
      <c r="M7" s="27" t="n">
        <v>24</v>
      </c>
    </row>
    <row r="8" customFormat="false" ht="12.8" hidden="false" customHeight="false" outlineLevel="0" collapsed="false">
      <c r="B8" s="2" t="n">
        <v>3</v>
      </c>
      <c r="C8" s="37" t="s">
        <v>44</v>
      </c>
      <c r="D8" s="2" t="n">
        <v>0.1939</v>
      </c>
      <c r="E8" s="2" t="s">
        <v>45</v>
      </c>
      <c r="G8" s="39" t="n">
        <v>9</v>
      </c>
      <c r="H8" s="24" t="n">
        <v>6</v>
      </c>
      <c r="I8" s="25" t="n">
        <v>6</v>
      </c>
      <c r="J8" s="25" t="n">
        <v>6</v>
      </c>
      <c r="K8" s="26" t="n">
        <v>6</v>
      </c>
      <c r="L8" s="27" t="n">
        <v>24</v>
      </c>
      <c r="M8" s="27" t="n">
        <v>24</v>
      </c>
    </row>
    <row r="9" customFormat="false" ht="12.8" hidden="false" customHeight="false" outlineLevel="0" collapsed="false">
      <c r="B9" s="2" t="n">
        <v>3</v>
      </c>
      <c r="C9" s="37" t="s">
        <v>47</v>
      </c>
      <c r="D9" s="2" t="n">
        <v>0.1889</v>
      </c>
      <c r="E9" s="2" t="s">
        <v>45</v>
      </c>
      <c r="G9" s="39" t="n">
        <v>11</v>
      </c>
      <c r="H9" s="24" t="n">
        <v>6</v>
      </c>
      <c r="I9" s="25" t="n">
        <v>6</v>
      </c>
      <c r="J9" s="25" t="n">
        <v>4</v>
      </c>
      <c r="K9" s="26" t="n">
        <v>6</v>
      </c>
      <c r="L9" s="27" t="n">
        <v>22</v>
      </c>
      <c r="M9" s="27" t="n">
        <v>22</v>
      </c>
    </row>
    <row r="10" customFormat="false" ht="12.8" hidden="false" customHeight="false" outlineLevel="0" collapsed="false">
      <c r="B10" s="2" t="n">
        <v>3</v>
      </c>
      <c r="C10" s="37" t="s">
        <v>51</v>
      </c>
      <c r="D10" s="2" t="n">
        <v>0.1848</v>
      </c>
      <c r="E10" s="2" t="s">
        <v>45</v>
      </c>
      <c r="G10" s="39" t="n">
        <v>13</v>
      </c>
      <c r="H10" s="24" t="n">
        <v>6</v>
      </c>
      <c r="I10" s="25" t="n">
        <v>5</v>
      </c>
      <c r="J10" s="25" t="n">
        <v>6</v>
      </c>
      <c r="K10" s="26" t="n">
        <v>6</v>
      </c>
      <c r="L10" s="27" t="n">
        <v>23</v>
      </c>
      <c r="M10" s="27" t="n">
        <v>23</v>
      </c>
    </row>
    <row r="11" customFormat="false" ht="12.8" hidden="false" customHeight="false" outlineLevel="0" collapsed="false">
      <c r="B11" s="2" t="n">
        <v>3</v>
      </c>
      <c r="C11" s="37" t="s">
        <v>55</v>
      </c>
      <c r="D11" s="2" t="n">
        <v>0.1733</v>
      </c>
      <c r="E11" s="2" t="s">
        <v>45</v>
      </c>
      <c r="G11" s="39" t="n">
        <v>15</v>
      </c>
      <c r="H11" s="24" t="n">
        <v>6</v>
      </c>
      <c r="I11" s="25" t="n">
        <v>6</v>
      </c>
      <c r="J11" s="25" t="n">
        <v>6</v>
      </c>
      <c r="K11" s="26" t="n">
        <v>6</v>
      </c>
      <c r="L11" s="27" t="n">
        <v>24</v>
      </c>
      <c r="M11" s="27" t="n">
        <v>24</v>
      </c>
    </row>
    <row r="12" customFormat="false" ht="12.8" hidden="false" customHeight="false" outlineLevel="0" collapsed="false">
      <c r="B12" s="2" t="n">
        <v>3</v>
      </c>
      <c r="C12" s="37" t="s">
        <v>52</v>
      </c>
      <c r="D12" s="2" t="n">
        <v>0.1591</v>
      </c>
      <c r="E12" s="2" t="s">
        <v>45</v>
      </c>
      <c r="G12" s="39" t="n">
        <v>17</v>
      </c>
      <c r="H12" s="24" t="n">
        <v>6</v>
      </c>
      <c r="I12" s="25" t="n">
        <v>6</v>
      </c>
      <c r="J12" s="25" t="n">
        <v>6</v>
      </c>
      <c r="K12" s="26" t="n">
        <v>6</v>
      </c>
      <c r="L12" s="27" t="n">
        <v>24</v>
      </c>
      <c r="M12" s="27" t="n">
        <v>24</v>
      </c>
    </row>
    <row r="13" customFormat="false" ht="12.8" hidden="false" customHeight="false" outlineLevel="0" collapsed="false">
      <c r="B13" s="2" t="n">
        <v>3</v>
      </c>
      <c r="C13" s="37" t="s">
        <v>54</v>
      </c>
      <c r="D13" s="2" t="n">
        <v>0.1</v>
      </c>
      <c r="E13" s="2" t="s">
        <v>45</v>
      </c>
      <c r="G13" s="39" t="n">
        <v>19</v>
      </c>
      <c r="H13" s="24" t="n">
        <v>6</v>
      </c>
      <c r="I13" s="25" t="n">
        <v>6</v>
      </c>
      <c r="J13" s="25" t="n">
        <v>6</v>
      </c>
      <c r="K13" s="26" t="n">
        <v>6</v>
      </c>
      <c r="L13" s="27" t="n">
        <v>24</v>
      </c>
      <c r="M13" s="27" t="n">
        <v>24</v>
      </c>
    </row>
    <row r="14" customFormat="false" ht="12.8" hidden="false" customHeight="false" outlineLevel="0" collapsed="false">
      <c r="B14" s="2" t="n">
        <v>5</v>
      </c>
      <c r="C14" s="37" t="s">
        <v>44</v>
      </c>
      <c r="D14" s="2" t="n">
        <v>0.1939</v>
      </c>
      <c r="E14" s="2" t="s">
        <v>45</v>
      </c>
      <c r="G14" s="39" t="n">
        <v>21</v>
      </c>
      <c r="H14" s="24" t="n">
        <v>6</v>
      </c>
      <c r="I14" s="25" t="n">
        <v>5</v>
      </c>
      <c r="J14" s="25" t="n">
        <v>6</v>
      </c>
      <c r="K14" s="26" t="n">
        <v>4</v>
      </c>
      <c r="L14" s="27" t="n">
        <v>21</v>
      </c>
      <c r="M14" s="27" t="n">
        <v>21</v>
      </c>
    </row>
    <row r="15" customFormat="false" ht="12.8" hidden="false" customHeight="false" outlineLevel="0" collapsed="false">
      <c r="B15" s="2" t="n">
        <v>5</v>
      </c>
      <c r="C15" s="37" t="s">
        <v>47</v>
      </c>
      <c r="D15" s="2" t="n">
        <v>0.1901</v>
      </c>
      <c r="E15" s="2" t="s">
        <v>45</v>
      </c>
      <c r="G15" s="39" t="n">
        <v>23</v>
      </c>
      <c r="H15" s="24" t="n">
        <v>5</v>
      </c>
      <c r="I15" s="25" t="n">
        <v>4</v>
      </c>
      <c r="J15" s="25" t="n">
        <v>5</v>
      </c>
      <c r="K15" s="26" t="n">
        <v>4</v>
      </c>
      <c r="L15" s="27" t="n">
        <v>18</v>
      </c>
      <c r="M15" s="27" t="n">
        <v>18</v>
      </c>
    </row>
    <row r="16" customFormat="false" ht="12.8" hidden="false" customHeight="false" outlineLevel="0" collapsed="false">
      <c r="B16" s="2" t="n">
        <v>5</v>
      </c>
      <c r="C16" s="37" t="s">
        <v>51</v>
      </c>
      <c r="D16" s="2" t="n">
        <v>0.1834</v>
      </c>
      <c r="E16" s="2" t="s">
        <v>45</v>
      </c>
      <c r="G16" s="39" t="n">
        <v>25</v>
      </c>
      <c r="H16" s="24" t="n">
        <v>4</v>
      </c>
      <c r="I16" s="25" t="n">
        <v>4</v>
      </c>
      <c r="J16" s="25" t="n">
        <v>4</v>
      </c>
      <c r="K16" s="26" t="n">
        <v>3</v>
      </c>
      <c r="L16" s="27" t="n">
        <v>15</v>
      </c>
      <c r="M16" s="27" t="n">
        <v>15</v>
      </c>
    </row>
    <row r="17" customFormat="false" ht="12.8" hidden="false" customHeight="false" outlineLevel="0" collapsed="false">
      <c r="B17" s="2" t="n">
        <v>5</v>
      </c>
      <c r="C17" s="37" t="s">
        <v>52</v>
      </c>
      <c r="D17" s="2" t="n">
        <v>0.1777</v>
      </c>
      <c r="E17" s="2" t="s">
        <v>45</v>
      </c>
      <c r="G17" s="39" t="n">
        <v>27</v>
      </c>
      <c r="H17" s="24" t="n">
        <v>6</v>
      </c>
      <c r="I17" s="25" t="n">
        <v>6</v>
      </c>
      <c r="J17" s="25" t="n">
        <v>6</v>
      </c>
      <c r="K17" s="26" t="n">
        <v>6</v>
      </c>
      <c r="L17" s="27" t="n">
        <v>24</v>
      </c>
      <c r="M17" s="27" t="n">
        <v>24</v>
      </c>
    </row>
    <row r="18" customFormat="false" ht="12.8" hidden="false" customHeight="false" outlineLevel="0" collapsed="false">
      <c r="B18" s="2" t="n">
        <v>5</v>
      </c>
      <c r="C18" s="37" t="s">
        <v>56</v>
      </c>
      <c r="D18" s="2" t="n">
        <v>0.1549</v>
      </c>
      <c r="E18" s="2" t="s">
        <v>45</v>
      </c>
      <c r="G18" s="39" t="n">
        <v>29</v>
      </c>
      <c r="H18" s="24" t="n">
        <v>6</v>
      </c>
      <c r="I18" s="25" t="n">
        <v>6</v>
      </c>
      <c r="J18" s="25" t="n">
        <v>6</v>
      </c>
      <c r="K18" s="26" t="n">
        <v>6</v>
      </c>
      <c r="L18" s="27" t="n">
        <v>24</v>
      </c>
      <c r="M18" s="27" t="n">
        <v>24</v>
      </c>
    </row>
    <row r="19" customFormat="false" ht="12.8" hidden="false" customHeight="false" outlineLevel="0" collapsed="false">
      <c r="B19" s="2" t="n">
        <v>5</v>
      </c>
      <c r="C19" s="37" t="s">
        <v>54</v>
      </c>
      <c r="D19" s="2" t="n">
        <v>0.1</v>
      </c>
      <c r="E19" s="2" t="s">
        <v>45</v>
      </c>
      <c r="G19" s="39" t="n">
        <v>31</v>
      </c>
      <c r="H19" s="24" t="n">
        <v>4</v>
      </c>
      <c r="I19" s="25" t="n">
        <v>3</v>
      </c>
      <c r="J19" s="25" t="n">
        <v>4</v>
      </c>
      <c r="K19" s="26" t="n">
        <v>4</v>
      </c>
      <c r="L19" s="27" t="n">
        <v>15</v>
      </c>
      <c r="M19" s="27" t="n">
        <v>15</v>
      </c>
    </row>
    <row r="20" customFormat="false" ht="12.8" hidden="false" customHeight="false" outlineLevel="0" collapsed="false">
      <c r="B20" s="2" t="n">
        <v>7</v>
      </c>
      <c r="C20" s="37" t="s">
        <v>47</v>
      </c>
      <c r="D20" s="2" t="n">
        <v>0.2088</v>
      </c>
      <c r="E20" s="2" t="s">
        <v>45</v>
      </c>
      <c r="G20" s="39" t="n">
        <v>33</v>
      </c>
      <c r="H20" s="24" t="n">
        <v>6</v>
      </c>
      <c r="I20" s="25" t="n">
        <v>3</v>
      </c>
      <c r="J20" s="25" t="n">
        <v>5</v>
      </c>
      <c r="K20" s="26" t="n">
        <v>6</v>
      </c>
      <c r="L20" s="27" t="n">
        <v>20</v>
      </c>
      <c r="M20" s="27" t="n">
        <v>20</v>
      </c>
    </row>
    <row r="21" customFormat="false" ht="12.8" hidden="false" customHeight="false" outlineLevel="0" collapsed="false">
      <c r="B21" s="2" t="n">
        <v>7</v>
      </c>
      <c r="C21" s="37" t="s">
        <v>44</v>
      </c>
      <c r="D21" s="2" t="n">
        <v>0.1939</v>
      </c>
      <c r="E21" s="2" t="s">
        <v>45</v>
      </c>
      <c r="G21" s="39" t="n">
        <v>35</v>
      </c>
      <c r="H21" s="24" t="n">
        <v>6</v>
      </c>
      <c r="I21" s="25" t="n">
        <v>6</v>
      </c>
      <c r="J21" s="25" t="n">
        <v>6</v>
      </c>
      <c r="K21" s="26" t="n">
        <v>6</v>
      </c>
      <c r="L21" s="27" t="n">
        <v>24</v>
      </c>
      <c r="M21" s="27" t="n">
        <v>24</v>
      </c>
    </row>
    <row r="22" customFormat="false" ht="12.8" hidden="false" customHeight="false" outlineLevel="0" collapsed="false">
      <c r="B22" s="2" t="n">
        <v>7</v>
      </c>
      <c r="C22" s="37" t="s">
        <v>51</v>
      </c>
      <c r="D22" s="2" t="n">
        <v>0.1743</v>
      </c>
      <c r="E22" s="2" t="s">
        <v>45</v>
      </c>
      <c r="G22" s="39" t="n">
        <v>37</v>
      </c>
      <c r="H22" s="24" t="n">
        <v>6</v>
      </c>
      <c r="I22" s="25" t="n">
        <v>6</v>
      </c>
      <c r="J22" s="25" t="n">
        <v>6</v>
      </c>
      <c r="K22" s="26" t="n">
        <v>6</v>
      </c>
      <c r="L22" s="27" t="n">
        <v>24</v>
      </c>
      <c r="M22" s="27" t="n">
        <v>24</v>
      </c>
    </row>
    <row r="23" customFormat="false" ht="12.8" hidden="false" customHeight="false" outlineLevel="0" collapsed="false">
      <c r="B23" s="2" t="n">
        <v>7</v>
      </c>
      <c r="C23" s="37" t="s">
        <v>53</v>
      </c>
      <c r="D23" s="2" t="n">
        <v>0.1635</v>
      </c>
      <c r="E23" s="2" t="s">
        <v>45</v>
      </c>
      <c r="G23" s="39" t="n">
        <v>39</v>
      </c>
      <c r="H23" s="24" t="n">
        <v>6</v>
      </c>
      <c r="I23" s="25" t="n">
        <v>3</v>
      </c>
      <c r="J23" s="25" t="n">
        <v>6</v>
      </c>
      <c r="K23" s="26" t="n">
        <v>5</v>
      </c>
      <c r="L23" s="27" t="n">
        <v>20</v>
      </c>
      <c r="M23" s="27" t="n">
        <v>20</v>
      </c>
    </row>
    <row r="24" customFormat="false" ht="12.8" hidden="false" customHeight="false" outlineLevel="0" collapsed="false">
      <c r="B24" s="2" t="n">
        <v>7</v>
      </c>
      <c r="C24" s="37" t="s">
        <v>57</v>
      </c>
      <c r="D24" s="2" t="n">
        <v>0.1595</v>
      </c>
      <c r="E24" s="2" t="s">
        <v>45</v>
      </c>
      <c r="G24" s="39" t="n">
        <v>41</v>
      </c>
      <c r="H24" s="24" t="n">
        <v>6</v>
      </c>
      <c r="I24" s="25" t="n">
        <v>4</v>
      </c>
      <c r="J24" s="25" t="n">
        <v>5</v>
      </c>
      <c r="K24" s="26" t="n">
        <v>6</v>
      </c>
      <c r="L24" s="27" t="n">
        <v>21</v>
      </c>
      <c r="M24" s="27" t="n">
        <v>21</v>
      </c>
    </row>
    <row r="25" customFormat="false" ht="12.8" hidden="false" customHeight="false" outlineLevel="0" collapsed="false">
      <c r="B25" s="2" t="n">
        <v>7</v>
      </c>
      <c r="C25" s="37" t="s">
        <v>54</v>
      </c>
      <c r="D25" s="2" t="n">
        <v>0.1</v>
      </c>
      <c r="E25" s="2" t="s">
        <v>45</v>
      </c>
      <c r="G25" s="39" t="n">
        <v>43</v>
      </c>
      <c r="H25" s="24" t="n">
        <v>6</v>
      </c>
      <c r="I25" s="25" t="n">
        <v>6</v>
      </c>
      <c r="J25" s="25" t="n">
        <v>6</v>
      </c>
      <c r="K25" s="26" t="n">
        <v>6</v>
      </c>
      <c r="L25" s="27" t="n">
        <v>24</v>
      </c>
      <c r="M25" s="27" t="n">
        <v>24</v>
      </c>
    </row>
    <row r="26" customFormat="false" ht="12.8" hidden="false" customHeight="false" outlineLevel="0" collapsed="false">
      <c r="B26" s="2" t="n">
        <v>9</v>
      </c>
      <c r="C26" s="37" t="s">
        <v>44</v>
      </c>
      <c r="D26" s="2" t="n">
        <v>0.1979</v>
      </c>
      <c r="E26" s="2" t="s">
        <v>45</v>
      </c>
      <c r="G26" s="39" t="n">
        <v>45</v>
      </c>
      <c r="H26" s="24" t="n">
        <v>6</v>
      </c>
      <c r="I26" s="25" t="n">
        <v>6</v>
      </c>
      <c r="J26" s="25" t="n">
        <v>6</v>
      </c>
      <c r="K26" s="26" t="n">
        <v>6</v>
      </c>
      <c r="L26" s="27" t="n">
        <v>24</v>
      </c>
      <c r="M26" s="27" t="n">
        <v>24</v>
      </c>
    </row>
    <row r="27" customFormat="false" ht="12.8" hidden="false" customHeight="false" outlineLevel="0" collapsed="false">
      <c r="B27" s="2" t="n">
        <v>9</v>
      </c>
      <c r="C27" s="37" t="s">
        <v>47</v>
      </c>
      <c r="D27" s="2" t="n">
        <v>0.1907</v>
      </c>
      <c r="E27" s="2" t="s">
        <v>45</v>
      </c>
      <c r="G27" s="39" t="n">
        <v>47</v>
      </c>
      <c r="H27" s="24" t="n">
        <v>3</v>
      </c>
      <c r="I27" s="25" t="n">
        <v>4</v>
      </c>
      <c r="J27" s="25" t="n">
        <v>4</v>
      </c>
      <c r="K27" s="26" t="n">
        <v>5</v>
      </c>
      <c r="L27" s="27" t="n">
        <v>16</v>
      </c>
      <c r="M27" s="27" t="n">
        <v>16</v>
      </c>
    </row>
    <row r="28" customFormat="false" ht="12.8" hidden="false" customHeight="false" outlineLevel="0" collapsed="false">
      <c r="B28" s="2" t="n">
        <v>9</v>
      </c>
      <c r="C28" s="37" t="s">
        <v>55</v>
      </c>
      <c r="D28" s="2" t="n">
        <v>0.1757</v>
      </c>
      <c r="E28" s="2" t="s">
        <v>45</v>
      </c>
      <c r="G28" s="39" t="n">
        <v>49</v>
      </c>
      <c r="H28" s="28" t="n">
        <v>6</v>
      </c>
      <c r="I28" s="29" t="n">
        <v>6</v>
      </c>
      <c r="J28" s="29" t="n">
        <v>6</v>
      </c>
      <c r="K28" s="30" t="n">
        <v>6</v>
      </c>
      <c r="L28" s="31" t="n">
        <v>24</v>
      </c>
      <c r="M28" s="31" t="n">
        <v>24</v>
      </c>
    </row>
    <row r="29" customFormat="false" ht="12.8" hidden="false" customHeight="false" outlineLevel="0" collapsed="false">
      <c r="B29" s="2" t="n">
        <v>9</v>
      </c>
      <c r="C29" s="37" t="s">
        <v>52</v>
      </c>
      <c r="D29" s="2" t="n">
        <v>0.1723</v>
      </c>
      <c r="E29" s="2" t="s">
        <v>45</v>
      </c>
      <c r="G29" s="40" t="s">
        <v>39</v>
      </c>
      <c r="H29" s="33" t="n">
        <v>142</v>
      </c>
      <c r="I29" s="34" t="n">
        <v>131</v>
      </c>
      <c r="J29" s="34" t="n">
        <v>139</v>
      </c>
      <c r="K29" s="35" t="n">
        <v>139</v>
      </c>
      <c r="L29" s="36" t="n">
        <v>551</v>
      </c>
      <c r="M29" s="36" t="n">
        <v>551</v>
      </c>
    </row>
    <row r="30" customFormat="false" ht="12.8" hidden="false" customHeight="false" outlineLevel="0" collapsed="false">
      <c r="B30" s="2" t="n">
        <v>9</v>
      </c>
      <c r="C30" s="37" t="s">
        <v>51</v>
      </c>
      <c r="D30" s="2" t="n">
        <v>0.1634</v>
      </c>
      <c r="E30" s="2" t="s">
        <v>45</v>
      </c>
      <c r="H30" s="2"/>
      <c r="I30" s="2"/>
      <c r="J30" s="2"/>
      <c r="K30" s="2"/>
      <c r="L30" s="2"/>
    </row>
    <row r="31" customFormat="false" ht="12.8" hidden="false" customHeight="false" outlineLevel="0" collapsed="false">
      <c r="B31" s="2" t="n">
        <v>9</v>
      </c>
      <c r="C31" s="37" t="s">
        <v>54</v>
      </c>
      <c r="D31" s="2" t="n">
        <v>0.1</v>
      </c>
      <c r="E31" s="2" t="s">
        <v>45</v>
      </c>
    </row>
    <row r="32" customFormat="false" ht="12.8" hidden="false" customHeight="false" outlineLevel="0" collapsed="false">
      <c r="B32" s="2" t="n">
        <v>11</v>
      </c>
      <c r="C32" s="37" t="s">
        <v>44</v>
      </c>
      <c r="D32" s="2" t="n">
        <v>0.3091</v>
      </c>
      <c r="E32" s="2" t="s">
        <v>45</v>
      </c>
    </row>
    <row r="33" customFormat="false" ht="12.8" hidden="false" customHeight="false" outlineLevel="0" collapsed="false">
      <c r="B33" s="2" t="n">
        <v>11</v>
      </c>
      <c r="C33" s="37" t="s">
        <v>47</v>
      </c>
      <c r="D33" s="2" t="n">
        <v>0.3023</v>
      </c>
      <c r="E33" s="2" t="s">
        <v>45</v>
      </c>
      <c r="G33" s="41"/>
      <c r="H33" s="42"/>
      <c r="I33" s="11" t="s">
        <v>43</v>
      </c>
      <c r="J33" s="12"/>
      <c r="K33" s="12"/>
      <c r="L33" s="12"/>
      <c r="M33" s="13"/>
    </row>
    <row r="34" customFormat="false" ht="12.8" hidden="false" customHeight="false" outlineLevel="0" collapsed="false">
      <c r="B34" s="2" t="n">
        <v>11</v>
      </c>
      <c r="C34" s="37" t="s">
        <v>51</v>
      </c>
      <c r="D34" s="2" t="n">
        <v>0.2886</v>
      </c>
      <c r="E34" s="2" t="s">
        <v>45</v>
      </c>
      <c r="G34" s="14" t="s">
        <v>41</v>
      </c>
      <c r="H34" s="43" t="s">
        <v>58</v>
      </c>
      <c r="I34" s="15" t="s">
        <v>48</v>
      </c>
      <c r="J34" s="16" t="s">
        <v>49</v>
      </c>
      <c r="K34" s="16" t="s">
        <v>50</v>
      </c>
      <c r="L34" s="16" t="s">
        <v>45</v>
      </c>
      <c r="M34" s="17" t="s">
        <v>39</v>
      </c>
    </row>
    <row r="35" customFormat="false" ht="12.8" hidden="false" customHeight="false" outlineLevel="0" collapsed="false">
      <c r="B35" s="2" t="n">
        <v>11</v>
      </c>
      <c r="C35" s="37" t="s">
        <v>54</v>
      </c>
      <c r="D35" s="2" t="n">
        <v>0.1</v>
      </c>
      <c r="E35" s="2" t="s">
        <v>45</v>
      </c>
      <c r="G35" s="18" t="s">
        <v>52</v>
      </c>
      <c r="H35" s="44" t="s">
        <v>59</v>
      </c>
      <c r="I35" s="45" t="n">
        <v>20</v>
      </c>
      <c r="J35" s="46" t="n">
        <v>18</v>
      </c>
      <c r="K35" s="46" t="n">
        <v>24</v>
      </c>
      <c r="L35" s="47" t="n">
        <v>17</v>
      </c>
      <c r="M35" s="48" t="n">
        <v>79</v>
      </c>
    </row>
    <row r="36" customFormat="false" ht="12.8" hidden="false" customHeight="false" outlineLevel="0" collapsed="false">
      <c r="B36" s="2" t="n">
        <v>13</v>
      </c>
      <c r="C36" s="37" t="s">
        <v>44</v>
      </c>
      <c r="D36" s="2" t="n">
        <v>0.2042</v>
      </c>
      <c r="E36" s="2" t="s">
        <v>45</v>
      </c>
      <c r="G36" s="49"/>
      <c r="H36" s="50" t="s">
        <v>60</v>
      </c>
      <c r="I36" s="51" t="n">
        <v>0.175175</v>
      </c>
      <c r="J36" s="52" t="n">
        <v>0.187722222222222</v>
      </c>
      <c r="K36" s="52" t="n">
        <v>0.2031875</v>
      </c>
      <c r="L36" s="53" t="n">
        <v>0.178070588235294</v>
      </c>
      <c r="M36" s="54" t="n">
        <v>0.187167088607595</v>
      </c>
    </row>
    <row r="37" customFormat="false" ht="12.8" hidden="false" customHeight="false" outlineLevel="0" collapsed="false">
      <c r="B37" s="2" t="n">
        <v>13</v>
      </c>
      <c r="C37" s="37" t="s">
        <v>51</v>
      </c>
      <c r="D37" s="2" t="n">
        <v>0.1944</v>
      </c>
      <c r="E37" s="2" t="s">
        <v>45</v>
      </c>
      <c r="G37" s="18" t="s">
        <v>57</v>
      </c>
      <c r="H37" s="44" t="s">
        <v>59</v>
      </c>
      <c r="I37" s="46" t="n">
        <v>1</v>
      </c>
      <c r="J37" s="46" t="n">
        <v>1</v>
      </c>
      <c r="K37" s="20"/>
      <c r="L37" s="46" t="n">
        <v>2</v>
      </c>
      <c r="M37" s="48" t="n">
        <v>4</v>
      </c>
    </row>
    <row r="38" customFormat="false" ht="12.8" hidden="false" customHeight="false" outlineLevel="0" collapsed="false">
      <c r="B38" s="2" t="n">
        <v>13</v>
      </c>
      <c r="C38" s="37" t="s">
        <v>47</v>
      </c>
      <c r="D38" s="2" t="n">
        <v>0.1911</v>
      </c>
      <c r="E38" s="2" t="s">
        <v>45</v>
      </c>
      <c r="G38" s="49"/>
      <c r="H38" s="50" t="s">
        <v>60</v>
      </c>
      <c r="I38" s="52" t="n">
        <v>0.1711</v>
      </c>
      <c r="J38" s="52" t="n">
        <v>0.2002</v>
      </c>
      <c r="K38" s="29"/>
      <c r="L38" s="52" t="n">
        <v>0.16385</v>
      </c>
      <c r="M38" s="54" t="n">
        <v>0.17475</v>
      </c>
    </row>
    <row r="39" customFormat="false" ht="12.8" hidden="false" customHeight="false" outlineLevel="0" collapsed="false">
      <c r="B39" s="2" t="n">
        <v>13</v>
      </c>
      <c r="C39" s="37" t="s">
        <v>52</v>
      </c>
      <c r="D39" s="2" t="n">
        <v>0.1553</v>
      </c>
      <c r="E39" s="2" t="s">
        <v>45</v>
      </c>
      <c r="G39" s="18" t="s">
        <v>61</v>
      </c>
      <c r="H39" s="44" t="s">
        <v>59</v>
      </c>
      <c r="I39" s="19"/>
      <c r="J39" s="46" t="n">
        <v>1</v>
      </c>
      <c r="K39" s="46" t="n">
        <v>2</v>
      </c>
      <c r="L39" s="21"/>
      <c r="M39" s="48" t="n">
        <v>3</v>
      </c>
    </row>
    <row r="40" customFormat="false" ht="12.8" hidden="false" customHeight="false" outlineLevel="0" collapsed="false">
      <c r="B40" s="2" t="n">
        <v>13</v>
      </c>
      <c r="C40" s="37" t="s">
        <v>55</v>
      </c>
      <c r="D40" s="2" t="n">
        <v>0.1549</v>
      </c>
      <c r="E40" s="2" t="s">
        <v>45</v>
      </c>
      <c r="G40" s="49"/>
      <c r="H40" s="50" t="s">
        <v>60</v>
      </c>
      <c r="I40" s="28"/>
      <c r="J40" s="52" t="n">
        <v>0.1772</v>
      </c>
      <c r="K40" s="52" t="n">
        <v>0.15575</v>
      </c>
      <c r="L40" s="30"/>
      <c r="M40" s="54" t="n">
        <v>0.1629</v>
      </c>
    </row>
    <row r="41" customFormat="false" ht="12.8" hidden="false" customHeight="false" outlineLevel="0" collapsed="false">
      <c r="B41" s="2" t="n">
        <v>13</v>
      </c>
      <c r="C41" s="37" t="s">
        <v>54</v>
      </c>
      <c r="D41" s="2" t="n">
        <v>0.1</v>
      </c>
      <c r="E41" s="2" t="s">
        <v>45</v>
      </c>
      <c r="G41" s="18" t="s">
        <v>53</v>
      </c>
      <c r="H41" s="44" t="s">
        <v>59</v>
      </c>
      <c r="I41" s="46" t="n">
        <v>6</v>
      </c>
      <c r="J41" s="46" t="n">
        <v>18</v>
      </c>
      <c r="K41" s="46" t="n">
        <v>19</v>
      </c>
      <c r="L41" s="46" t="n">
        <v>10</v>
      </c>
      <c r="M41" s="48" t="n">
        <v>53</v>
      </c>
    </row>
    <row r="42" customFormat="false" ht="12.8" hidden="false" customHeight="false" outlineLevel="0" collapsed="false">
      <c r="B42" s="2" t="n">
        <v>15</v>
      </c>
      <c r="C42" s="37" t="s">
        <v>52</v>
      </c>
      <c r="D42" s="2" t="n">
        <v>0.186</v>
      </c>
      <c r="E42" s="2" t="s">
        <v>45</v>
      </c>
      <c r="G42" s="49"/>
      <c r="H42" s="50" t="s">
        <v>60</v>
      </c>
      <c r="I42" s="52" t="n">
        <v>0.15935</v>
      </c>
      <c r="J42" s="52" t="n">
        <v>0.173316666666667</v>
      </c>
      <c r="K42" s="52" t="n">
        <v>0.166094736842105</v>
      </c>
      <c r="L42" s="52" t="n">
        <v>0.16556</v>
      </c>
      <c r="M42" s="54" t="n">
        <v>0.167683018867925</v>
      </c>
    </row>
    <row r="43" customFormat="false" ht="12.8" hidden="false" customHeight="false" outlineLevel="0" collapsed="false">
      <c r="B43" s="2" t="n">
        <v>15</v>
      </c>
      <c r="C43" s="37" t="s">
        <v>44</v>
      </c>
      <c r="D43" s="2" t="n">
        <v>0.184</v>
      </c>
      <c r="E43" s="2" t="s">
        <v>45</v>
      </c>
      <c r="G43" s="18" t="s">
        <v>51</v>
      </c>
      <c r="H43" s="44" t="s">
        <v>59</v>
      </c>
      <c r="I43" s="45" t="n">
        <v>21</v>
      </c>
      <c r="J43" s="46" t="n">
        <v>16</v>
      </c>
      <c r="K43" s="46" t="n">
        <v>16</v>
      </c>
      <c r="L43" s="47" t="n">
        <v>24</v>
      </c>
      <c r="M43" s="48" t="n">
        <v>77</v>
      </c>
    </row>
    <row r="44" customFormat="false" ht="12.8" hidden="false" customHeight="false" outlineLevel="0" collapsed="false">
      <c r="B44" s="2" t="n">
        <v>15</v>
      </c>
      <c r="C44" s="37" t="s">
        <v>47</v>
      </c>
      <c r="D44" s="2" t="n">
        <v>0.1797</v>
      </c>
      <c r="E44" s="2" t="s">
        <v>45</v>
      </c>
      <c r="G44" s="49"/>
      <c r="H44" s="50" t="s">
        <v>60</v>
      </c>
      <c r="I44" s="51" t="n">
        <v>0.170647619047619</v>
      </c>
      <c r="J44" s="52" t="n">
        <v>0.16456875</v>
      </c>
      <c r="K44" s="52" t="n">
        <v>0.1561375</v>
      </c>
      <c r="L44" s="53" t="n">
        <v>0.197875</v>
      </c>
      <c r="M44" s="54" t="n">
        <v>0.174855844155844</v>
      </c>
    </row>
    <row r="45" customFormat="false" ht="12.8" hidden="false" customHeight="false" outlineLevel="0" collapsed="false">
      <c r="B45" s="2" t="n">
        <v>15</v>
      </c>
      <c r="C45" s="37" t="s">
        <v>51</v>
      </c>
      <c r="D45" s="2" t="n">
        <v>0.1787</v>
      </c>
      <c r="E45" s="2" t="s">
        <v>45</v>
      </c>
      <c r="G45" s="18" t="s">
        <v>62</v>
      </c>
      <c r="H45" s="44" t="s">
        <v>59</v>
      </c>
      <c r="I45" s="46" t="n">
        <v>1</v>
      </c>
      <c r="J45" s="46" t="n">
        <v>1</v>
      </c>
      <c r="K45" s="46" t="n">
        <v>1</v>
      </c>
      <c r="L45" s="46" t="n">
        <v>2</v>
      </c>
      <c r="M45" s="48" t="n">
        <v>5</v>
      </c>
    </row>
    <row r="46" customFormat="false" ht="12.8" hidden="false" customHeight="false" outlineLevel="0" collapsed="false">
      <c r="B46" s="2" t="n">
        <v>15</v>
      </c>
      <c r="C46" s="37" t="s">
        <v>55</v>
      </c>
      <c r="D46" s="2" t="n">
        <v>0.1716</v>
      </c>
      <c r="E46" s="2" t="s">
        <v>45</v>
      </c>
      <c r="G46" s="49"/>
      <c r="H46" s="50" t="s">
        <v>60</v>
      </c>
      <c r="I46" s="52" t="n">
        <v>0.1616</v>
      </c>
      <c r="J46" s="52" t="n">
        <v>0.1628</v>
      </c>
      <c r="K46" s="52" t="n">
        <v>0.1625</v>
      </c>
      <c r="L46" s="52" t="n">
        <v>0.1531</v>
      </c>
      <c r="M46" s="54" t="n">
        <v>0.15862</v>
      </c>
    </row>
    <row r="47" customFormat="false" ht="12.8" hidden="false" customHeight="false" outlineLevel="0" collapsed="false">
      <c r="B47" s="2" t="n">
        <v>15</v>
      </c>
      <c r="C47" s="37" t="s">
        <v>54</v>
      </c>
      <c r="D47" s="2" t="n">
        <v>0.1</v>
      </c>
      <c r="E47" s="2" t="s">
        <v>45</v>
      </c>
      <c r="G47" s="18" t="s">
        <v>44</v>
      </c>
      <c r="H47" s="44" t="s">
        <v>59</v>
      </c>
      <c r="I47" s="45" t="n">
        <v>25</v>
      </c>
      <c r="J47" s="46" t="n">
        <v>25</v>
      </c>
      <c r="K47" s="46" t="n">
        <v>25</v>
      </c>
      <c r="L47" s="47" t="n">
        <v>25</v>
      </c>
      <c r="M47" s="48" t="n">
        <v>100</v>
      </c>
    </row>
    <row r="48" customFormat="false" ht="12.8" hidden="false" customHeight="false" outlineLevel="0" collapsed="false">
      <c r="B48" s="2" t="n">
        <v>17</v>
      </c>
      <c r="C48" s="37" t="s">
        <v>47</v>
      </c>
      <c r="D48" s="2" t="n">
        <v>0.2097</v>
      </c>
      <c r="E48" s="2" t="s">
        <v>45</v>
      </c>
      <c r="G48" s="49"/>
      <c r="H48" s="50" t="s">
        <v>60</v>
      </c>
      <c r="I48" s="51" t="n">
        <v>0.23228</v>
      </c>
      <c r="J48" s="52" t="n">
        <v>0.264</v>
      </c>
      <c r="K48" s="52" t="n">
        <v>0.24388</v>
      </c>
      <c r="L48" s="53" t="n">
        <v>0.219052</v>
      </c>
      <c r="M48" s="54" t="n">
        <v>0.239803</v>
      </c>
    </row>
    <row r="49" customFormat="false" ht="12.8" hidden="false" customHeight="false" outlineLevel="0" collapsed="false">
      <c r="B49" s="2" t="n">
        <v>17</v>
      </c>
      <c r="C49" s="37" t="s">
        <v>44</v>
      </c>
      <c r="D49" s="2" t="n">
        <v>0.1892</v>
      </c>
      <c r="E49" s="2" t="s">
        <v>45</v>
      </c>
      <c r="G49" s="18" t="s">
        <v>56</v>
      </c>
      <c r="H49" s="44" t="s">
        <v>59</v>
      </c>
      <c r="I49" s="46" t="n">
        <v>1</v>
      </c>
      <c r="J49" s="20"/>
      <c r="K49" s="46" t="n">
        <v>1</v>
      </c>
      <c r="L49" s="46" t="n">
        <v>3</v>
      </c>
      <c r="M49" s="48" t="n">
        <v>5</v>
      </c>
    </row>
    <row r="50" customFormat="false" ht="12.8" hidden="false" customHeight="false" outlineLevel="0" collapsed="false">
      <c r="B50" s="2" t="n">
        <v>17</v>
      </c>
      <c r="C50" s="37" t="s">
        <v>51</v>
      </c>
      <c r="D50" s="2" t="n">
        <v>0.1689</v>
      </c>
      <c r="E50" s="2" t="s">
        <v>45</v>
      </c>
      <c r="G50" s="49"/>
      <c r="H50" s="50" t="s">
        <v>60</v>
      </c>
      <c r="I50" s="52" t="n">
        <v>0.1614</v>
      </c>
      <c r="J50" s="29"/>
      <c r="K50" s="52" t="n">
        <v>0.1484</v>
      </c>
      <c r="L50" s="52" t="n">
        <v>0.164233333333333</v>
      </c>
      <c r="M50" s="54" t="n">
        <v>0.1605</v>
      </c>
    </row>
    <row r="51" customFormat="false" ht="12.8" hidden="false" customHeight="false" outlineLevel="0" collapsed="false">
      <c r="B51" s="2" t="n">
        <v>17</v>
      </c>
      <c r="C51" s="37" t="s">
        <v>52</v>
      </c>
      <c r="D51" s="2" t="n">
        <v>0.1672</v>
      </c>
      <c r="E51" s="2" t="s">
        <v>45</v>
      </c>
      <c r="G51" s="18" t="s">
        <v>55</v>
      </c>
      <c r="H51" s="44" t="s">
        <v>59</v>
      </c>
      <c r="I51" s="45" t="n">
        <v>18</v>
      </c>
      <c r="J51" s="46" t="n">
        <v>1</v>
      </c>
      <c r="K51" s="46" t="n">
        <v>2</v>
      </c>
      <c r="L51" s="47" t="n">
        <v>6</v>
      </c>
      <c r="M51" s="48" t="n">
        <v>27</v>
      </c>
    </row>
    <row r="52" customFormat="false" ht="12.8" hidden="false" customHeight="false" outlineLevel="0" collapsed="false">
      <c r="B52" s="2" t="n">
        <v>17</v>
      </c>
      <c r="C52" s="37" t="s">
        <v>53</v>
      </c>
      <c r="D52" s="2" t="n">
        <v>0.1649</v>
      </c>
      <c r="E52" s="2" t="s">
        <v>45</v>
      </c>
      <c r="G52" s="49"/>
      <c r="H52" s="50" t="s">
        <v>60</v>
      </c>
      <c r="I52" s="51" t="n">
        <v>0.1731</v>
      </c>
      <c r="J52" s="52" t="n">
        <v>0.1529</v>
      </c>
      <c r="K52" s="52" t="n">
        <v>0.1544</v>
      </c>
      <c r="L52" s="53" t="n">
        <v>0.165066666666667</v>
      </c>
      <c r="M52" s="54" t="n">
        <v>0.169181481481482</v>
      </c>
    </row>
    <row r="53" customFormat="false" ht="12.8" hidden="false" customHeight="false" outlineLevel="0" collapsed="false">
      <c r="B53" s="2" t="n">
        <v>17</v>
      </c>
      <c r="C53" s="37" t="s">
        <v>54</v>
      </c>
      <c r="D53" s="2" t="n">
        <v>0.1</v>
      </c>
      <c r="E53" s="2" t="s">
        <v>45</v>
      </c>
      <c r="G53" s="18" t="s">
        <v>47</v>
      </c>
      <c r="H53" s="44" t="s">
        <v>59</v>
      </c>
      <c r="I53" s="46" t="n">
        <v>24</v>
      </c>
      <c r="J53" s="46" t="n">
        <v>25</v>
      </c>
      <c r="K53" s="46" t="n">
        <v>24</v>
      </c>
      <c r="L53" s="46" t="n">
        <v>25</v>
      </c>
      <c r="M53" s="48" t="n">
        <v>98</v>
      </c>
    </row>
    <row r="54" customFormat="false" ht="12.8" hidden="false" customHeight="false" outlineLevel="0" collapsed="false">
      <c r="B54" s="2" t="n">
        <v>19</v>
      </c>
      <c r="C54" s="37" t="s">
        <v>47</v>
      </c>
      <c r="D54" s="2" t="n">
        <v>0.2016</v>
      </c>
      <c r="E54" s="2" t="s">
        <v>45</v>
      </c>
      <c r="G54" s="49"/>
      <c r="H54" s="50" t="s">
        <v>60</v>
      </c>
      <c r="I54" s="52" t="n">
        <v>0.210016666666667</v>
      </c>
      <c r="J54" s="52" t="n">
        <v>0.243012</v>
      </c>
      <c r="K54" s="52" t="n">
        <v>0.2058875</v>
      </c>
      <c r="L54" s="52" t="n">
        <v>0.218992</v>
      </c>
      <c r="M54" s="54" t="n">
        <v>0.219712244897959</v>
      </c>
    </row>
    <row r="55" customFormat="false" ht="12.8" hidden="false" customHeight="false" outlineLevel="0" collapsed="false">
      <c r="B55" s="2" t="n">
        <v>19</v>
      </c>
      <c r="C55" s="37" t="s">
        <v>44</v>
      </c>
      <c r="D55" s="2" t="n">
        <v>0.1941</v>
      </c>
      <c r="E55" s="2" t="s">
        <v>45</v>
      </c>
      <c r="G55" s="18" t="s">
        <v>54</v>
      </c>
      <c r="H55" s="44" t="s">
        <v>59</v>
      </c>
      <c r="I55" s="45" t="n">
        <v>25</v>
      </c>
      <c r="J55" s="46" t="n">
        <v>25</v>
      </c>
      <c r="K55" s="46" t="n">
        <v>25</v>
      </c>
      <c r="L55" s="47" t="n">
        <v>25</v>
      </c>
      <c r="M55" s="48" t="n">
        <v>100</v>
      </c>
    </row>
    <row r="56" customFormat="false" ht="12.8" hidden="false" customHeight="false" outlineLevel="0" collapsed="false">
      <c r="B56" s="2" t="n">
        <v>19</v>
      </c>
      <c r="C56" s="37" t="s">
        <v>51</v>
      </c>
      <c r="D56" s="2" t="n">
        <v>0.1864</v>
      </c>
      <c r="E56" s="2" t="s">
        <v>45</v>
      </c>
      <c r="G56" s="49"/>
      <c r="H56" s="50" t="s">
        <v>60</v>
      </c>
      <c r="I56" s="51" t="n">
        <v>0.1</v>
      </c>
      <c r="J56" s="52" t="n">
        <v>0.1</v>
      </c>
      <c r="K56" s="52" t="n">
        <v>0.1</v>
      </c>
      <c r="L56" s="53" t="n">
        <v>0.1</v>
      </c>
      <c r="M56" s="54" t="n">
        <v>0.0999999999999998</v>
      </c>
    </row>
    <row r="57" customFormat="false" ht="12.8" hidden="false" customHeight="false" outlineLevel="0" collapsed="false">
      <c r="B57" s="2" t="n">
        <v>19</v>
      </c>
      <c r="C57" s="37" t="s">
        <v>53</v>
      </c>
      <c r="D57" s="2" t="n">
        <v>0.1594</v>
      </c>
      <c r="E57" s="2" t="s">
        <v>45</v>
      </c>
      <c r="G57" s="55" t="s">
        <v>63</v>
      </c>
      <c r="H57" s="56"/>
      <c r="I57" s="57" t="n">
        <v>142</v>
      </c>
      <c r="J57" s="57" t="n">
        <v>131</v>
      </c>
      <c r="K57" s="57" t="n">
        <v>139</v>
      </c>
      <c r="L57" s="57" t="n">
        <v>139</v>
      </c>
      <c r="M57" s="58" t="n">
        <v>551</v>
      </c>
    </row>
    <row r="58" customFormat="false" ht="12.8" hidden="false" customHeight="false" outlineLevel="0" collapsed="false">
      <c r="B58" s="2" t="n">
        <v>19</v>
      </c>
      <c r="C58" s="37" t="s">
        <v>52</v>
      </c>
      <c r="D58" s="2" t="n">
        <v>0.1585</v>
      </c>
      <c r="E58" s="2" t="s">
        <v>45</v>
      </c>
      <c r="G58" s="59" t="s">
        <v>64</v>
      </c>
      <c r="H58" s="60"/>
      <c r="I58" s="61" t="n">
        <v>0.17605985915493</v>
      </c>
      <c r="J58" s="62" t="n">
        <v>0.190841221374046</v>
      </c>
      <c r="K58" s="62" t="n">
        <v>0.179856115107914</v>
      </c>
      <c r="L58" s="63" t="n">
        <v>0.179855395683453</v>
      </c>
      <c r="M58" s="64" t="n">
        <v>0.181489292196007</v>
      </c>
    </row>
    <row r="59" customFormat="false" ht="12.8" hidden="false" customHeight="false" outlineLevel="0" collapsed="false">
      <c r="B59" s="2" t="n">
        <v>19</v>
      </c>
      <c r="C59" s="37" t="s">
        <v>54</v>
      </c>
      <c r="D59" s="2" t="n">
        <v>0.1</v>
      </c>
      <c r="E59" s="2" t="s">
        <v>45</v>
      </c>
      <c r="G59" s="9"/>
      <c r="H59" s="9"/>
      <c r="I59" s="9"/>
      <c r="J59" s="9"/>
      <c r="K59" s="9"/>
      <c r="L59" s="9"/>
      <c r="M59" s="9"/>
    </row>
    <row r="60" customFormat="false" ht="12.8" hidden="false" customHeight="false" outlineLevel="0" collapsed="false">
      <c r="B60" s="2" t="n">
        <v>21</v>
      </c>
      <c r="C60" s="37" t="s">
        <v>47</v>
      </c>
      <c r="D60" s="2" t="n">
        <v>0.1996</v>
      </c>
      <c r="E60" s="2" t="s">
        <v>45</v>
      </c>
      <c r="G60" s="9"/>
      <c r="H60" s="9"/>
      <c r="I60" s="9"/>
      <c r="J60" s="9"/>
      <c r="K60" s="9"/>
      <c r="L60" s="9"/>
      <c r="M60" s="9"/>
    </row>
    <row r="61" customFormat="false" ht="12.8" hidden="false" customHeight="false" outlineLevel="0" collapsed="false">
      <c r="B61" s="2" t="n">
        <v>21</v>
      </c>
      <c r="C61" s="37" t="s">
        <v>51</v>
      </c>
      <c r="D61" s="2" t="n">
        <v>0.1852</v>
      </c>
      <c r="E61" s="2" t="s">
        <v>45</v>
      </c>
      <c r="G61" s="10" t="s">
        <v>59</v>
      </c>
      <c r="H61" s="11" t="s">
        <v>43</v>
      </c>
      <c r="I61" s="12"/>
      <c r="J61" s="12"/>
      <c r="K61" s="12"/>
      <c r="L61" s="13"/>
      <c r="M61" s="9"/>
    </row>
    <row r="62" customFormat="false" ht="12.8" hidden="false" customHeight="false" outlineLevel="0" collapsed="false">
      <c r="B62" s="2" t="n">
        <v>21</v>
      </c>
      <c r="C62" s="37" t="s">
        <v>44</v>
      </c>
      <c r="D62" s="2" t="n">
        <v>0.176</v>
      </c>
      <c r="E62" s="2" t="s">
        <v>45</v>
      </c>
      <c r="G62" s="14" t="s">
        <v>41</v>
      </c>
      <c r="H62" s="65" t="s">
        <v>48</v>
      </c>
      <c r="I62" s="66" t="s">
        <v>49</v>
      </c>
      <c r="J62" s="66" t="s">
        <v>50</v>
      </c>
      <c r="K62" s="66" t="s">
        <v>45</v>
      </c>
      <c r="L62" s="67" t="s">
        <v>39</v>
      </c>
      <c r="M62" s="9"/>
    </row>
    <row r="63" customFormat="false" ht="12.8" hidden="false" customHeight="false" outlineLevel="0" collapsed="false">
      <c r="B63" s="2" t="n">
        <v>21</v>
      </c>
      <c r="C63" s="37" t="s">
        <v>52</v>
      </c>
      <c r="D63" s="2" t="n">
        <v>0.171</v>
      </c>
      <c r="E63" s="2" t="s">
        <v>45</v>
      </c>
      <c r="G63" s="18" t="s">
        <v>52</v>
      </c>
      <c r="H63" s="68" t="n">
        <v>20</v>
      </c>
      <c r="I63" s="69" t="n">
        <v>18</v>
      </c>
      <c r="J63" s="69" t="n">
        <v>24</v>
      </c>
      <c r="K63" s="70" t="n">
        <v>17</v>
      </c>
      <c r="L63" s="71" t="n">
        <v>79</v>
      </c>
      <c r="M63" s="9"/>
    </row>
    <row r="64" customFormat="false" ht="12.8" hidden="false" customHeight="false" outlineLevel="0" collapsed="false">
      <c r="B64" s="2" t="n">
        <v>21</v>
      </c>
      <c r="C64" s="37" t="s">
        <v>57</v>
      </c>
      <c r="D64" s="2" t="n">
        <v>0.1682</v>
      </c>
      <c r="E64" s="2" t="s">
        <v>45</v>
      </c>
      <c r="G64" s="23" t="s">
        <v>57</v>
      </c>
      <c r="H64" s="72" t="n">
        <v>1</v>
      </c>
      <c r="I64" s="73" t="n">
        <v>1</v>
      </c>
      <c r="J64" s="73"/>
      <c r="K64" s="74" t="n">
        <v>2</v>
      </c>
      <c r="L64" s="75" t="n">
        <v>4</v>
      </c>
      <c r="M64" s="9"/>
    </row>
    <row r="65" customFormat="false" ht="12.8" hidden="false" customHeight="false" outlineLevel="0" collapsed="false">
      <c r="B65" s="2" t="n">
        <v>21</v>
      </c>
      <c r="C65" s="37" t="s">
        <v>54</v>
      </c>
      <c r="D65" s="2" t="n">
        <v>0.1</v>
      </c>
      <c r="E65" s="2" t="s">
        <v>45</v>
      </c>
      <c r="G65" s="23" t="s">
        <v>61</v>
      </c>
      <c r="H65" s="72"/>
      <c r="I65" s="73" t="n">
        <v>1</v>
      </c>
      <c r="J65" s="73" t="n">
        <v>2</v>
      </c>
      <c r="K65" s="74"/>
      <c r="L65" s="75" t="n">
        <v>3</v>
      </c>
      <c r="M65" s="9"/>
    </row>
    <row r="66" customFormat="false" ht="12.8" hidden="false" customHeight="false" outlineLevel="0" collapsed="false">
      <c r="B66" s="2" t="n">
        <v>23</v>
      </c>
      <c r="C66" s="37" t="s">
        <v>47</v>
      </c>
      <c r="D66" s="2" t="n">
        <v>0.2474</v>
      </c>
      <c r="E66" s="2" t="s">
        <v>45</v>
      </c>
      <c r="G66" s="23" t="s">
        <v>53</v>
      </c>
      <c r="H66" s="72" t="n">
        <v>6</v>
      </c>
      <c r="I66" s="73" t="n">
        <v>18</v>
      </c>
      <c r="J66" s="73" t="n">
        <v>19</v>
      </c>
      <c r="K66" s="74" t="n">
        <v>10</v>
      </c>
      <c r="L66" s="75" t="n">
        <v>53</v>
      </c>
      <c r="M66" s="9"/>
    </row>
    <row r="67" customFormat="false" ht="12.8" hidden="false" customHeight="false" outlineLevel="0" collapsed="false">
      <c r="B67" s="2" t="n">
        <v>23</v>
      </c>
      <c r="C67" s="37" t="s">
        <v>44</v>
      </c>
      <c r="D67" s="2" t="n">
        <v>0.2317</v>
      </c>
      <c r="E67" s="2" t="s">
        <v>45</v>
      </c>
      <c r="G67" s="23" t="s">
        <v>51</v>
      </c>
      <c r="H67" s="72" t="n">
        <v>21</v>
      </c>
      <c r="I67" s="73" t="n">
        <v>16</v>
      </c>
      <c r="J67" s="73" t="n">
        <v>16</v>
      </c>
      <c r="K67" s="74" t="n">
        <v>24</v>
      </c>
      <c r="L67" s="75" t="n">
        <v>77</v>
      </c>
      <c r="M67" s="9"/>
    </row>
    <row r="68" customFormat="false" ht="12.8" hidden="false" customHeight="false" outlineLevel="0" collapsed="false">
      <c r="B68" s="2" t="n">
        <v>23</v>
      </c>
      <c r="C68" s="37" t="s">
        <v>52</v>
      </c>
      <c r="D68" s="2" t="n">
        <v>0.2172</v>
      </c>
      <c r="E68" s="2" t="s">
        <v>45</v>
      </c>
      <c r="G68" s="23" t="s">
        <v>62</v>
      </c>
      <c r="H68" s="72" t="n">
        <v>1</v>
      </c>
      <c r="I68" s="73" t="n">
        <v>1</v>
      </c>
      <c r="J68" s="73" t="n">
        <v>1</v>
      </c>
      <c r="K68" s="74" t="n">
        <v>2</v>
      </c>
      <c r="L68" s="75" t="n">
        <v>5</v>
      </c>
      <c r="M68" s="9"/>
    </row>
    <row r="69" customFormat="false" ht="12.8" hidden="false" customHeight="false" outlineLevel="0" collapsed="false">
      <c r="B69" s="2" t="n">
        <v>23</v>
      </c>
      <c r="C69" s="37" t="s">
        <v>51</v>
      </c>
      <c r="D69" s="2" t="n">
        <v>0.2037</v>
      </c>
      <c r="E69" s="2" t="s">
        <v>45</v>
      </c>
      <c r="G69" s="23" t="s">
        <v>44</v>
      </c>
      <c r="H69" s="72" t="n">
        <v>25</v>
      </c>
      <c r="I69" s="73" t="n">
        <v>25</v>
      </c>
      <c r="J69" s="73" t="n">
        <v>25</v>
      </c>
      <c r="K69" s="74" t="n">
        <v>25</v>
      </c>
      <c r="L69" s="75" t="n">
        <v>100</v>
      </c>
      <c r="M69" s="9"/>
    </row>
    <row r="70" customFormat="false" ht="12.8" hidden="false" customHeight="false" outlineLevel="0" collapsed="false">
      <c r="B70" s="2" t="n">
        <v>23</v>
      </c>
      <c r="C70" s="37" t="s">
        <v>54</v>
      </c>
      <c r="D70" s="2" t="n">
        <v>0.1</v>
      </c>
      <c r="E70" s="2" t="s">
        <v>45</v>
      </c>
      <c r="G70" s="23" t="s">
        <v>56</v>
      </c>
      <c r="H70" s="72" t="n">
        <v>1</v>
      </c>
      <c r="I70" s="73"/>
      <c r="J70" s="73" t="n">
        <v>1</v>
      </c>
      <c r="K70" s="74" t="n">
        <v>3</v>
      </c>
      <c r="L70" s="75" t="n">
        <v>5</v>
      </c>
      <c r="M70" s="9"/>
    </row>
    <row r="71" customFormat="false" ht="12.8" hidden="false" customHeight="false" outlineLevel="0" collapsed="false">
      <c r="B71" s="2" t="n">
        <v>25</v>
      </c>
      <c r="C71" s="37" t="s">
        <v>44</v>
      </c>
      <c r="D71" s="2" t="n">
        <v>0.3191</v>
      </c>
      <c r="E71" s="2" t="s">
        <v>45</v>
      </c>
      <c r="G71" s="23" t="s">
        <v>55</v>
      </c>
      <c r="H71" s="72" t="n">
        <v>18</v>
      </c>
      <c r="I71" s="73" t="n">
        <v>1</v>
      </c>
      <c r="J71" s="73" t="n">
        <v>2</v>
      </c>
      <c r="K71" s="74" t="n">
        <v>6</v>
      </c>
      <c r="L71" s="75" t="n">
        <v>27</v>
      </c>
      <c r="M71" s="9"/>
    </row>
    <row r="72" customFormat="false" ht="12.8" hidden="false" customHeight="false" outlineLevel="0" collapsed="false">
      <c r="B72" s="2" t="n">
        <v>25</v>
      </c>
      <c r="C72" s="37" t="s">
        <v>47</v>
      </c>
      <c r="D72" s="2" t="n">
        <v>0.2965</v>
      </c>
      <c r="E72" s="2" t="s">
        <v>45</v>
      </c>
      <c r="G72" s="23" t="s">
        <v>47</v>
      </c>
      <c r="H72" s="72" t="n">
        <v>24</v>
      </c>
      <c r="I72" s="73" t="n">
        <v>25</v>
      </c>
      <c r="J72" s="73" t="n">
        <v>24</v>
      </c>
      <c r="K72" s="74" t="n">
        <v>25</v>
      </c>
      <c r="L72" s="75" t="n">
        <v>98</v>
      </c>
      <c r="M72" s="9"/>
    </row>
    <row r="73" customFormat="false" ht="12.8" hidden="false" customHeight="false" outlineLevel="0" collapsed="false">
      <c r="B73" s="2" t="n">
        <v>25</v>
      </c>
      <c r="C73" s="37" t="s">
        <v>52</v>
      </c>
      <c r="D73" s="2" t="n">
        <v>0.2844</v>
      </c>
      <c r="E73" s="2" t="s">
        <v>45</v>
      </c>
      <c r="G73" s="23" t="s">
        <v>54</v>
      </c>
      <c r="H73" s="76" t="n">
        <v>25</v>
      </c>
      <c r="I73" s="77" t="n">
        <v>25</v>
      </c>
      <c r="J73" s="77" t="n">
        <v>25</v>
      </c>
      <c r="K73" s="78" t="n">
        <v>25</v>
      </c>
      <c r="L73" s="79" t="n">
        <v>100</v>
      </c>
      <c r="M73" s="9"/>
    </row>
    <row r="74" customFormat="false" ht="12.8" hidden="false" customHeight="false" outlineLevel="0" collapsed="false">
      <c r="B74" s="2" t="n">
        <v>25</v>
      </c>
      <c r="C74" s="37" t="s">
        <v>54</v>
      </c>
      <c r="D74" s="2" t="n">
        <v>0.1</v>
      </c>
      <c r="E74" s="2" t="s">
        <v>45</v>
      </c>
      <c r="G74" s="32" t="s">
        <v>39</v>
      </c>
      <c r="H74" s="80" t="n">
        <v>142</v>
      </c>
      <c r="I74" s="81" t="n">
        <v>131</v>
      </c>
      <c r="J74" s="81" t="n">
        <v>139</v>
      </c>
      <c r="K74" s="82" t="n">
        <v>139</v>
      </c>
      <c r="L74" s="83" t="n">
        <v>551</v>
      </c>
      <c r="M74" s="9"/>
    </row>
    <row r="75" customFormat="false" ht="12.8" hidden="false" customHeight="false" outlineLevel="0" collapsed="false">
      <c r="B75" s="2" t="n">
        <v>27</v>
      </c>
      <c r="C75" s="37" t="s">
        <v>44</v>
      </c>
      <c r="D75" s="2" t="n">
        <v>0.2111</v>
      </c>
      <c r="E75" s="2" t="s">
        <v>45</v>
      </c>
      <c r="G75" s="9"/>
      <c r="H75" s="9"/>
      <c r="I75" s="9"/>
      <c r="J75" s="9"/>
      <c r="K75" s="9"/>
      <c r="L75" s="9"/>
      <c r="M75" s="9"/>
    </row>
    <row r="76" customFormat="false" ht="12.8" hidden="false" customHeight="false" outlineLevel="0" collapsed="false">
      <c r="B76" s="2" t="n">
        <v>27</v>
      </c>
      <c r="C76" s="37" t="s">
        <v>47</v>
      </c>
      <c r="D76" s="2" t="n">
        <v>0.196</v>
      </c>
      <c r="E76" s="2" t="s">
        <v>45</v>
      </c>
      <c r="G76" s="9"/>
      <c r="H76" s="9"/>
      <c r="I76" s="9"/>
      <c r="J76" s="9"/>
      <c r="K76" s="9"/>
      <c r="L76" s="9"/>
      <c r="M76" s="9"/>
    </row>
    <row r="77" customFormat="false" ht="12.8" hidden="false" customHeight="false" outlineLevel="0" collapsed="false">
      <c r="B77" s="2" t="n">
        <v>27</v>
      </c>
      <c r="C77" s="37" t="s">
        <v>51</v>
      </c>
      <c r="D77" s="2" t="n">
        <v>0.1686</v>
      </c>
      <c r="E77" s="2" t="s">
        <v>45</v>
      </c>
      <c r="G77" s="84" t="s">
        <v>65</v>
      </c>
      <c r="H77" s="9"/>
      <c r="I77" s="9"/>
      <c r="J77" s="9"/>
      <c r="K77" s="9"/>
      <c r="L77" s="9"/>
      <c r="M77" s="9"/>
    </row>
    <row r="78" customFormat="false" ht="12.8" hidden="false" customHeight="false" outlineLevel="0" collapsed="false">
      <c r="B78" s="2" t="n">
        <v>27</v>
      </c>
      <c r="C78" s="37" t="s">
        <v>53</v>
      </c>
      <c r="D78" s="2" t="n">
        <v>0.1634</v>
      </c>
      <c r="E78" s="2" t="s">
        <v>45</v>
      </c>
      <c r="G78" s="9"/>
      <c r="H78" s="9"/>
      <c r="I78" s="9"/>
      <c r="J78" s="9"/>
      <c r="K78" s="9"/>
      <c r="L78" s="9"/>
      <c r="M78" s="9"/>
    </row>
    <row r="79" customFormat="false" ht="12.8" hidden="false" customHeight="false" outlineLevel="0" collapsed="false">
      <c r="B79" s="2" t="n">
        <v>27</v>
      </c>
      <c r="C79" s="37" t="s">
        <v>52</v>
      </c>
      <c r="D79" s="2" t="n">
        <v>0.161</v>
      </c>
      <c r="E79" s="2" t="s">
        <v>45</v>
      </c>
      <c r="G79" s="10" t="s">
        <v>59</v>
      </c>
      <c r="H79" s="11" t="s">
        <v>43</v>
      </c>
      <c r="I79" s="12"/>
      <c r="J79" s="12"/>
      <c r="K79" s="12"/>
      <c r="L79" s="13"/>
      <c r="M79" s="9"/>
    </row>
    <row r="80" customFormat="false" ht="12.8" hidden="false" customHeight="false" outlineLevel="0" collapsed="false">
      <c r="B80" s="2" t="n">
        <v>27</v>
      </c>
      <c r="C80" s="37" t="s">
        <v>54</v>
      </c>
      <c r="D80" s="2" t="n">
        <v>0.1</v>
      </c>
      <c r="E80" s="2" t="s">
        <v>45</v>
      </c>
      <c r="G80" s="14" t="s">
        <v>41</v>
      </c>
      <c r="H80" s="65" t="s">
        <v>48</v>
      </c>
      <c r="I80" s="66" t="s">
        <v>49</v>
      </c>
      <c r="J80" s="66" t="s">
        <v>50</v>
      </c>
      <c r="K80" s="66" t="s">
        <v>45</v>
      </c>
      <c r="L80" s="67" t="s">
        <v>39</v>
      </c>
      <c r="M80" s="9"/>
    </row>
    <row r="81" customFormat="false" ht="12.8" hidden="false" customHeight="false" outlineLevel="0" collapsed="false">
      <c r="B81" s="2" t="n">
        <v>29</v>
      </c>
      <c r="C81" s="37" t="s">
        <v>44</v>
      </c>
      <c r="D81" s="2" t="n">
        <v>0.2028</v>
      </c>
      <c r="E81" s="2" t="s">
        <v>45</v>
      </c>
      <c r="G81" s="85" t="s">
        <v>52</v>
      </c>
      <c r="H81" s="68" t="n">
        <v>20</v>
      </c>
      <c r="I81" s="69" t="n">
        <v>18</v>
      </c>
      <c r="J81" s="69" t="n">
        <v>24</v>
      </c>
      <c r="K81" s="70" t="n">
        <v>17</v>
      </c>
      <c r="L81" s="71" t="n">
        <v>79</v>
      </c>
      <c r="M81" s="9"/>
    </row>
    <row r="82" customFormat="false" ht="12.8" hidden="false" customHeight="false" outlineLevel="0" collapsed="false">
      <c r="B82" s="2" t="n">
        <v>29</v>
      </c>
      <c r="C82" s="37" t="s">
        <v>51</v>
      </c>
      <c r="D82" s="2" t="n">
        <v>0.1828</v>
      </c>
      <c r="E82" s="2" t="s">
        <v>45</v>
      </c>
      <c r="G82" s="86" t="s">
        <v>57</v>
      </c>
      <c r="H82" s="72" t="n">
        <v>1</v>
      </c>
      <c r="I82" s="73" t="n">
        <v>1</v>
      </c>
      <c r="J82" s="73" t="n">
        <v>0</v>
      </c>
      <c r="K82" s="74" t="n">
        <v>2</v>
      </c>
      <c r="L82" s="75" t="n">
        <v>4</v>
      </c>
      <c r="M82" s="9"/>
    </row>
    <row r="83" customFormat="false" ht="12.8" hidden="false" customHeight="false" outlineLevel="0" collapsed="false">
      <c r="B83" s="2" t="n">
        <v>29</v>
      </c>
      <c r="C83" s="37" t="s">
        <v>47</v>
      </c>
      <c r="D83" s="2" t="n">
        <v>0.1819</v>
      </c>
      <c r="E83" s="2" t="s">
        <v>45</v>
      </c>
      <c r="G83" s="86" t="s">
        <v>61</v>
      </c>
      <c r="H83" s="72" t="n">
        <v>0</v>
      </c>
      <c r="I83" s="73" t="n">
        <v>1</v>
      </c>
      <c r="J83" s="73" t="n">
        <v>2</v>
      </c>
      <c r="K83" s="74" t="n">
        <v>0</v>
      </c>
      <c r="L83" s="75" t="n">
        <v>3</v>
      </c>
      <c r="M83" s="9"/>
    </row>
    <row r="84" customFormat="false" ht="12.8" hidden="false" customHeight="false" outlineLevel="0" collapsed="false">
      <c r="B84" s="2" t="n">
        <v>29</v>
      </c>
      <c r="C84" s="37" t="s">
        <v>53</v>
      </c>
      <c r="D84" s="2" t="n">
        <v>0.17</v>
      </c>
      <c r="E84" s="2" t="s">
        <v>45</v>
      </c>
      <c r="G84" s="86" t="s">
        <v>53</v>
      </c>
      <c r="H84" s="72" t="n">
        <v>6</v>
      </c>
      <c r="I84" s="73" t="n">
        <v>18</v>
      </c>
      <c r="J84" s="73" t="n">
        <v>19</v>
      </c>
      <c r="K84" s="74" t="n">
        <v>10</v>
      </c>
      <c r="L84" s="75" t="n">
        <v>53</v>
      </c>
      <c r="M84" s="9"/>
    </row>
    <row r="85" customFormat="false" ht="12.8" hidden="false" customHeight="false" outlineLevel="0" collapsed="false">
      <c r="B85" s="2" t="n">
        <v>29</v>
      </c>
      <c r="C85" s="37" t="s">
        <v>55</v>
      </c>
      <c r="D85" s="2" t="n">
        <v>0.1624</v>
      </c>
      <c r="E85" s="2" t="s">
        <v>45</v>
      </c>
      <c r="G85" s="86" t="s">
        <v>51</v>
      </c>
      <c r="H85" s="72" t="n">
        <v>21</v>
      </c>
      <c r="I85" s="73" t="n">
        <v>16</v>
      </c>
      <c r="J85" s="73" t="n">
        <v>16</v>
      </c>
      <c r="K85" s="74" t="n">
        <v>24</v>
      </c>
      <c r="L85" s="75" t="n">
        <v>77</v>
      </c>
      <c r="M85" s="9"/>
    </row>
    <row r="86" customFormat="false" ht="12.8" hidden="false" customHeight="false" outlineLevel="0" collapsed="false">
      <c r="B86" s="2" t="n">
        <v>29</v>
      </c>
      <c r="C86" s="37" t="s">
        <v>54</v>
      </c>
      <c r="D86" s="2" t="n">
        <v>0.1</v>
      </c>
      <c r="E86" s="2" t="s">
        <v>45</v>
      </c>
      <c r="G86" s="86" t="s">
        <v>62</v>
      </c>
      <c r="H86" s="72" t="n">
        <v>1</v>
      </c>
      <c r="I86" s="73" t="n">
        <v>1</v>
      </c>
      <c r="J86" s="73" t="n">
        <v>1</v>
      </c>
      <c r="K86" s="74" t="n">
        <v>2</v>
      </c>
      <c r="L86" s="75" t="n">
        <v>5</v>
      </c>
      <c r="M86" s="9"/>
    </row>
    <row r="87" customFormat="false" ht="12.8" hidden="false" customHeight="false" outlineLevel="0" collapsed="false">
      <c r="B87" s="2" t="n">
        <v>31</v>
      </c>
      <c r="C87" s="37" t="s">
        <v>47</v>
      </c>
      <c r="D87" s="2" t="n">
        <v>0.3088</v>
      </c>
      <c r="E87" s="2" t="s">
        <v>45</v>
      </c>
      <c r="G87" s="86" t="s">
        <v>44</v>
      </c>
      <c r="H87" s="72" t="n">
        <v>25</v>
      </c>
      <c r="I87" s="73" t="n">
        <v>25</v>
      </c>
      <c r="J87" s="73" t="n">
        <v>25</v>
      </c>
      <c r="K87" s="74" t="n">
        <v>25</v>
      </c>
      <c r="L87" s="75" t="n">
        <v>100</v>
      </c>
      <c r="M87" s="9"/>
    </row>
    <row r="88" customFormat="false" ht="12.8" hidden="false" customHeight="false" outlineLevel="0" collapsed="false">
      <c r="B88" s="2" t="n">
        <v>31</v>
      </c>
      <c r="C88" s="37" t="s">
        <v>51</v>
      </c>
      <c r="D88" s="2" t="n">
        <v>0.2969</v>
      </c>
      <c r="E88" s="2" t="s">
        <v>45</v>
      </c>
      <c r="G88" s="86" t="s">
        <v>56</v>
      </c>
      <c r="H88" s="72" t="n">
        <v>1</v>
      </c>
      <c r="I88" s="73" t="n">
        <v>0</v>
      </c>
      <c r="J88" s="73" t="n">
        <v>1</v>
      </c>
      <c r="K88" s="74" t="n">
        <v>3</v>
      </c>
      <c r="L88" s="75" t="n">
        <v>5</v>
      </c>
      <c r="M88" s="9"/>
    </row>
    <row r="89" customFormat="false" ht="12.8" hidden="false" customHeight="false" outlineLevel="0" collapsed="false">
      <c r="B89" s="2" t="n">
        <v>31</v>
      </c>
      <c r="C89" s="37" t="s">
        <v>44</v>
      </c>
      <c r="D89" s="2" t="n">
        <v>0.2944</v>
      </c>
      <c r="E89" s="2" t="s">
        <v>45</v>
      </c>
      <c r="G89" s="86" t="s">
        <v>55</v>
      </c>
      <c r="H89" s="72" t="n">
        <v>18</v>
      </c>
      <c r="I89" s="73" t="n">
        <v>1</v>
      </c>
      <c r="J89" s="73" t="n">
        <v>2</v>
      </c>
      <c r="K89" s="74" t="n">
        <v>6</v>
      </c>
      <c r="L89" s="75" t="n">
        <v>27</v>
      </c>
      <c r="M89" s="9"/>
    </row>
    <row r="90" customFormat="false" ht="12.8" hidden="false" customHeight="false" outlineLevel="0" collapsed="false">
      <c r="B90" s="2" t="n">
        <v>31</v>
      </c>
      <c r="C90" s="37" t="s">
        <v>54</v>
      </c>
      <c r="D90" s="2" t="n">
        <v>0.1</v>
      </c>
      <c r="E90" s="2" t="s">
        <v>45</v>
      </c>
      <c r="G90" s="86" t="s">
        <v>47</v>
      </c>
      <c r="H90" s="72" t="n">
        <v>24</v>
      </c>
      <c r="I90" s="73" t="n">
        <v>25</v>
      </c>
      <c r="J90" s="73" t="n">
        <v>24</v>
      </c>
      <c r="K90" s="74" t="n">
        <v>25</v>
      </c>
      <c r="L90" s="75" t="n">
        <v>98</v>
      </c>
      <c r="M90" s="9"/>
    </row>
    <row r="91" customFormat="false" ht="12.8" hidden="false" customHeight="false" outlineLevel="0" collapsed="false">
      <c r="B91" s="2" t="n">
        <v>33</v>
      </c>
      <c r="C91" s="37" t="s">
        <v>47</v>
      </c>
      <c r="D91" s="2" t="n">
        <v>0.2515</v>
      </c>
      <c r="E91" s="2" t="s">
        <v>45</v>
      </c>
      <c r="G91" s="86" t="s">
        <v>54</v>
      </c>
      <c r="H91" s="76" t="n">
        <v>25</v>
      </c>
      <c r="I91" s="77" t="n">
        <v>25</v>
      </c>
      <c r="J91" s="77" t="n">
        <v>25</v>
      </c>
      <c r="K91" s="78" t="n">
        <v>25</v>
      </c>
      <c r="L91" s="79" t="n">
        <v>100</v>
      </c>
      <c r="M91" s="9"/>
    </row>
    <row r="92" customFormat="false" ht="12.8" hidden="false" customHeight="false" outlineLevel="0" collapsed="false">
      <c r="B92" s="2" t="n">
        <v>33</v>
      </c>
      <c r="C92" s="37" t="s">
        <v>44</v>
      </c>
      <c r="D92" s="2" t="n">
        <v>0.2233</v>
      </c>
      <c r="E92" s="2" t="s">
        <v>45</v>
      </c>
      <c r="G92" s="32" t="s">
        <v>39</v>
      </c>
      <c r="H92" s="80" t="n">
        <v>142</v>
      </c>
      <c r="I92" s="81" t="n">
        <v>131</v>
      </c>
      <c r="J92" s="81" t="n">
        <v>139</v>
      </c>
      <c r="K92" s="82" t="n">
        <v>139</v>
      </c>
      <c r="L92" s="83" t="n">
        <v>551</v>
      </c>
      <c r="M92" s="9"/>
    </row>
    <row r="93" customFormat="false" ht="12.8" hidden="false" customHeight="false" outlineLevel="0" collapsed="false">
      <c r="B93" s="2" t="n">
        <v>33</v>
      </c>
      <c r="C93" s="37" t="s">
        <v>51</v>
      </c>
      <c r="D93" s="2" t="n">
        <v>0.2167</v>
      </c>
      <c r="E93" s="2" t="s">
        <v>45</v>
      </c>
      <c r="G93" s="9"/>
      <c r="H93" s="9"/>
      <c r="I93" s="9"/>
      <c r="J93" s="9"/>
      <c r="K93" s="9"/>
      <c r="L93" s="9"/>
      <c r="M93" s="9"/>
    </row>
    <row r="94" customFormat="false" ht="12.8" hidden="false" customHeight="false" outlineLevel="0" collapsed="false">
      <c r="B94" s="2" t="n">
        <v>33</v>
      </c>
      <c r="C94" s="37" t="s">
        <v>52</v>
      </c>
      <c r="D94" s="2" t="n">
        <v>0.2085</v>
      </c>
      <c r="E94" s="2" t="s">
        <v>45</v>
      </c>
      <c r="G94" s="84" t="s">
        <v>66</v>
      </c>
      <c r="H94" s="9"/>
      <c r="I94" s="9"/>
      <c r="J94" s="9"/>
      <c r="K94" s="9"/>
      <c r="L94" s="9"/>
      <c r="M94" s="9"/>
    </row>
    <row r="95" customFormat="false" ht="12.8" hidden="false" customHeight="false" outlineLevel="0" collapsed="false">
      <c r="B95" s="2" t="n">
        <v>33</v>
      </c>
      <c r="C95" s="37" t="s">
        <v>54</v>
      </c>
      <c r="D95" s="2" t="n">
        <v>0.1</v>
      </c>
      <c r="E95" s="2" t="s">
        <v>45</v>
      </c>
      <c r="G95" s="9" t="s">
        <v>12</v>
      </c>
      <c r="H95" s="9" t="n">
        <v>0.05</v>
      </c>
      <c r="I95" s="9"/>
      <c r="J95" s="9"/>
      <c r="K95" s="9"/>
      <c r="L95" s="9"/>
      <c r="M95" s="9"/>
    </row>
    <row r="96" customFormat="false" ht="12.8" hidden="false" customHeight="false" outlineLevel="0" collapsed="false">
      <c r="B96" s="2" t="n">
        <v>35</v>
      </c>
      <c r="C96" s="37" t="s">
        <v>47</v>
      </c>
      <c r="D96" s="2" t="n">
        <v>0.1973</v>
      </c>
      <c r="E96" s="2" t="s">
        <v>45</v>
      </c>
      <c r="G96" s="9" t="s">
        <v>22</v>
      </c>
      <c r="H96" s="9" t="n">
        <f aca="false">(COLUMNS(anchors_raw_information!$H$81:$K$91) - 1) * (ROWS(anchors_raw_information!$H$81:$K$91) - 1)</f>
        <v>30</v>
      </c>
      <c r="I96" s="9"/>
      <c r="J96" s="9"/>
      <c r="K96" s="9"/>
      <c r="L96" s="9"/>
      <c r="M96" s="9"/>
    </row>
    <row r="97" customFormat="false" ht="12.8" hidden="false" customHeight="false" outlineLevel="0" collapsed="false">
      <c r="B97" s="2" t="n">
        <v>35</v>
      </c>
      <c r="C97" s="37" t="s">
        <v>44</v>
      </c>
      <c r="D97" s="2" t="n">
        <v>0.197</v>
      </c>
      <c r="E97" s="2" t="s">
        <v>45</v>
      </c>
      <c r="G97" s="9" t="s">
        <v>67</v>
      </c>
      <c r="H97" s="9" t="n">
        <f aca="false">CHITEST(anchors_raw_information!$H$81:$K$91, MMULT(MMULT(anchors_raw_information!$H$81:$K$91,TRANSPOSE(IF(COLUMN(anchors_raw_information!$H$81:$K$91),TRUE()))),MMULT(TRANSPOSE(IF(ROW(anchors_raw_information!$H$81:$K$91),TRUE())),anchors_raw_information!$H$81:$K$91)) / SUM(anchors_raw_information!$H$81:$K$91))</f>
        <v>0.01531659456663</v>
      </c>
      <c r="I97" s="9"/>
      <c r="J97" s="9"/>
      <c r="K97" s="9"/>
      <c r="L97" s="9"/>
      <c r="M97" s="9"/>
    </row>
    <row r="98" customFormat="false" ht="12.8" hidden="false" customHeight="false" outlineLevel="0" collapsed="false">
      <c r="B98" s="2" t="n">
        <v>35</v>
      </c>
      <c r="C98" s="37" t="s">
        <v>51</v>
      </c>
      <c r="D98" s="2" t="n">
        <v>0.1796</v>
      </c>
      <c r="E98" s="2" t="s">
        <v>45</v>
      </c>
      <c r="G98" s="9" t="s">
        <v>68</v>
      </c>
      <c r="H98" s="9" t="n">
        <f aca="false">CHIINV(anchors_raw_information!$H$97, anchors_raw_information!$H$96)</f>
        <v>49.1100964317516</v>
      </c>
      <c r="I98" s="9"/>
      <c r="J98" s="9"/>
      <c r="K98" s="9"/>
      <c r="L98" s="9"/>
      <c r="M98" s="9"/>
    </row>
    <row r="99" customFormat="false" ht="12.8" hidden="false" customHeight="false" outlineLevel="0" collapsed="false">
      <c r="B99" s="2" t="n">
        <v>35</v>
      </c>
      <c r="C99" s="37" t="s">
        <v>52</v>
      </c>
      <c r="D99" s="2" t="n">
        <v>0.1638</v>
      </c>
      <c r="E99" s="2" t="s">
        <v>45</v>
      </c>
      <c r="G99" s="9" t="s">
        <v>69</v>
      </c>
      <c r="H99" s="9" t="n">
        <f aca="false">CHIINV(anchors_raw_information!$H$95, anchors_raw_information!$H$96)</f>
        <v>43.7729718257422</v>
      </c>
      <c r="I99" s="9"/>
      <c r="J99" s="9"/>
      <c r="K99" s="9"/>
      <c r="L99" s="9"/>
      <c r="M99" s="9"/>
    </row>
    <row r="100" customFormat="false" ht="12.8" hidden="false" customHeight="false" outlineLevel="0" collapsed="false">
      <c r="B100" s="2" t="n">
        <v>35</v>
      </c>
      <c r="C100" s="37" t="s">
        <v>53</v>
      </c>
      <c r="D100" s="2" t="n">
        <v>0.1623</v>
      </c>
      <c r="E100" s="2" t="s">
        <v>45</v>
      </c>
      <c r="G100" s="9"/>
      <c r="H100" s="9"/>
      <c r="I100" s="9"/>
      <c r="J100" s="9"/>
      <c r="K100" s="9"/>
      <c r="L100" s="9"/>
      <c r="M100" s="9"/>
    </row>
    <row r="101" customFormat="false" ht="12.8" hidden="false" customHeight="false" outlineLevel="0" collapsed="false">
      <c r="B101" s="2" t="n">
        <v>35</v>
      </c>
      <c r="C101" s="37" t="s">
        <v>54</v>
      </c>
      <c r="D101" s="2" t="n">
        <v>0.1</v>
      </c>
      <c r="E101" s="2" t="s">
        <v>45</v>
      </c>
      <c r="G101" s="84" t="s">
        <v>70</v>
      </c>
      <c r="H101" s="9"/>
      <c r="I101" s="9"/>
      <c r="J101" s="9"/>
      <c r="K101" s="9"/>
      <c r="L101" s="9"/>
      <c r="M101" s="9"/>
    </row>
    <row r="102" customFormat="false" ht="12.8" hidden="false" customHeight="false" outlineLevel="0" collapsed="false">
      <c r="B102" s="2" t="n">
        <v>37</v>
      </c>
      <c r="C102" s="37" t="s">
        <v>44</v>
      </c>
      <c r="D102" s="2" t="n">
        <v>0.1986</v>
      </c>
      <c r="E102" s="2" t="s">
        <v>45</v>
      </c>
      <c r="G102" s="9"/>
      <c r="H102" s="9"/>
      <c r="I102" s="9"/>
      <c r="J102" s="9"/>
      <c r="K102" s="9"/>
      <c r="L102" s="9"/>
      <c r="M102" s="9"/>
    </row>
    <row r="103" customFormat="false" ht="12.8" hidden="false" customHeight="false" outlineLevel="0" collapsed="false">
      <c r="B103" s="2" t="n">
        <v>37</v>
      </c>
      <c r="C103" s="37" t="s">
        <v>47</v>
      </c>
      <c r="D103" s="2" t="n">
        <v>0.1871</v>
      </c>
      <c r="E103" s="2" t="s">
        <v>45</v>
      </c>
      <c r="G103" s="10" t="s">
        <v>59</v>
      </c>
      <c r="H103" s="11" t="s">
        <v>43</v>
      </c>
      <c r="I103" s="12"/>
      <c r="J103" s="12"/>
      <c r="K103" s="12"/>
      <c r="L103" s="13"/>
      <c r="M103" s="9"/>
    </row>
    <row r="104" customFormat="false" ht="12.8" hidden="false" customHeight="false" outlineLevel="0" collapsed="false">
      <c r="B104" s="2" t="n">
        <v>37</v>
      </c>
      <c r="C104" s="37" t="s">
        <v>51</v>
      </c>
      <c r="D104" s="2" t="n">
        <v>0.1795</v>
      </c>
      <c r="E104" s="2" t="s">
        <v>45</v>
      </c>
      <c r="G104" s="14" t="s">
        <v>41</v>
      </c>
      <c r="H104" s="65" t="s">
        <v>48</v>
      </c>
      <c r="I104" s="66" t="s">
        <v>49</v>
      </c>
      <c r="J104" s="66" t="s">
        <v>50</v>
      </c>
      <c r="K104" s="66" t="s">
        <v>45</v>
      </c>
      <c r="L104" s="67" t="s">
        <v>39</v>
      </c>
      <c r="M104" s="9"/>
    </row>
    <row r="105" customFormat="false" ht="12.8" hidden="false" customHeight="false" outlineLevel="0" collapsed="false">
      <c r="B105" s="2" t="n">
        <v>37</v>
      </c>
      <c r="C105" s="37" t="s">
        <v>56</v>
      </c>
      <c r="D105" s="2" t="n">
        <v>0.1723</v>
      </c>
      <c r="E105" s="2" t="s">
        <v>45</v>
      </c>
      <c r="G105" s="85" t="s">
        <v>52</v>
      </c>
      <c r="H105" s="68" t="n">
        <v>20</v>
      </c>
      <c r="I105" s="69" t="n">
        <v>18</v>
      </c>
      <c r="J105" s="69" t="n">
        <v>24</v>
      </c>
      <c r="K105" s="70" t="n">
        <v>17</v>
      </c>
      <c r="L105" s="71" t="n">
        <v>79</v>
      </c>
      <c r="M105" s="9"/>
    </row>
    <row r="106" customFormat="false" ht="12.8" hidden="false" customHeight="false" outlineLevel="0" collapsed="false">
      <c r="B106" s="2" t="n">
        <v>37</v>
      </c>
      <c r="C106" s="37" t="s">
        <v>52</v>
      </c>
      <c r="D106" s="2" t="n">
        <v>0.1625</v>
      </c>
      <c r="E106" s="2" t="s">
        <v>45</v>
      </c>
      <c r="G106" s="86" t="s">
        <v>53</v>
      </c>
      <c r="H106" s="72" t="n">
        <v>6</v>
      </c>
      <c r="I106" s="73" t="n">
        <v>18</v>
      </c>
      <c r="J106" s="73" t="n">
        <v>19</v>
      </c>
      <c r="K106" s="74" t="n">
        <v>10</v>
      </c>
      <c r="L106" s="75" t="n">
        <v>53</v>
      </c>
      <c r="M106" s="9"/>
    </row>
    <row r="107" customFormat="false" ht="12.8" hidden="false" customHeight="false" outlineLevel="0" collapsed="false">
      <c r="B107" s="2" t="n">
        <v>37</v>
      </c>
      <c r="C107" s="37" t="s">
        <v>54</v>
      </c>
      <c r="D107" s="2" t="n">
        <v>0.1</v>
      </c>
      <c r="E107" s="2" t="s">
        <v>45</v>
      </c>
      <c r="G107" s="86" t="s">
        <v>51</v>
      </c>
      <c r="H107" s="72" t="n">
        <v>21</v>
      </c>
      <c r="I107" s="73" t="n">
        <v>16</v>
      </c>
      <c r="J107" s="73" t="n">
        <v>16</v>
      </c>
      <c r="K107" s="74" t="n">
        <v>24</v>
      </c>
      <c r="L107" s="75" t="n">
        <v>77</v>
      </c>
      <c r="M107" s="9"/>
    </row>
    <row r="108" customFormat="false" ht="12.8" hidden="false" customHeight="false" outlineLevel="0" collapsed="false">
      <c r="B108" s="2" t="n">
        <v>39</v>
      </c>
      <c r="C108" s="37" t="s">
        <v>44</v>
      </c>
      <c r="D108" s="2" t="n">
        <v>0.1964</v>
      </c>
      <c r="E108" s="2" t="s">
        <v>45</v>
      </c>
      <c r="G108" s="86" t="s">
        <v>62</v>
      </c>
      <c r="H108" s="72" t="n">
        <v>1</v>
      </c>
      <c r="I108" s="73" t="n">
        <v>1</v>
      </c>
      <c r="J108" s="73" t="n">
        <v>1</v>
      </c>
      <c r="K108" s="74" t="n">
        <v>2</v>
      </c>
      <c r="L108" s="75" t="n">
        <v>5</v>
      </c>
      <c r="M108" s="9"/>
    </row>
    <row r="109" customFormat="false" ht="12.8" hidden="false" customHeight="false" outlineLevel="0" collapsed="false">
      <c r="B109" s="2" t="n">
        <v>39</v>
      </c>
      <c r="C109" s="37" t="s">
        <v>47</v>
      </c>
      <c r="D109" s="2" t="n">
        <v>0.1917</v>
      </c>
      <c r="E109" s="2" t="s">
        <v>45</v>
      </c>
      <c r="G109" s="86" t="s">
        <v>44</v>
      </c>
      <c r="H109" s="72" t="n">
        <v>25</v>
      </c>
      <c r="I109" s="73" t="n">
        <v>25</v>
      </c>
      <c r="J109" s="73" t="n">
        <v>25</v>
      </c>
      <c r="K109" s="74" t="n">
        <v>25</v>
      </c>
      <c r="L109" s="75" t="n">
        <v>100</v>
      </c>
      <c r="M109" s="9"/>
    </row>
    <row r="110" customFormat="false" ht="12.8" hidden="false" customHeight="false" outlineLevel="0" collapsed="false">
      <c r="B110" s="2" t="n">
        <v>39</v>
      </c>
      <c r="C110" s="37" t="s">
        <v>51</v>
      </c>
      <c r="D110" s="2" t="n">
        <v>0.1886</v>
      </c>
      <c r="E110" s="2" t="s">
        <v>45</v>
      </c>
      <c r="G110" s="86" t="s">
        <v>56</v>
      </c>
      <c r="H110" s="72" t="n">
        <v>1</v>
      </c>
      <c r="I110" s="73" t="n">
        <v>0</v>
      </c>
      <c r="J110" s="73" t="n">
        <v>1</v>
      </c>
      <c r="K110" s="74" t="n">
        <v>3</v>
      </c>
      <c r="L110" s="75" t="n">
        <v>5</v>
      </c>
      <c r="M110" s="9"/>
    </row>
    <row r="111" customFormat="false" ht="12.8" hidden="false" customHeight="false" outlineLevel="0" collapsed="false">
      <c r="B111" s="2" t="n">
        <v>39</v>
      </c>
      <c r="C111" s="37" t="s">
        <v>52</v>
      </c>
      <c r="D111" s="2" t="n">
        <v>0.1697</v>
      </c>
      <c r="E111" s="2" t="s">
        <v>45</v>
      </c>
      <c r="G111" s="86" t="s">
        <v>55</v>
      </c>
      <c r="H111" s="72" t="n">
        <v>18</v>
      </c>
      <c r="I111" s="73" t="n">
        <v>1</v>
      </c>
      <c r="J111" s="73" t="n">
        <v>2</v>
      </c>
      <c r="K111" s="74" t="n">
        <v>6</v>
      </c>
      <c r="L111" s="75" t="n">
        <v>27</v>
      </c>
      <c r="M111" s="9"/>
    </row>
    <row r="112" customFormat="false" ht="12.8" hidden="false" customHeight="false" outlineLevel="0" collapsed="false">
      <c r="B112" s="2" t="n">
        <v>39</v>
      </c>
      <c r="C112" s="37" t="s">
        <v>53</v>
      </c>
      <c r="D112" s="2" t="n">
        <v>0.1536</v>
      </c>
      <c r="E112" s="2" t="s">
        <v>45</v>
      </c>
      <c r="G112" s="86" t="s">
        <v>47</v>
      </c>
      <c r="H112" s="72" t="n">
        <v>24</v>
      </c>
      <c r="I112" s="73" t="n">
        <v>25</v>
      </c>
      <c r="J112" s="73" t="n">
        <v>24</v>
      </c>
      <c r="K112" s="74" t="n">
        <v>25</v>
      </c>
      <c r="L112" s="75" t="n">
        <v>98</v>
      </c>
      <c r="M112" s="9"/>
    </row>
    <row r="113" customFormat="false" ht="12.8" hidden="false" customHeight="false" outlineLevel="0" collapsed="false">
      <c r="B113" s="2" t="n">
        <v>39</v>
      </c>
      <c r="C113" s="37" t="s">
        <v>54</v>
      </c>
      <c r="D113" s="2" t="n">
        <v>0.1</v>
      </c>
      <c r="E113" s="2" t="s">
        <v>45</v>
      </c>
      <c r="G113" s="32" t="s">
        <v>39</v>
      </c>
      <c r="H113" s="80" t="n">
        <v>142</v>
      </c>
      <c r="I113" s="81" t="n">
        <v>131</v>
      </c>
      <c r="J113" s="81" t="n">
        <v>139</v>
      </c>
      <c r="K113" s="82" t="n">
        <v>139</v>
      </c>
      <c r="L113" s="83" t="n">
        <v>551</v>
      </c>
      <c r="M113" s="9"/>
    </row>
    <row r="114" customFormat="false" ht="12.8" hidden="false" customHeight="false" outlineLevel="0" collapsed="false">
      <c r="B114" s="2" t="n">
        <v>41</v>
      </c>
      <c r="C114" s="37" t="s">
        <v>47</v>
      </c>
      <c r="D114" s="2" t="n">
        <v>0.2489</v>
      </c>
      <c r="E114" s="2" t="s">
        <v>45</v>
      </c>
      <c r="G114" s="9"/>
      <c r="H114" s="9"/>
      <c r="I114" s="9"/>
      <c r="J114" s="9"/>
      <c r="K114" s="9"/>
      <c r="L114" s="9"/>
      <c r="M114" s="9"/>
    </row>
    <row r="115" customFormat="false" ht="12.8" hidden="false" customHeight="false" outlineLevel="0" collapsed="false">
      <c r="B115" s="2" t="n">
        <v>41</v>
      </c>
      <c r="C115" s="37" t="s">
        <v>44</v>
      </c>
      <c r="D115" s="2" t="n">
        <v>0.2363</v>
      </c>
      <c r="E115" s="2" t="s">
        <v>45</v>
      </c>
      <c r="G115" s="84" t="s">
        <v>66</v>
      </c>
      <c r="H115" s="9"/>
      <c r="I115" s="9"/>
      <c r="J115" s="9"/>
      <c r="K115" s="9"/>
      <c r="L115" s="9"/>
      <c r="M115" s="9"/>
    </row>
    <row r="116" customFormat="false" ht="12.8" hidden="false" customHeight="false" outlineLevel="0" collapsed="false">
      <c r="B116" s="2" t="n">
        <v>41</v>
      </c>
      <c r="C116" s="37" t="s">
        <v>51</v>
      </c>
      <c r="D116" s="2" t="n">
        <v>0.2097</v>
      </c>
      <c r="E116" s="2" t="s">
        <v>45</v>
      </c>
      <c r="G116" s="9" t="s">
        <v>12</v>
      </c>
      <c r="H116" s="9" t="n">
        <v>0.05</v>
      </c>
      <c r="I116" s="9"/>
      <c r="J116" s="9"/>
      <c r="K116" s="9"/>
      <c r="L116" s="9"/>
      <c r="M116" s="9"/>
    </row>
    <row r="117" customFormat="false" ht="12.8" hidden="false" customHeight="false" outlineLevel="0" collapsed="false">
      <c r="B117" s="2" t="n">
        <v>41</v>
      </c>
      <c r="C117" s="37" t="s">
        <v>53</v>
      </c>
      <c r="D117" s="2" t="n">
        <v>0.2051</v>
      </c>
      <c r="E117" s="2" t="s">
        <v>45</v>
      </c>
      <c r="G117" s="9" t="s">
        <v>22</v>
      </c>
      <c r="H117" s="9" t="n">
        <f aca="false">(COLUMNS(anchors_raw_information!$H$105:$L$112) - 1) * (ROWS(anchors_raw_information!$H$105:$L$112) - 1)</f>
        <v>28</v>
      </c>
      <c r="I117" s="9"/>
      <c r="J117" s="9"/>
      <c r="K117" s="9"/>
      <c r="L117" s="9"/>
      <c r="M117" s="9"/>
    </row>
    <row r="118" customFormat="false" ht="12.8" hidden="false" customHeight="false" outlineLevel="0" collapsed="false">
      <c r="B118" s="2" t="n">
        <v>41</v>
      </c>
      <c r="C118" s="37" t="s">
        <v>54</v>
      </c>
      <c r="D118" s="2" t="n">
        <v>0.1</v>
      </c>
      <c r="E118" s="2" t="s">
        <v>45</v>
      </c>
      <c r="G118" s="9" t="s">
        <v>67</v>
      </c>
      <c r="H118" s="9" t="n">
        <f aca="false">CHITEST(anchors_raw_information!$H$105:$L$112, MMULT(MMULT(anchors_raw_information!$H$105:$L$112,TRANSPOSE(IF(COLUMN(anchors_raw_information!$H$105:$L$112),TRUE()))),MMULT(TRANSPOSE(IF(ROW(anchors_raw_information!$H$105:$L$112),TRUE())),anchors_raw_information!$H$105:$L$112)) / SUM(anchors_raw_information!$H$105:$L$112))</f>
        <v>0.0337966991257277</v>
      </c>
      <c r="I118" s="9"/>
      <c r="J118" s="9"/>
      <c r="K118" s="9"/>
      <c r="L118" s="9"/>
      <c r="M118" s="9"/>
    </row>
    <row r="119" customFormat="false" ht="12.8" hidden="false" customHeight="false" outlineLevel="0" collapsed="false">
      <c r="B119" s="2" t="n">
        <v>43</v>
      </c>
      <c r="C119" s="37" t="s">
        <v>47</v>
      </c>
      <c r="D119" s="2" t="n">
        <v>0.2129</v>
      </c>
      <c r="E119" s="2" t="s">
        <v>45</v>
      </c>
      <c r="G119" s="9" t="s">
        <v>68</v>
      </c>
      <c r="H119" s="9" t="n">
        <f aca="false">CHIINV(anchors_raw_information!$H$118, anchors_raw_information!$H$117)</f>
        <v>43.1319198938099</v>
      </c>
      <c r="I119" s="9"/>
      <c r="J119" s="9"/>
      <c r="K119" s="9"/>
      <c r="L119" s="9"/>
      <c r="M119" s="9"/>
    </row>
    <row r="120" customFormat="false" ht="12.8" hidden="false" customHeight="false" outlineLevel="0" collapsed="false">
      <c r="B120" s="2" t="n">
        <v>43</v>
      </c>
      <c r="C120" s="37" t="s">
        <v>44</v>
      </c>
      <c r="D120" s="2" t="n">
        <v>0.2125</v>
      </c>
      <c r="E120" s="2" t="s">
        <v>45</v>
      </c>
      <c r="G120" s="9" t="s">
        <v>69</v>
      </c>
      <c r="H120" s="9" t="n">
        <f aca="false">CHIINV(anchors_raw_information!$H$116, anchors_raw_information!$H$117)</f>
        <v>41.3371381514274</v>
      </c>
      <c r="I120" s="9"/>
      <c r="J120" s="9"/>
      <c r="K120" s="9"/>
      <c r="L120" s="9"/>
      <c r="M120" s="9"/>
    </row>
    <row r="121" customFormat="false" ht="12.8" hidden="false" customHeight="false" outlineLevel="0" collapsed="false">
      <c r="B121" s="2" t="n">
        <v>43</v>
      </c>
      <c r="C121" s="37" t="s">
        <v>51</v>
      </c>
      <c r="D121" s="2" t="n">
        <v>0.1727</v>
      </c>
      <c r="E121" s="2" t="s">
        <v>45</v>
      </c>
      <c r="G121" s="9"/>
      <c r="H121" s="9"/>
      <c r="I121" s="9"/>
      <c r="J121" s="9"/>
      <c r="K121" s="9"/>
      <c r="L121" s="9"/>
      <c r="M121" s="9"/>
    </row>
    <row r="122" customFormat="false" ht="12.8" hidden="false" customHeight="false" outlineLevel="0" collapsed="false">
      <c r="B122" s="2" t="n">
        <v>43</v>
      </c>
      <c r="C122" s="37" t="s">
        <v>55</v>
      </c>
      <c r="D122" s="2" t="n">
        <v>0.1525</v>
      </c>
      <c r="E122" s="2" t="s">
        <v>45</v>
      </c>
      <c r="G122" s="9"/>
      <c r="H122" s="9"/>
      <c r="I122" s="9"/>
      <c r="J122" s="9"/>
      <c r="K122" s="9"/>
      <c r="L122" s="9"/>
      <c r="M122" s="9"/>
    </row>
    <row r="123" customFormat="false" ht="12.8" hidden="false" customHeight="false" outlineLevel="0" collapsed="false">
      <c r="B123" s="2" t="n">
        <v>43</v>
      </c>
      <c r="C123" s="37" t="s">
        <v>62</v>
      </c>
      <c r="D123" s="2" t="n">
        <v>0.1494</v>
      </c>
      <c r="E123" s="2" t="s">
        <v>45</v>
      </c>
      <c r="G123" s="9"/>
      <c r="H123" s="9"/>
      <c r="I123" s="9"/>
      <c r="J123" s="9"/>
      <c r="K123" s="9"/>
      <c r="L123" s="9"/>
      <c r="M123" s="9"/>
    </row>
    <row r="124" customFormat="false" ht="12.8" hidden="false" customHeight="false" outlineLevel="0" collapsed="false">
      <c r="B124" s="2" t="n">
        <v>43</v>
      </c>
      <c r="C124" s="37" t="s">
        <v>54</v>
      </c>
      <c r="D124" s="2" t="n">
        <v>0.1</v>
      </c>
      <c r="E124" s="2" t="s">
        <v>45</v>
      </c>
      <c r="G124" s="9"/>
      <c r="H124" s="9"/>
      <c r="I124" s="9"/>
      <c r="J124" s="9"/>
      <c r="K124" s="9"/>
      <c r="L124" s="9"/>
      <c r="M124" s="9"/>
    </row>
    <row r="125" customFormat="false" ht="12.8" hidden="false" customHeight="false" outlineLevel="0" collapsed="false">
      <c r="B125" s="2" t="n">
        <v>45</v>
      </c>
      <c r="C125" s="37" t="s">
        <v>44</v>
      </c>
      <c r="D125" s="2" t="n">
        <v>0.2082</v>
      </c>
      <c r="E125" s="2" t="s">
        <v>45</v>
      </c>
      <c r="G125" s="9"/>
      <c r="H125" s="9"/>
      <c r="I125" s="9"/>
      <c r="J125" s="9"/>
      <c r="K125" s="9"/>
      <c r="L125" s="9"/>
      <c r="M125" s="9"/>
    </row>
    <row r="126" customFormat="false" ht="12.8" hidden="false" customHeight="false" outlineLevel="0" collapsed="false">
      <c r="B126" s="2" t="n">
        <v>45</v>
      </c>
      <c r="C126" s="37" t="s">
        <v>47</v>
      </c>
      <c r="D126" s="2" t="n">
        <v>0.1965</v>
      </c>
      <c r="E126" s="2" t="s">
        <v>45</v>
      </c>
      <c r="G126" s="9"/>
      <c r="H126" s="9"/>
      <c r="I126" s="9"/>
      <c r="J126" s="9"/>
      <c r="K126" s="9"/>
      <c r="L126" s="9"/>
      <c r="M126" s="9"/>
    </row>
    <row r="127" customFormat="false" ht="12.8" hidden="false" customHeight="false" outlineLevel="0" collapsed="false">
      <c r="B127" s="2" t="n">
        <v>45</v>
      </c>
      <c r="C127" s="37" t="s">
        <v>51</v>
      </c>
      <c r="D127" s="2" t="n">
        <v>0.173</v>
      </c>
      <c r="E127" s="2" t="s">
        <v>45</v>
      </c>
      <c r="G127" s="9"/>
      <c r="H127" s="9"/>
      <c r="I127" s="9"/>
      <c r="J127" s="9"/>
      <c r="K127" s="9"/>
      <c r="L127" s="9"/>
      <c r="M127" s="9"/>
    </row>
    <row r="128" customFormat="false" ht="12.8" hidden="false" customHeight="false" outlineLevel="0" collapsed="false">
      <c r="B128" s="2" t="n">
        <v>45</v>
      </c>
      <c r="C128" s="37" t="s">
        <v>56</v>
      </c>
      <c r="D128" s="2" t="n">
        <v>0.1655</v>
      </c>
      <c r="E128" s="2" t="s">
        <v>45</v>
      </c>
      <c r="G128" s="9"/>
      <c r="H128" s="9"/>
      <c r="I128" s="9"/>
      <c r="J128" s="9"/>
      <c r="K128" s="9"/>
      <c r="L128" s="9"/>
      <c r="M128" s="9"/>
    </row>
    <row r="129" customFormat="false" ht="12.8" hidden="false" customHeight="false" outlineLevel="0" collapsed="false">
      <c r="B129" s="2" t="n">
        <v>45</v>
      </c>
      <c r="C129" s="37" t="s">
        <v>62</v>
      </c>
      <c r="D129" s="2" t="n">
        <v>0.1568</v>
      </c>
      <c r="E129" s="2" t="s">
        <v>45</v>
      </c>
      <c r="G129" s="9"/>
      <c r="H129" s="9"/>
      <c r="I129" s="9"/>
      <c r="J129" s="9"/>
      <c r="K129" s="9"/>
      <c r="L129" s="9"/>
      <c r="M129" s="9"/>
    </row>
    <row r="130" customFormat="false" ht="12.8" hidden="false" customHeight="false" outlineLevel="0" collapsed="false">
      <c r="B130" s="2" t="n">
        <v>45</v>
      </c>
      <c r="C130" s="37" t="s">
        <v>54</v>
      </c>
      <c r="D130" s="2" t="n">
        <v>0.1</v>
      </c>
      <c r="E130" s="2" t="s">
        <v>45</v>
      </c>
      <c r="G130" s="9"/>
      <c r="H130" s="9"/>
      <c r="I130" s="9"/>
      <c r="J130" s="9"/>
      <c r="K130" s="9"/>
      <c r="L130" s="9"/>
      <c r="M130" s="9"/>
    </row>
    <row r="131" customFormat="false" ht="12.8" hidden="false" customHeight="false" outlineLevel="0" collapsed="false">
      <c r="B131" s="2" t="n">
        <v>47</v>
      </c>
      <c r="C131" s="37" t="s">
        <v>47</v>
      </c>
      <c r="D131" s="2" t="n">
        <v>0.3099</v>
      </c>
      <c r="E131" s="2" t="s">
        <v>45</v>
      </c>
      <c r="G131" s="9"/>
      <c r="H131" s="9"/>
      <c r="I131" s="9"/>
      <c r="J131" s="9"/>
      <c r="K131" s="9"/>
      <c r="L131" s="9"/>
      <c r="M131" s="9"/>
    </row>
    <row r="132" customFormat="false" ht="12.8" hidden="false" customHeight="false" outlineLevel="0" collapsed="false">
      <c r="B132" s="2" t="n">
        <v>47</v>
      </c>
      <c r="C132" s="37" t="s">
        <v>44</v>
      </c>
      <c r="D132" s="2" t="n">
        <v>0.2988</v>
      </c>
      <c r="E132" s="2" t="s">
        <v>45</v>
      </c>
      <c r="G132" s="9"/>
      <c r="H132" s="9"/>
      <c r="I132" s="9"/>
      <c r="J132" s="9"/>
      <c r="K132" s="9"/>
      <c r="L132" s="9"/>
      <c r="M132" s="9"/>
    </row>
    <row r="133" customFormat="false" ht="12.8" hidden="false" customHeight="false" outlineLevel="0" collapsed="false">
      <c r="B133" s="2" t="n">
        <v>47</v>
      </c>
      <c r="C133" s="37" t="s">
        <v>51</v>
      </c>
      <c r="D133" s="2" t="n">
        <v>0.2913</v>
      </c>
      <c r="E133" s="2" t="s">
        <v>45</v>
      </c>
      <c r="G133" s="9"/>
      <c r="H133" s="9"/>
      <c r="I133" s="9"/>
      <c r="J133" s="9"/>
      <c r="K133" s="9"/>
      <c r="L133" s="9"/>
      <c r="M133" s="9"/>
    </row>
    <row r="134" customFormat="false" ht="12.8" hidden="false" customHeight="false" outlineLevel="0" collapsed="false">
      <c r="B134" s="2" t="n">
        <v>47</v>
      </c>
      <c r="C134" s="37" t="s">
        <v>54</v>
      </c>
      <c r="D134" s="2" t="n">
        <v>0.1</v>
      </c>
      <c r="E134" s="2" t="s">
        <v>45</v>
      </c>
      <c r="G134" s="9"/>
      <c r="H134" s="9"/>
      <c r="I134" s="9"/>
      <c r="J134" s="9"/>
      <c r="K134" s="9"/>
      <c r="L134" s="9"/>
      <c r="M134" s="9"/>
    </row>
    <row r="135" customFormat="false" ht="12.8" hidden="false" customHeight="false" outlineLevel="0" collapsed="false">
      <c r="B135" s="2" t="n">
        <v>49</v>
      </c>
      <c r="C135" s="37" t="s">
        <v>44</v>
      </c>
      <c r="D135" s="2" t="n">
        <v>0.2041</v>
      </c>
      <c r="E135" s="2" t="s">
        <v>45</v>
      </c>
      <c r="G135" s="9"/>
      <c r="H135" s="9"/>
      <c r="I135" s="9"/>
      <c r="J135" s="9"/>
      <c r="K135" s="9"/>
      <c r="L135" s="9"/>
      <c r="M135" s="9"/>
    </row>
    <row r="136" customFormat="false" ht="12.8" hidden="false" customHeight="false" outlineLevel="0" collapsed="false">
      <c r="B136" s="2" t="n">
        <v>49</v>
      </c>
      <c r="C136" s="37" t="s">
        <v>51</v>
      </c>
      <c r="D136" s="2" t="n">
        <v>0.1958</v>
      </c>
      <c r="E136" s="2" t="s">
        <v>45</v>
      </c>
      <c r="G136" s="9"/>
      <c r="H136" s="9"/>
      <c r="I136" s="9"/>
      <c r="J136" s="9"/>
      <c r="K136" s="9"/>
      <c r="L136" s="9"/>
      <c r="M136" s="9"/>
    </row>
    <row r="137" customFormat="false" ht="12.8" hidden="false" customHeight="false" outlineLevel="0" collapsed="false">
      <c r="B137" s="2" t="n">
        <v>49</v>
      </c>
      <c r="C137" s="37" t="s">
        <v>47</v>
      </c>
      <c r="D137" s="2" t="n">
        <v>0.194</v>
      </c>
      <c r="E137" s="2" t="s">
        <v>45</v>
      </c>
      <c r="G137" s="9"/>
      <c r="H137" s="9"/>
      <c r="I137" s="9"/>
      <c r="J137" s="9"/>
      <c r="K137" s="9"/>
      <c r="L137" s="9"/>
      <c r="M137" s="9"/>
    </row>
    <row r="138" customFormat="false" ht="12.8" hidden="false" customHeight="false" outlineLevel="0" collapsed="false">
      <c r="B138" s="2" t="n">
        <v>49</v>
      </c>
      <c r="C138" s="37" t="s">
        <v>53</v>
      </c>
      <c r="D138" s="2" t="n">
        <v>0.1533</v>
      </c>
      <c r="E138" s="2" t="s">
        <v>45</v>
      </c>
      <c r="G138" s="9"/>
      <c r="H138" s="9"/>
      <c r="I138" s="9"/>
      <c r="J138" s="9"/>
      <c r="K138" s="9"/>
      <c r="L138" s="9"/>
      <c r="M138" s="9"/>
    </row>
    <row r="139" customFormat="false" ht="12.8" hidden="false" customHeight="false" outlineLevel="0" collapsed="false">
      <c r="B139" s="2" t="n">
        <v>49</v>
      </c>
      <c r="C139" s="37" t="s">
        <v>52</v>
      </c>
      <c r="D139" s="2" t="n">
        <v>0.1528</v>
      </c>
      <c r="E139" s="2" t="s">
        <v>45</v>
      </c>
      <c r="G139" s="9"/>
      <c r="H139" s="9"/>
      <c r="I139" s="9"/>
      <c r="J139" s="9"/>
      <c r="K139" s="9"/>
      <c r="L139" s="9"/>
      <c r="M139" s="9"/>
    </row>
    <row r="140" customFormat="false" ht="12.8" hidden="false" customHeight="false" outlineLevel="0" collapsed="false">
      <c r="B140" s="2" t="n">
        <v>49</v>
      </c>
      <c r="C140" s="37" t="s">
        <v>54</v>
      </c>
      <c r="D140" s="2" t="n">
        <v>0.1</v>
      </c>
      <c r="E140" s="2" t="s">
        <v>45</v>
      </c>
      <c r="G140" s="9"/>
      <c r="H140" s="9"/>
      <c r="I140" s="9"/>
      <c r="J140" s="9"/>
      <c r="K140" s="9"/>
      <c r="L140" s="9"/>
      <c r="M140" s="9"/>
    </row>
    <row r="141" customFormat="false" ht="12.8" hidden="false" customHeight="false" outlineLevel="0" collapsed="false">
      <c r="B141" s="3" t="n">
        <v>1</v>
      </c>
      <c r="C141" s="3" t="s">
        <v>44</v>
      </c>
      <c r="D141" s="3" t="n">
        <v>0.2152</v>
      </c>
      <c r="E141" s="3" t="s">
        <v>48</v>
      </c>
      <c r="G141" s="9"/>
      <c r="H141" s="9"/>
      <c r="I141" s="9"/>
      <c r="J141" s="9"/>
      <c r="K141" s="9"/>
      <c r="L141" s="9"/>
      <c r="M141" s="9"/>
    </row>
    <row r="142" customFormat="false" ht="12.8" hidden="false" customHeight="false" outlineLevel="0" collapsed="false">
      <c r="B142" s="3" t="n">
        <v>1</v>
      </c>
      <c r="C142" s="3" t="s">
        <v>47</v>
      </c>
      <c r="D142" s="3" t="n">
        <v>0.1928</v>
      </c>
      <c r="E142" s="3" t="s">
        <v>48</v>
      </c>
      <c r="G142" s="9"/>
      <c r="H142" s="9"/>
      <c r="I142" s="9"/>
      <c r="J142" s="9"/>
      <c r="K142" s="9"/>
      <c r="L142" s="9"/>
      <c r="M142" s="9"/>
    </row>
    <row r="143" customFormat="false" ht="12.8" hidden="false" customHeight="false" outlineLevel="0" collapsed="false">
      <c r="B143" s="3" t="n">
        <v>1</v>
      </c>
      <c r="C143" s="3" t="s">
        <v>51</v>
      </c>
      <c r="D143" s="3" t="n">
        <v>0.1676</v>
      </c>
      <c r="E143" s="3" t="s">
        <v>48</v>
      </c>
      <c r="G143" s="9"/>
      <c r="H143" s="9"/>
      <c r="I143" s="9"/>
      <c r="J143" s="9"/>
      <c r="K143" s="9"/>
      <c r="L143" s="9"/>
      <c r="M143" s="9"/>
    </row>
    <row r="144" customFormat="false" ht="12.8" hidden="false" customHeight="false" outlineLevel="0" collapsed="false">
      <c r="B144" s="3" t="n">
        <v>1</v>
      </c>
      <c r="C144" s="3" t="s">
        <v>52</v>
      </c>
      <c r="D144" s="3" t="n">
        <v>0.1634</v>
      </c>
      <c r="E144" s="3" t="s">
        <v>48</v>
      </c>
      <c r="G144" s="9"/>
      <c r="H144" s="9"/>
      <c r="I144" s="9"/>
      <c r="J144" s="9"/>
      <c r="K144" s="9"/>
      <c r="L144" s="9"/>
      <c r="M144" s="9"/>
    </row>
    <row r="145" customFormat="false" ht="12.8" hidden="false" customHeight="false" outlineLevel="0" collapsed="false">
      <c r="B145" s="3" t="n">
        <v>1</v>
      </c>
      <c r="C145" s="3" t="s">
        <v>53</v>
      </c>
      <c r="D145" s="3" t="n">
        <v>0.1611</v>
      </c>
      <c r="E145" s="3" t="s">
        <v>48</v>
      </c>
      <c r="G145" s="9"/>
      <c r="H145" s="9"/>
      <c r="I145" s="9"/>
      <c r="J145" s="9"/>
      <c r="K145" s="9"/>
      <c r="L145" s="9"/>
      <c r="M145" s="9"/>
    </row>
    <row r="146" customFormat="false" ht="12.8" hidden="false" customHeight="false" outlineLevel="0" collapsed="false">
      <c r="B146" s="3" t="n">
        <v>1</v>
      </c>
      <c r="C146" s="3" t="s">
        <v>54</v>
      </c>
      <c r="D146" s="3" t="n">
        <v>0.1</v>
      </c>
      <c r="E146" s="3" t="s">
        <v>48</v>
      </c>
      <c r="G146" s="9"/>
      <c r="H146" s="9"/>
      <c r="I146" s="9"/>
      <c r="J146" s="9"/>
      <c r="K146" s="9"/>
      <c r="L146" s="9"/>
      <c r="M146" s="9"/>
    </row>
    <row r="147" customFormat="false" ht="12.8" hidden="false" customHeight="false" outlineLevel="0" collapsed="false">
      <c r="B147" s="3" t="n">
        <v>3</v>
      </c>
      <c r="C147" s="3" t="s">
        <v>44</v>
      </c>
      <c r="D147" s="3" t="n">
        <v>0.2137</v>
      </c>
      <c r="E147" s="3" t="s">
        <v>48</v>
      </c>
      <c r="G147" s="9"/>
      <c r="H147" s="9"/>
      <c r="I147" s="9"/>
      <c r="J147" s="9"/>
      <c r="K147" s="9"/>
      <c r="L147" s="9"/>
      <c r="M147" s="9"/>
    </row>
    <row r="148" customFormat="false" ht="12.8" hidden="false" customHeight="false" outlineLevel="0" collapsed="false">
      <c r="B148" s="3" t="n">
        <v>3</v>
      </c>
      <c r="C148" s="3" t="s">
        <v>47</v>
      </c>
      <c r="D148" s="3" t="n">
        <v>0.1849</v>
      </c>
      <c r="E148" s="3" t="s">
        <v>48</v>
      </c>
      <c r="G148" s="9"/>
      <c r="H148" s="9"/>
      <c r="I148" s="9"/>
      <c r="J148" s="9"/>
      <c r="K148" s="9"/>
      <c r="L148" s="9"/>
      <c r="M148" s="9"/>
    </row>
    <row r="149" customFormat="false" ht="12.8" hidden="false" customHeight="false" outlineLevel="0" collapsed="false">
      <c r="B149" s="3" t="n">
        <v>3</v>
      </c>
      <c r="C149" s="3" t="s">
        <v>55</v>
      </c>
      <c r="D149" s="3" t="n">
        <v>0.1779</v>
      </c>
      <c r="E149" s="3" t="s">
        <v>48</v>
      </c>
      <c r="G149" s="9"/>
      <c r="H149" s="9"/>
      <c r="I149" s="9"/>
      <c r="J149" s="9"/>
      <c r="K149" s="9"/>
      <c r="L149" s="9"/>
      <c r="M149" s="9"/>
    </row>
    <row r="150" customFormat="false" ht="12.8" hidden="false" customHeight="false" outlineLevel="0" collapsed="false">
      <c r="B150" s="3" t="n">
        <v>3</v>
      </c>
      <c r="C150" s="3" t="s">
        <v>51</v>
      </c>
      <c r="D150" s="3" t="n">
        <v>0.163</v>
      </c>
      <c r="E150" s="3" t="s">
        <v>48</v>
      </c>
      <c r="G150" s="9"/>
      <c r="H150" s="9"/>
      <c r="I150" s="9"/>
      <c r="J150" s="9"/>
      <c r="K150" s="9"/>
      <c r="L150" s="9"/>
      <c r="M150" s="9"/>
    </row>
    <row r="151" customFormat="false" ht="12.8" hidden="false" customHeight="false" outlineLevel="0" collapsed="false">
      <c r="B151" s="3" t="n">
        <v>3</v>
      </c>
      <c r="C151" s="3" t="s">
        <v>52</v>
      </c>
      <c r="D151" s="3" t="n">
        <v>0.1605</v>
      </c>
      <c r="E151" s="3" t="s">
        <v>48</v>
      </c>
      <c r="G151" s="9"/>
      <c r="H151" s="9"/>
      <c r="I151" s="9"/>
      <c r="J151" s="9"/>
      <c r="K151" s="9"/>
      <c r="L151" s="9"/>
      <c r="M151" s="9"/>
    </row>
    <row r="152" customFormat="false" ht="12.8" hidden="false" customHeight="false" outlineLevel="0" collapsed="false">
      <c r="B152" s="3" t="n">
        <v>3</v>
      </c>
      <c r="C152" s="3" t="s">
        <v>54</v>
      </c>
      <c r="D152" s="3" t="n">
        <v>0.1</v>
      </c>
      <c r="E152" s="3" t="s">
        <v>48</v>
      </c>
      <c r="G152" s="9"/>
      <c r="H152" s="9"/>
      <c r="I152" s="9"/>
      <c r="J152" s="9"/>
      <c r="K152" s="9"/>
      <c r="L152" s="9"/>
      <c r="M152" s="9"/>
    </row>
    <row r="153" customFormat="false" ht="12.8" hidden="false" customHeight="false" outlineLevel="0" collapsed="false">
      <c r="B153" s="3" t="n">
        <v>5</v>
      </c>
      <c r="C153" s="3" t="s">
        <v>44</v>
      </c>
      <c r="D153" s="3" t="n">
        <v>0.2125</v>
      </c>
      <c r="E153" s="3" t="s">
        <v>48</v>
      </c>
      <c r="G153" s="9"/>
      <c r="H153" s="9"/>
      <c r="I153" s="9"/>
      <c r="J153" s="9"/>
      <c r="K153" s="9"/>
      <c r="L153" s="9"/>
      <c r="M153" s="9"/>
    </row>
    <row r="154" customFormat="false" ht="12.8" hidden="false" customHeight="false" outlineLevel="0" collapsed="false">
      <c r="B154" s="3" t="n">
        <v>5</v>
      </c>
      <c r="C154" s="3" t="s">
        <v>47</v>
      </c>
      <c r="D154" s="3" t="n">
        <v>0.1871</v>
      </c>
      <c r="E154" s="3" t="s">
        <v>48</v>
      </c>
      <c r="G154" s="9"/>
      <c r="H154" s="9"/>
      <c r="I154" s="9"/>
      <c r="J154" s="9"/>
      <c r="K154" s="9"/>
      <c r="L154" s="9"/>
      <c r="M154" s="9"/>
    </row>
    <row r="155" customFormat="false" ht="12.8" hidden="false" customHeight="false" outlineLevel="0" collapsed="false">
      <c r="B155" s="3" t="n">
        <v>5</v>
      </c>
      <c r="C155" s="3" t="s">
        <v>52</v>
      </c>
      <c r="D155" s="3" t="n">
        <v>0.1772</v>
      </c>
      <c r="E155" s="3" t="s">
        <v>48</v>
      </c>
      <c r="G155" s="9"/>
      <c r="H155" s="9"/>
      <c r="I155" s="9"/>
      <c r="J155" s="9"/>
      <c r="K155" s="9"/>
      <c r="L155" s="9"/>
      <c r="M155" s="9"/>
    </row>
    <row r="156" customFormat="false" ht="12.8" hidden="false" customHeight="false" outlineLevel="0" collapsed="false">
      <c r="B156" s="3" t="n">
        <v>5</v>
      </c>
      <c r="C156" s="3" t="s">
        <v>55</v>
      </c>
      <c r="D156" s="3" t="n">
        <v>0.1658</v>
      </c>
      <c r="E156" s="3" t="s">
        <v>48</v>
      </c>
      <c r="G156" s="9"/>
      <c r="H156" s="9"/>
      <c r="I156" s="9"/>
      <c r="J156" s="9"/>
      <c r="K156" s="9"/>
      <c r="L156" s="9"/>
      <c r="M156" s="9"/>
    </row>
    <row r="157" customFormat="false" ht="12.8" hidden="false" customHeight="false" outlineLevel="0" collapsed="false">
      <c r="B157" s="3" t="n">
        <v>5</v>
      </c>
      <c r="C157" s="3" t="s">
        <v>51</v>
      </c>
      <c r="D157" s="3" t="n">
        <v>0.1575</v>
      </c>
      <c r="E157" s="3" t="s">
        <v>48</v>
      </c>
      <c r="G157" s="9"/>
      <c r="H157" s="9"/>
      <c r="I157" s="9"/>
      <c r="J157" s="9"/>
      <c r="K157" s="9"/>
      <c r="L157" s="9"/>
      <c r="M157" s="9"/>
    </row>
    <row r="158" customFormat="false" ht="12.8" hidden="false" customHeight="false" outlineLevel="0" collapsed="false">
      <c r="B158" s="3" t="n">
        <v>5</v>
      </c>
      <c r="C158" s="3" t="s">
        <v>54</v>
      </c>
      <c r="D158" s="3" t="n">
        <v>0.1</v>
      </c>
      <c r="E158" s="3" t="s">
        <v>48</v>
      </c>
      <c r="G158" s="9"/>
      <c r="H158" s="9"/>
      <c r="I158" s="9"/>
      <c r="J158" s="9"/>
      <c r="K158" s="9"/>
      <c r="L158" s="9"/>
      <c r="M158" s="9"/>
    </row>
    <row r="159" customFormat="false" ht="12.8" hidden="false" customHeight="false" outlineLevel="0" collapsed="false">
      <c r="B159" s="3" t="n">
        <v>7</v>
      </c>
      <c r="C159" s="3" t="s">
        <v>44</v>
      </c>
      <c r="D159" s="3" t="n">
        <v>0.225</v>
      </c>
      <c r="E159" s="3" t="s">
        <v>48</v>
      </c>
      <c r="G159" s="9"/>
      <c r="H159" s="9"/>
      <c r="I159" s="9"/>
      <c r="J159" s="9"/>
      <c r="K159" s="9"/>
      <c r="L159" s="9"/>
      <c r="M159" s="9"/>
    </row>
    <row r="160" customFormat="false" ht="12.8" hidden="false" customHeight="false" outlineLevel="0" collapsed="false">
      <c r="B160" s="3" t="n">
        <v>7</v>
      </c>
      <c r="C160" s="3" t="s">
        <v>47</v>
      </c>
      <c r="D160" s="3" t="n">
        <v>0.1964</v>
      </c>
      <c r="E160" s="3" t="s">
        <v>48</v>
      </c>
      <c r="G160" s="9"/>
      <c r="H160" s="9"/>
      <c r="I160" s="9"/>
      <c r="J160" s="9"/>
      <c r="K160" s="9"/>
      <c r="L160" s="9"/>
      <c r="M160" s="9"/>
    </row>
    <row r="161" customFormat="false" ht="12.8" hidden="false" customHeight="false" outlineLevel="0" collapsed="false">
      <c r="B161" s="3" t="n">
        <v>7</v>
      </c>
      <c r="C161" s="3" t="s">
        <v>51</v>
      </c>
      <c r="D161" s="3" t="n">
        <v>0.1655</v>
      </c>
      <c r="E161" s="3" t="s">
        <v>48</v>
      </c>
      <c r="G161" s="9"/>
      <c r="H161" s="9"/>
      <c r="I161" s="9"/>
      <c r="J161" s="9"/>
      <c r="K161" s="9"/>
      <c r="L161" s="9"/>
      <c r="M161" s="9"/>
    </row>
    <row r="162" customFormat="false" ht="12.8" hidden="false" customHeight="false" outlineLevel="0" collapsed="false">
      <c r="B162" s="3" t="n">
        <v>7</v>
      </c>
      <c r="C162" s="3" t="s">
        <v>55</v>
      </c>
      <c r="D162" s="3" t="n">
        <v>0.1569</v>
      </c>
      <c r="E162" s="3" t="s">
        <v>48</v>
      </c>
      <c r="G162" s="9"/>
      <c r="H162" s="9"/>
      <c r="I162" s="9"/>
      <c r="J162" s="9"/>
      <c r="K162" s="9"/>
      <c r="L162" s="9"/>
      <c r="M162" s="9"/>
    </row>
    <row r="163" customFormat="false" ht="12.8" hidden="false" customHeight="false" outlineLevel="0" collapsed="false">
      <c r="B163" s="3" t="n">
        <v>7</v>
      </c>
      <c r="C163" s="3" t="s">
        <v>52</v>
      </c>
      <c r="D163" s="3" t="n">
        <v>0.1562</v>
      </c>
      <c r="E163" s="3" t="s">
        <v>48</v>
      </c>
      <c r="G163" s="9"/>
      <c r="H163" s="9"/>
      <c r="I163" s="9"/>
      <c r="J163" s="9"/>
      <c r="K163" s="9"/>
      <c r="L163" s="9"/>
      <c r="M163" s="9"/>
    </row>
    <row r="164" customFormat="false" ht="12.8" hidden="false" customHeight="false" outlineLevel="0" collapsed="false">
      <c r="B164" s="3" t="n">
        <v>7</v>
      </c>
      <c r="C164" s="3" t="s">
        <v>54</v>
      </c>
      <c r="D164" s="3" t="n">
        <v>0.1</v>
      </c>
      <c r="E164" s="3" t="s">
        <v>48</v>
      </c>
      <c r="G164" s="9"/>
      <c r="H164" s="9"/>
      <c r="I164" s="9"/>
      <c r="J164" s="9"/>
      <c r="K164" s="9"/>
      <c r="L164" s="9"/>
      <c r="M164" s="9"/>
    </row>
    <row r="165" customFormat="false" ht="12.8" hidden="false" customHeight="false" outlineLevel="0" collapsed="false">
      <c r="B165" s="3" t="n">
        <v>9</v>
      </c>
      <c r="C165" s="3" t="s">
        <v>44</v>
      </c>
      <c r="D165" s="3" t="n">
        <v>0.2138</v>
      </c>
      <c r="E165" s="3" t="s">
        <v>48</v>
      </c>
      <c r="G165" s="9"/>
      <c r="H165" s="9"/>
      <c r="I165" s="9"/>
      <c r="J165" s="9"/>
      <c r="K165" s="9"/>
      <c r="L165" s="9"/>
      <c r="M165" s="9"/>
    </row>
    <row r="166" customFormat="false" ht="12.8" hidden="false" customHeight="false" outlineLevel="0" collapsed="false">
      <c r="B166" s="3" t="n">
        <v>9</v>
      </c>
      <c r="C166" s="3" t="s">
        <v>47</v>
      </c>
      <c r="D166" s="3" t="n">
        <v>0.1822</v>
      </c>
      <c r="E166" s="3" t="s">
        <v>48</v>
      </c>
      <c r="G166" s="9"/>
      <c r="H166" s="9"/>
      <c r="I166" s="9"/>
      <c r="J166" s="9"/>
      <c r="K166" s="9"/>
      <c r="L166" s="9"/>
      <c r="M166" s="9"/>
    </row>
    <row r="167" customFormat="false" ht="12.8" hidden="false" customHeight="false" outlineLevel="0" collapsed="false">
      <c r="B167" s="3" t="n">
        <v>9</v>
      </c>
      <c r="C167" s="3" t="s">
        <v>55</v>
      </c>
      <c r="D167" s="3" t="n">
        <v>0.1812</v>
      </c>
      <c r="E167" s="3" t="s">
        <v>48</v>
      </c>
      <c r="G167" s="9"/>
      <c r="H167" s="9"/>
      <c r="I167" s="9"/>
      <c r="J167" s="9"/>
      <c r="K167" s="9"/>
      <c r="L167" s="9"/>
      <c r="M167" s="9"/>
    </row>
    <row r="168" customFormat="false" ht="12.8" hidden="false" customHeight="false" outlineLevel="0" collapsed="false">
      <c r="B168" s="3" t="n">
        <v>9</v>
      </c>
      <c r="C168" s="3" t="s">
        <v>51</v>
      </c>
      <c r="D168" s="3" t="n">
        <v>0.1631</v>
      </c>
      <c r="E168" s="3" t="s">
        <v>48</v>
      </c>
      <c r="G168" s="9"/>
      <c r="H168" s="9"/>
      <c r="I168" s="9"/>
      <c r="J168" s="9"/>
      <c r="K168" s="9"/>
      <c r="L168" s="9"/>
      <c r="M168" s="9"/>
    </row>
    <row r="169" customFormat="false" ht="12.8" hidden="false" customHeight="false" outlineLevel="0" collapsed="false">
      <c r="B169" s="3" t="n">
        <v>9</v>
      </c>
      <c r="C169" s="3" t="s">
        <v>52</v>
      </c>
      <c r="D169" s="3" t="n">
        <v>0.1597</v>
      </c>
      <c r="E169" s="3" t="s">
        <v>48</v>
      </c>
      <c r="G169" s="9"/>
      <c r="H169" s="9"/>
      <c r="I169" s="9"/>
      <c r="J169" s="9"/>
      <c r="K169" s="9"/>
      <c r="L169" s="9"/>
      <c r="M169" s="9"/>
    </row>
    <row r="170" customFormat="false" ht="12.8" hidden="false" customHeight="false" outlineLevel="0" collapsed="false">
      <c r="B170" s="3" t="n">
        <v>9</v>
      </c>
      <c r="C170" s="3" t="s">
        <v>54</v>
      </c>
      <c r="D170" s="3" t="n">
        <v>0.1</v>
      </c>
      <c r="E170" s="3" t="s">
        <v>48</v>
      </c>
      <c r="G170" s="9"/>
      <c r="H170" s="9"/>
      <c r="I170" s="9"/>
      <c r="J170" s="9"/>
      <c r="K170" s="9"/>
      <c r="L170" s="9"/>
      <c r="M170" s="9"/>
    </row>
    <row r="171" customFormat="false" ht="12.8" hidden="false" customHeight="false" outlineLevel="0" collapsed="false">
      <c r="B171" s="3" t="n">
        <v>11</v>
      </c>
      <c r="C171" s="3" t="s">
        <v>44</v>
      </c>
      <c r="D171" s="3" t="n">
        <v>0.2215</v>
      </c>
      <c r="E171" s="3" t="s">
        <v>48</v>
      </c>
      <c r="G171" s="9"/>
      <c r="H171" s="9"/>
      <c r="I171" s="9"/>
      <c r="J171" s="9"/>
      <c r="K171" s="9"/>
      <c r="L171" s="9"/>
      <c r="M171" s="9"/>
    </row>
    <row r="172" customFormat="false" ht="12.8" hidden="false" customHeight="false" outlineLevel="0" collapsed="false">
      <c r="B172" s="3" t="n">
        <v>11</v>
      </c>
      <c r="C172" s="3" t="s">
        <v>47</v>
      </c>
      <c r="D172" s="3" t="n">
        <v>0.1978</v>
      </c>
      <c r="E172" s="3" t="s">
        <v>48</v>
      </c>
      <c r="G172" s="9"/>
      <c r="H172" s="9"/>
      <c r="I172" s="9"/>
      <c r="J172" s="9"/>
      <c r="K172" s="9"/>
      <c r="L172" s="9"/>
      <c r="M172" s="9"/>
    </row>
    <row r="173" customFormat="false" ht="12.8" hidden="false" customHeight="false" outlineLevel="0" collapsed="false">
      <c r="B173" s="3" t="n">
        <v>11</v>
      </c>
      <c r="C173" s="3" t="s">
        <v>51</v>
      </c>
      <c r="D173" s="3" t="n">
        <v>0.1621</v>
      </c>
      <c r="E173" s="3" t="s">
        <v>48</v>
      </c>
      <c r="G173" s="9"/>
      <c r="H173" s="9"/>
      <c r="I173" s="9"/>
      <c r="J173" s="9"/>
      <c r="K173" s="9"/>
      <c r="L173" s="9"/>
      <c r="M173" s="9"/>
    </row>
    <row r="174" customFormat="false" ht="12.8" hidden="false" customHeight="false" outlineLevel="0" collapsed="false">
      <c r="B174" s="3" t="n">
        <v>11</v>
      </c>
      <c r="C174" s="3" t="s">
        <v>52</v>
      </c>
      <c r="D174" s="3" t="n">
        <v>0.1602</v>
      </c>
      <c r="E174" s="3" t="s">
        <v>48</v>
      </c>
      <c r="G174" s="9"/>
      <c r="H174" s="9"/>
      <c r="I174" s="9"/>
      <c r="J174" s="9"/>
      <c r="K174" s="9"/>
      <c r="L174" s="9"/>
      <c r="M174" s="9"/>
    </row>
    <row r="175" customFormat="false" ht="12.8" hidden="false" customHeight="false" outlineLevel="0" collapsed="false">
      <c r="B175" s="3" t="n">
        <v>11</v>
      </c>
      <c r="C175" s="3" t="s">
        <v>55</v>
      </c>
      <c r="D175" s="3" t="n">
        <v>0.1584</v>
      </c>
      <c r="E175" s="3" t="s">
        <v>48</v>
      </c>
      <c r="G175" s="9"/>
      <c r="H175" s="9"/>
      <c r="I175" s="9"/>
      <c r="J175" s="9"/>
      <c r="K175" s="9"/>
      <c r="L175" s="9"/>
      <c r="M175" s="9"/>
    </row>
    <row r="176" customFormat="false" ht="12.8" hidden="false" customHeight="false" outlineLevel="0" collapsed="false">
      <c r="B176" s="3" t="n">
        <v>11</v>
      </c>
      <c r="C176" s="3" t="s">
        <v>54</v>
      </c>
      <c r="D176" s="3" t="n">
        <v>0.1</v>
      </c>
      <c r="E176" s="3" t="s">
        <v>48</v>
      </c>
      <c r="G176" s="9"/>
      <c r="H176" s="9"/>
      <c r="I176" s="9"/>
      <c r="J176" s="9"/>
      <c r="K176" s="9"/>
      <c r="L176" s="9"/>
      <c r="M176" s="9"/>
    </row>
    <row r="177" customFormat="false" ht="12.8" hidden="false" customHeight="false" outlineLevel="0" collapsed="false">
      <c r="B177" s="3" t="n">
        <v>13</v>
      </c>
      <c r="C177" s="3" t="s">
        <v>44</v>
      </c>
      <c r="D177" s="3" t="n">
        <v>0.2263</v>
      </c>
      <c r="E177" s="3" t="s">
        <v>48</v>
      </c>
      <c r="G177" s="9"/>
      <c r="H177" s="9"/>
      <c r="I177" s="9"/>
      <c r="J177" s="9"/>
      <c r="K177" s="9"/>
      <c r="L177" s="9"/>
      <c r="M177" s="9"/>
    </row>
    <row r="178" customFormat="false" ht="12.8" hidden="false" customHeight="false" outlineLevel="0" collapsed="false">
      <c r="B178" s="3" t="n">
        <v>13</v>
      </c>
      <c r="C178" s="3" t="s">
        <v>47</v>
      </c>
      <c r="D178" s="3" t="n">
        <v>0.1786</v>
      </c>
      <c r="E178" s="3" t="s">
        <v>48</v>
      </c>
      <c r="G178" s="9"/>
      <c r="H178" s="9"/>
      <c r="I178" s="9"/>
      <c r="J178" s="9"/>
      <c r="K178" s="9"/>
      <c r="L178" s="9"/>
      <c r="M178" s="9"/>
    </row>
    <row r="179" customFormat="false" ht="12.8" hidden="false" customHeight="false" outlineLevel="0" collapsed="false">
      <c r="B179" s="3" t="n">
        <v>13</v>
      </c>
      <c r="C179" s="3" t="s">
        <v>51</v>
      </c>
      <c r="D179" s="3" t="n">
        <v>0.1752</v>
      </c>
      <c r="E179" s="3" t="s">
        <v>48</v>
      </c>
      <c r="G179" s="9"/>
      <c r="H179" s="9"/>
      <c r="I179" s="9"/>
      <c r="J179" s="9"/>
      <c r="K179" s="9"/>
      <c r="L179" s="9"/>
      <c r="M179" s="9"/>
    </row>
    <row r="180" customFormat="false" ht="12.8" hidden="false" customHeight="false" outlineLevel="0" collapsed="false">
      <c r="B180" s="3" t="n">
        <v>13</v>
      </c>
      <c r="C180" s="3" t="s">
        <v>55</v>
      </c>
      <c r="D180" s="3" t="n">
        <v>0.1642</v>
      </c>
      <c r="E180" s="3" t="s">
        <v>48</v>
      </c>
      <c r="G180" s="9"/>
      <c r="H180" s="9"/>
      <c r="I180" s="9"/>
      <c r="J180" s="9"/>
      <c r="K180" s="9"/>
      <c r="L180" s="9"/>
      <c r="M180" s="9"/>
    </row>
    <row r="181" customFormat="false" ht="12.8" hidden="false" customHeight="false" outlineLevel="0" collapsed="false">
      <c r="B181" s="3" t="n">
        <v>13</v>
      </c>
      <c r="C181" s="3" t="s">
        <v>52</v>
      </c>
      <c r="D181" s="3" t="n">
        <v>0.1557</v>
      </c>
      <c r="E181" s="3" t="s">
        <v>48</v>
      </c>
      <c r="G181" s="9"/>
      <c r="H181" s="9"/>
      <c r="I181" s="9"/>
      <c r="J181" s="9"/>
      <c r="K181" s="9"/>
      <c r="L181" s="9"/>
      <c r="M181" s="9"/>
    </row>
    <row r="182" customFormat="false" ht="12.8" hidden="false" customHeight="false" outlineLevel="0" collapsed="false">
      <c r="B182" s="3" t="n">
        <v>13</v>
      </c>
      <c r="C182" s="3" t="s">
        <v>54</v>
      </c>
      <c r="D182" s="3" t="n">
        <v>0.1</v>
      </c>
      <c r="E182" s="3" t="s">
        <v>48</v>
      </c>
      <c r="G182" s="9"/>
      <c r="H182" s="9"/>
      <c r="I182" s="9"/>
      <c r="J182" s="9"/>
      <c r="K182" s="9"/>
      <c r="L182" s="9"/>
      <c r="M182" s="9"/>
    </row>
    <row r="183" customFormat="false" ht="12.8" hidden="false" customHeight="false" outlineLevel="0" collapsed="false">
      <c r="B183" s="3" t="n">
        <v>15</v>
      </c>
      <c r="C183" s="3" t="s">
        <v>44</v>
      </c>
      <c r="D183" s="3" t="n">
        <v>0.202</v>
      </c>
      <c r="E183" s="3" t="s">
        <v>48</v>
      </c>
      <c r="G183" s="9"/>
      <c r="H183" s="9"/>
      <c r="I183" s="9"/>
      <c r="J183" s="9"/>
      <c r="K183" s="9"/>
      <c r="L183" s="9"/>
      <c r="M183" s="9"/>
    </row>
    <row r="184" customFormat="false" ht="12.8" hidden="false" customHeight="false" outlineLevel="0" collapsed="false">
      <c r="B184" s="3" t="n">
        <v>15</v>
      </c>
      <c r="C184" s="3" t="s">
        <v>47</v>
      </c>
      <c r="D184" s="3" t="n">
        <v>0.1975</v>
      </c>
      <c r="E184" s="3" t="s">
        <v>48</v>
      </c>
      <c r="G184" s="9"/>
      <c r="H184" s="9"/>
      <c r="I184" s="9"/>
      <c r="J184" s="9"/>
      <c r="K184" s="9"/>
      <c r="L184" s="9"/>
      <c r="M184" s="9"/>
    </row>
    <row r="185" customFormat="false" ht="12.8" hidden="false" customHeight="false" outlineLevel="0" collapsed="false">
      <c r="B185" s="3" t="n">
        <v>15</v>
      </c>
      <c r="C185" s="3" t="s">
        <v>55</v>
      </c>
      <c r="D185" s="3" t="n">
        <v>0.1745</v>
      </c>
      <c r="E185" s="3" t="s">
        <v>48</v>
      </c>
      <c r="G185" s="9"/>
      <c r="H185" s="9"/>
      <c r="I185" s="9"/>
      <c r="J185" s="9"/>
      <c r="K185" s="9"/>
      <c r="L185" s="9"/>
      <c r="M185" s="9"/>
    </row>
    <row r="186" customFormat="false" ht="12.8" hidden="false" customHeight="false" outlineLevel="0" collapsed="false">
      <c r="B186" s="3" t="n">
        <v>15</v>
      </c>
      <c r="C186" s="3" t="s">
        <v>51</v>
      </c>
      <c r="D186" s="3" t="n">
        <v>0.1636</v>
      </c>
      <c r="E186" s="3" t="s">
        <v>48</v>
      </c>
      <c r="G186" s="9"/>
      <c r="H186" s="9"/>
      <c r="I186" s="9"/>
      <c r="J186" s="9"/>
      <c r="K186" s="9"/>
      <c r="L186" s="9"/>
      <c r="M186" s="9"/>
    </row>
    <row r="187" customFormat="false" ht="12.8" hidden="false" customHeight="false" outlineLevel="0" collapsed="false">
      <c r="B187" s="3" t="n">
        <v>15</v>
      </c>
      <c r="C187" s="3" t="s">
        <v>52</v>
      </c>
      <c r="D187" s="3" t="n">
        <v>0.1625</v>
      </c>
      <c r="E187" s="3" t="s">
        <v>48</v>
      </c>
      <c r="G187" s="9"/>
      <c r="H187" s="9"/>
      <c r="I187" s="9"/>
      <c r="J187" s="9"/>
      <c r="K187" s="9"/>
      <c r="L187" s="9"/>
      <c r="M187" s="9"/>
    </row>
    <row r="188" customFormat="false" ht="12.8" hidden="false" customHeight="false" outlineLevel="0" collapsed="false">
      <c r="B188" s="3" t="n">
        <v>15</v>
      </c>
      <c r="C188" s="3" t="s">
        <v>54</v>
      </c>
      <c r="D188" s="3" t="n">
        <v>0.1</v>
      </c>
      <c r="E188" s="3" t="s">
        <v>48</v>
      </c>
      <c r="G188" s="9"/>
      <c r="H188" s="9"/>
      <c r="I188" s="9"/>
      <c r="J188" s="9"/>
      <c r="K188" s="9"/>
      <c r="L188" s="9"/>
      <c r="M188" s="9"/>
    </row>
    <row r="189" customFormat="false" ht="12.8" hidden="false" customHeight="false" outlineLevel="0" collapsed="false">
      <c r="B189" s="3" t="n">
        <v>17</v>
      </c>
      <c r="C189" s="3" t="s">
        <v>47</v>
      </c>
      <c r="D189" s="3" t="n">
        <v>0.2036</v>
      </c>
      <c r="E189" s="3" t="s">
        <v>48</v>
      </c>
      <c r="G189" s="9"/>
      <c r="H189" s="9"/>
      <c r="I189" s="9"/>
      <c r="J189" s="9"/>
      <c r="K189" s="9"/>
      <c r="L189" s="9"/>
      <c r="M189" s="9"/>
    </row>
    <row r="190" customFormat="false" ht="12.8" hidden="false" customHeight="false" outlineLevel="0" collapsed="false">
      <c r="B190" s="3" t="n">
        <v>17</v>
      </c>
      <c r="C190" s="3" t="s">
        <v>44</v>
      </c>
      <c r="D190" s="3" t="n">
        <v>0.2005</v>
      </c>
      <c r="E190" s="3" t="s">
        <v>48</v>
      </c>
      <c r="G190" s="9"/>
      <c r="H190" s="9"/>
      <c r="I190" s="9"/>
      <c r="J190" s="9"/>
      <c r="K190" s="9"/>
      <c r="L190" s="9"/>
      <c r="M190" s="9"/>
    </row>
    <row r="191" customFormat="false" ht="12.8" hidden="false" customHeight="false" outlineLevel="0" collapsed="false">
      <c r="B191" s="3" t="n">
        <v>17</v>
      </c>
      <c r="C191" s="3" t="s">
        <v>55</v>
      </c>
      <c r="D191" s="3" t="n">
        <v>0.1684</v>
      </c>
      <c r="E191" s="3" t="s">
        <v>48</v>
      </c>
      <c r="G191" s="9"/>
      <c r="H191" s="9"/>
      <c r="I191" s="9"/>
      <c r="J191" s="9"/>
      <c r="K191" s="9"/>
      <c r="L191" s="9"/>
      <c r="M191" s="9"/>
    </row>
    <row r="192" customFormat="false" ht="12.8" hidden="false" customHeight="false" outlineLevel="0" collapsed="false">
      <c r="B192" s="3" t="n">
        <v>17</v>
      </c>
      <c r="C192" s="3" t="s">
        <v>52</v>
      </c>
      <c r="D192" s="3" t="n">
        <v>0.1652</v>
      </c>
      <c r="E192" s="3" t="s">
        <v>48</v>
      </c>
      <c r="G192" s="9"/>
      <c r="H192" s="9"/>
      <c r="I192" s="9"/>
      <c r="J192" s="9"/>
      <c r="K192" s="9"/>
      <c r="L192" s="9"/>
      <c r="M192" s="9"/>
    </row>
    <row r="193" customFormat="false" ht="12.8" hidden="false" customHeight="false" outlineLevel="0" collapsed="false">
      <c r="B193" s="3" t="n">
        <v>17</v>
      </c>
      <c r="C193" s="3" t="s">
        <v>53</v>
      </c>
      <c r="D193" s="3" t="n">
        <v>0.1623</v>
      </c>
      <c r="E193" s="3" t="s">
        <v>48</v>
      </c>
      <c r="G193" s="9"/>
      <c r="H193" s="9"/>
      <c r="I193" s="9"/>
      <c r="J193" s="9"/>
      <c r="K193" s="9"/>
      <c r="L193" s="9"/>
      <c r="M193" s="9"/>
    </row>
    <row r="194" customFormat="false" ht="12.8" hidden="false" customHeight="false" outlineLevel="0" collapsed="false">
      <c r="B194" s="3" t="n">
        <v>17</v>
      </c>
      <c r="C194" s="3" t="s">
        <v>54</v>
      </c>
      <c r="D194" s="3" t="n">
        <v>0.1</v>
      </c>
      <c r="E194" s="3" t="s">
        <v>48</v>
      </c>
      <c r="G194" s="9"/>
      <c r="H194" s="9"/>
      <c r="I194" s="9"/>
      <c r="J194" s="9"/>
      <c r="K194" s="9"/>
      <c r="L194" s="9"/>
      <c r="M194" s="9"/>
    </row>
    <row r="195" customFormat="false" ht="12.8" hidden="false" customHeight="false" outlineLevel="0" collapsed="false">
      <c r="B195" s="3" t="n">
        <v>19</v>
      </c>
      <c r="C195" s="3" t="s">
        <v>44</v>
      </c>
      <c r="D195" s="3" t="n">
        <v>0.21</v>
      </c>
      <c r="E195" s="3" t="s">
        <v>48</v>
      </c>
      <c r="G195" s="9"/>
      <c r="H195" s="9"/>
      <c r="I195" s="9"/>
      <c r="J195" s="9"/>
      <c r="K195" s="9"/>
      <c r="L195" s="9"/>
      <c r="M195" s="9"/>
    </row>
    <row r="196" customFormat="false" ht="12.8" hidden="false" customHeight="false" outlineLevel="0" collapsed="false">
      <c r="B196" s="3" t="n">
        <v>19</v>
      </c>
      <c r="C196" s="3" t="s">
        <v>47</v>
      </c>
      <c r="D196" s="3" t="n">
        <v>0.1959</v>
      </c>
      <c r="E196" s="3" t="s">
        <v>48</v>
      </c>
      <c r="G196" s="9"/>
      <c r="H196" s="9"/>
      <c r="I196" s="9"/>
      <c r="J196" s="9"/>
      <c r="K196" s="9"/>
      <c r="L196" s="9"/>
      <c r="M196" s="9"/>
    </row>
    <row r="197" customFormat="false" ht="12.8" hidden="false" customHeight="false" outlineLevel="0" collapsed="false">
      <c r="B197" s="3" t="n">
        <v>19</v>
      </c>
      <c r="C197" s="3" t="s">
        <v>51</v>
      </c>
      <c r="D197" s="3" t="n">
        <v>0.1734</v>
      </c>
      <c r="E197" s="3" t="s">
        <v>48</v>
      </c>
      <c r="G197" s="9"/>
      <c r="H197" s="9"/>
      <c r="I197" s="9"/>
      <c r="J197" s="9"/>
      <c r="K197" s="9"/>
      <c r="L197" s="9"/>
      <c r="M197" s="9"/>
    </row>
    <row r="198" customFormat="false" ht="12.8" hidden="false" customHeight="false" outlineLevel="0" collapsed="false">
      <c r="B198" s="3" t="n">
        <v>19</v>
      </c>
      <c r="C198" s="3" t="s">
        <v>52</v>
      </c>
      <c r="D198" s="3" t="n">
        <v>0.1634</v>
      </c>
      <c r="E198" s="3" t="s">
        <v>48</v>
      </c>
      <c r="G198" s="9"/>
      <c r="H198" s="9"/>
      <c r="I198" s="9"/>
      <c r="J198" s="9"/>
      <c r="K198" s="9"/>
      <c r="L198" s="9"/>
      <c r="M198" s="9"/>
    </row>
    <row r="199" customFormat="false" ht="12.8" hidden="false" customHeight="false" outlineLevel="0" collapsed="false">
      <c r="B199" s="3" t="n">
        <v>19</v>
      </c>
      <c r="C199" s="3" t="s">
        <v>55</v>
      </c>
      <c r="D199" s="3" t="n">
        <v>0.1574</v>
      </c>
      <c r="E199" s="3" t="s">
        <v>48</v>
      </c>
      <c r="G199" s="9"/>
      <c r="H199" s="9"/>
      <c r="I199" s="9"/>
      <c r="J199" s="9"/>
      <c r="K199" s="9"/>
      <c r="L199" s="9"/>
      <c r="M199" s="9"/>
    </row>
    <row r="200" customFormat="false" ht="12.8" hidden="false" customHeight="false" outlineLevel="0" collapsed="false">
      <c r="B200" s="3" t="n">
        <v>19</v>
      </c>
      <c r="C200" s="3" t="s">
        <v>54</v>
      </c>
      <c r="D200" s="3" t="n">
        <v>0.1</v>
      </c>
      <c r="E200" s="3" t="s">
        <v>48</v>
      </c>
      <c r="G200" s="9"/>
      <c r="H200" s="9"/>
      <c r="I200" s="9"/>
      <c r="J200" s="9"/>
      <c r="K200" s="9"/>
      <c r="L200" s="9"/>
      <c r="M200" s="9"/>
    </row>
    <row r="201" customFormat="false" ht="12.8" hidden="false" customHeight="false" outlineLevel="0" collapsed="false">
      <c r="B201" s="3" t="n">
        <v>21</v>
      </c>
      <c r="C201" s="3" t="s">
        <v>47</v>
      </c>
      <c r="D201" s="3" t="n">
        <v>0.2046</v>
      </c>
      <c r="E201" s="3" t="s">
        <v>48</v>
      </c>
      <c r="G201" s="9"/>
      <c r="H201" s="9"/>
      <c r="I201" s="9"/>
      <c r="J201" s="9"/>
      <c r="K201" s="9"/>
      <c r="L201" s="9"/>
      <c r="M201" s="9"/>
    </row>
    <row r="202" customFormat="false" ht="12.8" hidden="false" customHeight="false" outlineLevel="0" collapsed="false">
      <c r="B202" s="3" t="n">
        <v>21</v>
      </c>
      <c r="C202" s="3" t="s">
        <v>44</v>
      </c>
      <c r="D202" s="3" t="n">
        <v>0.1923</v>
      </c>
      <c r="E202" s="3" t="s">
        <v>48</v>
      </c>
      <c r="G202" s="9"/>
      <c r="H202" s="9"/>
      <c r="I202" s="9"/>
      <c r="J202" s="9"/>
      <c r="K202" s="9"/>
      <c r="L202" s="9"/>
      <c r="M202" s="9"/>
    </row>
    <row r="203" customFormat="false" ht="12.8" hidden="false" customHeight="false" outlineLevel="0" collapsed="false">
      <c r="B203" s="3" t="n">
        <v>21</v>
      </c>
      <c r="C203" s="3" t="s">
        <v>52</v>
      </c>
      <c r="D203" s="3" t="n">
        <v>0.1716</v>
      </c>
      <c r="E203" s="3" t="s">
        <v>48</v>
      </c>
      <c r="G203" s="9"/>
      <c r="H203" s="9"/>
      <c r="I203" s="9"/>
      <c r="J203" s="9"/>
      <c r="K203" s="9"/>
      <c r="L203" s="9"/>
      <c r="M203" s="9"/>
    </row>
    <row r="204" customFormat="false" ht="12.8" hidden="false" customHeight="false" outlineLevel="0" collapsed="false">
      <c r="B204" s="3" t="n">
        <v>21</v>
      </c>
      <c r="C204" s="3" t="s">
        <v>57</v>
      </c>
      <c r="D204" s="3" t="n">
        <v>0.1711</v>
      </c>
      <c r="E204" s="3" t="s">
        <v>48</v>
      </c>
      <c r="G204" s="9"/>
      <c r="H204" s="9"/>
      <c r="I204" s="9"/>
      <c r="J204" s="9"/>
      <c r="K204" s="9"/>
      <c r="L204" s="9"/>
      <c r="M204" s="9"/>
    </row>
    <row r="205" customFormat="false" ht="12.8" hidden="false" customHeight="false" outlineLevel="0" collapsed="false">
      <c r="B205" s="3" t="n">
        <v>21</v>
      </c>
      <c r="C205" s="3" t="s">
        <v>51</v>
      </c>
      <c r="D205" s="3" t="n">
        <v>0.1604</v>
      </c>
      <c r="E205" s="3" t="s">
        <v>48</v>
      </c>
      <c r="G205" s="9"/>
      <c r="H205" s="9"/>
      <c r="I205" s="9"/>
      <c r="J205" s="9"/>
      <c r="K205" s="9"/>
      <c r="L205" s="9"/>
      <c r="M205" s="9"/>
    </row>
    <row r="206" customFormat="false" ht="12.8" hidden="false" customHeight="false" outlineLevel="0" collapsed="false">
      <c r="B206" s="3" t="n">
        <v>21</v>
      </c>
      <c r="C206" s="3" t="s">
        <v>54</v>
      </c>
      <c r="D206" s="3" t="n">
        <v>0.1</v>
      </c>
      <c r="E206" s="3" t="s">
        <v>48</v>
      </c>
      <c r="M206" s="9"/>
    </row>
    <row r="207" customFormat="false" ht="12.8" hidden="false" customHeight="false" outlineLevel="0" collapsed="false">
      <c r="B207" s="3" t="n">
        <v>23</v>
      </c>
      <c r="C207" s="3" t="s">
        <v>44</v>
      </c>
      <c r="D207" s="3" t="n">
        <v>0.2409</v>
      </c>
      <c r="E207" s="3" t="s">
        <v>48</v>
      </c>
      <c r="M207" s="9"/>
    </row>
    <row r="208" customFormat="false" ht="12.8" hidden="false" customHeight="false" outlineLevel="0" collapsed="false">
      <c r="B208" s="3" t="n">
        <v>23</v>
      </c>
      <c r="C208" s="3" t="s">
        <v>47</v>
      </c>
      <c r="D208" s="3" t="n">
        <v>0.2352</v>
      </c>
      <c r="E208" s="3" t="s">
        <v>48</v>
      </c>
      <c r="G208" s="10" t="s">
        <v>59</v>
      </c>
      <c r="H208" s="11" t="s">
        <v>43</v>
      </c>
      <c r="I208" s="12"/>
      <c r="J208" s="12"/>
      <c r="K208" s="12"/>
      <c r="L208" s="13"/>
      <c r="M208" s="9"/>
    </row>
    <row r="209" customFormat="false" ht="12.8" hidden="false" customHeight="false" outlineLevel="0" collapsed="false">
      <c r="B209" s="3" t="n">
        <v>23</v>
      </c>
      <c r="C209" s="3" t="s">
        <v>52</v>
      </c>
      <c r="D209" s="3" t="n">
        <v>0.2261</v>
      </c>
      <c r="E209" s="3" t="s">
        <v>48</v>
      </c>
      <c r="G209" s="14" t="s">
        <v>41</v>
      </c>
      <c r="H209" s="15" t="s">
        <v>48</v>
      </c>
      <c r="I209" s="16" t="s">
        <v>49</v>
      </c>
      <c r="J209" s="16" t="s">
        <v>50</v>
      </c>
      <c r="K209" s="16" t="s">
        <v>45</v>
      </c>
      <c r="L209" s="17" t="s">
        <v>39</v>
      </c>
    </row>
    <row r="210" customFormat="false" ht="12.8" hidden="false" customHeight="false" outlineLevel="0" collapsed="false">
      <c r="B210" s="3" t="n">
        <v>23</v>
      </c>
      <c r="C210" s="3" t="s">
        <v>55</v>
      </c>
      <c r="D210" s="3" t="n">
        <v>0.1978</v>
      </c>
      <c r="E210" s="3" t="s">
        <v>48</v>
      </c>
      <c r="G210" s="18" t="s">
        <v>52</v>
      </c>
      <c r="H210" s="19" t="n">
        <v>20</v>
      </c>
      <c r="I210" s="20" t="n">
        <v>18</v>
      </c>
      <c r="J210" s="20" t="n">
        <v>24</v>
      </c>
      <c r="K210" s="21" t="n">
        <v>17</v>
      </c>
      <c r="L210" s="22" t="n">
        <v>79</v>
      </c>
    </row>
    <row r="211" customFormat="false" ht="12.8" hidden="false" customHeight="false" outlineLevel="0" collapsed="false">
      <c r="B211" s="3" t="n">
        <v>23</v>
      </c>
      <c r="C211" s="3" t="s">
        <v>54</v>
      </c>
      <c r="D211" s="3" t="n">
        <v>0.1</v>
      </c>
      <c r="E211" s="3" t="s">
        <v>48</v>
      </c>
      <c r="G211" s="23" t="s">
        <v>57</v>
      </c>
      <c r="H211" s="24" t="n">
        <v>1</v>
      </c>
      <c r="I211" s="25" t="n">
        <v>1</v>
      </c>
      <c r="J211" s="25"/>
      <c r="K211" s="26" t="n">
        <v>2</v>
      </c>
      <c r="L211" s="27" t="n">
        <v>4</v>
      </c>
    </row>
    <row r="212" customFormat="false" ht="12.8" hidden="false" customHeight="false" outlineLevel="0" collapsed="false">
      <c r="B212" s="3" t="n">
        <v>25</v>
      </c>
      <c r="C212" s="3" t="s">
        <v>44</v>
      </c>
      <c r="D212" s="3" t="n">
        <v>0.3418</v>
      </c>
      <c r="E212" s="3" t="s">
        <v>48</v>
      </c>
      <c r="G212" s="23" t="s">
        <v>61</v>
      </c>
      <c r="H212" s="24"/>
      <c r="I212" s="25" t="n">
        <v>1</v>
      </c>
      <c r="J212" s="25" t="n">
        <v>2</v>
      </c>
      <c r="K212" s="26"/>
      <c r="L212" s="27" t="n">
        <v>3</v>
      </c>
    </row>
    <row r="213" customFormat="false" ht="12.8" hidden="false" customHeight="false" outlineLevel="0" collapsed="false">
      <c r="B213" s="3" t="n">
        <v>25</v>
      </c>
      <c r="C213" s="3" t="s">
        <v>52</v>
      </c>
      <c r="D213" s="3" t="n">
        <v>0.2837</v>
      </c>
      <c r="E213" s="3" t="s">
        <v>48</v>
      </c>
      <c r="G213" s="23" t="s">
        <v>53</v>
      </c>
      <c r="H213" s="24" t="n">
        <v>6</v>
      </c>
      <c r="I213" s="25" t="n">
        <v>18</v>
      </c>
      <c r="J213" s="25" t="n">
        <v>19</v>
      </c>
      <c r="K213" s="26" t="n">
        <v>10</v>
      </c>
      <c r="L213" s="27" t="n">
        <v>53</v>
      </c>
    </row>
    <row r="214" customFormat="false" ht="12.8" hidden="false" customHeight="false" outlineLevel="0" collapsed="false">
      <c r="B214" s="3" t="n">
        <v>25</v>
      </c>
      <c r="C214" s="3" t="s">
        <v>55</v>
      </c>
      <c r="D214" s="3" t="n">
        <v>0.2745</v>
      </c>
      <c r="E214" s="3" t="s">
        <v>48</v>
      </c>
      <c r="G214" s="23" t="s">
        <v>51</v>
      </c>
      <c r="H214" s="24" t="n">
        <v>21</v>
      </c>
      <c r="I214" s="25" t="n">
        <v>16</v>
      </c>
      <c r="J214" s="25" t="n">
        <v>16</v>
      </c>
      <c r="K214" s="26" t="n">
        <v>24</v>
      </c>
      <c r="L214" s="27" t="n">
        <v>77</v>
      </c>
    </row>
    <row r="215" customFormat="false" ht="12.8" hidden="false" customHeight="false" outlineLevel="0" collapsed="false">
      <c r="B215" s="3" t="n">
        <v>25</v>
      </c>
      <c r="C215" s="3" t="s">
        <v>54</v>
      </c>
      <c r="D215" s="3" t="n">
        <v>0.1</v>
      </c>
      <c r="E215" s="3" t="s">
        <v>48</v>
      </c>
      <c r="G215" s="23" t="s">
        <v>62</v>
      </c>
      <c r="H215" s="24" t="n">
        <v>1</v>
      </c>
      <c r="I215" s="25" t="n">
        <v>1</v>
      </c>
      <c r="J215" s="25" t="n">
        <v>1</v>
      </c>
      <c r="K215" s="26" t="n">
        <v>2</v>
      </c>
      <c r="L215" s="27" t="n">
        <v>5</v>
      </c>
    </row>
    <row r="216" customFormat="false" ht="12.8" hidden="false" customHeight="false" outlineLevel="0" collapsed="false">
      <c r="B216" s="3" t="n">
        <v>27</v>
      </c>
      <c r="C216" s="3" t="s">
        <v>44</v>
      </c>
      <c r="D216" s="3" t="n">
        <v>0.2217</v>
      </c>
      <c r="E216" s="3" t="s">
        <v>48</v>
      </c>
      <c r="G216" s="23" t="s">
        <v>44</v>
      </c>
      <c r="H216" s="24" t="n">
        <v>25</v>
      </c>
      <c r="I216" s="25" t="n">
        <v>25</v>
      </c>
      <c r="J216" s="25" t="n">
        <v>25</v>
      </c>
      <c r="K216" s="26" t="n">
        <v>25</v>
      </c>
      <c r="L216" s="27" t="n">
        <v>100</v>
      </c>
    </row>
    <row r="217" customFormat="false" ht="12.8" hidden="false" customHeight="false" outlineLevel="0" collapsed="false">
      <c r="B217" s="3" t="n">
        <v>27</v>
      </c>
      <c r="C217" s="3" t="s">
        <v>52</v>
      </c>
      <c r="D217" s="3" t="n">
        <v>0.1752</v>
      </c>
      <c r="E217" s="3" t="s">
        <v>48</v>
      </c>
      <c r="G217" s="23" t="s">
        <v>56</v>
      </c>
      <c r="H217" s="24" t="n">
        <v>1</v>
      </c>
      <c r="I217" s="25"/>
      <c r="J217" s="25" t="n">
        <v>1</v>
      </c>
      <c r="K217" s="26" t="n">
        <v>3</v>
      </c>
      <c r="L217" s="27" t="n">
        <v>5</v>
      </c>
    </row>
    <row r="218" customFormat="false" ht="12.8" hidden="false" customHeight="false" outlineLevel="0" collapsed="false">
      <c r="B218" s="3" t="n">
        <v>27</v>
      </c>
      <c r="C218" s="3" t="s">
        <v>55</v>
      </c>
      <c r="D218" s="3" t="n">
        <v>0.1747</v>
      </c>
      <c r="E218" s="3" t="s">
        <v>48</v>
      </c>
      <c r="G218" s="23" t="s">
        <v>55</v>
      </c>
      <c r="H218" s="24" t="n">
        <v>18</v>
      </c>
      <c r="I218" s="25" t="n">
        <v>1</v>
      </c>
      <c r="J218" s="25" t="n">
        <v>2</v>
      </c>
      <c r="K218" s="26" t="n">
        <v>6</v>
      </c>
      <c r="L218" s="27" t="n">
        <v>27</v>
      </c>
    </row>
    <row r="219" customFormat="false" ht="12.8" hidden="false" customHeight="false" outlineLevel="0" collapsed="false">
      <c r="B219" s="3" t="n">
        <v>27</v>
      </c>
      <c r="C219" s="3" t="s">
        <v>47</v>
      </c>
      <c r="D219" s="3" t="n">
        <v>0.1695</v>
      </c>
      <c r="E219" s="3" t="s">
        <v>48</v>
      </c>
      <c r="G219" s="23" t="s">
        <v>47</v>
      </c>
      <c r="H219" s="24" t="n">
        <v>24</v>
      </c>
      <c r="I219" s="25" t="n">
        <v>25</v>
      </c>
      <c r="J219" s="25" t="n">
        <v>24</v>
      </c>
      <c r="K219" s="26" t="n">
        <v>25</v>
      </c>
      <c r="L219" s="27" t="n">
        <v>98</v>
      </c>
    </row>
    <row r="220" customFormat="false" ht="12.8" hidden="false" customHeight="false" outlineLevel="0" collapsed="false">
      <c r="B220" s="3" t="n">
        <v>27</v>
      </c>
      <c r="C220" s="3" t="s">
        <v>51</v>
      </c>
      <c r="D220" s="3" t="n">
        <v>0.159</v>
      </c>
      <c r="E220" s="3" t="s">
        <v>48</v>
      </c>
      <c r="G220" s="23" t="s">
        <v>54</v>
      </c>
      <c r="H220" s="28" t="n">
        <v>25</v>
      </c>
      <c r="I220" s="29" t="n">
        <v>25</v>
      </c>
      <c r="J220" s="29" t="n">
        <v>25</v>
      </c>
      <c r="K220" s="30" t="n">
        <v>25</v>
      </c>
      <c r="L220" s="31" t="n">
        <v>100</v>
      </c>
    </row>
    <row r="221" customFormat="false" ht="12.8" hidden="false" customHeight="false" outlineLevel="0" collapsed="false">
      <c r="B221" s="3" t="n">
        <v>27</v>
      </c>
      <c r="C221" s="3" t="s">
        <v>54</v>
      </c>
      <c r="D221" s="3" t="n">
        <v>0.1</v>
      </c>
      <c r="E221" s="3" t="s">
        <v>48</v>
      </c>
      <c r="G221" s="32" t="s">
        <v>39</v>
      </c>
      <c r="H221" s="33" t="n">
        <v>142</v>
      </c>
      <c r="I221" s="34" t="n">
        <v>131</v>
      </c>
      <c r="J221" s="34" t="n">
        <v>139</v>
      </c>
      <c r="K221" s="35" t="n">
        <v>139</v>
      </c>
      <c r="L221" s="36" t="n">
        <v>551</v>
      </c>
    </row>
    <row r="222" customFormat="false" ht="12.8" hidden="false" customHeight="false" outlineLevel="0" collapsed="false">
      <c r="B222" s="3" t="n">
        <v>29</v>
      </c>
      <c r="C222" s="3" t="s">
        <v>44</v>
      </c>
      <c r="D222" s="3" t="n">
        <v>0.2233</v>
      </c>
      <c r="E222" s="3" t="s">
        <v>48</v>
      </c>
    </row>
    <row r="223" customFormat="false" ht="12.8" hidden="false" customHeight="false" outlineLevel="0" collapsed="false">
      <c r="B223" s="3" t="n">
        <v>29</v>
      </c>
      <c r="C223" s="3" t="s">
        <v>47</v>
      </c>
      <c r="D223" s="3" t="n">
        <v>0.185</v>
      </c>
      <c r="E223" s="3" t="s">
        <v>48</v>
      </c>
      <c r="G223" s="9"/>
      <c r="H223" s="9"/>
      <c r="I223" s="9"/>
      <c r="J223" s="9"/>
      <c r="K223" s="9"/>
      <c r="L223" s="9"/>
    </row>
    <row r="224" customFormat="false" ht="12.8" hidden="false" customHeight="false" outlineLevel="0" collapsed="false">
      <c r="B224" s="3" t="n">
        <v>29</v>
      </c>
      <c r="C224" s="3" t="s">
        <v>51</v>
      </c>
      <c r="D224" s="3" t="n">
        <v>0.1726</v>
      </c>
      <c r="E224" s="3" t="s">
        <v>48</v>
      </c>
      <c r="G224" s="9"/>
      <c r="H224" s="9"/>
      <c r="I224" s="9"/>
      <c r="J224" s="9"/>
      <c r="K224" s="9"/>
      <c r="L224" s="9"/>
    </row>
    <row r="225" customFormat="false" ht="12.8" hidden="false" customHeight="false" outlineLevel="0" collapsed="false">
      <c r="B225" s="3" t="n">
        <v>29</v>
      </c>
      <c r="C225" s="3" t="s">
        <v>55</v>
      </c>
      <c r="D225" s="3" t="n">
        <v>0.1635</v>
      </c>
      <c r="E225" s="3" t="s">
        <v>48</v>
      </c>
      <c r="G225" s="84" t="s">
        <v>71</v>
      </c>
      <c r="H225" s="9"/>
      <c r="I225" s="9"/>
      <c r="J225" s="9"/>
      <c r="K225" s="9"/>
      <c r="L225" s="9"/>
    </row>
    <row r="226" customFormat="false" ht="12.8" hidden="false" customHeight="false" outlineLevel="0" collapsed="false">
      <c r="B226" s="3" t="n">
        <v>29</v>
      </c>
      <c r="C226" s="3" t="s">
        <v>52</v>
      </c>
      <c r="D226" s="3" t="n">
        <v>0.1555</v>
      </c>
      <c r="E226" s="3" t="s">
        <v>48</v>
      </c>
      <c r="G226" s="87" t="s">
        <v>59</v>
      </c>
      <c r="H226" s="88" t="s">
        <v>43</v>
      </c>
      <c r="I226" s="89"/>
      <c r="J226" s="89"/>
      <c r="K226" s="89"/>
      <c r="L226" s="90"/>
      <c r="M226" s="9"/>
      <c r="N226" s="9"/>
      <c r="O226" s="9"/>
    </row>
    <row r="227" customFormat="false" ht="12.8" hidden="false" customHeight="false" outlineLevel="0" collapsed="false">
      <c r="B227" s="3" t="n">
        <v>29</v>
      </c>
      <c r="C227" s="3" t="s">
        <v>54</v>
      </c>
      <c r="D227" s="3" t="n">
        <v>0.1</v>
      </c>
      <c r="E227" s="3" t="s">
        <v>48</v>
      </c>
      <c r="G227" s="91" t="s">
        <v>41</v>
      </c>
      <c r="H227" s="92" t="s">
        <v>48</v>
      </c>
      <c r="I227" s="93" t="s">
        <v>49</v>
      </c>
      <c r="J227" s="93" t="s">
        <v>50</v>
      </c>
      <c r="K227" s="93" t="s">
        <v>45</v>
      </c>
      <c r="L227" s="94" t="s">
        <v>39</v>
      </c>
      <c r="M227" s="9"/>
      <c r="N227" s="9"/>
      <c r="O227" s="9"/>
    </row>
    <row r="228" customFormat="false" ht="12.8" hidden="false" customHeight="false" outlineLevel="0" collapsed="false">
      <c r="B228" s="3" t="n">
        <v>31</v>
      </c>
      <c r="C228" s="3" t="s">
        <v>44</v>
      </c>
      <c r="D228" s="3" t="n">
        <v>0.3416</v>
      </c>
      <c r="E228" s="3" t="s">
        <v>48</v>
      </c>
      <c r="G228" s="95" t="s">
        <v>52</v>
      </c>
      <c r="H228" s="96" t="n">
        <v>20</v>
      </c>
      <c r="I228" s="97" t="n">
        <v>18</v>
      </c>
      <c r="J228" s="97" t="n">
        <v>24</v>
      </c>
      <c r="K228" s="98" t="n">
        <v>17</v>
      </c>
      <c r="L228" s="99" t="n">
        <v>79</v>
      </c>
      <c r="M228" s="9"/>
      <c r="N228" s="9"/>
      <c r="O228" s="9"/>
    </row>
    <row r="229" customFormat="false" ht="12.8" hidden="false" customHeight="false" outlineLevel="0" collapsed="false">
      <c r="B229" s="3" t="n">
        <v>31</v>
      </c>
      <c r="C229" s="3" t="s">
        <v>47</v>
      </c>
      <c r="D229" s="3" t="n">
        <v>0.2906</v>
      </c>
      <c r="E229" s="3" t="s">
        <v>48</v>
      </c>
      <c r="G229" s="100" t="s">
        <v>57</v>
      </c>
      <c r="H229" s="101" t="n">
        <v>1</v>
      </c>
      <c r="I229" s="102" t="n">
        <v>1</v>
      </c>
      <c r="J229" s="102" t="n">
        <v>0</v>
      </c>
      <c r="K229" s="103" t="n">
        <v>2</v>
      </c>
      <c r="L229" s="104" t="n">
        <v>4</v>
      </c>
      <c r="M229" s="9"/>
      <c r="N229" s="9"/>
      <c r="O229" s="9"/>
    </row>
    <row r="230" customFormat="false" ht="12.8" hidden="false" customHeight="false" outlineLevel="0" collapsed="false">
      <c r="B230" s="3" t="n">
        <v>31</v>
      </c>
      <c r="C230" s="3" t="s">
        <v>51</v>
      </c>
      <c r="D230" s="3" t="n">
        <v>0.2678</v>
      </c>
      <c r="E230" s="3" t="s">
        <v>48</v>
      </c>
      <c r="G230" s="100" t="s">
        <v>61</v>
      </c>
      <c r="H230" s="101" t="n">
        <v>0</v>
      </c>
      <c r="I230" s="102" t="n">
        <v>1</v>
      </c>
      <c r="J230" s="102" t="n">
        <v>2</v>
      </c>
      <c r="K230" s="103" t="n">
        <v>0</v>
      </c>
      <c r="L230" s="104" t="n">
        <v>3</v>
      </c>
      <c r="M230" s="9"/>
      <c r="N230" s="9"/>
      <c r="O230" s="9"/>
    </row>
    <row r="231" customFormat="false" ht="12.8" hidden="false" customHeight="false" outlineLevel="0" collapsed="false">
      <c r="B231" s="3" t="n">
        <v>31</v>
      </c>
      <c r="C231" s="3" t="s">
        <v>54</v>
      </c>
      <c r="D231" s="3" t="n">
        <v>0.1</v>
      </c>
      <c r="E231" s="3" t="s">
        <v>48</v>
      </c>
      <c r="G231" s="100" t="s">
        <v>53</v>
      </c>
      <c r="H231" s="101" t="n">
        <v>6</v>
      </c>
      <c r="I231" s="102" t="n">
        <v>18</v>
      </c>
      <c r="J231" s="102" t="n">
        <v>19</v>
      </c>
      <c r="K231" s="103" t="n">
        <v>10</v>
      </c>
      <c r="L231" s="104" t="n">
        <v>53</v>
      </c>
      <c r="M231" s="9"/>
      <c r="N231" s="9"/>
      <c r="O231" s="9"/>
    </row>
    <row r="232" customFormat="false" ht="12.8" hidden="false" customHeight="false" outlineLevel="0" collapsed="false">
      <c r="B232" s="3" t="n">
        <v>33</v>
      </c>
      <c r="C232" s="3" t="s">
        <v>47</v>
      </c>
      <c r="D232" s="3" t="n">
        <v>0.2084</v>
      </c>
      <c r="E232" s="3" t="s">
        <v>48</v>
      </c>
      <c r="G232" s="100" t="s">
        <v>51</v>
      </c>
      <c r="H232" s="101" t="n">
        <v>21</v>
      </c>
      <c r="I232" s="102" t="n">
        <v>16</v>
      </c>
      <c r="J232" s="102" t="n">
        <v>16</v>
      </c>
      <c r="K232" s="103" t="n">
        <v>24</v>
      </c>
      <c r="L232" s="104" t="n">
        <v>77</v>
      </c>
      <c r="M232" s="9"/>
      <c r="N232" s="9"/>
      <c r="O232" s="9"/>
    </row>
    <row r="233" customFormat="false" ht="12.8" hidden="false" customHeight="false" outlineLevel="0" collapsed="false">
      <c r="B233" s="3" t="n">
        <v>33</v>
      </c>
      <c r="C233" s="3" t="s">
        <v>52</v>
      </c>
      <c r="D233" s="3" t="n">
        <v>0.1888</v>
      </c>
      <c r="E233" s="3" t="s">
        <v>48</v>
      </c>
      <c r="G233" s="100" t="s">
        <v>62</v>
      </c>
      <c r="H233" s="101" t="n">
        <v>1</v>
      </c>
      <c r="I233" s="102" t="n">
        <v>1</v>
      </c>
      <c r="J233" s="102" t="n">
        <v>1</v>
      </c>
      <c r="K233" s="103" t="n">
        <v>2</v>
      </c>
      <c r="L233" s="104" t="n">
        <v>5</v>
      </c>
      <c r="M233" s="9"/>
      <c r="N233" s="9"/>
      <c r="O233" s="9"/>
    </row>
    <row r="234" customFormat="false" ht="12.8" hidden="false" customHeight="false" outlineLevel="0" collapsed="false">
      <c r="B234" s="3" t="n">
        <v>33</v>
      </c>
      <c r="C234" s="3" t="s">
        <v>44</v>
      </c>
      <c r="D234" s="3" t="n">
        <v>0.1874</v>
      </c>
      <c r="E234" s="3" t="s">
        <v>48</v>
      </c>
      <c r="G234" s="100" t="s">
        <v>44</v>
      </c>
      <c r="H234" s="101" t="n">
        <v>25</v>
      </c>
      <c r="I234" s="102" t="n">
        <v>25</v>
      </c>
      <c r="J234" s="102" t="n">
        <v>25</v>
      </c>
      <c r="K234" s="103" t="n">
        <v>25</v>
      </c>
      <c r="L234" s="104" t="n">
        <v>100</v>
      </c>
      <c r="M234" s="9"/>
      <c r="N234" s="9"/>
      <c r="O234" s="9"/>
    </row>
    <row r="235" customFormat="false" ht="12.8" hidden="false" customHeight="false" outlineLevel="0" collapsed="false">
      <c r="B235" s="3" t="n">
        <v>33</v>
      </c>
      <c r="C235" s="3" t="s">
        <v>51</v>
      </c>
      <c r="D235" s="3" t="n">
        <v>0.1609</v>
      </c>
      <c r="E235" s="3" t="s">
        <v>48</v>
      </c>
      <c r="G235" s="100" t="s">
        <v>56</v>
      </c>
      <c r="H235" s="101" t="n">
        <v>1</v>
      </c>
      <c r="I235" s="102" t="n">
        <v>0</v>
      </c>
      <c r="J235" s="102" t="n">
        <v>1</v>
      </c>
      <c r="K235" s="103" t="n">
        <v>3</v>
      </c>
      <c r="L235" s="104" t="n">
        <v>5</v>
      </c>
      <c r="M235" s="9"/>
      <c r="N235" s="9"/>
      <c r="O235" s="9"/>
    </row>
    <row r="236" customFormat="false" ht="12.8" hidden="false" customHeight="false" outlineLevel="0" collapsed="false">
      <c r="B236" s="3" t="n">
        <v>33</v>
      </c>
      <c r="C236" s="3" t="s">
        <v>55</v>
      </c>
      <c r="D236" s="3" t="n">
        <v>0.1545</v>
      </c>
      <c r="E236" s="3" t="s">
        <v>48</v>
      </c>
      <c r="G236" s="100" t="s">
        <v>55</v>
      </c>
      <c r="H236" s="101" t="n">
        <v>18</v>
      </c>
      <c r="I236" s="102" t="n">
        <v>1</v>
      </c>
      <c r="J236" s="102" t="n">
        <v>2</v>
      </c>
      <c r="K236" s="103" t="n">
        <v>6</v>
      </c>
      <c r="L236" s="104" t="n">
        <v>27</v>
      </c>
      <c r="M236" s="9"/>
      <c r="N236" s="9"/>
      <c r="O236" s="9"/>
    </row>
    <row r="237" customFormat="false" ht="12.8" hidden="false" customHeight="false" outlineLevel="0" collapsed="false">
      <c r="B237" s="3" t="n">
        <v>33</v>
      </c>
      <c r="C237" s="3" t="s">
        <v>54</v>
      </c>
      <c r="D237" s="3" t="n">
        <v>0.1</v>
      </c>
      <c r="E237" s="3" t="s">
        <v>48</v>
      </c>
      <c r="G237" s="100" t="s">
        <v>47</v>
      </c>
      <c r="H237" s="101" t="n">
        <v>24</v>
      </c>
      <c r="I237" s="102" t="n">
        <v>25</v>
      </c>
      <c r="J237" s="102" t="n">
        <v>24</v>
      </c>
      <c r="K237" s="103" t="n">
        <v>25</v>
      </c>
      <c r="L237" s="104" t="n">
        <v>98</v>
      </c>
      <c r="M237" s="9"/>
      <c r="N237" s="9"/>
      <c r="O237" s="9"/>
    </row>
    <row r="238" customFormat="false" ht="12.8" hidden="false" customHeight="false" outlineLevel="0" collapsed="false">
      <c r="B238" s="3" t="n">
        <v>35</v>
      </c>
      <c r="C238" s="3" t="s">
        <v>44</v>
      </c>
      <c r="D238" s="3" t="n">
        <v>0.2027</v>
      </c>
      <c r="E238" s="3" t="s">
        <v>48</v>
      </c>
      <c r="G238" s="100" t="s">
        <v>54</v>
      </c>
      <c r="H238" s="105" t="n">
        <v>25</v>
      </c>
      <c r="I238" s="106" t="n">
        <v>25</v>
      </c>
      <c r="J238" s="106" t="n">
        <v>25</v>
      </c>
      <c r="K238" s="107" t="n">
        <v>25</v>
      </c>
      <c r="L238" s="108" t="n">
        <v>100</v>
      </c>
      <c r="M238" s="9"/>
      <c r="N238" s="9"/>
      <c r="O238" s="9"/>
    </row>
    <row r="239" customFormat="false" ht="12.8" hidden="false" customHeight="false" outlineLevel="0" collapsed="false">
      <c r="B239" s="3" t="n">
        <v>35</v>
      </c>
      <c r="C239" s="3" t="s">
        <v>47</v>
      </c>
      <c r="D239" s="3" t="n">
        <v>0.1879</v>
      </c>
      <c r="E239" s="3" t="s">
        <v>48</v>
      </c>
      <c r="M239" s="9"/>
      <c r="N239" s="9"/>
      <c r="O239" s="9"/>
    </row>
    <row r="240" customFormat="false" ht="12.8" hidden="false" customHeight="false" outlineLevel="0" collapsed="false">
      <c r="B240" s="3" t="n">
        <v>35</v>
      </c>
      <c r="C240" s="3" t="s">
        <v>52</v>
      </c>
      <c r="D240" s="3" t="n">
        <v>0.1762</v>
      </c>
      <c r="E240" s="3" t="s">
        <v>48</v>
      </c>
      <c r="G240" s="6" t="s">
        <v>66</v>
      </c>
      <c r="M240" s="9"/>
      <c r="N240" s="9"/>
      <c r="O240" s="9"/>
    </row>
    <row r="241" customFormat="false" ht="12.8" hidden="false" customHeight="false" outlineLevel="0" collapsed="false">
      <c r="B241" s="3" t="n">
        <v>35</v>
      </c>
      <c r="C241" s="3" t="s">
        <v>51</v>
      </c>
      <c r="D241" s="3" t="n">
        <v>0.1735</v>
      </c>
      <c r="E241" s="3" t="s">
        <v>48</v>
      </c>
      <c r="G241" s="1" t="s">
        <v>12</v>
      </c>
      <c r="H241" s="1" t="n">
        <v>0.05</v>
      </c>
    </row>
    <row r="242" customFormat="false" ht="12.8" hidden="false" customHeight="false" outlineLevel="0" collapsed="false">
      <c r="B242" s="3" t="n">
        <v>35</v>
      </c>
      <c r="C242" s="3" t="s">
        <v>53</v>
      </c>
      <c r="D242" s="3" t="n">
        <v>0.1596</v>
      </c>
      <c r="E242" s="3" t="s">
        <v>48</v>
      </c>
      <c r="G242" s="1" t="s">
        <v>22</v>
      </c>
      <c r="H242" s="1" t="n">
        <f aca="false">(COLUMNS(anchors_raw_information!$H$228:$K$238) - 1) * (ROWS(anchors_raw_information!$H$228:$K$238) - 1)</f>
        <v>30</v>
      </c>
    </row>
    <row r="243" customFormat="false" ht="12.8" hidden="false" customHeight="false" outlineLevel="0" collapsed="false">
      <c r="B243" s="3" t="n">
        <v>35</v>
      </c>
      <c r="C243" s="3" t="s">
        <v>54</v>
      </c>
      <c r="D243" s="3" t="n">
        <v>0.1</v>
      </c>
      <c r="E243" s="3" t="s">
        <v>48</v>
      </c>
      <c r="G243" s="1" t="s">
        <v>67</v>
      </c>
      <c r="H243" s="1" t="n">
        <f aca="false">CHITEST(anchors_raw_information!$H$228:$K$238, MMULT(MMULT(anchors_raw_information!$H$228:$K$238,TRANSPOSE(IF(COLUMN(anchors_raw_information!$H$228:$K$238),TRUE()))),MMULT(TRANSPOSE(IF(ROW(anchors_raw_information!$H$228:$K$238),TRUE())),anchors_raw_information!$H$228:$K$238)) / SUM(anchors_raw_information!$H$228:$K$238))</f>
        <v>0.01531659456663</v>
      </c>
    </row>
    <row r="244" customFormat="false" ht="12.8" hidden="false" customHeight="false" outlineLevel="0" collapsed="false">
      <c r="B244" s="3" t="n">
        <v>37</v>
      </c>
      <c r="C244" s="3" t="s">
        <v>44</v>
      </c>
      <c r="D244" s="3" t="n">
        <v>0.2017</v>
      </c>
      <c r="E244" s="3" t="s">
        <v>48</v>
      </c>
      <c r="G244" s="1" t="s">
        <v>68</v>
      </c>
      <c r="H244" s="1" t="n">
        <f aca="false">CHIINV(anchors_raw_information!$H$243, anchors_raw_information!$H$242)</f>
        <v>49.1100964317516</v>
      </c>
    </row>
    <row r="245" customFormat="false" ht="12.8" hidden="false" customHeight="false" outlineLevel="0" collapsed="false">
      <c r="B245" s="3" t="n">
        <v>37</v>
      </c>
      <c r="C245" s="3" t="s">
        <v>47</v>
      </c>
      <c r="D245" s="3" t="n">
        <v>0.1943</v>
      </c>
      <c r="E245" s="3" t="s">
        <v>48</v>
      </c>
      <c r="G245" s="1" t="s">
        <v>69</v>
      </c>
      <c r="H245" s="1" t="n">
        <f aca="false">CHIINV(anchors_raw_information!$H$241, anchors_raw_information!$H$242)</f>
        <v>43.7729718257422</v>
      </c>
    </row>
    <row r="246" customFormat="false" ht="12.8" hidden="false" customHeight="false" outlineLevel="0" collapsed="false">
      <c r="B246" s="3" t="n">
        <v>37</v>
      </c>
      <c r="C246" s="3" t="s">
        <v>55</v>
      </c>
      <c r="D246" s="3" t="n">
        <v>0.1721</v>
      </c>
      <c r="E246" s="3" t="s">
        <v>48</v>
      </c>
    </row>
    <row r="247" customFormat="false" ht="12.8" hidden="false" customHeight="false" outlineLevel="0" collapsed="false">
      <c r="B247" s="3" t="n">
        <v>37</v>
      </c>
      <c r="C247" s="3" t="s">
        <v>51</v>
      </c>
      <c r="D247" s="3" t="n">
        <v>0.1704</v>
      </c>
      <c r="E247" s="3" t="s">
        <v>48</v>
      </c>
      <c r="G247" s="84" t="s">
        <v>72</v>
      </c>
    </row>
    <row r="248" customFormat="false" ht="12.8" hidden="false" customHeight="false" outlineLevel="0" collapsed="false">
      <c r="B248" s="3" t="n">
        <v>37</v>
      </c>
      <c r="C248" s="3" t="s">
        <v>56</v>
      </c>
      <c r="D248" s="3" t="n">
        <v>0.1614</v>
      </c>
      <c r="E248" s="3" t="s">
        <v>48</v>
      </c>
      <c r="G248" s="6"/>
    </row>
    <row r="249" customFormat="false" ht="12.8" hidden="false" customHeight="false" outlineLevel="0" collapsed="false">
      <c r="B249" s="3" t="n">
        <v>37</v>
      </c>
      <c r="C249" s="3" t="s">
        <v>54</v>
      </c>
      <c r="D249" s="3" t="n">
        <v>0.1</v>
      </c>
      <c r="E249" s="3" t="s">
        <v>48</v>
      </c>
      <c r="G249" s="87" t="s">
        <v>59</v>
      </c>
      <c r="H249" s="88" t="s">
        <v>43</v>
      </c>
      <c r="I249" s="89"/>
      <c r="J249" s="89"/>
      <c r="K249" s="89"/>
      <c r="L249" s="90"/>
    </row>
    <row r="250" customFormat="false" ht="12.8" hidden="false" customHeight="false" outlineLevel="0" collapsed="false">
      <c r="B250" s="3" t="n">
        <v>39</v>
      </c>
      <c r="C250" s="3" t="s">
        <v>44</v>
      </c>
      <c r="D250" s="3" t="n">
        <v>0.2004</v>
      </c>
      <c r="E250" s="3" t="s">
        <v>48</v>
      </c>
      <c r="G250" s="91" t="s">
        <v>41</v>
      </c>
      <c r="H250" s="92" t="s">
        <v>48</v>
      </c>
      <c r="I250" s="93" t="s">
        <v>49</v>
      </c>
      <c r="J250" s="93" t="s">
        <v>50</v>
      </c>
      <c r="K250" s="93" t="s">
        <v>45</v>
      </c>
      <c r="L250" s="94" t="s">
        <v>39</v>
      </c>
    </row>
    <row r="251" customFormat="false" ht="12.8" hidden="false" customHeight="false" outlineLevel="0" collapsed="false">
      <c r="B251" s="3" t="n">
        <v>39</v>
      </c>
      <c r="C251" s="3" t="s">
        <v>47</v>
      </c>
      <c r="D251" s="3" t="n">
        <v>0.1954</v>
      </c>
      <c r="E251" s="3" t="s">
        <v>48</v>
      </c>
      <c r="G251" s="95" t="s">
        <v>52</v>
      </c>
      <c r="H251" s="96" t="n">
        <v>20</v>
      </c>
      <c r="I251" s="97" t="n">
        <v>18</v>
      </c>
      <c r="J251" s="97" t="n">
        <v>24</v>
      </c>
      <c r="K251" s="98" t="n">
        <v>17</v>
      </c>
      <c r="L251" s="99" t="n">
        <v>79</v>
      </c>
    </row>
    <row r="252" customFormat="false" ht="12.8" hidden="false" customHeight="false" outlineLevel="0" collapsed="false">
      <c r="B252" s="3" t="n">
        <v>39</v>
      </c>
      <c r="C252" s="3" t="s">
        <v>52</v>
      </c>
      <c r="D252" s="3" t="n">
        <v>0.1767</v>
      </c>
      <c r="E252" s="3" t="s">
        <v>48</v>
      </c>
      <c r="G252" s="100" t="s">
        <v>61</v>
      </c>
      <c r="H252" s="101" t="n">
        <v>0</v>
      </c>
      <c r="I252" s="102" t="n">
        <v>1</v>
      </c>
      <c r="J252" s="102" t="n">
        <v>2</v>
      </c>
      <c r="K252" s="103" t="n">
        <v>0</v>
      </c>
      <c r="L252" s="104" t="n">
        <v>3</v>
      </c>
    </row>
    <row r="253" customFormat="false" ht="12.8" hidden="false" customHeight="false" outlineLevel="0" collapsed="false">
      <c r="B253" s="3" t="n">
        <v>39</v>
      </c>
      <c r="C253" s="3" t="s">
        <v>51</v>
      </c>
      <c r="D253" s="3" t="n">
        <v>0.1683</v>
      </c>
      <c r="E253" s="3" t="s">
        <v>48</v>
      </c>
      <c r="G253" s="100" t="s">
        <v>53</v>
      </c>
      <c r="H253" s="101" t="n">
        <v>6</v>
      </c>
      <c r="I253" s="102" t="n">
        <v>18</v>
      </c>
      <c r="J253" s="102" t="n">
        <v>19</v>
      </c>
      <c r="K253" s="103" t="n">
        <v>10</v>
      </c>
      <c r="L253" s="104" t="n">
        <v>53</v>
      </c>
    </row>
    <row r="254" customFormat="false" ht="12.8" hidden="false" customHeight="false" outlineLevel="0" collapsed="false">
      <c r="B254" s="3" t="n">
        <v>39</v>
      </c>
      <c r="C254" s="3" t="s">
        <v>55</v>
      </c>
      <c r="D254" s="3" t="n">
        <v>0.1593</v>
      </c>
      <c r="E254" s="3" t="s">
        <v>48</v>
      </c>
      <c r="G254" s="100" t="s">
        <v>51</v>
      </c>
      <c r="H254" s="101" t="n">
        <v>21</v>
      </c>
      <c r="I254" s="102" t="n">
        <v>16</v>
      </c>
      <c r="J254" s="102" t="n">
        <v>16</v>
      </c>
      <c r="K254" s="103" t="n">
        <v>24</v>
      </c>
      <c r="L254" s="104" t="n">
        <v>77</v>
      </c>
    </row>
    <row r="255" customFormat="false" ht="12.8" hidden="false" customHeight="false" outlineLevel="0" collapsed="false">
      <c r="B255" s="3" t="n">
        <v>39</v>
      </c>
      <c r="C255" s="3" t="s">
        <v>54</v>
      </c>
      <c r="D255" s="3" t="n">
        <v>0.1</v>
      </c>
      <c r="E255" s="3" t="s">
        <v>48</v>
      </c>
      <c r="G255" s="100" t="s">
        <v>62</v>
      </c>
      <c r="H255" s="101" t="n">
        <v>1</v>
      </c>
      <c r="I255" s="102" t="n">
        <v>1</v>
      </c>
      <c r="J255" s="102" t="n">
        <v>1</v>
      </c>
      <c r="K255" s="103" t="n">
        <v>2</v>
      </c>
      <c r="L255" s="104" t="n">
        <v>5</v>
      </c>
    </row>
    <row r="256" customFormat="false" ht="12.8" hidden="false" customHeight="false" outlineLevel="0" collapsed="false">
      <c r="B256" s="3" t="n">
        <v>41</v>
      </c>
      <c r="C256" s="3" t="s">
        <v>47</v>
      </c>
      <c r="D256" s="3" t="n">
        <v>0.2078</v>
      </c>
      <c r="E256" s="3" t="s">
        <v>48</v>
      </c>
      <c r="G256" s="100" t="s">
        <v>44</v>
      </c>
      <c r="H256" s="101" t="n">
        <v>25</v>
      </c>
      <c r="I256" s="102" t="n">
        <v>25</v>
      </c>
      <c r="J256" s="102" t="n">
        <v>25</v>
      </c>
      <c r="K256" s="103" t="n">
        <v>25</v>
      </c>
      <c r="L256" s="104" t="n">
        <v>100</v>
      </c>
    </row>
    <row r="257" customFormat="false" ht="12.8" hidden="false" customHeight="false" outlineLevel="0" collapsed="false">
      <c r="B257" s="3" t="n">
        <v>41</v>
      </c>
      <c r="C257" s="3" t="s">
        <v>44</v>
      </c>
      <c r="D257" s="3" t="n">
        <v>0.2038</v>
      </c>
      <c r="E257" s="3" t="s">
        <v>48</v>
      </c>
      <c r="G257" s="100" t="s">
        <v>56</v>
      </c>
      <c r="H257" s="101" t="n">
        <v>1</v>
      </c>
      <c r="I257" s="102" t="n">
        <v>0</v>
      </c>
      <c r="J257" s="102" t="n">
        <v>1</v>
      </c>
      <c r="K257" s="103" t="n">
        <v>3</v>
      </c>
      <c r="L257" s="104" t="n">
        <v>5</v>
      </c>
    </row>
    <row r="258" customFormat="false" ht="12.8" hidden="false" customHeight="false" outlineLevel="0" collapsed="false">
      <c r="B258" s="3" t="n">
        <v>41</v>
      </c>
      <c r="C258" s="3" t="s">
        <v>51</v>
      </c>
      <c r="D258" s="3" t="n">
        <v>0.1705</v>
      </c>
      <c r="E258" s="3" t="s">
        <v>48</v>
      </c>
      <c r="G258" s="100" t="s">
        <v>55</v>
      </c>
      <c r="H258" s="101" t="n">
        <v>18</v>
      </c>
      <c r="I258" s="102" t="n">
        <v>1</v>
      </c>
      <c r="J258" s="102" t="n">
        <v>2</v>
      </c>
      <c r="K258" s="103" t="n">
        <v>6</v>
      </c>
      <c r="L258" s="104" t="n">
        <v>27</v>
      </c>
    </row>
    <row r="259" customFormat="false" ht="12.8" hidden="false" customHeight="false" outlineLevel="0" collapsed="false">
      <c r="B259" s="3" t="n">
        <v>41</v>
      </c>
      <c r="C259" s="3" t="s">
        <v>52</v>
      </c>
      <c r="D259" s="3" t="n">
        <v>0.1614</v>
      </c>
      <c r="E259" s="3" t="s">
        <v>48</v>
      </c>
      <c r="G259" s="100" t="s">
        <v>47</v>
      </c>
      <c r="H259" s="101" t="n">
        <v>24</v>
      </c>
      <c r="I259" s="102" t="n">
        <v>25</v>
      </c>
      <c r="J259" s="102" t="n">
        <v>24</v>
      </c>
      <c r="K259" s="103" t="n">
        <v>25</v>
      </c>
      <c r="L259" s="104" t="n">
        <v>98</v>
      </c>
    </row>
    <row r="260" customFormat="false" ht="12.8" hidden="false" customHeight="false" outlineLevel="0" collapsed="false">
      <c r="B260" s="3" t="n">
        <v>41</v>
      </c>
      <c r="C260" s="3" t="s">
        <v>53</v>
      </c>
      <c r="D260" s="3" t="n">
        <v>0.1565</v>
      </c>
      <c r="E260" s="3" t="s">
        <v>48</v>
      </c>
      <c r="G260" s="100" t="s">
        <v>54</v>
      </c>
      <c r="H260" s="105" t="n">
        <v>25</v>
      </c>
      <c r="I260" s="106" t="n">
        <v>25</v>
      </c>
      <c r="J260" s="106" t="n">
        <v>25</v>
      </c>
      <c r="K260" s="107" t="n">
        <v>25</v>
      </c>
      <c r="L260" s="108" t="n">
        <v>100</v>
      </c>
    </row>
    <row r="261" customFormat="false" ht="12.8" hidden="false" customHeight="false" outlineLevel="0" collapsed="false">
      <c r="B261" s="3" t="n">
        <v>41</v>
      </c>
      <c r="C261" s="3" t="s">
        <v>54</v>
      </c>
      <c r="D261" s="3" t="n">
        <v>0.1</v>
      </c>
      <c r="E261" s="3" t="s">
        <v>48</v>
      </c>
    </row>
    <row r="262" customFormat="false" ht="12.8" hidden="false" customHeight="false" outlineLevel="0" collapsed="false">
      <c r="B262" s="3" t="n">
        <v>43</v>
      </c>
      <c r="C262" s="3" t="s">
        <v>44</v>
      </c>
      <c r="D262" s="3" t="n">
        <v>0.2261</v>
      </c>
      <c r="E262" s="3" t="s">
        <v>48</v>
      </c>
      <c r="G262" s="6" t="s">
        <v>66</v>
      </c>
    </row>
    <row r="263" customFormat="false" ht="12.8" hidden="false" customHeight="false" outlineLevel="0" collapsed="false">
      <c r="B263" s="3" t="n">
        <v>43</v>
      </c>
      <c r="C263" s="3" t="s">
        <v>47</v>
      </c>
      <c r="D263" s="3" t="n">
        <v>0.2078</v>
      </c>
      <c r="E263" s="3" t="s">
        <v>48</v>
      </c>
      <c r="G263" s="1" t="s">
        <v>12</v>
      </c>
      <c r="H263" s="1" t="n">
        <v>0.05</v>
      </c>
    </row>
    <row r="264" customFormat="false" ht="12.8" hidden="false" customHeight="false" outlineLevel="0" collapsed="false">
      <c r="B264" s="3" t="n">
        <v>43</v>
      </c>
      <c r="C264" s="3" t="s">
        <v>55</v>
      </c>
      <c r="D264" s="3" t="n">
        <v>0.1566</v>
      </c>
      <c r="E264" s="3" t="s">
        <v>48</v>
      </c>
      <c r="G264" s="1" t="s">
        <v>22</v>
      </c>
      <c r="H264" s="1" t="n">
        <f aca="false">(COLUMNS(anchors_raw_information!$H$251:$K$260) - 1) * (ROWS(anchors_raw_information!$H$251:$K$260) - 1)</f>
        <v>27</v>
      </c>
    </row>
    <row r="265" customFormat="false" ht="12.8" hidden="false" customHeight="false" outlineLevel="0" collapsed="false">
      <c r="B265" s="3" t="n">
        <v>43</v>
      </c>
      <c r="C265" s="3" t="s">
        <v>53</v>
      </c>
      <c r="D265" s="3" t="n">
        <v>0.1553</v>
      </c>
      <c r="E265" s="3" t="s">
        <v>48</v>
      </c>
      <c r="G265" s="1" t="s">
        <v>67</v>
      </c>
      <c r="H265" s="1" t="n">
        <f aca="false">CHITEST(anchors_raw_information!$H$251:$K$260, MMULT(MMULT(anchors_raw_information!$H$251:$K$260,TRANSPOSE(IF(COLUMN(anchors_raw_information!$H$251:$K$260),TRUE()))),MMULT(TRANSPOSE(IF(ROW(anchors_raw_information!$H$251:$K$260),TRUE())),anchors_raw_information!$H$251:$K$260)) / SUM(anchors_raw_information!$H$251:$K$260))</f>
        <v>0.00969901324843708</v>
      </c>
    </row>
    <row r="266" customFormat="false" ht="12.8" hidden="false" customHeight="false" outlineLevel="0" collapsed="false">
      <c r="B266" s="3" t="n">
        <v>43</v>
      </c>
      <c r="C266" s="3" t="s">
        <v>51</v>
      </c>
      <c r="D266" s="3" t="n">
        <v>0.1542</v>
      </c>
      <c r="E266" s="3" t="s">
        <v>48</v>
      </c>
      <c r="G266" s="1" t="s">
        <v>68</v>
      </c>
      <c r="H266" s="1" t="n">
        <f aca="false">CHIINV(anchors_raw_information!$H$265, anchors_raw_information!$H$264)</f>
        <v>47.0839048817451</v>
      </c>
    </row>
    <row r="267" customFormat="false" ht="12.8" hidden="false" customHeight="false" outlineLevel="0" collapsed="false">
      <c r="B267" s="3" t="n">
        <v>43</v>
      </c>
      <c r="C267" s="3" t="s">
        <v>54</v>
      </c>
      <c r="D267" s="3" t="n">
        <v>0.1</v>
      </c>
      <c r="E267" s="3" t="s">
        <v>48</v>
      </c>
      <c r="G267" s="1" t="s">
        <v>69</v>
      </c>
      <c r="H267" s="1" t="n">
        <f aca="false">CHIINV(anchors_raw_information!$H$263, anchors_raw_information!$H$264)</f>
        <v>40.1132720694136</v>
      </c>
    </row>
    <row r="268" customFormat="false" ht="12.8" hidden="false" customHeight="false" outlineLevel="0" collapsed="false">
      <c r="B268" s="3" t="n">
        <v>45</v>
      </c>
      <c r="C268" s="3" t="s">
        <v>44</v>
      </c>
      <c r="D268" s="3" t="n">
        <v>0.2137</v>
      </c>
      <c r="E268" s="3" t="s">
        <v>48</v>
      </c>
    </row>
    <row r="269" customFormat="false" ht="12.8" hidden="false" customHeight="false" outlineLevel="0" collapsed="false">
      <c r="B269" s="3" t="n">
        <v>45</v>
      </c>
      <c r="C269" s="3" t="s">
        <v>47</v>
      </c>
      <c r="D269" s="3" t="n">
        <v>0.1923</v>
      </c>
      <c r="E269" s="3" t="s">
        <v>48</v>
      </c>
    </row>
    <row r="270" customFormat="false" ht="12.8" hidden="false" customHeight="false" outlineLevel="0" collapsed="false">
      <c r="B270" s="3" t="n">
        <v>45</v>
      </c>
      <c r="C270" s="3" t="s">
        <v>51</v>
      </c>
      <c r="D270" s="3" t="n">
        <v>0.1682</v>
      </c>
      <c r="E270" s="3" t="s">
        <v>48</v>
      </c>
      <c r="G270" s="84" t="s">
        <v>73</v>
      </c>
    </row>
    <row r="271" customFormat="false" ht="12.8" hidden="false" customHeight="false" outlineLevel="0" collapsed="false">
      <c r="B271" s="3" t="n">
        <v>45</v>
      </c>
      <c r="C271" s="3" t="s">
        <v>52</v>
      </c>
      <c r="D271" s="3" t="n">
        <v>0.1643</v>
      </c>
      <c r="E271" s="3" t="s">
        <v>48</v>
      </c>
    </row>
    <row r="272" customFormat="false" ht="12.8" hidden="false" customHeight="false" outlineLevel="0" collapsed="false">
      <c r="B272" s="3" t="n">
        <v>45</v>
      </c>
      <c r="C272" s="3" t="s">
        <v>62</v>
      </c>
      <c r="D272" s="3" t="n">
        <v>0.1616</v>
      </c>
      <c r="E272" s="3" t="s">
        <v>48</v>
      </c>
      <c r="G272" s="87" t="s">
        <v>59</v>
      </c>
      <c r="H272" s="88" t="s">
        <v>43</v>
      </c>
      <c r="I272" s="89"/>
      <c r="J272" s="89"/>
      <c r="K272" s="89"/>
      <c r="L272" s="90"/>
    </row>
    <row r="273" customFormat="false" ht="12.8" hidden="false" customHeight="false" outlineLevel="0" collapsed="false">
      <c r="B273" s="3" t="n">
        <v>45</v>
      </c>
      <c r="C273" s="3" t="s">
        <v>54</v>
      </c>
      <c r="D273" s="3" t="n">
        <v>0.1</v>
      </c>
      <c r="E273" s="3" t="s">
        <v>48</v>
      </c>
      <c r="G273" s="91" t="s">
        <v>41</v>
      </c>
      <c r="H273" s="92" t="s">
        <v>48</v>
      </c>
      <c r="I273" s="93" t="s">
        <v>49</v>
      </c>
      <c r="J273" s="93" t="s">
        <v>50</v>
      </c>
      <c r="K273" s="93" t="s">
        <v>45</v>
      </c>
      <c r="L273" s="94" t="s">
        <v>39</v>
      </c>
    </row>
    <row r="274" customFormat="false" ht="12.8" hidden="false" customHeight="false" outlineLevel="0" collapsed="false">
      <c r="B274" s="3" t="n">
        <v>47</v>
      </c>
      <c r="C274" s="3" t="s">
        <v>44</v>
      </c>
      <c r="D274" s="3" t="n">
        <v>0.4543</v>
      </c>
      <c r="E274" s="3" t="s">
        <v>48</v>
      </c>
      <c r="G274" s="95" t="s">
        <v>52</v>
      </c>
      <c r="H274" s="96" t="n">
        <v>20</v>
      </c>
      <c r="I274" s="97" t="n">
        <v>18</v>
      </c>
      <c r="J274" s="97" t="n">
        <v>24</v>
      </c>
      <c r="K274" s="98" t="n">
        <v>17</v>
      </c>
      <c r="L274" s="99" t="n">
        <v>79</v>
      </c>
    </row>
    <row r="275" customFormat="false" ht="12.8" hidden="false" customHeight="false" outlineLevel="0" collapsed="false">
      <c r="B275" s="3" t="n">
        <v>47</v>
      </c>
      <c r="C275" s="3" t="s">
        <v>47</v>
      </c>
      <c r="D275" s="3" t="n">
        <v>0.4457</v>
      </c>
      <c r="E275" s="3" t="s">
        <v>48</v>
      </c>
      <c r="G275" s="100" t="s">
        <v>53</v>
      </c>
      <c r="H275" s="101" t="n">
        <v>6</v>
      </c>
      <c r="I275" s="102" t="n">
        <v>18</v>
      </c>
      <c r="J275" s="102" t="n">
        <v>19</v>
      </c>
      <c r="K275" s="103" t="n">
        <v>10</v>
      </c>
      <c r="L275" s="104" t="n">
        <v>53</v>
      </c>
    </row>
    <row r="276" customFormat="false" ht="12.8" hidden="false" customHeight="false" outlineLevel="0" collapsed="false">
      <c r="B276" s="3" t="n">
        <v>47</v>
      </c>
      <c r="C276" s="3" t="s">
        <v>54</v>
      </c>
      <c r="D276" s="3" t="n">
        <v>0.1</v>
      </c>
      <c r="E276" s="3" t="s">
        <v>48</v>
      </c>
      <c r="G276" s="100" t="s">
        <v>51</v>
      </c>
      <c r="H276" s="101" t="n">
        <v>21</v>
      </c>
      <c r="I276" s="102" t="n">
        <v>16</v>
      </c>
      <c r="J276" s="102" t="n">
        <v>16</v>
      </c>
      <c r="K276" s="103" t="n">
        <v>24</v>
      </c>
      <c r="L276" s="104" t="n">
        <v>77</v>
      </c>
    </row>
    <row r="277" customFormat="false" ht="12.8" hidden="false" customHeight="false" outlineLevel="0" collapsed="false">
      <c r="B277" s="3" t="n">
        <v>49</v>
      </c>
      <c r="C277" s="3" t="s">
        <v>44</v>
      </c>
      <c r="D277" s="3" t="n">
        <v>0.2148</v>
      </c>
      <c r="E277" s="3" t="s">
        <v>48</v>
      </c>
      <c r="G277" s="100" t="s">
        <v>62</v>
      </c>
      <c r="H277" s="101" t="n">
        <v>1</v>
      </c>
      <c r="I277" s="102" t="n">
        <v>1</v>
      </c>
      <c r="J277" s="102" t="n">
        <v>1</v>
      </c>
      <c r="K277" s="103" t="n">
        <v>2</v>
      </c>
      <c r="L277" s="104" t="n">
        <v>5</v>
      </c>
    </row>
    <row r="278" customFormat="false" ht="12.8" hidden="false" customHeight="false" outlineLevel="0" collapsed="false">
      <c r="B278" s="3" t="n">
        <v>49</v>
      </c>
      <c r="C278" s="3" t="s">
        <v>47</v>
      </c>
      <c r="D278" s="3" t="n">
        <v>0.1991</v>
      </c>
      <c r="E278" s="3" t="s">
        <v>48</v>
      </c>
      <c r="G278" s="100" t="s">
        <v>44</v>
      </c>
      <c r="H278" s="101" t="n">
        <v>25</v>
      </c>
      <c r="I278" s="102" t="n">
        <v>25</v>
      </c>
      <c r="J278" s="102" t="n">
        <v>25</v>
      </c>
      <c r="K278" s="103" t="n">
        <v>25</v>
      </c>
      <c r="L278" s="104" t="n">
        <v>100</v>
      </c>
    </row>
    <row r="279" customFormat="false" ht="12.8" hidden="false" customHeight="false" outlineLevel="0" collapsed="false">
      <c r="B279" s="3" t="n">
        <v>49</v>
      </c>
      <c r="C279" s="3" t="s">
        <v>51</v>
      </c>
      <c r="D279" s="3" t="n">
        <v>0.1668</v>
      </c>
      <c r="E279" s="3" t="s">
        <v>48</v>
      </c>
      <c r="G279" s="100" t="s">
        <v>56</v>
      </c>
      <c r="H279" s="101" t="n">
        <v>1</v>
      </c>
      <c r="I279" s="102" t="n">
        <v>0</v>
      </c>
      <c r="J279" s="102" t="n">
        <v>1</v>
      </c>
      <c r="K279" s="103" t="n">
        <v>3</v>
      </c>
      <c r="L279" s="104" t="n">
        <v>5</v>
      </c>
    </row>
    <row r="280" customFormat="false" ht="12.8" hidden="false" customHeight="false" outlineLevel="0" collapsed="false">
      <c r="B280" s="3" t="n">
        <v>49</v>
      </c>
      <c r="C280" s="3" t="s">
        <v>53</v>
      </c>
      <c r="D280" s="3" t="n">
        <v>0.1613</v>
      </c>
      <c r="E280" s="3" t="s">
        <v>48</v>
      </c>
      <c r="G280" s="100" t="s">
        <v>55</v>
      </c>
      <c r="H280" s="101" t="n">
        <v>18</v>
      </c>
      <c r="I280" s="102" t="n">
        <v>1</v>
      </c>
      <c r="J280" s="102" t="n">
        <v>2</v>
      </c>
      <c r="K280" s="103" t="n">
        <v>6</v>
      </c>
      <c r="L280" s="104" t="n">
        <v>27</v>
      </c>
    </row>
    <row r="281" customFormat="false" ht="12.8" hidden="false" customHeight="false" outlineLevel="0" collapsed="false">
      <c r="B281" s="3" t="n">
        <v>49</v>
      </c>
      <c r="C281" s="3" t="s">
        <v>55</v>
      </c>
      <c r="D281" s="3" t="n">
        <v>0.1581</v>
      </c>
      <c r="E281" s="3" t="s">
        <v>48</v>
      </c>
      <c r="G281" s="100" t="s">
        <v>47</v>
      </c>
      <c r="H281" s="101" t="n">
        <v>24</v>
      </c>
      <c r="I281" s="102" t="n">
        <v>25</v>
      </c>
      <c r="J281" s="102" t="n">
        <v>24</v>
      </c>
      <c r="K281" s="103" t="n">
        <v>25</v>
      </c>
      <c r="L281" s="104" t="n">
        <v>98</v>
      </c>
    </row>
    <row r="282" customFormat="false" ht="12.8" hidden="false" customHeight="false" outlineLevel="0" collapsed="false">
      <c r="B282" s="3" t="n">
        <v>49</v>
      </c>
      <c r="C282" s="3" t="s">
        <v>54</v>
      </c>
      <c r="D282" s="3" t="n">
        <v>0.1</v>
      </c>
      <c r="E282" s="3" t="s">
        <v>48</v>
      </c>
      <c r="G282" s="100" t="s">
        <v>54</v>
      </c>
      <c r="H282" s="105" t="n">
        <v>25</v>
      </c>
      <c r="I282" s="106" t="n">
        <v>25</v>
      </c>
      <c r="J282" s="106" t="n">
        <v>25</v>
      </c>
      <c r="K282" s="107" t="n">
        <v>25</v>
      </c>
      <c r="L282" s="108" t="n">
        <v>100</v>
      </c>
    </row>
    <row r="283" customFormat="false" ht="12.8" hidden="false" customHeight="false" outlineLevel="0" collapsed="false">
      <c r="B283" s="109" t="n">
        <v>1</v>
      </c>
      <c r="C283" s="110" t="s">
        <v>44</v>
      </c>
      <c r="D283" s="111" t="n">
        <v>0.2123</v>
      </c>
      <c r="E283" s="110" t="s">
        <v>49</v>
      </c>
    </row>
    <row r="284" customFormat="false" ht="12.8" hidden="false" customHeight="false" outlineLevel="0" collapsed="false">
      <c r="B284" s="109" t="n">
        <v>1</v>
      </c>
      <c r="C284" s="110" t="s">
        <v>47</v>
      </c>
      <c r="D284" s="111" t="n">
        <v>0.1805</v>
      </c>
      <c r="E284" s="110" t="s">
        <v>49</v>
      </c>
      <c r="G284" s="6" t="s">
        <v>66</v>
      </c>
    </row>
    <row r="285" customFormat="false" ht="12.8" hidden="false" customHeight="false" outlineLevel="0" collapsed="false">
      <c r="B285" s="109" t="n">
        <v>1</v>
      </c>
      <c r="C285" s="110" t="s">
        <v>52</v>
      </c>
      <c r="D285" s="111" t="n">
        <v>0.1704</v>
      </c>
      <c r="E285" s="110" t="s">
        <v>49</v>
      </c>
      <c r="G285" s="1" t="s">
        <v>12</v>
      </c>
      <c r="H285" s="1" t="n">
        <v>0.05</v>
      </c>
    </row>
    <row r="286" customFormat="false" ht="12.8" hidden="false" customHeight="false" outlineLevel="0" collapsed="false">
      <c r="B286" s="109" t="n">
        <v>1</v>
      </c>
      <c r="C286" s="110" t="s">
        <v>53</v>
      </c>
      <c r="D286" s="111" t="n">
        <v>0.1692</v>
      </c>
      <c r="E286" s="110" t="s">
        <v>49</v>
      </c>
      <c r="G286" s="1" t="s">
        <v>22</v>
      </c>
      <c r="H286" s="1" t="n">
        <f aca="false">(COLUMNS(anchors_raw_information!$H$274:$K$282) - 1) * (ROWS(anchors_raw_information!$H$274:$K$282) - 1)</f>
        <v>24</v>
      </c>
    </row>
    <row r="287" customFormat="false" ht="12.8" hidden="false" customHeight="false" outlineLevel="0" collapsed="false">
      <c r="B287" s="109" t="n">
        <v>1</v>
      </c>
      <c r="C287" s="110" t="s">
        <v>51</v>
      </c>
      <c r="D287" s="111" t="n">
        <v>0.1675</v>
      </c>
      <c r="E287" s="110" t="s">
        <v>49</v>
      </c>
      <c r="G287" s="1" t="s">
        <v>67</v>
      </c>
      <c r="H287" s="1" t="n">
        <f aca="false">CHITEST(anchors_raw_information!$H$274:$K$282, MMULT(MMULT(anchors_raw_information!$H$274:$K$282,TRANSPOSE(IF(COLUMN(anchors_raw_information!$H$274:$K$282),TRUE()))),MMULT(TRANSPOSE(IF(ROW(anchors_raw_information!$H$274:$K$282),TRUE())),anchors_raw_information!$H$274:$K$282)) / SUM(anchors_raw_information!$H$274:$K$282))</f>
        <v>0.00907319303464653</v>
      </c>
    </row>
    <row r="288" customFormat="false" ht="12.8" hidden="false" customHeight="false" outlineLevel="0" collapsed="false">
      <c r="B288" s="109" t="n">
        <v>1</v>
      </c>
      <c r="C288" s="110" t="s">
        <v>54</v>
      </c>
      <c r="D288" s="111" t="n">
        <v>0.1</v>
      </c>
      <c r="E288" s="110" t="s">
        <v>49</v>
      </c>
      <c r="G288" s="1" t="s">
        <v>68</v>
      </c>
      <c r="H288" s="1" t="n">
        <f aca="false">CHIINV(anchors_raw_information!$H$287, anchors_raw_information!$H$286)</f>
        <v>43.3488060283565</v>
      </c>
    </row>
    <row r="289" customFormat="false" ht="12.8" hidden="false" customHeight="false" outlineLevel="0" collapsed="false">
      <c r="B289" s="109" t="n">
        <v>3</v>
      </c>
      <c r="C289" s="110" t="s">
        <v>44</v>
      </c>
      <c r="D289" s="111" t="n">
        <v>0.2243</v>
      </c>
      <c r="E289" s="110" t="s">
        <v>49</v>
      </c>
      <c r="G289" s="1" t="s">
        <v>69</v>
      </c>
      <c r="H289" s="1" t="n">
        <f aca="false">CHIINV(anchors_raw_information!$H$285, anchors_raw_information!$H$286)</f>
        <v>36.4150285018073</v>
      </c>
    </row>
    <row r="290" customFormat="false" ht="12.8" hidden="false" customHeight="false" outlineLevel="0" collapsed="false">
      <c r="B290" s="109" t="n">
        <v>3</v>
      </c>
      <c r="C290" s="110" t="s">
        <v>47</v>
      </c>
      <c r="D290" s="111" t="n">
        <v>0.1897</v>
      </c>
      <c r="E290" s="110" t="s">
        <v>49</v>
      </c>
    </row>
    <row r="291" customFormat="false" ht="12.8" hidden="false" customHeight="false" outlineLevel="0" collapsed="false">
      <c r="B291" s="109" t="n">
        <v>3</v>
      </c>
      <c r="C291" s="110" t="s">
        <v>52</v>
      </c>
      <c r="D291" s="111" t="n">
        <v>0.1724</v>
      </c>
      <c r="E291" s="110" t="s">
        <v>49</v>
      </c>
      <c r="G291" s="84" t="s">
        <v>74</v>
      </c>
    </row>
    <row r="292" customFormat="false" ht="12.8" hidden="false" customHeight="false" outlineLevel="0" collapsed="false">
      <c r="B292" s="109" t="n">
        <v>3</v>
      </c>
      <c r="C292" s="110" t="s">
        <v>51</v>
      </c>
      <c r="D292" s="111" t="n">
        <v>0.1572</v>
      </c>
      <c r="E292" s="110" t="s">
        <v>49</v>
      </c>
    </row>
    <row r="293" customFormat="false" ht="12.8" hidden="false" customHeight="false" outlineLevel="0" collapsed="false">
      <c r="B293" s="109" t="n">
        <v>3</v>
      </c>
      <c r="C293" s="110" t="s">
        <v>53</v>
      </c>
      <c r="D293" s="111" t="n">
        <v>0.1564</v>
      </c>
      <c r="E293" s="110" t="s">
        <v>49</v>
      </c>
      <c r="G293" s="87" t="s">
        <v>59</v>
      </c>
      <c r="H293" s="88" t="s">
        <v>43</v>
      </c>
      <c r="I293" s="89"/>
      <c r="J293" s="89"/>
      <c r="K293" s="89"/>
      <c r="L293" s="90"/>
    </row>
    <row r="294" customFormat="false" ht="12.8" hidden="false" customHeight="false" outlineLevel="0" collapsed="false">
      <c r="B294" s="109" t="n">
        <v>3</v>
      </c>
      <c r="C294" s="110" t="s">
        <v>54</v>
      </c>
      <c r="D294" s="111" t="n">
        <v>0.1</v>
      </c>
      <c r="E294" s="110" t="s">
        <v>49</v>
      </c>
      <c r="G294" s="91" t="s">
        <v>41</v>
      </c>
      <c r="H294" s="92" t="s">
        <v>48</v>
      </c>
      <c r="I294" s="93" t="s">
        <v>49</v>
      </c>
      <c r="J294" s="93" t="s">
        <v>50</v>
      </c>
      <c r="K294" s="93" t="s">
        <v>45</v>
      </c>
      <c r="L294" s="94" t="s">
        <v>39</v>
      </c>
    </row>
    <row r="295" customFormat="false" ht="12.8" hidden="false" customHeight="false" outlineLevel="0" collapsed="false">
      <c r="B295" s="109" t="n">
        <v>5</v>
      </c>
      <c r="C295" s="110" t="s">
        <v>44</v>
      </c>
      <c r="D295" s="111" t="n">
        <v>0.2133</v>
      </c>
      <c r="E295" s="110" t="s">
        <v>49</v>
      </c>
      <c r="G295" s="95" t="s">
        <v>52</v>
      </c>
      <c r="H295" s="96" t="n">
        <v>20</v>
      </c>
      <c r="I295" s="97" t="n">
        <v>18</v>
      </c>
      <c r="J295" s="97" t="n">
        <v>24</v>
      </c>
      <c r="K295" s="98" t="n">
        <v>17</v>
      </c>
      <c r="L295" s="99" t="n">
        <v>79</v>
      </c>
    </row>
    <row r="296" customFormat="false" ht="12.8" hidden="false" customHeight="false" outlineLevel="0" collapsed="false">
      <c r="B296" s="109" t="n">
        <v>5</v>
      </c>
      <c r="C296" s="110" t="s">
        <v>47</v>
      </c>
      <c r="D296" s="111" t="n">
        <v>0.1959</v>
      </c>
      <c r="E296" s="110" t="s">
        <v>49</v>
      </c>
      <c r="G296" s="100" t="s">
        <v>53</v>
      </c>
      <c r="H296" s="101" t="n">
        <v>6</v>
      </c>
      <c r="I296" s="102" t="n">
        <v>18</v>
      </c>
      <c r="J296" s="102" t="n">
        <v>19</v>
      </c>
      <c r="K296" s="103" t="n">
        <v>10</v>
      </c>
      <c r="L296" s="104" t="n">
        <v>53</v>
      </c>
    </row>
    <row r="297" customFormat="false" ht="12.8" hidden="false" customHeight="false" outlineLevel="0" collapsed="false">
      <c r="B297" s="109" t="n">
        <v>5</v>
      </c>
      <c r="C297" s="110" t="s">
        <v>52</v>
      </c>
      <c r="D297" s="111" t="n">
        <v>0.1737</v>
      </c>
      <c r="E297" s="110" t="s">
        <v>49</v>
      </c>
      <c r="G297" s="100" t="s">
        <v>51</v>
      </c>
      <c r="H297" s="101" t="n">
        <v>21</v>
      </c>
      <c r="I297" s="102" t="n">
        <v>16</v>
      </c>
      <c r="J297" s="102" t="n">
        <v>16</v>
      </c>
      <c r="K297" s="103" t="n">
        <v>24</v>
      </c>
      <c r="L297" s="104" t="n">
        <v>77</v>
      </c>
    </row>
    <row r="298" customFormat="false" ht="12.8" hidden="false" customHeight="false" outlineLevel="0" collapsed="false">
      <c r="B298" s="109" t="n">
        <v>5</v>
      </c>
      <c r="C298" s="110" t="s">
        <v>53</v>
      </c>
      <c r="D298" s="111" t="n">
        <v>0.1637</v>
      </c>
      <c r="E298" s="110" t="s">
        <v>49</v>
      </c>
      <c r="G298" s="100" t="s">
        <v>62</v>
      </c>
      <c r="H298" s="101" t="n">
        <v>1</v>
      </c>
      <c r="I298" s="102" t="n">
        <v>1</v>
      </c>
      <c r="J298" s="102" t="n">
        <v>1</v>
      </c>
      <c r="K298" s="103" t="n">
        <v>2</v>
      </c>
      <c r="L298" s="104" t="n">
        <v>5</v>
      </c>
    </row>
    <row r="299" customFormat="false" ht="12.8" hidden="false" customHeight="false" outlineLevel="0" collapsed="false">
      <c r="B299" s="109" t="n">
        <v>5</v>
      </c>
      <c r="C299" s="110" t="s">
        <v>51</v>
      </c>
      <c r="D299" s="111" t="n">
        <v>0.1534</v>
      </c>
      <c r="E299" s="110" t="s">
        <v>49</v>
      </c>
      <c r="G299" s="100" t="s">
        <v>44</v>
      </c>
      <c r="H299" s="101" t="n">
        <v>25</v>
      </c>
      <c r="I299" s="102" t="n">
        <v>25</v>
      </c>
      <c r="J299" s="102" t="n">
        <v>25</v>
      </c>
      <c r="K299" s="103" t="n">
        <v>25</v>
      </c>
      <c r="L299" s="104" t="n">
        <v>100</v>
      </c>
    </row>
    <row r="300" customFormat="false" ht="12.8" hidden="false" customHeight="false" outlineLevel="0" collapsed="false">
      <c r="B300" s="109" t="n">
        <v>5</v>
      </c>
      <c r="C300" s="110" t="s">
        <v>54</v>
      </c>
      <c r="D300" s="111" t="n">
        <v>0.1</v>
      </c>
      <c r="E300" s="110" t="s">
        <v>49</v>
      </c>
      <c r="G300" s="100" t="s">
        <v>56</v>
      </c>
      <c r="H300" s="101" t="n">
        <v>1</v>
      </c>
      <c r="I300" s="102" t="n">
        <v>0</v>
      </c>
      <c r="J300" s="102" t="n">
        <v>1</v>
      </c>
      <c r="K300" s="103" t="n">
        <v>3</v>
      </c>
      <c r="L300" s="104" t="n">
        <v>5</v>
      </c>
    </row>
    <row r="301" customFormat="false" ht="12.8" hidden="false" customHeight="false" outlineLevel="0" collapsed="false">
      <c r="B301" s="109" t="n">
        <v>7</v>
      </c>
      <c r="C301" s="110" t="s">
        <v>44</v>
      </c>
      <c r="D301" s="111" t="n">
        <v>0.2212</v>
      </c>
      <c r="E301" s="110" t="s">
        <v>49</v>
      </c>
      <c r="G301" s="100" t="s">
        <v>55</v>
      </c>
      <c r="H301" s="101" t="n">
        <v>18</v>
      </c>
      <c r="I301" s="102" t="n">
        <v>1</v>
      </c>
      <c r="J301" s="102" t="n">
        <v>2</v>
      </c>
      <c r="K301" s="103" t="n">
        <v>6</v>
      </c>
      <c r="L301" s="104" t="n">
        <v>27</v>
      </c>
    </row>
    <row r="302" customFormat="false" ht="12.8" hidden="false" customHeight="false" outlineLevel="0" collapsed="false">
      <c r="B302" s="109" t="n">
        <v>7</v>
      </c>
      <c r="C302" s="110" t="s">
        <v>47</v>
      </c>
      <c r="D302" s="111" t="n">
        <v>0.2036</v>
      </c>
      <c r="E302" s="110" t="s">
        <v>49</v>
      </c>
      <c r="G302" s="100" t="s">
        <v>47</v>
      </c>
      <c r="H302" s="101" t="n">
        <v>24</v>
      </c>
      <c r="I302" s="102" t="n">
        <v>25</v>
      </c>
      <c r="J302" s="102" t="n">
        <v>24</v>
      </c>
      <c r="K302" s="103" t="n">
        <v>25</v>
      </c>
      <c r="L302" s="104" t="n">
        <v>98</v>
      </c>
    </row>
    <row r="303" customFormat="false" ht="12.8" hidden="false" customHeight="false" outlineLevel="0" collapsed="false">
      <c r="B303" s="109" t="n">
        <v>7</v>
      </c>
      <c r="C303" s="110" t="s">
        <v>53</v>
      </c>
      <c r="D303" s="111" t="n">
        <v>0.1644</v>
      </c>
      <c r="E303" s="110" t="s">
        <v>49</v>
      </c>
    </row>
    <row r="304" customFormat="false" ht="12.8" hidden="false" customHeight="false" outlineLevel="0" collapsed="false">
      <c r="B304" s="109" t="n">
        <v>7</v>
      </c>
      <c r="C304" s="110" t="s">
        <v>52</v>
      </c>
      <c r="D304" s="111" t="n">
        <v>0.1562</v>
      </c>
      <c r="E304" s="110" t="s">
        <v>49</v>
      </c>
      <c r="G304" s="6" t="s">
        <v>66</v>
      </c>
    </row>
    <row r="305" customFormat="false" ht="12.8" hidden="false" customHeight="false" outlineLevel="0" collapsed="false">
      <c r="B305" s="109" t="n">
        <v>7</v>
      </c>
      <c r="C305" s="110" t="s">
        <v>51</v>
      </c>
      <c r="D305" s="111" t="n">
        <v>0.1546</v>
      </c>
      <c r="E305" s="110" t="s">
        <v>49</v>
      </c>
      <c r="G305" s="1" t="s">
        <v>12</v>
      </c>
      <c r="H305" s="1" t="n">
        <v>0.05</v>
      </c>
    </row>
    <row r="306" customFormat="false" ht="12.8" hidden="false" customHeight="false" outlineLevel="0" collapsed="false">
      <c r="B306" s="109" t="n">
        <v>7</v>
      </c>
      <c r="C306" s="110" t="s">
        <v>54</v>
      </c>
      <c r="D306" s="111" t="n">
        <v>0.1</v>
      </c>
      <c r="E306" s="110" t="s">
        <v>49</v>
      </c>
      <c r="G306" s="1" t="s">
        <v>22</v>
      </c>
      <c r="H306" s="1" t="n">
        <f aca="false">(COLUMNS(anchors_raw_information!$H$295:$K$302) - 1) * (ROWS(anchors_raw_information!$H$295:$K$302) - 1)</f>
        <v>21</v>
      </c>
    </row>
    <row r="307" customFormat="false" ht="12.8" hidden="false" customHeight="false" outlineLevel="0" collapsed="false">
      <c r="B307" s="109" t="n">
        <v>9</v>
      </c>
      <c r="C307" s="110" t="s">
        <v>44</v>
      </c>
      <c r="D307" s="111" t="n">
        <v>0.2187</v>
      </c>
      <c r="E307" s="110" t="s">
        <v>49</v>
      </c>
      <c r="G307" s="1" t="s">
        <v>67</v>
      </c>
      <c r="H307" s="1" t="n">
        <f aca="false">CHITEST(anchors_raw_information!$H$295:$K$302, MMULT(MMULT(anchors_raw_information!$H$295:$K$302,TRANSPOSE(IF(COLUMN(anchors_raw_information!$H$295:$K$302),TRUE()))),MMULT(TRANSPOSE(IF(ROW(anchors_raw_information!$H$295:$K$302),TRUE())),anchors_raw_information!$H$295:$K$302)) / SUM(anchors_raw_information!$H$295:$K$302))</f>
        <v>0.00302380852987467</v>
      </c>
    </row>
    <row r="308" customFormat="false" ht="12.8" hidden="false" customHeight="false" outlineLevel="0" collapsed="false">
      <c r="B308" s="109" t="n">
        <v>9</v>
      </c>
      <c r="C308" s="110" t="s">
        <v>47</v>
      </c>
      <c r="D308" s="111" t="n">
        <v>0.1899</v>
      </c>
      <c r="E308" s="110" t="s">
        <v>49</v>
      </c>
      <c r="G308" s="1" t="s">
        <v>68</v>
      </c>
      <c r="H308" s="1" t="n">
        <f aca="false">CHIINV(anchors_raw_information!$H$307, anchors_raw_information!$H$306)</f>
        <v>43.1319198938099</v>
      </c>
    </row>
    <row r="309" customFormat="false" ht="12.8" hidden="false" customHeight="false" outlineLevel="0" collapsed="false">
      <c r="B309" s="109" t="n">
        <v>9</v>
      </c>
      <c r="C309" s="110" t="s">
        <v>52</v>
      </c>
      <c r="D309" s="111" t="n">
        <v>0.1719</v>
      </c>
      <c r="E309" s="110" t="s">
        <v>49</v>
      </c>
      <c r="G309" s="1" t="s">
        <v>69</v>
      </c>
      <c r="H309" s="1" t="n">
        <f aca="false">CHIINV(anchors_raw_information!$H$305, anchors_raw_information!$H$306)</f>
        <v>32.6705733409173</v>
      </c>
    </row>
    <row r="310" customFormat="false" ht="12.8" hidden="false" customHeight="false" outlineLevel="0" collapsed="false">
      <c r="B310" s="109" t="n">
        <v>9</v>
      </c>
      <c r="C310" s="110" t="s">
        <v>51</v>
      </c>
      <c r="D310" s="111" t="n">
        <v>0.1627</v>
      </c>
      <c r="E310" s="110" t="s">
        <v>49</v>
      </c>
    </row>
    <row r="311" customFormat="false" ht="12.8" hidden="false" customHeight="false" outlineLevel="0" collapsed="false">
      <c r="B311" s="109" t="n">
        <v>9</v>
      </c>
      <c r="C311" s="110" t="s">
        <v>53</v>
      </c>
      <c r="D311" s="111" t="n">
        <v>0.1569</v>
      </c>
      <c r="E311" s="110" t="s">
        <v>49</v>
      </c>
    </row>
    <row r="312" customFormat="false" ht="12.8" hidden="false" customHeight="false" outlineLevel="0" collapsed="false">
      <c r="B312" s="109" t="n">
        <v>9</v>
      </c>
      <c r="C312" s="110" t="s">
        <v>54</v>
      </c>
      <c r="D312" s="111" t="n">
        <v>0.1</v>
      </c>
      <c r="E312" s="110" t="s">
        <v>49</v>
      </c>
      <c r="G312" s="7" t="s">
        <v>75</v>
      </c>
    </row>
    <row r="313" customFormat="false" ht="12.8" hidden="false" customHeight="false" outlineLevel="0" collapsed="false">
      <c r="B313" s="109" t="n">
        <v>11</v>
      </c>
      <c r="C313" s="110" t="s">
        <v>44</v>
      </c>
      <c r="D313" s="111" t="n">
        <v>0.2198</v>
      </c>
      <c r="E313" s="110" t="s">
        <v>49</v>
      </c>
    </row>
    <row r="314" customFormat="false" ht="12.8" hidden="false" customHeight="false" outlineLevel="0" collapsed="false">
      <c r="B314" s="109" t="n">
        <v>11</v>
      </c>
      <c r="C314" s="110" t="s">
        <v>47</v>
      </c>
      <c r="D314" s="111" t="n">
        <v>0.1988</v>
      </c>
      <c r="E314" s="110" t="s">
        <v>49</v>
      </c>
    </row>
    <row r="315" customFormat="false" ht="12.8" hidden="false" customHeight="false" outlineLevel="0" collapsed="false">
      <c r="B315" s="109" t="n">
        <v>11</v>
      </c>
      <c r="C315" s="110" t="s">
        <v>51</v>
      </c>
      <c r="D315" s="111" t="n">
        <v>0.1665</v>
      </c>
      <c r="E315" s="110" t="s">
        <v>49</v>
      </c>
    </row>
    <row r="316" customFormat="false" ht="12.8" hidden="false" customHeight="false" outlineLevel="0" collapsed="false">
      <c r="B316" s="109" t="n">
        <v>11</v>
      </c>
      <c r="C316" s="110" t="s">
        <v>53</v>
      </c>
      <c r="D316" s="111" t="n">
        <v>0.1599</v>
      </c>
      <c r="E316" s="110" t="s">
        <v>49</v>
      </c>
    </row>
    <row r="317" customFormat="false" ht="12.8" hidden="false" customHeight="false" outlineLevel="0" collapsed="false">
      <c r="B317" s="109" t="n">
        <v>11</v>
      </c>
      <c r="C317" s="110" t="s">
        <v>52</v>
      </c>
      <c r="D317" s="111" t="n">
        <v>0.155</v>
      </c>
      <c r="E317" s="110" t="s">
        <v>49</v>
      </c>
    </row>
    <row r="318" customFormat="false" ht="12.8" hidden="false" customHeight="false" outlineLevel="0" collapsed="false">
      <c r="B318" s="109" t="n">
        <v>11</v>
      </c>
      <c r="C318" s="110" t="s">
        <v>54</v>
      </c>
      <c r="D318" s="111" t="n">
        <v>0.1</v>
      </c>
      <c r="E318" s="110" t="s">
        <v>49</v>
      </c>
    </row>
    <row r="319" customFormat="false" ht="12.8" hidden="false" customHeight="false" outlineLevel="0" collapsed="false">
      <c r="B319" s="109" t="n">
        <v>13</v>
      </c>
      <c r="C319" s="110" t="s">
        <v>44</v>
      </c>
      <c r="D319" s="111" t="n">
        <v>0.2761</v>
      </c>
      <c r="E319" s="110" t="s">
        <v>49</v>
      </c>
    </row>
    <row r="320" customFormat="false" ht="12.8" hidden="false" customHeight="false" outlineLevel="0" collapsed="false">
      <c r="B320" s="109" t="n">
        <v>13</v>
      </c>
      <c r="C320" s="110" t="s">
        <v>51</v>
      </c>
      <c r="D320" s="111" t="n">
        <v>0.2092</v>
      </c>
      <c r="E320" s="110" t="s">
        <v>49</v>
      </c>
    </row>
    <row r="321" customFormat="false" ht="12.8" hidden="false" customHeight="false" outlineLevel="0" collapsed="false">
      <c r="B321" s="109" t="n">
        <v>13</v>
      </c>
      <c r="C321" s="110" t="s">
        <v>47</v>
      </c>
      <c r="D321" s="111" t="n">
        <v>0.2077</v>
      </c>
      <c r="E321" s="110" t="s">
        <v>49</v>
      </c>
    </row>
    <row r="322" customFormat="false" ht="12.8" hidden="false" customHeight="false" outlineLevel="0" collapsed="false">
      <c r="B322" s="109" t="n">
        <v>13</v>
      </c>
      <c r="C322" s="110" t="s">
        <v>53</v>
      </c>
      <c r="D322" s="111" t="n">
        <v>0.207</v>
      </c>
      <c r="E322" s="110" t="s">
        <v>49</v>
      </c>
    </row>
    <row r="323" customFormat="false" ht="12.8" hidden="false" customHeight="false" outlineLevel="0" collapsed="false">
      <c r="B323" s="109" t="n">
        <v>13</v>
      </c>
      <c r="C323" s="110" t="s">
        <v>54</v>
      </c>
      <c r="D323" s="111" t="n">
        <v>0.1</v>
      </c>
      <c r="E323" s="110" t="s">
        <v>49</v>
      </c>
    </row>
    <row r="324" customFormat="false" ht="12.8" hidden="false" customHeight="false" outlineLevel="0" collapsed="false">
      <c r="B324" s="109" t="n">
        <v>15</v>
      </c>
      <c r="C324" s="110" t="s">
        <v>44</v>
      </c>
      <c r="D324" s="111" t="n">
        <v>0.2056</v>
      </c>
      <c r="E324" s="110" t="s">
        <v>49</v>
      </c>
    </row>
    <row r="325" customFormat="false" ht="12.8" hidden="false" customHeight="false" outlineLevel="0" collapsed="false">
      <c r="B325" s="109" t="n">
        <v>15</v>
      </c>
      <c r="C325" s="110" t="s">
        <v>47</v>
      </c>
      <c r="D325" s="111" t="n">
        <v>0.1967</v>
      </c>
      <c r="E325" s="110" t="s">
        <v>49</v>
      </c>
    </row>
    <row r="326" customFormat="false" ht="12.8" hidden="false" customHeight="false" outlineLevel="0" collapsed="false">
      <c r="B326" s="109" t="n">
        <v>15</v>
      </c>
      <c r="C326" s="110" t="s">
        <v>52</v>
      </c>
      <c r="D326" s="111" t="n">
        <v>0.1764</v>
      </c>
      <c r="E326" s="110" t="s">
        <v>49</v>
      </c>
    </row>
    <row r="327" customFormat="false" ht="12.8" hidden="false" customHeight="false" outlineLevel="0" collapsed="false">
      <c r="B327" s="109" t="n">
        <v>15</v>
      </c>
      <c r="C327" s="110" t="s">
        <v>51</v>
      </c>
      <c r="D327" s="111" t="n">
        <v>0.1687</v>
      </c>
      <c r="E327" s="110" t="s">
        <v>49</v>
      </c>
    </row>
    <row r="328" customFormat="false" ht="12.8" hidden="false" customHeight="false" outlineLevel="0" collapsed="false">
      <c r="B328" s="109" t="n">
        <v>15</v>
      </c>
      <c r="C328" s="110" t="s">
        <v>53</v>
      </c>
      <c r="D328" s="111" t="n">
        <v>0.1527</v>
      </c>
      <c r="E328" s="110" t="s">
        <v>49</v>
      </c>
    </row>
    <row r="329" customFormat="false" ht="12.8" hidden="false" customHeight="false" outlineLevel="0" collapsed="false">
      <c r="B329" s="109" t="n">
        <v>15</v>
      </c>
      <c r="C329" s="110" t="s">
        <v>54</v>
      </c>
      <c r="D329" s="111" t="n">
        <v>0.1</v>
      </c>
      <c r="E329" s="110" t="s">
        <v>49</v>
      </c>
    </row>
    <row r="330" customFormat="false" ht="12.8" hidden="false" customHeight="false" outlineLevel="0" collapsed="false">
      <c r="B330" s="109" t="n">
        <v>17</v>
      </c>
      <c r="C330" s="110" t="s">
        <v>47</v>
      </c>
      <c r="D330" s="111" t="n">
        <v>0.2115</v>
      </c>
      <c r="E330" s="110" t="s">
        <v>49</v>
      </c>
    </row>
    <row r="331" customFormat="false" ht="12.8" hidden="false" customHeight="false" outlineLevel="0" collapsed="false">
      <c r="B331" s="109" t="n">
        <v>17</v>
      </c>
      <c r="C331" s="110" t="s">
        <v>44</v>
      </c>
      <c r="D331" s="111" t="n">
        <v>0.1993</v>
      </c>
      <c r="E331" s="110" t="s">
        <v>49</v>
      </c>
    </row>
    <row r="332" customFormat="false" ht="12.8" hidden="false" customHeight="false" outlineLevel="0" collapsed="false">
      <c r="B332" s="109" t="n">
        <v>17</v>
      </c>
      <c r="C332" s="110" t="s">
        <v>53</v>
      </c>
      <c r="D332" s="111" t="n">
        <v>0.1697</v>
      </c>
      <c r="E332" s="110" t="s">
        <v>49</v>
      </c>
    </row>
    <row r="333" customFormat="false" ht="12.8" hidden="false" customHeight="false" outlineLevel="0" collapsed="false">
      <c r="B333" s="109" t="n">
        <v>17</v>
      </c>
      <c r="C333" s="110" t="s">
        <v>52</v>
      </c>
      <c r="D333" s="111" t="n">
        <v>0.1684</v>
      </c>
      <c r="E333" s="110" t="s">
        <v>49</v>
      </c>
    </row>
    <row r="334" customFormat="false" ht="12.8" hidden="false" customHeight="false" outlineLevel="0" collapsed="false">
      <c r="B334" s="109" t="n">
        <v>17</v>
      </c>
      <c r="C334" s="110" t="s">
        <v>51</v>
      </c>
      <c r="D334" s="111" t="n">
        <v>0.1512</v>
      </c>
      <c r="E334" s="110" t="s">
        <v>49</v>
      </c>
    </row>
    <row r="335" customFormat="false" ht="12.8" hidden="false" customHeight="false" outlineLevel="0" collapsed="false">
      <c r="B335" s="109" t="n">
        <v>17</v>
      </c>
      <c r="C335" s="110" t="s">
        <v>54</v>
      </c>
      <c r="D335" s="111" t="n">
        <v>0.1</v>
      </c>
      <c r="E335" s="110" t="s">
        <v>49</v>
      </c>
    </row>
    <row r="336" customFormat="false" ht="12.8" hidden="false" customHeight="false" outlineLevel="0" collapsed="false">
      <c r="B336" s="109" t="n">
        <v>19</v>
      </c>
      <c r="C336" s="110" t="s">
        <v>44</v>
      </c>
      <c r="D336" s="111" t="n">
        <v>0.2196</v>
      </c>
      <c r="E336" s="110" t="s">
        <v>49</v>
      </c>
    </row>
    <row r="337" customFormat="false" ht="12.8" hidden="false" customHeight="false" outlineLevel="0" collapsed="false">
      <c r="B337" s="109" t="n">
        <v>19</v>
      </c>
      <c r="C337" s="110" t="s">
        <v>47</v>
      </c>
      <c r="D337" s="111" t="n">
        <v>0.1919</v>
      </c>
      <c r="E337" s="110" t="s">
        <v>49</v>
      </c>
    </row>
    <row r="338" customFormat="false" ht="12.8" hidden="false" customHeight="false" outlineLevel="0" collapsed="false">
      <c r="B338" s="109" t="n">
        <v>19</v>
      </c>
      <c r="C338" s="110" t="s">
        <v>53</v>
      </c>
      <c r="D338" s="111" t="n">
        <v>0.1743</v>
      </c>
      <c r="E338" s="110" t="s">
        <v>49</v>
      </c>
    </row>
    <row r="339" customFormat="false" ht="12.8" hidden="false" customHeight="false" outlineLevel="0" collapsed="false">
      <c r="B339" s="109" t="n">
        <v>19</v>
      </c>
      <c r="C339" s="110" t="s">
        <v>52</v>
      </c>
      <c r="D339" s="111" t="n">
        <v>0.1574</v>
      </c>
      <c r="E339" s="110" t="s">
        <v>49</v>
      </c>
    </row>
    <row r="340" customFormat="false" ht="12.8" hidden="false" customHeight="false" outlineLevel="0" collapsed="false">
      <c r="B340" s="109" t="n">
        <v>19</v>
      </c>
      <c r="C340" s="110" t="s">
        <v>51</v>
      </c>
      <c r="D340" s="111" t="n">
        <v>0.1568</v>
      </c>
      <c r="E340" s="110" t="s">
        <v>49</v>
      </c>
    </row>
    <row r="341" customFormat="false" ht="12.8" hidden="false" customHeight="false" outlineLevel="0" collapsed="false">
      <c r="B341" s="109" t="n">
        <v>19</v>
      </c>
      <c r="C341" s="110" t="s">
        <v>54</v>
      </c>
      <c r="D341" s="111" t="n">
        <v>0.1</v>
      </c>
      <c r="E341" s="110" t="s">
        <v>49</v>
      </c>
    </row>
    <row r="342" customFormat="false" ht="12.8" hidden="false" customHeight="false" outlineLevel="0" collapsed="false">
      <c r="B342" s="109" t="n">
        <v>21</v>
      </c>
      <c r="C342" s="110" t="s">
        <v>47</v>
      </c>
      <c r="D342" s="111" t="n">
        <v>0.256</v>
      </c>
      <c r="E342" s="110" t="s">
        <v>49</v>
      </c>
    </row>
    <row r="343" customFormat="false" ht="12.8" hidden="false" customHeight="false" outlineLevel="0" collapsed="false">
      <c r="B343" s="109" t="n">
        <v>21</v>
      </c>
      <c r="C343" s="110" t="s">
        <v>44</v>
      </c>
      <c r="D343" s="111" t="n">
        <v>0.2344</v>
      </c>
      <c r="E343" s="110" t="s">
        <v>49</v>
      </c>
    </row>
    <row r="344" customFormat="false" ht="12.8" hidden="false" customHeight="false" outlineLevel="0" collapsed="false">
      <c r="B344" s="109" t="n">
        <v>21</v>
      </c>
      <c r="C344" s="110" t="s">
        <v>52</v>
      </c>
      <c r="D344" s="111" t="n">
        <v>0.2094</v>
      </c>
      <c r="E344" s="110" t="s">
        <v>49</v>
      </c>
    </row>
    <row r="345" customFormat="false" ht="12.8" hidden="false" customHeight="false" outlineLevel="0" collapsed="false">
      <c r="B345" s="109" t="n">
        <v>21</v>
      </c>
      <c r="C345" s="110" t="s">
        <v>57</v>
      </c>
      <c r="D345" s="111" t="n">
        <v>0.2002</v>
      </c>
      <c r="E345" s="110" t="s">
        <v>49</v>
      </c>
    </row>
    <row r="346" customFormat="false" ht="12.8" hidden="false" customHeight="false" outlineLevel="0" collapsed="false">
      <c r="B346" s="109" t="n">
        <v>21</v>
      </c>
      <c r="C346" s="110" t="s">
        <v>54</v>
      </c>
      <c r="D346" s="111" t="n">
        <v>0.1</v>
      </c>
      <c r="E346" s="110" t="s">
        <v>49</v>
      </c>
    </row>
    <row r="347" customFormat="false" ht="12.8" hidden="false" customHeight="false" outlineLevel="0" collapsed="false">
      <c r="B347" s="109" t="n">
        <v>23</v>
      </c>
      <c r="C347" s="110" t="s">
        <v>47</v>
      </c>
      <c r="D347" s="111" t="n">
        <v>0.3126</v>
      </c>
      <c r="E347" s="110" t="s">
        <v>49</v>
      </c>
    </row>
    <row r="348" customFormat="false" ht="12.8" hidden="false" customHeight="false" outlineLevel="0" collapsed="false">
      <c r="B348" s="109" t="n">
        <v>23</v>
      </c>
      <c r="C348" s="110" t="s">
        <v>44</v>
      </c>
      <c r="D348" s="111" t="n">
        <v>0.3027</v>
      </c>
      <c r="E348" s="110" t="s">
        <v>49</v>
      </c>
    </row>
    <row r="349" customFormat="false" ht="12.8" hidden="false" customHeight="false" outlineLevel="0" collapsed="false">
      <c r="B349" s="109" t="n">
        <v>23</v>
      </c>
      <c r="C349" s="110" t="s">
        <v>52</v>
      </c>
      <c r="D349" s="111" t="n">
        <v>0.2846</v>
      </c>
      <c r="E349" s="110" t="s">
        <v>49</v>
      </c>
    </row>
    <row r="350" customFormat="false" ht="12.8" hidden="false" customHeight="false" outlineLevel="0" collapsed="false">
      <c r="B350" s="109" t="n">
        <v>23</v>
      </c>
      <c r="C350" s="110" t="s">
        <v>54</v>
      </c>
      <c r="D350" s="111" t="n">
        <v>0.1</v>
      </c>
      <c r="E350" s="110" t="s">
        <v>49</v>
      </c>
    </row>
    <row r="351" customFormat="false" ht="12.8" hidden="false" customHeight="false" outlineLevel="0" collapsed="false">
      <c r="B351" s="109" t="n">
        <v>25</v>
      </c>
      <c r="C351" s="110" t="s">
        <v>44</v>
      </c>
      <c r="D351" s="111" t="n">
        <v>0.3377</v>
      </c>
      <c r="E351" s="110" t="s">
        <v>49</v>
      </c>
    </row>
    <row r="352" customFormat="false" ht="12.8" hidden="false" customHeight="false" outlineLevel="0" collapsed="false">
      <c r="B352" s="109" t="n">
        <v>25</v>
      </c>
      <c r="C352" s="110" t="s">
        <v>52</v>
      </c>
      <c r="D352" s="111" t="n">
        <v>0.2828</v>
      </c>
      <c r="E352" s="110" t="s">
        <v>49</v>
      </c>
    </row>
    <row r="353" customFormat="false" ht="12.8" hidden="false" customHeight="false" outlineLevel="0" collapsed="false">
      <c r="B353" s="109" t="n">
        <v>25</v>
      </c>
      <c r="C353" s="110" t="s">
        <v>47</v>
      </c>
      <c r="D353" s="111" t="n">
        <v>0.2795</v>
      </c>
      <c r="E353" s="110" t="s">
        <v>49</v>
      </c>
    </row>
    <row r="354" customFormat="false" ht="12.8" hidden="false" customHeight="false" outlineLevel="0" collapsed="false">
      <c r="B354" s="109" t="n">
        <v>25</v>
      </c>
      <c r="C354" s="110" t="s">
        <v>54</v>
      </c>
      <c r="D354" s="111" t="n">
        <v>0.1</v>
      </c>
      <c r="E354" s="110" t="s">
        <v>49</v>
      </c>
    </row>
    <row r="355" customFormat="false" ht="12.8" hidden="false" customHeight="false" outlineLevel="0" collapsed="false">
      <c r="B355" s="109" t="n">
        <v>27</v>
      </c>
      <c r="C355" s="110" t="s">
        <v>44</v>
      </c>
      <c r="D355" s="111" t="n">
        <v>0.2164</v>
      </c>
      <c r="E355" s="110" t="s">
        <v>49</v>
      </c>
    </row>
    <row r="356" customFormat="false" ht="12.8" hidden="false" customHeight="false" outlineLevel="0" collapsed="false">
      <c r="B356" s="109" t="n">
        <v>27</v>
      </c>
      <c r="C356" s="110" t="s">
        <v>47</v>
      </c>
      <c r="D356" s="111" t="n">
        <v>0.1801</v>
      </c>
      <c r="E356" s="110" t="s">
        <v>49</v>
      </c>
    </row>
    <row r="357" customFormat="false" ht="12.8" hidden="false" customHeight="false" outlineLevel="0" collapsed="false">
      <c r="B357" s="109" t="n">
        <v>27</v>
      </c>
      <c r="C357" s="110" t="s">
        <v>52</v>
      </c>
      <c r="D357" s="111" t="n">
        <v>0.1766</v>
      </c>
      <c r="E357" s="110" t="s">
        <v>49</v>
      </c>
    </row>
    <row r="358" customFormat="false" ht="12.8" hidden="false" customHeight="false" outlineLevel="0" collapsed="false">
      <c r="B358" s="109" t="n">
        <v>27</v>
      </c>
      <c r="C358" s="110" t="s">
        <v>53</v>
      </c>
      <c r="D358" s="111" t="n">
        <v>0.1687</v>
      </c>
      <c r="E358" s="110" t="s">
        <v>49</v>
      </c>
    </row>
    <row r="359" customFormat="false" ht="12.8" hidden="false" customHeight="false" outlineLevel="0" collapsed="false">
      <c r="B359" s="109" t="n">
        <v>27</v>
      </c>
      <c r="C359" s="110" t="s">
        <v>51</v>
      </c>
      <c r="D359" s="111" t="n">
        <v>0.1582</v>
      </c>
      <c r="E359" s="110" t="s">
        <v>49</v>
      </c>
    </row>
    <row r="360" customFormat="false" ht="12.8" hidden="false" customHeight="false" outlineLevel="0" collapsed="false">
      <c r="B360" s="109" t="n">
        <v>27</v>
      </c>
      <c r="C360" s="110" t="s">
        <v>54</v>
      </c>
      <c r="D360" s="111" t="n">
        <v>0.1</v>
      </c>
      <c r="E360" s="110" t="s">
        <v>49</v>
      </c>
    </row>
    <row r="361" customFormat="false" ht="12.8" hidden="false" customHeight="false" outlineLevel="0" collapsed="false">
      <c r="B361" s="109" t="n">
        <v>29</v>
      </c>
      <c r="C361" s="110" t="s">
        <v>44</v>
      </c>
      <c r="D361" s="111" t="n">
        <v>0.2206</v>
      </c>
      <c r="E361" s="110" t="s">
        <v>49</v>
      </c>
    </row>
    <row r="362" customFormat="false" ht="12.8" hidden="false" customHeight="false" outlineLevel="0" collapsed="false">
      <c r="B362" s="109" t="n">
        <v>29</v>
      </c>
      <c r="C362" s="110" t="s">
        <v>47</v>
      </c>
      <c r="D362" s="111" t="n">
        <v>0.1854</v>
      </c>
      <c r="E362" s="110" t="s">
        <v>49</v>
      </c>
    </row>
    <row r="363" customFormat="false" ht="12.8" hidden="false" customHeight="false" outlineLevel="0" collapsed="false">
      <c r="B363" s="109" t="n">
        <v>29</v>
      </c>
      <c r="C363" s="110" t="s">
        <v>53</v>
      </c>
      <c r="D363" s="111" t="n">
        <v>0.1851</v>
      </c>
      <c r="E363" s="110" t="s">
        <v>49</v>
      </c>
    </row>
    <row r="364" customFormat="false" ht="12.8" hidden="false" customHeight="false" outlineLevel="0" collapsed="false">
      <c r="B364" s="109" t="n">
        <v>29</v>
      </c>
      <c r="C364" s="110" t="s">
        <v>51</v>
      </c>
      <c r="D364" s="111" t="n">
        <v>0.1572</v>
      </c>
      <c r="E364" s="110" t="s">
        <v>49</v>
      </c>
    </row>
    <row r="365" customFormat="false" ht="12.8" hidden="false" customHeight="false" outlineLevel="0" collapsed="false">
      <c r="B365" s="109" t="n">
        <v>29</v>
      </c>
      <c r="C365" s="110" t="s">
        <v>52</v>
      </c>
      <c r="D365" s="111" t="n">
        <v>0.1517</v>
      </c>
      <c r="E365" s="110" t="s">
        <v>49</v>
      </c>
    </row>
    <row r="366" customFormat="false" ht="12.8" hidden="false" customHeight="false" outlineLevel="0" collapsed="false">
      <c r="B366" s="109" t="n">
        <v>29</v>
      </c>
      <c r="C366" s="110" t="s">
        <v>54</v>
      </c>
      <c r="D366" s="111" t="n">
        <v>0.1</v>
      </c>
      <c r="E366" s="110" t="s">
        <v>49</v>
      </c>
    </row>
    <row r="367" customFormat="false" ht="12.8" hidden="false" customHeight="false" outlineLevel="0" collapsed="false">
      <c r="B367" s="109" t="n">
        <v>31</v>
      </c>
      <c r="C367" s="110" t="s">
        <v>44</v>
      </c>
      <c r="D367" s="111" t="n">
        <v>0.4641</v>
      </c>
      <c r="E367" s="110" t="s">
        <v>49</v>
      </c>
    </row>
    <row r="368" customFormat="false" ht="12.8" hidden="false" customHeight="false" outlineLevel="0" collapsed="false">
      <c r="B368" s="109" t="n">
        <v>31</v>
      </c>
      <c r="C368" s="110" t="s">
        <v>47</v>
      </c>
      <c r="D368" s="111" t="n">
        <v>0.4359</v>
      </c>
      <c r="E368" s="110" t="s">
        <v>49</v>
      </c>
    </row>
    <row r="369" customFormat="false" ht="12.8" hidden="false" customHeight="false" outlineLevel="0" collapsed="false">
      <c r="B369" s="109" t="n">
        <v>31</v>
      </c>
      <c r="C369" s="110" t="s">
        <v>54</v>
      </c>
      <c r="D369" s="111" t="n">
        <v>0.1</v>
      </c>
      <c r="E369" s="110" t="s">
        <v>49</v>
      </c>
    </row>
    <row r="370" customFormat="false" ht="12.8" hidden="false" customHeight="false" outlineLevel="0" collapsed="false">
      <c r="B370" s="109" t="n">
        <v>33</v>
      </c>
      <c r="C370" s="110" t="s">
        <v>47</v>
      </c>
      <c r="D370" s="111" t="n">
        <v>0.4545</v>
      </c>
      <c r="E370" s="110" t="s">
        <v>49</v>
      </c>
    </row>
    <row r="371" customFormat="false" ht="12.8" hidden="false" customHeight="false" outlineLevel="0" collapsed="false">
      <c r="B371" s="109" t="n">
        <v>33</v>
      </c>
      <c r="C371" s="110" t="s">
        <v>44</v>
      </c>
      <c r="D371" s="111" t="n">
        <v>0.4455</v>
      </c>
      <c r="E371" s="110" t="s">
        <v>49</v>
      </c>
    </row>
    <row r="372" customFormat="false" ht="12.8" hidden="false" customHeight="false" outlineLevel="0" collapsed="false">
      <c r="B372" s="109" t="n">
        <v>33</v>
      </c>
      <c r="C372" s="110" t="s">
        <v>54</v>
      </c>
      <c r="D372" s="111" t="n">
        <v>0.1</v>
      </c>
      <c r="E372" s="110" t="s">
        <v>49</v>
      </c>
    </row>
    <row r="373" customFormat="false" ht="12.8" hidden="false" customHeight="false" outlineLevel="0" collapsed="false">
      <c r="B373" s="109" t="n">
        <v>35</v>
      </c>
      <c r="C373" s="110" t="s">
        <v>44</v>
      </c>
      <c r="D373" s="111" t="n">
        <v>0.2034</v>
      </c>
      <c r="E373" s="110" t="s">
        <v>49</v>
      </c>
    </row>
    <row r="374" customFormat="false" ht="12.8" hidden="false" customHeight="false" outlineLevel="0" collapsed="false">
      <c r="B374" s="109" t="n">
        <v>35</v>
      </c>
      <c r="C374" s="110" t="s">
        <v>47</v>
      </c>
      <c r="D374" s="111" t="n">
        <v>0.1891</v>
      </c>
      <c r="E374" s="110" t="s">
        <v>49</v>
      </c>
    </row>
    <row r="375" customFormat="false" ht="12.8" hidden="false" customHeight="false" outlineLevel="0" collapsed="false">
      <c r="B375" s="109" t="n">
        <v>35</v>
      </c>
      <c r="C375" s="110" t="s">
        <v>53</v>
      </c>
      <c r="D375" s="111" t="n">
        <v>0.1725</v>
      </c>
      <c r="E375" s="110" t="s">
        <v>49</v>
      </c>
    </row>
    <row r="376" customFormat="false" ht="12.8" hidden="false" customHeight="false" outlineLevel="0" collapsed="false">
      <c r="B376" s="109" t="n">
        <v>35</v>
      </c>
      <c r="C376" s="110" t="s">
        <v>51</v>
      </c>
      <c r="D376" s="111" t="n">
        <v>0.1679</v>
      </c>
      <c r="E376" s="110" t="s">
        <v>49</v>
      </c>
    </row>
    <row r="377" customFormat="false" ht="12.8" hidden="false" customHeight="false" outlineLevel="0" collapsed="false">
      <c r="B377" s="109" t="n">
        <v>35</v>
      </c>
      <c r="C377" s="110" t="s">
        <v>52</v>
      </c>
      <c r="D377" s="111" t="n">
        <v>0.1672</v>
      </c>
      <c r="E377" s="110" t="s">
        <v>49</v>
      </c>
    </row>
    <row r="378" customFormat="false" ht="12.8" hidden="false" customHeight="false" outlineLevel="0" collapsed="false">
      <c r="B378" s="109" t="n">
        <v>35</v>
      </c>
      <c r="C378" s="110" t="s">
        <v>54</v>
      </c>
      <c r="D378" s="111" t="n">
        <v>0.1</v>
      </c>
      <c r="E378" s="110" t="s">
        <v>49</v>
      </c>
    </row>
    <row r="379" customFormat="false" ht="12.8" hidden="false" customHeight="false" outlineLevel="0" collapsed="false">
      <c r="B379" s="109" t="n">
        <v>37</v>
      </c>
      <c r="C379" s="110" t="s">
        <v>44</v>
      </c>
      <c r="D379" s="111" t="n">
        <v>0.2111</v>
      </c>
      <c r="E379" s="110" t="s">
        <v>49</v>
      </c>
    </row>
    <row r="380" customFormat="false" ht="12.8" hidden="false" customHeight="false" outlineLevel="0" collapsed="false">
      <c r="B380" s="109" t="n">
        <v>37</v>
      </c>
      <c r="C380" s="110" t="s">
        <v>47</v>
      </c>
      <c r="D380" s="111" t="n">
        <v>0.1928</v>
      </c>
      <c r="E380" s="110" t="s">
        <v>49</v>
      </c>
    </row>
    <row r="381" customFormat="false" ht="12.8" hidden="false" customHeight="false" outlineLevel="0" collapsed="false">
      <c r="B381" s="109" t="n">
        <v>37</v>
      </c>
      <c r="C381" s="110" t="s">
        <v>52</v>
      </c>
      <c r="D381" s="111" t="n">
        <v>0.1846</v>
      </c>
      <c r="E381" s="110" t="s">
        <v>49</v>
      </c>
    </row>
    <row r="382" customFormat="false" ht="12.8" hidden="false" customHeight="false" outlineLevel="0" collapsed="false">
      <c r="B382" s="109" t="n">
        <v>37</v>
      </c>
      <c r="C382" s="110" t="s">
        <v>53</v>
      </c>
      <c r="D382" s="111" t="n">
        <v>0.1586</v>
      </c>
      <c r="E382" s="110" t="s">
        <v>49</v>
      </c>
    </row>
    <row r="383" customFormat="false" ht="12.8" hidden="false" customHeight="false" outlineLevel="0" collapsed="false">
      <c r="B383" s="109" t="n">
        <v>37</v>
      </c>
      <c r="C383" s="110" t="s">
        <v>55</v>
      </c>
      <c r="D383" s="111" t="n">
        <v>0.1529</v>
      </c>
      <c r="E383" s="110" t="s">
        <v>49</v>
      </c>
    </row>
    <row r="384" customFormat="false" ht="12.8" hidden="false" customHeight="false" outlineLevel="0" collapsed="false">
      <c r="B384" s="109" t="n">
        <v>37</v>
      </c>
      <c r="C384" s="110" t="s">
        <v>54</v>
      </c>
      <c r="D384" s="111" t="n">
        <v>0.1</v>
      </c>
      <c r="E384" s="110" t="s">
        <v>49</v>
      </c>
    </row>
    <row r="385" customFormat="false" ht="12.8" hidden="false" customHeight="false" outlineLevel="0" collapsed="false">
      <c r="B385" s="109" t="n">
        <v>39</v>
      </c>
      <c r="C385" s="110" t="s">
        <v>44</v>
      </c>
      <c r="D385" s="111" t="n">
        <v>0.4732</v>
      </c>
      <c r="E385" s="110" t="s">
        <v>49</v>
      </c>
    </row>
    <row r="386" customFormat="false" ht="12.8" hidden="false" customHeight="false" outlineLevel="0" collapsed="false">
      <c r="B386" s="109" t="n">
        <v>39</v>
      </c>
      <c r="C386" s="110" t="s">
        <v>47</v>
      </c>
      <c r="D386" s="111" t="n">
        <v>0.4268</v>
      </c>
      <c r="E386" s="110" t="s">
        <v>49</v>
      </c>
    </row>
    <row r="387" customFormat="false" ht="12.8" hidden="false" customHeight="false" outlineLevel="0" collapsed="false">
      <c r="B387" s="109" t="n">
        <v>39</v>
      </c>
      <c r="C387" s="110" t="s">
        <v>54</v>
      </c>
      <c r="D387" s="111" t="n">
        <v>0.1</v>
      </c>
      <c r="E387" s="110" t="s">
        <v>49</v>
      </c>
    </row>
    <row r="388" customFormat="false" ht="12.8" hidden="false" customHeight="false" outlineLevel="0" collapsed="false">
      <c r="B388" s="109" t="n">
        <v>41</v>
      </c>
      <c r="C388" s="110" t="s">
        <v>44</v>
      </c>
      <c r="D388" s="111" t="n">
        <v>0.3201</v>
      </c>
      <c r="E388" s="110" t="s">
        <v>49</v>
      </c>
    </row>
    <row r="389" customFormat="false" ht="12.8" hidden="false" customHeight="false" outlineLevel="0" collapsed="false">
      <c r="B389" s="109" t="n">
        <v>41</v>
      </c>
      <c r="C389" s="110" t="s">
        <v>47</v>
      </c>
      <c r="D389" s="111" t="n">
        <v>0.3075</v>
      </c>
      <c r="E389" s="110" t="s">
        <v>49</v>
      </c>
    </row>
    <row r="390" customFormat="false" ht="12.8" hidden="false" customHeight="false" outlineLevel="0" collapsed="false">
      <c r="B390" s="109" t="n">
        <v>41</v>
      </c>
      <c r="C390" s="110" t="s">
        <v>53</v>
      </c>
      <c r="D390" s="111" t="n">
        <v>0.2724</v>
      </c>
      <c r="E390" s="110" t="s">
        <v>49</v>
      </c>
    </row>
    <row r="391" customFormat="false" ht="12.8" hidden="false" customHeight="false" outlineLevel="0" collapsed="false">
      <c r="B391" s="109" t="n">
        <v>41</v>
      </c>
      <c r="C391" s="110" t="s">
        <v>54</v>
      </c>
      <c r="D391" s="111" t="n">
        <v>0.1</v>
      </c>
      <c r="E391" s="110" t="s">
        <v>49</v>
      </c>
    </row>
    <row r="392" customFormat="false" ht="12.8" hidden="false" customHeight="false" outlineLevel="0" collapsed="false">
      <c r="B392" s="109" t="n">
        <v>43</v>
      </c>
      <c r="C392" s="110" t="s">
        <v>44</v>
      </c>
      <c r="D392" s="111" t="n">
        <v>0.2164</v>
      </c>
      <c r="E392" s="110" t="s">
        <v>49</v>
      </c>
    </row>
    <row r="393" customFormat="false" ht="12.8" hidden="false" customHeight="false" outlineLevel="0" collapsed="false">
      <c r="B393" s="109" t="n">
        <v>43</v>
      </c>
      <c r="C393" s="110" t="s">
        <v>47</v>
      </c>
      <c r="D393" s="111" t="n">
        <v>0.2122</v>
      </c>
      <c r="E393" s="110" t="s">
        <v>49</v>
      </c>
    </row>
    <row r="394" customFormat="false" ht="12.8" hidden="false" customHeight="false" outlineLevel="0" collapsed="false">
      <c r="B394" s="109" t="n">
        <v>43</v>
      </c>
      <c r="C394" s="110" t="s">
        <v>51</v>
      </c>
      <c r="D394" s="111" t="n">
        <v>0.1627</v>
      </c>
      <c r="E394" s="110" t="s">
        <v>49</v>
      </c>
    </row>
    <row r="395" customFormat="false" ht="12.8" hidden="false" customHeight="false" outlineLevel="0" collapsed="false">
      <c r="B395" s="109" t="n">
        <v>43</v>
      </c>
      <c r="C395" s="110" t="s">
        <v>53</v>
      </c>
      <c r="D395" s="111" t="n">
        <v>0.1623</v>
      </c>
      <c r="E395" s="110" t="s">
        <v>49</v>
      </c>
    </row>
    <row r="396" customFormat="false" ht="12.8" hidden="false" customHeight="false" outlineLevel="0" collapsed="false">
      <c r="B396" s="109" t="n">
        <v>43</v>
      </c>
      <c r="C396" s="110" t="s">
        <v>52</v>
      </c>
      <c r="D396" s="111" t="n">
        <v>0.1464</v>
      </c>
      <c r="E396" s="110" t="s">
        <v>49</v>
      </c>
    </row>
    <row r="397" customFormat="false" ht="12.8" hidden="false" customHeight="false" outlineLevel="0" collapsed="false">
      <c r="B397" s="109" t="n">
        <v>43</v>
      </c>
      <c r="C397" s="110" t="s">
        <v>54</v>
      </c>
      <c r="D397" s="111" t="n">
        <v>0.1</v>
      </c>
      <c r="E397" s="110" t="s">
        <v>49</v>
      </c>
    </row>
    <row r="398" customFormat="false" ht="12.8" hidden="false" customHeight="false" outlineLevel="0" collapsed="false">
      <c r="B398" s="109" t="n">
        <v>45</v>
      </c>
      <c r="C398" s="110" t="s">
        <v>44</v>
      </c>
      <c r="D398" s="111" t="n">
        <v>0.2075</v>
      </c>
      <c r="E398" s="110" t="s">
        <v>49</v>
      </c>
    </row>
    <row r="399" customFormat="false" ht="12.8" hidden="false" customHeight="false" outlineLevel="0" collapsed="false">
      <c r="B399" s="109" t="n">
        <v>45</v>
      </c>
      <c r="C399" s="110" t="s">
        <v>47</v>
      </c>
      <c r="D399" s="111" t="n">
        <v>0.1969</v>
      </c>
      <c r="E399" s="110" t="s">
        <v>49</v>
      </c>
    </row>
    <row r="400" customFormat="false" ht="12.8" hidden="false" customHeight="false" outlineLevel="0" collapsed="false">
      <c r="B400" s="109" t="n">
        <v>45</v>
      </c>
      <c r="C400" s="110" t="s">
        <v>51</v>
      </c>
      <c r="D400" s="111" t="n">
        <v>0.17</v>
      </c>
      <c r="E400" s="110" t="s">
        <v>49</v>
      </c>
    </row>
    <row r="401" customFormat="false" ht="12.8" hidden="false" customHeight="false" outlineLevel="0" collapsed="false">
      <c r="B401" s="109" t="n">
        <v>45</v>
      </c>
      <c r="C401" s="110" t="s">
        <v>62</v>
      </c>
      <c r="D401" s="111" t="n">
        <v>0.1628</v>
      </c>
      <c r="E401" s="110" t="s">
        <v>49</v>
      </c>
    </row>
    <row r="402" customFormat="false" ht="12.8" hidden="false" customHeight="false" outlineLevel="0" collapsed="false">
      <c r="B402" s="109" t="n">
        <v>45</v>
      </c>
      <c r="C402" s="110" t="s">
        <v>53</v>
      </c>
      <c r="D402" s="111" t="n">
        <v>0.1627</v>
      </c>
      <c r="E402" s="110" t="s">
        <v>49</v>
      </c>
    </row>
    <row r="403" customFormat="false" ht="12.8" hidden="false" customHeight="false" outlineLevel="0" collapsed="false">
      <c r="B403" s="109" t="n">
        <v>45</v>
      </c>
      <c r="C403" s="110" t="s">
        <v>54</v>
      </c>
      <c r="D403" s="111" t="n">
        <v>0.1</v>
      </c>
      <c r="E403" s="110" t="s">
        <v>49</v>
      </c>
    </row>
    <row r="404" customFormat="false" ht="12.8" hidden="false" customHeight="false" outlineLevel="0" collapsed="false">
      <c r="B404" s="109" t="n">
        <v>47</v>
      </c>
      <c r="C404" s="110" t="s">
        <v>44</v>
      </c>
      <c r="D404" s="111" t="n">
        <v>0.3291</v>
      </c>
      <c r="E404" s="110" t="s">
        <v>49</v>
      </c>
    </row>
    <row r="405" customFormat="false" ht="12.8" hidden="false" customHeight="false" outlineLevel="0" collapsed="false">
      <c r="B405" s="109" t="n">
        <v>47</v>
      </c>
      <c r="C405" s="110" t="s">
        <v>47</v>
      </c>
      <c r="D405" s="111" t="n">
        <v>0.297</v>
      </c>
      <c r="E405" s="110" t="s">
        <v>49</v>
      </c>
    </row>
    <row r="406" customFormat="false" ht="12.8" hidden="false" customHeight="false" outlineLevel="0" collapsed="false">
      <c r="B406" s="109" t="n">
        <v>47</v>
      </c>
      <c r="C406" s="110" t="s">
        <v>52</v>
      </c>
      <c r="D406" s="111" t="n">
        <v>0.2739</v>
      </c>
      <c r="E406" s="110" t="s">
        <v>49</v>
      </c>
    </row>
    <row r="407" customFormat="false" ht="12.8" hidden="false" customHeight="false" outlineLevel="0" collapsed="false">
      <c r="B407" s="109" t="n">
        <v>47</v>
      </c>
      <c r="C407" s="110" t="s">
        <v>54</v>
      </c>
      <c r="D407" s="111" t="n">
        <v>0.1</v>
      </c>
      <c r="E407" s="110" t="s">
        <v>49</v>
      </c>
    </row>
    <row r="408" customFormat="false" ht="12.8" hidden="false" customHeight="false" outlineLevel="0" collapsed="false">
      <c r="B408" s="109" t="n">
        <v>49</v>
      </c>
      <c r="C408" s="110" t="s">
        <v>44</v>
      </c>
      <c r="D408" s="111" t="n">
        <v>0.2076</v>
      </c>
      <c r="E408" s="110" t="s">
        <v>49</v>
      </c>
    </row>
    <row r="409" customFormat="false" ht="12.8" hidden="false" customHeight="false" outlineLevel="0" collapsed="false">
      <c r="B409" s="109" t="n">
        <v>49</v>
      </c>
      <c r="C409" s="110" t="s">
        <v>47</v>
      </c>
      <c r="D409" s="111" t="n">
        <v>0.1828</v>
      </c>
      <c r="E409" s="110" t="s">
        <v>49</v>
      </c>
    </row>
    <row r="410" customFormat="false" ht="12.8" hidden="false" customHeight="false" outlineLevel="0" collapsed="false">
      <c r="B410" s="109" t="n">
        <v>49</v>
      </c>
      <c r="C410" s="110" t="s">
        <v>61</v>
      </c>
      <c r="D410" s="111" t="n">
        <v>0.1772</v>
      </c>
      <c r="E410" s="110" t="s">
        <v>49</v>
      </c>
    </row>
    <row r="411" customFormat="false" ht="12.8" hidden="false" customHeight="false" outlineLevel="0" collapsed="false">
      <c r="B411" s="109" t="n">
        <v>49</v>
      </c>
      <c r="C411" s="110" t="s">
        <v>51</v>
      </c>
      <c r="D411" s="111" t="n">
        <v>0.1693</v>
      </c>
      <c r="E411" s="110" t="s">
        <v>49</v>
      </c>
    </row>
    <row r="412" customFormat="false" ht="12.8" hidden="false" customHeight="false" outlineLevel="0" collapsed="false">
      <c r="B412" s="109" t="n">
        <v>49</v>
      </c>
      <c r="C412" s="110" t="s">
        <v>53</v>
      </c>
      <c r="D412" s="111" t="n">
        <v>0.1632</v>
      </c>
      <c r="E412" s="110" t="s">
        <v>49</v>
      </c>
    </row>
    <row r="413" customFormat="false" ht="12.8" hidden="false" customHeight="false" outlineLevel="0" collapsed="false">
      <c r="B413" s="109" t="n">
        <v>49</v>
      </c>
      <c r="C413" s="110" t="s">
        <v>54</v>
      </c>
      <c r="D413" s="111" t="n">
        <v>0.1</v>
      </c>
      <c r="E413" s="110" t="s">
        <v>49</v>
      </c>
    </row>
    <row r="414" customFormat="false" ht="14.4" hidden="false" customHeight="true" outlineLevel="0" collapsed="false">
      <c r="B414" s="112" t="n">
        <v>1</v>
      </c>
      <c r="C414" s="113" t="s">
        <v>44</v>
      </c>
      <c r="D414" s="113" t="n">
        <v>0.2222</v>
      </c>
      <c r="E414" s="113" t="s">
        <v>50</v>
      </c>
    </row>
    <row r="415" customFormat="false" ht="14.4" hidden="false" customHeight="true" outlineLevel="0" collapsed="false">
      <c r="B415" s="112" t="n">
        <v>1</v>
      </c>
      <c r="C415" s="113" t="s">
        <v>52</v>
      </c>
      <c r="D415" s="113" t="n">
        <v>0.1778</v>
      </c>
      <c r="E415" s="113" t="s">
        <v>50</v>
      </c>
    </row>
    <row r="416" customFormat="false" ht="14.4" hidden="false" customHeight="true" outlineLevel="0" collapsed="false">
      <c r="B416" s="112" t="n">
        <v>1</v>
      </c>
      <c r="C416" s="113" t="s">
        <v>47</v>
      </c>
      <c r="D416" s="113" t="n">
        <v>0.1767</v>
      </c>
      <c r="E416" s="113" t="s">
        <v>50</v>
      </c>
    </row>
    <row r="417" customFormat="false" ht="14.4" hidden="false" customHeight="true" outlineLevel="0" collapsed="false">
      <c r="B417" s="112" t="n">
        <v>1</v>
      </c>
      <c r="C417" s="113" t="s">
        <v>53</v>
      </c>
      <c r="D417" s="113" t="n">
        <v>0.1723</v>
      </c>
      <c r="E417" s="113" t="s">
        <v>50</v>
      </c>
    </row>
    <row r="418" customFormat="false" ht="14.4" hidden="false" customHeight="true" outlineLevel="0" collapsed="false">
      <c r="B418" s="112" t="n">
        <v>1</v>
      </c>
      <c r="C418" s="113" t="s">
        <v>51</v>
      </c>
      <c r="D418" s="113" t="n">
        <v>0.151</v>
      </c>
      <c r="E418" s="113" t="s">
        <v>50</v>
      </c>
    </row>
    <row r="419" customFormat="false" ht="14.4" hidden="false" customHeight="true" outlineLevel="0" collapsed="false">
      <c r="B419" s="112" t="n">
        <v>1</v>
      </c>
      <c r="C419" s="113" t="s">
        <v>54</v>
      </c>
      <c r="D419" s="113" t="n">
        <v>0.1</v>
      </c>
      <c r="E419" s="113" t="s">
        <v>50</v>
      </c>
    </row>
    <row r="420" customFormat="false" ht="14.4" hidden="false" customHeight="true" outlineLevel="0" collapsed="false">
      <c r="B420" s="112" t="n">
        <v>3</v>
      </c>
      <c r="C420" s="113" t="s">
        <v>44</v>
      </c>
      <c r="D420" s="113" t="n">
        <v>0.2342</v>
      </c>
      <c r="E420" s="113" t="s">
        <v>50</v>
      </c>
    </row>
    <row r="421" customFormat="false" ht="14.4" hidden="false" customHeight="true" outlineLevel="0" collapsed="false">
      <c r="B421" s="112" t="n">
        <v>3</v>
      </c>
      <c r="C421" s="113" t="s">
        <v>47</v>
      </c>
      <c r="D421" s="113" t="n">
        <v>0.1886</v>
      </c>
      <c r="E421" s="113" t="s">
        <v>50</v>
      </c>
    </row>
    <row r="422" customFormat="false" ht="14.4" hidden="false" customHeight="true" outlineLevel="0" collapsed="false">
      <c r="B422" s="112" t="n">
        <v>3</v>
      </c>
      <c r="C422" s="113" t="s">
        <v>52</v>
      </c>
      <c r="D422" s="113" t="n">
        <v>0.1731</v>
      </c>
      <c r="E422" s="113" t="s">
        <v>50</v>
      </c>
    </row>
    <row r="423" customFormat="false" ht="14.4" hidden="false" customHeight="true" outlineLevel="0" collapsed="false">
      <c r="B423" s="112" t="n">
        <v>3</v>
      </c>
      <c r="C423" s="113" t="s">
        <v>51</v>
      </c>
      <c r="D423" s="113" t="n">
        <v>0.1535</v>
      </c>
      <c r="E423" s="113" t="s">
        <v>50</v>
      </c>
    </row>
    <row r="424" customFormat="false" ht="14.4" hidden="false" customHeight="true" outlineLevel="0" collapsed="false">
      <c r="B424" s="112" t="n">
        <v>3</v>
      </c>
      <c r="C424" s="113" t="s">
        <v>53</v>
      </c>
      <c r="D424" s="113" t="n">
        <v>0.1506</v>
      </c>
      <c r="E424" s="113" t="s">
        <v>50</v>
      </c>
    </row>
    <row r="425" customFormat="false" ht="14.4" hidden="false" customHeight="true" outlineLevel="0" collapsed="false">
      <c r="B425" s="112" t="n">
        <v>3</v>
      </c>
      <c r="C425" s="113" t="s">
        <v>54</v>
      </c>
      <c r="D425" s="113" t="n">
        <v>0.1</v>
      </c>
      <c r="E425" s="113" t="s">
        <v>50</v>
      </c>
    </row>
    <row r="426" customFormat="false" ht="14.4" hidden="false" customHeight="true" outlineLevel="0" collapsed="false">
      <c r="B426" s="112" t="n">
        <v>5</v>
      </c>
      <c r="C426" s="113" t="s">
        <v>44</v>
      </c>
      <c r="D426" s="113" t="n">
        <v>0.2203</v>
      </c>
      <c r="E426" s="113" t="s">
        <v>50</v>
      </c>
    </row>
    <row r="427" customFormat="false" ht="14.4" hidden="false" customHeight="true" outlineLevel="0" collapsed="false">
      <c r="B427" s="112" t="n">
        <v>5</v>
      </c>
      <c r="C427" s="113" t="s">
        <v>47</v>
      </c>
      <c r="D427" s="113" t="n">
        <v>0.189</v>
      </c>
      <c r="E427" s="113" t="s">
        <v>50</v>
      </c>
    </row>
    <row r="428" customFormat="false" ht="14.4" hidden="false" customHeight="true" outlineLevel="0" collapsed="false">
      <c r="B428" s="112" t="n">
        <v>5</v>
      </c>
      <c r="C428" s="113" t="s">
        <v>52</v>
      </c>
      <c r="D428" s="113" t="n">
        <v>0.1812</v>
      </c>
      <c r="E428" s="113" t="s">
        <v>50</v>
      </c>
    </row>
    <row r="429" customFormat="false" ht="14.4" hidden="false" customHeight="true" outlineLevel="0" collapsed="false">
      <c r="B429" s="112" t="n">
        <v>5</v>
      </c>
      <c r="C429" s="113" t="s">
        <v>51</v>
      </c>
      <c r="D429" s="113" t="n">
        <v>0.1556</v>
      </c>
      <c r="E429" s="113" t="s">
        <v>50</v>
      </c>
    </row>
    <row r="430" customFormat="false" ht="14.4" hidden="false" customHeight="true" outlineLevel="0" collapsed="false">
      <c r="B430" s="112" t="n">
        <v>5</v>
      </c>
      <c r="C430" s="113" t="s">
        <v>53</v>
      </c>
      <c r="D430" s="113" t="n">
        <v>0.1539</v>
      </c>
      <c r="E430" s="113" t="s">
        <v>50</v>
      </c>
    </row>
    <row r="431" customFormat="false" ht="14.4" hidden="false" customHeight="true" outlineLevel="0" collapsed="false">
      <c r="B431" s="112" t="n">
        <v>5</v>
      </c>
      <c r="C431" s="113" t="s">
        <v>54</v>
      </c>
      <c r="D431" s="113" t="n">
        <v>0.1</v>
      </c>
      <c r="E431" s="113" t="s">
        <v>50</v>
      </c>
    </row>
    <row r="432" customFormat="false" ht="14.4" hidden="false" customHeight="true" outlineLevel="0" collapsed="false">
      <c r="B432" s="112" t="n">
        <v>7</v>
      </c>
      <c r="C432" s="113" t="s">
        <v>44</v>
      </c>
      <c r="D432" s="113" t="n">
        <v>0.2216</v>
      </c>
      <c r="E432" s="113" t="s">
        <v>50</v>
      </c>
    </row>
    <row r="433" customFormat="false" ht="14.4" hidden="false" customHeight="true" outlineLevel="0" collapsed="false">
      <c r="B433" s="112" t="n">
        <v>7</v>
      </c>
      <c r="C433" s="113" t="s">
        <v>47</v>
      </c>
      <c r="D433" s="113" t="n">
        <v>0.2039</v>
      </c>
      <c r="E433" s="113" t="s">
        <v>50</v>
      </c>
    </row>
    <row r="434" customFormat="false" ht="14.4" hidden="false" customHeight="true" outlineLevel="0" collapsed="false">
      <c r="B434" s="112" t="n">
        <v>7</v>
      </c>
      <c r="C434" s="113" t="s">
        <v>52</v>
      </c>
      <c r="D434" s="113" t="n">
        <v>0.1702</v>
      </c>
      <c r="E434" s="113" t="s">
        <v>50</v>
      </c>
    </row>
    <row r="435" customFormat="false" ht="14.4" hidden="false" customHeight="true" outlineLevel="0" collapsed="false">
      <c r="B435" s="112" t="n">
        <v>7</v>
      </c>
      <c r="C435" s="113" t="s">
        <v>53</v>
      </c>
      <c r="D435" s="113" t="n">
        <v>0.1568</v>
      </c>
      <c r="E435" s="113" t="s">
        <v>50</v>
      </c>
    </row>
    <row r="436" customFormat="false" ht="14.4" hidden="false" customHeight="true" outlineLevel="0" collapsed="false">
      <c r="B436" s="112" t="n">
        <v>7</v>
      </c>
      <c r="C436" s="113" t="s">
        <v>51</v>
      </c>
      <c r="D436" s="113" t="n">
        <v>0.1475</v>
      </c>
      <c r="E436" s="113" t="s">
        <v>50</v>
      </c>
    </row>
    <row r="437" customFormat="false" ht="14.4" hidden="false" customHeight="true" outlineLevel="0" collapsed="false">
      <c r="B437" s="112" t="n">
        <v>7</v>
      </c>
      <c r="C437" s="113" t="s">
        <v>54</v>
      </c>
      <c r="D437" s="113" t="n">
        <v>0.1</v>
      </c>
      <c r="E437" s="113" t="s">
        <v>50</v>
      </c>
    </row>
    <row r="438" customFormat="false" ht="14.4" hidden="false" customHeight="true" outlineLevel="0" collapsed="false">
      <c r="B438" s="112" t="n">
        <v>9</v>
      </c>
      <c r="C438" s="113" t="s">
        <v>44</v>
      </c>
      <c r="D438" s="113" t="n">
        <v>0.2103</v>
      </c>
      <c r="E438" s="113" t="s">
        <v>50</v>
      </c>
    </row>
    <row r="439" customFormat="false" ht="14.4" hidden="false" customHeight="true" outlineLevel="0" collapsed="false">
      <c r="B439" s="112" t="n">
        <v>9</v>
      </c>
      <c r="C439" s="113" t="s">
        <v>47</v>
      </c>
      <c r="D439" s="113" t="n">
        <v>0.1948</v>
      </c>
      <c r="E439" s="113" t="s">
        <v>50</v>
      </c>
    </row>
    <row r="440" customFormat="false" ht="14.4" hidden="false" customHeight="true" outlineLevel="0" collapsed="false">
      <c r="B440" s="112" t="n">
        <v>9</v>
      </c>
      <c r="C440" s="113" t="s">
        <v>52</v>
      </c>
      <c r="D440" s="113" t="n">
        <v>0.1821</v>
      </c>
      <c r="E440" s="113" t="s">
        <v>50</v>
      </c>
    </row>
    <row r="441" customFormat="false" ht="14.4" hidden="false" customHeight="true" outlineLevel="0" collapsed="false">
      <c r="B441" s="112" t="n">
        <v>9</v>
      </c>
      <c r="C441" s="113" t="s">
        <v>51</v>
      </c>
      <c r="D441" s="113" t="n">
        <v>0.1639</v>
      </c>
      <c r="E441" s="113" t="s">
        <v>50</v>
      </c>
    </row>
    <row r="442" customFormat="false" ht="14.4" hidden="false" customHeight="true" outlineLevel="0" collapsed="false">
      <c r="B442" s="112" t="n">
        <v>9</v>
      </c>
      <c r="C442" s="113" t="s">
        <v>53</v>
      </c>
      <c r="D442" s="113" t="n">
        <v>0.1488</v>
      </c>
      <c r="E442" s="113" t="s">
        <v>50</v>
      </c>
    </row>
    <row r="443" customFormat="false" ht="14.4" hidden="false" customHeight="true" outlineLevel="0" collapsed="false">
      <c r="B443" s="112" t="n">
        <v>9</v>
      </c>
      <c r="C443" s="113" t="s">
        <v>54</v>
      </c>
      <c r="D443" s="113" t="n">
        <v>0.1</v>
      </c>
      <c r="E443" s="113" t="s">
        <v>50</v>
      </c>
    </row>
    <row r="444" customFormat="false" ht="14.4" hidden="false" customHeight="true" outlineLevel="0" collapsed="false">
      <c r="B444" s="112" t="n">
        <v>11</v>
      </c>
      <c r="C444" s="113" t="s">
        <v>44</v>
      </c>
      <c r="D444" s="113" t="n">
        <v>0.2208</v>
      </c>
      <c r="E444" s="113" t="s">
        <v>50</v>
      </c>
    </row>
    <row r="445" customFormat="false" ht="14.4" hidden="false" customHeight="true" outlineLevel="0" collapsed="false">
      <c r="B445" s="112" t="n">
        <v>11</v>
      </c>
      <c r="C445" s="113" t="s">
        <v>47</v>
      </c>
      <c r="D445" s="113" t="n">
        <v>0.2</v>
      </c>
      <c r="E445" s="113" t="s">
        <v>50</v>
      </c>
    </row>
    <row r="446" customFormat="false" ht="14.4" hidden="false" customHeight="true" outlineLevel="0" collapsed="false">
      <c r="B446" s="112" t="n">
        <v>11</v>
      </c>
      <c r="C446" s="113" t="s">
        <v>52</v>
      </c>
      <c r="D446" s="113" t="n">
        <v>0.1745</v>
      </c>
      <c r="E446" s="113" t="s">
        <v>50</v>
      </c>
    </row>
    <row r="447" customFormat="false" ht="14.4" hidden="false" customHeight="true" outlineLevel="0" collapsed="false">
      <c r="B447" s="112" t="n">
        <v>11</v>
      </c>
      <c r="C447" s="113" t="s">
        <v>51</v>
      </c>
      <c r="D447" s="113" t="n">
        <v>0.1585</v>
      </c>
      <c r="E447" s="113" t="s">
        <v>50</v>
      </c>
    </row>
    <row r="448" customFormat="false" ht="14.4" hidden="false" customHeight="true" outlineLevel="0" collapsed="false">
      <c r="B448" s="112" t="n">
        <v>11</v>
      </c>
      <c r="C448" s="113" t="s">
        <v>53</v>
      </c>
      <c r="D448" s="113" t="n">
        <v>0.1462</v>
      </c>
      <c r="E448" s="113" t="s">
        <v>50</v>
      </c>
    </row>
    <row r="449" customFormat="false" ht="14.4" hidden="false" customHeight="true" outlineLevel="0" collapsed="false">
      <c r="B449" s="112" t="n">
        <v>11</v>
      </c>
      <c r="C449" s="113" t="s">
        <v>54</v>
      </c>
      <c r="D449" s="113" t="n">
        <v>0.1</v>
      </c>
      <c r="E449" s="113" t="s">
        <v>50</v>
      </c>
    </row>
    <row r="450" customFormat="false" ht="14.4" hidden="false" customHeight="true" outlineLevel="0" collapsed="false">
      <c r="B450" s="112" t="n">
        <v>13</v>
      </c>
      <c r="C450" s="113" t="s">
        <v>44</v>
      </c>
      <c r="D450" s="113" t="n">
        <v>0.2405</v>
      </c>
      <c r="E450" s="113" t="s">
        <v>50</v>
      </c>
    </row>
    <row r="451" customFormat="false" ht="14.4" hidden="false" customHeight="true" outlineLevel="0" collapsed="false">
      <c r="B451" s="112" t="n">
        <v>13</v>
      </c>
      <c r="C451" s="113" t="s">
        <v>52</v>
      </c>
      <c r="D451" s="113" t="n">
        <v>0.1784</v>
      </c>
      <c r="E451" s="113" t="s">
        <v>50</v>
      </c>
    </row>
    <row r="452" customFormat="false" ht="14.4" hidden="false" customHeight="true" outlineLevel="0" collapsed="false">
      <c r="B452" s="112" t="n">
        <v>13</v>
      </c>
      <c r="C452" s="113" t="s">
        <v>51</v>
      </c>
      <c r="D452" s="113" t="n">
        <v>0.1686</v>
      </c>
      <c r="E452" s="113" t="s">
        <v>50</v>
      </c>
    </row>
    <row r="453" customFormat="false" ht="14.4" hidden="false" customHeight="true" outlineLevel="0" collapsed="false">
      <c r="B453" s="112" t="n">
        <v>13</v>
      </c>
      <c r="C453" s="113" t="s">
        <v>47</v>
      </c>
      <c r="D453" s="113" t="n">
        <v>0.1568</v>
      </c>
      <c r="E453" s="113" t="s">
        <v>50</v>
      </c>
    </row>
    <row r="454" customFormat="false" ht="14.4" hidden="false" customHeight="true" outlineLevel="0" collapsed="false">
      <c r="B454" s="112" t="n">
        <v>13</v>
      </c>
      <c r="C454" s="113" t="s">
        <v>55</v>
      </c>
      <c r="D454" s="113" t="n">
        <v>0.1558</v>
      </c>
      <c r="E454" s="113" t="s">
        <v>50</v>
      </c>
    </row>
    <row r="455" customFormat="false" ht="14.4" hidden="false" customHeight="true" outlineLevel="0" collapsed="false">
      <c r="B455" s="112" t="n">
        <v>13</v>
      </c>
      <c r="C455" s="113" t="s">
        <v>54</v>
      </c>
      <c r="D455" s="113" t="n">
        <v>0.1</v>
      </c>
      <c r="E455" s="113" t="s">
        <v>50</v>
      </c>
    </row>
    <row r="456" customFormat="false" ht="14.4" hidden="false" customHeight="true" outlineLevel="0" collapsed="false">
      <c r="B456" s="112" t="n">
        <v>15</v>
      </c>
      <c r="C456" s="113" t="s">
        <v>44</v>
      </c>
      <c r="D456" s="113" t="n">
        <v>0.2239</v>
      </c>
      <c r="E456" s="113" t="s">
        <v>50</v>
      </c>
    </row>
    <row r="457" customFormat="false" ht="14.4" hidden="false" customHeight="true" outlineLevel="0" collapsed="false">
      <c r="B457" s="112" t="n">
        <v>15</v>
      </c>
      <c r="C457" s="113" t="s">
        <v>47</v>
      </c>
      <c r="D457" s="113" t="n">
        <v>0.1975</v>
      </c>
      <c r="E457" s="113" t="s">
        <v>50</v>
      </c>
    </row>
    <row r="458" customFormat="false" ht="14.4" hidden="false" customHeight="true" outlineLevel="0" collapsed="false">
      <c r="B458" s="112" t="n">
        <v>15</v>
      </c>
      <c r="C458" s="113" t="s">
        <v>52</v>
      </c>
      <c r="D458" s="113" t="n">
        <v>0.1829</v>
      </c>
      <c r="E458" s="113" t="s">
        <v>50</v>
      </c>
    </row>
    <row r="459" customFormat="false" ht="14.4" hidden="false" customHeight="true" outlineLevel="0" collapsed="false">
      <c r="B459" s="112" t="n">
        <v>15</v>
      </c>
      <c r="C459" s="113" t="s">
        <v>53</v>
      </c>
      <c r="D459" s="113" t="n">
        <v>0.1548</v>
      </c>
      <c r="E459" s="113" t="s">
        <v>50</v>
      </c>
    </row>
    <row r="460" customFormat="false" ht="14.4" hidden="false" customHeight="true" outlineLevel="0" collapsed="false">
      <c r="B460" s="112" t="n">
        <v>15</v>
      </c>
      <c r="C460" s="113" t="s">
        <v>51</v>
      </c>
      <c r="D460" s="113" t="n">
        <v>0.1409</v>
      </c>
      <c r="E460" s="113" t="s">
        <v>50</v>
      </c>
    </row>
    <row r="461" customFormat="false" ht="14.4" hidden="false" customHeight="true" outlineLevel="0" collapsed="false">
      <c r="B461" s="112" t="n">
        <v>15</v>
      </c>
      <c r="C461" s="113" t="s">
        <v>54</v>
      </c>
      <c r="D461" s="113" t="n">
        <v>0.1</v>
      </c>
      <c r="E461" s="113" t="s">
        <v>50</v>
      </c>
    </row>
    <row r="462" customFormat="false" ht="14.4" hidden="false" customHeight="true" outlineLevel="0" collapsed="false">
      <c r="B462" s="112" t="n">
        <v>17</v>
      </c>
      <c r="C462" s="113" t="s">
        <v>47</v>
      </c>
      <c r="D462" s="113" t="n">
        <v>0.2122</v>
      </c>
      <c r="E462" s="113" t="s">
        <v>50</v>
      </c>
    </row>
    <row r="463" customFormat="false" ht="14.4" hidden="false" customHeight="true" outlineLevel="0" collapsed="false">
      <c r="B463" s="112" t="n">
        <v>17</v>
      </c>
      <c r="C463" s="113" t="s">
        <v>44</v>
      </c>
      <c r="D463" s="113" t="n">
        <v>0.2106</v>
      </c>
      <c r="E463" s="113" t="s">
        <v>50</v>
      </c>
    </row>
    <row r="464" customFormat="false" ht="14.4" hidden="false" customHeight="true" outlineLevel="0" collapsed="false">
      <c r="B464" s="112" t="n">
        <v>17</v>
      </c>
      <c r="C464" s="113" t="s">
        <v>53</v>
      </c>
      <c r="D464" s="113" t="n">
        <v>0.1674</v>
      </c>
      <c r="E464" s="113" t="s">
        <v>50</v>
      </c>
    </row>
    <row r="465" customFormat="false" ht="14.4" hidden="false" customHeight="true" outlineLevel="0" collapsed="false">
      <c r="B465" s="112" t="n">
        <v>17</v>
      </c>
      <c r="C465" s="113" t="s">
        <v>52</v>
      </c>
      <c r="D465" s="113" t="n">
        <v>0.1673</v>
      </c>
      <c r="E465" s="113" t="s">
        <v>50</v>
      </c>
    </row>
    <row r="466" customFormat="false" ht="14.4" hidden="false" customHeight="true" outlineLevel="0" collapsed="false">
      <c r="B466" s="112" t="n">
        <v>17</v>
      </c>
      <c r="C466" s="113" t="s">
        <v>51</v>
      </c>
      <c r="D466" s="113" t="n">
        <v>0.1425</v>
      </c>
      <c r="E466" s="113" t="s">
        <v>50</v>
      </c>
    </row>
    <row r="467" customFormat="false" ht="14.4" hidden="false" customHeight="true" outlineLevel="0" collapsed="false">
      <c r="B467" s="112" t="n">
        <v>17</v>
      </c>
      <c r="C467" s="113" t="s">
        <v>54</v>
      </c>
      <c r="D467" s="113" t="n">
        <v>0.1</v>
      </c>
      <c r="E467" s="113" t="s">
        <v>50</v>
      </c>
    </row>
    <row r="468" customFormat="false" ht="14.4" hidden="false" customHeight="true" outlineLevel="0" collapsed="false">
      <c r="B468" s="112" t="n">
        <v>19</v>
      </c>
      <c r="C468" s="113" t="s">
        <v>44</v>
      </c>
      <c r="D468" s="113" t="n">
        <v>0.2257</v>
      </c>
      <c r="E468" s="113" t="s">
        <v>50</v>
      </c>
    </row>
    <row r="469" customFormat="false" ht="14.4" hidden="false" customHeight="true" outlineLevel="0" collapsed="false">
      <c r="B469" s="112" t="n">
        <v>19</v>
      </c>
      <c r="C469" s="113" t="s">
        <v>47</v>
      </c>
      <c r="D469" s="113" t="n">
        <v>0.1859</v>
      </c>
      <c r="E469" s="113" t="s">
        <v>50</v>
      </c>
    </row>
    <row r="470" customFormat="false" ht="14.4" hidden="false" customHeight="true" outlineLevel="0" collapsed="false">
      <c r="B470" s="112" t="n">
        <v>19</v>
      </c>
      <c r="C470" s="113" t="s">
        <v>52</v>
      </c>
      <c r="D470" s="113" t="n">
        <v>0.1759</v>
      </c>
      <c r="E470" s="113" t="s">
        <v>50</v>
      </c>
    </row>
    <row r="471" customFormat="false" ht="14.4" hidden="false" customHeight="true" outlineLevel="0" collapsed="false">
      <c r="B471" s="112" t="n">
        <v>19</v>
      </c>
      <c r="C471" s="113" t="s">
        <v>53</v>
      </c>
      <c r="D471" s="113" t="n">
        <v>0.1568</v>
      </c>
      <c r="E471" s="113" t="s">
        <v>50</v>
      </c>
    </row>
    <row r="472" customFormat="false" ht="14.4" hidden="false" customHeight="true" outlineLevel="0" collapsed="false">
      <c r="B472" s="112" t="n">
        <v>19</v>
      </c>
      <c r="C472" s="113" t="s">
        <v>51</v>
      </c>
      <c r="D472" s="113" t="n">
        <v>0.1557</v>
      </c>
      <c r="E472" s="113" t="s">
        <v>50</v>
      </c>
    </row>
    <row r="473" customFormat="false" ht="14.4" hidden="false" customHeight="true" outlineLevel="0" collapsed="false">
      <c r="B473" s="112" t="n">
        <v>19</v>
      </c>
      <c r="C473" s="113" t="s">
        <v>54</v>
      </c>
      <c r="D473" s="113" t="n">
        <v>0.1</v>
      </c>
      <c r="E473" s="113" t="s">
        <v>50</v>
      </c>
    </row>
    <row r="474" customFormat="false" ht="14.4" hidden="false" customHeight="true" outlineLevel="0" collapsed="false">
      <c r="B474" s="112" t="n">
        <v>21</v>
      </c>
      <c r="C474" s="113" t="s">
        <v>47</v>
      </c>
      <c r="D474" s="113" t="n">
        <v>0.3212</v>
      </c>
      <c r="E474" s="113" t="s">
        <v>50</v>
      </c>
    </row>
    <row r="475" customFormat="false" ht="14.4" hidden="false" customHeight="true" outlineLevel="0" collapsed="false">
      <c r="B475" s="112" t="n">
        <v>21</v>
      </c>
      <c r="C475" s="113" t="s">
        <v>44</v>
      </c>
      <c r="D475" s="113" t="n">
        <v>0.3016</v>
      </c>
      <c r="E475" s="113" t="s">
        <v>50</v>
      </c>
    </row>
    <row r="476" customFormat="false" ht="14.4" hidden="false" customHeight="true" outlineLevel="0" collapsed="false">
      <c r="B476" s="112" t="n">
        <v>21</v>
      </c>
      <c r="C476" s="113" t="s">
        <v>52</v>
      </c>
      <c r="D476" s="113" t="n">
        <v>0.2771</v>
      </c>
      <c r="E476" s="113" t="s">
        <v>50</v>
      </c>
    </row>
    <row r="477" customFormat="false" ht="14.4" hidden="false" customHeight="true" outlineLevel="0" collapsed="false">
      <c r="B477" s="112" t="n">
        <v>21</v>
      </c>
      <c r="C477" s="113" t="s">
        <v>54</v>
      </c>
      <c r="D477" s="113" t="n">
        <v>0.1</v>
      </c>
      <c r="E477" s="113" t="s">
        <v>50</v>
      </c>
    </row>
    <row r="478" customFormat="false" ht="14.4" hidden="false" customHeight="true" outlineLevel="0" collapsed="false">
      <c r="B478" s="112" t="n">
        <v>23</v>
      </c>
      <c r="C478" s="113" t="s">
        <v>44</v>
      </c>
      <c r="D478" s="113" t="n">
        <v>0.3162</v>
      </c>
      <c r="E478" s="113" t="s">
        <v>50</v>
      </c>
    </row>
    <row r="479" customFormat="false" ht="14.4" hidden="false" customHeight="true" outlineLevel="0" collapsed="false">
      <c r="B479" s="112" t="n">
        <v>23</v>
      </c>
      <c r="C479" s="113" t="s">
        <v>52</v>
      </c>
      <c r="D479" s="113" t="n">
        <v>0.2961</v>
      </c>
      <c r="E479" s="113" t="s">
        <v>50</v>
      </c>
    </row>
    <row r="480" customFormat="false" ht="14.4" hidden="false" customHeight="true" outlineLevel="0" collapsed="false">
      <c r="B480" s="112" t="n">
        <v>23</v>
      </c>
      <c r="C480" s="113" t="s">
        <v>47</v>
      </c>
      <c r="D480" s="113" t="n">
        <v>0.2878</v>
      </c>
      <c r="E480" s="113" t="s">
        <v>50</v>
      </c>
    </row>
    <row r="481" customFormat="false" ht="14.4" hidden="false" customHeight="true" outlineLevel="0" collapsed="false">
      <c r="B481" s="112" t="n">
        <v>23</v>
      </c>
      <c r="C481" s="113" t="s">
        <v>54</v>
      </c>
      <c r="D481" s="113" t="n">
        <v>0.1</v>
      </c>
      <c r="E481" s="113" t="s">
        <v>50</v>
      </c>
    </row>
    <row r="482" customFormat="false" ht="14.4" hidden="false" customHeight="true" outlineLevel="0" collapsed="false">
      <c r="B482" s="112" t="n">
        <v>25</v>
      </c>
      <c r="C482" s="113" t="s">
        <v>44</v>
      </c>
      <c r="D482" s="113" t="n">
        <v>0.4714</v>
      </c>
      <c r="E482" s="113" t="s">
        <v>50</v>
      </c>
    </row>
    <row r="483" customFormat="false" ht="14.4" hidden="false" customHeight="true" outlineLevel="0" collapsed="false">
      <c r="B483" s="112" t="n">
        <v>25</v>
      </c>
      <c r="C483" s="113" t="s">
        <v>52</v>
      </c>
      <c r="D483" s="113" t="n">
        <v>0.4286</v>
      </c>
      <c r="E483" s="113" t="s">
        <v>50</v>
      </c>
    </row>
    <row r="484" customFormat="false" ht="14.4" hidden="false" customHeight="true" outlineLevel="0" collapsed="false">
      <c r="B484" s="112" t="n">
        <v>25</v>
      </c>
      <c r="C484" s="113" t="s">
        <v>54</v>
      </c>
      <c r="D484" s="113" t="n">
        <v>0.1</v>
      </c>
      <c r="E484" s="113" t="s">
        <v>50</v>
      </c>
    </row>
    <row r="485" customFormat="false" ht="14.4" hidden="false" customHeight="true" outlineLevel="0" collapsed="false">
      <c r="B485" s="112" t="n">
        <v>27</v>
      </c>
      <c r="C485" s="113" t="s">
        <v>44</v>
      </c>
      <c r="D485" s="113" t="n">
        <v>0.2199</v>
      </c>
      <c r="E485" s="113" t="s">
        <v>50</v>
      </c>
    </row>
    <row r="486" customFormat="false" ht="14.4" hidden="false" customHeight="true" outlineLevel="0" collapsed="false">
      <c r="B486" s="112" t="n">
        <v>27</v>
      </c>
      <c r="C486" s="113" t="s">
        <v>52</v>
      </c>
      <c r="D486" s="113" t="n">
        <v>0.1946</v>
      </c>
      <c r="E486" s="113" t="s">
        <v>50</v>
      </c>
    </row>
    <row r="487" customFormat="false" ht="14.4" hidden="false" customHeight="true" outlineLevel="0" collapsed="false">
      <c r="B487" s="112" t="n">
        <v>27</v>
      </c>
      <c r="C487" s="113" t="s">
        <v>53</v>
      </c>
      <c r="D487" s="113" t="n">
        <v>0.1698</v>
      </c>
      <c r="E487" s="113" t="s">
        <v>50</v>
      </c>
    </row>
    <row r="488" customFormat="false" ht="14.4" hidden="false" customHeight="true" outlineLevel="0" collapsed="false">
      <c r="B488" s="112" t="n">
        <v>27</v>
      </c>
      <c r="C488" s="113" t="s">
        <v>47</v>
      </c>
      <c r="D488" s="113" t="n">
        <v>0.1618</v>
      </c>
      <c r="E488" s="113" t="s">
        <v>50</v>
      </c>
    </row>
    <row r="489" customFormat="false" ht="14.4" hidden="false" customHeight="true" outlineLevel="0" collapsed="false">
      <c r="B489" s="112" t="n">
        <v>27</v>
      </c>
      <c r="C489" s="113" t="s">
        <v>51</v>
      </c>
      <c r="D489" s="113" t="n">
        <v>0.1539</v>
      </c>
      <c r="E489" s="113" t="s">
        <v>50</v>
      </c>
    </row>
    <row r="490" customFormat="false" ht="14.4" hidden="false" customHeight="true" outlineLevel="0" collapsed="false">
      <c r="B490" s="112" t="n">
        <v>27</v>
      </c>
      <c r="C490" s="113" t="s">
        <v>54</v>
      </c>
      <c r="D490" s="113" t="n">
        <v>0.1</v>
      </c>
      <c r="E490" s="113" t="s">
        <v>50</v>
      </c>
    </row>
    <row r="491" customFormat="false" ht="14.4" hidden="false" customHeight="true" outlineLevel="0" collapsed="false">
      <c r="B491" s="112" t="n">
        <v>29</v>
      </c>
      <c r="C491" s="113" t="s">
        <v>44</v>
      </c>
      <c r="D491" s="113" t="n">
        <v>0.2216</v>
      </c>
      <c r="E491" s="113" t="s">
        <v>50</v>
      </c>
    </row>
    <row r="492" customFormat="false" ht="14.4" hidden="false" customHeight="true" outlineLevel="0" collapsed="false">
      <c r="B492" s="112" t="n">
        <v>29</v>
      </c>
      <c r="C492" s="113" t="s">
        <v>47</v>
      </c>
      <c r="D492" s="113" t="n">
        <v>0.2007</v>
      </c>
      <c r="E492" s="113" t="s">
        <v>50</v>
      </c>
    </row>
    <row r="493" customFormat="false" ht="14.4" hidden="false" customHeight="true" outlineLevel="0" collapsed="false">
      <c r="B493" s="112" t="n">
        <v>29</v>
      </c>
      <c r="C493" s="113" t="s">
        <v>53</v>
      </c>
      <c r="D493" s="113" t="n">
        <v>0.1711</v>
      </c>
      <c r="E493" s="113" t="s">
        <v>50</v>
      </c>
    </row>
    <row r="494" customFormat="false" ht="14.4" hidden="false" customHeight="true" outlineLevel="0" collapsed="false">
      <c r="B494" s="112" t="n">
        <v>29</v>
      </c>
      <c r="C494" s="113" t="s">
        <v>52</v>
      </c>
      <c r="D494" s="113" t="n">
        <v>0.1665</v>
      </c>
      <c r="E494" s="113" t="s">
        <v>50</v>
      </c>
    </row>
    <row r="495" customFormat="false" ht="14.4" hidden="false" customHeight="true" outlineLevel="0" collapsed="false">
      <c r="B495" s="112" t="n">
        <v>29</v>
      </c>
      <c r="C495" s="113" t="s">
        <v>61</v>
      </c>
      <c r="D495" s="113" t="n">
        <v>0.1401</v>
      </c>
      <c r="E495" s="113" t="s">
        <v>50</v>
      </c>
    </row>
    <row r="496" customFormat="false" ht="14.4" hidden="false" customHeight="true" outlineLevel="0" collapsed="false">
      <c r="B496" s="112" t="n">
        <v>29</v>
      </c>
      <c r="C496" s="113" t="s">
        <v>54</v>
      </c>
      <c r="D496" s="113" t="n">
        <v>0.1</v>
      </c>
      <c r="E496" s="113" t="s">
        <v>50</v>
      </c>
    </row>
    <row r="497" customFormat="false" ht="14.4" hidden="false" customHeight="true" outlineLevel="0" collapsed="false">
      <c r="B497" s="112" t="n">
        <v>31</v>
      </c>
      <c r="C497" s="113" t="s">
        <v>44</v>
      </c>
      <c r="D497" s="113" t="n">
        <v>0.3328</v>
      </c>
      <c r="E497" s="113" t="s">
        <v>50</v>
      </c>
    </row>
    <row r="498" customFormat="false" ht="14.4" hidden="false" customHeight="true" outlineLevel="0" collapsed="false">
      <c r="B498" s="112" t="n">
        <v>31</v>
      </c>
      <c r="C498" s="113" t="s">
        <v>47</v>
      </c>
      <c r="D498" s="113" t="n">
        <v>0.2848</v>
      </c>
      <c r="E498" s="113" t="s">
        <v>50</v>
      </c>
    </row>
    <row r="499" customFormat="false" ht="14.4" hidden="false" customHeight="true" outlineLevel="0" collapsed="false">
      <c r="B499" s="112" t="n">
        <v>31</v>
      </c>
      <c r="C499" s="113" t="s">
        <v>52</v>
      </c>
      <c r="D499" s="113" t="n">
        <v>0.2824</v>
      </c>
      <c r="E499" s="113" t="s">
        <v>50</v>
      </c>
    </row>
    <row r="500" customFormat="false" ht="14.4" hidden="false" customHeight="true" outlineLevel="0" collapsed="false">
      <c r="B500" s="112" t="n">
        <v>31</v>
      </c>
      <c r="C500" s="113" t="s">
        <v>54</v>
      </c>
      <c r="D500" s="113" t="n">
        <v>0.1</v>
      </c>
      <c r="E500" s="113" t="s">
        <v>50</v>
      </c>
    </row>
    <row r="501" customFormat="false" ht="14.4" hidden="false" customHeight="true" outlineLevel="0" collapsed="false">
      <c r="B501" s="112" t="n">
        <v>33</v>
      </c>
      <c r="C501" s="113" t="s">
        <v>44</v>
      </c>
      <c r="D501" s="113" t="n">
        <v>0.2071</v>
      </c>
      <c r="E501" s="113" t="s">
        <v>50</v>
      </c>
    </row>
    <row r="502" customFormat="false" ht="14.4" hidden="false" customHeight="true" outlineLevel="0" collapsed="false">
      <c r="B502" s="112" t="n">
        <v>33</v>
      </c>
      <c r="C502" s="113" t="s">
        <v>52</v>
      </c>
      <c r="D502" s="113" t="n">
        <v>0.1907</v>
      </c>
      <c r="E502" s="113" t="s">
        <v>50</v>
      </c>
    </row>
    <row r="503" customFormat="false" ht="14.4" hidden="false" customHeight="true" outlineLevel="0" collapsed="false">
      <c r="B503" s="112" t="n">
        <v>33</v>
      </c>
      <c r="C503" s="113" t="s">
        <v>47</v>
      </c>
      <c r="D503" s="113" t="n">
        <v>0.1881</v>
      </c>
      <c r="E503" s="113" t="s">
        <v>50</v>
      </c>
    </row>
    <row r="504" customFormat="false" ht="14.4" hidden="false" customHeight="true" outlineLevel="0" collapsed="false">
      <c r="B504" s="112" t="n">
        <v>33</v>
      </c>
      <c r="C504" s="113" t="s">
        <v>53</v>
      </c>
      <c r="D504" s="113" t="n">
        <v>0.1623</v>
      </c>
      <c r="E504" s="113" t="s">
        <v>50</v>
      </c>
    </row>
    <row r="505" customFormat="false" ht="14.4" hidden="false" customHeight="true" outlineLevel="0" collapsed="false">
      <c r="B505" s="112" t="n">
        <v>33</v>
      </c>
      <c r="C505" s="113" t="s">
        <v>51</v>
      </c>
      <c r="D505" s="113" t="n">
        <v>0.1519</v>
      </c>
      <c r="E505" s="113" t="s">
        <v>50</v>
      </c>
    </row>
    <row r="506" customFormat="false" ht="14.4" hidden="false" customHeight="true" outlineLevel="0" collapsed="false">
      <c r="B506" s="112" t="n">
        <v>33</v>
      </c>
      <c r="C506" s="113" t="s">
        <v>54</v>
      </c>
      <c r="D506" s="113" t="n">
        <v>0.1</v>
      </c>
      <c r="E506" s="113" t="s">
        <v>50</v>
      </c>
    </row>
    <row r="507" customFormat="false" ht="14.4" hidden="false" customHeight="true" outlineLevel="0" collapsed="false">
      <c r="B507" s="112" t="n">
        <v>35</v>
      </c>
      <c r="C507" s="113" t="s">
        <v>44</v>
      </c>
      <c r="D507" s="113" t="n">
        <v>0.2023</v>
      </c>
      <c r="E507" s="113" t="s">
        <v>50</v>
      </c>
    </row>
    <row r="508" customFormat="false" ht="14.4" hidden="false" customHeight="true" outlineLevel="0" collapsed="false">
      <c r="B508" s="112" t="n">
        <v>35</v>
      </c>
      <c r="C508" s="113" t="s">
        <v>53</v>
      </c>
      <c r="D508" s="113" t="n">
        <v>0.1807</v>
      </c>
      <c r="E508" s="113" t="s">
        <v>50</v>
      </c>
    </row>
    <row r="509" customFormat="false" ht="14.4" hidden="false" customHeight="true" outlineLevel="0" collapsed="false">
      <c r="B509" s="112" t="n">
        <v>35</v>
      </c>
      <c r="C509" s="113" t="s">
        <v>52</v>
      </c>
      <c r="D509" s="113" t="n">
        <v>0.1748</v>
      </c>
      <c r="E509" s="113" t="s">
        <v>50</v>
      </c>
    </row>
    <row r="510" customFormat="false" ht="14.4" hidden="false" customHeight="true" outlineLevel="0" collapsed="false">
      <c r="B510" s="112" t="n">
        <v>35</v>
      </c>
      <c r="C510" s="113" t="s">
        <v>47</v>
      </c>
      <c r="D510" s="113" t="n">
        <v>0.172</v>
      </c>
      <c r="E510" s="113" t="s">
        <v>50</v>
      </c>
    </row>
    <row r="511" customFormat="false" ht="14.4" hidden="false" customHeight="true" outlineLevel="0" collapsed="false">
      <c r="B511" s="112" t="n">
        <v>35</v>
      </c>
      <c r="C511" s="113" t="s">
        <v>51</v>
      </c>
      <c r="D511" s="113" t="n">
        <v>0.1701</v>
      </c>
      <c r="E511" s="113" t="s">
        <v>50</v>
      </c>
    </row>
    <row r="512" customFormat="false" ht="14.4" hidden="false" customHeight="true" outlineLevel="0" collapsed="false">
      <c r="B512" s="112" t="n">
        <v>35</v>
      </c>
      <c r="C512" s="113" t="s">
        <v>54</v>
      </c>
      <c r="D512" s="113" t="n">
        <v>0.1</v>
      </c>
      <c r="E512" s="113" t="s">
        <v>50</v>
      </c>
    </row>
    <row r="513" customFormat="false" ht="14.4" hidden="false" customHeight="true" outlineLevel="0" collapsed="false">
      <c r="B513" s="112" t="n">
        <v>37</v>
      </c>
      <c r="C513" s="113" t="s">
        <v>44</v>
      </c>
      <c r="D513" s="113" t="n">
        <v>0.2204</v>
      </c>
      <c r="E513" s="113" t="s">
        <v>50</v>
      </c>
    </row>
    <row r="514" customFormat="false" ht="14.4" hidden="false" customHeight="true" outlineLevel="0" collapsed="false">
      <c r="B514" s="112" t="n">
        <v>37</v>
      </c>
      <c r="C514" s="113" t="s">
        <v>47</v>
      </c>
      <c r="D514" s="113" t="n">
        <v>0.1856</v>
      </c>
      <c r="E514" s="113" t="s">
        <v>50</v>
      </c>
    </row>
    <row r="515" customFormat="false" ht="14.4" hidden="false" customHeight="true" outlineLevel="0" collapsed="false">
      <c r="B515" s="112" t="n">
        <v>37</v>
      </c>
      <c r="C515" s="113" t="s">
        <v>52</v>
      </c>
      <c r="D515" s="113" t="n">
        <v>0.1816</v>
      </c>
      <c r="E515" s="113" t="s">
        <v>50</v>
      </c>
    </row>
    <row r="516" customFormat="false" ht="14.4" hidden="false" customHeight="true" outlineLevel="0" collapsed="false">
      <c r="B516" s="112" t="n">
        <v>37</v>
      </c>
      <c r="C516" s="113" t="s">
        <v>53</v>
      </c>
      <c r="D516" s="113" t="n">
        <v>0.1594</v>
      </c>
      <c r="E516" s="113" t="s">
        <v>50</v>
      </c>
    </row>
    <row r="517" customFormat="false" ht="14.4" hidden="false" customHeight="true" outlineLevel="0" collapsed="false">
      <c r="B517" s="112" t="n">
        <v>37</v>
      </c>
      <c r="C517" s="113" t="s">
        <v>55</v>
      </c>
      <c r="D517" s="113" t="n">
        <v>0.153</v>
      </c>
      <c r="E517" s="113" t="s">
        <v>50</v>
      </c>
    </row>
    <row r="518" customFormat="false" ht="14.4" hidden="false" customHeight="true" outlineLevel="0" collapsed="false">
      <c r="B518" s="112" t="n">
        <v>37</v>
      </c>
      <c r="C518" s="113" t="s">
        <v>54</v>
      </c>
      <c r="D518" s="113" t="n">
        <v>0.1</v>
      </c>
      <c r="E518" s="113" t="s">
        <v>50</v>
      </c>
    </row>
    <row r="519" customFormat="false" ht="14.4" hidden="false" customHeight="true" outlineLevel="0" collapsed="false">
      <c r="B519" s="112" t="n">
        <v>39</v>
      </c>
      <c r="C519" s="113" t="s">
        <v>44</v>
      </c>
      <c r="D519" s="113" t="n">
        <v>0.2664</v>
      </c>
      <c r="E519" s="113" t="s">
        <v>50</v>
      </c>
    </row>
    <row r="520" customFormat="false" ht="14.4" hidden="false" customHeight="true" outlineLevel="0" collapsed="false">
      <c r="B520" s="112" t="n">
        <v>39</v>
      </c>
      <c r="C520" s="113" t="s">
        <v>47</v>
      </c>
      <c r="D520" s="113" t="n">
        <v>0.2363</v>
      </c>
      <c r="E520" s="113" t="s">
        <v>50</v>
      </c>
    </row>
    <row r="521" customFormat="false" ht="14.4" hidden="false" customHeight="true" outlineLevel="0" collapsed="false">
      <c r="B521" s="112" t="n">
        <v>39</v>
      </c>
      <c r="C521" s="113" t="s">
        <v>52</v>
      </c>
      <c r="D521" s="113" t="n">
        <v>0.2137</v>
      </c>
      <c r="E521" s="113" t="s">
        <v>50</v>
      </c>
    </row>
    <row r="522" customFormat="false" ht="14.4" hidden="false" customHeight="true" outlineLevel="0" collapsed="false">
      <c r="B522" s="112" t="n">
        <v>39</v>
      </c>
      <c r="C522" s="113" t="s">
        <v>53</v>
      </c>
      <c r="D522" s="113" t="n">
        <v>0.1835</v>
      </c>
      <c r="E522" s="113" t="s">
        <v>50</v>
      </c>
    </row>
    <row r="523" customFormat="false" ht="14.4" hidden="false" customHeight="true" outlineLevel="0" collapsed="false">
      <c r="B523" s="112" t="n">
        <v>39</v>
      </c>
      <c r="C523" s="113" t="s">
        <v>54</v>
      </c>
      <c r="D523" s="113" t="n">
        <v>0.1</v>
      </c>
      <c r="E523" s="113" t="s">
        <v>50</v>
      </c>
    </row>
    <row r="524" customFormat="false" ht="14.4" hidden="false" customHeight="true" outlineLevel="0" collapsed="false">
      <c r="B524" s="112" t="n">
        <v>41</v>
      </c>
      <c r="C524" s="113" t="s">
        <v>44</v>
      </c>
      <c r="D524" s="113" t="n">
        <v>0.2172</v>
      </c>
      <c r="E524" s="113" t="s">
        <v>50</v>
      </c>
    </row>
    <row r="525" customFormat="false" ht="14.4" hidden="false" customHeight="true" outlineLevel="0" collapsed="false">
      <c r="B525" s="112" t="n">
        <v>41</v>
      </c>
      <c r="C525" s="113" t="s">
        <v>47</v>
      </c>
      <c r="D525" s="113" t="n">
        <v>0.1946</v>
      </c>
      <c r="E525" s="113" t="s">
        <v>50</v>
      </c>
    </row>
    <row r="526" customFormat="false" ht="14.4" hidden="false" customHeight="true" outlineLevel="0" collapsed="false">
      <c r="B526" s="112" t="n">
        <v>41</v>
      </c>
      <c r="C526" s="113" t="s">
        <v>53</v>
      </c>
      <c r="D526" s="113" t="n">
        <v>0.1726</v>
      </c>
      <c r="E526" s="113" t="s">
        <v>50</v>
      </c>
    </row>
    <row r="527" customFormat="false" ht="14.4" hidden="false" customHeight="true" outlineLevel="0" collapsed="false">
      <c r="B527" s="112" t="n">
        <v>41</v>
      </c>
      <c r="C527" s="113" t="s">
        <v>52</v>
      </c>
      <c r="D527" s="113" t="n">
        <v>0.1595</v>
      </c>
      <c r="E527" s="113" t="s">
        <v>50</v>
      </c>
    </row>
    <row r="528" customFormat="false" ht="14.4" hidden="false" customHeight="true" outlineLevel="0" collapsed="false">
      <c r="B528" s="112" t="n">
        <v>41</v>
      </c>
      <c r="C528" s="113" t="s">
        <v>51</v>
      </c>
      <c r="D528" s="113" t="n">
        <v>0.1562</v>
      </c>
      <c r="E528" s="113" t="s">
        <v>50</v>
      </c>
    </row>
    <row r="529" customFormat="false" ht="14.4" hidden="false" customHeight="true" outlineLevel="0" collapsed="false">
      <c r="B529" s="112" t="n">
        <v>41</v>
      </c>
      <c r="C529" s="113" t="s">
        <v>54</v>
      </c>
      <c r="D529" s="113" t="n">
        <v>0.1</v>
      </c>
      <c r="E529" s="113" t="s">
        <v>50</v>
      </c>
    </row>
    <row r="530" customFormat="false" ht="14.4" hidden="false" customHeight="true" outlineLevel="0" collapsed="false">
      <c r="B530" s="112" t="n">
        <v>43</v>
      </c>
      <c r="C530" s="113" t="s">
        <v>44</v>
      </c>
      <c r="D530" s="113" t="n">
        <v>0.2295</v>
      </c>
      <c r="E530" s="113" t="s">
        <v>50</v>
      </c>
    </row>
    <row r="531" customFormat="false" ht="14.4" hidden="false" customHeight="true" outlineLevel="0" collapsed="false">
      <c r="B531" s="112" t="n">
        <v>43</v>
      </c>
      <c r="C531" s="113" t="s">
        <v>47</v>
      </c>
      <c r="D531" s="113" t="n">
        <v>0.1988</v>
      </c>
      <c r="E531" s="113" t="s">
        <v>50</v>
      </c>
    </row>
    <row r="532" customFormat="false" ht="14.4" hidden="false" customHeight="true" outlineLevel="0" collapsed="false">
      <c r="B532" s="112" t="n">
        <v>43</v>
      </c>
      <c r="C532" s="113" t="s">
        <v>51</v>
      </c>
      <c r="D532" s="113" t="n">
        <v>0.1667</v>
      </c>
      <c r="E532" s="113" t="s">
        <v>50</v>
      </c>
    </row>
    <row r="533" customFormat="false" ht="14.4" hidden="false" customHeight="true" outlineLevel="0" collapsed="false">
      <c r="B533" s="112" t="n">
        <v>43</v>
      </c>
      <c r="C533" s="113" t="s">
        <v>52</v>
      </c>
      <c r="D533" s="113" t="n">
        <v>0.1566</v>
      </c>
      <c r="E533" s="113" t="s">
        <v>50</v>
      </c>
    </row>
    <row r="534" customFormat="false" ht="14.4" hidden="false" customHeight="true" outlineLevel="0" collapsed="false">
      <c r="B534" s="112" t="n">
        <v>43</v>
      </c>
      <c r="C534" s="113" t="s">
        <v>56</v>
      </c>
      <c r="D534" s="113" t="n">
        <v>0.1484</v>
      </c>
      <c r="E534" s="113" t="s">
        <v>50</v>
      </c>
    </row>
    <row r="535" customFormat="false" ht="14.4" hidden="false" customHeight="true" outlineLevel="0" collapsed="false">
      <c r="B535" s="112" t="n">
        <v>43</v>
      </c>
      <c r="C535" s="113" t="s">
        <v>54</v>
      </c>
      <c r="D535" s="113" t="n">
        <v>0.1</v>
      </c>
      <c r="E535" s="113" t="s">
        <v>50</v>
      </c>
    </row>
    <row r="536" customFormat="false" ht="14.4" hidden="false" customHeight="true" outlineLevel="0" collapsed="false">
      <c r="B536" s="112" t="n">
        <v>45</v>
      </c>
      <c r="C536" s="113" t="s">
        <v>44</v>
      </c>
      <c r="D536" s="113" t="n">
        <v>0.2075</v>
      </c>
      <c r="E536" s="113" t="s">
        <v>50</v>
      </c>
    </row>
    <row r="537" customFormat="false" ht="14.4" hidden="false" customHeight="true" outlineLevel="0" collapsed="false">
      <c r="B537" s="112" t="n">
        <v>45</v>
      </c>
      <c r="C537" s="113" t="s">
        <v>47</v>
      </c>
      <c r="D537" s="113" t="n">
        <v>0.1992</v>
      </c>
      <c r="E537" s="113" t="s">
        <v>50</v>
      </c>
    </row>
    <row r="538" customFormat="false" ht="14.4" hidden="false" customHeight="true" outlineLevel="0" collapsed="false">
      <c r="B538" s="112" t="n">
        <v>45</v>
      </c>
      <c r="C538" s="113" t="s">
        <v>53</v>
      </c>
      <c r="D538" s="113" t="n">
        <v>0.1692</v>
      </c>
      <c r="E538" s="113" t="s">
        <v>50</v>
      </c>
    </row>
    <row r="539" customFormat="false" ht="14.4" hidden="false" customHeight="true" outlineLevel="0" collapsed="false">
      <c r="B539" s="112" t="n">
        <v>45</v>
      </c>
      <c r="C539" s="113" t="s">
        <v>62</v>
      </c>
      <c r="D539" s="113" t="n">
        <v>0.1625</v>
      </c>
      <c r="E539" s="113" t="s">
        <v>50</v>
      </c>
    </row>
    <row r="540" customFormat="false" ht="14.4" hidden="false" customHeight="true" outlineLevel="0" collapsed="false">
      <c r="B540" s="112" t="n">
        <v>45</v>
      </c>
      <c r="C540" s="113" t="s">
        <v>51</v>
      </c>
      <c r="D540" s="113" t="n">
        <v>0.1617</v>
      </c>
      <c r="E540" s="113" t="s">
        <v>50</v>
      </c>
    </row>
    <row r="541" customFormat="false" ht="14.4" hidden="false" customHeight="true" outlineLevel="0" collapsed="false">
      <c r="B541" s="112" t="n">
        <v>45</v>
      </c>
      <c r="C541" s="113" t="s">
        <v>54</v>
      </c>
      <c r="D541" s="113" t="n">
        <v>0.1</v>
      </c>
      <c r="E541" s="113" t="s">
        <v>50</v>
      </c>
    </row>
    <row r="542" customFormat="false" ht="14.4" hidden="false" customHeight="true" outlineLevel="0" collapsed="false">
      <c r="B542" s="112" t="n">
        <v>47</v>
      </c>
      <c r="C542" s="113" t="s">
        <v>44</v>
      </c>
      <c r="D542" s="113" t="n">
        <v>0.2442</v>
      </c>
      <c r="E542" s="113" t="s">
        <v>50</v>
      </c>
    </row>
    <row r="543" customFormat="false" ht="14.4" hidden="false" customHeight="true" outlineLevel="0" collapsed="false">
      <c r="B543" s="112" t="n">
        <v>47</v>
      </c>
      <c r="C543" s="113" t="s">
        <v>47</v>
      </c>
      <c r="D543" s="113" t="n">
        <v>0.2241</v>
      </c>
      <c r="E543" s="113" t="s">
        <v>50</v>
      </c>
    </row>
    <row r="544" customFormat="false" ht="14.4" hidden="false" customHeight="true" outlineLevel="0" collapsed="false">
      <c r="B544" s="112" t="n">
        <v>47</v>
      </c>
      <c r="C544" s="113" t="s">
        <v>52</v>
      </c>
      <c r="D544" s="113" t="n">
        <v>0.2184</v>
      </c>
      <c r="E544" s="113" t="s">
        <v>50</v>
      </c>
    </row>
    <row r="545" customFormat="false" ht="14.4" hidden="false" customHeight="true" outlineLevel="0" collapsed="false">
      <c r="B545" s="112" t="n">
        <v>47</v>
      </c>
      <c r="C545" s="113" t="s">
        <v>53</v>
      </c>
      <c r="D545" s="113" t="n">
        <v>0.2133</v>
      </c>
      <c r="E545" s="113" t="s">
        <v>50</v>
      </c>
    </row>
    <row r="546" customFormat="false" ht="14.4" hidden="false" customHeight="true" outlineLevel="0" collapsed="false">
      <c r="B546" s="112" t="n">
        <v>47</v>
      </c>
      <c r="C546" s="113" t="s">
        <v>54</v>
      </c>
      <c r="D546" s="113" t="n">
        <v>0.1</v>
      </c>
      <c r="E546" s="113" t="s">
        <v>50</v>
      </c>
    </row>
    <row r="547" customFormat="false" ht="14.4" hidden="false" customHeight="true" outlineLevel="0" collapsed="false">
      <c r="B547" s="112" t="n">
        <v>49</v>
      </c>
      <c r="C547" s="113" t="s">
        <v>44</v>
      </c>
      <c r="D547" s="113" t="n">
        <v>0.2088</v>
      </c>
      <c r="E547" s="113" t="s">
        <v>50</v>
      </c>
    </row>
    <row r="548" customFormat="false" ht="14.4" hidden="false" customHeight="true" outlineLevel="0" collapsed="false">
      <c r="B548" s="112" t="n">
        <v>49</v>
      </c>
      <c r="C548" s="113" t="s">
        <v>47</v>
      </c>
      <c r="D548" s="113" t="n">
        <v>0.1809</v>
      </c>
      <c r="E548" s="113" t="s">
        <v>50</v>
      </c>
    </row>
    <row r="549" customFormat="false" ht="14.4" hidden="false" customHeight="true" outlineLevel="0" collapsed="false">
      <c r="B549" s="112" t="n">
        <v>49</v>
      </c>
      <c r="C549" s="113" t="s">
        <v>52</v>
      </c>
      <c r="D549" s="113" t="n">
        <v>0.1725</v>
      </c>
      <c r="E549" s="113" t="s">
        <v>50</v>
      </c>
    </row>
    <row r="550" customFormat="false" ht="14.4" hidden="false" customHeight="true" outlineLevel="0" collapsed="false">
      <c r="B550" s="112" t="n">
        <v>49</v>
      </c>
      <c r="C550" s="113" t="s">
        <v>61</v>
      </c>
      <c r="D550" s="113" t="n">
        <v>0.1714</v>
      </c>
      <c r="E550" s="113" t="s">
        <v>50</v>
      </c>
    </row>
    <row r="551" customFormat="false" ht="14.4" hidden="false" customHeight="true" outlineLevel="0" collapsed="false">
      <c r="B551" s="112" t="n">
        <v>49</v>
      </c>
      <c r="C551" s="113" t="s">
        <v>53</v>
      </c>
      <c r="D551" s="113" t="n">
        <v>0.1663</v>
      </c>
      <c r="E551" s="113" t="s">
        <v>50</v>
      </c>
    </row>
    <row r="552" customFormat="false" ht="14.4" hidden="false" customHeight="true" outlineLevel="0" collapsed="false">
      <c r="B552" s="112" t="n">
        <v>49</v>
      </c>
      <c r="C552" s="113" t="s">
        <v>54</v>
      </c>
      <c r="D552" s="113" t="n">
        <v>0.1</v>
      </c>
      <c r="E552" s="113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2026-02-14T23:12:32Z</dcterms:created>
  <dc:creator/>
  <dc:description/>
  <dc:language>en-US</dc:language>
  <cp:lastModifiedBy/>
  <dcterms:modified xsi:type="dcterms:W3CDTF">2026-02-20T17:39:09Z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
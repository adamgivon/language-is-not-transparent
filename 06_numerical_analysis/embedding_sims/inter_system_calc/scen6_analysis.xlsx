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ims_per_turn_scen6" sheetId="1" state="visible" r:id="rId3"/>
    <sheet name="pivot_sim_per_turn" sheetId="2" state="visible" r:id="rId4"/>
    <sheet name="anchor_raw_information" sheetId="3" state="visible" r:id="rId5"/>
  </sheets>
  <definedNames>
    <definedName function="false" hidden="true" localSheetId="0" name="_xlnm._FilterDatabase" vbProcedure="false">sims_per_turn_scen6!$A$217:$C$367</definedName>
  </definedNames>
  <calcPr iterateCount="100" refMode="A1" iterate="false" iterateDelta="0.001"/>
  <pivotCaches>
    <pivotCache cacheId="1" r:id="rId7"/>
    <pivotCache cacheId="2" r:id="rId8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<sst xmlns="http://schemas.openxmlformats.org/spreadsheetml/2006/main" count="1635" uniqueCount="94">
  <si>
    <t xml:space="preserve">Turn</t>
  </si>
  <si>
    <t xml:space="preserve">ac15p</t>
  </si>
  <si>
    <t xml:space="preserve">hybrid</t>
  </si>
  <si>
    <t xml:space="preserve">hybsem</t>
  </si>
  <si>
    <t xml:space="preserve">ac15</t>
  </si>
  <si>
    <t xml:space="preserve">control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</si>
  <si>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</si>
  <si>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</si>
  <si>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</si>
  <si>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</si>
  <si>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</si>
  <si>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</si>
  <si>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</si>
  <si>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</si>
  <si>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</si>
  <si>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</si>
  <si>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</si>
  <si>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Column 5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</si>
  <si>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</si>
  <si>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</si>
  <si>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</si>
  <si>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</si>
  <si>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</si>
  <si>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</si>
  <si>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</si>
  <si>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</si>
  <si>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</si>
  <si>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</si>
  <si>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per turn, prompt-response deltas</t>
  </si>
  <si>
    <t xml:space="preserve">Delta=hybrid-hybsem</t>
  </si>
  <si>
    <t xml:space="preserve">ABS delta</t>
  </si>
  <si>
    <t xml:space="preserve">Mean difference</t>
  </si>
  <si>
    <t xml:space="preserve">std delta</t>
  </si>
  <si>
    <t xml:space="preserve">Paired t-test</t>
  </si>
  <si>
    <t xml:space="preserve">Hypothesized Mean Difference</t>
  </si>
  <si>
    <t xml:space="preserve">Variable 1</t>
  </si>
  <si>
    <t xml:space="preserve">Variable 2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</si>
  <si>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</si>
  <si>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</si>
  <si>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</si>
  <si>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</si>
  <si>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</si>
  <si>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</si>
  <si>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</si>
  <si>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</si>
  <si>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</si>
  <si>
    <t xml:space="preserve">Delta=ac15-ac15p</t>
  </si>
  <si>
    <t xml:space="preserve">Delta=hybrid-ac15p</t>
  </si>
  <si>
    <t xml:space="preserve">Delta=hybsem-ac15p</t>
  </si>
  <si>
    <t xml:space="preserve">Delta=hybsem-ac15</t>
  </si>
  <si>
    <t xml:space="preserve">Delta=hybrid-ac15</t>
  </si>
  <si>
    <t xml:space="preserve">### Comparison of critical turns</t>
  </si>
  <si>
    <t xml:space="preserve">Turns</t>
  </si>
  <si>
    <t xml:space="preserve">abs delta</t>
  </si>
  <si>
    <t xml:space="preserve">comparison</t>
  </si>
  <si>
    <t xml:space="preserve">Hybsem-ac15</t>
  </si>
  <si>
    <t xml:space="preserve">Hybrid-hybsem</t>
  </si>
  <si>
    <t xml:space="preserve">Hybrid-ac15</t>
  </si>
  <si>
    <t xml:space="preserve">ac15-ac15p</t>
  </si>
  <si>
    <t xml:space="preserve">Hybsem-ac15p</t>
  </si>
  <si>
    <t xml:space="preserve">Hybrid-ac15p</t>
  </si>
  <si>
    <t xml:space="preserve">Count - abs delta</t>
  </si>
  <si>
    <t xml:space="preserve">Total Result</t>
  </si>
  <si>
    <t xml:space="preserve">seq</t>
  </si>
  <si>
    <t xml:space="preserve">anchorName</t>
  </si>
  <si>
    <t xml:space="preserve">weight</t>
  </si>
  <si>
    <t xml:space="preserve">projectName</t>
  </si>
  <si>
    <t xml:space="preserve">truth_and_fact</t>
  </si>
  <si>
    <t xml:space="preserve">ac15-plain</t>
  </si>
  <si>
    <t xml:space="preserve">Count - anchorName</t>
  </si>
  <si>
    <t xml:space="preserve">context_dependent_expression</t>
  </si>
  <si>
    <t xml:space="preserve">hybrid_v3_5</t>
  </si>
  <si>
    <t xml:space="preserve">hybrid_v3_5_semantic</t>
  </si>
  <si>
    <t xml:space="preserve">test_ac15</t>
  </si>
  <si>
    <t xml:space="preserve">practicality_and_feasibility</t>
  </si>
  <si>
    <t xml:space="preserve">temporal_dynamics</t>
  </si>
  <si>
    <t xml:space="preserve">sovereignty</t>
  </si>
  <si>
    <t xml:space="preserve">freedom_and_limitations</t>
  </si>
  <si>
    <t xml:space="preserve">imagination_and_possibility</t>
  </si>
  <si>
    <t xml:space="preserve">affective_interface</t>
  </si>
  <si>
    <t xml:space="preserve">Sum - weight</t>
  </si>
  <si>
    <t xml:space="preserve">mathematics_computer_science_engineering</t>
  </si>
  <si>
    <t xml:space="preserve">identity</t>
  </si>
  <si>
    <t xml:space="preserve">science</t>
  </si>
  <si>
    <t xml:space="preserve">Count - weight</t>
  </si>
  <si>
    <t xml:space="preserve">Chi Square test</t>
  </si>
  <si>
    <t xml:space="preserve">Test of Independence (Chi-Square)</t>
  </si>
  <si>
    <t xml:space="preserve">Test Statistic</t>
  </si>
  <si>
    <t xml:space="preserve">Critical Value</t>
  </si>
  <si>
    <t xml:space="preserve">Chi Square – truth – science</t>
  </si>
  <si>
    <t xml:space="preserve">Data</t>
  </si>
  <si>
    <t xml:space="preserve">Average - weight*</t>
  </si>
  <si>
    <t xml:space="preserve">Total Count - weight</t>
  </si>
  <si>
    <t xml:space="preserve">Total Average - weight*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</si>
</sst>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;[RED]\-0.000000"/>
    <numFmt numFmtId="166" formatCode="0.000000"/>
    <numFmt numFmtId="167" formatCode="0"/>
  </numFmts>
  <fonts count="10">
    <font>
      <sz val="9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3"/>
      <name val="Arial"/>
      <family val="2"/>
      <charset val="1"/>
    </font>
    <font>
      <sz val="10"/>
      <color rgb="FF000000"/>
      <name val="Arial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center" vertical="center" textRotation="0" wrapText="tru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center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103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7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2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29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8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31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2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3" xfId="21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34" xfId="21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5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23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22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5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1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7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19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36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30" xfId="25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0" xfId="24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8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2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3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  <xf numFmtId="164" fontId="5" fillId="0" borderId="24" xfId="24" applyFont="false" applyBorder="true" applyAlignment="false" applyProtection="false">
      <alignment horizontal="center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sims_per_turn_scen6!$B$2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sims_per_turn_scen6!$A$3:$A$27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sims_per_turn_scen6!$B$3:$B$27</c:f>
              <c:numCache>
                <c:formatCode>General</c:formatCode>
                <c:ptCount val="25"/>
                <c:pt idx="0">
                  <c:v>0.790005749889737</c:v>
                </c:pt>
                <c:pt idx="1">
                  <c:v>0.681735099200446</c:v>
                </c:pt>
                <c:pt idx="2">
                  <c:v>0.736591542434996</c:v>
                </c:pt>
                <c:pt idx="3">
                  <c:v>0.65821229308805</c:v>
                </c:pt>
                <c:pt idx="4">
                  <c:v>0.743184893131854</c:v>
                </c:pt>
                <c:pt idx="5">
                  <c:v>0.738363300257884</c:v>
                </c:pt>
                <c:pt idx="6">
                  <c:v>0.802709380775578</c:v>
                </c:pt>
                <c:pt idx="7">
                  <c:v>0.767137820624339</c:v>
                </c:pt>
                <c:pt idx="8">
                  <c:v>0.655203842604779</c:v>
                </c:pt>
                <c:pt idx="9">
                  <c:v>0.700905183166286</c:v>
                </c:pt>
                <c:pt idx="10">
                  <c:v>0.719629235257693</c:v>
                </c:pt>
                <c:pt idx="11">
                  <c:v>0.831621410337318</c:v>
                </c:pt>
                <c:pt idx="12">
                  <c:v>0.709519501585356</c:v>
                </c:pt>
                <c:pt idx="13">
                  <c:v>0.752588038781123</c:v>
                </c:pt>
                <c:pt idx="14">
                  <c:v>0.742555870420495</c:v>
                </c:pt>
                <c:pt idx="15">
                  <c:v>0.626600189640605</c:v>
                </c:pt>
                <c:pt idx="16">
                  <c:v>0.81814248001184</c:v>
                </c:pt>
                <c:pt idx="17">
                  <c:v>0.647963419254761</c:v>
                </c:pt>
                <c:pt idx="18">
                  <c:v>0.643841741383017</c:v>
                </c:pt>
                <c:pt idx="19">
                  <c:v>0.654547731132537</c:v>
                </c:pt>
                <c:pt idx="20">
                  <c:v>0.737279793404405</c:v>
                </c:pt>
                <c:pt idx="21">
                  <c:v>0.741791001479869</c:v>
                </c:pt>
                <c:pt idx="22">
                  <c:v>0.720324505975325</c:v>
                </c:pt>
                <c:pt idx="23">
                  <c:v>0.85301227080764</c:v>
                </c:pt>
                <c:pt idx="24">
                  <c:v>0.727945465577406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sims_per_turn_scen6!$C$2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sims_per_turn_scen6!$A$3:$A$27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sims_per_turn_scen6!$C$3:$C$27</c:f>
              <c:numCache>
                <c:formatCode>General</c:formatCode>
                <c:ptCount val="25"/>
                <c:pt idx="0">
                  <c:v>0.818947298519002</c:v>
                </c:pt>
                <c:pt idx="1">
                  <c:v>0.726675054349364</c:v>
                </c:pt>
                <c:pt idx="2">
                  <c:v>0.753823763148008</c:v>
                </c:pt>
                <c:pt idx="3">
                  <c:v>0.694689160951428</c:v>
                </c:pt>
                <c:pt idx="4">
                  <c:v>0.750318975083652</c:v>
                </c:pt>
                <c:pt idx="5">
                  <c:v>0.792897506425522</c:v>
                </c:pt>
                <c:pt idx="6">
                  <c:v>0.740717063652639</c:v>
                </c:pt>
                <c:pt idx="7">
                  <c:v>0.701518866188206</c:v>
                </c:pt>
                <c:pt idx="8">
                  <c:v>0.679408838434061</c:v>
                </c:pt>
                <c:pt idx="9">
                  <c:v>0.693828339018655</c:v>
                </c:pt>
                <c:pt idx="10">
                  <c:v>0.714015093691685</c:v>
                </c:pt>
                <c:pt idx="11">
                  <c:v>0.829353335851788</c:v>
                </c:pt>
                <c:pt idx="12">
                  <c:v>0.741335114714525</c:v>
                </c:pt>
                <c:pt idx="13">
                  <c:v>0.777558691836526</c:v>
                </c:pt>
                <c:pt idx="14">
                  <c:v>0.769655236905789</c:v>
                </c:pt>
                <c:pt idx="15">
                  <c:v>0.692685234430471</c:v>
                </c:pt>
                <c:pt idx="16">
                  <c:v>0.805787272798479</c:v>
                </c:pt>
                <c:pt idx="17">
                  <c:v>0.631093794200336</c:v>
                </c:pt>
                <c:pt idx="18">
                  <c:v>0.690269162854351</c:v>
                </c:pt>
                <c:pt idx="19">
                  <c:v>0.697049065043941</c:v>
                </c:pt>
                <c:pt idx="20">
                  <c:v>0.69517695472312</c:v>
                </c:pt>
                <c:pt idx="21">
                  <c:v>0.757953803081435</c:v>
                </c:pt>
                <c:pt idx="22">
                  <c:v>0.663150812819657</c:v>
                </c:pt>
                <c:pt idx="23">
                  <c:v>0.846569350289584</c:v>
                </c:pt>
                <c:pt idx="24">
                  <c:v>0.736292798571547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sims_per_turn_scen6!$D$2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sims_per_turn_scen6!$A$3:$A$27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sims_per_turn_scen6!$D$3:$D$27</c:f>
              <c:numCache>
                <c:formatCode>General</c:formatCode>
                <c:ptCount val="25"/>
                <c:pt idx="0">
                  <c:v>0.785168761593727</c:v>
                </c:pt>
                <c:pt idx="1">
                  <c:v>0.7034443874608</c:v>
                </c:pt>
                <c:pt idx="2">
                  <c:v>0.735399855829613</c:v>
                </c:pt>
                <c:pt idx="3">
                  <c:v>0.697297454274584</c:v>
                </c:pt>
                <c:pt idx="4">
                  <c:v>0.713223127756937</c:v>
                </c:pt>
                <c:pt idx="5">
                  <c:v>0.767347429776357</c:v>
                </c:pt>
                <c:pt idx="6">
                  <c:v>0.741214474418534</c:v>
                </c:pt>
                <c:pt idx="7">
                  <c:v>0.702691804836109</c:v>
                </c:pt>
                <c:pt idx="8">
                  <c:v>0.676410925873389</c:v>
                </c:pt>
                <c:pt idx="9">
                  <c:v>0.715155539827357</c:v>
                </c:pt>
                <c:pt idx="10">
                  <c:v>0.72491699498861</c:v>
                </c:pt>
                <c:pt idx="11">
                  <c:v>0.844773353099784</c:v>
                </c:pt>
                <c:pt idx="12">
                  <c:v>0.670771286759802</c:v>
                </c:pt>
                <c:pt idx="13">
                  <c:v>0.749199345598474</c:v>
                </c:pt>
                <c:pt idx="14">
                  <c:v>0.710334404151347</c:v>
                </c:pt>
                <c:pt idx="15">
                  <c:v>0.658233657913275</c:v>
                </c:pt>
                <c:pt idx="16">
                  <c:v>0.821533014122518</c:v>
                </c:pt>
                <c:pt idx="17">
                  <c:v>0.654001563002053</c:v>
                </c:pt>
                <c:pt idx="18">
                  <c:v>0.590768867737282</c:v>
                </c:pt>
                <c:pt idx="19">
                  <c:v>0.716584963681357</c:v>
                </c:pt>
                <c:pt idx="20">
                  <c:v>0.669739555124102</c:v>
                </c:pt>
                <c:pt idx="21">
                  <c:v>0.735555505104196</c:v>
                </c:pt>
                <c:pt idx="22">
                  <c:v>0.705937576250204</c:v>
                </c:pt>
                <c:pt idx="23">
                  <c:v>0.821053723330557</c:v>
                </c:pt>
                <c:pt idx="24">
                  <c:v>0.697201511529907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sims_per_turn_scen6!$E$2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sims_per_turn_scen6!$A$3:$A$27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sims_per_turn_scen6!$E$3:$E$27</c:f>
              <c:numCache>
                <c:formatCode>General</c:formatCode>
                <c:ptCount val="25"/>
                <c:pt idx="0">
                  <c:v>0.823272744718597</c:v>
                </c:pt>
                <c:pt idx="1">
                  <c:v>0.642199317331402</c:v>
                </c:pt>
                <c:pt idx="2">
                  <c:v>0.724560029881393</c:v>
                </c:pt>
                <c:pt idx="3">
                  <c:v>0.708336187220553</c:v>
                </c:pt>
                <c:pt idx="4">
                  <c:v>0.697620486730694</c:v>
                </c:pt>
                <c:pt idx="5">
                  <c:v>0.757276291011557</c:v>
                </c:pt>
                <c:pt idx="6">
                  <c:v>0.758449701833791</c:v>
                </c:pt>
                <c:pt idx="7">
                  <c:v>0.705275325567815</c:v>
                </c:pt>
                <c:pt idx="8">
                  <c:v>0.638110457472859</c:v>
                </c:pt>
                <c:pt idx="9">
                  <c:v>0.718916919696981</c:v>
                </c:pt>
                <c:pt idx="10">
                  <c:v>0.760910644452133</c:v>
                </c:pt>
                <c:pt idx="11">
                  <c:v>0.812780603575516</c:v>
                </c:pt>
                <c:pt idx="12">
                  <c:v>0.721407571089307</c:v>
                </c:pt>
                <c:pt idx="13">
                  <c:v>0.76471605795332</c:v>
                </c:pt>
                <c:pt idx="14">
                  <c:v>0.711757961516188</c:v>
                </c:pt>
                <c:pt idx="15">
                  <c:v>0.636409131350562</c:v>
                </c:pt>
                <c:pt idx="16">
                  <c:v>0.760684614350216</c:v>
                </c:pt>
                <c:pt idx="17">
                  <c:v>0.689444509253728</c:v>
                </c:pt>
                <c:pt idx="18">
                  <c:v>0.699907553556336</c:v>
                </c:pt>
                <c:pt idx="19">
                  <c:v>0.721470667146881</c:v>
                </c:pt>
                <c:pt idx="20">
                  <c:v>0.694019107158469</c:v>
                </c:pt>
                <c:pt idx="21">
                  <c:v>0.755797582220466</c:v>
                </c:pt>
                <c:pt idx="22">
                  <c:v>0.650885309375863</c:v>
                </c:pt>
                <c:pt idx="23">
                  <c:v>0.810318587583629</c:v>
                </c:pt>
                <c:pt idx="24">
                  <c:v>0.756032220349956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sims_per_turn_scen6!$F$2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sims_per_turn_scen6!$A$3:$A$27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sims_per_turn_scen6!$F$3:$F$27</c:f>
              <c:numCache>
                <c:formatCode>General</c:formatCode>
                <c:ptCount val="25"/>
                <c:pt idx="0">
                  <c:v>0.75451956501659</c:v>
                </c:pt>
                <c:pt idx="1">
                  <c:v>0.583157820853806</c:v>
                </c:pt>
                <c:pt idx="2">
                  <c:v>0.618904917761491</c:v>
                </c:pt>
                <c:pt idx="3">
                  <c:v>0.74737712465141</c:v>
                </c:pt>
                <c:pt idx="4">
                  <c:v>0.548980230623881</c:v>
                </c:pt>
                <c:pt idx="5">
                  <c:v>0.632690227255637</c:v>
                </c:pt>
                <c:pt idx="6">
                  <c:v>0.701786769943752</c:v>
                </c:pt>
                <c:pt idx="7">
                  <c:v>0.584562320768019</c:v>
                </c:pt>
                <c:pt idx="8">
                  <c:v>0.635530236435515</c:v>
                </c:pt>
                <c:pt idx="9">
                  <c:v>0.69186077854627</c:v>
                </c:pt>
                <c:pt idx="10">
                  <c:v>0.746874410758284</c:v>
                </c:pt>
                <c:pt idx="11">
                  <c:v>0.646103343046236</c:v>
                </c:pt>
                <c:pt idx="12">
                  <c:v>0.714267452106315</c:v>
                </c:pt>
                <c:pt idx="13">
                  <c:v>0.64598849418726</c:v>
                </c:pt>
                <c:pt idx="14">
                  <c:v>0.559125581602383</c:v>
                </c:pt>
                <c:pt idx="15">
                  <c:v>0.664444142276853</c:v>
                </c:pt>
                <c:pt idx="16">
                  <c:v>0.682928718328554</c:v>
                </c:pt>
                <c:pt idx="17">
                  <c:v>0.609029777075647</c:v>
                </c:pt>
                <c:pt idx="18">
                  <c:v>0.625136354501309</c:v>
                </c:pt>
                <c:pt idx="19">
                  <c:v>0.628896991007055</c:v>
                </c:pt>
                <c:pt idx="20">
                  <c:v>0.49049501481858</c:v>
                </c:pt>
                <c:pt idx="21">
                  <c:v>0.551218385467124</c:v>
                </c:pt>
                <c:pt idx="22">
                  <c:v>0.644659585583856</c:v>
                </c:pt>
                <c:pt idx="23">
                  <c:v>0.654980886002206</c:v>
                </c:pt>
                <c:pt idx="24">
                  <c:v>0.512869586028254</c:v>
                </c:pt>
              </c:numCache>
            </c:numRef>
          </c:yVal>
          <c:smooth val="0"/>
        </c:ser>
        <c:axId val="39970434"/>
        <c:axId val="85111963"/>
      </c:scatterChart>
      <c:valAx>
        <c:axId val="399704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111963"/>
        <c:crosses val="autoZero"/>
        <c:crossBetween val="midCat"/>
      </c:valAx>
      <c:valAx>
        <c:axId val="851119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9704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25200</xdr:colOff>
      <xdr:row>16</xdr:row>
      <xdr:rowOff>30600</xdr:rowOff>
    </xdr:from>
    <xdr:to>
      <xdr:col>13</xdr:col>
      <xdr:colOff>766080</xdr:colOff>
      <xdr:row>42</xdr:row>
      <xdr:rowOff>115560</xdr:rowOff>
    </xdr:to>
    <xdr:graphicFrame>
      <xdr:nvGraphicFramePr>
        <xdr:cNvPr id="1" name=""/>
        <xdr:cNvGraphicFramePr/>
      </xdr:nvGraphicFramePr>
      <xdr:xfrm>
        <a:off x="8351280" y="2631600"/>
        <a:ext cx="7678440" cy="431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3:C33" sheet="pivot_sim_per_turn"/>
  </cacheSource>
  <cacheFields count="3">
    <cacheField name="Turns" numFmtId="0">
      <sharedItems containsSemiMixedTypes="0" containsString="0" containsNumber="1" containsInteger="1" minValue="2" maxValue="25" count="16">
        <n v="2"/>
        <n v="4"/>
        <n v="5"/>
        <n v="6"/>
        <n v="7"/>
        <n v="8"/>
        <n v="13"/>
        <n v="15"/>
        <n v="16"/>
        <n v="17"/>
        <n v="18"/>
        <n v="19"/>
        <n v="20"/>
        <n v="21"/>
        <n v="23"/>
        <n v="25"/>
      </sharedItems>
    </cacheField>
    <cacheField name="abs delta" numFmtId="0">
      <sharedItems containsSemiMixedTypes="0" containsString="0" containsNumber="1" minValue="0.0501238941325031" maxValue="0.109138685819054" count="30">
        <n v="0.0501238941325031"/>
        <n v="0.050636284329505"/>
        <n v="0.052698488352958"/>
        <n v="0.053072873645735"/>
        <n v="0.054534206167638"/>
        <n v="0.0550522668743411"/>
        <n v="0.0560658121733191"/>
        <n v="0.056276103079909"/>
        <n v="0.057173693155668"/>
        <n v="0.057457865661624"/>
        <n v="0.057897275389601"/>
        <n v="0.0583507150533921"/>
        <n v="0.058830708820049"/>
        <n v="0.059320832754442"/>
        <n v="0.0608483997723021"/>
        <n v="0.061245070129398"/>
        <n v="0.0614949063570439"/>
        <n v="0.061862495056524"/>
        <n v="0.061992317122939"/>
        <n v="0.0620372325488201"/>
        <n v="0.06444601578823"/>
        <n v="0.065618954436133"/>
        <n v="0.066085044789866"/>
        <n v="0.0669229360143441"/>
        <n v="0.067540238280303"/>
        <n v="0.0694391965994621"/>
        <n v="0.0705638279547229"/>
        <n v="0.084475737017962"/>
        <n v="0.099500295117069"/>
        <n v="0.109138685819054"/>
      </sharedItems>
    </cacheField>
    <cacheField name="comparison" numFmtId="0">
      <sharedItems count="6">
        <s v="ac15-ac15p"/>
        <s v="Hybrid-ac15"/>
        <s v="Hybrid-ac15p"/>
        <s v="Hybrid-hybsem"/>
        <s v="Hybsem-ac15"/>
        <s v="Hybsem-ac15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78" createdVersion="3">
  <cacheSource type="worksheet">
    <worksheetSource ref="A1:D479" sheet="anchor_raw_information"/>
  </cacheSource>
  <cacheFields count="4">
    <cacheField name="seq" numFmtId="0">
      <sharedItems containsSemiMixedTypes="0" containsString="0" containsNumber="1" containsInteger="1" minValue="0" maxValue="48" count="25">
        <n v="0"/>
        <n v="2"/>
        <n v="4"/>
        <n v="6"/>
        <n v="8"/>
        <n v="10"/>
        <n v="12"/>
        <n v="14"/>
        <n v="16"/>
        <n v="18"/>
        <n v="20"/>
        <n v="22"/>
        <n v="24"/>
        <n v="26"/>
        <n v="28"/>
        <n v="30"/>
        <n v="32"/>
        <n v="34"/>
        <n v="36"/>
        <n v="38"/>
        <n v="40"/>
        <n v="42"/>
        <n v="44"/>
        <n v="46"/>
        <n v="48"/>
      </sharedItems>
    </cacheField>
    <cacheField name="anchorName" numFmtId="0">
      <sharedItems count="11">
        <s v="affective_interface"/>
        <s v="context_dependent_expression"/>
        <s v="freedom_and_limitations"/>
        <s v="identity"/>
        <s v="imagination_and_possibility"/>
        <s v="mathematics_computer_science_engineering"/>
        <s v="practicality_and_feasibility"/>
        <s v="science"/>
        <s v="sovereignty"/>
        <s v="temporal_dynamics"/>
        <s v="truth_and_fact"/>
      </sharedItems>
    </cacheField>
    <cacheField name="weight" numFmtId="0">
      <sharedItems containsSemiMixedTypes="0" containsString="0" containsNumber="1" minValue="0.1" maxValue="0.9" count="320">
        <n v="0.1"/>
        <n v="0.148"/>
        <n v="0.1482"/>
        <n v="0.1484"/>
        <n v="0.1518"/>
        <n v="0.1523"/>
        <n v="0.1525"/>
        <n v="0.1526"/>
        <n v="0.1527"/>
        <n v="0.1528"/>
        <n v="0.1531"/>
        <n v="0.1532"/>
        <n v="0.1533"/>
        <n v="0.1536"/>
        <n v="0.1537"/>
        <n v="0.1538"/>
        <n v="0.154"/>
        <n v="0.1548"/>
        <n v="0.1551"/>
        <n v="0.1552"/>
        <n v="0.1554"/>
        <n v="0.1555"/>
        <n v="0.1556"/>
        <n v="0.1559"/>
        <n v="0.1561"/>
        <n v="0.1567"/>
        <n v="0.1571"/>
        <n v="0.1573"/>
        <n v="0.1574"/>
        <n v="0.1576"/>
        <n v="0.1577"/>
        <n v="0.1578"/>
        <n v="0.1579"/>
        <n v="0.158"/>
        <n v="0.1581"/>
        <n v="0.1586"/>
        <n v="0.1587"/>
        <n v="0.159"/>
        <n v="0.1592"/>
        <n v="0.1596"/>
        <n v="0.1597"/>
        <n v="0.1598"/>
        <n v="0.16"/>
        <n v="0.1602"/>
        <n v="0.1605"/>
        <n v="0.1606"/>
        <n v="0.1607"/>
        <n v="0.1611"/>
        <n v="0.1612"/>
        <n v="0.1613"/>
        <n v="0.1615"/>
        <n v="0.1618"/>
        <n v="0.1619"/>
        <n v="0.162"/>
        <n v="0.1621"/>
        <n v="0.1622"/>
        <n v="0.1624"/>
        <n v="0.1625"/>
        <n v="0.1628"/>
        <n v="0.1629"/>
        <n v="0.163"/>
        <n v="0.1631"/>
        <n v="0.1632"/>
        <n v="0.1634"/>
        <n v="0.1635"/>
        <n v="0.1639"/>
        <n v="0.164"/>
        <n v="0.1641"/>
        <n v="0.1642"/>
        <n v="0.1643"/>
        <n v="0.1645"/>
        <n v="0.1646"/>
        <n v="0.1649"/>
        <n v="0.165"/>
        <n v="0.1651"/>
        <n v="0.1653"/>
        <n v="0.1655"/>
        <n v="0.1656"/>
        <n v="0.1657"/>
        <n v="0.166"/>
        <n v="0.1661"/>
        <n v="0.1663"/>
        <n v="0.1664"/>
        <n v="0.1665"/>
        <n v="0.1666"/>
        <n v="0.1667"/>
        <n v="0.1668"/>
        <n v="0.167"/>
        <n v="0.1671"/>
        <n v="0.1673"/>
        <n v="0.1674"/>
        <n v="0.1676"/>
        <n v="0.168"/>
        <n v="0.1681"/>
        <n v="0.1684"/>
        <n v="0.1685"/>
        <n v="0.1689"/>
        <n v="0.169"/>
        <n v="0.1691"/>
        <n v="0.1692"/>
        <n v="0.1693"/>
        <n v="0.1694"/>
        <n v="0.1696"/>
        <n v="0.1699"/>
        <n v="0.17"/>
        <n v="0.1701"/>
        <n v="0.1702"/>
        <n v="0.1703"/>
        <n v="0.1705"/>
        <n v="0.1706"/>
        <n v="0.1707"/>
        <n v="0.1711"/>
        <n v="0.1712"/>
        <n v="0.1713"/>
        <n v="0.1714"/>
        <n v="0.1717"/>
        <n v="0.172"/>
        <n v="0.1721"/>
        <n v="0.1722"/>
        <n v="0.1724"/>
        <n v="0.1726"/>
        <n v="0.1727"/>
        <n v="0.1728"/>
        <n v="0.1729"/>
        <n v="0.173"/>
        <n v="0.1731"/>
        <n v="0.1733"/>
        <n v="0.1736"/>
        <n v="0.1737"/>
        <n v="0.1738"/>
        <n v="0.1739"/>
        <n v="0.174"/>
        <n v="0.1741"/>
        <n v="0.1742"/>
        <n v="0.1745"/>
        <n v="0.1746"/>
        <n v="0.1749"/>
        <n v="0.1751"/>
        <n v="0.1754"/>
        <n v="0.1755"/>
        <n v="0.1757"/>
        <n v="0.1758"/>
        <n v="0.176"/>
        <n v="0.1761"/>
        <n v="0.1762"/>
        <n v="0.1764"/>
        <n v="0.1766"/>
        <n v="0.1769"/>
        <n v="0.1771"/>
        <n v="0.1772"/>
        <n v="0.1773"/>
        <n v="0.1778"/>
        <n v="0.1781"/>
        <n v="0.1782"/>
        <n v="0.1784"/>
        <n v="0.1785"/>
        <n v="0.1789"/>
        <n v="0.179"/>
        <n v="0.1791"/>
        <n v="0.1794"/>
        <n v="0.1798"/>
        <n v="0.1799"/>
        <n v="0.1803"/>
        <n v="0.1806"/>
        <n v="0.1808"/>
        <n v="0.181"/>
        <n v="0.1811"/>
        <n v="0.1813"/>
        <n v="0.1816"/>
        <n v="0.182"/>
        <n v="0.1823"/>
        <n v="0.1824"/>
        <n v="0.1829"/>
        <n v="0.183"/>
        <n v="0.1831"/>
        <n v="0.1832"/>
        <n v="0.1833"/>
        <n v="0.1834"/>
        <n v="0.1835"/>
        <n v="0.1838"/>
        <n v="0.1843"/>
        <n v="0.1844"/>
        <n v="0.1846"/>
        <n v="0.185"/>
        <n v="0.1852"/>
        <n v="0.1854"/>
        <n v="0.1855"/>
        <n v="0.1858"/>
        <n v="0.1859"/>
        <n v="0.186"/>
        <n v="0.1861"/>
        <n v="0.1864"/>
        <n v="0.1865"/>
        <n v="0.1867"/>
        <n v="0.1868"/>
        <n v="0.1869"/>
        <n v="0.1872"/>
        <n v="0.1873"/>
        <n v="0.1875"/>
        <n v="0.1876"/>
        <n v="0.1877"/>
        <n v="0.1878"/>
        <n v="0.188"/>
        <n v="0.1881"/>
        <n v="0.1882"/>
        <n v="0.1884"/>
        <n v="0.1887"/>
        <n v="0.1897"/>
        <n v="0.1903"/>
        <n v="0.1908"/>
        <n v="0.1909"/>
        <n v="0.1911"/>
        <n v="0.1912"/>
        <n v="0.1913"/>
        <n v="0.1914"/>
        <n v="0.1916"/>
        <n v="0.1921"/>
        <n v="0.1922"/>
        <n v="0.1924"/>
        <n v="0.1925"/>
        <n v="0.1928"/>
        <n v="0.1933"/>
        <n v="0.1939"/>
        <n v="0.194"/>
        <n v="0.1941"/>
        <n v="0.1942"/>
        <n v="0.1947"/>
        <n v="0.195"/>
        <n v="0.1952"/>
        <n v="0.1957"/>
        <n v="0.196"/>
        <n v="0.1963"/>
        <n v="0.1964"/>
        <n v="0.1967"/>
        <n v="0.197"/>
        <n v="0.1972"/>
        <n v="0.1977"/>
        <n v="0.1979"/>
        <n v="0.198"/>
        <n v="0.1989"/>
        <n v="0.1998"/>
        <n v="0.2009"/>
        <n v="0.2012"/>
        <n v="0.2022"/>
        <n v="0.203"/>
        <n v="0.2031"/>
        <n v="0.2032"/>
        <n v="0.2036"/>
        <n v="0.2038"/>
        <n v="0.2044"/>
        <n v="0.2047"/>
        <n v="0.2059"/>
        <n v="0.2075"/>
        <n v="0.2077"/>
        <n v="0.2079"/>
        <n v="0.2081"/>
        <n v="0.2087"/>
        <n v="0.2088"/>
        <n v="0.2092"/>
        <n v="0.2094"/>
        <n v="0.2095"/>
        <n v="0.2101"/>
        <n v="0.2105"/>
        <n v="0.2107"/>
        <n v="0.2115"/>
        <n v="0.2119"/>
        <n v="0.2125"/>
        <n v="0.213"/>
        <n v="0.2159"/>
        <n v="0.2163"/>
        <n v="0.2168"/>
        <n v="0.2183"/>
        <n v="0.2197"/>
        <n v="0.2204"/>
        <n v="0.2205"/>
        <n v="0.2208"/>
        <n v="0.2237"/>
        <n v="0.2246"/>
        <n v="0.2263"/>
        <n v="0.2274"/>
        <n v="0.2281"/>
        <n v="0.2294"/>
        <n v="0.2312"/>
        <n v="0.2321"/>
        <n v="0.233"/>
        <n v="0.2339"/>
        <n v="0.2356"/>
        <n v="0.2384"/>
        <n v="0.2385"/>
        <n v="0.2397"/>
        <n v="0.245"/>
        <n v="0.2462"/>
        <n v="0.2505"/>
        <n v="0.2524"/>
        <n v="0.2542"/>
        <n v="0.2563"/>
        <n v="0.2782"/>
        <n v="0.281"/>
        <n v="0.2849"/>
        <n v="0.2856"/>
        <n v="0.2882"/>
        <n v="0.2994"/>
        <n v="0.3021"/>
        <n v="0.3097"/>
        <n v="0.315"/>
        <n v="0.3171"/>
        <n v="0.331"/>
        <n v="0.3369"/>
        <n v="0.3519"/>
        <n v="0.4227"/>
        <n v="0.4291"/>
        <n v="0.4423"/>
        <n v="0.4424"/>
        <n v="0.444"/>
        <n v="0.456"/>
        <n v="0.4576"/>
        <n v="0.4577"/>
        <n v="0.4709"/>
        <n v="0.4773"/>
        <n v="0.9"/>
      </sharedItems>
    </cacheField>
    <cacheField name="projectName" numFmtId="0">
      <sharedItems count="4">
        <s v="ac15-plain"/>
        <s v="hybrid_v3_5"/>
        <s v="hybrid_v3_5_semantic"/>
        <s v="test_ac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11"/>
    <x v="29"/>
    <x v="4"/>
  </r>
  <r>
    <x v="11"/>
    <x v="28"/>
    <x v="3"/>
  </r>
  <r>
    <x v="0"/>
    <x v="27"/>
    <x v="1"/>
  </r>
  <r>
    <x v="6"/>
    <x v="26"/>
    <x v="3"/>
  </r>
  <r>
    <x v="14"/>
    <x v="25"/>
    <x v="0"/>
  </r>
  <r>
    <x v="13"/>
    <x v="24"/>
    <x v="5"/>
  </r>
  <r>
    <x v="12"/>
    <x v="23"/>
    <x v="0"/>
  </r>
  <r>
    <x v="8"/>
    <x v="22"/>
    <x v="2"/>
  </r>
  <r>
    <x v="5"/>
    <x v="21"/>
    <x v="2"/>
  </r>
  <r>
    <x v="5"/>
    <x v="20"/>
    <x v="5"/>
  </r>
  <r>
    <x v="12"/>
    <x v="19"/>
    <x v="5"/>
  </r>
  <r>
    <x v="4"/>
    <x v="18"/>
    <x v="2"/>
  </r>
  <r>
    <x v="5"/>
    <x v="17"/>
    <x v="0"/>
  </r>
  <r>
    <x v="4"/>
    <x v="16"/>
    <x v="5"/>
  </r>
  <r>
    <x v="0"/>
    <x v="15"/>
    <x v="4"/>
  </r>
  <r>
    <x v="9"/>
    <x v="14"/>
    <x v="4"/>
  </r>
  <r>
    <x v="7"/>
    <x v="13"/>
    <x v="3"/>
  </r>
  <r>
    <x v="15"/>
    <x v="12"/>
    <x v="4"/>
  </r>
  <r>
    <x v="10"/>
    <x v="11"/>
    <x v="1"/>
  </r>
  <r>
    <x v="7"/>
    <x v="10"/>
    <x v="1"/>
  </r>
  <r>
    <x v="9"/>
    <x v="9"/>
    <x v="0"/>
  </r>
  <r>
    <x v="14"/>
    <x v="8"/>
    <x v="2"/>
  </r>
  <r>
    <x v="8"/>
    <x v="7"/>
    <x v="1"/>
  </r>
  <r>
    <x v="11"/>
    <x v="6"/>
    <x v="0"/>
  </r>
  <r>
    <x v="14"/>
    <x v="5"/>
    <x v="4"/>
  </r>
  <r>
    <x v="3"/>
    <x v="4"/>
    <x v="2"/>
  </r>
  <r>
    <x v="11"/>
    <x v="3"/>
    <x v="5"/>
  </r>
  <r>
    <x v="2"/>
    <x v="2"/>
    <x v="1"/>
  </r>
  <r>
    <x v="6"/>
    <x v="1"/>
    <x v="4"/>
  </r>
  <r>
    <x v="1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78">
  <r>
    <x v="0"/>
    <x v="10"/>
    <x v="0"/>
    <x v="0"/>
  </r>
  <r>
    <x v="1"/>
    <x v="1"/>
    <x v="303"/>
    <x v="0"/>
  </r>
  <r>
    <x v="1"/>
    <x v="6"/>
    <x v="302"/>
    <x v="0"/>
  </r>
  <r>
    <x v="1"/>
    <x v="9"/>
    <x v="300"/>
    <x v="0"/>
  </r>
  <r>
    <x v="1"/>
    <x v="10"/>
    <x v="0"/>
    <x v="0"/>
  </r>
  <r>
    <x v="2"/>
    <x v="6"/>
    <x v="255"/>
    <x v="0"/>
  </r>
  <r>
    <x v="2"/>
    <x v="8"/>
    <x v="203"/>
    <x v="0"/>
  </r>
  <r>
    <x v="2"/>
    <x v="9"/>
    <x v="155"/>
    <x v="0"/>
  </r>
  <r>
    <x v="2"/>
    <x v="1"/>
    <x v="66"/>
    <x v="0"/>
  </r>
  <r>
    <x v="2"/>
    <x v="2"/>
    <x v="49"/>
    <x v="0"/>
  </r>
  <r>
    <x v="2"/>
    <x v="10"/>
    <x v="0"/>
    <x v="0"/>
  </r>
  <r>
    <x v="3"/>
    <x v="6"/>
    <x v="319"/>
    <x v="0"/>
  </r>
  <r>
    <x v="3"/>
    <x v="10"/>
    <x v="0"/>
    <x v="0"/>
  </r>
  <r>
    <x v="4"/>
    <x v="6"/>
    <x v="278"/>
    <x v="0"/>
  </r>
  <r>
    <x v="4"/>
    <x v="8"/>
    <x v="171"/>
    <x v="0"/>
  </r>
  <r>
    <x v="4"/>
    <x v="9"/>
    <x v="129"/>
    <x v="0"/>
  </r>
  <r>
    <x v="4"/>
    <x v="4"/>
    <x v="54"/>
    <x v="0"/>
  </r>
  <r>
    <x v="4"/>
    <x v="0"/>
    <x v="20"/>
    <x v="0"/>
  </r>
  <r>
    <x v="4"/>
    <x v="10"/>
    <x v="0"/>
    <x v="0"/>
  </r>
  <r>
    <x v="5"/>
    <x v="8"/>
    <x v="319"/>
    <x v="0"/>
  </r>
  <r>
    <x v="5"/>
    <x v="10"/>
    <x v="0"/>
    <x v="0"/>
  </r>
  <r>
    <x v="6"/>
    <x v="8"/>
    <x v="252"/>
    <x v="0"/>
  </r>
  <r>
    <x v="6"/>
    <x v="6"/>
    <x v="202"/>
    <x v="0"/>
  </r>
  <r>
    <x v="6"/>
    <x v="0"/>
    <x v="106"/>
    <x v="0"/>
  </r>
  <r>
    <x v="6"/>
    <x v="1"/>
    <x v="100"/>
    <x v="0"/>
  </r>
  <r>
    <x v="6"/>
    <x v="9"/>
    <x v="73"/>
    <x v="0"/>
  </r>
  <r>
    <x v="6"/>
    <x v="10"/>
    <x v="0"/>
    <x v="0"/>
  </r>
  <r>
    <x v="7"/>
    <x v="6"/>
    <x v="180"/>
    <x v="0"/>
  </r>
  <r>
    <x v="7"/>
    <x v="8"/>
    <x v="152"/>
    <x v="0"/>
  </r>
  <r>
    <x v="7"/>
    <x v="2"/>
    <x v="90"/>
    <x v="0"/>
  </r>
  <r>
    <x v="7"/>
    <x v="0"/>
    <x v="81"/>
    <x v="0"/>
  </r>
  <r>
    <x v="7"/>
    <x v="10"/>
    <x v="23"/>
    <x v="0"/>
  </r>
  <r>
    <x v="7"/>
    <x v="4"/>
    <x v="1"/>
    <x v="0"/>
  </r>
  <r>
    <x v="8"/>
    <x v="10"/>
    <x v="0"/>
    <x v="0"/>
  </r>
  <r>
    <x v="9"/>
    <x v="6"/>
    <x v="230"/>
    <x v="0"/>
  </r>
  <r>
    <x v="9"/>
    <x v="8"/>
    <x v="163"/>
    <x v="0"/>
  </r>
  <r>
    <x v="9"/>
    <x v="5"/>
    <x v="32"/>
    <x v="0"/>
  </r>
  <r>
    <x v="9"/>
    <x v="0"/>
    <x v="27"/>
    <x v="0"/>
  </r>
  <r>
    <x v="9"/>
    <x v="10"/>
    <x v="21"/>
    <x v="0"/>
  </r>
  <r>
    <x v="9"/>
    <x v="1"/>
    <x v="7"/>
    <x v="0"/>
  </r>
  <r>
    <x v="10"/>
    <x v="6"/>
    <x v="219"/>
    <x v="0"/>
  </r>
  <r>
    <x v="10"/>
    <x v="8"/>
    <x v="216"/>
    <x v="0"/>
  </r>
  <r>
    <x v="10"/>
    <x v="0"/>
    <x v="166"/>
    <x v="0"/>
  </r>
  <r>
    <x v="10"/>
    <x v="2"/>
    <x v="130"/>
    <x v="0"/>
  </r>
  <r>
    <x v="10"/>
    <x v="9"/>
    <x v="44"/>
    <x v="0"/>
  </r>
  <r>
    <x v="10"/>
    <x v="10"/>
    <x v="0"/>
    <x v="0"/>
  </r>
  <r>
    <x v="11"/>
    <x v="0"/>
    <x v="233"/>
    <x v="0"/>
  </r>
  <r>
    <x v="11"/>
    <x v="8"/>
    <x v="113"/>
    <x v="0"/>
  </r>
  <r>
    <x v="11"/>
    <x v="10"/>
    <x v="78"/>
    <x v="0"/>
  </r>
  <r>
    <x v="11"/>
    <x v="6"/>
    <x v="25"/>
    <x v="0"/>
  </r>
  <r>
    <x v="11"/>
    <x v="2"/>
    <x v="22"/>
    <x v="0"/>
  </r>
  <r>
    <x v="11"/>
    <x v="3"/>
    <x v="16"/>
    <x v="0"/>
  </r>
  <r>
    <x v="12"/>
    <x v="0"/>
    <x v="228"/>
    <x v="0"/>
  </r>
  <r>
    <x v="12"/>
    <x v="8"/>
    <x v="215"/>
    <x v="0"/>
  </r>
  <r>
    <x v="12"/>
    <x v="2"/>
    <x v="133"/>
    <x v="0"/>
  </r>
  <r>
    <x v="12"/>
    <x v="1"/>
    <x v="115"/>
    <x v="0"/>
  </r>
  <r>
    <x v="12"/>
    <x v="6"/>
    <x v="89"/>
    <x v="0"/>
  </r>
  <r>
    <x v="12"/>
    <x v="10"/>
    <x v="0"/>
    <x v="0"/>
  </r>
  <r>
    <x v="13"/>
    <x v="6"/>
    <x v="239"/>
    <x v="0"/>
  </r>
  <r>
    <x v="13"/>
    <x v="8"/>
    <x v="198"/>
    <x v="0"/>
  </r>
  <r>
    <x v="13"/>
    <x v="9"/>
    <x v="141"/>
    <x v="0"/>
  </r>
  <r>
    <x v="13"/>
    <x v="1"/>
    <x v="126"/>
    <x v="0"/>
  </r>
  <r>
    <x v="13"/>
    <x v="2"/>
    <x v="70"/>
    <x v="0"/>
  </r>
  <r>
    <x v="13"/>
    <x v="10"/>
    <x v="0"/>
    <x v="0"/>
  </r>
  <r>
    <x v="14"/>
    <x v="6"/>
    <x v="264"/>
    <x v="0"/>
  </r>
  <r>
    <x v="14"/>
    <x v="9"/>
    <x v="185"/>
    <x v="0"/>
  </r>
  <r>
    <x v="14"/>
    <x v="8"/>
    <x v="167"/>
    <x v="0"/>
  </r>
  <r>
    <x v="14"/>
    <x v="2"/>
    <x v="74"/>
    <x v="0"/>
  </r>
  <r>
    <x v="14"/>
    <x v="0"/>
    <x v="25"/>
    <x v="0"/>
  </r>
  <r>
    <x v="14"/>
    <x v="10"/>
    <x v="0"/>
    <x v="0"/>
  </r>
  <r>
    <x v="15"/>
    <x v="6"/>
    <x v="277"/>
    <x v="0"/>
  </r>
  <r>
    <x v="15"/>
    <x v="8"/>
    <x v="197"/>
    <x v="0"/>
  </r>
  <r>
    <x v="15"/>
    <x v="9"/>
    <x v="83"/>
    <x v="0"/>
  </r>
  <r>
    <x v="15"/>
    <x v="2"/>
    <x v="76"/>
    <x v="0"/>
  </r>
  <r>
    <x v="15"/>
    <x v="4"/>
    <x v="24"/>
    <x v="0"/>
  </r>
  <r>
    <x v="15"/>
    <x v="10"/>
    <x v="0"/>
    <x v="0"/>
  </r>
  <r>
    <x v="16"/>
    <x v="8"/>
    <x v="244"/>
    <x v="0"/>
  </r>
  <r>
    <x v="16"/>
    <x v="6"/>
    <x v="224"/>
    <x v="0"/>
  </r>
  <r>
    <x v="16"/>
    <x v="2"/>
    <x v="169"/>
    <x v="0"/>
  </r>
  <r>
    <x v="16"/>
    <x v="0"/>
    <x v="46"/>
    <x v="0"/>
  </r>
  <r>
    <x v="16"/>
    <x v="3"/>
    <x v="43"/>
    <x v="0"/>
  </r>
  <r>
    <x v="16"/>
    <x v="10"/>
    <x v="0"/>
    <x v="0"/>
  </r>
  <r>
    <x v="17"/>
    <x v="8"/>
    <x v="225"/>
    <x v="0"/>
  </r>
  <r>
    <x v="17"/>
    <x v="6"/>
    <x v="210"/>
    <x v="0"/>
  </r>
  <r>
    <x v="17"/>
    <x v="2"/>
    <x v="201"/>
    <x v="0"/>
  </r>
  <r>
    <x v="17"/>
    <x v="0"/>
    <x v="83"/>
    <x v="0"/>
  </r>
  <r>
    <x v="17"/>
    <x v="5"/>
    <x v="45"/>
    <x v="0"/>
  </r>
  <r>
    <x v="17"/>
    <x v="10"/>
    <x v="0"/>
    <x v="0"/>
  </r>
  <r>
    <x v="18"/>
    <x v="6"/>
    <x v="238"/>
    <x v="0"/>
  </r>
  <r>
    <x v="18"/>
    <x v="9"/>
    <x v="212"/>
    <x v="0"/>
  </r>
  <r>
    <x v="18"/>
    <x v="8"/>
    <x v="119"/>
    <x v="0"/>
  </r>
  <r>
    <x v="18"/>
    <x v="1"/>
    <x v="99"/>
    <x v="0"/>
  </r>
  <r>
    <x v="18"/>
    <x v="7"/>
    <x v="99"/>
    <x v="0"/>
  </r>
  <r>
    <x v="18"/>
    <x v="10"/>
    <x v="0"/>
    <x v="0"/>
  </r>
  <r>
    <x v="19"/>
    <x v="9"/>
    <x v="308"/>
    <x v="0"/>
  </r>
  <r>
    <x v="19"/>
    <x v="6"/>
    <x v="306"/>
    <x v="0"/>
  </r>
  <r>
    <x v="19"/>
    <x v="10"/>
    <x v="305"/>
    <x v="0"/>
  </r>
  <r>
    <x v="20"/>
    <x v="6"/>
    <x v="315"/>
    <x v="0"/>
  </r>
  <r>
    <x v="20"/>
    <x v="9"/>
    <x v="312"/>
    <x v="0"/>
  </r>
  <r>
    <x v="20"/>
    <x v="10"/>
    <x v="0"/>
    <x v="0"/>
  </r>
  <r>
    <x v="21"/>
    <x v="6"/>
    <x v="207"/>
    <x v="0"/>
  </r>
  <r>
    <x v="21"/>
    <x v="8"/>
    <x v="110"/>
    <x v="0"/>
  </r>
  <r>
    <x v="21"/>
    <x v="0"/>
    <x v="53"/>
    <x v="0"/>
  </r>
  <r>
    <x v="21"/>
    <x v="9"/>
    <x v="52"/>
    <x v="0"/>
  </r>
  <r>
    <x v="21"/>
    <x v="1"/>
    <x v="35"/>
    <x v="0"/>
  </r>
  <r>
    <x v="21"/>
    <x v="10"/>
    <x v="26"/>
    <x v="0"/>
  </r>
  <r>
    <x v="22"/>
    <x v="6"/>
    <x v="267"/>
    <x v="0"/>
  </r>
  <r>
    <x v="22"/>
    <x v="8"/>
    <x v="196"/>
    <x v="0"/>
  </r>
  <r>
    <x v="22"/>
    <x v="1"/>
    <x v="93"/>
    <x v="0"/>
  </r>
  <r>
    <x v="22"/>
    <x v="2"/>
    <x v="86"/>
    <x v="0"/>
  </r>
  <r>
    <x v="22"/>
    <x v="5"/>
    <x v="72"/>
    <x v="0"/>
  </r>
  <r>
    <x v="22"/>
    <x v="10"/>
    <x v="0"/>
    <x v="0"/>
  </r>
  <r>
    <x v="23"/>
    <x v="6"/>
    <x v="259"/>
    <x v="0"/>
  </r>
  <r>
    <x v="23"/>
    <x v="8"/>
    <x v="214"/>
    <x v="0"/>
  </r>
  <r>
    <x v="23"/>
    <x v="9"/>
    <x v="145"/>
    <x v="0"/>
  </r>
  <r>
    <x v="23"/>
    <x v="0"/>
    <x v="106"/>
    <x v="0"/>
  </r>
  <r>
    <x v="23"/>
    <x v="2"/>
    <x v="7"/>
    <x v="0"/>
  </r>
  <r>
    <x v="23"/>
    <x v="10"/>
    <x v="0"/>
    <x v="0"/>
  </r>
  <r>
    <x v="24"/>
    <x v="6"/>
    <x v="226"/>
    <x v="0"/>
  </r>
  <r>
    <x v="24"/>
    <x v="8"/>
    <x v="218"/>
    <x v="0"/>
  </r>
  <r>
    <x v="24"/>
    <x v="2"/>
    <x v="134"/>
    <x v="0"/>
  </r>
  <r>
    <x v="24"/>
    <x v="9"/>
    <x v="122"/>
    <x v="0"/>
  </r>
  <r>
    <x v="24"/>
    <x v="0"/>
    <x v="78"/>
    <x v="0"/>
  </r>
  <r>
    <x v="24"/>
    <x v="10"/>
    <x v="0"/>
    <x v="0"/>
  </r>
  <r>
    <x v="0"/>
    <x v="10"/>
    <x v="0"/>
    <x v="1"/>
  </r>
  <r>
    <x v="1"/>
    <x v="10"/>
    <x v="0"/>
    <x v="1"/>
  </r>
  <r>
    <x v="2"/>
    <x v="6"/>
    <x v="234"/>
    <x v="1"/>
  </r>
  <r>
    <x v="2"/>
    <x v="4"/>
    <x v="155"/>
    <x v="1"/>
  </r>
  <r>
    <x v="2"/>
    <x v="1"/>
    <x v="143"/>
    <x v="1"/>
  </r>
  <r>
    <x v="2"/>
    <x v="5"/>
    <x v="137"/>
    <x v="1"/>
  </r>
  <r>
    <x v="2"/>
    <x v="2"/>
    <x v="126"/>
    <x v="1"/>
  </r>
  <r>
    <x v="2"/>
    <x v="10"/>
    <x v="0"/>
    <x v="1"/>
  </r>
  <r>
    <x v="3"/>
    <x v="10"/>
    <x v="0"/>
    <x v="1"/>
  </r>
  <r>
    <x v="4"/>
    <x v="6"/>
    <x v="249"/>
    <x v="1"/>
  </r>
  <r>
    <x v="4"/>
    <x v="2"/>
    <x v="65"/>
    <x v="1"/>
  </r>
  <r>
    <x v="4"/>
    <x v="4"/>
    <x v="60"/>
    <x v="1"/>
  </r>
  <r>
    <x v="4"/>
    <x v="0"/>
    <x v="44"/>
    <x v="1"/>
  </r>
  <r>
    <x v="4"/>
    <x v="9"/>
    <x v="22"/>
    <x v="1"/>
  </r>
  <r>
    <x v="4"/>
    <x v="10"/>
    <x v="6"/>
    <x v="1"/>
  </r>
  <r>
    <x v="5"/>
    <x v="6"/>
    <x v="319"/>
    <x v="1"/>
  </r>
  <r>
    <x v="5"/>
    <x v="10"/>
    <x v="0"/>
    <x v="1"/>
  </r>
  <r>
    <x v="6"/>
    <x v="0"/>
    <x v="304"/>
    <x v="1"/>
  </r>
  <r>
    <x v="6"/>
    <x v="8"/>
    <x v="301"/>
    <x v="1"/>
  </r>
  <r>
    <x v="6"/>
    <x v="6"/>
    <x v="299"/>
    <x v="1"/>
  </r>
  <r>
    <x v="6"/>
    <x v="10"/>
    <x v="0"/>
    <x v="1"/>
  </r>
  <r>
    <x v="7"/>
    <x v="0"/>
    <x v="289"/>
    <x v="1"/>
  </r>
  <r>
    <x v="7"/>
    <x v="8"/>
    <x v="282"/>
    <x v="1"/>
  </r>
  <r>
    <x v="7"/>
    <x v="6"/>
    <x v="273"/>
    <x v="1"/>
  </r>
  <r>
    <x v="7"/>
    <x v="3"/>
    <x v="256"/>
    <x v="1"/>
  </r>
  <r>
    <x v="7"/>
    <x v="10"/>
    <x v="0"/>
    <x v="1"/>
  </r>
  <r>
    <x v="8"/>
    <x v="10"/>
    <x v="0"/>
    <x v="1"/>
  </r>
  <r>
    <x v="9"/>
    <x v="6"/>
    <x v="253"/>
    <x v="1"/>
  </r>
  <r>
    <x v="9"/>
    <x v="0"/>
    <x v="105"/>
    <x v="1"/>
  </r>
  <r>
    <x v="9"/>
    <x v="5"/>
    <x v="41"/>
    <x v="1"/>
  </r>
  <r>
    <x v="9"/>
    <x v="10"/>
    <x v="28"/>
    <x v="1"/>
  </r>
  <r>
    <x v="9"/>
    <x v="8"/>
    <x v="9"/>
    <x v="1"/>
  </r>
  <r>
    <x v="9"/>
    <x v="2"/>
    <x v="5"/>
    <x v="1"/>
  </r>
  <r>
    <x v="10"/>
    <x v="6"/>
    <x v="293"/>
    <x v="1"/>
  </r>
  <r>
    <x v="10"/>
    <x v="0"/>
    <x v="285"/>
    <x v="1"/>
  </r>
  <r>
    <x v="10"/>
    <x v="2"/>
    <x v="266"/>
    <x v="1"/>
  </r>
  <r>
    <x v="10"/>
    <x v="8"/>
    <x v="242"/>
    <x v="1"/>
  </r>
  <r>
    <x v="10"/>
    <x v="10"/>
    <x v="0"/>
    <x v="1"/>
  </r>
  <r>
    <x v="11"/>
    <x v="0"/>
    <x v="291"/>
    <x v="1"/>
  </r>
  <r>
    <x v="11"/>
    <x v="10"/>
    <x v="219"/>
    <x v="1"/>
  </r>
  <r>
    <x v="11"/>
    <x v="8"/>
    <x v="217"/>
    <x v="1"/>
  </r>
  <r>
    <x v="11"/>
    <x v="6"/>
    <x v="186"/>
    <x v="1"/>
  </r>
  <r>
    <x v="11"/>
    <x v="5"/>
    <x v="178"/>
    <x v="1"/>
  </r>
  <r>
    <x v="12"/>
    <x v="0"/>
    <x v="243"/>
    <x v="1"/>
  </r>
  <r>
    <x v="12"/>
    <x v="8"/>
    <x v="190"/>
    <x v="1"/>
  </r>
  <r>
    <x v="12"/>
    <x v="6"/>
    <x v="139"/>
    <x v="1"/>
  </r>
  <r>
    <x v="12"/>
    <x v="1"/>
    <x v="116"/>
    <x v="1"/>
  </r>
  <r>
    <x v="12"/>
    <x v="3"/>
    <x v="68"/>
    <x v="1"/>
  </r>
  <r>
    <x v="12"/>
    <x v="10"/>
    <x v="0"/>
    <x v="1"/>
  </r>
  <r>
    <x v="13"/>
    <x v="6"/>
    <x v="295"/>
    <x v="1"/>
  </r>
  <r>
    <x v="13"/>
    <x v="9"/>
    <x v="281"/>
    <x v="1"/>
  </r>
  <r>
    <x v="13"/>
    <x v="1"/>
    <x v="263"/>
    <x v="1"/>
  </r>
  <r>
    <x v="13"/>
    <x v="5"/>
    <x v="247"/>
    <x v="1"/>
  </r>
  <r>
    <x v="13"/>
    <x v="10"/>
    <x v="0"/>
    <x v="1"/>
  </r>
  <r>
    <x v="14"/>
    <x v="6"/>
    <x v="284"/>
    <x v="1"/>
  </r>
  <r>
    <x v="14"/>
    <x v="2"/>
    <x v="103"/>
    <x v="1"/>
  </r>
  <r>
    <x v="14"/>
    <x v="9"/>
    <x v="96"/>
    <x v="1"/>
  </r>
  <r>
    <x v="14"/>
    <x v="5"/>
    <x v="85"/>
    <x v="1"/>
  </r>
  <r>
    <x v="14"/>
    <x v="8"/>
    <x v="50"/>
    <x v="1"/>
  </r>
  <r>
    <x v="14"/>
    <x v="10"/>
    <x v="0"/>
    <x v="1"/>
  </r>
  <r>
    <x v="15"/>
    <x v="6"/>
    <x v="283"/>
    <x v="1"/>
  </r>
  <r>
    <x v="15"/>
    <x v="2"/>
    <x v="175"/>
    <x v="1"/>
  </r>
  <r>
    <x v="15"/>
    <x v="0"/>
    <x v="85"/>
    <x v="1"/>
  </r>
  <r>
    <x v="15"/>
    <x v="9"/>
    <x v="43"/>
    <x v="1"/>
  </r>
  <r>
    <x v="15"/>
    <x v="5"/>
    <x v="31"/>
    <x v="1"/>
  </r>
  <r>
    <x v="15"/>
    <x v="10"/>
    <x v="0"/>
    <x v="1"/>
  </r>
  <r>
    <x v="16"/>
    <x v="6"/>
    <x v="251"/>
    <x v="1"/>
  </r>
  <r>
    <x v="16"/>
    <x v="0"/>
    <x v="167"/>
    <x v="1"/>
  </r>
  <r>
    <x v="16"/>
    <x v="8"/>
    <x v="136"/>
    <x v="1"/>
  </r>
  <r>
    <x v="16"/>
    <x v="2"/>
    <x v="120"/>
    <x v="1"/>
  </r>
  <r>
    <x v="16"/>
    <x v="5"/>
    <x v="75"/>
    <x v="1"/>
  </r>
  <r>
    <x v="16"/>
    <x v="10"/>
    <x v="0"/>
    <x v="1"/>
  </r>
  <r>
    <x v="17"/>
    <x v="5"/>
    <x v="184"/>
    <x v="1"/>
  </r>
  <r>
    <x v="17"/>
    <x v="8"/>
    <x v="182"/>
    <x v="1"/>
  </r>
  <r>
    <x v="17"/>
    <x v="2"/>
    <x v="162"/>
    <x v="1"/>
  </r>
  <r>
    <x v="17"/>
    <x v="6"/>
    <x v="156"/>
    <x v="1"/>
  </r>
  <r>
    <x v="17"/>
    <x v="0"/>
    <x v="111"/>
    <x v="1"/>
  </r>
  <r>
    <x v="17"/>
    <x v="10"/>
    <x v="0"/>
    <x v="1"/>
  </r>
  <r>
    <x v="18"/>
    <x v="6"/>
    <x v="250"/>
    <x v="1"/>
  </r>
  <r>
    <x v="18"/>
    <x v="9"/>
    <x v="194"/>
    <x v="1"/>
  </r>
  <r>
    <x v="18"/>
    <x v="5"/>
    <x v="150"/>
    <x v="1"/>
  </r>
  <r>
    <x v="18"/>
    <x v="8"/>
    <x v="100"/>
    <x v="1"/>
  </r>
  <r>
    <x v="18"/>
    <x v="2"/>
    <x v="52"/>
    <x v="1"/>
  </r>
  <r>
    <x v="18"/>
    <x v="10"/>
    <x v="0"/>
    <x v="1"/>
  </r>
  <r>
    <x v="19"/>
    <x v="7"/>
    <x v="319"/>
    <x v="1"/>
  </r>
  <r>
    <x v="19"/>
    <x v="10"/>
    <x v="0"/>
    <x v="1"/>
  </r>
  <r>
    <x v="20"/>
    <x v="6"/>
    <x v="318"/>
    <x v="1"/>
  </r>
  <r>
    <x v="20"/>
    <x v="9"/>
    <x v="309"/>
    <x v="1"/>
  </r>
  <r>
    <x v="20"/>
    <x v="10"/>
    <x v="0"/>
    <x v="1"/>
  </r>
  <r>
    <x v="21"/>
    <x v="6"/>
    <x v="204"/>
    <x v="1"/>
  </r>
  <r>
    <x v="21"/>
    <x v="0"/>
    <x v="191"/>
    <x v="1"/>
  </r>
  <r>
    <x v="21"/>
    <x v="2"/>
    <x v="35"/>
    <x v="1"/>
  </r>
  <r>
    <x v="21"/>
    <x v="8"/>
    <x v="32"/>
    <x v="1"/>
  </r>
  <r>
    <x v="21"/>
    <x v="4"/>
    <x v="18"/>
    <x v="1"/>
  </r>
  <r>
    <x v="21"/>
    <x v="10"/>
    <x v="15"/>
    <x v="1"/>
  </r>
  <r>
    <x v="22"/>
    <x v="6"/>
    <x v="216"/>
    <x v="1"/>
  </r>
  <r>
    <x v="22"/>
    <x v="2"/>
    <x v="194"/>
    <x v="1"/>
  </r>
  <r>
    <x v="22"/>
    <x v="8"/>
    <x v="188"/>
    <x v="1"/>
  </r>
  <r>
    <x v="22"/>
    <x v="3"/>
    <x v="109"/>
    <x v="1"/>
  </r>
  <r>
    <x v="22"/>
    <x v="0"/>
    <x v="71"/>
    <x v="1"/>
  </r>
  <r>
    <x v="22"/>
    <x v="10"/>
    <x v="0"/>
    <x v="1"/>
  </r>
  <r>
    <x v="23"/>
    <x v="6"/>
    <x v="268"/>
    <x v="1"/>
  </r>
  <r>
    <x v="23"/>
    <x v="0"/>
    <x v="146"/>
    <x v="1"/>
  </r>
  <r>
    <x v="23"/>
    <x v="5"/>
    <x v="135"/>
    <x v="1"/>
  </r>
  <r>
    <x v="23"/>
    <x v="4"/>
    <x v="84"/>
    <x v="1"/>
  </r>
  <r>
    <x v="23"/>
    <x v="8"/>
    <x v="82"/>
    <x v="1"/>
  </r>
  <r>
    <x v="23"/>
    <x v="10"/>
    <x v="0"/>
    <x v="1"/>
  </r>
  <r>
    <x v="24"/>
    <x v="6"/>
    <x v="261"/>
    <x v="1"/>
  </r>
  <r>
    <x v="24"/>
    <x v="2"/>
    <x v="180"/>
    <x v="1"/>
  </r>
  <r>
    <x v="24"/>
    <x v="4"/>
    <x v="105"/>
    <x v="1"/>
  </r>
  <r>
    <x v="24"/>
    <x v="8"/>
    <x v="95"/>
    <x v="1"/>
  </r>
  <r>
    <x v="24"/>
    <x v="5"/>
    <x v="87"/>
    <x v="1"/>
  </r>
  <r>
    <x v="24"/>
    <x v="10"/>
    <x v="0"/>
    <x v="1"/>
  </r>
  <r>
    <x v="0"/>
    <x v="10"/>
    <x v="0"/>
    <x v="2"/>
  </r>
  <r>
    <x v="1"/>
    <x v="6"/>
    <x v="307"/>
    <x v="2"/>
  </r>
  <r>
    <x v="1"/>
    <x v="0"/>
    <x v="298"/>
    <x v="2"/>
  </r>
  <r>
    <x v="1"/>
    <x v="9"/>
    <x v="296"/>
    <x v="2"/>
  </r>
  <r>
    <x v="1"/>
    <x v="10"/>
    <x v="0"/>
    <x v="2"/>
  </r>
  <r>
    <x v="2"/>
    <x v="6"/>
    <x v="292"/>
    <x v="2"/>
  </r>
  <r>
    <x v="2"/>
    <x v="0"/>
    <x v="275"/>
    <x v="2"/>
  </r>
  <r>
    <x v="2"/>
    <x v="8"/>
    <x v="270"/>
    <x v="2"/>
  </r>
  <r>
    <x v="2"/>
    <x v="1"/>
    <x v="265"/>
    <x v="2"/>
  </r>
  <r>
    <x v="2"/>
    <x v="10"/>
    <x v="0"/>
    <x v="2"/>
  </r>
  <r>
    <x v="3"/>
    <x v="10"/>
    <x v="0"/>
    <x v="2"/>
  </r>
  <r>
    <x v="4"/>
    <x v="6"/>
    <x v="262"/>
    <x v="2"/>
  </r>
  <r>
    <x v="4"/>
    <x v="0"/>
    <x v="232"/>
    <x v="2"/>
  </r>
  <r>
    <x v="4"/>
    <x v="8"/>
    <x v="80"/>
    <x v="2"/>
  </r>
  <r>
    <x v="4"/>
    <x v="2"/>
    <x v="67"/>
    <x v="2"/>
  </r>
  <r>
    <x v="4"/>
    <x v="4"/>
    <x v="59"/>
    <x v="2"/>
  </r>
  <r>
    <x v="4"/>
    <x v="10"/>
    <x v="0"/>
    <x v="2"/>
  </r>
  <r>
    <x v="5"/>
    <x v="10"/>
    <x v="0"/>
    <x v="2"/>
  </r>
  <r>
    <x v="6"/>
    <x v="0"/>
    <x v="294"/>
    <x v="2"/>
  </r>
  <r>
    <x v="6"/>
    <x v="8"/>
    <x v="288"/>
    <x v="2"/>
  </r>
  <r>
    <x v="6"/>
    <x v="6"/>
    <x v="274"/>
    <x v="2"/>
  </r>
  <r>
    <x v="6"/>
    <x v="2"/>
    <x v="195"/>
    <x v="2"/>
  </r>
  <r>
    <x v="6"/>
    <x v="10"/>
    <x v="0"/>
    <x v="2"/>
  </r>
  <r>
    <x v="7"/>
    <x v="8"/>
    <x v="319"/>
    <x v="2"/>
  </r>
  <r>
    <x v="7"/>
    <x v="10"/>
    <x v="0"/>
    <x v="2"/>
  </r>
  <r>
    <x v="8"/>
    <x v="10"/>
    <x v="0"/>
    <x v="2"/>
  </r>
  <r>
    <x v="9"/>
    <x v="6"/>
    <x v="206"/>
    <x v="2"/>
  </r>
  <r>
    <x v="9"/>
    <x v="0"/>
    <x v="164"/>
    <x v="2"/>
  </r>
  <r>
    <x v="9"/>
    <x v="8"/>
    <x v="42"/>
    <x v="2"/>
  </r>
  <r>
    <x v="9"/>
    <x v="2"/>
    <x v="35"/>
    <x v="2"/>
  </r>
  <r>
    <x v="9"/>
    <x v="10"/>
    <x v="34"/>
    <x v="2"/>
  </r>
  <r>
    <x v="9"/>
    <x v="5"/>
    <x v="15"/>
    <x v="2"/>
  </r>
  <r>
    <x v="10"/>
    <x v="6"/>
    <x v="248"/>
    <x v="2"/>
  </r>
  <r>
    <x v="10"/>
    <x v="0"/>
    <x v="246"/>
    <x v="2"/>
  </r>
  <r>
    <x v="10"/>
    <x v="8"/>
    <x v="101"/>
    <x v="2"/>
  </r>
  <r>
    <x v="10"/>
    <x v="2"/>
    <x v="56"/>
    <x v="2"/>
  </r>
  <r>
    <x v="10"/>
    <x v="5"/>
    <x v="48"/>
    <x v="2"/>
  </r>
  <r>
    <x v="10"/>
    <x v="10"/>
    <x v="0"/>
    <x v="2"/>
  </r>
  <r>
    <x v="11"/>
    <x v="0"/>
    <x v="236"/>
    <x v="2"/>
  </r>
  <r>
    <x v="11"/>
    <x v="10"/>
    <x v="144"/>
    <x v="2"/>
  </r>
  <r>
    <x v="11"/>
    <x v="6"/>
    <x v="44"/>
    <x v="2"/>
  </r>
  <r>
    <x v="11"/>
    <x v="2"/>
    <x v="36"/>
    <x v="2"/>
  </r>
  <r>
    <x v="11"/>
    <x v="8"/>
    <x v="14"/>
    <x v="2"/>
  </r>
  <r>
    <x v="11"/>
    <x v="4"/>
    <x v="12"/>
    <x v="2"/>
  </r>
  <r>
    <x v="12"/>
    <x v="0"/>
    <x v="254"/>
    <x v="2"/>
  </r>
  <r>
    <x v="12"/>
    <x v="8"/>
    <x v="114"/>
    <x v="2"/>
  </r>
  <r>
    <x v="12"/>
    <x v="6"/>
    <x v="47"/>
    <x v="2"/>
  </r>
  <r>
    <x v="12"/>
    <x v="10"/>
    <x v="33"/>
    <x v="2"/>
  </r>
  <r>
    <x v="12"/>
    <x v="3"/>
    <x v="11"/>
    <x v="2"/>
  </r>
  <r>
    <x v="12"/>
    <x v="1"/>
    <x v="3"/>
    <x v="2"/>
  </r>
  <r>
    <x v="13"/>
    <x v="6"/>
    <x v="245"/>
    <x v="2"/>
  </r>
  <r>
    <x v="13"/>
    <x v="0"/>
    <x v="200"/>
    <x v="2"/>
  </r>
  <r>
    <x v="13"/>
    <x v="8"/>
    <x v="118"/>
    <x v="2"/>
  </r>
  <r>
    <x v="13"/>
    <x v="5"/>
    <x v="108"/>
    <x v="2"/>
  </r>
  <r>
    <x v="13"/>
    <x v="2"/>
    <x v="84"/>
    <x v="2"/>
  </r>
  <r>
    <x v="13"/>
    <x v="10"/>
    <x v="0"/>
    <x v="2"/>
  </r>
  <r>
    <x v="14"/>
    <x v="6"/>
    <x v="279"/>
    <x v="2"/>
  </r>
  <r>
    <x v="14"/>
    <x v="5"/>
    <x v="148"/>
    <x v="2"/>
  </r>
  <r>
    <x v="14"/>
    <x v="2"/>
    <x v="125"/>
    <x v="2"/>
  </r>
  <r>
    <x v="14"/>
    <x v="8"/>
    <x v="61"/>
    <x v="2"/>
  </r>
  <r>
    <x v="14"/>
    <x v="9"/>
    <x v="38"/>
    <x v="2"/>
  </r>
  <r>
    <x v="14"/>
    <x v="10"/>
    <x v="0"/>
    <x v="2"/>
  </r>
  <r>
    <x v="15"/>
    <x v="6"/>
    <x v="276"/>
    <x v="2"/>
  </r>
  <r>
    <x v="15"/>
    <x v="2"/>
    <x v="158"/>
    <x v="2"/>
  </r>
  <r>
    <x v="15"/>
    <x v="0"/>
    <x v="151"/>
    <x v="2"/>
  </r>
  <r>
    <x v="15"/>
    <x v="5"/>
    <x v="51"/>
    <x v="2"/>
  </r>
  <r>
    <x v="15"/>
    <x v="8"/>
    <x v="29"/>
    <x v="2"/>
  </r>
  <r>
    <x v="15"/>
    <x v="10"/>
    <x v="0"/>
    <x v="2"/>
  </r>
  <r>
    <x v="16"/>
    <x v="0"/>
    <x v="213"/>
    <x v="2"/>
  </r>
  <r>
    <x v="16"/>
    <x v="8"/>
    <x v="172"/>
    <x v="2"/>
  </r>
  <r>
    <x v="16"/>
    <x v="2"/>
    <x v="154"/>
    <x v="2"/>
  </r>
  <r>
    <x v="16"/>
    <x v="6"/>
    <x v="149"/>
    <x v="2"/>
  </r>
  <r>
    <x v="16"/>
    <x v="3"/>
    <x v="107"/>
    <x v="2"/>
  </r>
  <r>
    <x v="16"/>
    <x v="10"/>
    <x v="0"/>
    <x v="2"/>
  </r>
  <r>
    <x v="17"/>
    <x v="2"/>
    <x v="199"/>
    <x v="2"/>
  </r>
  <r>
    <x v="17"/>
    <x v="0"/>
    <x v="194"/>
    <x v="2"/>
  </r>
  <r>
    <x v="17"/>
    <x v="8"/>
    <x v="193"/>
    <x v="2"/>
  </r>
  <r>
    <x v="17"/>
    <x v="6"/>
    <x v="140"/>
    <x v="2"/>
  </r>
  <r>
    <x v="17"/>
    <x v="5"/>
    <x v="62"/>
    <x v="2"/>
  </r>
  <r>
    <x v="17"/>
    <x v="10"/>
    <x v="0"/>
    <x v="2"/>
  </r>
  <r>
    <x v="18"/>
    <x v="6"/>
    <x v="269"/>
    <x v="2"/>
  </r>
  <r>
    <x v="18"/>
    <x v="9"/>
    <x v="123"/>
    <x v="2"/>
  </r>
  <r>
    <x v="18"/>
    <x v="5"/>
    <x v="117"/>
    <x v="2"/>
  </r>
  <r>
    <x v="18"/>
    <x v="0"/>
    <x v="102"/>
    <x v="2"/>
  </r>
  <r>
    <x v="18"/>
    <x v="8"/>
    <x v="98"/>
    <x v="2"/>
  </r>
  <r>
    <x v="18"/>
    <x v="10"/>
    <x v="0"/>
    <x v="2"/>
  </r>
  <r>
    <x v="19"/>
    <x v="10"/>
    <x v="0"/>
    <x v="2"/>
  </r>
  <r>
    <x v="20"/>
    <x v="6"/>
    <x v="297"/>
    <x v="2"/>
  </r>
  <r>
    <x v="20"/>
    <x v="5"/>
    <x v="290"/>
    <x v="2"/>
  </r>
  <r>
    <x v="20"/>
    <x v="0"/>
    <x v="287"/>
    <x v="2"/>
  </r>
  <r>
    <x v="20"/>
    <x v="10"/>
    <x v="286"/>
    <x v="2"/>
  </r>
  <r>
    <x v="21"/>
    <x v="0"/>
    <x v="223"/>
    <x v="2"/>
  </r>
  <r>
    <x v="21"/>
    <x v="6"/>
    <x v="168"/>
    <x v="2"/>
  </r>
  <r>
    <x v="21"/>
    <x v="4"/>
    <x v="47"/>
    <x v="2"/>
  </r>
  <r>
    <x v="21"/>
    <x v="2"/>
    <x v="37"/>
    <x v="2"/>
  </r>
  <r>
    <x v="21"/>
    <x v="10"/>
    <x v="24"/>
    <x v="2"/>
  </r>
  <r>
    <x v="21"/>
    <x v="9"/>
    <x v="2"/>
    <x v="2"/>
  </r>
  <r>
    <x v="22"/>
    <x v="6"/>
    <x v="280"/>
    <x v="2"/>
  </r>
  <r>
    <x v="22"/>
    <x v="8"/>
    <x v="133"/>
    <x v="2"/>
  </r>
  <r>
    <x v="22"/>
    <x v="5"/>
    <x v="104"/>
    <x v="2"/>
  </r>
  <r>
    <x v="22"/>
    <x v="0"/>
    <x v="69"/>
    <x v="2"/>
  </r>
  <r>
    <x v="22"/>
    <x v="2"/>
    <x v="63"/>
    <x v="2"/>
  </r>
  <r>
    <x v="22"/>
    <x v="10"/>
    <x v="0"/>
    <x v="2"/>
  </r>
  <r>
    <x v="23"/>
    <x v="6"/>
    <x v="272"/>
    <x v="2"/>
  </r>
  <r>
    <x v="23"/>
    <x v="0"/>
    <x v="186"/>
    <x v="2"/>
  </r>
  <r>
    <x v="23"/>
    <x v="8"/>
    <x v="127"/>
    <x v="2"/>
  </r>
  <r>
    <x v="23"/>
    <x v="5"/>
    <x v="50"/>
    <x v="2"/>
  </r>
  <r>
    <x v="23"/>
    <x v="4"/>
    <x v="40"/>
    <x v="2"/>
  </r>
  <r>
    <x v="23"/>
    <x v="10"/>
    <x v="0"/>
    <x v="2"/>
  </r>
  <r>
    <x v="24"/>
    <x v="6"/>
    <x v="192"/>
    <x v="2"/>
  </r>
  <r>
    <x v="24"/>
    <x v="0"/>
    <x v="179"/>
    <x v="2"/>
  </r>
  <r>
    <x v="24"/>
    <x v="2"/>
    <x v="177"/>
    <x v="2"/>
  </r>
  <r>
    <x v="24"/>
    <x v="4"/>
    <x v="137"/>
    <x v="2"/>
  </r>
  <r>
    <x v="24"/>
    <x v="8"/>
    <x v="112"/>
    <x v="2"/>
  </r>
  <r>
    <x v="24"/>
    <x v="10"/>
    <x v="0"/>
    <x v="2"/>
  </r>
  <r>
    <x v="0"/>
    <x v="10"/>
    <x v="0"/>
    <x v="3"/>
  </r>
  <r>
    <x v="1"/>
    <x v="10"/>
    <x v="0"/>
    <x v="3"/>
  </r>
  <r>
    <x v="2"/>
    <x v="9"/>
    <x v="211"/>
    <x v="3"/>
  </r>
  <r>
    <x v="2"/>
    <x v="6"/>
    <x v="208"/>
    <x v="3"/>
  </r>
  <r>
    <x v="2"/>
    <x v="2"/>
    <x v="137"/>
    <x v="3"/>
  </r>
  <r>
    <x v="2"/>
    <x v="8"/>
    <x v="132"/>
    <x v="3"/>
  </r>
  <r>
    <x v="2"/>
    <x v="3"/>
    <x v="101"/>
    <x v="3"/>
  </r>
  <r>
    <x v="2"/>
    <x v="10"/>
    <x v="0"/>
    <x v="3"/>
  </r>
  <r>
    <x v="3"/>
    <x v="8"/>
    <x v="314"/>
    <x v="3"/>
  </r>
  <r>
    <x v="3"/>
    <x v="6"/>
    <x v="313"/>
    <x v="3"/>
  </r>
  <r>
    <x v="3"/>
    <x v="10"/>
    <x v="0"/>
    <x v="3"/>
  </r>
  <r>
    <x v="4"/>
    <x v="6"/>
    <x v="257"/>
    <x v="3"/>
  </r>
  <r>
    <x v="4"/>
    <x v="9"/>
    <x v="215"/>
    <x v="3"/>
  </r>
  <r>
    <x v="4"/>
    <x v="8"/>
    <x v="107"/>
    <x v="3"/>
  </r>
  <r>
    <x v="4"/>
    <x v="5"/>
    <x v="73"/>
    <x v="3"/>
  </r>
  <r>
    <x v="4"/>
    <x v="2"/>
    <x v="68"/>
    <x v="3"/>
  </r>
  <r>
    <x v="4"/>
    <x v="10"/>
    <x v="0"/>
    <x v="3"/>
  </r>
  <r>
    <x v="5"/>
    <x v="8"/>
    <x v="316"/>
    <x v="3"/>
  </r>
  <r>
    <x v="5"/>
    <x v="6"/>
    <x v="311"/>
    <x v="3"/>
  </r>
  <r>
    <x v="5"/>
    <x v="10"/>
    <x v="0"/>
    <x v="3"/>
  </r>
  <r>
    <x v="6"/>
    <x v="0"/>
    <x v="221"/>
    <x v="3"/>
  </r>
  <r>
    <x v="6"/>
    <x v="8"/>
    <x v="192"/>
    <x v="3"/>
  </r>
  <r>
    <x v="6"/>
    <x v="2"/>
    <x v="173"/>
    <x v="3"/>
  </r>
  <r>
    <x v="6"/>
    <x v="6"/>
    <x v="99"/>
    <x v="3"/>
  </r>
  <r>
    <x v="6"/>
    <x v="3"/>
    <x v="92"/>
    <x v="3"/>
  </r>
  <r>
    <x v="6"/>
    <x v="10"/>
    <x v="0"/>
    <x v="3"/>
  </r>
  <r>
    <x v="7"/>
    <x v="8"/>
    <x v="205"/>
    <x v="3"/>
  </r>
  <r>
    <x v="7"/>
    <x v="3"/>
    <x v="165"/>
    <x v="3"/>
  </r>
  <r>
    <x v="7"/>
    <x v="2"/>
    <x v="79"/>
    <x v="3"/>
  </r>
  <r>
    <x v="7"/>
    <x v="6"/>
    <x v="39"/>
    <x v="3"/>
  </r>
  <r>
    <x v="7"/>
    <x v="0"/>
    <x v="10"/>
    <x v="3"/>
  </r>
  <r>
    <x v="7"/>
    <x v="10"/>
    <x v="4"/>
    <x v="3"/>
  </r>
  <r>
    <x v="8"/>
    <x v="10"/>
    <x v="0"/>
    <x v="3"/>
  </r>
  <r>
    <x v="9"/>
    <x v="6"/>
    <x v="231"/>
    <x v="3"/>
  </r>
  <r>
    <x v="9"/>
    <x v="8"/>
    <x v="97"/>
    <x v="3"/>
  </r>
  <r>
    <x v="9"/>
    <x v="5"/>
    <x v="88"/>
    <x v="3"/>
  </r>
  <r>
    <x v="9"/>
    <x v="9"/>
    <x v="41"/>
    <x v="3"/>
  </r>
  <r>
    <x v="9"/>
    <x v="0"/>
    <x v="19"/>
    <x v="3"/>
  </r>
  <r>
    <x v="9"/>
    <x v="10"/>
    <x v="8"/>
    <x v="3"/>
  </r>
  <r>
    <x v="10"/>
    <x v="0"/>
    <x v="211"/>
    <x v="3"/>
  </r>
  <r>
    <x v="10"/>
    <x v="6"/>
    <x v="170"/>
    <x v="3"/>
  </r>
  <r>
    <x v="10"/>
    <x v="9"/>
    <x v="167"/>
    <x v="3"/>
  </r>
  <r>
    <x v="10"/>
    <x v="8"/>
    <x v="157"/>
    <x v="3"/>
  </r>
  <r>
    <x v="10"/>
    <x v="5"/>
    <x v="81"/>
    <x v="3"/>
  </r>
  <r>
    <x v="10"/>
    <x v="10"/>
    <x v="0"/>
    <x v="3"/>
  </r>
  <r>
    <x v="11"/>
    <x v="0"/>
    <x v="176"/>
    <x v="3"/>
  </r>
  <r>
    <x v="11"/>
    <x v="10"/>
    <x v="112"/>
    <x v="3"/>
  </r>
  <r>
    <x v="11"/>
    <x v="2"/>
    <x v="93"/>
    <x v="3"/>
  </r>
  <r>
    <x v="11"/>
    <x v="9"/>
    <x v="73"/>
    <x v="3"/>
  </r>
  <r>
    <x v="11"/>
    <x v="6"/>
    <x v="30"/>
    <x v="3"/>
  </r>
  <r>
    <x v="11"/>
    <x v="5"/>
    <x v="17"/>
    <x v="3"/>
  </r>
  <r>
    <x v="12"/>
    <x v="3"/>
    <x v="229"/>
    <x v="3"/>
  </r>
  <r>
    <x v="12"/>
    <x v="2"/>
    <x v="68"/>
    <x v="3"/>
  </r>
  <r>
    <x v="12"/>
    <x v="10"/>
    <x v="58"/>
    <x v="3"/>
  </r>
  <r>
    <x v="12"/>
    <x v="9"/>
    <x v="57"/>
    <x v="3"/>
  </r>
  <r>
    <x v="12"/>
    <x v="0"/>
    <x v="49"/>
    <x v="3"/>
  </r>
  <r>
    <x v="12"/>
    <x v="8"/>
    <x v="13"/>
    <x v="3"/>
  </r>
  <r>
    <x v="13"/>
    <x v="9"/>
    <x v="237"/>
    <x v="3"/>
  </r>
  <r>
    <x v="13"/>
    <x v="6"/>
    <x v="235"/>
    <x v="3"/>
  </r>
  <r>
    <x v="13"/>
    <x v="8"/>
    <x v="96"/>
    <x v="3"/>
  </r>
  <r>
    <x v="13"/>
    <x v="2"/>
    <x v="94"/>
    <x v="3"/>
  </r>
  <r>
    <x v="13"/>
    <x v="3"/>
    <x v="91"/>
    <x v="3"/>
  </r>
  <r>
    <x v="13"/>
    <x v="10"/>
    <x v="0"/>
    <x v="3"/>
  </r>
  <r>
    <x v="14"/>
    <x v="6"/>
    <x v="222"/>
    <x v="3"/>
  </r>
  <r>
    <x v="14"/>
    <x v="9"/>
    <x v="187"/>
    <x v="3"/>
  </r>
  <r>
    <x v="14"/>
    <x v="5"/>
    <x v="171"/>
    <x v="3"/>
  </r>
  <r>
    <x v="14"/>
    <x v="8"/>
    <x v="128"/>
    <x v="3"/>
  </r>
  <r>
    <x v="14"/>
    <x v="2"/>
    <x v="68"/>
    <x v="3"/>
  </r>
  <r>
    <x v="14"/>
    <x v="10"/>
    <x v="0"/>
    <x v="3"/>
  </r>
  <r>
    <x v="15"/>
    <x v="6"/>
    <x v="227"/>
    <x v="3"/>
  </r>
  <r>
    <x v="15"/>
    <x v="9"/>
    <x v="189"/>
    <x v="3"/>
  </r>
  <r>
    <x v="15"/>
    <x v="8"/>
    <x v="181"/>
    <x v="3"/>
  </r>
  <r>
    <x v="15"/>
    <x v="2"/>
    <x v="131"/>
    <x v="3"/>
  </r>
  <r>
    <x v="15"/>
    <x v="5"/>
    <x v="45"/>
    <x v="3"/>
  </r>
  <r>
    <x v="15"/>
    <x v="10"/>
    <x v="0"/>
    <x v="3"/>
  </r>
  <r>
    <x v="16"/>
    <x v="6"/>
    <x v="220"/>
    <x v="3"/>
  </r>
  <r>
    <x v="16"/>
    <x v="9"/>
    <x v="159"/>
    <x v="3"/>
  </r>
  <r>
    <x v="16"/>
    <x v="8"/>
    <x v="153"/>
    <x v="3"/>
  </r>
  <r>
    <x v="16"/>
    <x v="2"/>
    <x v="138"/>
    <x v="3"/>
  </r>
  <r>
    <x v="16"/>
    <x v="0"/>
    <x v="132"/>
    <x v="3"/>
  </r>
  <r>
    <x v="16"/>
    <x v="10"/>
    <x v="0"/>
    <x v="3"/>
  </r>
  <r>
    <x v="17"/>
    <x v="6"/>
    <x v="187"/>
    <x v="3"/>
  </r>
  <r>
    <x v="17"/>
    <x v="2"/>
    <x v="166"/>
    <x v="3"/>
  </r>
  <r>
    <x v="17"/>
    <x v="8"/>
    <x v="154"/>
    <x v="3"/>
  </r>
  <r>
    <x v="17"/>
    <x v="5"/>
    <x v="151"/>
    <x v="3"/>
  </r>
  <r>
    <x v="17"/>
    <x v="9"/>
    <x v="147"/>
    <x v="3"/>
  </r>
  <r>
    <x v="17"/>
    <x v="10"/>
    <x v="0"/>
    <x v="3"/>
  </r>
  <r>
    <x v="18"/>
    <x v="9"/>
    <x v="260"/>
    <x v="3"/>
  </r>
  <r>
    <x v="18"/>
    <x v="7"/>
    <x v="174"/>
    <x v="3"/>
  </r>
  <r>
    <x v="18"/>
    <x v="6"/>
    <x v="161"/>
    <x v="3"/>
  </r>
  <r>
    <x v="18"/>
    <x v="8"/>
    <x v="90"/>
    <x v="3"/>
  </r>
  <r>
    <x v="18"/>
    <x v="5"/>
    <x v="42"/>
    <x v="3"/>
  </r>
  <r>
    <x v="18"/>
    <x v="10"/>
    <x v="0"/>
    <x v="3"/>
  </r>
  <r>
    <x v="19"/>
    <x v="9"/>
    <x v="271"/>
    <x v="3"/>
  </r>
  <r>
    <x v="19"/>
    <x v="7"/>
    <x v="164"/>
    <x v="3"/>
  </r>
  <r>
    <x v="19"/>
    <x v="6"/>
    <x v="142"/>
    <x v="3"/>
  </r>
  <r>
    <x v="19"/>
    <x v="5"/>
    <x v="58"/>
    <x v="3"/>
  </r>
  <r>
    <x v="19"/>
    <x v="1"/>
    <x v="55"/>
    <x v="3"/>
  </r>
  <r>
    <x v="19"/>
    <x v="10"/>
    <x v="0"/>
    <x v="3"/>
  </r>
  <r>
    <x v="20"/>
    <x v="9"/>
    <x v="317"/>
    <x v="3"/>
  </r>
  <r>
    <x v="20"/>
    <x v="6"/>
    <x v="310"/>
    <x v="3"/>
  </r>
  <r>
    <x v="20"/>
    <x v="10"/>
    <x v="0"/>
    <x v="3"/>
  </r>
  <r>
    <x v="21"/>
    <x v="6"/>
    <x v="209"/>
    <x v="3"/>
  </r>
  <r>
    <x v="21"/>
    <x v="9"/>
    <x v="182"/>
    <x v="3"/>
  </r>
  <r>
    <x v="21"/>
    <x v="2"/>
    <x v="160"/>
    <x v="3"/>
  </r>
  <r>
    <x v="21"/>
    <x v="4"/>
    <x v="121"/>
    <x v="3"/>
  </r>
  <r>
    <x v="21"/>
    <x v="0"/>
    <x v="117"/>
    <x v="3"/>
  </r>
  <r>
    <x v="21"/>
    <x v="10"/>
    <x v="0"/>
    <x v="3"/>
  </r>
  <r>
    <x v="22"/>
    <x v="6"/>
    <x v="241"/>
    <x v="3"/>
  </r>
  <r>
    <x v="22"/>
    <x v="3"/>
    <x v="173"/>
    <x v="3"/>
  </r>
  <r>
    <x v="22"/>
    <x v="9"/>
    <x v="145"/>
    <x v="3"/>
  </r>
  <r>
    <x v="22"/>
    <x v="0"/>
    <x v="124"/>
    <x v="3"/>
  </r>
  <r>
    <x v="22"/>
    <x v="2"/>
    <x v="86"/>
    <x v="3"/>
  </r>
  <r>
    <x v="22"/>
    <x v="10"/>
    <x v="0"/>
    <x v="3"/>
  </r>
  <r>
    <x v="23"/>
    <x v="6"/>
    <x v="258"/>
    <x v="3"/>
  </r>
  <r>
    <x v="23"/>
    <x v="8"/>
    <x v="171"/>
    <x v="3"/>
  </r>
  <r>
    <x v="23"/>
    <x v="9"/>
    <x v="168"/>
    <x v="3"/>
  </r>
  <r>
    <x v="23"/>
    <x v="0"/>
    <x v="64"/>
    <x v="3"/>
  </r>
  <r>
    <x v="23"/>
    <x v="5"/>
    <x v="62"/>
    <x v="3"/>
  </r>
  <r>
    <x v="23"/>
    <x v="10"/>
    <x v="0"/>
    <x v="3"/>
  </r>
  <r>
    <x v="24"/>
    <x v="9"/>
    <x v="240"/>
    <x v="3"/>
  </r>
  <r>
    <x v="24"/>
    <x v="6"/>
    <x v="185"/>
    <x v="3"/>
  </r>
  <r>
    <x v="24"/>
    <x v="2"/>
    <x v="183"/>
    <x v="3"/>
  </r>
  <r>
    <x v="24"/>
    <x v="8"/>
    <x v="77"/>
    <x v="3"/>
  </r>
  <r>
    <x v="24"/>
    <x v="4"/>
    <x v="69"/>
    <x v="3"/>
  </r>
  <r>
    <x v="24"/>
    <x v="10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3:L21" firstHeaderRow="1" firstDataRow="2" firstDataCol="1"/>
  <pivotFields count="3"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compact="0" outline="0" showAll="0"/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- abs delta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:K29" firstHeaderRow="1" firstDataRow="2" firstDataCol="1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compact="0" outline="0" showAll="0"/>
    <pivotField compact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anchorName" fld="1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32:L204" firstHeaderRow="1" firstDataRow="2" firstDataCol="2"/>
  <pivotFields count="4">
    <pivotField axis="axisRow" compact="0" outline="0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2">
    <field x="0"/>
    <field x="1"/>
  </rowFields>
  <rowItems count="171">
    <i>
      <x/>
      <x v="10"/>
    </i>
    <i>
      <x v="1"/>
      <x/>
    </i>
    <i r="1">
      <x v="1"/>
    </i>
    <i r="1">
      <x v="6"/>
    </i>
    <i r="1">
      <x v="9"/>
    </i>
    <i r="1">
      <x v="10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3"/>
      <x v="6"/>
    </i>
    <i r="1">
      <x v="8"/>
    </i>
    <i r="1">
      <x v="10"/>
    </i>
    <i>
      <x v="4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>
      <x v="5"/>
      <x v="6"/>
    </i>
    <i r="1">
      <x v="8"/>
    </i>
    <i r="1">
      <x v="10"/>
    </i>
    <i>
      <x v="6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>
      <x v="7"/>
      <x/>
    </i>
    <i r="1">
      <x v="2"/>
    </i>
    <i r="1">
      <x v="3"/>
    </i>
    <i r="1">
      <x v="4"/>
    </i>
    <i r="1">
      <x v="6"/>
    </i>
    <i r="1">
      <x v="8"/>
    </i>
    <i r="1">
      <x v="10"/>
    </i>
    <i>
      <x v="8"/>
      <x v="10"/>
    </i>
    <i>
      <x v="9"/>
      <x/>
    </i>
    <i r="1">
      <x v="1"/>
    </i>
    <i r="1">
      <x v="2"/>
    </i>
    <i r="1">
      <x v="5"/>
    </i>
    <i r="1">
      <x v="6"/>
    </i>
    <i r="1">
      <x v="8"/>
    </i>
    <i r="1">
      <x v="9"/>
    </i>
    <i r="1">
      <x v="10"/>
    </i>
    <i>
      <x v="10"/>
      <x/>
    </i>
    <i r="1">
      <x v="2"/>
    </i>
    <i r="1">
      <x v="5"/>
    </i>
    <i r="1">
      <x v="6"/>
    </i>
    <i r="1">
      <x v="8"/>
    </i>
    <i r="1">
      <x v="9"/>
    </i>
    <i r="1">
      <x v="10"/>
    </i>
    <i>
      <x v="11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>
      <x v="12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0"/>
    </i>
    <i>
      <x v="13"/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>
      <x v="14"/>
      <x/>
    </i>
    <i r="1">
      <x v="2"/>
    </i>
    <i r="1">
      <x v="5"/>
    </i>
    <i r="1">
      <x v="6"/>
    </i>
    <i r="1">
      <x v="8"/>
    </i>
    <i r="1">
      <x v="9"/>
    </i>
    <i r="1">
      <x v="10"/>
    </i>
    <i>
      <x v="15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>
      <x v="16"/>
      <x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>
      <x v="17"/>
      <x/>
    </i>
    <i r="1">
      <x v="2"/>
    </i>
    <i r="1">
      <x v="5"/>
    </i>
    <i r="1">
      <x v="6"/>
    </i>
    <i r="1">
      <x v="8"/>
    </i>
    <i r="1">
      <x v="9"/>
    </i>
    <i r="1">
      <x v="10"/>
    </i>
    <i>
      <x v="18"/>
      <x/>
    </i>
    <i r="1">
      <x v="1"/>
    </i>
    <i r="1">
      <x v="2"/>
    </i>
    <i r="1">
      <x v="5"/>
    </i>
    <i r="1">
      <x v="6"/>
    </i>
    <i r="1">
      <x v="7"/>
    </i>
    <i r="1">
      <x v="8"/>
    </i>
    <i r="1">
      <x v="9"/>
    </i>
    <i r="1">
      <x v="10"/>
    </i>
    <i>
      <x v="19"/>
      <x v="1"/>
    </i>
    <i r="1">
      <x v="5"/>
    </i>
    <i r="1">
      <x v="6"/>
    </i>
    <i r="1">
      <x v="7"/>
    </i>
    <i r="1">
      <x v="9"/>
    </i>
    <i r="1">
      <x v="10"/>
    </i>
    <i>
      <x v="20"/>
      <x/>
    </i>
    <i r="1">
      <x v="5"/>
    </i>
    <i r="1">
      <x v="6"/>
    </i>
    <i r="1">
      <x v="9"/>
    </i>
    <i r="1">
      <x v="10"/>
    </i>
    <i>
      <x v="21"/>
      <x/>
    </i>
    <i r="1">
      <x v="1"/>
    </i>
    <i r="1">
      <x v="2"/>
    </i>
    <i r="1">
      <x v="4"/>
    </i>
    <i r="1">
      <x v="6"/>
    </i>
    <i r="1">
      <x v="8"/>
    </i>
    <i r="1">
      <x v="9"/>
    </i>
    <i r="1">
      <x v="10"/>
    </i>
    <i>
      <x v="22"/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>
      <x v="23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>
      <x v="24"/>
      <x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- weight" fld="2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07:K220" firstHeaderRow="1" firstDataRow="2" firstDataCol="1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- weight" fld="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F275:L300" firstHeaderRow="1" firstDataRow="2" firstDataCol="2"/>
  <pivotFields count="4">
    <pivotField compact="0" showAl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</pivotFields>
  <rowFields count="1">
    <field x="1"/>
  </rowFields>
  <rowItems count="24">
    <i>
      <x/>
    </i>
    <i r="1"/>
    <i>
      <x v="1"/>
    </i>
    <i r="1"/>
    <i>
      <x v="2"/>
    </i>
    <i r="1"/>
    <i>
      <x v="3"/>
    </i>
    <i r="1"/>
    <i>
      <x v="4"/>
    </i>
    <i r="1"/>
    <i>
      <x v="5"/>
    </i>
    <i r="1"/>
    <i>
      <x v="6"/>
    </i>
    <i r="1"/>
    <i>
      <x v="7"/>
    </i>
    <i r="1"/>
    <i>
      <x v="8"/>
    </i>
    <i r="1"/>
    <i>
      <x v="9"/>
    </i>
    <i r="1"/>
    <i>
      <x v="10"/>
    </i>
    <i r="1"/>
    <i t="default">
      <x/>
    </i>
    <i t="default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2">
    <dataField name="Count - weight" fld="2" subtotal="count" numFmtId="164"/>
    <dataField name="Average - weight*" fld="2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O367"/>
  <sheetViews>
    <sheetView showFormulas="false" showGridLines="true" showRowColHeaders="true" showZeros="true" rightToLeft="false" tabSelected="false" showOutlineSymbols="true" defaultGridColor="true" view="normal" topLeftCell="A76" colorId="64" zoomScale="125" zoomScaleNormal="125" zoomScalePageLayoutView="100" workbookViewId="0">
      <selection pane="topLeft" activeCell="G33" activeCellId="1" sqref="F265:G269 G33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3" min="2" style="1" width="17.93"/>
    <col collapsed="false" customWidth="true" hidden="false" outlineLevel="0" max="4" min="4" style="1" width="21"/>
    <col collapsed="false" customWidth="true" hidden="false" outlineLevel="0" max="6" min="5" style="1" width="17.93"/>
    <col collapsed="false" customWidth="true" hidden="false" outlineLevel="0" max="9" min="9" style="1" width="29.65"/>
    <col collapsed="false" customWidth="true" hidden="false" outlineLevel="0" max="13" min="10" style="1" width="19.9"/>
  </cols>
  <sheetData>
    <row r="2" customFormat="false" ht="12.8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I2" s="5" t="s">
        <v>6</v>
      </c>
    </row>
    <row r="3" customFormat="false" ht="12.8" hidden="false" customHeight="false" outlineLevel="0" collapsed="false">
      <c r="A3" s="6" t="n">
        <v>1</v>
      </c>
      <c r="B3" s="1" t="n">
        <v>0.790005749889737</v>
      </c>
      <c r="C3" s="1" t="n">
        <v>0.818947298519002</v>
      </c>
      <c r="D3" s="1" t="n">
        <v>0.785168761593727</v>
      </c>
      <c r="E3" s="1" t="n">
        <v>0.823272744718597</v>
      </c>
      <c r="F3" s="1" t="n">
        <v>0.75451956501659</v>
      </c>
      <c r="I3" s="1" t="s">
        <v>7</v>
      </c>
      <c r="J3" s="1" t="n">
        <v>0.05</v>
      </c>
    </row>
    <row r="4" customFormat="false" ht="12.8" hidden="false" customHeight="false" outlineLevel="0" collapsed="false">
      <c r="A4" s="6" t="n">
        <v>2</v>
      </c>
      <c r="B4" s="1" t="n">
        <v>0.681735099200446</v>
      </c>
      <c r="C4" s="1" t="n">
        <v>0.726675054349364</v>
      </c>
      <c r="D4" s="1" t="n">
        <v>0.7034443874608</v>
      </c>
      <c r="E4" s="1" t="n">
        <v>0.642199317331402</v>
      </c>
      <c r="F4" s="1" t="n">
        <v>0.583157820853806</v>
      </c>
    </row>
    <row r="5" customFormat="false" ht="12.8" hidden="false" customHeight="false" outlineLevel="0" collapsed="false">
      <c r="A5" s="6" t="n">
        <v>3</v>
      </c>
      <c r="B5" s="1" t="n">
        <v>0.736591542434996</v>
      </c>
      <c r="C5" s="1" t="n">
        <v>0.753823763148008</v>
      </c>
      <c r="D5" s="1" t="n">
        <v>0.735399855829613</v>
      </c>
      <c r="E5" s="1" t="n">
        <v>0.724560029881393</v>
      </c>
      <c r="F5" s="1" t="n">
        <v>0.618904917761491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customFormat="false" ht="12.8" hidden="false" customHeight="false" outlineLevel="0" collapsed="false">
      <c r="A6" s="6" t="n">
        <v>4</v>
      </c>
      <c r="B6" s="1" t="n">
        <v>0.65821229308805</v>
      </c>
      <c r="C6" s="1" t="n">
        <v>0.694689160951428</v>
      </c>
      <c r="D6" s="1" t="n">
        <v>0.697297454274584</v>
      </c>
      <c r="E6" s="1" t="n">
        <v>0.708336187220553</v>
      </c>
      <c r="F6" s="1" t="n">
        <v>0.74737712465141</v>
      </c>
      <c r="I6" s="1" t="s">
        <v>13</v>
      </c>
      <c r="J6" s="1" t="n">
        <f aca="false">COUNT(sims_per_turn_scen6!$B$2:$B$27)</f>
        <v>25</v>
      </c>
      <c r="K6" s="1" t="n">
        <f aca="false">SUM(sims_per_turn_scen6!$B$2:$B$27)</f>
        <v>18.2014117602233</v>
      </c>
      <c r="L6" s="1" t="n">
        <f aca="false">AVERAGE(sims_per_turn_scen6!$B$2:$B$27)</f>
        <v>0.728056470408934</v>
      </c>
      <c r="M6" s="1" t="n">
        <f aca="false">VAR(sims_per_turn_scen6!$B$2:$B$27)</f>
        <v>0.00373474514581051</v>
      </c>
    </row>
    <row r="7" customFormat="false" ht="12.8" hidden="false" customHeight="false" outlineLevel="0" collapsed="false">
      <c r="A7" s="6" t="n">
        <v>5</v>
      </c>
      <c r="B7" s="1" t="n">
        <v>0.743184893131854</v>
      </c>
      <c r="C7" s="1" t="n">
        <v>0.750318975083652</v>
      </c>
      <c r="D7" s="1" t="n">
        <v>0.713223127756937</v>
      </c>
      <c r="E7" s="1" t="n">
        <v>0.697620486730694</v>
      </c>
      <c r="F7" s="1" t="n">
        <v>0.548980230623881</v>
      </c>
      <c r="I7" s="1" t="s">
        <v>14</v>
      </c>
      <c r="J7" s="1" t="n">
        <f aca="false">COUNT(sims_per_turn_scen6!$C$2:$C$27)</f>
        <v>25</v>
      </c>
      <c r="K7" s="1" t="n">
        <f aca="false">SUM(sims_per_turn_scen6!$C$2:$C$27)</f>
        <v>18.4007705875838</v>
      </c>
      <c r="L7" s="1" t="n">
        <f aca="false">AVERAGE(sims_per_turn_scen6!$C$2:$C$27)</f>
        <v>0.736030823503351</v>
      </c>
      <c r="M7" s="1" t="n">
        <f aca="false">VAR(sims_per_turn_scen6!$C$2:$C$27)</f>
        <v>0.00298974415306126</v>
      </c>
    </row>
    <row r="8" customFormat="false" ht="12.8" hidden="false" customHeight="false" outlineLevel="0" collapsed="false">
      <c r="A8" s="6" t="n">
        <v>6</v>
      </c>
      <c r="B8" s="1" t="n">
        <v>0.738363300257884</v>
      </c>
      <c r="C8" s="1" t="n">
        <v>0.792897506425522</v>
      </c>
      <c r="D8" s="1" t="n">
        <v>0.767347429776357</v>
      </c>
      <c r="E8" s="1" t="n">
        <v>0.757276291011557</v>
      </c>
      <c r="F8" s="1" t="n">
        <v>0.632690227255637</v>
      </c>
      <c r="I8" s="1" t="s">
        <v>15</v>
      </c>
      <c r="J8" s="1" t="n">
        <f aca="false">COUNT(sims_per_turn_scen6!$D$2:$D$27)</f>
        <v>25</v>
      </c>
      <c r="K8" s="1" t="n">
        <f aca="false">SUM(sims_per_turn_scen6!$D$2:$D$27)</f>
        <v>18.0079590840409</v>
      </c>
      <c r="L8" s="1" t="n">
        <f aca="false">AVERAGE(sims_per_turn_scen6!$D$2:$D$27)</f>
        <v>0.720318363361635</v>
      </c>
      <c r="M8" s="1" t="n">
        <f aca="false">VAR(sims_per_turn_scen6!$D$2:$D$27)</f>
        <v>0.00325348290295341</v>
      </c>
    </row>
    <row r="9" customFormat="false" ht="12.8" hidden="false" customHeight="false" outlineLevel="0" collapsed="false">
      <c r="A9" s="6" t="n">
        <v>7</v>
      </c>
      <c r="B9" s="1" t="n">
        <v>0.802709380775578</v>
      </c>
      <c r="C9" s="1" t="n">
        <v>0.740717063652639</v>
      </c>
      <c r="D9" s="1" t="n">
        <v>0.741214474418534</v>
      </c>
      <c r="E9" s="1" t="n">
        <v>0.758449701833791</v>
      </c>
      <c r="F9" s="1" t="n">
        <v>0.701786769943752</v>
      </c>
      <c r="I9" s="1" t="s">
        <v>16</v>
      </c>
      <c r="J9" s="1" t="n">
        <f aca="false">COUNT(sims_per_turn_scen6!$E$2:$E$27)</f>
        <v>25</v>
      </c>
      <c r="K9" s="1" t="n">
        <f aca="false">SUM(sims_per_turn_scen6!$E$2:$E$27)</f>
        <v>18.1205595823982</v>
      </c>
      <c r="L9" s="1" t="n">
        <f aca="false">AVERAGE(sims_per_turn_scen6!$E$2:$E$27)</f>
        <v>0.724822383295928</v>
      </c>
      <c r="M9" s="1" t="n">
        <f aca="false">VAR(sims_per_turn_scen6!$E$2:$E$27)</f>
        <v>0.00271287127185974</v>
      </c>
    </row>
    <row r="10" customFormat="false" ht="12.8" hidden="false" customHeight="false" outlineLevel="0" collapsed="false">
      <c r="A10" s="6" t="n">
        <v>8</v>
      </c>
      <c r="B10" s="1" t="n">
        <v>0.767137820624339</v>
      </c>
      <c r="C10" s="1" t="n">
        <v>0.701518866188206</v>
      </c>
      <c r="D10" s="1" t="n">
        <v>0.702691804836109</v>
      </c>
      <c r="E10" s="1" t="n">
        <v>0.705275325567815</v>
      </c>
      <c r="F10" s="1" t="n">
        <v>0.584562320768019</v>
      </c>
      <c r="I10" s="1" t="s">
        <v>17</v>
      </c>
      <c r="J10" s="1" t="n">
        <f aca="false">COUNT(sims_per_turn_scen6!$F$2:$F$27)</f>
        <v>25</v>
      </c>
      <c r="K10" s="1" t="n">
        <f aca="false">SUM(sims_per_turn_scen6!$F$2:$F$27)</f>
        <v>15.8763887146463</v>
      </c>
      <c r="L10" s="1" t="n">
        <f aca="false">AVERAGE(sims_per_turn_scen6!$F$2:$F$27)</f>
        <v>0.635055548585851</v>
      </c>
      <c r="M10" s="1" t="n">
        <f aca="false">VAR(sims_per_turn_scen6!$F$2:$F$27)</f>
        <v>0.00498272668812413</v>
      </c>
    </row>
    <row r="11" customFormat="false" ht="12.8" hidden="false" customHeight="false" outlineLevel="0" collapsed="false">
      <c r="A11" s="6" t="n">
        <v>9</v>
      </c>
      <c r="B11" s="1" t="n">
        <v>0.655203842604779</v>
      </c>
      <c r="C11" s="1" t="n">
        <v>0.679408838434061</v>
      </c>
      <c r="D11" s="1" t="n">
        <v>0.676410925873389</v>
      </c>
      <c r="E11" s="1" t="n">
        <v>0.638110457472859</v>
      </c>
      <c r="F11" s="1" t="n">
        <v>0.635530236435515</v>
      </c>
    </row>
    <row r="12" customFormat="false" ht="12.8" hidden="false" customHeight="false" outlineLevel="0" collapsed="false">
      <c r="A12" s="6" t="n">
        <v>10</v>
      </c>
      <c r="B12" s="1" t="n">
        <v>0.700905183166286</v>
      </c>
      <c r="C12" s="1" t="n">
        <v>0.693828339018655</v>
      </c>
      <c r="D12" s="1" t="n">
        <v>0.715155539827357</v>
      </c>
      <c r="E12" s="1" t="n">
        <v>0.718916919696981</v>
      </c>
      <c r="F12" s="1" t="n">
        <v>0.69186077854627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  <c r="N12" s="1" t="s">
        <v>23</v>
      </c>
      <c r="O12" s="1" t="s">
        <v>24</v>
      </c>
    </row>
    <row r="13" customFormat="false" ht="12.8" hidden="false" customHeight="false" outlineLevel="0" collapsed="false">
      <c r="A13" s="6" t="n">
        <v>11</v>
      </c>
      <c r="B13" s="1" t="n">
        <v>0.719629235257693</v>
      </c>
      <c r="C13" s="1" t="n">
        <v>0.714015093691685</v>
      </c>
      <c r="D13" s="1" t="n">
        <v>0.72491699498861</v>
      </c>
      <c r="E13" s="1" t="n">
        <v>0.760910644452133</v>
      </c>
      <c r="F13" s="1" t="n">
        <v>0.746874410758284</v>
      </c>
      <c r="I13" s="1" t="s">
        <v>25</v>
      </c>
      <c r="J13" s="1" t="n">
        <f aca="false">SUMPRODUCT(sims_per_turn_scen6!$K$6:$K$10,sims_per_turn_scen6!$L$6:$L$10)-SUM(sims_per_turn_scen6!$K$6:$K$10)^2/SUM(sims_per_turn_scen6!$J$6:$J$10)</f>
        <v>0.173498672302635</v>
      </c>
      <c r="K13" s="1" t="n">
        <f aca="false">COUNT(sims_per_turn_scen6!$K$6:$K$10)-1</f>
        <v>4</v>
      </c>
      <c r="L13" s="1" t="n">
        <f aca="false">sims_per_turn_scen6!$J$13 / sims_per_turn_scen6!$K$13</f>
        <v>0.0433746680756588</v>
      </c>
      <c r="M13" s="1" t="n">
        <f aca="false">sims_per_turn_scen6!$L$13 / sims_per_turn_scen6!$L$14</f>
        <v>12.2710543706069</v>
      </c>
      <c r="N13" s="1" t="n">
        <f aca="false">FDIST(sims_per_turn_scen6!$M$13, sims_per_turn_scen6!$K$13, sims_per_turn_scen6!$K$14)</f>
        <v>2.1375935304166E-008</v>
      </c>
      <c r="O13" s="1" t="n">
        <f aca="false">FINV(sims_per_turn_scen6!$J$3, sims_per_turn_scen6!$K$13, sims_per_turn_scen6!$K$14)</f>
        <v>2.4472365114693</v>
      </c>
    </row>
    <row r="14" customFormat="false" ht="12.8" hidden="false" customHeight="false" outlineLevel="0" collapsed="false">
      <c r="A14" s="6" t="n">
        <v>12</v>
      </c>
      <c r="B14" s="1" t="n">
        <v>0.831621410337318</v>
      </c>
      <c r="C14" s="1" t="n">
        <v>0.829353335851788</v>
      </c>
      <c r="D14" s="1" t="n">
        <v>0.844773353099784</v>
      </c>
      <c r="E14" s="1" t="n">
        <v>0.812780603575516</v>
      </c>
      <c r="F14" s="1" t="n">
        <v>0.646103343046236</v>
      </c>
      <c r="I14" s="1" t="s">
        <v>26</v>
      </c>
      <c r="J14" s="1" t="n">
        <f aca="false">SUM(DEVSQ(sims_per_turn_scen6!$B$2:$B$27),DEVSQ(sims_per_turn_scen6!$C$2:$C$27),DEVSQ(sims_per_turn_scen6!$D$2:$D$27),DEVSQ(sims_per_turn_scen6!$E$2:$E$27),DEVSQ(sims_per_turn_scen6!$F$2:$F$27))</f>
        <v>0.424165683883417</v>
      </c>
      <c r="K14" s="1" t="n">
        <f aca="false">SUM(sims_per_turn_scen6!$J$6:$J$10)-COUNT(sims_per_turn_scen6!$J$6:$J$10)</f>
        <v>120</v>
      </c>
      <c r="L14" s="1" t="n">
        <f aca="false">sims_per_turn_scen6!$J$14 / sims_per_turn_scen6!$K$14</f>
        <v>0.00353471403236181</v>
      </c>
    </row>
    <row r="15" customFormat="false" ht="12.8" hidden="false" customHeight="false" outlineLevel="0" collapsed="false">
      <c r="A15" s="6" t="n">
        <v>13</v>
      </c>
      <c r="B15" s="1" t="n">
        <v>0.709519501585356</v>
      </c>
      <c r="C15" s="1" t="n">
        <v>0.741335114714525</v>
      </c>
      <c r="D15" s="1" t="n">
        <v>0.670771286759802</v>
      </c>
      <c r="E15" s="1" t="n">
        <v>0.721407571089307</v>
      </c>
      <c r="F15" s="1" t="n">
        <v>0.714267452106315</v>
      </c>
      <c r="I15" s="1" t="s">
        <v>27</v>
      </c>
      <c r="J15" s="1" t="n">
        <f aca="false">DEVSQ(sims_per_turn_scen6!$B$2:$B$27,sims_per_turn_scen6!$C$2:$C$27,sims_per_turn_scen6!$D$2:$D$27,sims_per_turn_scen6!$E$2:$E$27,sims_per_turn_scen6!$F$2:$F$27)</f>
        <v>0.597664356186041</v>
      </c>
      <c r="K15" s="1" t="n">
        <f aca="false">SUM(sims_per_turn_scen6!$J$6:$J$10) - 1</f>
        <v>124</v>
      </c>
    </row>
    <row r="16" customFormat="false" ht="12.8" hidden="false" customHeight="false" outlineLevel="0" collapsed="false">
      <c r="A16" s="6" t="n">
        <v>14</v>
      </c>
      <c r="B16" s="1" t="n">
        <v>0.752588038781123</v>
      </c>
      <c r="C16" s="1" t="n">
        <v>0.777558691836526</v>
      </c>
      <c r="D16" s="1" t="n">
        <v>0.749199345598474</v>
      </c>
      <c r="E16" s="1" t="n">
        <v>0.76471605795332</v>
      </c>
      <c r="F16" s="1" t="n">
        <v>0.64598849418726</v>
      </c>
    </row>
    <row r="17" customFormat="false" ht="12.8" hidden="false" customHeight="false" outlineLevel="0" collapsed="false">
      <c r="A17" s="6" t="n">
        <v>15</v>
      </c>
      <c r="B17" s="1" t="n">
        <v>0.742555870420495</v>
      </c>
      <c r="C17" s="1" t="n">
        <v>0.769655236905789</v>
      </c>
      <c r="D17" s="1" t="n">
        <v>0.710334404151347</v>
      </c>
      <c r="E17" s="1" t="n">
        <v>0.711757961516188</v>
      </c>
      <c r="F17" s="1" t="n">
        <v>0.559125581602383</v>
      </c>
    </row>
    <row r="18" customFormat="false" ht="12.8" hidden="false" customHeight="false" outlineLevel="0" collapsed="false">
      <c r="A18" s="6" t="n">
        <v>16</v>
      </c>
      <c r="B18" s="1" t="n">
        <v>0.626600189640605</v>
      </c>
      <c r="C18" s="1" t="n">
        <v>0.692685234430471</v>
      </c>
      <c r="D18" s="1" t="n">
        <v>0.658233657913275</v>
      </c>
      <c r="E18" s="1" t="n">
        <v>0.636409131350562</v>
      </c>
      <c r="F18" s="1" t="n">
        <v>0.664444142276853</v>
      </c>
    </row>
    <row r="19" customFormat="false" ht="12.8" hidden="false" customHeight="false" outlineLevel="0" collapsed="false">
      <c r="A19" s="6" t="n">
        <v>17</v>
      </c>
      <c r="B19" s="1" t="n">
        <v>0.81814248001184</v>
      </c>
      <c r="C19" s="1" t="n">
        <v>0.805787272798479</v>
      </c>
      <c r="D19" s="1" t="n">
        <v>0.821533014122518</v>
      </c>
      <c r="E19" s="1" t="n">
        <v>0.760684614350216</v>
      </c>
      <c r="F19" s="1" t="n">
        <v>0.682928718328554</v>
      </c>
    </row>
    <row r="20" customFormat="false" ht="12.8" hidden="false" customHeight="false" outlineLevel="0" collapsed="false">
      <c r="A20" s="6" t="n">
        <v>18</v>
      </c>
      <c r="B20" s="1" t="n">
        <v>0.647963419254761</v>
      </c>
      <c r="C20" s="1" t="n">
        <v>0.631093794200336</v>
      </c>
      <c r="D20" s="1" t="n">
        <v>0.654001563002053</v>
      </c>
      <c r="E20" s="1" t="n">
        <v>0.689444509253728</v>
      </c>
      <c r="F20" s="1" t="n">
        <v>0.609029777075647</v>
      </c>
    </row>
    <row r="21" customFormat="false" ht="12.8" hidden="false" customHeight="false" outlineLevel="0" collapsed="false">
      <c r="A21" s="6" t="n">
        <v>19</v>
      </c>
      <c r="B21" s="1" t="n">
        <v>0.643841741383017</v>
      </c>
      <c r="C21" s="1" t="n">
        <v>0.690269162854351</v>
      </c>
      <c r="D21" s="1" t="n">
        <v>0.590768867737282</v>
      </c>
      <c r="E21" s="1" t="n">
        <v>0.699907553556336</v>
      </c>
      <c r="F21" s="1" t="n">
        <v>0.625136354501309</v>
      </c>
    </row>
    <row r="22" customFormat="false" ht="12.8" hidden="false" customHeight="false" outlineLevel="0" collapsed="false">
      <c r="A22" s="6" t="n">
        <v>20</v>
      </c>
      <c r="B22" s="1" t="n">
        <v>0.654547731132537</v>
      </c>
      <c r="C22" s="1" t="n">
        <v>0.697049065043941</v>
      </c>
      <c r="D22" s="1" t="n">
        <v>0.716584963681357</v>
      </c>
      <c r="E22" s="1" t="n">
        <v>0.721470667146881</v>
      </c>
      <c r="F22" s="1" t="n">
        <v>0.628896991007055</v>
      </c>
    </row>
    <row r="23" customFormat="false" ht="12.8" hidden="false" customHeight="false" outlineLevel="0" collapsed="false">
      <c r="A23" s="6" t="n">
        <v>21</v>
      </c>
      <c r="B23" s="1" t="n">
        <v>0.737279793404405</v>
      </c>
      <c r="C23" s="1" t="n">
        <v>0.69517695472312</v>
      </c>
      <c r="D23" s="1" t="n">
        <v>0.669739555124102</v>
      </c>
      <c r="E23" s="1" t="n">
        <v>0.694019107158469</v>
      </c>
      <c r="F23" s="1" t="n">
        <v>0.49049501481858</v>
      </c>
    </row>
    <row r="24" customFormat="false" ht="12.8" hidden="false" customHeight="false" outlineLevel="0" collapsed="false">
      <c r="A24" s="6" t="n">
        <v>22</v>
      </c>
      <c r="B24" s="1" t="n">
        <v>0.741791001479869</v>
      </c>
      <c r="C24" s="1" t="n">
        <v>0.757953803081435</v>
      </c>
      <c r="D24" s="1" t="n">
        <v>0.735555505104196</v>
      </c>
      <c r="E24" s="1" t="n">
        <v>0.755797582220466</v>
      </c>
      <c r="F24" s="1" t="n">
        <v>0.551218385467124</v>
      </c>
    </row>
    <row r="25" customFormat="false" ht="12.8" hidden="false" customHeight="false" outlineLevel="0" collapsed="false">
      <c r="A25" s="6" t="n">
        <v>23</v>
      </c>
      <c r="B25" s="1" t="n">
        <v>0.720324505975325</v>
      </c>
      <c r="C25" s="1" t="n">
        <v>0.663150812819657</v>
      </c>
      <c r="D25" s="1" t="n">
        <v>0.705937576250204</v>
      </c>
      <c r="E25" s="1" t="n">
        <v>0.650885309375863</v>
      </c>
      <c r="F25" s="1" t="n">
        <v>0.644659585583856</v>
      </c>
    </row>
    <row r="26" customFormat="false" ht="12.8" hidden="false" customHeight="false" outlineLevel="0" collapsed="false">
      <c r="A26" s="6" t="n">
        <v>24</v>
      </c>
      <c r="B26" s="1" t="n">
        <v>0.85301227080764</v>
      </c>
      <c r="C26" s="1" t="n">
        <v>0.846569350289584</v>
      </c>
      <c r="D26" s="1" t="n">
        <v>0.821053723330557</v>
      </c>
      <c r="E26" s="1" t="n">
        <v>0.810318587583629</v>
      </c>
      <c r="F26" s="1" t="n">
        <v>0.654980886002206</v>
      </c>
    </row>
    <row r="27" customFormat="false" ht="12.8" hidden="false" customHeight="false" outlineLevel="0" collapsed="false">
      <c r="A27" s="4" t="n">
        <v>25</v>
      </c>
      <c r="B27" s="1" t="n">
        <v>0.727945465577406</v>
      </c>
      <c r="C27" s="1" t="n">
        <v>0.736292798571547</v>
      </c>
      <c r="D27" s="1" t="n">
        <v>0.697201511529907</v>
      </c>
      <c r="E27" s="1" t="n">
        <v>0.756032220349956</v>
      </c>
      <c r="F27" s="1" t="n">
        <v>0.512869586028254</v>
      </c>
    </row>
    <row r="28" customFormat="false" ht="12.8" hidden="false" customHeight="false" outlineLevel="0" collapsed="false">
      <c r="A28" s="4"/>
    </row>
    <row r="29" customFormat="false" ht="12.8" hidden="false" customHeight="false" outlineLevel="0" collapsed="false">
      <c r="A29" s="4"/>
    </row>
    <row r="30" customFormat="false" ht="12.8" hidden="false" customHeight="false" outlineLevel="0" collapsed="false">
      <c r="A30" s="4"/>
    </row>
    <row r="31" customFormat="false" ht="12.8" hidden="false" customHeight="false" outlineLevel="0" collapsed="false">
      <c r="A31" s="4"/>
    </row>
    <row r="32" customFormat="false" ht="12.8" hidden="false" customHeight="false" outlineLevel="0" collapsed="false">
      <c r="A32" s="4"/>
    </row>
    <row r="33" customFormat="false" ht="12.8" hidden="false" customHeight="false" outlineLevel="0" collapsed="false">
      <c r="A33" s="4"/>
    </row>
    <row r="34" customFormat="false" ht="12.8" hidden="false" customHeight="false" outlineLevel="0" collapsed="false">
      <c r="A34" s="4"/>
    </row>
    <row r="35" customFormat="false" ht="12.8" hidden="false" customHeight="false" outlineLevel="0" collapsed="false">
      <c r="A35" s="4"/>
    </row>
    <row r="36" customFormat="false" ht="12.8" hidden="false" customHeight="false" outlineLevel="0" collapsed="false">
      <c r="A36" s="4"/>
    </row>
    <row r="37" customFormat="false" ht="12.8" hidden="false" customHeight="false" outlineLevel="0" collapsed="false">
      <c r="A37" s="4"/>
    </row>
    <row r="38" customFormat="false" ht="12.8" hidden="false" customHeight="false" outlineLevel="0" collapsed="false">
      <c r="A38" s="4"/>
    </row>
    <row r="39" customFormat="false" ht="12.8" hidden="false" customHeight="false" outlineLevel="0" collapsed="false">
      <c r="A39" s="4"/>
    </row>
    <row r="40" customFormat="false" ht="12.8" hidden="false" customHeight="false" outlineLevel="0" collapsed="false">
      <c r="A40" s="4"/>
    </row>
    <row r="44" customFormat="false" ht="13.8" hidden="false" customHeight="true" outlineLevel="0" collapsed="false">
      <c r="B44" s="7" t="s">
        <v>28</v>
      </c>
      <c r="C44" s="7"/>
      <c r="D44" s="7"/>
    </row>
    <row r="46" customFormat="false" ht="12.8" hidden="false" customHeight="false" outlineLevel="0" collapsed="false">
      <c r="A46" s="2" t="s">
        <v>0</v>
      </c>
      <c r="B46" s="3" t="s">
        <v>3</v>
      </c>
      <c r="C46" s="3" t="s">
        <v>2</v>
      </c>
      <c r="D46" s="8" t="s">
        <v>29</v>
      </c>
      <c r="E46" s="8" t="s">
        <v>30</v>
      </c>
      <c r="F46" s="8" t="s">
        <v>31</v>
      </c>
      <c r="G46" s="8" t="s">
        <v>32</v>
      </c>
      <c r="I46" s="5" t="s">
        <v>33</v>
      </c>
    </row>
    <row r="47" customFormat="false" ht="12.8" hidden="false" customHeight="false" outlineLevel="0" collapsed="false">
      <c r="A47" s="6" t="n">
        <v>1</v>
      </c>
      <c r="B47" s="1" t="n">
        <v>0.785168761593727</v>
      </c>
      <c r="C47" s="1" t="n">
        <v>0.818947298519002</v>
      </c>
      <c r="D47" s="8" t="n">
        <f aca="false">C47-B47</f>
        <v>0.0337785369252751</v>
      </c>
      <c r="E47" s="8" t="n">
        <f aca="false">ABS(D47)</f>
        <v>0.0337785369252751</v>
      </c>
      <c r="F47" s="8" t="n">
        <f aca="false">AVERAGE(D47:D71)</f>
        <v>0.0157124601417159</v>
      </c>
      <c r="G47" s="8" t="n">
        <f aca="false">_xlfn.STDEV.S(D47:D71)</f>
        <v>0.0325374910997677</v>
      </c>
      <c r="I47" s="9" t="s">
        <v>7</v>
      </c>
      <c r="J47" s="1" t="n">
        <v>0.05</v>
      </c>
    </row>
    <row r="48" customFormat="false" ht="12.8" hidden="false" customHeight="false" outlineLevel="0" collapsed="false">
      <c r="A48" s="6" t="n">
        <v>2</v>
      </c>
      <c r="B48" s="1" t="n">
        <v>0.7034443874608</v>
      </c>
      <c r="C48" s="1" t="n">
        <v>0.726675054349364</v>
      </c>
      <c r="D48" s="8" t="n">
        <f aca="false">C48-B48</f>
        <v>0.023230666888564</v>
      </c>
      <c r="E48" s="8" t="n">
        <f aca="false">ABS(D48)</f>
        <v>0.023230666888564</v>
      </c>
      <c r="F48" s="10"/>
      <c r="G48" s="1"/>
      <c r="I48" s="9" t="s">
        <v>34</v>
      </c>
      <c r="J48" s="1" t="n">
        <v>0</v>
      </c>
    </row>
    <row r="49" customFormat="false" ht="12.8" hidden="false" customHeight="false" outlineLevel="0" collapsed="false">
      <c r="A49" s="6" t="n">
        <v>3</v>
      </c>
      <c r="B49" s="1" t="n">
        <v>0.735399855829613</v>
      </c>
      <c r="C49" s="1" t="n">
        <v>0.753823763148008</v>
      </c>
      <c r="D49" s="8" t="n">
        <f aca="false">C49-B49</f>
        <v>0.0184239073183951</v>
      </c>
      <c r="E49" s="8" t="n">
        <f aca="false">ABS(D49)</f>
        <v>0.0184239073183951</v>
      </c>
      <c r="F49" s="10"/>
      <c r="G49" s="1"/>
      <c r="I49" s="9"/>
      <c r="J49" s="5" t="s">
        <v>35</v>
      </c>
      <c r="K49" s="5" t="s">
        <v>36</v>
      </c>
    </row>
    <row r="50" customFormat="false" ht="12.8" hidden="false" customHeight="false" outlineLevel="0" collapsed="false">
      <c r="A50" s="6" t="n">
        <v>4</v>
      </c>
      <c r="B50" s="1" t="n">
        <v>0.697297454274584</v>
      </c>
      <c r="C50" s="1" t="n">
        <v>0.694689160951428</v>
      </c>
      <c r="D50" s="8" t="n">
        <f aca="false">C50-B50</f>
        <v>-0.00260829332315604</v>
      </c>
      <c r="E50" s="8" t="n">
        <f aca="false">ABS(D50)</f>
        <v>0.00260829332315604</v>
      </c>
      <c r="F50" s="10"/>
      <c r="G50" s="1"/>
      <c r="I50" s="9" t="s">
        <v>11</v>
      </c>
      <c r="J50" s="1" t="n">
        <f aca="false">AVERAGE(sims_per_turn_scen6!$B$46:$B$71)</f>
        <v>0.720318363361635</v>
      </c>
      <c r="K50" s="1" t="n">
        <f aca="false">AVERAGE(sims_per_turn_scen6!$C$46:$C$71)</f>
        <v>0.736030823503351</v>
      </c>
    </row>
    <row r="51" customFormat="false" ht="12.8" hidden="false" customHeight="false" outlineLevel="0" collapsed="false">
      <c r="A51" s="6" t="n">
        <v>5</v>
      </c>
      <c r="B51" s="1" t="n">
        <v>0.713223127756937</v>
      </c>
      <c r="C51" s="1" t="n">
        <v>0.750318975083652</v>
      </c>
      <c r="D51" s="8" t="n">
        <f aca="false">C51-B51</f>
        <v>0.037095847326715</v>
      </c>
      <c r="E51" s="8" t="n">
        <f aca="false">ABS(D51)</f>
        <v>0.037095847326715</v>
      </c>
      <c r="F51" s="10"/>
      <c r="G51" s="1"/>
      <c r="I51" s="9" t="s">
        <v>12</v>
      </c>
      <c r="J51" s="1" t="n">
        <f aca="false">VAR(sims_per_turn_scen6!$B$46:$B$71)</f>
        <v>0.00325348290295341</v>
      </c>
      <c r="K51" s="1" t="n">
        <f aca="false">VAR(sims_per_turn_scen6!$C$46:$C$71)</f>
        <v>0.00298974415306126</v>
      </c>
    </row>
    <row r="52" customFormat="false" ht="12.8" hidden="false" customHeight="false" outlineLevel="0" collapsed="false">
      <c r="A52" s="6" t="n">
        <v>6</v>
      </c>
      <c r="B52" s="1" t="n">
        <v>0.767347429776357</v>
      </c>
      <c r="C52" s="1" t="n">
        <v>0.792897506425522</v>
      </c>
      <c r="D52" s="8" t="n">
        <f aca="false">C52-B52</f>
        <v>0.0255500766491651</v>
      </c>
      <c r="E52" s="8" t="n">
        <f aca="false">ABS(D52)</f>
        <v>0.0255500766491651</v>
      </c>
      <c r="F52" s="10"/>
      <c r="G52" s="1"/>
      <c r="I52" s="9" t="s">
        <v>37</v>
      </c>
      <c r="J52" s="1" t="n">
        <f aca="false">COUNT(sims_per_turn_scen6!$B$46:$B$71)</f>
        <v>25</v>
      </c>
      <c r="K52" s="1" t="n">
        <f aca="false">COUNT(sims_per_turn_scen6!$C$46:$C$71)</f>
        <v>25</v>
      </c>
    </row>
    <row r="53" customFormat="false" ht="12.8" hidden="false" customHeight="false" outlineLevel="0" collapsed="false">
      <c r="A53" s="6" t="n">
        <v>7</v>
      </c>
      <c r="B53" s="1" t="n">
        <v>0.741214474418534</v>
      </c>
      <c r="C53" s="1" t="n">
        <v>0.740717063652639</v>
      </c>
      <c r="D53" s="8" t="n">
        <f aca="false">C53-B53</f>
        <v>-0.000497410765895046</v>
      </c>
      <c r="E53" s="8" t="n">
        <f aca="false">ABS(D53)</f>
        <v>0.000497410765895046</v>
      </c>
      <c r="F53" s="10"/>
      <c r="G53" s="1"/>
      <c r="I53" s="9" t="s">
        <v>38</v>
      </c>
      <c r="J53" s="1" t="n">
        <f aca="false">CORREL(sims_per_turn_scen6!$B$46:$B$71,sims_per_turn_scen6!$C$46:$C$71)</f>
        <v>0.831168068553145</v>
      </c>
    </row>
    <row r="54" customFormat="false" ht="12.8" hidden="false" customHeight="false" outlineLevel="0" collapsed="false">
      <c r="A54" s="6" t="n">
        <v>8</v>
      </c>
      <c r="B54" s="1" t="n">
        <v>0.702691804836109</v>
      </c>
      <c r="C54" s="1" t="n">
        <v>0.701518866188206</v>
      </c>
      <c r="D54" s="8" t="n">
        <f aca="false">C54-B54</f>
        <v>-0.00117293864790302</v>
      </c>
      <c r="E54" s="8" t="n">
        <f aca="false">ABS(D54)</f>
        <v>0.00117293864790302</v>
      </c>
      <c r="F54" s="10"/>
      <c r="G54" s="1"/>
      <c r="I54" s="9" t="s">
        <v>39</v>
      </c>
      <c r="J54" s="1" t="n">
        <f aca="false" t="array" ref="J54:J54">AVERAGE(IF(ISODD(IF(ISNUMBER(sims_per_turn_scen6!$B$46:$B$71), 1, 0) * IF(ISNUMBER(sims_per_turn_scen6!$C$46:$C$71), 1, 0)), sims_per_turn_scen6!$B$46:$B$71 - sims_per_turn_scen6!$C$46:$C$71, "NA"))</f>
        <v>-0.0157124601417159</v>
      </c>
    </row>
    <row r="55" customFormat="false" ht="12.8" hidden="false" customHeight="false" outlineLevel="0" collapsed="false">
      <c r="A55" s="6" t="n">
        <v>9</v>
      </c>
      <c r="B55" s="1" t="n">
        <v>0.676410925873389</v>
      </c>
      <c r="C55" s="1" t="n">
        <v>0.679408838434061</v>
      </c>
      <c r="D55" s="8" t="n">
        <f aca="false">C55-B55</f>
        <v>0.00299791256067194</v>
      </c>
      <c r="E55" s="8" t="n">
        <f aca="false">ABS(D55)</f>
        <v>0.00299791256067194</v>
      </c>
      <c r="F55" s="10"/>
      <c r="G55" s="1"/>
      <c r="I55" s="9" t="s">
        <v>40</v>
      </c>
      <c r="J55" s="1" t="n">
        <f aca="false" t="array" ref="J55:J55">VAR(IF(ISODD(IF(ISNUMBER(sims_per_turn_scen6!$B$46:$B$71), 1, 0) * IF(ISNUMBER(sims_per_turn_scen6!$C$46:$C$71), 1, 0)), sims_per_turn_scen6!$B$46:$B$71 - sims_per_turn_scen6!$C$46:$C$71, "NA"))</f>
        <v>0.00105868832706746</v>
      </c>
    </row>
    <row r="56" customFormat="false" ht="12.8" hidden="false" customHeight="false" outlineLevel="0" collapsed="false">
      <c r="A56" s="6" t="n">
        <v>10</v>
      </c>
      <c r="B56" s="1" t="n">
        <v>0.715155539827357</v>
      </c>
      <c r="C56" s="1" t="n">
        <v>0.693828339018655</v>
      </c>
      <c r="D56" s="8" t="n">
        <f aca="false">C56-B56</f>
        <v>-0.021327200808702</v>
      </c>
      <c r="E56" s="8" t="n">
        <f aca="false">ABS(D56)</f>
        <v>0.021327200808702</v>
      </c>
      <c r="F56" s="10"/>
      <c r="G56" s="1"/>
      <c r="I56" s="9" t="s">
        <v>20</v>
      </c>
      <c r="J56" s="1" t="n">
        <f aca="false" t="array" ref="J56:J56">SUM(IF(ISNUMBER(sims_per_turn_scen6!$B$46:$B$71), 1, 0) * IF(ISNUMBER(sims_per_turn_scen6!$C$46:$C$71), 1, 0)) - 1</f>
        <v>24</v>
      </c>
    </row>
    <row r="57" customFormat="false" ht="12.8" hidden="false" customHeight="false" outlineLevel="0" collapsed="false">
      <c r="A57" s="6" t="n">
        <v>11</v>
      </c>
      <c r="B57" s="1" t="n">
        <v>0.72491699498861</v>
      </c>
      <c r="C57" s="1" t="n">
        <v>0.714015093691685</v>
      </c>
      <c r="D57" s="8" t="n">
        <f aca="false">C57-B57</f>
        <v>-0.0109019012969249</v>
      </c>
      <c r="E57" s="8" t="n">
        <f aca="false">ABS(D57)</f>
        <v>0.0109019012969249</v>
      </c>
      <c r="F57" s="10"/>
      <c r="G57" s="1"/>
      <c r="I57" s="9" t="s">
        <v>41</v>
      </c>
      <c r="J57" s="1" t="n">
        <f aca="false">(sims_per_turn_scen6!$J$54 - sims_per_turn_scen6!$J$48) / (sims_per_turn_scen6!$J$55 / ( sims_per_turn_scen6!$J$56 + 1)) ^ 0.5</f>
        <v>-2.4145162412089</v>
      </c>
    </row>
    <row r="58" customFormat="false" ht="12.8" hidden="false" customHeight="false" outlineLevel="0" collapsed="false">
      <c r="A58" s="6" t="n">
        <v>12</v>
      </c>
      <c r="B58" s="1" t="n">
        <v>0.844773353099784</v>
      </c>
      <c r="C58" s="1" t="n">
        <v>0.829353335851788</v>
      </c>
      <c r="D58" s="8" t="n">
        <f aca="false">C58-B58</f>
        <v>-0.0154200172479959</v>
      </c>
      <c r="E58" s="8" t="n">
        <f aca="false">ABS(D58)</f>
        <v>0.0154200172479959</v>
      </c>
      <c r="F58" s="10"/>
      <c r="G58" s="1"/>
      <c r="I58" s="9" t="s">
        <v>42</v>
      </c>
      <c r="J58" s="1" t="n">
        <f aca="false">TDIST(ABS(sims_per_turn_scen6!$J$57), sims_per_turn_scen6!$J$56, 1)</f>
        <v>0.0118711291708224</v>
      </c>
    </row>
    <row r="59" customFormat="false" ht="12.8" hidden="false" customHeight="false" outlineLevel="0" collapsed="false">
      <c r="A59" s="6" t="n">
        <v>13</v>
      </c>
      <c r="B59" s="1" t="n">
        <v>0.670771286759802</v>
      </c>
      <c r="C59" s="1" t="n">
        <v>0.741335114714525</v>
      </c>
      <c r="D59" s="8" t="n">
        <f aca="false">C59-B59</f>
        <v>0.0705638279547229</v>
      </c>
      <c r="E59" s="8" t="n">
        <f aca="false">ABS(D59)</f>
        <v>0.0705638279547229</v>
      </c>
      <c r="F59" s="10"/>
      <c r="G59" s="1"/>
      <c r="I59" s="9" t="s">
        <v>43</v>
      </c>
      <c r="J59" s="1" t="n">
        <f aca="false">TINV(2*sims_per_turn_scen6!$J$47, sims_per_turn_scen6!$J$56)</f>
        <v>1.71088207990943</v>
      </c>
    </row>
    <row r="60" customFormat="false" ht="12.8" hidden="false" customHeight="false" outlineLevel="0" collapsed="false">
      <c r="A60" s="6" t="n">
        <v>14</v>
      </c>
      <c r="B60" s="1" t="n">
        <v>0.749199345598474</v>
      </c>
      <c r="C60" s="1" t="n">
        <v>0.777558691836526</v>
      </c>
      <c r="D60" s="8" t="n">
        <f aca="false">C60-B60</f>
        <v>0.028359346238052</v>
      </c>
      <c r="E60" s="8" t="n">
        <f aca="false">ABS(D60)</f>
        <v>0.028359346238052</v>
      </c>
      <c r="F60" s="10"/>
      <c r="G60" s="1"/>
      <c r="I60" s="9" t="s">
        <v>44</v>
      </c>
      <c r="J60" s="1" t="n">
        <f aca="false">TDIST(ABS(sims_per_turn_scen6!$J$57), sims_per_turn_scen6!$J$56, 2)</f>
        <v>0.0237422583416448</v>
      </c>
    </row>
    <row r="61" customFormat="false" ht="12.8" hidden="false" customHeight="false" outlineLevel="0" collapsed="false">
      <c r="A61" s="6" t="n">
        <v>15</v>
      </c>
      <c r="B61" s="1" t="n">
        <v>0.710334404151347</v>
      </c>
      <c r="C61" s="1" t="n">
        <v>0.769655236905789</v>
      </c>
      <c r="D61" s="8" t="n">
        <f aca="false">C61-B61</f>
        <v>0.059320832754442</v>
      </c>
      <c r="E61" s="8" t="n">
        <f aca="false">ABS(D61)</f>
        <v>0.059320832754442</v>
      </c>
      <c r="F61" s="10"/>
      <c r="G61" s="1"/>
      <c r="I61" s="9" t="s">
        <v>45</v>
      </c>
      <c r="J61" s="1" t="n">
        <f aca="false">TINV(sims_per_turn_scen6!$J$47, sims_per_turn_scen6!$J$56)</f>
        <v>2.06389856162803</v>
      </c>
    </row>
    <row r="62" customFormat="false" ht="12.8" hidden="false" customHeight="false" outlineLevel="0" collapsed="false">
      <c r="A62" s="6" t="n">
        <v>16</v>
      </c>
      <c r="B62" s="1" t="n">
        <v>0.658233657913275</v>
      </c>
      <c r="C62" s="1" t="n">
        <v>0.692685234430471</v>
      </c>
      <c r="D62" s="8" t="n">
        <f aca="false">C62-B62</f>
        <v>0.034451576517196</v>
      </c>
      <c r="E62" s="8" t="n">
        <f aca="false">ABS(D62)</f>
        <v>0.034451576517196</v>
      </c>
      <c r="F62" s="10"/>
      <c r="G62" s="1"/>
    </row>
    <row r="63" customFormat="false" ht="12.8" hidden="false" customHeight="false" outlineLevel="0" collapsed="false">
      <c r="A63" s="6" t="n">
        <v>17</v>
      </c>
      <c r="B63" s="1" t="n">
        <v>0.821533014122518</v>
      </c>
      <c r="C63" s="1" t="n">
        <v>0.805787272798479</v>
      </c>
      <c r="D63" s="8" t="n">
        <f aca="false">C63-B63</f>
        <v>-0.0157457413240391</v>
      </c>
      <c r="E63" s="8" t="n">
        <f aca="false">ABS(D63)</f>
        <v>0.0157457413240391</v>
      </c>
      <c r="F63" s="10"/>
      <c r="G63" s="1"/>
    </row>
    <row r="64" customFormat="false" ht="12.8" hidden="false" customHeight="false" outlineLevel="0" collapsed="false">
      <c r="A64" s="6" t="n">
        <v>18</v>
      </c>
      <c r="B64" s="1" t="n">
        <v>0.654001563002053</v>
      </c>
      <c r="C64" s="1" t="n">
        <v>0.631093794200336</v>
      </c>
      <c r="D64" s="8" t="n">
        <f aca="false">C64-B64</f>
        <v>-0.0229077688017171</v>
      </c>
      <c r="E64" s="8" t="n">
        <f aca="false">ABS(D64)</f>
        <v>0.0229077688017171</v>
      </c>
      <c r="F64" s="10"/>
      <c r="G64" s="1"/>
    </row>
    <row r="65" customFormat="false" ht="12.8" hidden="false" customHeight="false" outlineLevel="0" collapsed="false">
      <c r="A65" s="6" t="n">
        <v>19</v>
      </c>
      <c r="B65" s="1" t="n">
        <v>0.590768867737282</v>
      </c>
      <c r="C65" s="1" t="n">
        <v>0.690269162854351</v>
      </c>
      <c r="D65" s="8" t="n">
        <f aca="false">C65-B65</f>
        <v>0.099500295117069</v>
      </c>
      <c r="E65" s="8" t="n">
        <f aca="false">ABS(D65)</f>
        <v>0.099500295117069</v>
      </c>
      <c r="F65" s="10"/>
      <c r="G65" s="1"/>
    </row>
    <row r="66" customFormat="false" ht="12.8" hidden="false" customHeight="false" outlineLevel="0" collapsed="false">
      <c r="A66" s="6" t="n">
        <v>20</v>
      </c>
      <c r="B66" s="1" t="n">
        <v>0.716584963681357</v>
      </c>
      <c r="C66" s="1" t="n">
        <v>0.697049065043941</v>
      </c>
      <c r="D66" s="8" t="n">
        <f aca="false">C66-B66</f>
        <v>-0.019535898637416</v>
      </c>
      <c r="E66" s="8" t="n">
        <f aca="false">ABS(D66)</f>
        <v>0.019535898637416</v>
      </c>
      <c r="F66" s="10"/>
      <c r="G66" s="1"/>
    </row>
    <row r="67" customFormat="false" ht="12.8" hidden="false" customHeight="false" outlineLevel="0" collapsed="false">
      <c r="A67" s="6" t="n">
        <v>21</v>
      </c>
      <c r="B67" s="1" t="n">
        <v>0.669739555124102</v>
      </c>
      <c r="C67" s="1" t="n">
        <v>0.69517695472312</v>
      </c>
      <c r="D67" s="8" t="n">
        <f aca="false">C67-B67</f>
        <v>0.025437399599018</v>
      </c>
      <c r="E67" s="8" t="n">
        <f aca="false">ABS(D67)</f>
        <v>0.025437399599018</v>
      </c>
      <c r="F67" s="10"/>
      <c r="G67" s="1"/>
    </row>
    <row r="68" customFormat="false" ht="12.8" hidden="false" customHeight="false" outlineLevel="0" collapsed="false">
      <c r="A68" s="6" t="n">
        <v>22</v>
      </c>
      <c r="B68" s="1" t="n">
        <v>0.735555505104196</v>
      </c>
      <c r="C68" s="1" t="n">
        <v>0.757953803081435</v>
      </c>
      <c r="D68" s="8" t="n">
        <f aca="false">C68-B68</f>
        <v>0.022398297977239</v>
      </c>
      <c r="E68" s="8" t="n">
        <f aca="false">ABS(D68)</f>
        <v>0.022398297977239</v>
      </c>
      <c r="F68" s="10"/>
      <c r="G68" s="1"/>
    </row>
    <row r="69" customFormat="false" ht="12.8" hidden="false" customHeight="false" outlineLevel="0" collapsed="false">
      <c r="A69" s="6" t="n">
        <v>23</v>
      </c>
      <c r="B69" s="1" t="n">
        <v>0.705937576250204</v>
      </c>
      <c r="C69" s="1" t="n">
        <v>0.663150812819657</v>
      </c>
      <c r="D69" s="8" t="n">
        <f aca="false">C69-B69</f>
        <v>-0.042786763430547</v>
      </c>
      <c r="E69" s="8" t="n">
        <f aca="false">ABS(D69)</f>
        <v>0.042786763430547</v>
      </c>
      <c r="F69" s="10"/>
      <c r="G69" s="1"/>
    </row>
    <row r="70" customFormat="false" ht="12.8" hidden="false" customHeight="false" outlineLevel="0" collapsed="false">
      <c r="A70" s="6" t="n">
        <v>24</v>
      </c>
      <c r="B70" s="1" t="n">
        <v>0.821053723330557</v>
      </c>
      <c r="C70" s="1" t="n">
        <v>0.846569350289584</v>
      </c>
      <c r="D70" s="8" t="n">
        <f aca="false">C70-B70</f>
        <v>0.025515626959027</v>
      </c>
      <c r="E70" s="8" t="n">
        <f aca="false">ABS(D70)</f>
        <v>0.025515626959027</v>
      </c>
      <c r="F70" s="10"/>
      <c r="G70" s="1"/>
    </row>
    <row r="71" customFormat="false" ht="12.8" hidden="false" customHeight="false" outlineLevel="0" collapsed="false">
      <c r="A71" s="4" t="n">
        <v>25</v>
      </c>
      <c r="B71" s="1" t="n">
        <v>0.697201511529907</v>
      </c>
      <c r="C71" s="1" t="n">
        <v>0.736292798571547</v>
      </c>
      <c r="D71" s="8" t="n">
        <f aca="false">C71-B71</f>
        <v>0.03909128704164</v>
      </c>
      <c r="E71" s="8" t="n">
        <f aca="false">ABS(D71)</f>
        <v>0.03909128704164</v>
      </c>
      <c r="G71" s="1"/>
    </row>
    <row r="74" customFormat="false" ht="12.8" hidden="false" customHeight="false" outlineLevel="0" collapsed="false">
      <c r="A74" s="2" t="s">
        <v>0</v>
      </c>
      <c r="B74" s="3" t="s">
        <v>1</v>
      </c>
      <c r="C74" s="3" t="s">
        <v>4</v>
      </c>
      <c r="D74" s="8" t="s">
        <v>46</v>
      </c>
      <c r="E74" s="8" t="s">
        <v>30</v>
      </c>
      <c r="F74" s="8" t="s">
        <v>31</v>
      </c>
      <c r="G74" s="8" t="s">
        <v>32</v>
      </c>
      <c r="I74" s="5" t="s">
        <v>33</v>
      </c>
    </row>
    <row r="75" customFormat="false" ht="12.8" hidden="false" customHeight="false" outlineLevel="0" collapsed="false">
      <c r="A75" s="6" t="n">
        <v>1</v>
      </c>
      <c r="B75" s="1" t="n">
        <v>0.790005749889737</v>
      </c>
      <c r="C75" s="1" t="n">
        <v>0.823272744718597</v>
      </c>
      <c r="D75" s="8" t="n">
        <f aca="false">C75-B75</f>
        <v>0.03326699482886</v>
      </c>
      <c r="E75" s="8" t="n">
        <f aca="false">ABS(D75)</f>
        <v>0.03326699482886</v>
      </c>
      <c r="F75" s="8" t="n">
        <f aca="false">AVERAGE(D75:D99)</f>
        <v>-0.00323408711300508</v>
      </c>
      <c r="G75" s="8" t="n">
        <f aca="false">_xlfn.STDEV.S(D75:D99)</f>
        <v>0.0405376698136814</v>
      </c>
      <c r="I75" s="9" t="s">
        <v>7</v>
      </c>
      <c r="J75" s="1" t="n">
        <v>0.05</v>
      </c>
    </row>
    <row r="76" customFormat="false" ht="12.8" hidden="false" customHeight="false" outlineLevel="0" collapsed="false">
      <c r="A76" s="6" t="n">
        <v>2</v>
      </c>
      <c r="B76" s="1" t="n">
        <v>0.681735099200446</v>
      </c>
      <c r="C76" s="1" t="n">
        <v>0.642199317331402</v>
      </c>
      <c r="D76" s="8" t="n">
        <f aca="false">C76-B76</f>
        <v>-0.0395357818690439</v>
      </c>
      <c r="E76" s="8" t="n">
        <f aca="false">ABS(D76)</f>
        <v>0.0395357818690439</v>
      </c>
      <c r="F76" s="10"/>
      <c r="G76" s="1"/>
      <c r="I76" s="9" t="s">
        <v>34</v>
      </c>
      <c r="J76" s="1" t="n">
        <v>0</v>
      </c>
    </row>
    <row r="77" customFormat="false" ht="12.8" hidden="false" customHeight="false" outlineLevel="0" collapsed="false">
      <c r="A77" s="6" t="n">
        <v>3</v>
      </c>
      <c r="B77" s="1" t="n">
        <v>0.736591542434996</v>
      </c>
      <c r="C77" s="1" t="n">
        <v>0.724560029881393</v>
      </c>
      <c r="D77" s="8" t="n">
        <f aca="false">C77-B77</f>
        <v>-0.012031512553603</v>
      </c>
      <c r="E77" s="8" t="n">
        <f aca="false">ABS(D77)</f>
        <v>0.012031512553603</v>
      </c>
      <c r="F77" s="10"/>
      <c r="G77" s="1"/>
      <c r="I77" s="9"/>
      <c r="J77" s="5" t="s">
        <v>35</v>
      </c>
      <c r="K77" s="5" t="s">
        <v>36</v>
      </c>
    </row>
    <row r="78" customFormat="false" ht="12.8" hidden="false" customHeight="false" outlineLevel="0" collapsed="false">
      <c r="A78" s="6" t="n">
        <v>4</v>
      </c>
      <c r="B78" s="1" t="n">
        <v>0.65821229308805</v>
      </c>
      <c r="C78" s="1" t="n">
        <v>0.708336187220553</v>
      </c>
      <c r="D78" s="8" t="n">
        <f aca="false">C78-B78</f>
        <v>0.0501238941325031</v>
      </c>
      <c r="E78" s="8" t="n">
        <f aca="false">ABS(D78)</f>
        <v>0.0501238941325031</v>
      </c>
      <c r="F78" s="10"/>
      <c r="G78" s="1"/>
      <c r="I78" s="9" t="s">
        <v>11</v>
      </c>
      <c r="J78" s="1" t="n">
        <f aca="false">AVERAGE(sims_per_turn_scen6!$B$74:$B$99)</f>
        <v>0.728056470408934</v>
      </c>
      <c r="K78" s="1" t="n">
        <f aca="false">AVERAGE(sims_per_turn_scen6!$C$74:$C$99)</f>
        <v>0.724822383295928</v>
      </c>
    </row>
    <row r="79" customFormat="false" ht="12.8" hidden="false" customHeight="false" outlineLevel="0" collapsed="false">
      <c r="A79" s="6" t="n">
        <v>5</v>
      </c>
      <c r="B79" s="1" t="n">
        <v>0.743184893131854</v>
      </c>
      <c r="C79" s="1" t="n">
        <v>0.697620486730694</v>
      </c>
      <c r="D79" s="8" t="n">
        <f aca="false">C79-B79</f>
        <v>-0.04556440640116</v>
      </c>
      <c r="E79" s="8" t="n">
        <f aca="false">ABS(D79)</f>
        <v>0.04556440640116</v>
      </c>
      <c r="F79" s="10"/>
      <c r="G79" s="1"/>
      <c r="I79" s="9" t="s">
        <v>12</v>
      </c>
      <c r="J79" s="1" t="n">
        <f aca="false">VAR(sims_per_turn_scen6!$B$74:$B$99)</f>
        <v>0.00373474514581051</v>
      </c>
      <c r="K79" s="1" t="n">
        <f aca="false">VAR(sims_per_turn_scen6!$C$74:$C$99)</f>
        <v>0.00271287127185974</v>
      </c>
    </row>
    <row r="80" customFormat="false" ht="12.8" hidden="false" customHeight="false" outlineLevel="0" collapsed="false">
      <c r="A80" s="6" t="n">
        <v>6</v>
      </c>
      <c r="B80" s="1" t="n">
        <v>0.738363300257884</v>
      </c>
      <c r="C80" s="1" t="n">
        <v>0.757276291011557</v>
      </c>
      <c r="D80" s="8" t="n">
        <f aca="false">C80-B80</f>
        <v>0.018912990753673</v>
      </c>
      <c r="E80" s="8" t="n">
        <f aca="false">ABS(D80)</f>
        <v>0.018912990753673</v>
      </c>
      <c r="F80" s="10"/>
      <c r="G80" s="1"/>
      <c r="I80" s="9" t="s">
        <v>37</v>
      </c>
      <c r="J80" s="1" t="n">
        <f aca="false">COUNT(sims_per_turn_scen6!$B$74:$B$99)</f>
        <v>25</v>
      </c>
      <c r="K80" s="1" t="n">
        <f aca="false">COUNT(sims_per_turn_scen6!$C$74:$C$99)</f>
        <v>25</v>
      </c>
    </row>
    <row r="81" customFormat="false" ht="12.8" hidden="false" customHeight="false" outlineLevel="0" collapsed="false">
      <c r="A81" s="6" t="n">
        <v>7</v>
      </c>
      <c r="B81" s="1" t="n">
        <v>0.802709380775578</v>
      </c>
      <c r="C81" s="1" t="n">
        <v>0.758449701833791</v>
      </c>
      <c r="D81" s="8" t="n">
        <f aca="false">C81-B81</f>
        <v>-0.044259678941787</v>
      </c>
      <c r="E81" s="8" t="n">
        <f aca="false">ABS(D81)</f>
        <v>0.044259678941787</v>
      </c>
      <c r="F81" s="10"/>
      <c r="G81" s="1"/>
      <c r="I81" s="9" t="s">
        <v>38</v>
      </c>
      <c r="J81" s="1" t="n">
        <f aca="false">CORREL(sims_per_turn_scen6!$B$74:$B$99,sims_per_turn_scen6!$C$74:$C$99)</f>
        <v>0.754668610424981</v>
      </c>
    </row>
    <row r="82" customFormat="false" ht="12.8" hidden="false" customHeight="false" outlineLevel="0" collapsed="false">
      <c r="A82" s="6" t="n">
        <v>8</v>
      </c>
      <c r="B82" s="1" t="n">
        <v>0.767137820624339</v>
      </c>
      <c r="C82" s="1" t="n">
        <v>0.705275325567815</v>
      </c>
      <c r="D82" s="8" t="n">
        <f aca="false">C82-B82</f>
        <v>-0.061862495056524</v>
      </c>
      <c r="E82" s="8" t="n">
        <f aca="false">ABS(D82)</f>
        <v>0.061862495056524</v>
      </c>
      <c r="F82" s="10"/>
      <c r="G82" s="1"/>
      <c r="I82" s="9" t="s">
        <v>39</v>
      </c>
      <c r="J82" s="1" t="n">
        <f aca="false" t="array" ref="J82:J82">AVERAGE(IF(ISODD(IF(ISNUMBER(sims_per_turn_scen6!$B$74:$B$99), 1, 0) * IF(ISNUMBER(sims_per_turn_scen6!$C$74:$C$99), 1, 0)), sims_per_turn_scen6!$B$74:$B$99 - sims_per_turn_scen6!$C$74:$C$99, "NA"))</f>
        <v>0.00323408711300508</v>
      </c>
    </row>
    <row r="83" customFormat="false" ht="12.8" hidden="false" customHeight="false" outlineLevel="0" collapsed="false">
      <c r="A83" s="6" t="n">
        <v>9</v>
      </c>
      <c r="B83" s="1" t="n">
        <v>0.655203842604779</v>
      </c>
      <c r="C83" s="1" t="n">
        <v>0.638110457472859</v>
      </c>
      <c r="D83" s="8" t="n">
        <f aca="false">C83-B83</f>
        <v>-0.01709338513192</v>
      </c>
      <c r="E83" s="8" t="n">
        <f aca="false">ABS(D83)</f>
        <v>0.01709338513192</v>
      </c>
      <c r="F83" s="10"/>
      <c r="G83" s="1"/>
      <c r="I83" s="9" t="s">
        <v>40</v>
      </c>
      <c r="J83" s="1" t="n">
        <f aca="false" t="array" ref="J83:J83">VAR(IF(ISODD(IF(ISNUMBER(sims_per_turn_scen6!$B$74:$B$99), 1, 0) * IF(ISNUMBER(sims_per_turn_scen6!$C$74:$C$99), 1, 0)), sims_per_turn_scen6!$B$74:$B$99 - sims_per_turn_scen6!$C$74:$C$99, "NA"))</f>
        <v>0.00164330267392305</v>
      </c>
    </row>
    <row r="84" customFormat="false" ht="12.8" hidden="false" customHeight="false" outlineLevel="0" collapsed="false">
      <c r="A84" s="6" t="n">
        <v>10</v>
      </c>
      <c r="B84" s="1" t="n">
        <v>0.700905183166286</v>
      </c>
      <c r="C84" s="1" t="n">
        <v>0.718916919696981</v>
      </c>
      <c r="D84" s="8" t="n">
        <f aca="false">C84-B84</f>
        <v>0.018011736530695</v>
      </c>
      <c r="E84" s="8" t="n">
        <f aca="false">ABS(D84)</f>
        <v>0.018011736530695</v>
      </c>
      <c r="F84" s="10"/>
      <c r="G84" s="1"/>
      <c r="I84" s="9" t="s">
        <v>20</v>
      </c>
      <c r="J84" s="1" t="n">
        <f aca="false" t="array" ref="J84:J84">SUM(IF(ISNUMBER(sims_per_turn_scen6!$B$74:$B$99), 1, 0) * IF(ISNUMBER(sims_per_turn_scen6!$C$74:$C$99), 1, 0)) - 1</f>
        <v>24</v>
      </c>
    </row>
    <row r="85" customFormat="false" ht="12.8" hidden="false" customHeight="false" outlineLevel="0" collapsed="false">
      <c r="A85" s="6" t="n">
        <v>11</v>
      </c>
      <c r="B85" s="1" t="n">
        <v>0.719629235257693</v>
      </c>
      <c r="C85" s="1" t="n">
        <v>0.760910644452133</v>
      </c>
      <c r="D85" s="8" t="n">
        <f aca="false">C85-B85</f>
        <v>0.04128140919444</v>
      </c>
      <c r="E85" s="8" t="n">
        <f aca="false">ABS(D85)</f>
        <v>0.04128140919444</v>
      </c>
      <c r="F85" s="10"/>
      <c r="G85" s="1"/>
      <c r="I85" s="9" t="s">
        <v>41</v>
      </c>
      <c r="J85" s="1" t="n">
        <f aca="false">(sims_per_turn_scen6!$J$82 - sims_per_turn_scen6!$J$76) / (sims_per_turn_scen6!$J$83 / ( sims_per_turn_scen6!$J$84 + 1)) ^ 0.5</f>
        <v>0.398898990478429</v>
      </c>
    </row>
    <row r="86" customFormat="false" ht="12.8" hidden="false" customHeight="false" outlineLevel="0" collapsed="false">
      <c r="A86" s="6" t="n">
        <v>12</v>
      </c>
      <c r="B86" s="1" t="n">
        <v>0.831621410337318</v>
      </c>
      <c r="C86" s="1" t="n">
        <v>0.812780603575516</v>
      </c>
      <c r="D86" s="8" t="n">
        <f aca="false">C86-B86</f>
        <v>-0.018840806761802</v>
      </c>
      <c r="E86" s="8" t="n">
        <f aca="false">ABS(D86)</f>
        <v>0.018840806761802</v>
      </c>
      <c r="F86" s="10"/>
      <c r="G86" s="1"/>
      <c r="I86" s="9" t="s">
        <v>42</v>
      </c>
      <c r="J86" s="1" t="n">
        <f aca="false">TDIST(ABS(sims_per_turn_scen6!$J$85), sims_per_turn_scen6!$J$84, 1)</f>
        <v>0.346747379930831</v>
      </c>
    </row>
    <row r="87" customFormat="false" ht="12.8" hidden="false" customHeight="false" outlineLevel="0" collapsed="false">
      <c r="A87" s="6" t="n">
        <v>13</v>
      </c>
      <c r="B87" s="1" t="n">
        <v>0.709519501585356</v>
      </c>
      <c r="C87" s="1" t="n">
        <v>0.721407571089307</v>
      </c>
      <c r="D87" s="8" t="n">
        <f aca="false">C87-B87</f>
        <v>0.0118880695039509</v>
      </c>
      <c r="E87" s="8" t="n">
        <f aca="false">ABS(D87)</f>
        <v>0.0118880695039509</v>
      </c>
      <c r="F87" s="10"/>
      <c r="G87" s="1"/>
      <c r="I87" s="9" t="s">
        <v>43</v>
      </c>
      <c r="J87" s="1" t="n">
        <f aca="false">TINV(2*sims_per_turn_scen6!$J$75, sims_per_turn_scen6!$J$84)</f>
        <v>1.71088207990943</v>
      </c>
    </row>
    <row r="88" customFormat="false" ht="12.8" hidden="false" customHeight="false" outlineLevel="0" collapsed="false">
      <c r="A88" s="6" t="n">
        <v>14</v>
      </c>
      <c r="B88" s="1" t="n">
        <v>0.752588038781123</v>
      </c>
      <c r="C88" s="1" t="n">
        <v>0.76471605795332</v>
      </c>
      <c r="D88" s="8" t="n">
        <f aca="false">C88-B88</f>
        <v>0.012128019172197</v>
      </c>
      <c r="E88" s="8" t="n">
        <f aca="false">ABS(D88)</f>
        <v>0.012128019172197</v>
      </c>
      <c r="F88" s="10"/>
      <c r="G88" s="1"/>
      <c r="I88" s="9" t="s">
        <v>44</v>
      </c>
      <c r="J88" s="1" t="n">
        <f aca="false">TDIST(ABS(sims_per_turn_scen6!$J$85), sims_per_turn_scen6!$J$84, 2)</f>
        <v>0.693494759861662</v>
      </c>
    </row>
    <row r="89" customFormat="false" ht="12.8" hidden="false" customHeight="false" outlineLevel="0" collapsed="false">
      <c r="A89" s="6" t="n">
        <v>15</v>
      </c>
      <c r="B89" s="1" t="n">
        <v>0.742555870420495</v>
      </c>
      <c r="C89" s="1" t="n">
        <v>0.711757961516188</v>
      </c>
      <c r="D89" s="8" t="n">
        <f aca="false">C89-B89</f>
        <v>-0.030797908904307</v>
      </c>
      <c r="E89" s="8" t="n">
        <f aca="false">ABS(D89)</f>
        <v>0.030797908904307</v>
      </c>
      <c r="F89" s="10"/>
      <c r="G89" s="1"/>
      <c r="I89" s="9" t="s">
        <v>45</v>
      </c>
      <c r="J89" s="1" t="n">
        <f aca="false">TINV(sims_per_turn_scen6!$J$75, sims_per_turn_scen6!$J$84)</f>
        <v>2.06389856162803</v>
      </c>
    </row>
    <row r="90" customFormat="false" ht="12.8" hidden="false" customHeight="false" outlineLevel="0" collapsed="false">
      <c r="A90" s="6" t="n">
        <v>16</v>
      </c>
      <c r="B90" s="1" t="n">
        <v>0.626600189640605</v>
      </c>
      <c r="C90" s="1" t="n">
        <v>0.636409131350562</v>
      </c>
      <c r="D90" s="8" t="n">
        <f aca="false">C90-B90</f>
        <v>0.00980894170995694</v>
      </c>
      <c r="E90" s="8" t="n">
        <f aca="false">ABS(D90)</f>
        <v>0.00980894170995694</v>
      </c>
      <c r="F90" s="10"/>
      <c r="G90" s="1"/>
    </row>
    <row r="91" customFormat="false" ht="12.8" hidden="false" customHeight="false" outlineLevel="0" collapsed="false">
      <c r="A91" s="6" t="n">
        <v>17</v>
      </c>
      <c r="B91" s="1" t="n">
        <v>0.81814248001184</v>
      </c>
      <c r="C91" s="1" t="n">
        <v>0.760684614350216</v>
      </c>
      <c r="D91" s="8" t="n">
        <f aca="false">C91-B91</f>
        <v>-0.057457865661624</v>
      </c>
      <c r="E91" s="8" t="n">
        <f aca="false">ABS(D91)</f>
        <v>0.057457865661624</v>
      </c>
      <c r="F91" s="10"/>
      <c r="G91" s="1"/>
    </row>
    <row r="92" customFormat="false" ht="12.8" hidden="false" customHeight="false" outlineLevel="0" collapsed="false">
      <c r="A92" s="6" t="n">
        <v>18</v>
      </c>
      <c r="B92" s="1" t="n">
        <v>0.647963419254761</v>
      </c>
      <c r="C92" s="1" t="n">
        <v>0.689444509253728</v>
      </c>
      <c r="D92" s="8" t="n">
        <f aca="false">C92-B92</f>
        <v>0.0414810899989671</v>
      </c>
      <c r="E92" s="8" t="n">
        <f aca="false">ABS(D92)</f>
        <v>0.0414810899989671</v>
      </c>
      <c r="F92" s="10"/>
      <c r="G92" s="1"/>
    </row>
    <row r="93" customFormat="false" ht="12.8" hidden="false" customHeight="false" outlineLevel="0" collapsed="false">
      <c r="A93" s="6" t="n">
        <v>19</v>
      </c>
      <c r="B93" s="1" t="n">
        <v>0.643841741383017</v>
      </c>
      <c r="C93" s="1" t="n">
        <v>0.699907553556336</v>
      </c>
      <c r="D93" s="8" t="n">
        <f aca="false">C93-B93</f>
        <v>0.0560658121733191</v>
      </c>
      <c r="E93" s="8" t="n">
        <f aca="false">ABS(D93)</f>
        <v>0.0560658121733191</v>
      </c>
      <c r="F93" s="10"/>
      <c r="G93" s="1"/>
    </row>
    <row r="94" customFormat="false" ht="12.8" hidden="false" customHeight="false" outlineLevel="0" collapsed="false">
      <c r="A94" s="6" t="n">
        <v>20</v>
      </c>
      <c r="B94" s="1" t="n">
        <v>0.654547731132537</v>
      </c>
      <c r="C94" s="1" t="n">
        <v>0.721470667146881</v>
      </c>
      <c r="D94" s="8" t="n">
        <f aca="false">C94-B94</f>
        <v>0.0669229360143441</v>
      </c>
      <c r="E94" s="8" t="n">
        <f aca="false">ABS(D94)</f>
        <v>0.0669229360143441</v>
      </c>
      <c r="F94" s="10"/>
      <c r="G94" s="1"/>
    </row>
    <row r="95" customFormat="false" ht="12.8" hidden="false" customHeight="false" outlineLevel="0" collapsed="false">
      <c r="A95" s="6" t="n">
        <v>21</v>
      </c>
      <c r="B95" s="1" t="n">
        <v>0.737279793404405</v>
      </c>
      <c r="C95" s="1" t="n">
        <v>0.694019107158469</v>
      </c>
      <c r="D95" s="8" t="n">
        <f aca="false">C95-B95</f>
        <v>-0.0432606862459359</v>
      </c>
      <c r="E95" s="8" t="n">
        <f aca="false">ABS(D95)</f>
        <v>0.0432606862459359</v>
      </c>
      <c r="F95" s="10"/>
      <c r="G95" s="1"/>
    </row>
    <row r="96" customFormat="false" ht="12.8" hidden="false" customHeight="false" outlineLevel="0" collapsed="false">
      <c r="A96" s="6" t="n">
        <v>22</v>
      </c>
      <c r="B96" s="1" t="n">
        <v>0.741791001479869</v>
      </c>
      <c r="C96" s="1" t="n">
        <v>0.755797582220466</v>
      </c>
      <c r="D96" s="8" t="n">
        <f aca="false">C96-B96</f>
        <v>0.014006580740597</v>
      </c>
      <c r="E96" s="8" t="n">
        <f aca="false">ABS(D96)</f>
        <v>0.014006580740597</v>
      </c>
      <c r="F96" s="10"/>
      <c r="G96" s="1"/>
    </row>
    <row r="97" customFormat="false" ht="12.8" hidden="false" customHeight="false" outlineLevel="0" collapsed="false">
      <c r="A97" s="6" t="n">
        <v>23</v>
      </c>
      <c r="B97" s="1" t="n">
        <v>0.720324505975325</v>
      </c>
      <c r="C97" s="1" t="n">
        <v>0.650885309375863</v>
      </c>
      <c r="D97" s="8" t="n">
        <f aca="false">C97-B97</f>
        <v>-0.0694391965994621</v>
      </c>
      <c r="E97" s="8" t="n">
        <f aca="false">ABS(D97)</f>
        <v>0.0694391965994621</v>
      </c>
      <c r="F97" s="10"/>
      <c r="G97" s="1"/>
    </row>
    <row r="98" customFormat="false" ht="12.8" hidden="false" customHeight="false" outlineLevel="0" collapsed="false">
      <c r="A98" s="6" t="n">
        <v>24</v>
      </c>
      <c r="B98" s="1" t="n">
        <v>0.85301227080764</v>
      </c>
      <c r="C98" s="1" t="n">
        <v>0.810318587583629</v>
      </c>
      <c r="D98" s="8" t="n">
        <f aca="false">C98-B98</f>
        <v>-0.042693683224011</v>
      </c>
      <c r="E98" s="8" t="n">
        <f aca="false">ABS(D98)</f>
        <v>0.042693683224011</v>
      </c>
      <c r="F98" s="10"/>
      <c r="G98" s="1"/>
    </row>
    <row r="99" customFormat="false" ht="12.8" hidden="false" customHeight="false" outlineLevel="0" collapsed="false">
      <c r="A99" s="4" t="n">
        <v>25</v>
      </c>
      <c r="B99" s="1" t="n">
        <v>0.727945465577406</v>
      </c>
      <c r="C99" s="1" t="n">
        <v>0.756032220349956</v>
      </c>
      <c r="D99" s="8" t="n">
        <f aca="false">C99-B99</f>
        <v>0.02808675477255</v>
      </c>
      <c r="E99" s="8" t="n">
        <f aca="false">ABS(D99)</f>
        <v>0.02808675477255</v>
      </c>
      <c r="F99" s="10"/>
      <c r="G99" s="1"/>
    </row>
    <row r="102" customFormat="false" ht="12.8" hidden="false" customHeight="false" outlineLevel="0" collapsed="false">
      <c r="A102" s="2" t="s">
        <v>0</v>
      </c>
      <c r="B102" s="3" t="s">
        <v>1</v>
      </c>
      <c r="C102" s="3" t="s">
        <v>2</v>
      </c>
      <c r="D102" s="8" t="s">
        <v>47</v>
      </c>
      <c r="E102" s="8" t="s">
        <v>30</v>
      </c>
      <c r="F102" s="8" t="s">
        <v>31</v>
      </c>
      <c r="G102" s="8" t="s">
        <v>32</v>
      </c>
      <c r="I102" s="5" t="s">
        <v>33</v>
      </c>
    </row>
    <row r="103" customFormat="false" ht="12.8" hidden="false" customHeight="false" outlineLevel="0" collapsed="false">
      <c r="A103" s="6" t="n">
        <v>1</v>
      </c>
      <c r="B103" s="1" t="n">
        <v>0.790005749889737</v>
      </c>
      <c r="C103" s="1" t="n">
        <v>0.818947298519002</v>
      </c>
      <c r="D103" s="8" t="n">
        <f aca="false">C103-B103</f>
        <v>0.028941548629265</v>
      </c>
      <c r="E103" s="8" t="n">
        <f aca="false">ABS(D103)</f>
        <v>0.028941548629265</v>
      </c>
      <c r="F103" s="8" t="n">
        <f aca="false">AVERAGE(D103:D127)</f>
        <v>0.00797435309441729</v>
      </c>
      <c r="G103" s="8" t="n">
        <f aca="false">_xlfn.STDEV.S(D103:D127)</f>
        <v>0.036108486673415</v>
      </c>
      <c r="I103" s="1" t="s">
        <v>7</v>
      </c>
      <c r="J103" s="1" t="n">
        <v>0.05</v>
      </c>
    </row>
    <row r="104" customFormat="false" ht="12.8" hidden="false" customHeight="false" outlineLevel="0" collapsed="false">
      <c r="A104" s="6" t="n">
        <v>2</v>
      </c>
      <c r="B104" s="1" t="n">
        <v>0.681735099200446</v>
      </c>
      <c r="C104" s="1" t="n">
        <v>0.726675054349364</v>
      </c>
      <c r="D104" s="8" t="n">
        <f aca="false">C104-B104</f>
        <v>0.044939955148918</v>
      </c>
      <c r="E104" s="8" t="n">
        <f aca="false">ABS(D104)</f>
        <v>0.044939955148918</v>
      </c>
      <c r="F104" s="10"/>
      <c r="G104" s="1"/>
      <c r="I104" s="1" t="s">
        <v>34</v>
      </c>
      <c r="J104" s="1" t="n">
        <v>0</v>
      </c>
    </row>
    <row r="105" customFormat="false" ht="12.8" hidden="false" customHeight="false" outlineLevel="0" collapsed="false">
      <c r="A105" s="6" t="n">
        <v>3</v>
      </c>
      <c r="B105" s="1" t="n">
        <v>0.736591542434996</v>
      </c>
      <c r="C105" s="1" t="n">
        <v>0.753823763148008</v>
      </c>
      <c r="D105" s="8" t="n">
        <f aca="false">C105-B105</f>
        <v>0.017232220713012</v>
      </c>
      <c r="E105" s="8" t="n">
        <f aca="false">ABS(D105)</f>
        <v>0.017232220713012</v>
      </c>
      <c r="F105" s="10"/>
      <c r="G105" s="1"/>
      <c r="J105" s="5" t="s">
        <v>35</v>
      </c>
      <c r="K105" s="5" t="s">
        <v>36</v>
      </c>
    </row>
    <row r="106" customFormat="false" ht="12.8" hidden="false" customHeight="false" outlineLevel="0" collapsed="false">
      <c r="A106" s="6" t="n">
        <v>4</v>
      </c>
      <c r="B106" s="1" t="n">
        <v>0.65821229308805</v>
      </c>
      <c r="C106" s="1" t="n">
        <v>0.694689160951428</v>
      </c>
      <c r="D106" s="8" t="n">
        <f aca="false">C106-B106</f>
        <v>0.036476867863378</v>
      </c>
      <c r="E106" s="8" t="n">
        <f aca="false">ABS(D106)</f>
        <v>0.036476867863378</v>
      </c>
      <c r="F106" s="10"/>
      <c r="G106" s="1"/>
      <c r="I106" s="1" t="s">
        <v>11</v>
      </c>
      <c r="J106" s="1" t="n">
        <f aca="false">AVERAGE(sims_per_turn_scen6!$B$102:$B$127)</f>
        <v>0.728056470408934</v>
      </c>
      <c r="K106" s="1" t="n">
        <f aca="false">AVERAGE(sims_per_turn_scen6!$C$102:$C$127)</f>
        <v>0.736030823503351</v>
      </c>
    </row>
    <row r="107" customFormat="false" ht="12.8" hidden="false" customHeight="false" outlineLevel="0" collapsed="false">
      <c r="A107" s="6" t="n">
        <v>5</v>
      </c>
      <c r="B107" s="1" t="n">
        <v>0.743184893131854</v>
      </c>
      <c r="C107" s="1" t="n">
        <v>0.750318975083652</v>
      </c>
      <c r="D107" s="8" t="n">
        <f aca="false">C107-B107</f>
        <v>0.00713408195179799</v>
      </c>
      <c r="E107" s="8" t="n">
        <f aca="false">ABS(D107)</f>
        <v>0.00713408195179799</v>
      </c>
      <c r="F107" s="10"/>
      <c r="G107" s="1"/>
      <c r="I107" s="1" t="s">
        <v>12</v>
      </c>
      <c r="J107" s="1" t="n">
        <f aca="false">VAR(sims_per_turn_scen6!$B$102:$B$127)</f>
        <v>0.00373474514581051</v>
      </c>
      <c r="K107" s="1" t="n">
        <f aca="false">VAR(sims_per_turn_scen6!$C$102:$C$127)</f>
        <v>0.00298974415306126</v>
      </c>
    </row>
    <row r="108" customFormat="false" ht="12.8" hidden="false" customHeight="false" outlineLevel="0" collapsed="false">
      <c r="A108" s="6" t="n">
        <v>6</v>
      </c>
      <c r="B108" s="1" t="n">
        <v>0.738363300257884</v>
      </c>
      <c r="C108" s="1" t="n">
        <v>0.792897506425522</v>
      </c>
      <c r="D108" s="8" t="n">
        <f aca="false">C108-B108</f>
        <v>0.054534206167638</v>
      </c>
      <c r="E108" s="8" t="n">
        <f aca="false">ABS(D108)</f>
        <v>0.054534206167638</v>
      </c>
      <c r="F108" s="10"/>
      <c r="G108" s="1"/>
      <c r="I108" s="1" t="s">
        <v>37</v>
      </c>
      <c r="J108" s="1" t="n">
        <f aca="false">COUNT(sims_per_turn_scen6!$B$102:$B$127)</f>
        <v>25</v>
      </c>
      <c r="K108" s="1" t="n">
        <f aca="false">COUNT(sims_per_turn_scen6!$C$102:$C$127)</f>
        <v>25</v>
      </c>
    </row>
    <row r="109" customFormat="false" ht="12.8" hidden="false" customHeight="false" outlineLevel="0" collapsed="false">
      <c r="A109" s="6" t="n">
        <v>7</v>
      </c>
      <c r="B109" s="1" t="n">
        <v>0.802709380775578</v>
      </c>
      <c r="C109" s="1" t="n">
        <v>0.740717063652639</v>
      </c>
      <c r="D109" s="8" t="n">
        <f aca="false">C109-B109</f>
        <v>-0.061992317122939</v>
      </c>
      <c r="E109" s="8" t="n">
        <f aca="false">ABS(D109)</f>
        <v>0.061992317122939</v>
      </c>
      <c r="F109" s="10"/>
      <c r="G109" s="1"/>
      <c r="I109" s="1" t="s">
        <v>38</v>
      </c>
      <c r="J109" s="1" t="n">
        <f aca="false">CORREL(sims_per_turn_scen6!$B$102:$B$127,sims_per_turn_scen6!$C$102:$C$127)</f>
        <v>0.811101479844652</v>
      </c>
    </row>
    <row r="110" customFormat="false" ht="12.8" hidden="false" customHeight="false" outlineLevel="0" collapsed="false">
      <c r="A110" s="6" t="n">
        <v>8</v>
      </c>
      <c r="B110" s="1" t="n">
        <v>0.767137820624339</v>
      </c>
      <c r="C110" s="1" t="n">
        <v>0.701518866188206</v>
      </c>
      <c r="D110" s="8" t="n">
        <f aca="false">C110-B110</f>
        <v>-0.065618954436133</v>
      </c>
      <c r="E110" s="8" t="n">
        <f aca="false">ABS(D110)</f>
        <v>0.065618954436133</v>
      </c>
      <c r="F110" s="10"/>
      <c r="G110" s="1"/>
      <c r="I110" s="1" t="s">
        <v>39</v>
      </c>
      <c r="J110" s="1" t="n">
        <f aca="false" t="array" ref="J110:J110">AVERAGE(IF(ISODD(IF(ISNUMBER(sims_per_turn_scen6!$B$102:$B$127), 1, 0) * IF(ISNUMBER(sims_per_turn_scen6!$C$102:$C$127), 1, 0)), sims_per_turn_scen6!$B$102:$B$127 - sims_per_turn_scen6!$C$102:$C$127, "NA"))</f>
        <v>-0.00797435309441729</v>
      </c>
    </row>
    <row r="111" customFormat="false" ht="12.8" hidden="false" customHeight="false" outlineLevel="0" collapsed="false">
      <c r="A111" s="6" t="n">
        <v>9</v>
      </c>
      <c r="B111" s="1" t="n">
        <v>0.655203842604779</v>
      </c>
      <c r="C111" s="1" t="n">
        <v>0.679408838434061</v>
      </c>
      <c r="D111" s="8" t="n">
        <f aca="false">C111-B111</f>
        <v>0.0242049958292819</v>
      </c>
      <c r="E111" s="8" t="n">
        <f aca="false">ABS(D111)</f>
        <v>0.0242049958292819</v>
      </c>
      <c r="F111" s="10"/>
      <c r="G111" s="1"/>
      <c r="I111" s="1" t="s">
        <v>40</v>
      </c>
      <c r="J111" s="1" t="n">
        <f aca="false" t="array" ref="J111:J111">VAR(IF(ISODD(IF(ISNUMBER(sims_per_turn_scen6!$B$102:$B$127), 1, 0) * IF(ISNUMBER(sims_per_turn_scen6!$C$102:$C$127), 1, 0)), sims_per_turn_scen6!$B$102:$B$127 - sims_per_turn_scen6!$C$102:$C$127, "NA"))</f>
        <v>0.00130382280984419</v>
      </c>
    </row>
    <row r="112" customFormat="false" ht="12.8" hidden="false" customHeight="false" outlineLevel="0" collapsed="false">
      <c r="A112" s="6" t="n">
        <v>10</v>
      </c>
      <c r="B112" s="1" t="n">
        <v>0.700905183166286</v>
      </c>
      <c r="C112" s="1" t="n">
        <v>0.693828339018655</v>
      </c>
      <c r="D112" s="8" t="n">
        <f aca="false">C112-B112</f>
        <v>-0.00707684414763099</v>
      </c>
      <c r="E112" s="8" t="n">
        <f aca="false">ABS(D112)</f>
        <v>0.00707684414763099</v>
      </c>
      <c r="F112" s="10"/>
      <c r="G112" s="1"/>
      <c r="I112" s="1" t="s">
        <v>20</v>
      </c>
      <c r="J112" s="1" t="n">
        <f aca="false" t="array" ref="J112:J112">SUM(IF(ISNUMBER(sims_per_turn_scen6!$B$102:$B$127), 1, 0) * IF(ISNUMBER(sims_per_turn_scen6!$C$102:$C$127), 1, 0)) - 1</f>
        <v>24</v>
      </c>
    </row>
    <row r="113" customFormat="false" ht="12.8" hidden="false" customHeight="false" outlineLevel="0" collapsed="false">
      <c r="A113" s="6" t="n">
        <v>11</v>
      </c>
      <c r="B113" s="1" t="n">
        <v>0.719629235257693</v>
      </c>
      <c r="C113" s="1" t="n">
        <v>0.714015093691685</v>
      </c>
      <c r="D113" s="8" t="n">
        <f aca="false">C113-B113</f>
        <v>-0.00561414156600792</v>
      </c>
      <c r="E113" s="8" t="n">
        <f aca="false">ABS(D113)</f>
        <v>0.00561414156600792</v>
      </c>
      <c r="F113" s="10"/>
      <c r="G113" s="1"/>
      <c r="I113" s="1" t="s">
        <v>41</v>
      </c>
      <c r="J113" s="1" t="n">
        <f aca="false">(sims_per_turn_scen6!$J$110 - sims_per_turn_scen6!$J$104) / (sims_per_turn_scen6!$J$111 / ( sims_per_turn_scen6!$J$112 + 1)) ^ 0.5</f>
        <v>-1.1042214488995</v>
      </c>
    </row>
    <row r="114" customFormat="false" ht="12.8" hidden="false" customHeight="false" outlineLevel="0" collapsed="false">
      <c r="A114" s="6" t="n">
        <v>12</v>
      </c>
      <c r="B114" s="1" t="n">
        <v>0.831621410337318</v>
      </c>
      <c r="C114" s="1" t="n">
        <v>0.829353335851788</v>
      </c>
      <c r="D114" s="8" t="n">
        <f aca="false">C114-B114</f>
        <v>-0.0022680744855299</v>
      </c>
      <c r="E114" s="8" t="n">
        <f aca="false">ABS(D114)</f>
        <v>0.0022680744855299</v>
      </c>
      <c r="F114" s="10"/>
      <c r="G114" s="1"/>
      <c r="I114" s="1" t="s">
        <v>42</v>
      </c>
      <c r="J114" s="1" t="n">
        <f aca="false">TDIST(ABS(sims_per_turn_scen6!$J$113), sims_per_turn_scen6!$J$112, 1)</f>
        <v>0.140222700050282</v>
      </c>
    </row>
    <row r="115" customFormat="false" ht="12.8" hidden="false" customHeight="false" outlineLevel="0" collapsed="false">
      <c r="A115" s="6" t="n">
        <v>13</v>
      </c>
      <c r="B115" s="1" t="n">
        <v>0.709519501585356</v>
      </c>
      <c r="C115" s="1" t="n">
        <v>0.741335114714525</v>
      </c>
      <c r="D115" s="8" t="n">
        <f aca="false">C115-B115</f>
        <v>0.0318156131291689</v>
      </c>
      <c r="E115" s="8" t="n">
        <f aca="false">ABS(D115)</f>
        <v>0.0318156131291689</v>
      </c>
      <c r="F115" s="10"/>
      <c r="G115" s="1"/>
      <c r="I115" s="1" t="s">
        <v>43</v>
      </c>
      <c r="J115" s="1" t="n">
        <f aca="false">TINV(2*sims_per_turn_scen6!$J$103, sims_per_turn_scen6!$J$112)</f>
        <v>1.71088207990943</v>
      </c>
    </row>
    <row r="116" customFormat="false" ht="12.8" hidden="false" customHeight="false" outlineLevel="0" collapsed="false">
      <c r="A116" s="6" t="n">
        <v>14</v>
      </c>
      <c r="B116" s="1" t="n">
        <v>0.752588038781123</v>
      </c>
      <c r="C116" s="1" t="n">
        <v>0.777558691836526</v>
      </c>
      <c r="D116" s="8" t="n">
        <f aca="false">C116-B116</f>
        <v>0.024970653055403</v>
      </c>
      <c r="E116" s="8" t="n">
        <f aca="false">ABS(D116)</f>
        <v>0.024970653055403</v>
      </c>
      <c r="F116" s="10"/>
      <c r="G116" s="1"/>
      <c r="I116" s="1" t="s">
        <v>44</v>
      </c>
      <c r="J116" s="1" t="n">
        <f aca="false">TDIST(ABS(sims_per_turn_scen6!$J$113), sims_per_turn_scen6!$J$112, 2)</f>
        <v>0.280445400100564</v>
      </c>
    </row>
    <row r="117" customFormat="false" ht="12.8" hidden="false" customHeight="false" outlineLevel="0" collapsed="false">
      <c r="A117" s="6" t="n">
        <v>15</v>
      </c>
      <c r="B117" s="1" t="n">
        <v>0.742555870420495</v>
      </c>
      <c r="C117" s="1" t="n">
        <v>0.769655236905789</v>
      </c>
      <c r="D117" s="8" t="n">
        <f aca="false">C117-B117</f>
        <v>0.027099366485294</v>
      </c>
      <c r="E117" s="8" t="n">
        <f aca="false">ABS(D117)</f>
        <v>0.027099366485294</v>
      </c>
      <c r="F117" s="10"/>
      <c r="G117" s="1"/>
      <c r="I117" s="1" t="s">
        <v>45</v>
      </c>
      <c r="J117" s="1" t="n">
        <f aca="false">TINV(sims_per_turn_scen6!$J$103, sims_per_turn_scen6!$J$112)</f>
        <v>2.06389856162803</v>
      </c>
    </row>
    <row r="118" customFormat="false" ht="12.8" hidden="false" customHeight="false" outlineLevel="0" collapsed="false">
      <c r="A118" s="6" t="n">
        <v>16</v>
      </c>
      <c r="B118" s="1" t="n">
        <v>0.626600189640605</v>
      </c>
      <c r="C118" s="1" t="n">
        <v>0.692685234430471</v>
      </c>
      <c r="D118" s="8" t="n">
        <f aca="false">C118-B118</f>
        <v>0.066085044789866</v>
      </c>
      <c r="E118" s="8" t="n">
        <f aca="false">ABS(D118)</f>
        <v>0.066085044789866</v>
      </c>
      <c r="F118" s="10"/>
      <c r="G118" s="1"/>
    </row>
    <row r="119" customFormat="false" ht="12.8" hidden="false" customHeight="false" outlineLevel="0" collapsed="false">
      <c r="A119" s="6" t="n">
        <v>17</v>
      </c>
      <c r="B119" s="1" t="n">
        <v>0.81814248001184</v>
      </c>
      <c r="C119" s="1" t="n">
        <v>0.805787272798479</v>
      </c>
      <c r="D119" s="8" t="n">
        <f aca="false">C119-B119</f>
        <v>-0.012355207213361</v>
      </c>
      <c r="E119" s="8" t="n">
        <f aca="false">ABS(D119)</f>
        <v>0.012355207213361</v>
      </c>
      <c r="F119" s="10"/>
      <c r="G119" s="1"/>
    </row>
    <row r="120" customFormat="false" ht="12.8" hidden="false" customHeight="false" outlineLevel="0" collapsed="false">
      <c r="A120" s="6" t="n">
        <v>18</v>
      </c>
      <c r="B120" s="1" t="n">
        <v>0.647963419254761</v>
      </c>
      <c r="C120" s="1" t="n">
        <v>0.631093794200336</v>
      </c>
      <c r="D120" s="8" t="n">
        <f aca="false">C120-B120</f>
        <v>-0.016869625054425</v>
      </c>
      <c r="E120" s="8" t="n">
        <f aca="false">ABS(D120)</f>
        <v>0.016869625054425</v>
      </c>
      <c r="F120" s="10"/>
      <c r="G120" s="1"/>
    </row>
    <row r="121" customFormat="false" ht="12.8" hidden="false" customHeight="false" outlineLevel="0" collapsed="false">
      <c r="A121" s="6" t="n">
        <v>19</v>
      </c>
      <c r="B121" s="1" t="n">
        <v>0.643841741383017</v>
      </c>
      <c r="C121" s="1" t="n">
        <v>0.690269162854351</v>
      </c>
      <c r="D121" s="8" t="n">
        <f aca="false">C121-B121</f>
        <v>0.0464274214713341</v>
      </c>
      <c r="E121" s="8" t="n">
        <f aca="false">ABS(D121)</f>
        <v>0.0464274214713341</v>
      </c>
      <c r="F121" s="10"/>
      <c r="G121" s="1"/>
    </row>
    <row r="122" customFormat="false" ht="12.8" hidden="false" customHeight="false" outlineLevel="0" collapsed="false">
      <c r="A122" s="6" t="n">
        <v>20</v>
      </c>
      <c r="B122" s="1" t="n">
        <v>0.654547731132537</v>
      </c>
      <c r="C122" s="1" t="n">
        <v>0.697049065043941</v>
      </c>
      <c r="D122" s="8" t="n">
        <f aca="false">C122-B122</f>
        <v>0.0425013339114041</v>
      </c>
      <c r="E122" s="8" t="n">
        <f aca="false">ABS(D122)</f>
        <v>0.0425013339114041</v>
      </c>
      <c r="F122" s="10"/>
      <c r="G122" s="1"/>
    </row>
    <row r="123" customFormat="false" ht="12.8" hidden="false" customHeight="false" outlineLevel="0" collapsed="false">
      <c r="A123" s="6" t="n">
        <v>21</v>
      </c>
      <c r="B123" s="1" t="n">
        <v>0.737279793404405</v>
      </c>
      <c r="C123" s="1" t="n">
        <v>0.69517695472312</v>
      </c>
      <c r="D123" s="8" t="n">
        <f aca="false">C123-B123</f>
        <v>-0.042102838681285</v>
      </c>
      <c r="E123" s="8" t="n">
        <f aca="false">ABS(D123)</f>
        <v>0.042102838681285</v>
      </c>
      <c r="F123" s="10"/>
      <c r="G123" s="1"/>
    </row>
    <row r="124" customFormat="false" ht="12.8" hidden="false" customHeight="false" outlineLevel="0" collapsed="false">
      <c r="A124" s="6" t="n">
        <v>22</v>
      </c>
      <c r="B124" s="1" t="n">
        <v>0.741791001479869</v>
      </c>
      <c r="C124" s="1" t="n">
        <v>0.757953803081435</v>
      </c>
      <c r="D124" s="8" t="n">
        <f aca="false">C124-B124</f>
        <v>0.016162801601566</v>
      </c>
      <c r="E124" s="8" t="n">
        <f aca="false">ABS(D124)</f>
        <v>0.016162801601566</v>
      </c>
      <c r="F124" s="10"/>
      <c r="G124" s="1"/>
    </row>
    <row r="125" customFormat="false" ht="12.8" hidden="false" customHeight="false" outlineLevel="0" collapsed="false">
      <c r="A125" s="6" t="n">
        <v>23</v>
      </c>
      <c r="B125" s="1" t="n">
        <v>0.720324505975325</v>
      </c>
      <c r="C125" s="1" t="n">
        <v>0.663150812819657</v>
      </c>
      <c r="D125" s="8" t="n">
        <f aca="false">C125-B125</f>
        <v>-0.057173693155668</v>
      </c>
      <c r="E125" s="8" t="n">
        <f aca="false">ABS(D125)</f>
        <v>0.057173693155668</v>
      </c>
      <c r="F125" s="10"/>
      <c r="G125" s="1"/>
    </row>
    <row r="126" customFormat="false" ht="12.8" hidden="false" customHeight="false" outlineLevel="0" collapsed="false">
      <c r="A126" s="6" t="n">
        <v>24</v>
      </c>
      <c r="B126" s="1" t="n">
        <v>0.85301227080764</v>
      </c>
      <c r="C126" s="1" t="n">
        <v>0.846569350289584</v>
      </c>
      <c r="D126" s="8" t="n">
        <f aca="false">C126-B126</f>
        <v>-0.00644292051805595</v>
      </c>
      <c r="E126" s="8" t="n">
        <f aca="false">ABS(D126)</f>
        <v>0.00644292051805595</v>
      </c>
      <c r="F126" s="10"/>
      <c r="G126" s="1"/>
    </row>
    <row r="127" customFormat="false" ht="12.8" hidden="false" customHeight="false" outlineLevel="0" collapsed="false">
      <c r="A127" s="4" t="n">
        <v>25</v>
      </c>
      <c r="B127" s="1" t="n">
        <v>0.727945465577406</v>
      </c>
      <c r="C127" s="1" t="n">
        <v>0.736292798571547</v>
      </c>
      <c r="D127" s="8" t="n">
        <f aca="false">C127-B127</f>
        <v>0.00834733299414092</v>
      </c>
      <c r="E127" s="8" t="n">
        <f aca="false">ABS(D127)</f>
        <v>0.00834733299414092</v>
      </c>
      <c r="F127" s="10"/>
      <c r="G127" s="1"/>
    </row>
    <row r="130" customFormat="false" ht="12.8" hidden="false" customHeight="false" outlineLevel="0" collapsed="false">
      <c r="A130" s="2" t="s">
        <v>0</v>
      </c>
      <c r="B130" s="3" t="s">
        <v>1</v>
      </c>
      <c r="C130" s="3" t="s">
        <v>3</v>
      </c>
      <c r="D130" s="8" t="s">
        <v>48</v>
      </c>
      <c r="E130" s="8" t="s">
        <v>30</v>
      </c>
      <c r="F130" s="8" t="s">
        <v>31</v>
      </c>
      <c r="G130" s="8" t="s">
        <v>32</v>
      </c>
      <c r="I130" s="5" t="s">
        <v>33</v>
      </c>
    </row>
    <row r="131" customFormat="false" ht="12.8" hidden="false" customHeight="false" outlineLevel="0" collapsed="false">
      <c r="A131" s="6" t="n">
        <v>1</v>
      </c>
      <c r="B131" s="1" t="n">
        <v>0.790005749889737</v>
      </c>
      <c r="C131" s="1" t="n">
        <v>0.785168761593727</v>
      </c>
      <c r="D131" s="8" t="n">
        <f aca="false">C131-B131</f>
        <v>-0.00483698829601009</v>
      </c>
      <c r="E131" s="8" t="n">
        <f aca="false">ABS(D131)</f>
        <v>0.00483698829601009</v>
      </c>
      <c r="F131" s="8" t="n">
        <f aca="false">AVERAGE(D131:D155)</f>
        <v>-0.00773810704729856</v>
      </c>
      <c r="G131" s="8" t="n">
        <f aca="false">_xlfn.STDEV.S(D131:D155)</f>
        <v>0.034212842853043</v>
      </c>
      <c r="I131" s="9" t="s">
        <v>7</v>
      </c>
      <c r="J131" s="1" t="n">
        <v>0.05</v>
      </c>
    </row>
    <row r="132" customFormat="false" ht="12.8" hidden="false" customHeight="false" outlineLevel="0" collapsed="false">
      <c r="A132" s="6" t="n">
        <v>2</v>
      </c>
      <c r="B132" s="1" t="n">
        <v>0.681735099200446</v>
      </c>
      <c r="C132" s="1" t="n">
        <v>0.7034443874608</v>
      </c>
      <c r="D132" s="8" t="n">
        <f aca="false">C132-B132</f>
        <v>0.021709288260354</v>
      </c>
      <c r="E132" s="8" t="n">
        <f aca="false">ABS(D132)</f>
        <v>0.021709288260354</v>
      </c>
      <c r="F132" s="10"/>
      <c r="G132" s="1"/>
      <c r="I132" s="9" t="s">
        <v>34</v>
      </c>
      <c r="J132" s="1" t="n">
        <v>0</v>
      </c>
    </row>
    <row r="133" customFormat="false" ht="12.8" hidden="false" customHeight="false" outlineLevel="0" collapsed="false">
      <c r="A133" s="6" t="n">
        <v>3</v>
      </c>
      <c r="B133" s="1" t="n">
        <v>0.736591542434996</v>
      </c>
      <c r="C133" s="1" t="n">
        <v>0.735399855829613</v>
      </c>
      <c r="D133" s="8" t="n">
        <f aca="false">C133-B133</f>
        <v>-0.00119168660538305</v>
      </c>
      <c r="E133" s="8" t="n">
        <f aca="false">ABS(D133)</f>
        <v>0.00119168660538305</v>
      </c>
      <c r="F133" s="10"/>
      <c r="G133" s="1"/>
      <c r="I133" s="9"/>
      <c r="J133" s="5" t="s">
        <v>35</v>
      </c>
      <c r="K133" s="5" t="s">
        <v>36</v>
      </c>
    </row>
    <row r="134" customFormat="false" ht="12.8" hidden="false" customHeight="false" outlineLevel="0" collapsed="false">
      <c r="A134" s="6" t="n">
        <v>4</v>
      </c>
      <c r="B134" s="1" t="n">
        <v>0.65821229308805</v>
      </c>
      <c r="C134" s="1" t="n">
        <v>0.697297454274584</v>
      </c>
      <c r="D134" s="8" t="n">
        <f aca="false">C134-B134</f>
        <v>0.039085161186534</v>
      </c>
      <c r="E134" s="8" t="n">
        <f aca="false">ABS(D134)</f>
        <v>0.039085161186534</v>
      </c>
      <c r="F134" s="10"/>
      <c r="G134" s="1"/>
      <c r="I134" s="9" t="s">
        <v>11</v>
      </c>
      <c r="J134" s="1" t="n">
        <f aca="false">AVERAGE(sims_per_turn_scen6!$B$130:$B$155)</f>
        <v>0.728056470408934</v>
      </c>
      <c r="K134" s="1" t="n">
        <f aca="false">AVERAGE(sims_per_turn_scen6!$C$130:$C$155)</f>
        <v>0.720318363361635</v>
      </c>
    </row>
    <row r="135" customFormat="false" ht="12.8" hidden="false" customHeight="false" outlineLevel="0" collapsed="false">
      <c r="A135" s="6" t="n">
        <v>5</v>
      </c>
      <c r="B135" s="1" t="n">
        <v>0.743184893131854</v>
      </c>
      <c r="C135" s="1" t="n">
        <v>0.713223127756937</v>
      </c>
      <c r="D135" s="8" t="n">
        <f aca="false">C135-B135</f>
        <v>-0.029961765374917</v>
      </c>
      <c r="E135" s="8" t="n">
        <f aca="false">ABS(D135)</f>
        <v>0.029961765374917</v>
      </c>
      <c r="F135" s="10"/>
      <c r="G135" s="1"/>
      <c r="I135" s="9" t="s">
        <v>12</v>
      </c>
      <c r="J135" s="1" t="n">
        <f aca="false">VAR(sims_per_turn_scen6!$B$130:$B$155)</f>
        <v>0.00373474514581051</v>
      </c>
      <c r="K135" s="1" t="n">
        <f aca="false">VAR(sims_per_turn_scen6!$C$130:$C$155)</f>
        <v>0.00325348290295341</v>
      </c>
    </row>
    <row r="136" customFormat="false" ht="12.8" hidden="false" customHeight="false" outlineLevel="0" collapsed="false">
      <c r="A136" s="6" t="n">
        <v>6</v>
      </c>
      <c r="B136" s="1" t="n">
        <v>0.738363300257884</v>
      </c>
      <c r="C136" s="1" t="n">
        <v>0.767347429776357</v>
      </c>
      <c r="D136" s="8" t="n">
        <f aca="false">C136-B136</f>
        <v>0.028984129518473</v>
      </c>
      <c r="E136" s="8" t="n">
        <f aca="false">ABS(D136)</f>
        <v>0.028984129518473</v>
      </c>
      <c r="F136" s="10"/>
      <c r="G136" s="1"/>
      <c r="I136" s="9" t="s">
        <v>37</v>
      </c>
      <c r="J136" s="1" t="n">
        <f aca="false">COUNT(sims_per_turn_scen6!$B$130:$B$155)</f>
        <v>25</v>
      </c>
      <c r="K136" s="1" t="n">
        <f aca="false">COUNT(sims_per_turn_scen6!$C$130:$C$155)</f>
        <v>25</v>
      </c>
    </row>
    <row r="137" customFormat="false" ht="12.8" hidden="false" customHeight="false" outlineLevel="0" collapsed="false">
      <c r="A137" s="6" t="n">
        <v>7</v>
      </c>
      <c r="B137" s="1" t="n">
        <v>0.802709380775578</v>
      </c>
      <c r="C137" s="1" t="n">
        <v>0.741214474418534</v>
      </c>
      <c r="D137" s="8" t="n">
        <f aca="false">C137-B137</f>
        <v>-0.0614949063570439</v>
      </c>
      <c r="E137" s="8" t="n">
        <f aca="false">ABS(D137)</f>
        <v>0.0614949063570439</v>
      </c>
      <c r="F137" s="10"/>
      <c r="G137" s="1"/>
      <c r="I137" s="9" t="s">
        <v>38</v>
      </c>
      <c r="J137" s="1" t="n">
        <f aca="false">CORREL(sims_per_turn_scen6!$B$130:$B$155,sims_per_turn_scen6!$C$130:$C$155)</f>
        <v>0.834482590626306</v>
      </c>
    </row>
    <row r="138" customFormat="false" ht="12.8" hidden="false" customHeight="false" outlineLevel="0" collapsed="false">
      <c r="A138" s="6" t="n">
        <v>8</v>
      </c>
      <c r="B138" s="1" t="n">
        <v>0.767137820624339</v>
      </c>
      <c r="C138" s="1" t="n">
        <v>0.702691804836109</v>
      </c>
      <c r="D138" s="8" t="n">
        <f aca="false">C138-B138</f>
        <v>-0.06444601578823</v>
      </c>
      <c r="E138" s="8" t="n">
        <f aca="false">ABS(D138)</f>
        <v>0.06444601578823</v>
      </c>
      <c r="F138" s="10"/>
      <c r="G138" s="1"/>
      <c r="I138" s="9" t="s">
        <v>39</v>
      </c>
      <c r="J138" s="1" t="n">
        <f aca="false" t="array" ref="J138:J138">AVERAGE(IF(ISODD(IF(ISNUMBER(sims_per_turn_scen6!$B$130:$B$155), 1, 0) * IF(ISNUMBER(sims_per_turn_scen6!$C$130:$C$155), 1, 0)), sims_per_turn_scen6!$B$130:$B$155 - sims_per_turn_scen6!$C$130:$C$155, "NA"))</f>
        <v>0.00773810704729856</v>
      </c>
    </row>
    <row r="139" customFormat="false" ht="12.8" hidden="false" customHeight="false" outlineLevel="0" collapsed="false">
      <c r="A139" s="6" t="n">
        <v>9</v>
      </c>
      <c r="B139" s="1" t="n">
        <v>0.655203842604779</v>
      </c>
      <c r="C139" s="1" t="n">
        <v>0.676410925873389</v>
      </c>
      <c r="D139" s="8" t="n">
        <f aca="false">C139-B139</f>
        <v>0.02120708326861</v>
      </c>
      <c r="E139" s="8" t="n">
        <f aca="false">ABS(D139)</f>
        <v>0.02120708326861</v>
      </c>
      <c r="F139" s="10"/>
      <c r="G139" s="1"/>
      <c r="I139" s="9" t="s">
        <v>40</v>
      </c>
      <c r="J139" s="1" t="n">
        <f aca="false" t="array" ref="J139:J139">VAR(IF(ISODD(IF(ISNUMBER(sims_per_turn_scen6!$B$130:$B$155), 1, 0) * IF(ISNUMBER(sims_per_turn_scen6!$C$130:$C$155), 1, 0)), sims_per_turn_scen6!$B$130:$B$155 - sims_per_turn_scen6!$C$130:$C$155, "NA"))</f>
        <v>0.00117051861608702</v>
      </c>
    </row>
    <row r="140" customFormat="false" ht="12.8" hidden="false" customHeight="false" outlineLevel="0" collapsed="false">
      <c r="A140" s="6" t="n">
        <v>10</v>
      </c>
      <c r="B140" s="1" t="n">
        <v>0.700905183166286</v>
      </c>
      <c r="C140" s="1" t="n">
        <v>0.715155539827357</v>
      </c>
      <c r="D140" s="8" t="n">
        <f aca="false">C140-B140</f>
        <v>0.014250356661071</v>
      </c>
      <c r="E140" s="8" t="n">
        <f aca="false">ABS(D140)</f>
        <v>0.014250356661071</v>
      </c>
      <c r="F140" s="10"/>
      <c r="G140" s="1"/>
      <c r="I140" s="9" t="s">
        <v>20</v>
      </c>
      <c r="J140" s="1" t="n">
        <f aca="false" t="array" ref="J140:J140">SUM(IF(ISNUMBER(sims_per_turn_scen6!$B$130:$B$155), 1, 0) * IF(ISNUMBER(sims_per_turn_scen6!$C$130:$C$155), 1, 0)) - 1</f>
        <v>24</v>
      </c>
    </row>
    <row r="141" customFormat="false" ht="12.8" hidden="false" customHeight="false" outlineLevel="0" collapsed="false">
      <c r="A141" s="6" t="n">
        <v>11</v>
      </c>
      <c r="B141" s="1" t="n">
        <v>0.719629235257693</v>
      </c>
      <c r="C141" s="1" t="n">
        <v>0.72491699498861</v>
      </c>
      <c r="D141" s="8" t="n">
        <f aca="false">C141-B141</f>
        <v>0.005287759730917</v>
      </c>
      <c r="E141" s="8" t="n">
        <f aca="false">ABS(D141)</f>
        <v>0.005287759730917</v>
      </c>
      <c r="F141" s="10"/>
      <c r="G141" s="1"/>
      <c r="I141" s="9" t="s">
        <v>41</v>
      </c>
      <c r="J141" s="1" t="n">
        <f aca="false">(sims_per_turn_scen6!$J$138 - sims_per_turn_scen6!$J$132) / (sims_per_turn_scen6!$J$139 / ( sims_per_turn_scen6!$J$140 + 1)) ^ 0.5</f>
        <v>1.13087753048419</v>
      </c>
    </row>
    <row r="142" customFormat="false" ht="12.8" hidden="false" customHeight="false" outlineLevel="0" collapsed="false">
      <c r="A142" s="6" t="n">
        <v>12</v>
      </c>
      <c r="B142" s="1" t="n">
        <v>0.831621410337318</v>
      </c>
      <c r="C142" s="1" t="n">
        <v>0.844773353099784</v>
      </c>
      <c r="D142" s="8" t="n">
        <f aca="false">C142-B142</f>
        <v>0.013151942762466</v>
      </c>
      <c r="E142" s="8" t="n">
        <f aca="false">ABS(D142)</f>
        <v>0.013151942762466</v>
      </c>
      <c r="F142" s="10"/>
      <c r="G142" s="1"/>
      <c r="I142" s="9" t="s">
        <v>42</v>
      </c>
      <c r="J142" s="1" t="n">
        <f aca="false">TDIST(ABS(sims_per_turn_scen6!$J$141), sims_per_turn_scen6!$J$140, 1)</f>
        <v>0.134640644309948</v>
      </c>
    </row>
    <row r="143" customFormat="false" ht="12.8" hidden="false" customHeight="false" outlineLevel="0" collapsed="false">
      <c r="A143" s="6" t="n">
        <v>13</v>
      </c>
      <c r="B143" s="1" t="n">
        <v>0.709519501585356</v>
      </c>
      <c r="C143" s="1" t="n">
        <v>0.670771286759802</v>
      </c>
      <c r="D143" s="8" t="n">
        <f aca="false">C143-B143</f>
        <v>-0.038748214825554</v>
      </c>
      <c r="E143" s="8" t="n">
        <f aca="false">ABS(D143)</f>
        <v>0.038748214825554</v>
      </c>
      <c r="F143" s="10"/>
      <c r="G143" s="1"/>
      <c r="I143" s="9" t="s">
        <v>43</v>
      </c>
      <c r="J143" s="1" t="n">
        <f aca="false">TINV(2*sims_per_turn_scen6!$J$131, sims_per_turn_scen6!$J$140)</f>
        <v>1.71088207990943</v>
      </c>
    </row>
    <row r="144" customFormat="false" ht="12.8" hidden="false" customHeight="false" outlineLevel="0" collapsed="false">
      <c r="A144" s="6" t="n">
        <v>14</v>
      </c>
      <c r="B144" s="1" t="n">
        <v>0.752588038781123</v>
      </c>
      <c r="C144" s="1" t="n">
        <v>0.749199345598474</v>
      </c>
      <c r="D144" s="8" t="n">
        <f aca="false">C144-B144</f>
        <v>-0.00338869318264901</v>
      </c>
      <c r="E144" s="8" t="n">
        <f aca="false">ABS(D144)</f>
        <v>0.00338869318264901</v>
      </c>
      <c r="F144" s="10"/>
      <c r="G144" s="1"/>
      <c r="I144" s="9" t="s">
        <v>44</v>
      </c>
      <c r="J144" s="1" t="n">
        <f aca="false">TDIST(ABS(sims_per_turn_scen6!$J$141), sims_per_turn_scen6!$J$140, 2)</f>
        <v>0.269281288619896</v>
      </c>
    </row>
    <row r="145" customFormat="false" ht="12.8" hidden="false" customHeight="false" outlineLevel="0" collapsed="false">
      <c r="A145" s="6" t="n">
        <v>15</v>
      </c>
      <c r="B145" s="1" t="n">
        <v>0.742555870420495</v>
      </c>
      <c r="C145" s="1" t="n">
        <v>0.710334404151347</v>
      </c>
      <c r="D145" s="8" t="n">
        <f aca="false">C145-B145</f>
        <v>-0.032221466269148</v>
      </c>
      <c r="E145" s="8" t="n">
        <f aca="false">ABS(D145)</f>
        <v>0.032221466269148</v>
      </c>
      <c r="F145" s="10"/>
      <c r="G145" s="1"/>
      <c r="I145" s="9" t="s">
        <v>45</v>
      </c>
      <c r="J145" s="1" t="n">
        <f aca="false">TINV(sims_per_turn_scen6!$J$131, sims_per_turn_scen6!$J$140)</f>
        <v>2.06389856162803</v>
      </c>
    </row>
    <row r="146" customFormat="false" ht="12.8" hidden="false" customHeight="false" outlineLevel="0" collapsed="false">
      <c r="A146" s="6" t="n">
        <v>16</v>
      </c>
      <c r="B146" s="1" t="n">
        <v>0.626600189640605</v>
      </c>
      <c r="C146" s="1" t="n">
        <v>0.658233657913275</v>
      </c>
      <c r="D146" s="8" t="n">
        <f aca="false">C146-B146</f>
        <v>0.03163346827267</v>
      </c>
      <c r="E146" s="8" t="n">
        <f aca="false">ABS(D146)</f>
        <v>0.03163346827267</v>
      </c>
      <c r="F146" s="10"/>
      <c r="G146" s="1"/>
    </row>
    <row r="147" customFormat="false" ht="12.8" hidden="false" customHeight="false" outlineLevel="0" collapsed="false">
      <c r="A147" s="6" t="n">
        <v>17</v>
      </c>
      <c r="B147" s="1" t="n">
        <v>0.81814248001184</v>
      </c>
      <c r="C147" s="1" t="n">
        <v>0.821533014122518</v>
      </c>
      <c r="D147" s="8" t="n">
        <f aca="false">C147-B147</f>
        <v>0.00339053411067802</v>
      </c>
      <c r="E147" s="8" t="n">
        <f aca="false">ABS(D147)</f>
        <v>0.00339053411067802</v>
      </c>
      <c r="F147" s="10"/>
      <c r="G147" s="1"/>
    </row>
    <row r="148" customFormat="false" ht="12.8" hidden="false" customHeight="false" outlineLevel="0" collapsed="false">
      <c r="A148" s="6" t="n">
        <v>18</v>
      </c>
      <c r="B148" s="1" t="n">
        <v>0.647963419254761</v>
      </c>
      <c r="C148" s="1" t="n">
        <v>0.654001563002053</v>
      </c>
      <c r="D148" s="8" t="n">
        <f aca="false">C148-B148</f>
        <v>0.00603814374729206</v>
      </c>
      <c r="E148" s="8" t="n">
        <f aca="false">ABS(D148)</f>
        <v>0.00603814374729206</v>
      </c>
      <c r="F148" s="10"/>
      <c r="G148" s="1"/>
    </row>
    <row r="149" customFormat="false" ht="12.8" hidden="false" customHeight="false" outlineLevel="0" collapsed="false">
      <c r="A149" s="6" t="n">
        <v>19</v>
      </c>
      <c r="B149" s="1" t="n">
        <v>0.643841741383017</v>
      </c>
      <c r="C149" s="1" t="n">
        <v>0.590768867737282</v>
      </c>
      <c r="D149" s="8" t="n">
        <f aca="false">C149-B149</f>
        <v>-0.053072873645735</v>
      </c>
      <c r="E149" s="8" t="n">
        <f aca="false">ABS(D149)</f>
        <v>0.053072873645735</v>
      </c>
      <c r="F149" s="10"/>
      <c r="G149" s="1"/>
    </row>
    <row r="150" customFormat="false" ht="12.8" hidden="false" customHeight="false" outlineLevel="0" collapsed="false">
      <c r="A150" s="6" t="n">
        <v>20</v>
      </c>
      <c r="B150" s="1" t="n">
        <v>0.654547731132537</v>
      </c>
      <c r="C150" s="1" t="n">
        <v>0.716584963681357</v>
      </c>
      <c r="D150" s="8" t="n">
        <f aca="false">C150-B150</f>
        <v>0.0620372325488201</v>
      </c>
      <c r="E150" s="8" t="n">
        <f aca="false">ABS(D150)</f>
        <v>0.0620372325488201</v>
      </c>
      <c r="F150" s="10"/>
      <c r="G150" s="1"/>
    </row>
    <row r="151" customFormat="false" ht="12.8" hidden="false" customHeight="false" outlineLevel="0" collapsed="false">
      <c r="A151" s="6" t="n">
        <v>21</v>
      </c>
      <c r="B151" s="1" t="n">
        <v>0.737279793404405</v>
      </c>
      <c r="C151" s="1" t="n">
        <v>0.669739555124102</v>
      </c>
      <c r="D151" s="8" t="n">
        <f aca="false">C151-B151</f>
        <v>-0.067540238280303</v>
      </c>
      <c r="E151" s="8" t="n">
        <f aca="false">ABS(D151)</f>
        <v>0.067540238280303</v>
      </c>
      <c r="F151" s="10"/>
      <c r="G151" s="1"/>
    </row>
    <row r="152" customFormat="false" ht="12.8" hidden="false" customHeight="false" outlineLevel="0" collapsed="false">
      <c r="A152" s="6" t="n">
        <v>22</v>
      </c>
      <c r="B152" s="1" t="n">
        <v>0.741791001479869</v>
      </c>
      <c r="C152" s="1" t="n">
        <v>0.735555505104196</v>
      </c>
      <c r="D152" s="8" t="n">
        <f aca="false">C152-B152</f>
        <v>-0.006235496375673</v>
      </c>
      <c r="E152" s="8" t="n">
        <f aca="false">ABS(D152)</f>
        <v>0.006235496375673</v>
      </c>
      <c r="F152" s="10"/>
      <c r="G152" s="1"/>
    </row>
    <row r="153" customFormat="false" ht="12.8" hidden="false" customHeight="false" outlineLevel="0" collapsed="false">
      <c r="A153" s="6" t="n">
        <v>23</v>
      </c>
      <c r="B153" s="1" t="n">
        <v>0.720324505975325</v>
      </c>
      <c r="C153" s="1" t="n">
        <v>0.705937576250204</v>
      </c>
      <c r="D153" s="8" t="n">
        <f aca="false">C153-B153</f>
        <v>-0.014386929725121</v>
      </c>
      <c r="E153" s="8" t="n">
        <f aca="false">ABS(D153)</f>
        <v>0.014386929725121</v>
      </c>
      <c r="F153" s="10"/>
      <c r="G153" s="1"/>
    </row>
    <row r="154" customFormat="false" ht="12.8" hidden="false" customHeight="false" outlineLevel="0" collapsed="false">
      <c r="A154" s="6" t="n">
        <v>24</v>
      </c>
      <c r="B154" s="1" t="n">
        <v>0.85301227080764</v>
      </c>
      <c r="C154" s="1" t="n">
        <v>0.821053723330557</v>
      </c>
      <c r="D154" s="8" t="n">
        <f aca="false">C154-B154</f>
        <v>-0.0319585474770829</v>
      </c>
      <c r="E154" s="8" t="n">
        <f aca="false">ABS(D154)</f>
        <v>0.0319585474770829</v>
      </c>
      <c r="F154" s="10"/>
      <c r="G154" s="1"/>
    </row>
    <row r="155" customFormat="false" ht="12.8" hidden="false" customHeight="false" outlineLevel="0" collapsed="false">
      <c r="A155" s="4" t="n">
        <v>25</v>
      </c>
      <c r="B155" s="1" t="n">
        <v>0.727945465577406</v>
      </c>
      <c r="C155" s="1" t="n">
        <v>0.697201511529907</v>
      </c>
      <c r="D155" s="8" t="n">
        <f aca="false">C155-B155</f>
        <v>-0.0307439540474991</v>
      </c>
      <c r="E155" s="8" t="n">
        <f aca="false">ABS(D155)</f>
        <v>0.0307439540474991</v>
      </c>
      <c r="F155" s="10"/>
      <c r="G155" s="1"/>
    </row>
    <row r="158" customFormat="false" ht="12.8" hidden="false" customHeight="false" outlineLevel="0" collapsed="false">
      <c r="A158" s="2" t="s">
        <v>0</v>
      </c>
      <c r="B158" s="3" t="s">
        <v>4</v>
      </c>
      <c r="C158" s="3" t="s">
        <v>3</v>
      </c>
      <c r="D158" s="8" t="s">
        <v>49</v>
      </c>
      <c r="E158" s="8" t="s">
        <v>30</v>
      </c>
      <c r="F158" s="8" t="s">
        <v>31</v>
      </c>
      <c r="G158" s="8" t="s">
        <v>32</v>
      </c>
      <c r="I158" s="5" t="s">
        <v>33</v>
      </c>
    </row>
    <row r="159" customFormat="false" ht="12.8" hidden="false" customHeight="false" outlineLevel="0" collapsed="false">
      <c r="A159" s="6" t="n">
        <v>1</v>
      </c>
      <c r="B159" s="1" t="n">
        <v>0.823272744718597</v>
      </c>
      <c r="C159" s="1" t="n">
        <v>0.785168761593727</v>
      </c>
      <c r="D159" s="8" t="n">
        <f aca="false">C159-B159</f>
        <v>-0.0381039831248701</v>
      </c>
      <c r="E159" s="8" t="n">
        <f aca="false">ABS(D159)</f>
        <v>0.0381039831248701</v>
      </c>
      <c r="F159" s="8" t="n">
        <f aca="false">AVERAGE(D159:D183)</f>
        <v>-0.00450401993429348</v>
      </c>
      <c r="G159" s="8" t="n">
        <f aca="false">_xlfn.STDEV.S(D159:D183)</f>
        <v>0.0393526260769067</v>
      </c>
      <c r="I159" s="9" t="s">
        <v>7</v>
      </c>
      <c r="J159" s="1" t="n">
        <v>0.05</v>
      </c>
    </row>
    <row r="160" customFormat="false" ht="12.8" hidden="false" customHeight="false" outlineLevel="0" collapsed="false">
      <c r="A160" s="6" t="n">
        <v>2</v>
      </c>
      <c r="B160" s="1" t="n">
        <v>0.642199317331402</v>
      </c>
      <c r="C160" s="1" t="n">
        <v>0.7034443874608</v>
      </c>
      <c r="D160" s="8" t="n">
        <f aca="false">C160-B160</f>
        <v>0.061245070129398</v>
      </c>
      <c r="E160" s="8" t="n">
        <f aca="false">ABS(D160)</f>
        <v>0.061245070129398</v>
      </c>
      <c r="F160" s="10"/>
      <c r="G160" s="1"/>
      <c r="I160" s="9" t="s">
        <v>34</v>
      </c>
      <c r="J160" s="1" t="n">
        <v>0</v>
      </c>
    </row>
    <row r="161" customFormat="false" ht="12.8" hidden="false" customHeight="false" outlineLevel="0" collapsed="false">
      <c r="A161" s="6" t="n">
        <v>3</v>
      </c>
      <c r="B161" s="1" t="n">
        <v>0.724560029881393</v>
      </c>
      <c r="C161" s="1" t="n">
        <v>0.735399855829613</v>
      </c>
      <c r="D161" s="8" t="n">
        <f aca="false">C161-B161</f>
        <v>0.01083982594822</v>
      </c>
      <c r="E161" s="8" t="n">
        <f aca="false">ABS(D161)</f>
        <v>0.01083982594822</v>
      </c>
      <c r="F161" s="10"/>
      <c r="G161" s="1"/>
      <c r="I161" s="9"/>
      <c r="J161" s="5" t="s">
        <v>35</v>
      </c>
      <c r="K161" s="5" t="s">
        <v>36</v>
      </c>
    </row>
    <row r="162" customFormat="false" ht="12.8" hidden="false" customHeight="false" outlineLevel="0" collapsed="false">
      <c r="A162" s="6" t="n">
        <v>4</v>
      </c>
      <c r="B162" s="1" t="n">
        <v>0.708336187220553</v>
      </c>
      <c r="C162" s="1" t="n">
        <v>0.697297454274584</v>
      </c>
      <c r="D162" s="8" t="n">
        <f aca="false">C162-B162</f>
        <v>-0.011038732945969</v>
      </c>
      <c r="E162" s="8" t="n">
        <f aca="false">ABS(D162)</f>
        <v>0.011038732945969</v>
      </c>
      <c r="F162" s="10"/>
      <c r="G162" s="1"/>
      <c r="I162" s="9" t="s">
        <v>11</v>
      </c>
      <c r="J162" s="1" t="n">
        <f aca="false">AVERAGE(sims_per_turn_scen6!$B$158:$B$183)</f>
        <v>0.724822383295928</v>
      </c>
      <c r="K162" s="1" t="n">
        <f aca="false">AVERAGE(sims_per_turn_scen6!$C$158:$C$183)</f>
        <v>0.720318363361635</v>
      </c>
    </row>
    <row r="163" customFormat="false" ht="12.8" hidden="false" customHeight="false" outlineLevel="0" collapsed="false">
      <c r="A163" s="6" t="n">
        <v>5</v>
      </c>
      <c r="B163" s="1" t="n">
        <v>0.697620486730694</v>
      </c>
      <c r="C163" s="1" t="n">
        <v>0.713223127756937</v>
      </c>
      <c r="D163" s="8" t="n">
        <f aca="false">C163-B163</f>
        <v>0.015602641026243</v>
      </c>
      <c r="E163" s="8" t="n">
        <f aca="false">ABS(D163)</f>
        <v>0.015602641026243</v>
      </c>
      <c r="F163" s="10"/>
      <c r="G163" s="1"/>
      <c r="I163" s="9" t="s">
        <v>12</v>
      </c>
      <c r="J163" s="1" t="n">
        <f aca="false">VAR(sims_per_turn_scen6!$B$158:$B$183)</f>
        <v>0.00271287127185974</v>
      </c>
      <c r="K163" s="1" t="n">
        <f aca="false">VAR(sims_per_turn_scen6!$C$158:$C$183)</f>
        <v>0.00325348290295341</v>
      </c>
    </row>
    <row r="164" customFormat="false" ht="12.8" hidden="false" customHeight="false" outlineLevel="0" collapsed="false">
      <c r="A164" s="6" t="n">
        <v>6</v>
      </c>
      <c r="B164" s="1" t="n">
        <v>0.757276291011557</v>
      </c>
      <c r="C164" s="1" t="n">
        <v>0.767347429776357</v>
      </c>
      <c r="D164" s="8" t="n">
        <f aca="false">C164-B164</f>
        <v>0.0100711387647999</v>
      </c>
      <c r="E164" s="8" t="n">
        <f aca="false">ABS(D164)</f>
        <v>0.0100711387647999</v>
      </c>
      <c r="F164" s="10"/>
      <c r="G164" s="1"/>
      <c r="I164" s="9" t="s">
        <v>37</v>
      </c>
      <c r="J164" s="1" t="n">
        <f aca="false">COUNT(sims_per_turn_scen6!$B$158:$B$183)</f>
        <v>25</v>
      </c>
      <c r="K164" s="1" t="n">
        <f aca="false">COUNT(sims_per_turn_scen6!$C$158:$C$183)</f>
        <v>25</v>
      </c>
    </row>
    <row r="165" customFormat="false" ht="12.8" hidden="false" customHeight="false" outlineLevel="0" collapsed="false">
      <c r="A165" s="6" t="n">
        <v>7</v>
      </c>
      <c r="B165" s="1" t="n">
        <v>0.758449701833791</v>
      </c>
      <c r="C165" s="1" t="n">
        <v>0.741214474418534</v>
      </c>
      <c r="D165" s="8" t="n">
        <f aca="false">C165-B165</f>
        <v>-0.017235227415257</v>
      </c>
      <c r="E165" s="8" t="n">
        <f aca="false">ABS(D165)</f>
        <v>0.017235227415257</v>
      </c>
      <c r="F165" s="10"/>
      <c r="G165" s="1"/>
      <c r="I165" s="9" t="s">
        <v>38</v>
      </c>
      <c r="J165" s="1" t="n">
        <f aca="false">CORREL(sims_per_turn_scen6!$B$158:$B$183,sims_per_turn_scen6!$C$158:$C$183)</f>
        <v>0.743498033294724</v>
      </c>
    </row>
    <row r="166" customFormat="false" ht="12.8" hidden="false" customHeight="false" outlineLevel="0" collapsed="false">
      <c r="A166" s="6" t="n">
        <v>8</v>
      </c>
      <c r="B166" s="1" t="n">
        <v>0.705275325567815</v>
      </c>
      <c r="C166" s="1" t="n">
        <v>0.702691804836109</v>
      </c>
      <c r="D166" s="8" t="n">
        <f aca="false">C166-B166</f>
        <v>-0.00258352073170598</v>
      </c>
      <c r="E166" s="8" t="n">
        <f aca="false">ABS(D166)</f>
        <v>0.00258352073170598</v>
      </c>
      <c r="F166" s="10"/>
      <c r="G166" s="1"/>
      <c r="I166" s="9" t="s">
        <v>39</v>
      </c>
      <c r="J166" s="1" t="n">
        <f aca="false" t="array" ref="J166:J166">AVERAGE(IF(ISODD(IF(ISNUMBER(sims_per_turn_scen6!$B$158:$B$183), 1, 0) * IF(ISNUMBER(sims_per_turn_scen6!$C$158:$C$183), 1, 0)), sims_per_turn_scen6!$B$158:$B$183 - sims_per_turn_scen6!$C$158:$C$183, "NA"))</f>
        <v>0.00450401993429348</v>
      </c>
    </row>
    <row r="167" customFormat="false" ht="12.8" hidden="false" customHeight="false" outlineLevel="0" collapsed="false">
      <c r="A167" s="6" t="n">
        <v>9</v>
      </c>
      <c r="B167" s="1" t="n">
        <v>0.638110457472859</v>
      </c>
      <c r="C167" s="1" t="n">
        <v>0.676410925873389</v>
      </c>
      <c r="D167" s="8" t="n">
        <f aca="false">C167-B167</f>
        <v>0.03830046840053</v>
      </c>
      <c r="E167" s="8" t="n">
        <f aca="false">ABS(D167)</f>
        <v>0.03830046840053</v>
      </c>
      <c r="F167" s="10"/>
      <c r="G167" s="1"/>
      <c r="I167" s="9" t="s">
        <v>40</v>
      </c>
      <c r="J167" s="1" t="n">
        <f aca="false" t="array" ref="J167:J167">VAR(IF(ISODD(IF(ISNUMBER(sims_per_turn_scen6!$B$158:$B$183), 1, 0) * IF(ISNUMBER(sims_per_turn_scen6!$C$158:$C$183), 1, 0)), sims_per_turn_scen6!$B$158:$B$183 - sims_per_turn_scen6!$C$158:$C$183, "NA"))</f>
        <v>0.00154862917914883</v>
      </c>
    </row>
    <row r="168" customFormat="false" ht="12.8" hidden="false" customHeight="false" outlineLevel="0" collapsed="false">
      <c r="A168" s="6" t="n">
        <v>10</v>
      </c>
      <c r="B168" s="1" t="n">
        <v>0.718916919696981</v>
      </c>
      <c r="C168" s="1" t="n">
        <v>0.715155539827357</v>
      </c>
      <c r="D168" s="8" t="n">
        <f aca="false">C168-B168</f>
        <v>-0.00376137986962399</v>
      </c>
      <c r="E168" s="8" t="n">
        <f aca="false">ABS(D168)</f>
        <v>0.00376137986962399</v>
      </c>
      <c r="F168" s="10"/>
      <c r="G168" s="1"/>
      <c r="I168" s="9" t="s">
        <v>20</v>
      </c>
      <c r="J168" s="1" t="n">
        <f aca="false" t="array" ref="J168:J168">SUM(IF(ISNUMBER(sims_per_turn_scen6!$B$158:$B$183), 1, 0) * IF(ISNUMBER(sims_per_turn_scen6!$C$158:$C$183), 1, 0)) - 1</f>
        <v>24</v>
      </c>
    </row>
    <row r="169" customFormat="false" ht="12.8" hidden="false" customHeight="false" outlineLevel="0" collapsed="false">
      <c r="A169" s="6" t="n">
        <v>11</v>
      </c>
      <c r="B169" s="1" t="n">
        <v>0.760910644452133</v>
      </c>
      <c r="C169" s="1" t="n">
        <v>0.72491699498861</v>
      </c>
      <c r="D169" s="8" t="n">
        <f aca="false">C169-B169</f>
        <v>-0.035993649463523</v>
      </c>
      <c r="E169" s="8" t="n">
        <f aca="false">ABS(D169)</f>
        <v>0.035993649463523</v>
      </c>
      <c r="F169" s="10"/>
      <c r="G169" s="1"/>
      <c r="I169" s="9" t="s">
        <v>41</v>
      </c>
      <c r="J169" s="1" t="n">
        <f aca="false">(sims_per_turn_scen6!$J$166 - sims_per_turn_scen6!$J$160) / (sims_per_turn_scen6!$J$167 / ( sims_per_turn_scen6!$J$168 + 1)) ^ 0.5</f>
        <v>0.572264215035014</v>
      </c>
    </row>
    <row r="170" customFormat="false" ht="12.8" hidden="false" customHeight="false" outlineLevel="0" collapsed="false">
      <c r="A170" s="6" t="n">
        <v>12</v>
      </c>
      <c r="B170" s="1" t="n">
        <v>0.812780603575516</v>
      </c>
      <c r="C170" s="1" t="n">
        <v>0.844773353099784</v>
      </c>
      <c r="D170" s="8" t="n">
        <f aca="false">C170-B170</f>
        <v>0.031992749524268</v>
      </c>
      <c r="E170" s="8" t="n">
        <f aca="false">ABS(D170)</f>
        <v>0.031992749524268</v>
      </c>
      <c r="F170" s="10"/>
      <c r="G170" s="1"/>
      <c r="I170" s="9" t="s">
        <v>42</v>
      </c>
      <c r="J170" s="1" t="n">
        <f aca="false">TDIST(ABS(sims_per_turn_scen6!$J$169), sims_per_turn_scen6!$J$168, 1)</f>
        <v>0.286232550695019</v>
      </c>
    </row>
    <row r="171" customFormat="false" ht="12.8" hidden="false" customHeight="false" outlineLevel="0" collapsed="false">
      <c r="A171" s="6" t="n">
        <v>13</v>
      </c>
      <c r="B171" s="1" t="n">
        <v>0.721407571089307</v>
      </c>
      <c r="C171" s="1" t="n">
        <v>0.670771286759802</v>
      </c>
      <c r="D171" s="8" t="n">
        <f aca="false">C171-B171</f>
        <v>-0.050636284329505</v>
      </c>
      <c r="E171" s="8" t="n">
        <f aca="false">ABS(D171)</f>
        <v>0.050636284329505</v>
      </c>
      <c r="F171" s="10"/>
      <c r="G171" s="1"/>
      <c r="I171" s="9" t="s">
        <v>43</v>
      </c>
      <c r="J171" s="1" t="n">
        <f aca="false">TINV(2*sims_per_turn_scen6!$J$159, sims_per_turn_scen6!$J$168)</f>
        <v>1.71088207990943</v>
      </c>
    </row>
    <row r="172" customFormat="false" ht="12.8" hidden="false" customHeight="false" outlineLevel="0" collapsed="false">
      <c r="A172" s="6" t="n">
        <v>14</v>
      </c>
      <c r="B172" s="1" t="n">
        <v>0.76471605795332</v>
      </c>
      <c r="C172" s="1" t="n">
        <v>0.749199345598474</v>
      </c>
      <c r="D172" s="8" t="n">
        <f aca="false">C172-B172</f>
        <v>-0.015516712354846</v>
      </c>
      <c r="E172" s="8" t="n">
        <f aca="false">ABS(D172)</f>
        <v>0.015516712354846</v>
      </c>
      <c r="F172" s="10"/>
      <c r="G172" s="1"/>
      <c r="I172" s="9" t="s">
        <v>44</v>
      </c>
      <c r="J172" s="1" t="n">
        <f aca="false">TDIST(ABS(sims_per_turn_scen6!$J$169), sims_per_turn_scen6!$J$168, 2)</f>
        <v>0.572465101390039</v>
      </c>
    </row>
    <row r="173" customFormat="false" ht="12.8" hidden="false" customHeight="false" outlineLevel="0" collapsed="false">
      <c r="A173" s="6" t="n">
        <v>15</v>
      </c>
      <c r="B173" s="1" t="n">
        <v>0.711757961516188</v>
      </c>
      <c r="C173" s="1" t="n">
        <v>0.710334404151347</v>
      </c>
      <c r="D173" s="8" t="n">
        <f aca="false">C173-B173</f>
        <v>-0.00142355736484101</v>
      </c>
      <c r="E173" s="8" t="n">
        <f aca="false">ABS(D173)</f>
        <v>0.00142355736484101</v>
      </c>
      <c r="F173" s="10"/>
      <c r="G173" s="1"/>
      <c r="I173" s="9" t="s">
        <v>45</v>
      </c>
      <c r="J173" s="1" t="n">
        <f aca="false">TINV(sims_per_turn_scen6!$J$159, sims_per_turn_scen6!$J$168)</f>
        <v>2.06389856162803</v>
      </c>
    </row>
    <row r="174" customFormat="false" ht="12.8" hidden="false" customHeight="false" outlineLevel="0" collapsed="false">
      <c r="A174" s="6" t="n">
        <v>16</v>
      </c>
      <c r="B174" s="1" t="n">
        <v>0.636409131350562</v>
      </c>
      <c r="C174" s="1" t="n">
        <v>0.658233657913275</v>
      </c>
      <c r="D174" s="8" t="n">
        <f aca="false">C174-B174</f>
        <v>0.0218245265627131</v>
      </c>
      <c r="E174" s="8" t="n">
        <f aca="false">ABS(D174)</f>
        <v>0.0218245265627131</v>
      </c>
      <c r="F174" s="10"/>
      <c r="G174" s="1"/>
    </row>
    <row r="175" customFormat="false" ht="12.8" hidden="false" customHeight="false" outlineLevel="0" collapsed="false">
      <c r="A175" s="6" t="n">
        <v>17</v>
      </c>
      <c r="B175" s="1" t="n">
        <v>0.760684614350216</v>
      </c>
      <c r="C175" s="1" t="n">
        <v>0.821533014122518</v>
      </c>
      <c r="D175" s="8" t="n">
        <f aca="false">C175-B175</f>
        <v>0.0608483997723021</v>
      </c>
      <c r="E175" s="8" t="n">
        <f aca="false">ABS(D175)</f>
        <v>0.0608483997723021</v>
      </c>
      <c r="F175" s="10"/>
      <c r="G175" s="1"/>
    </row>
    <row r="176" customFormat="false" ht="12.8" hidden="false" customHeight="false" outlineLevel="0" collapsed="false">
      <c r="A176" s="6" t="n">
        <v>18</v>
      </c>
      <c r="B176" s="1" t="n">
        <v>0.689444509253728</v>
      </c>
      <c r="C176" s="1" t="n">
        <v>0.654001563002053</v>
      </c>
      <c r="D176" s="8" t="n">
        <f aca="false">C176-B176</f>
        <v>-0.035442946251675</v>
      </c>
      <c r="E176" s="8" t="n">
        <f aca="false">ABS(D176)</f>
        <v>0.035442946251675</v>
      </c>
      <c r="F176" s="10"/>
      <c r="G176" s="1"/>
    </row>
    <row r="177" customFormat="false" ht="12.8" hidden="false" customHeight="false" outlineLevel="0" collapsed="false">
      <c r="A177" s="6" t="n">
        <v>19</v>
      </c>
      <c r="B177" s="1" t="n">
        <v>0.699907553556336</v>
      </c>
      <c r="C177" s="1" t="n">
        <v>0.590768867737282</v>
      </c>
      <c r="D177" s="8" t="n">
        <f aca="false">C177-B177</f>
        <v>-0.109138685819054</v>
      </c>
      <c r="E177" s="8" t="n">
        <f aca="false">ABS(D177)</f>
        <v>0.109138685819054</v>
      </c>
      <c r="F177" s="10"/>
      <c r="G177" s="1"/>
    </row>
    <row r="178" customFormat="false" ht="12.8" hidden="false" customHeight="false" outlineLevel="0" collapsed="false">
      <c r="A178" s="6" t="n">
        <v>20</v>
      </c>
      <c r="B178" s="1" t="n">
        <v>0.721470667146881</v>
      </c>
      <c r="C178" s="1" t="n">
        <v>0.716584963681357</v>
      </c>
      <c r="D178" s="8" t="n">
        <f aca="false">C178-B178</f>
        <v>-0.00488570346552397</v>
      </c>
      <c r="E178" s="8" t="n">
        <f aca="false">ABS(D178)</f>
        <v>0.00488570346552397</v>
      </c>
      <c r="F178" s="10"/>
      <c r="G178" s="1"/>
    </row>
    <row r="179" customFormat="false" ht="12.8" hidden="false" customHeight="false" outlineLevel="0" collapsed="false">
      <c r="A179" s="6" t="n">
        <v>21</v>
      </c>
      <c r="B179" s="1" t="n">
        <v>0.694019107158469</v>
      </c>
      <c r="C179" s="1" t="n">
        <v>0.669739555124102</v>
      </c>
      <c r="D179" s="8" t="n">
        <f aca="false">C179-B179</f>
        <v>-0.024279552034367</v>
      </c>
      <c r="E179" s="8" t="n">
        <f aca="false">ABS(D179)</f>
        <v>0.024279552034367</v>
      </c>
      <c r="F179" s="10"/>
      <c r="G179" s="1"/>
    </row>
    <row r="180" customFormat="false" ht="12.8" hidden="false" customHeight="false" outlineLevel="0" collapsed="false">
      <c r="A180" s="6" t="n">
        <v>22</v>
      </c>
      <c r="B180" s="1" t="n">
        <v>0.755797582220466</v>
      </c>
      <c r="C180" s="1" t="n">
        <v>0.735555505104196</v>
      </c>
      <c r="D180" s="8" t="n">
        <f aca="false">C180-B180</f>
        <v>-0.02024207711627</v>
      </c>
      <c r="E180" s="8" t="n">
        <f aca="false">ABS(D180)</f>
        <v>0.02024207711627</v>
      </c>
      <c r="F180" s="10"/>
      <c r="G180" s="1"/>
    </row>
    <row r="181" customFormat="false" ht="12.8" hidden="false" customHeight="false" outlineLevel="0" collapsed="false">
      <c r="A181" s="6" t="n">
        <v>23</v>
      </c>
      <c r="B181" s="1" t="n">
        <v>0.650885309375863</v>
      </c>
      <c r="C181" s="1" t="n">
        <v>0.705937576250204</v>
      </c>
      <c r="D181" s="8" t="n">
        <f aca="false">C181-B181</f>
        <v>0.0550522668743411</v>
      </c>
      <c r="E181" s="8" t="n">
        <f aca="false">ABS(D181)</f>
        <v>0.0550522668743411</v>
      </c>
      <c r="F181" s="10"/>
      <c r="G181" s="1"/>
    </row>
    <row r="182" customFormat="false" ht="12.8" hidden="false" customHeight="false" outlineLevel="0" collapsed="false">
      <c r="A182" s="6" t="n">
        <v>24</v>
      </c>
      <c r="B182" s="1" t="n">
        <v>0.810318587583629</v>
      </c>
      <c r="C182" s="1" t="n">
        <v>0.821053723330557</v>
      </c>
      <c r="D182" s="8" t="n">
        <f aca="false">C182-B182</f>
        <v>0.0107351357469281</v>
      </c>
      <c r="E182" s="8" t="n">
        <f aca="false">ABS(D182)</f>
        <v>0.0107351357469281</v>
      </c>
      <c r="F182" s="10"/>
      <c r="G182" s="1"/>
    </row>
    <row r="183" customFormat="false" ht="12.8" hidden="false" customHeight="false" outlineLevel="0" collapsed="false">
      <c r="A183" s="4" t="n">
        <v>25</v>
      </c>
      <c r="B183" s="1" t="n">
        <v>0.756032220349956</v>
      </c>
      <c r="C183" s="1" t="n">
        <v>0.697201511529907</v>
      </c>
      <c r="D183" s="8" t="n">
        <f aca="false">C183-B183</f>
        <v>-0.058830708820049</v>
      </c>
      <c r="E183" s="8" t="n">
        <f aca="false">ABS(D183)</f>
        <v>0.058830708820049</v>
      </c>
      <c r="F183" s="10"/>
      <c r="G183" s="1"/>
    </row>
    <row r="186" customFormat="false" ht="12.8" hidden="false" customHeight="false" outlineLevel="0" collapsed="false">
      <c r="A186" s="2" t="s">
        <v>0</v>
      </c>
      <c r="B186" s="3" t="s">
        <v>4</v>
      </c>
      <c r="C186" s="3" t="s">
        <v>2</v>
      </c>
      <c r="D186" s="8" t="s">
        <v>50</v>
      </c>
      <c r="E186" s="8" t="s">
        <v>30</v>
      </c>
      <c r="F186" s="8" t="s">
        <v>31</v>
      </c>
      <c r="G186" s="8" t="s">
        <v>32</v>
      </c>
      <c r="I186" s="5" t="s">
        <v>33</v>
      </c>
    </row>
    <row r="187" customFormat="false" ht="12.8" hidden="false" customHeight="false" outlineLevel="0" collapsed="false">
      <c r="A187" s="6" t="n">
        <v>1</v>
      </c>
      <c r="B187" s="1" t="n">
        <v>0.823272744718597</v>
      </c>
      <c r="C187" s="1" t="n">
        <v>0.818947298519002</v>
      </c>
      <c r="D187" s="8" t="n">
        <f aca="false">C187-B187</f>
        <v>-0.00432544619959496</v>
      </c>
      <c r="E187" s="8" t="n">
        <f aca="false">ABS(D187)</f>
        <v>0.00432544619959496</v>
      </c>
      <c r="F187" s="8" t="n">
        <f aca="false">AVERAGE(D187:D211)</f>
        <v>0.0112084402074224</v>
      </c>
      <c r="G187" s="8" t="n">
        <f aca="false">_xlfn.STDEV.S(D187:D211)</f>
        <v>0.0349462907339022</v>
      </c>
      <c r="I187" s="9" t="s">
        <v>7</v>
      </c>
      <c r="J187" s="1" t="n">
        <v>0.05</v>
      </c>
    </row>
    <row r="188" customFormat="false" ht="12.8" hidden="false" customHeight="false" outlineLevel="0" collapsed="false">
      <c r="A188" s="6" t="n">
        <v>2</v>
      </c>
      <c r="B188" s="1" t="n">
        <v>0.642199317331402</v>
      </c>
      <c r="C188" s="1" t="n">
        <v>0.726675054349364</v>
      </c>
      <c r="D188" s="8" t="n">
        <f aca="false">C188-B188</f>
        <v>0.084475737017962</v>
      </c>
      <c r="E188" s="8" t="n">
        <f aca="false">ABS(D188)</f>
        <v>0.084475737017962</v>
      </c>
      <c r="F188" s="10"/>
      <c r="G188" s="1"/>
      <c r="I188" s="9" t="s">
        <v>34</v>
      </c>
      <c r="J188" s="1" t="n">
        <v>0</v>
      </c>
    </row>
    <row r="189" customFormat="false" ht="12.8" hidden="false" customHeight="false" outlineLevel="0" collapsed="false">
      <c r="A189" s="6" t="n">
        <v>3</v>
      </c>
      <c r="B189" s="1" t="n">
        <v>0.724560029881393</v>
      </c>
      <c r="C189" s="1" t="n">
        <v>0.753823763148008</v>
      </c>
      <c r="D189" s="8" t="n">
        <f aca="false">C189-B189</f>
        <v>0.029263733266615</v>
      </c>
      <c r="E189" s="8" t="n">
        <f aca="false">ABS(D189)</f>
        <v>0.029263733266615</v>
      </c>
      <c r="F189" s="10"/>
      <c r="G189" s="1"/>
      <c r="I189" s="9"/>
      <c r="J189" s="5" t="s">
        <v>35</v>
      </c>
      <c r="K189" s="5" t="s">
        <v>36</v>
      </c>
    </row>
    <row r="190" customFormat="false" ht="12.8" hidden="false" customHeight="false" outlineLevel="0" collapsed="false">
      <c r="A190" s="6" t="n">
        <v>4</v>
      </c>
      <c r="B190" s="1" t="n">
        <v>0.708336187220553</v>
      </c>
      <c r="C190" s="1" t="n">
        <v>0.694689160951428</v>
      </c>
      <c r="D190" s="8" t="n">
        <f aca="false">C190-B190</f>
        <v>-0.0136470262691251</v>
      </c>
      <c r="E190" s="8" t="n">
        <f aca="false">ABS(D190)</f>
        <v>0.0136470262691251</v>
      </c>
      <c r="F190" s="10"/>
      <c r="G190" s="1"/>
      <c r="I190" s="9" t="s">
        <v>11</v>
      </c>
      <c r="J190" s="1" t="n">
        <f aca="false">AVERAGE(sims_per_turn_scen6!$B$186:$B$211)</f>
        <v>0.724822383295928</v>
      </c>
      <c r="K190" s="1" t="n">
        <f aca="false">AVERAGE(sims_per_turn_scen6!$C$186:$C$211)</f>
        <v>0.736030823503351</v>
      </c>
    </row>
    <row r="191" customFormat="false" ht="12.8" hidden="false" customHeight="false" outlineLevel="0" collapsed="false">
      <c r="A191" s="6" t="n">
        <v>5</v>
      </c>
      <c r="B191" s="1" t="n">
        <v>0.697620486730694</v>
      </c>
      <c r="C191" s="1" t="n">
        <v>0.750318975083652</v>
      </c>
      <c r="D191" s="8" t="n">
        <f aca="false">C191-B191</f>
        <v>0.052698488352958</v>
      </c>
      <c r="E191" s="8" t="n">
        <f aca="false">ABS(D191)</f>
        <v>0.052698488352958</v>
      </c>
      <c r="F191" s="10"/>
      <c r="G191" s="1"/>
      <c r="I191" s="9" t="s">
        <v>12</v>
      </c>
      <c r="J191" s="1" t="n">
        <f aca="false">VAR(sims_per_turn_scen6!$B$186:$B$211)</f>
        <v>0.00271287127185974</v>
      </c>
      <c r="K191" s="1" t="n">
        <f aca="false">VAR(sims_per_turn_scen6!$C$186:$C$211)</f>
        <v>0.00298974415306126</v>
      </c>
    </row>
    <row r="192" customFormat="false" ht="12.8" hidden="false" customHeight="false" outlineLevel="0" collapsed="false">
      <c r="A192" s="6" t="n">
        <v>6</v>
      </c>
      <c r="B192" s="1" t="n">
        <v>0.757276291011557</v>
      </c>
      <c r="C192" s="1" t="n">
        <v>0.792897506425522</v>
      </c>
      <c r="D192" s="8" t="n">
        <f aca="false">C192-B192</f>
        <v>0.035621215413965</v>
      </c>
      <c r="E192" s="8" t="n">
        <f aca="false">ABS(D192)</f>
        <v>0.035621215413965</v>
      </c>
      <c r="F192" s="10"/>
      <c r="G192" s="1"/>
      <c r="I192" s="9" t="s">
        <v>37</v>
      </c>
      <c r="J192" s="1" t="n">
        <f aca="false">COUNT(sims_per_turn_scen6!$B$186:$B$211)</f>
        <v>25</v>
      </c>
      <c r="K192" s="1" t="n">
        <f aca="false">COUNT(sims_per_turn_scen6!$C$186:$C$211)</f>
        <v>25</v>
      </c>
    </row>
    <row r="193" customFormat="false" ht="12.8" hidden="false" customHeight="false" outlineLevel="0" collapsed="false">
      <c r="A193" s="6" t="n">
        <v>7</v>
      </c>
      <c r="B193" s="1" t="n">
        <v>0.758449701833791</v>
      </c>
      <c r="C193" s="1" t="n">
        <v>0.740717063652639</v>
      </c>
      <c r="D193" s="8" t="n">
        <f aca="false">C193-B193</f>
        <v>-0.017732638181152</v>
      </c>
      <c r="E193" s="8" t="n">
        <f aca="false">ABS(D193)</f>
        <v>0.017732638181152</v>
      </c>
      <c r="F193" s="10"/>
      <c r="G193" s="1"/>
      <c r="I193" s="9" t="s">
        <v>38</v>
      </c>
      <c r="J193" s="1" t="n">
        <f aca="false">CORREL(sims_per_turn_scen6!$B$186:$B$211,sims_per_turn_scen6!$C$186:$C$211)</f>
        <v>0.786772937324556</v>
      </c>
    </row>
    <row r="194" customFormat="false" ht="12.8" hidden="false" customHeight="false" outlineLevel="0" collapsed="false">
      <c r="A194" s="6" t="n">
        <v>8</v>
      </c>
      <c r="B194" s="1" t="n">
        <v>0.705275325567815</v>
      </c>
      <c r="C194" s="1" t="n">
        <v>0.701518866188206</v>
      </c>
      <c r="D194" s="8" t="n">
        <f aca="false">C194-B194</f>
        <v>-0.003756459379609</v>
      </c>
      <c r="E194" s="8" t="n">
        <f aca="false">ABS(D194)</f>
        <v>0.003756459379609</v>
      </c>
      <c r="F194" s="10"/>
      <c r="G194" s="1"/>
      <c r="I194" s="9" t="s">
        <v>39</v>
      </c>
      <c r="J194" s="1" t="n">
        <f aca="false" t="array" ref="J194:J194">AVERAGE(IF(ISODD(IF(ISNUMBER(sims_per_turn_scen6!$B$186:$B$211), 1, 0) * IF(ISNUMBER(sims_per_turn_scen6!$C$186:$C$211), 1, 0)), sims_per_turn_scen6!$B$186:$B$211 - sims_per_turn_scen6!$C$186:$C$211, "NA"))</f>
        <v>-0.0112084402074224</v>
      </c>
    </row>
    <row r="195" customFormat="false" ht="12.8" hidden="false" customHeight="false" outlineLevel="0" collapsed="false">
      <c r="A195" s="6" t="n">
        <v>9</v>
      </c>
      <c r="B195" s="1" t="n">
        <v>0.638110457472859</v>
      </c>
      <c r="C195" s="1" t="n">
        <v>0.679408838434061</v>
      </c>
      <c r="D195" s="8" t="n">
        <f aca="false">C195-B195</f>
        <v>0.041298380961202</v>
      </c>
      <c r="E195" s="8" t="n">
        <f aca="false">ABS(D195)</f>
        <v>0.041298380961202</v>
      </c>
      <c r="F195" s="10"/>
      <c r="G195" s="1"/>
      <c r="I195" s="9" t="s">
        <v>40</v>
      </c>
      <c r="J195" s="1" t="n">
        <f aca="false" t="array" ref="J195:J195">VAR(IF(ISODD(IF(ISNUMBER(sims_per_turn_scen6!$B$186:$B$211), 1, 0) * IF(ISNUMBER(sims_per_turn_scen6!$C$186:$C$211), 1, 0)), sims_per_turn_scen6!$B$186:$B$211 - sims_per_turn_scen6!$C$186:$C$211, "NA"))</f>
        <v>0.00122124323605842</v>
      </c>
    </row>
    <row r="196" customFormat="false" ht="12.8" hidden="false" customHeight="false" outlineLevel="0" collapsed="false">
      <c r="A196" s="6" t="n">
        <v>10</v>
      </c>
      <c r="B196" s="1" t="n">
        <v>0.718916919696981</v>
      </c>
      <c r="C196" s="1" t="n">
        <v>0.693828339018655</v>
      </c>
      <c r="D196" s="8" t="n">
        <f aca="false">C196-B196</f>
        <v>-0.025088580678326</v>
      </c>
      <c r="E196" s="8" t="n">
        <f aca="false">ABS(D196)</f>
        <v>0.025088580678326</v>
      </c>
      <c r="F196" s="10"/>
      <c r="G196" s="1"/>
      <c r="I196" s="9" t="s">
        <v>20</v>
      </c>
      <c r="J196" s="1" t="n">
        <f aca="false" t="array" ref="J196:J196">SUM(IF(ISNUMBER(sims_per_turn_scen6!$B$186:$B$211), 1, 0) * IF(ISNUMBER(sims_per_turn_scen6!$C$186:$C$211), 1, 0)) - 1</f>
        <v>24</v>
      </c>
    </row>
    <row r="197" customFormat="false" ht="12.8" hidden="false" customHeight="false" outlineLevel="0" collapsed="false">
      <c r="A197" s="6" t="n">
        <v>11</v>
      </c>
      <c r="B197" s="1" t="n">
        <v>0.760910644452133</v>
      </c>
      <c r="C197" s="1" t="n">
        <v>0.714015093691685</v>
      </c>
      <c r="D197" s="8" t="n">
        <f aca="false">C197-B197</f>
        <v>-0.0468955507604479</v>
      </c>
      <c r="E197" s="8" t="n">
        <f aca="false">ABS(D197)</f>
        <v>0.0468955507604479</v>
      </c>
      <c r="F197" s="10"/>
      <c r="G197" s="1"/>
      <c r="I197" s="9" t="s">
        <v>41</v>
      </c>
      <c r="J197" s="1" t="n">
        <f aca="false">(sims_per_turn_scen6!$J$194 - sims_per_turn_scen6!$J$188) / (sims_per_turn_scen6!$J$195 / ( sims_per_turn_scen6!$J$196 + 1)) ^ 0.5</f>
        <v>-1.60366665131484</v>
      </c>
    </row>
    <row r="198" customFormat="false" ht="12.8" hidden="false" customHeight="false" outlineLevel="0" collapsed="false">
      <c r="A198" s="6" t="n">
        <v>12</v>
      </c>
      <c r="B198" s="1" t="n">
        <v>0.812780603575516</v>
      </c>
      <c r="C198" s="1" t="n">
        <v>0.829353335851788</v>
      </c>
      <c r="D198" s="8" t="n">
        <f aca="false">C198-B198</f>
        <v>0.0165727322762721</v>
      </c>
      <c r="E198" s="8" t="n">
        <f aca="false">ABS(D198)</f>
        <v>0.0165727322762721</v>
      </c>
      <c r="F198" s="10"/>
      <c r="G198" s="1"/>
      <c r="I198" s="9" t="s">
        <v>42</v>
      </c>
      <c r="J198" s="1" t="n">
        <f aca="false">TDIST(ABS(sims_per_turn_scen6!$J$197), sims_per_turn_scen6!$J$196, 1)</f>
        <v>0.0609340436899045</v>
      </c>
    </row>
    <row r="199" customFormat="false" ht="12.8" hidden="false" customHeight="false" outlineLevel="0" collapsed="false">
      <c r="A199" s="6" t="n">
        <v>13</v>
      </c>
      <c r="B199" s="1" t="n">
        <v>0.721407571089307</v>
      </c>
      <c r="C199" s="1" t="n">
        <v>0.741335114714525</v>
      </c>
      <c r="D199" s="8" t="n">
        <f aca="false">C199-B199</f>
        <v>0.019927543625218</v>
      </c>
      <c r="E199" s="8" t="n">
        <f aca="false">ABS(D199)</f>
        <v>0.019927543625218</v>
      </c>
      <c r="F199" s="10"/>
      <c r="G199" s="1"/>
      <c r="I199" s="9" t="s">
        <v>43</v>
      </c>
      <c r="J199" s="1" t="n">
        <f aca="false">TINV(2*sims_per_turn_scen6!$J$187, sims_per_turn_scen6!$J$196)</f>
        <v>1.71088207990943</v>
      </c>
    </row>
    <row r="200" customFormat="false" ht="12.8" hidden="false" customHeight="false" outlineLevel="0" collapsed="false">
      <c r="A200" s="6" t="n">
        <v>14</v>
      </c>
      <c r="B200" s="1" t="n">
        <v>0.76471605795332</v>
      </c>
      <c r="C200" s="1" t="n">
        <v>0.777558691836526</v>
      </c>
      <c r="D200" s="8" t="n">
        <f aca="false">C200-B200</f>
        <v>0.0128426338832061</v>
      </c>
      <c r="E200" s="8" t="n">
        <f aca="false">ABS(D200)</f>
        <v>0.0128426338832061</v>
      </c>
      <c r="F200" s="10"/>
      <c r="G200" s="1"/>
      <c r="I200" s="9" t="s">
        <v>44</v>
      </c>
      <c r="J200" s="1" t="n">
        <f aca="false">TDIST(ABS(sims_per_turn_scen6!$J$197), sims_per_turn_scen6!$J$196, 2)</f>
        <v>0.121868087379809</v>
      </c>
    </row>
    <row r="201" customFormat="false" ht="12.8" hidden="false" customHeight="false" outlineLevel="0" collapsed="false">
      <c r="A201" s="6" t="n">
        <v>15</v>
      </c>
      <c r="B201" s="1" t="n">
        <v>0.711757961516188</v>
      </c>
      <c r="C201" s="1" t="n">
        <v>0.769655236905789</v>
      </c>
      <c r="D201" s="8" t="n">
        <f aca="false">C201-B201</f>
        <v>0.057897275389601</v>
      </c>
      <c r="E201" s="8" t="n">
        <f aca="false">ABS(D201)</f>
        <v>0.057897275389601</v>
      </c>
      <c r="F201" s="10"/>
      <c r="G201" s="1"/>
      <c r="I201" s="9" t="s">
        <v>45</v>
      </c>
      <c r="J201" s="1" t="n">
        <f aca="false">TINV(sims_per_turn_scen6!$J$187, sims_per_turn_scen6!$J$196)</f>
        <v>2.06389856162803</v>
      </c>
    </row>
    <row r="202" customFormat="false" ht="12.8" hidden="false" customHeight="false" outlineLevel="0" collapsed="false">
      <c r="A202" s="6" t="n">
        <v>16</v>
      </c>
      <c r="B202" s="1" t="n">
        <v>0.636409131350562</v>
      </c>
      <c r="C202" s="1" t="n">
        <v>0.692685234430471</v>
      </c>
      <c r="D202" s="8" t="n">
        <f aca="false">C202-B202</f>
        <v>0.056276103079909</v>
      </c>
      <c r="E202" s="8" t="n">
        <f aca="false">ABS(D202)</f>
        <v>0.056276103079909</v>
      </c>
      <c r="F202" s="10"/>
      <c r="G202" s="1"/>
    </row>
    <row r="203" customFormat="false" ht="12.8" hidden="false" customHeight="false" outlineLevel="0" collapsed="false">
      <c r="A203" s="6" t="n">
        <v>17</v>
      </c>
      <c r="B203" s="1" t="n">
        <v>0.760684614350216</v>
      </c>
      <c r="C203" s="1" t="n">
        <v>0.805787272798479</v>
      </c>
      <c r="D203" s="8" t="n">
        <f aca="false">C203-B203</f>
        <v>0.045102658448263</v>
      </c>
      <c r="E203" s="8" t="n">
        <f aca="false">ABS(D203)</f>
        <v>0.045102658448263</v>
      </c>
      <c r="F203" s="10"/>
      <c r="G203" s="1"/>
    </row>
    <row r="204" customFormat="false" ht="12.8" hidden="false" customHeight="false" outlineLevel="0" collapsed="false">
      <c r="A204" s="6" t="n">
        <v>18</v>
      </c>
      <c r="B204" s="1" t="n">
        <v>0.689444509253728</v>
      </c>
      <c r="C204" s="1" t="n">
        <v>0.631093794200336</v>
      </c>
      <c r="D204" s="8" t="n">
        <f aca="false">C204-B204</f>
        <v>-0.0583507150533921</v>
      </c>
      <c r="E204" s="8" t="n">
        <f aca="false">ABS(D204)</f>
        <v>0.0583507150533921</v>
      </c>
      <c r="F204" s="10"/>
      <c r="G204" s="1"/>
    </row>
    <row r="205" customFormat="false" ht="12.8" hidden="false" customHeight="false" outlineLevel="0" collapsed="false">
      <c r="A205" s="6" t="n">
        <v>19</v>
      </c>
      <c r="B205" s="1" t="n">
        <v>0.699907553556336</v>
      </c>
      <c r="C205" s="1" t="n">
        <v>0.690269162854351</v>
      </c>
      <c r="D205" s="8" t="n">
        <f aca="false">C205-B205</f>
        <v>-0.00963839070198502</v>
      </c>
      <c r="E205" s="8" t="n">
        <f aca="false">ABS(D205)</f>
        <v>0.00963839070198502</v>
      </c>
      <c r="F205" s="10"/>
      <c r="G205" s="1"/>
    </row>
    <row r="206" customFormat="false" ht="12.8" hidden="false" customHeight="false" outlineLevel="0" collapsed="false">
      <c r="A206" s="6" t="n">
        <v>20</v>
      </c>
      <c r="B206" s="1" t="n">
        <v>0.721470667146881</v>
      </c>
      <c r="C206" s="1" t="n">
        <v>0.697049065043941</v>
      </c>
      <c r="D206" s="8" t="n">
        <f aca="false">C206-B206</f>
        <v>-0.02442160210294</v>
      </c>
      <c r="E206" s="8" t="n">
        <f aca="false">ABS(D206)</f>
        <v>0.02442160210294</v>
      </c>
      <c r="F206" s="10"/>
      <c r="G206" s="1"/>
    </row>
    <row r="207" customFormat="false" ht="12.8" hidden="false" customHeight="false" outlineLevel="0" collapsed="false">
      <c r="A207" s="6" t="n">
        <v>21</v>
      </c>
      <c r="B207" s="1" t="n">
        <v>0.694019107158469</v>
      </c>
      <c r="C207" s="1" t="n">
        <v>0.69517695472312</v>
      </c>
      <c r="D207" s="8" t="n">
        <f aca="false">C207-B207</f>
        <v>0.00115784756465098</v>
      </c>
      <c r="E207" s="8" t="n">
        <f aca="false">ABS(D207)</f>
        <v>0.00115784756465098</v>
      </c>
      <c r="F207" s="10"/>
      <c r="G207" s="1"/>
    </row>
    <row r="208" customFormat="false" ht="12.8" hidden="false" customHeight="false" outlineLevel="0" collapsed="false">
      <c r="A208" s="6" t="n">
        <v>22</v>
      </c>
      <c r="B208" s="1" t="n">
        <v>0.755797582220466</v>
      </c>
      <c r="C208" s="1" t="n">
        <v>0.757953803081435</v>
      </c>
      <c r="D208" s="8" t="n">
        <f aca="false">C208-B208</f>
        <v>0.002156220860969</v>
      </c>
      <c r="E208" s="8" t="n">
        <f aca="false">ABS(D208)</f>
        <v>0.002156220860969</v>
      </c>
      <c r="F208" s="10"/>
      <c r="G208" s="1"/>
    </row>
    <row r="209" customFormat="false" ht="12.8" hidden="false" customHeight="false" outlineLevel="0" collapsed="false">
      <c r="A209" s="6" t="n">
        <v>23</v>
      </c>
      <c r="B209" s="1" t="n">
        <v>0.650885309375863</v>
      </c>
      <c r="C209" s="1" t="n">
        <v>0.663150812819657</v>
      </c>
      <c r="D209" s="8" t="n">
        <f aca="false">C209-B209</f>
        <v>0.0122655034437941</v>
      </c>
      <c r="E209" s="8" t="n">
        <f aca="false">ABS(D209)</f>
        <v>0.0122655034437941</v>
      </c>
      <c r="F209" s="10"/>
      <c r="G209" s="1"/>
    </row>
    <row r="210" customFormat="false" ht="12.8" hidden="false" customHeight="false" outlineLevel="0" collapsed="false">
      <c r="A210" s="6" t="n">
        <v>24</v>
      </c>
      <c r="B210" s="1" t="n">
        <v>0.810318587583629</v>
      </c>
      <c r="C210" s="1" t="n">
        <v>0.846569350289584</v>
      </c>
      <c r="D210" s="8" t="n">
        <f aca="false">C210-B210</f>
        <v>0.0362507627059551</v>
      </c>
      <c r="E210" s="8" t="n">
        <f aca="false">ABS(D210)</f>
        <v>0.0362507627059551</v>
      </c>
      <c r="F210" s="10"/>
      <c r="G210" s="1"/>
    </row>
    <row r="211" customFormat="false" ht="12.8" hidden="false" customHeight="false" outlineLevel="0" collapsed="false">
      <c r="A211" s="4" t="n">
        <v>25</v>
      </c>
      <c r="B211" s="1" t="n">
        <v>0.756032220349956</v>
      </c>
      <c r="C211" s="1" t="n">
        <v>0.736292798571547</v>
      </c>
      <c r="D211" s="8" t="n">
        <f aca="false">C211-B211</f>
        <v>-0.019739421778409</v>
      </c>
      <c r="E211" s="8" t="n">
        <f aca="false">ABS(D211)</f>
        <v>0.019739421778409</v>
      </c>
      <c r="F211" s="10"/>
      <c r="G211" s="1"/>
    </row>
    <row r="215" customFormat="false" ht="16.15" hidden="false" customHeight="false" outlineLevel="0" collapsed="false">
      <c r="A215" s="11" t="s">
        <v>51</v>
      </c>
    </row>
    <row r="217" customFormat="false" ht="12.8" hidden="false" customHeight="false" outlineLevel="0" collapsed="false">
      <c r="A217" s="12" t="s">
        <v>52</v>
      </c>
      <c r="B217" s="12" t="s">
        <v>53</v>
      </c>
      <c r="C217" s="12" t="s">
        <v>54</v>
      </c>
    </row>
    <row r="218" customFormat="false" ht="12.8" hidden="false" customHeight="false" outlineLevel="0" collapsed="false">
      <c r="A218" s="6" t="n">
        <v>19</v>
      </c>
      <c r="B218" s="1" t="n">
        <v>0.109138685819054</v>
      </c>
      <c r="C218" s="1" t="s">
        <v>55</v>
      </c>
    </row>
    <row r="219" customFormat="false" ht="12.8" hidden="false" customHeight="false" outlineLevel="0" collapsed="false">
      <c r="A219" s="6" t="n">
        <v>19</v>
      </c>
      <c r="B219" s="1" t="n">
        <v>0.099500295117069</v>
      </c>
      <c r="C219" s="1" t="s">
        <v>56</v>
      </c>
    </row>
    <row r="220" customFormat="false" ht="12.8" hidden="false" customHeight="false" outlineLevel="0" collapsed="false">
      <c r="A220" s="6" t="n">
        <v>2</v>
      </c>
      <c r="B220" s="1" t="n">
        <v>0.084475737017962</v>
      </c>
      <c r="C220" s="1" t="s">
        <v>57</v>
      </c>
    </row>
    <row r="221" customFormat="false" ht="12.8" hidden="false" customHeight="false" outlineLevel="0" collapsed="false">
      <c r="A221" s="6" t="n">
        <v>13</v>
      </c>
      <c r="B221" s="1" t="n">
        <v>0.0705638279547229</v>
      </c>
      <c r="C221" s="1" t="s">
        <v>56</v>
      </c>
    </row>
    <row r="222" customFormat="false" ht="12.8" hidden="false" customHeight="false" outlineLevel="0" collapsed="false">
      <c r="A222" s="6" t="n">
        <v>23</v>
      </c>
      <c r="B222" s="1" t="n">
        <v>0.0694391965994621</v>
      </c>
      <c r="C222" s="1" t="s">
        <v>58</v>
      </c>
    </row>
    <row r="223" customFormat="false" ht="12.8" hidden="false" customHeight="false" outlineLevel="0" collapsed="false">
      <c r="A223" s="6" t="n">
        <v>21</v>
      </c>
      <c r="B223" s="1" t="n">
        <v>0.067540238280303</v>
      </c>
      <c r="C223" s="1" t="s">
        <v>59</v>
      </c>
    </row>
    <row r="224" customFormat="false" ht="12.8" hidden="false" customHeight="false" outlineLevel="0" collapsed="false">
      <c r="A224" s="6" t="n">
        <v>20</v>
      </c>
      <c r="B224" s="1" t="n">
        <v>0.0669229360143441</v>
      </c>
      <c r="C224" s="1" t="s">
        <v>58</v>
      </c>
    </row>
    <row r="225" customFormat="false" ht="12.8" hidden="false" customHeight="false" outlineLevel="0" collapsed="false">
      <c r="A225" s="6" t="n">
        <v>16</v>
      </c>
      <c r="B225" s="1" t="n">
        <v>0.066085044789866</v>
      </c>
      <c r="C225" s="1" t="s">
        <v>60</v>
      </c>
    </row>
    <row r="226" customFormat="false" ht="12.8" hidden="false" customHeight="false" outlineLevel="0" collapsed="false">
      <c r="A226" s="6" t="n">
        <v>8</v>
      </c>
      <c r="B226" s="1" t="n">
        <v>0.065618954436133</v>
      </c>
      <c r="C226" s="1" t="s">
        <v>60</v>
      </c>
    </row>
    <row r="227" customFormat="false" ht="12.8" hidden="false" customHeight="false" outlineLevel="0" collapsed="false">
      <c r="A227" s="6" t="n">
        <v>8</v>
      </c>
      <c r="B227" s="1" t="n">
        <v>0.06444601578823</v>
      </c>
      <c r="C227" s="1" t="s">
        <v>59</v>
      </c>
    </row>
    <row r="228" customFormat="false" ht="12.8" hidden="false" customHeight="false" outlineLevel="0" collapsed="false">
      <c r="A228" s="6" t="n">
        <v>20</v>
      </c>
      <c r="B228" s="1" t="n">
        <v>0.0620372325488201</v>
      </c>
      <c r="C228" s="1" t="s">
        <v>59</v>
      </c>
    </row>
    <row r="229" customFormat="false" ht="12.8" hidden="false" customHeight="false" outlineLevel="0" collapsed="false">
      <c r="A229" s="6" t="n">
        <v>7</v>
      </c>
      <c r="B229" s="1" t="n">
        <v>0.061992317122939</v>
      </c>
      <c r="C229" s="1" t="s">
        <v>60</v>
      </c>
    </row>
    <row r="230" customFormat="false" ht="12.8" hidden="false" customHeight="false" outlineLevel="0" collapsed="false">
      <c r="A230" s="6" t="n">
        <v>8</v>
      </c>
      <c r="B230" s="1" t="n">
        <v>0.061862495056524</v>
      </c>
      <c r="C230" s="1" t="s">
        <v>58</v>
      </c>
    </row>
    <row r="231" customFormat="false" ht="12.8" hidden="false" customHeight="false" outlineLevel="0" collapsed="false">
      <c r="A231" s="6" t="n">
        <v>7</v>
      </c>
      <c r="B231" s="1" t="n">
        <v>0.0614949063570439</v>
      </c>
      <c r="C231" s="1" t="s">
        <v>59</v>
      </c>
    </row>
    <row r="232" customFormat="false" ht="12.8" hidden="false" customHeight="false" outlineLevel="0" collapsed="false">
      <c r="A232" s="6" t="n">
        <v>2</v>
      </c>
      <c r="B232" s="1" t="n">
        <v>0.061245070129398</v>
      </c>
      <c r="C232" s="1" t="s">
        <v>55</v>
      </c>
    </row>
    <row r="233" customFormat="false" ht="12.8" hidden="false" customHeight="false" outlineLevel="0" collapsed="false">
      <c r="A233" s="6" t="n">
        <v>17</v>
      </c>
      <c r="B233" s="1" t="n">
        <v>0.0608483997723021</v>
      </c>
      <c r="C233" s="1" t="s">
        <v>55</v>
      </c>
    </row>
    <row r="234" customFormat="false" ht="12.8" hidden="false" customHeight="false" outlineLevel="0" collapsed="false">
      <c r="A234" s="6" t="n">
        <v>15</v>
      </c>
      <c r="B234" s="1" t="n">
        <v>0.059320832754442</v>
      </c>
      <c r="C234" s="1" t="s">
        <v>56</v>
      </c>
    </row>
    <row r="235" customFormat="false" ht="12.8" hidden="false" customHeight="false" outlineLevel="0" collapsed="false">
      <c r="A235" s="4" t="n">
        <v>25</v>
      </c>
      <c r="B235" s="1" t="n">
        <v>0.058830708820049</v>
      </c>
      <c r="C235" s="1" t="s">
        <v>55</v>
      </c>
    </row>
    <row r="236" customFormat="false" ht="12.8" hidden="false" customHeight="false" outlineLevel="0" collapsed="false">
      <c r="A236" s="6" t="n">
        <v>18</v>
      </c>
      <c r="B236" s="1" t="n">
        <v>0.0583507150533921</v>
      </c>
      <c r="C236" s="1" t="s">
        <v>57</v>
      </c>
    </row>
    <row r="237" customFormat="false" ht="12.8" hidden="false" customHeight="false" outlineLevel="0" collapsed="false">
      <c r="A237" s="6" t="n">
        <v>15</v>
      </c>
      <c r="B237" s="1" t="n">
        <v>0.057897275389601</v>
      </c>
      <c r="C237" s="1" t="s">
        <v>57</v>
      </c>
    </row>
    <row r="238" customFormat="false" ht="12.8" hidden="false" customHeight="false" outlineLevel="0" collapsed="false">
      <c r="A238" s="6" t="n">
        <v>17</v>
      </c>
      <c r="B238" s="1" t="n">
        <v>0.057457865661624</v>
      </c>
      <c r="C238" s="1" t="s">
        <v>58</v>
      </c>
    </row>
    <row r="239" customFormat="false" ht="12.8" hidden="false" customHeight="false" outlineLevel="0" collapsed="false">
      <c r="A239" s="6" t="n">
        <v>23</v>
      </c>
      <c r="B239" s="1" t="n">
        <v>0.057173693155668</v>
      </c>
      <c r="C239" s="1" t="s">
        <v>60</v>
      </c>
    </row>
    <row r="240" customFormat="false" ht="12.8" hidden="false" customHeight="false" outlineLevel="0" collapsed="false">
      <c r="A240" s="6" t="n">
        <v>16</v>
      </c>
      <c r="B240" s="1" t="n">
        <v>0.056276103079909</v>
      </c>
      <c r="C240" s="1" t="s">
        <v>57</v>
      </c>
    </row>
    <row r="241" customFormat="false" ht="12.8" hidden="false" customHeight="false" outlineLevel="0" collapsed="false">
      <c r="A241" s="6" t="n">
        <v>19</v>
      </c>
      <c r="B241" s="1" t="n">
        <v>0.0560658121733191</v>
      </c>
      <c r="C241" s="1" t="s">
        <v>58</v>
      </c>
    </row>
    <row r="242" customFormat="false" ht="12.8" hidden="false" customHeight="false" outlineLevel="0" collapsed="false">
      <c r="A242" s="6" t="n">
        <v>23</v>
      </c>
      <c r="B242" s="1" t="n">
        <v>0.0550522668743411</v>
      </c>
      <c r="C242" s="1" t="s">
        <v>55</v>
      </c>
    </row>
    <row r="243" customFormat="false" ht="12.8" hidden="false" customHeight="false" outlineLevel="0" collapsed="false">
      <c r="A243" s="6" t="n">
        <v>6</v>
      </c>
      <c r="B243" s="1" t="n">
        <v>0.054534206167638</v>
      </c>
      <c r="C243" s="1" t="s">
        <v>60</v>
      </c>
    </row>
    <row r="244" customFormat="false" ht="12.8" hidden="false" customHeight="false" outlineLevel="0" collapsed="false">
      <c r="A244" s="6" t="n">
        <v>19</v>
      </c>
      <c r="B244" s="1" t="n">
        <v>0.053072873645735</v>
      </c>
      <c r="C244" s="1" t="s">
        <v>59</v>
      </c>
    </row>
    <row r="245" customFormat="false" ht="12.8" hidden="false" customHeight="false" outlineLevel="0" collapsed="false">
      <c r="A245" s="6" t="n">
        <v>5</v>
      </c>
      <c r="B245" s="1" t="n">
        <v>0.052698488352958</v>
      </c>
      <c r="C245" s="1" t="s">
        <v>57</v>
      </c>
    </row>
    <row r="246" customFormat="false" ht="12.8" hidden="false" customHeight="false" outlineLevel="0" collapsed="false">
      <c r="A246" s="6" t="n">
        <v>13</v>
      </c>
      <c r="B246" s="1" t="n">
        <v>0.050636284329505</v>
      </c>
      <c r="C246" s="1" t="s">
        <v>55</v>
      </c>
    </row>
    <row r="247" customFormat="false" ht="12.8" hidden="false" customHeight="false" outlineLevel="0" collapsed="false">
      <c r="A247" s="6" t="n">
        <v>4</v>
      </c>
      <c r="B247" s="1" t="n">
        <v>0.0501238941325031</v>
      </c>
      <c r="C247" s="1" t="s">
        <v>58</v>
      </c>
    </row>
    <row r="248" customFormat="false" ht="12.8" hidden="true" customHeight="false" outlineLevel="0" collapsed="false">
      <c r="A248" s="6" t="n">
        <v>11</v>
      </c>
      <c r="B248" s="1" t="n">
        <v>0.0468955507604479</v>
      </c>
      <c r="C248" s="1" t="s">
        <v>57</v>
      </c>
    </row>
    <row r="249" customFormat="false" ht="12.8" hidden="true" customHeight="false" outlineLevel="0" collapsed="false">
      <c r="A249" s="6" t="n">
        <v>19</v>
      </c>
      <c r="B249" s="1" t="n">
        <v>0.0464274214713341</v>
      </c>
      <c r="C249" s="1" t="s">
        <v>60</v>
      </c>
    </row>
    <row r="250" customFormat="false" ht="12.8" hidden="true" customHeight="false" outlineLevel="0" collapsed="false">
      <c r="A250" s="6" t="n">
        <v>5</v>
      </c>
      <c r="B250" s="1" t="n">
        <v>0.04556440640116</v>
      </c>
      <c r="C250" s="1" t="s">
        <v>58</v>
      </c>
    </row>
    <row r="251" customFormat="false" ht="12.8" hidden="true" customHeight="false" outlineLevel="0" collapsed="false">
      <c r="A251" s="6" t="n">
        <v>17</v>
      </c>
      <c r="B251" s="1" t="n">
        <v>0.045102658448263</v>
      </c>
      <c r="C251" s="1" t="s">
        <v>57</v>
      </c>
    </row>
    <row r="252" customFormat="false" ht="12.8" hidden="true" customHeight="false" outlineLevel="0" collapsed="false">
      <c r="A252" s="6" t="n">
        <v>2</v>
      </c>
      <c r="B252" s="1" t="n">
        <v>0.044939955148918</v>
      </c>
      <c r="C252" s="1" t="s">
        <v>60</v>
      </c>
    </row>
    <row r="253" customFormat="false" ht="12.8" hidden="true" customHeight="false" outlineLevel="0" collapsed="false">
      <c r="A253" s="6" t="n">
        <v>7</v>
      </c>
      <c r="B253" s="1" t="n">
        <v>0.044259678941787</v>
      </c>
      <c r="C253" s="1" t="s">
        <v>58</v>
      </c>
    </row>
    <row r="254" customFormat="false" ht="12.8" hidden="true" customHeight="false" outlineLevel="0" collapsed="false">
      <c r="A254" s="6" t="n">
        <v>21</v>
      </c>
      <c r="B254" s="1" t="n">
        <v>0.0432606862459359</v>
      </c>
      <c r="C254" s="1" t="s">
        <v>58</v>
      </c>
    </row>
    <row r="255" customFormat="false" ht="12.8" hidden="true" customHeight="false" outlineLevel="0" collapsed="false">
      <c r="A255" s="6" t="n">
        <v>23</v>
      </c>
      <c r="B255" s="1" t="n">
        <v>0.042786763430547</v>
      </c>
      <c r="C255" s="1" t="s">
        <v>56</v>
      </c>
    </row>
    <row r="256" customFormat="false" ht="12.8" hidden="true" customHeight="false" outlineLevel="0" collapsed="false">
      <c r="A256" s="6" t="n">
        <v>24</v>
      </c>
      <c r="B256" s="1" t="n">
        <v>0.042693683224011</v>
      </c>
      <c r="C256" s="1" t="s">
        <v>58</v>
      </c>
    </row>
    <row r="257" customFormat="false" ht="12.8" hidden="true" customHeight="false" outlineLevel="0" collapsed="false">
      <c r="A257" s="6" t="n">
        <v>20</v>
      </c>
      <c r="B257" s="1" t="n">
        <v>0.0425013339114041</v>
      </c>
      <c r="C257" s="1" t="s">
        <v>60</v>
      </c>
    </row>
    <row r="258" customFormat="false" ht="12.8" hidden="true" customHeight="false" outlineLevel="0" collapsed="false">
      <c r="A258" s="6" t="n">
        <v>21</v>
      </c>
      <c r="B258" s="1" t="n">
        <v>0.042102838681285</v>
      </c>
      <c r="C258" s="1" t="s">
        <v>60</v>
      </c>
    </row>
    <row r="259" customFormat="false" ht="12.8" hidden="true" customHeight="false" outlineLevel="0" collapsed="false">
      <c r="A259" s="6" t="n">
        <v>18</v>
      </c>
      <c r="B259" s="1" t="n">
        <v>0.0414810899989671</v>
      </c>
      <c r="C259" s="1" t="s">
        <v>58</v>
      </c>
    </row>
    <row r="260" customFormat="false" ht="12.8" hidden="true" customHeight="false" outlineLevel="0" collapsed="false">
      <c r="A260" s="6" t="n">
        <v>9</v>
      </c>
      <c r="B260" s="1" t="n">
        <v>0.041298380961202</v>
      </c>
      <c r="C260" s="1" t="s">
        <v>57</v>
      </c>
    </row>
    <row r="261" customFormat="false" ht="12.8" hidden="true" customHeight="false" outlineLevel="0" collapsed="false">
      <c r="A261" s="6" t="n">
        <v>11</v>
      </c>
      <c r="B261" s="1" t="n">
        <v>0.04128140919444</v>
      </c>
      <c r="C261" s="1" t="s">
        <v>58</v>
      </c>
    </row>
    <row r="262" customFormat="false" ht="12.8" hidden="true" customHeight="false" outlineLevel="0" collapsed="false">
      <c r="A262" s="6" t="n">
        <v>2</v>
      </c>
      <c r="B262" s="1" t="n">
        <v>0.0395357818690439</v>
      </c>
      <c r="C262" s="1" t="s">
        <v>58</v>
      </c>
    </row>
    <row r="263" customFormat="false" ht="12.8" hidden="true" customHeight="false" outlineLevel="0" collapsed="false">
      <c r="A263" s="4" t="n">
        <v>25</v>
      </c>
      <c r="B263" s="1" t="n">
        <v>0.03909128704164</v>
      </c>
      <c r="C263" s="1" t="s">
        <v>56</v>
      </c>
    </row>
    <row r="264" customFormat="false" ht="12.8" hidden="true" customHeight="false" outlineLevel="0" collapsed="false">
      <c r="A264" s="6" t="n">
        <v>4</v>
      </c>
      <c r="B264" s="1" t="n">
        <v>0.039085161186534</v>
      </c>
      <c r="C264" s="1" t="s">
        <v>59</v>
      </c>
    </row>
    <row r="265" customFormat="false" ht="12.8" hidden="true" customHeight="false" outlineLevel="0" collapsed="false">
      <c r="A265" s="6" t="n">
        <v>13</v>
      </c>
      <c r="B265" s="1" t="n">
        <v>0.038748214825554</v>
      </c>
      <c r="C265" s="1" t="s">
        <v>59</v>
      </c>
    </row>
    <row r="266" customFormat="false" ht="12.8" hidden="true" customHeight="false" outlineLevel="0" collapsed="false">
      <c r="A266" s="6" t="n">
        <v>9</v>
      </c>
      <c r="B266" s="1" t="n">
        <v>0.03830046840053</v>
      </c>
      <c r="C266" s="1" t="s">
        <v>55</v>
      </c>
    </row>
    <row r="267" customFormat="false" ht="12.8" hidden="true" customHeight="false" outlineLevel="0" collapsed="false">
      <c r="A267" s="6" t="n">
        <v>1</v>
      </c>
      <c r="B267" s="1" t="n">
        <v>0.0381039831248701</v>
      </c>
      <c r="C267" s="1" t="s">
        <v>55</v>
      </c>
    </row>
    <row r="268" customFormat="false" ht="12.8" hidden="true" customHeight="false" outlineLevel="0" collapsed="false">
      <c r="A268" s="6" t="n">
        <v>5</v>
      </c>
      <c r="B268" s="1" t="n">
        <v>0.037095847326715</v>
      </c>
      <c r="C268" s="1" t="s">
        <v>56</v>
      </c>
    </row>
    <row r="269" customFormat="false" ht="12.8" hidden="true" customHeight="false" outlineLevel="0" collapsed="false">
      <c r="A269" s="6" t="n">
        <v>4</v>
      </c>
      <c r="B269" s="1" t="n">
        <v>0.036476867863378</v>
      </c>
      <c r="C269" s="1" t="s">
        <v>60</v>
      </c>
    </row>
    <row r="270" customFormat="false" ht="12.8" hidden="true" customHeight="false" outlineLevel="0" collapsed="false">
      <c r="A270" s="6" t="n">
        <v>24</v>
      </c>
      <c r="B270" s="1" t="n">
        <v>0.0362507627059551</v>
      </c>
      <c r="C270" s="1" t="s">
        <v>57</v>
      </c>
    </row>
    <row r="271" customFormat="false" ht="12.8" hidden="true" customHeight="false" outlineLevel="0" collapsed="false">
      <c r="A271" s="6" t="n">
        <v>11</v>
      </c>
      <c r="B271" s="1" t="n">
        <v>0.035993649463523</v>
      </c>
      <c r="C271" s="1" t="s">
        <v>55</v>
      </c>
    </row>
    <row r="272" customFormat="false" ht="12.8" hidden="true" customHeight="false" outlineLevel="0" collapsed="false">
      <c r="A272" s="6" t="n">
        <v>6</v>
      </c>
      <c r="B272" s="1" t="n">
        <v>0.035621215413965</v>
      </c>
      <c r="C272" s="1" t="s">
        <v>57</v>
      </c>
    </row>
    <row r="273" customFormat="false" ht="12.8" hidden="true" customHeight="false" outlineLevel="0" collapsed="false">
      <c r="A273" s="6" t="n">
        <v>18</v>
      </c>
      <c r="B273" s="1" t="n">
        <v>0.035442946251675</v>
      </c>
      <c r="C273" s="1" t="s">
        <v>55</v>
      </c>
    </row>
    <row r="274" customFormat="false" ht="12.8" hidden="true" customHeight="false" outlineLevel="0" collapsed="false">
      <c r="A274" s="6" t="n">
        <v>16</v>
      </c>
      <c r="B274" s="1" t="n">
        <v>0.034451576517196</v>
      </c>
      <c r="C274" s="1" t="s">
        <v>56</v>
      </c>
    </row>
    <row r="275" customFormat="false" ht="12.8" hidden="true" customHeight="false" outlineLevel="0" collapsed="false">
      <c r="A275" s="6" t="n">
        <v>1</v>
      </c>
      <c r="B275" s="1" t="n">
        <v>0.0337785369252751</v>
      </c>
      <c r="C275" s="1" t="s">
        <v>56</v>
      </c>
    </row>
    <row r="276" customFormat="false" ht="12.8" hidden="true" customHeight="false" outlineLevel="0" collapsed="false">
      <c r="A276" s="6" t="n">
        <v>1</v>
      </c>
      <c r="B276" s="1" t="n">
        <v>0.03326699482886</v>
      </c>
      <c r="C276" s="1" t="s">
        <v>58</v>
      </c>
    </row>
    <row r="277" customFormat="false" ht="12.8" hidden="true" customHeight="false" outlineLevel="0" collapsed="false">
      <c r="A277" s="6" t="n">
        <v>15</v>
      </c>
      <c r="B277" s="1" t="n">
        <v>0.032221466269148</v>
      </c>
      <c r="C277" s="1" t="s">
        <v>59</v>
      </c>
    </row>
    <row r="278" customFormat="false" ht="12.8" hidden="true" customHeight="false" outlineLevel="0" collapsed="false">
      <c r="A278" s="6" t="n">
        <v>12</v>
      </c>
      <c r="B278" s="1" t="n">
        <v>0.031992749524268</v>
      </c>
      <c r="C278" s="1" t="s">
        <v>55</v>
      </c>
    </row>
    <row r="279" customFormat="false" ht="12.8" hidden="true" customHeight="false" outlineLevel="0" collapsed="false">
      <c r="A279" s="6" t="n">
        <v>24</v>
      </c>
      <c r="B279" s="1" t="n">
        <v>0.0319585474770829</v>
      </c>
      <c r="C279" s="1" t="s">
        <v>59</v>
      </c>
    </row>
    <row r="280" customFormat="false" ht="12.8" hidden="true" customHeight="false" outlineLevel="0" collapsed="false">
      <c r="A280" s="6" t="n">
        <v>13</v>
      </c>
      <c r="B280" s="1" t="n">
        <v>0.0318156131291689</v>
      </c>
      <c r="C280" s="1" t="s">
        <v>60</v>
      </c>
    </row>
    <row r="281" customFormat="false" ht="12.8" hidden="true" customHeight="false" outlineLevel="0" collapsed="false">
      <c r="A281" s="6" t="n">
        <v>16</v>
      </c>
      <c r="B281" s="1" t="n">
        <v>0.03163346827267</v>
      </c>
      <c r="C281" s="1" t="s">
        <v>59</v>
      </c>
    </row>
    <row r="282" customFormat="false" ht="12.8" hidden="true" customHeight="false" outlineLevel="0" collapsed="false">
      <c r="A282" s="6" t="n">
        <v>15</v>
      </c>
      <c r="B282" s="1" t="n">
        <v>0.030797908904307</v>
      </c>
      <c r="C282" s="1" t="s">
        <v>58</v>
      </c>
    </row>
    <row r="283" customFormat="false" ht="12.8" hidden="true" customHeight="false" outlineLevel="0" collapsed="false">
      <c r="A283" s="4" t="n">
        <v>25</v>
      </c>
      <c r="B283" s="1" t="n">
        <v>0.0307439540474991</v>
      </c>
      <c r="C283" s="1" t="s">
        <v>59</v>
      </c>
    </row>
    <row r="284" customFormat="false" ht="12.8" hidden="true" customHeight="false" outlineLevel="0" collapsed="false">
      <c r="A284" s="6" t="n">
        <v>5</v>
      </c>
      <c r="B284" s="1" t="n">
        <v>0.029961765374917</v>
      </c>
      <c r="C284" s="1" t="s">
        <v>59</v>
      </c>
    </row>
    <row r="285" customFormat="false" ht="12.8" hidden="true" customHeight="false" outlineLevel="0" collapsed="false">
      <c r="A285" s="6" t="n">
        <v>3</v>
      </c>
      <c r="B285" s="1" t="n">
        <v>0.029263733266615</v>
      </c>
      <c r="C285" s="1" t="s">
        <v>57</v>
      </c>
    </row>
    <row r="286" customFormat="false" ht="12.8" hidden="true" customHeight="false" outlineLevel="0" collapsed="false">
      <c r="A286" s="6" t="n">
        <v>6</v>
      </c>
      <c r="B286" s="1" t="n">
        <v>0.028984129518473</v>
      </c>
      <c r="C286" s="1" t="s">
        <v>59</v>
      </c>
    </row>
    <row r="287" customFormat="false" ht="12.8" hidden="true" customHeight="false" outlineLevel="0" collapsed="false">
      <c r="A287" s="6" t="n">
        <v>1</v>
      </c>
      <c r="B287" s="1" t="n">
        <v>0.028941548629265</v>
      </c>
      <c r="C287" s="1" t="s">
        <v>60</v>
      </c>
    </row>
    <row r="288" customFormat="false" ht="12.8" hidden="true" customHeight="false" outlineLevel="0" collapsed="false">
      <c r="A288" s="6" t="n">
        <v>14</v>
      </c>
      <c r="B288" s="1" t="n">
        <v>0.028359346238052</v>
      </c>
      <c r="C288" s="1" t="s">
        <v>56</v>
      </c>
    </row>
    <row r="289" customFormat="false" ht="12.8" hidden="true" customHeight="false" outlineLevel="0" collapsed="false">
      <c r="A289" s="4" t="n">
        <v>25</v>
      </c>
      <c r="B289" s="1" t="n">
        <v>0.02808675477255</v>
      </c>
      <c r="C289" s="1" t="s">
        <v>58</v>
      </c>
    </row>
    <row r="290" customFormat="false" ht="12.8" hidden="true" customHeight="false" outlineLevel="0" collapsed="false">
      <c r="A290" s="6" t="n">
        <v>15</v>
      </c>
      <c r="B290" s="1" t="n">
        <v>0.027099366485294</v>
      </c>
      <c r="C290" s="1" t="s">
        <v>60</v>
      </c>
    </row>
    <row r="291" customFormat="false" ht="12.8" hidden="true" customHeight="false" outlineLevel="0" collapsed="false">
      <c r="A291" s="6" t="n">
        <v>6</v>
      </c>
      <c r="B291" s="1" t="n">
        <v>0.0255500766491651</v>
      </c>
      <c r="C291" s="1" t="s">
        <v>56</v>
      </c>
    </row>
    <row r="292" customFormat="false" ht="12.8" hidden="true" customHeight="false" outlineLevel="0" collapsed="false">
      <c r="A292" s="6" t="n">
        <v>24</v>
      </c>
      <c r="B292" s="1" t="n">
        <v>0.025515626959027</v>
      </c>
      <c r="C292" s="1" t="s">
        <v>56</v>
      </c>
    </row>
    <row r="293" customFormat="false" ht="12.8" hidden="true" customHeight="false" outlineLevel="0" collapsed="false">
      <c r="A293" s="6" t="n">
        <v>21</v>
      </c>
      <c r="B293" s="1" t="n">
        <v>0.025437399599018</v>
      </c>
      <c r="C293" s="1" t="s">
        <v>56</v>
      </c>
    </row>
    <row r="294" customFormat="false" ht="12.8" hidden="true" customHeight="false" outlineLevel="0" collapsed="false">
      <c r="A294" s="6" t="n">
        <v>10</v>
      </c>
      <c r="B294" s="1" t="n">
        <v>0.025088580678326</v>
      </c>
      <c r="C294" s="1" t="s">
        <v>57</v>
      </c>
    </row>
    <row r="295" customFormat="false" ht="12.8" hidden="true" customHeight="false" outlineLevel="0" collapsed="false">
      <c r="A295" s="6" t="n">
        <v>14</v>
      </c>
      <c r="B295" s="1" t="n">
        <v>0.024970653055403</v>
      </c>
      <c r="C295" s="1" t="s">
        <v>60</v>
      </c>
    </row>
    <row r="296" customFormat="false" ht="12.8" hidden="true" customHeight="false" outlineLevel="0" collapsed="false">
      <c r="A296" s="6" t="n">
        <v>20</v>
      </c>
      <c r="B296" s="1" t="n">
        <v>0.02442160210294</v>
      </c>
      <c r="C296" s="1" t="s">
        <v>57</v>
      </c>
    </row>
    <row r="297" customFormat="false" ht="12.8" hidden="true" customHeight="false" outlineLevel="0" collapsed="false">
      <c r="A297" s="6" t="n">
        <v>21</v>
      </c>
      <c r="B297" s="1" t="n">
        <v>0.024279552034367</v>
      </c>
      <c r="C297" s="1" t="s">
        <v>55</v>
      </c>
    </row>
    <row r="298" customFormat="false" ht="12.8" hidden="true" customHeight="false" outlineLevel="0" collapsed="false">
      <c r="A298" s="6" t="n">
        <v>9</v>
      </c>
      <c r="B298" s="1" t="n">
        <v>0.0242049958292819</v>
      </c>
      <c r="C298" s="1" t="s">
        <v>60</v>
      </c>
    </row>
    <row r="299" customFormat="false" ht="12.8" hidden="true" customHeight="false" outlineLevel="0" collapsed="false">
      <c r="A299" s="6" t="n">
        <v>2</v>
      </c>
      <c r="B299" s="1" t="n">
        <v>0.023230666888564</v>
      </c>
      <c r="C299" s="1" t="s">
        <v>56</v>
      </c>
    </row>
    <row r="300" customFormat="false" ht="12.8" hidden="true" customHeight="false" outlineLevel="0" collapsed="false">
      <c r="A300" s="6" t="n">
        <v>18</v>
      </c>
      <c r="B300" s="1" t="n">
        <v>0.0229077688017171</v>
      </c>
      <c r="C300" s="1" t="s">
        <v>56</v>
      </c>
    </row>
    <row r="301" customFormat="false" ht="12.8" hidden="true" customHeight="false" outlineLevel="0" collapsed="false">
      <c r="A301" s="6" t="n">
        <v>22</v>
      </c>
      <c r="B301" s="1" t="n">
        <v>0.022398297977239</v>
      </c>
      <c r="C301" s="1" t="s">
        <v>56</v>
      </c>
    </row>
    <row r="302" customFormat="false" ht="12.8" hidden="true" customHeight="false" outlineLevel="0" collapsed="false">
      <c r="A302" s="6" t="n">
        <v>16</v>
      </c>
      <c r="B302" s="1" t="n">
        <v>0.0218245265627131</v>
      </c>
      <c r="C302" s="1" t="s">
        <v>55</v>
      </c>
    </row>
    <row r="303" customFormat="false" ht="12.8" hidden="true" customHeight="false" outlineLevel="0" collapsed="false">
      <c r="A303" s="6" t="n">
        <v>2</v>
      </c>
      <c r="B303" s="1" t="n">
        <v>0.021709288260354</v>
      </c>
      <c r="C303" s="1" t="s">
        <v>59</v>
      </c>
    </row>
    <row r="304" customFormat="false" ht="12.8" hidden="true" customHeight="false" outlineLevel="0" collapsed="false">
      <c r="A304" s="6" t="n">
        <v>10</v>
      </c>
      <c r="B304" s="1" t="n">
        <v>0.021327200808702</v>
      </c>
      <c r="C304" s="1" t="s">
        <v>56</v>
      </c>
    </row>
    <row r="305" customFormat="false" ht="12.8" hidden="true" customHeight="false" outlineLevel="0" collapsed="false">
      <c r="A305" s="6" t="n">
        <v>9</v>
      </c>
      <c r="B305" s="1" t="n">
        <v>0.02120708326861</v>
      </c>
      <c r="C305" s="1" t="s">
        <v>59</v>
      </c>
    </row>
    <row r="306" customFormat="false" ht="12.8" hidden="true" customHeight="false" outlineLevel="0" collapsed="false">
      <c r="A306" s="6" t="n">
        <v>22</v>
      </c>
      <c r="B306" s="1" t="n">
        <v>0.02024207711627</v>
      </c>
      <c r="C306" s="1" t="s">
        <v>55</v>
      </c>
    </row>
    <row r="307" customFormat="false" ht="12.8" hidden="true" customHeight="false" outlineLevel="0" collapsed="false">
      <c r="A307" s="6" t="n">
        <v>13</v>
      </c>
      <c r="B307" s="1" t="n">
        <v>0.019927543625218</v>
      </c>
      <c r="C307" s="1" t="s">
        <v>57</v>
      </c>
    </row>
    <row r="308" customFormat="false" ht="12.8" hidden="true" customHeight="false" outlineLevel="0" collapsed="false">
      <c r="A308" s="4" t="n">
        <v>25</v>
      </c>
      <c r="B308" s="1" t="n">
        <v>0.019739421778409</v>
      </c>
      <c r="C308" s="1" t="s">
        <v>57</v>
      </c>
    </row>
    <row r="309" customFormat="false" ht="12.8" hidden="true" customHeight="false" outlineLevel="0" collapsed="false">
      <c r="A309" s="6" t="n">
        <v>20</v>
      </c>
      <c r="B309" s="1" t="n">
        <v>0.019535898637416</v>
      </c>
      <c r="C309" s="1" t="s">
        <v>56</v>
      </c>
    </row>
    <row r="310" customFormat="false" ht="12.8" hidden="true" customHeight="false" outlineLevel="0" collapsed="false">
      <c r="A310" s="6" t="n">
        <v>6</v>
      </c>
      <c r="B310" s="1" t="n">
        <v>0.018912990753673</v>
      </c>
      <c r="C310" s="1" t="s">
        <v>58</v>
      </c>
    </row>
    <row r="311" customFormat="false" ht="12.8" hidden="true" customHeight="false" outlineLevel="0" collapsed="false">
      <c r="A311" s="6" t="n">
        <v>12</v>
      </c>
      <c r="B311" s="1" t="n">
        <v>0.018840806761802</v>
      </c>
      <c r="C311" s="1" t="s">
        <v>58</v>
      </c>
    </row>
    <row r="312" customFormat="false" ht="12.8" hidden="true" customHeight="false" outlineLevel="0" collapsed="false">
      <c r="A312" s="6" t="n">
        <v>3</v>
      </c>
      <c r="B312" s="1" t="n">
        <v>0.0184239073183951</v>
      </c>
      <c r="C312" s="1" t="s">
        <v>56</v>
      </c>
    </row>
    <row r="313" customFormat="false" ht="12.8" hidden="true" customHeight="false" outlineLevel="0" collapsed="false">
      <c r="A313" s="6" t="n">
        <v>10</v>
      </c>
      <c r="B313" s="1" t="n">
        <v>0.018011736530695</v>
      </c>
      <c r="C313" s="1" t="s">
        <v>58</v>
      </c>
    </row>
    <row r="314" customFormat="false" ht="12.8" hidden="true" customHeight="false" outlineLevel="0" collapsed="false">
      <c r="A314" s="6" t="n">
        <v>7</v>
      </c>
      <c r="B314" s="1" t="n">
        <v>0.017732638181152</v>
      </c>
      <c r="C314" s="1" t="s">
        <v>57</v>
      </c>
    </row>
    <row r="315" customFormat="false" ht="12.8" hidden="true" customHeight="false" outlineLevel="0" collapsed="false">
      <c r="A315" s="6" t="n">
        <v>7</v>
      </c>
      <c r="B315" s="1" t="n">
        <v>0.017235227415257</v>
      </c>
      <c r="C315" s="1" t="s">
        <v>55</v>
      </c>
    </row>
    <row r="316" customFormat="false" ht="12.8" hidden="true" customHeight="false" outlineLevel="0" collapsed="false">
      <c r="A316" s="6" t="n">
        <v>3</v>
      </c>
      <c r="B316" s="1" t="n">
        <v>0.017232220713012</v>
      </c>
      <c r="C316" s="1" t="s">
        <v>60</v>
      </c>
    </row>
    <row r="317" customFormat="false" ht="12.8" hidden="true" customHeight="false" outlineLevel="0" collapsed="false">
      <c r="A317" s="6" t="n">
        <v>9</v>
      </c>
      <c r="B317" s="1" t="n">
        <v>0.01709338513192</v>
      </c>
      <c r="C317" s="1" t="s">
        <v>58</v>
      </c>
    </row>
    <row r="318" customFormat="false" ht="12.8" hidden="true" customHeight="false" outlineLevel="0" collapsed="false">
      <c r="A318" s="6" t="n">
        <v>18</v>
      </c>
      <c r="B318" s="1" t="n">
        <v>0.016869625054425</v>
      </c>
      <c r="C318" s="1" t="s">
        <v>60</v>
      </c>
    </row>
    <row r="319" customFormat="false" ht="12.8" hidden="true" customHeight="false" outlineLevel="0" collapsed="false">
      <c r="A319" s="6" t="n">
        <v>12</v>
      </c>
      <c r="B319" s="1" t="n">
        <v>0.0165727322762721</v>
      </c>
      <c r="C319" s="1" t="s">
        <v>57</v>
      </c>
    </row>
    <row r="320" customFormat="false" ht="12.8" hidden="true" customHeight="false" outlineLevel="0" collapsed="false">
      <c r="A320" s="6" t="n">
        <v>22</v>
      </c>
      <c r="B320" s="1" t="n">
        <v>0.016162801601566</v>
      </c>
      <c r="C320" s="1" t="s">
        <v>60</v>
      </c>
    </row>
    <row r="321" customFormat="false" ht="12.8" hidden="true" customHeight="false" outlineLevel="0" collapsed="false">
      <c r="A321" s="6" t="n">
        <v>17</v>
      </c>
      <c r="B321" s="1" t="n">
        <v>0.0157457413240391</v>
      </c>
      <c r="C321" s="1" t="s">
        <v>56</v>
      </c>
    </row>
    <row r="322" customFormat="false" ht="12.8" hidden="true" customHeight="false" outlineLevel="0" collapsed="false">
      <c r="A322" s="6" t="n">
        <v>5</v>
      </c>
      <c r="B322" s="1" t="n">
        <v>0.015602641026243</v>
      </c>
      <c r="C322" s="1" t="s">
        <v>55</v>
      </c>
    </row>
    <row r="323" customFormat="false" ht="12.8" hidden="true" customHeight="false" outlineLevel="0" collapsed="false">
      <c r="A323" s="6" t="n">
        <v>14</v>
      </c>
      <c r="B323" s="1" t="n">
        <v>0.015516712354846</v>
      </c>
      <c r="C323" s="1" t="s">
        <v>55</v>
      </c>
    </row>
    <row r="324" customFormat="false" ht="12.8" hidden="true" customHeight="false" outlineLevel="0" collapsed="false">
      <c r="A324" s="6" t="n">
        <v>12</v>
      </c>
      <c r="B324" s="1" t="n">
        <v>0.0154200172479959</v>
      </c>
      <c r="C324" s="1" t="s">
        <v>56</v>
      </c>
    </row>
    <row r="325" customFormat="false" ht="12.8" hidden="true" customHeight="false" outlineLevel="0" collapsed="false">
      <c r="A325" s="6" t="n">
        <v>23</v>
      </c>
      <c r="B325" s="1" t="n">
        <v>0.014386929725121</v>
      </c>
      <c r="C325" s="1" t="s">
        <v>59</v>
      </c>
    </row>
    <row r="326" customFormat="false" ht="12.8" hidden="true" customHeight="false" outlineLevel="0" collapsed="false">
      <c r="A326" s="6" t="n">
        <v>10</v>
      </c>
      <c r="B326" s="1" t="n">
        <v>0.014250356661071</v>
      </c>
      <c r="C326" s="1" t="s">
        <v>59</v>
      </c>
    </row>
    <row r="327" customFormat="false" ht="12.8" hidden="true" customHeight="false" outlineLevel="0" collapsed="false">
      <c r="A327" s="6" t="n">
        <v>22</v>
      </c>
      <c r="B327" s="1" t="n">
        <v>0.014006580740597</v>
      </c>
      <c r="C327" s="1" t="s">
        <v>58</v>
      </c>
    </row>
    <row r="328" customFormat="false" ht="12.8" hidden="true" customHeight="false" outlineLevel="0" collapsed="false">
      <c r="A328" s="6" t="n">
        <v>4</v>
      </c>
      <c r="B328" s="1" t="n">
        <v>0.0136470262691251</v>
      </c>
      <c r="C328" s="1" t="s">
        <v>57</v>
      </c>
    </row>
    <row r="329" customFormat="false" ht="12.8" hidden="true" customHeight="false" outlineLevel="0" collapsed="false">
      <c r="A329" s="6" t="n">
        <v>12</v>
      </c>
      <c r="B329" s="1" t="n">
        <v>0.013151942762466</v>
      </c>
      <c r="C329" s="1" t="s">
        <v>59</v>
      </c>
    </row>
    <row r="330" customFormat="false" ht="12.8" hidden="true" customHeight="false" outlineLevel="0" collapsed="false">
      <c r="A330" s="6" t="n">
        <v>14</v>
      </c>
      <c r="B330" s="1" t="n">
        <v>0.0128426338832061</v>
      </c>
      <c r="C330" s="1" t="s">
        <v>57</v>
      </c>
    </row>
    <row r="331" customFormat="false" ht="12.8" hidden="true" customHeight="false" outlineLevel="0" collapsed="false">
      <c r="A331" s="6" t="n">
        <v>17</v>
      </c>
      <c r="B331" s="1" t="n">
        <v>0.012355207213361</v>
      </c>
      <c r="C331" s="1" t="s">
        <v>60</v>
      </c>
    </row>
    <row r="332" customFormat="false" ht="12.8" hidden="true" customHeight="false" outlineLevel="0" collapsed="false">
      <c r="A332" s="6" t="n">
        <v>23</v>
      </c>
      <c r="B332" s="1" t="n">
        <v>0.0122655034437941</v>
      </c>
      <c r="C332" s="1" t="s">
        <v>57</v>
      </c>
    </row>
    <row r="333" customFormat="false" ht="12.8" hidden="true" customHeight="false" outlineLevel="0" collapsed="false">
      <c r="A333" s="6" t="n">
        <v>14</v>
      </c>
      <c r="B333" s="1" t="n">
        <v>0.012128019172197</v>
      </c>
      <c r="C333" s="1" t="s">
        <v>58</v>
      </c>
    </row>
    <row r="334" customFormat="false" ht="12.8" hidden="true" customHeight="false" outlineLevel="0" collapsed="false">
      <c r="A334" s="6" t="n">
        <v>3</v>
      </c>
      <c r="B334" s="1" t="n">
        <v>0.012031512553603</v>
      </c>
      <c r="C334" s="1" t="s">
        <v>58</v>
      </c>
    </row>
    <row r="335" customFormat="false" ht="12.8" hidden="true" customHeight="false" outlineLevel="0" collapsed="false">
      <c r="A335" s="6" t="n">
        <v>13</v>
      </c>
      <c r="B335" s="1" t="n">
        <v>0.0118880695039509</v>
      </c>
      <c r="C335" s="1" t="s">
        <v>58</v>
      </c>
    </row>
    <row r="336" customFormat="false" ht="12.8" hidden="true" customHeight="false" outlineLevel="0" collapsed="false">
      <c r="A336" s="6" t="n">
        <v>4</v>
      </c>
      <c r="B336" s="1" t="n">
        <v>0.011038732945969</v>
      </c>
      <c r="C336" s="1" t="s">
        <v>55</v>
      </c>
    </row>
    <row r="337" customFormat="false" ht="12.8" hidden="true" customHeight="false" outlineLevel="0" collapsed="false">
      <c r="A337" s="6" t="n">
        <v>11</v>
      </c>
      <c r="B337" s="1" t="n">
        <v>0.0109019012969249</v>
      </c>
      <c r="C337" s="1" t="s">
        <v>56</v>
      </c>
    </row>
    <row r="338" customFormat="false" ht="12.8" hidden="true" customHeight="false" outlineLevel="0" collapsed="false">
      <c r="A338" s="6" t="n">
        <v>3</v>
      </c>
      <c r="B338" s="1" t="n">
        <v>0.01083982594822</v>
      </c>
      <c r="C338" s="1" t="s">
        <v>55</v>
      </c>
    </row>
    <row r="339" customFormat="false" ht="12.8" hidden="true" customHeight="false" outlineLevel="0" collapsed="false">
      <c r="A339" s="6" t="n">
        <v>24</v>
      </c>
      <c r="B339" s="1" t="n">
        <v>0.0107351357469281</v>
      </c>
      <c r="C339" s="1" t="s">
        <v>55</v>
      </c>
    </row>
    <row r="340" customFormat="false" ht="12.8" hidden="true" customHeight="false" outlineLevel="0" collapsed="false">
      <c r="A340" s="6" t="n">
        <v>6</v>
      </c>
      <c r="B340" s="1" t="n">
        <v>0.0100711387647999</v>
      </c>
      <c r="C340" s="1" t="s">
        <v>55</v>
      </c>
    </row>
    <row r="341" customFormat="false" ht="12.8" hidden="true" customHeight="false" outlineLevel="0" collapsed="false">
      <c r="A341" s="6" t="n">
        <v>16</v>
      </c>
      <c r="B341" s="1" t="n">
        <v>0.00980894170995694</v>
      </c>
      <c r="C341" s="1" t="s">
        <v>58</v>
      </c>
    </row>
    <row r="342" customFormat="false" ht="12.8" hidden="true" customHeight="false" outlineLevel="0" collapsed="false">
      <c r="A342" s="6" t="n">
        <v>19</v>
      </c>
      <c r="B342" s="1" t="n">
        <v>0.00963839070198502</v>
      </c>
      <c r="C342" s="1" t="s">
        <v>57</v>
      </c>
    </row>
    <row r="343" customFormat="false" ht="12.8" hidden="true" customHeight="false" outlineLevel="0" collapsed="false">
      <c r="A343" s="4" t="n">
        <v>25</v>
      </c>
      <c r="B343" s="1" t="n">
        <v>0.00834733299414092</v>
      </c>
      <c r="C343" s="1" t="s">
        <v>60</v>
      </c>
    </row>
    <row r="344" customFormat="false" ht="12.8" hidden="true" customHeight="false" outlineLevel="0" collapsed="false">
      <c r="A344" s="6" t="n">
        <v>5</v>
      </c>
      <c r="B344" s="1" t="n">
        <v>0.00713408195179799</v>
      </c>
      <c r="C344" s="1" t="s">
        <v>60</v>
      </c>
    </row>
    <row r="345" customFormat="false" ht="12.8" hidden="true" customHeight="false" outlineLevel="0" collapsed="false">
      <c r="A345" s="6" t="n">
        <v>10</v>
      </c>
      <c r="B345" s="1" t="n">
        <v>0.00707684414763099</v>
      </c>
      <c r="C345" s="1" t="s">
        <v>60</v>
      </c>
    </row>
    <row r="346" customFormat="false" ht="12.8" hidden="true" customHeight="false" outlineLevel="0" collapsed="false">
      <c r="A346" s="6" t="n">
        <v>24</v>
      </c>
      <c r="B346" s="1" t="n">
        <v>0.00644292051805595</v>
      </c>
      <c r="C346" s="1" t="s">
        <v>60</v>
      </c>
    </row>
    <row r="347" customFormat="false" ht="12.8" hidden="true" customHeight="false" outlineLevel="0" collapsed="false">
      <c r="A347" s="6" t="n">
        <v>22</v>
      </c>
      <c r="B347" s="1" t="n">
        <v>0.006235496375673</v>
      </c>
      <c r="C347" s="1" t="s">
        <v>59</v>
      </c>
    </row>
    <row r="348" customFormat="false" ht="12.8" hidden="true" customHeight="false" outlineLevel="0" collapsed="false">
      <c r="A348" s="6" t="n">
        <v>18</v>
      </c>
      <c r="B348" s="1" t="n">
        <v>0.00603814374729206</v>
      </c>
      <c r="C348" s="1" t="s">
        <v>59</v>
      </c>
    </row>
    <row r="349" customFormat="false" ht="12.8" hidden="true" customHeight="false" outlineLevel="0" collapsed="false">
      <c r="A349" s="6" t="n">
        <v>11</v>
      </c>
      <c r="B349" s="1" t="n">
        <v>0.00561414156600792</v>
      </c>
      <c r="C349" s="1" t="s">
        <v>60</v>
      </c>
    </row>
    <row r="350" customFormat="false" ht="12.8" hidden="true" customHeight="false" outlineLevel="0" collapsed="false">
      <c r="A350" s="6" t="n">
        <v>11</v>
      </c>
      <c r="B350" s="1" t="n">
        <v>0.005287759730917</v>
      </c>
      <c r="C350" s="1" t="s">
        <v>59</v>
      </c>
    </row>
    <row r="351" customFormat="false" ht="12.8" hidden="true" customHeight="false" outlineLevel="0" collapsed="false">
      <c r="A351" s="6" t="n">
        <v>20</v>
      </c>
      <c r="B351" s="1" t="n">
        <v>0.00488570346552397</v>
      </c>
      <c r="C351" s="1" t="s">
        <v>55</v>
      </c>
    </row>
    <row r="352" customFormat="false" ht="12.8" hidden="true" customHeight="false" outlineLevel="0" collapsed="false">
      <c r="A352" s="6" t="n">
        <v>1</v>
      </c>
      <c r="B352" s="1" t="n">
        <v>0.00483698829601009</v>
      </c>
      <c r="C352" s="1" t="s">
        <v>59</v>
      </c>
    </row>
    <row r="353" customFormat="false" ht="12.8" hidden="true" customHeight="false" outlineLevel="0" collapsed="false">
      <c r="A353" s="6" t="n">
        <v>1</v>
      </c>
      <c r="B353" s="1" t="n">
        <v>0.00432544619959496</v>
      </c>
      <c r="C353" s="1" t="s">
        <v>57</v>
      </c>
    </row>
    <row r="354" customFormat="false" ht="12.8" hidden="true" customHeight="false" outlineLevel="0" collapsed="false">
      <c r="A354" s="6" t="n">
        <v>10</v>
      </c>
      <c r="B354" s="1" t="n">
        <v>0.00376137986962399</v>
      </c>
      <c r="C354" s="1" t="s">
        <v>55</v>
      </c>
    </row>
    <row r="355" customFormat="false" ht="12.8" hidden="true" customHeight="false" outlineLevel="0" collapsed="false">
      <c r="A355" s="6" t="n">
        <v>8</v>
      </c>
      <c r="B355" s="1" t="n">
        <v>0.003756459379609</v>
      </c>
      <c r="C355" s="1" t="s">
        <v>57</v>
      </c>
    </row>
    <row r="356" customFormat="false" ht="12.8" hidden="true" customHeight="false" outlineLevel="0" collapsed="false">
      <c r="A356" s="6" t="n">
        <v>17</v>
      </c>
      <c r="B356" s="1" t="n">
        <v>0.00339053411067802</v>
      </c>
      <c r="C356" s="1" t="s">
        <v>59</v>
      </c>
    </row>
    <row r="357" customFormat="false" ht="12.8" hidden="true" customHeight="false" outlineLevel="0" collapsed="false">
      <c r="A357" s="6" t="n">
        <v>14</v>
      </c>
      <c r="B357" s="1" t="n">
        <v>0.00338869318264901</v>
      </c>
      <c r="C357" s="1" t="s">
        <v>59</v>
      </c>
    </row>
    <row r="358" customFormat="false" ht="12.8" hidden="true" customHeight="false" outlineLevel="0" collapsed="false">
      <c r="A358" s="6" t="n">
        <v>9</v>
      </c>
      <c r="B358" s="1" t="n">
        <v>0.00299791256067194</v>
      </c>
      <c r="C358" s="1" t="s">
        <v>56</v>
      </c>
    </row>
    <row r="359" customFormat="false" ht="12.8" hidden="true" customHeight="false" outlineLevel="0" collapsed="false">
      <c r="A359" s="6" t="n">
        <v>4</v>
      </c>
      <c r="B359" s="1" t="n">
        <v>0.00260829332315604</v>
      </c>
      <c r="C359" s="1" t="s">
        <v>56</v>
      </c>
    </row>
    <row r="360" customFormat="false" ht="12.8" hidden="true" customHeight="false" outlineLevel="0" collapsed="false">
      <c r="A360" s="6" t="n">
        <v>8</v>
      </c>
      <c r="B360" s="1" t="n">
        <v>0.00258352073170598</v>
      </c>
      <c r="C360" s="1" t="s">
        <v>55</v>
      </c>
    </row>
    <row r="361" customFormat="false" ht="12.8" hidden="true" customHeight="false" outlineLevel="0" collapsed="false">
      <c r="A361" s="6" t="n">
        <v>12</v>
      </c>
      <c r="B361" s="1" t="n">
        <v>0.0022680744855299</v>
      </c>
      <c r="C361" s="1" t="s">
        <v>60</v>
      </c>
    </row>
    <row r="362" customFormat="false" ht="12.8" hidden="true" customHeight="false" outlineLevel="0" collapsed="false">
      <c r="A362" s="6" t="n">
        <v>22</v>
      </c>
      <c r="B362" s="1" t="n">
        <v>0.002156220860969</v>
      </c>
      <c r="C362" s="1" t="s">
        <v>57</v>
      </c>
    </row>
    <row r="363" customFormat="false" ht="12.8" hidden="true" customHeight="false" outlineLevel="0" collapsed="false">
      <c r="A363" s="6" t="n">
        <v>15</v>
      </c>
      <c r="B363" s="1" t="n">
        <v>0.00142355736484101</v>
      </c>
      <c r="C363" s="1" t="s">
        <v>55</v>
      </c>
    </row>
    <row r="364" customFormat="false" ht="12.8" hidden="true" customHeight="false" outlineLevel="0" collapsed="false">
      <c r="A364" s="6" t="n">
        <v>3</v>
      </c>
      <c r="B364" s="1" t="n">
        <v>0.00119168660538305</v>
      </c>
      <c r="C364" s="1" t="s">
        <v>59</v>
      </c>
    </row>
    <row r="365" customFormat="false" ht="12.8" hidden="true" customHeight="false" outlineLevel="0" collapsed="false">
      <c r="A365" s="6" t="n">
        <v>8</v>
      </c>
      <c r="B365" s="1" t="n">
        <v>0.00117293864790302</v>
      </c>
      <c r="C365" s="1" t="s">
        <v>56</v>
      </c>
    </row>
    <row r="366" customFormat="false" ht="12.8" hidden="true" customHeight="false" outlineLevel="0" collapsed="false">
      <c r="A366" s="6" t="n">
        <v>21</v>
      </c>
      <c r="B366" s="1" t="n">
        <v>0.00115784756465098</v>
      </c>
      <c r="C366" s="1" t="s">
        <v>57</v>
      </c>
    </row>
    <row r="367" customFormat="false" ht="12.8" hidden="true" customHeight="false" outlineLevel="0" collapsed="false">
      <c r="A367" s="6" t="n">
        <v>7</v>
      </c>
      <c r="B367" s="1" t="n">
        <v>0.000497410765895046</v>
      </c>
      <c r="C367" s="1" t="s">
        <v>56</v>
      </c>
    </row>
  </sheetData>
  <autoFilter ref="A217:C367">
    <filterColumn colId="1">
      <customFilters and="true">
        <customFilter operator="greaterThanOrEqual" val="0.05"/>
      </customFilters>
    </filterColumn>
  </autoFilter>
  <mergeCells count="1">
    <mergeCell ref="B44:D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33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E3" activeCellId="1" sqref="F265:G269 E3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1" width="13.97"/>
    <col collapsed="false" customWidth="true" hidden="false" outlineLevel="0" max="5" min="5" style="0" width="17.42"/>
    <col collapsed="false" customWidth="true" hidden="false" outlineLevel="0" max="9" min="9" style="0" width="17.17"/>
    <col collapsed="false" customWidth="true" hidden="false" outlineLevel="0" max="11" min="11" style="0" width="16.92"/>
  </cols>
  <sheetData>
    <row r="3" customFormat="false" ht="12.8" hidden="false" customHeight="false" outlineLevel="0" collapsed="false">
      <c r="A3" s="12" t="s">
        <v>52</v>
      </c>
      <c r="B3" s="12" t="s">
        <v>53</v>
      </c>
      <c r="C3" s="12" t="s">
        <v>54</v>
      </c>
      <c r="E3" s="13" t="s">
        <v>61</v>
      </c>
      <c r="F3" s="14" t="s">
        <v>54</v>
      </c>
      <c r="G3" s="15"/>
      <c r="H3" s="15"/>
      <c r="I3" s="15"/>
      <c r="J3" s="15"/>
      <c r="K3" s="15"/>
      <c r="L3" s="16"/>
    </row>
    <row r="4" customFormat="false" ht="12.8" hidden="false" customHeight="false" outlineLevel="0" collapsed="false">
      <c r="A4" s="6" t="n">
        <v>19</v>
      </c>
      <c r="B4" s="1" t="n">
        <v>0.109138685819054</v>
      </c>
      <c r="C4" s="1" t="s">
        <v>55</v>
      </c>
      <c r="E4" s="17" t="s">
        <v>52</v>
      </c>
      <c r="F4" s="18" t="s">
        <v>58</v>
      </c>
      <c r="G4" s="19" t="s">
        <v>57</v>
      </c>
      <c r="H4" s="19" t="s">
        <v>60</v>
      </c>
      <c r="I4" s="19" t="s">
        <v>56</v>
      </c>
      <c r="J4" s="19" t="s">
        <v>55</v>
      </c>
      <c r="K4" s="19" t="s">
        <v>59</v>
      </c>
      <c r="L4" s="20" t="s">
        <v>62</v>
      </c>
    </row>
    <row r="5" customFormat="false" ht="12.8" hidden="false" customHeight="false" outlineLevel="0" collapsed="false">
      <c r="A5" s="6" t="n">
        <v>19</v>
      </c>
      <c r="B5" s="1" t="n">
        <v>0.099500295117069</v>
      </c>
      <c r="C5" s="1" t="s">
        <v>56</v>
      </c>
      <c r="E5" s="21" t="n">
        <v>2</v>
      </c>
      <c r="F5" s="22"/>
      <c r="G5" s="23" t="n">
        <v>1</v>
      </c>
      <c r="H5" s="23"/>
      <c r="I5" s="23"/>
      <c r="J5" s="23" t="n">
        <v>1</v>
      </c>
      <c r="K5" s="24"/>
      <c r="L5" s="25" t="n">
        <v>2</v>
      </c>
    </row>
    <row r="6" customFormat="false" ht="12.8" hidden="false" customHeight="false" outlineLevel="0" collapsed="false">
      <c r="A6" s="6" t="n">
        <v>2</v>
      </c>
      <c r="B6" s="1" t="n">
        <v>0.084475737017962</v>
      </c>
      <c r="C6" s="1" t="s">
        <v>57</v>
      </c>
      <c r="E6" s="26" t="n">
        <v>4</v>
      </c>
      <c r="F6" s="27" t="n">
        <v>1</v>
      </c>
      <c r="G6" s="28"/>
      <c r="H6" s="28"/>
      <c r="I6" s="28"/>
      <c r="J6" s="28"/>
      <c r="K6" s="29"/>
      <c r="L6" s="30" t="n">
        <v>1</v>
      </c>
    </row>
    <row r="7" customFormat="false" ht="12.8" hidden="false" customHeight="false" outlineLevel="0" collapsed="false">
      <c r="A7" s="6" t="n">
        <v>13</v>
      </c>
      <c r="B7" s="1" t="n">
        <v>0.0705638279547229</v>
      </c>
      <c r="C7" s="1" t="s">
        <v>56</v>
      </c>
      <c r="E7" s="26" t="n">
        <v>5</v>
      </c>
      <c r="F7" s="27"/>
      <c r="G7" s="28" t="n">
        <v>1</v>
      </c>
      <c r="H7" s="28"/>
      <c r="I7" s="28"/>
      <c r="J7" s="28"/>
      <c r="K7" s="29"/>
      <c r="L7" s="30" t="n">
        <v>1</v>
      </c>
    </row>
    <row r="8" customFormat="false" ht="12.8" hidden="false" customHeight="false" outlineLevel="0" collapsed="false">
      <c r="A8" s="6" t="n">
        <v>23</v>
      </c>
      <c r="B8" s="1" t="n">
        <v>0.0694391965994621</v>
      </c>
      <c r="C8" s="1" t="s">
        <v>58</v>
      </c>
      <c r="E8" s="26" t="n">
        <v>6</v>
      </c>
      <c r="F8" s="27"/>
      <c r="G8" s="28"/>
      <c r="H8" s="28" t="n">
        <v>1</v>
      </c>
      <c r="I8" s="28"/>
      <c r="J8" s="28"/>
      <c r="K8" s="29"/>
      <c r="L8" s="30" t="n">
        <v>1</v>
      </c>
    </row>
    <row r="9" customFormat="false" ht="12.8" hidden="false" customHeight="false" outlineLevel="0" collapsed="false">
      <c r="A9" s="6" t="n">
        <v>21</v>
      </c>
      <c r="B9" s="1" t="n">
        <v>0.067540238280303</v>
      </c>
      <c r="C9" s="1" t="s">
        <v>59</v>
      </c>
      <c r="E9" s="26" t="n">
        <v>7</v>
      </c>
      <c r="F9" s="27"/>
      <c r="G9" s="28"/>
      <c r="H9" s="28" t="n">
        <v>1</v>
      </c>
      <c r="I9" s="28"/>
      <c r="J9" s="28"/>
      <c r="K9" s="29" t="n">
        <v>1</v>
      </c>
      <c r="L9" s="30" t="n">
        <v>2</v>
      </c>
    </row>
    <row r="10" customFormat="false" ht="12.8" hidden="false" customHeight="false" outlineLevel="0" collapsed="false">
      <c r="A10" s="6" t="n">
        <v>20</v>
      </c>
      <c r="B10" s="1" t="n">
        <v>0.0669229360143441</v>
      </c>
      <c r="C10" s="1" t="s">
        <v>58</v>
      </c>
      <c r="E10" s="26" t="n">
        <v>8</v>
      </c>
      <c r="F10" s="27" t="n">
        <v>1</v>
      </c>
      <c r="G10" s="28"/>
      <c r="H10" s="28" t="n">
        <v>1</v>
      </c>
      <c r="I10" s="28"/>
      <c r="J10" s="28"/>
      <c r="K10" s="29" t="n">
        <v>1</v>
      </c>
      <c r="L10" s="30" t="n">
        <v>3</v>
      </c>
    </row>
    <row r="11" customFormat="false" ht="12.8" hidden="false" customHeight="false" outlineLevel="0" collapsed="false">
      <c r="A11" s="6" t="n">
        <v>16</v>
      </c>
      <c r="B11" s="1" t="n">
        <v>0.066085044789866</v>
      </c>
      <c r="C11" s="1" t="s">
        <v>60</v>
      </c>
      <c r="E11" s="26" t="n">
        <v>13</v>
      </c>
      <c r="F11" s="27"/>
      <c r="G11" s="28"/>
      <c r="H11" s="28"/>
      <c r="I11" s="28" t="n">
        <v>1</v>
      </c>
      <c r="J11" s="28" t="n">
        <v>1</v>
      </c>
      <c r="K11" s="29"/>
      <c r="L11" s="30" t="n">
        <v>2</v>
      </c>
    </row>
    <row r="12" customFormat="false" ht="12.8" hidden="false" customHeight="false" outlineLevel="0" collapsed="false">
      <c r="A12" s="6" t="n">
        <v>8</v>
      </c>
      <c r="B12" s="1" t="n">
        <v>0.065618954436133</v>
      </c>
      <c r="C12" s="1" t="s">
        <v>60</v>
      </c>
      <c r="E12" s="26" t="n">
        <v>15</v>
      </c>
      <c r="F12" s="27"/>
      <c r="G12" s="28" t="n">
        <v>1</v>
      </c>
      <c r="H12" s="28"/>
      <c r="I12" s="28" t="n">
        <v>1</v>
      </c>
      <c r="J12" s="28"/>
      <c r="K12" s="29"/>
      <c r="L12" s="30" t="n">
        <v>2</v>
      </c>
    </row>
    <row r="13" customFormat="false" ht="12.8" hidden="false" customHeight="false" outlineLevel="0" collapsed="false">
      <c r="A13" s="6" t="n">
        <v>8</v>
      </c>
      <c r="B13" s="1" t="n">
        <v>0.06444601578823</v>
      </c>
      <c r="C13" s="1" t="s">
        <v>59</v>
      </c>
      <c r="E13" s="26" t="n">
        <v>16</v>
      </c>
      <c r="F13" s="27"/>
      <c r="G13" s="28" t="n">
        <v>1</v>
      </c>
      <c r="H13" s="28" t="n">
        <v>1</v>
      </c>
      <c r="I13" s="28"/>
      <c r="J13" s="28"/>
      <c r="K13" s="29"/>
      <c r="L13" s="30" t="n">
        <v>2</v>
      </c>
    </row>
    <row r="14" customFormat="false" ht="12.8" hidden="false" customHeight="false" outlineLevel="0" collapsed="false">
      <c r="A14" s="6" t="n">
        <v>20</v>
      </c>
      <c r="B14" s="1" t="n">
        <v>0.0620372325488201</v>
      </c>
      <c r="C14" s="1" t="s">
        <v>59</v>
      </c>
      <c r="E14" s="26" t="n">
        <v>17</v>
      </c>
      <c r="F14" s="27" t="n">
        <v>1</v>
      </c>
      <c r="G14" s="28"/>
      <c r="H14" s="28"/>
      <c r="I14" s="28"/>
      <c r="J14" s="28" t="n">
        <v>1</v>
      </c>
      <c r="K14" s="29"/>
      <c r="L14" s="30" t="n">
        <v>2</v>
      </c>
    </row>
    <row r="15" customFormat="false" ht="12.8" hidden="false" customHeight="false" outlineLevel="0" collapsed="false">
      <c r="A15" s="6" t="n">
        <v>7</v>
      </c>
      <c r="B15" s="1" t="n">
        <v>0.061992317122939</v>
      </c>
      <c r="C15" s="1" t="s">
        <v>60</v>
      </c>
      <c r="E15" s="26" t="n">
        <v>18</v>
      </c>
      <c r="F15" s="27"/>
      <c r="G15" s="28" t="n">
        <v>1</v>
      </c>
      <c r="H15" s="28"/>
      <c r="I15" s="28"/>
      <c r="J15" s="28"/>
      <c r="K15" s="29"/>
      <c r="L15" s="30" t="n">
        <v>1</v>
      </c>
    </row>
    <row r="16" customFormat="false" ht="12.8" hidden="false" customHeight="false" outlineLevel="0" collapsed="false">
      <c r="A16" s="6" t="n">
        <v>8</v>
      </c>
      <c r="B16" s="1" t="n">
        <v>0.061862495056524</v>
      </c>
      <c r="C16" s="1" t="s">
        <v>58</v>
      </c>
      <c r="E16" s="26" t="n">
        <v>19</v>
      </c>
      <c r="F16" s="27" t="n">
        <v>1</v>
      </c>
      <c r="G16" s="28"/>
      <c r="H16" s="28"/>
      <c r="I16" s="28" t="n">
        <v>1</v>
      </c>
      <c r="J16" s="28" t="n">
        <v>1</v>
      </c>
      <c r="K16" s="29" t="n">
        <v>1</v>
      </c>
      <c r="L16" s="30" t="n">
        <v>4</v>
      </c>
    </row>
    <row r="17" customFormat="false" ht="12.8" hidden="false" customHeight="false" outlineLevel="0" collapsed="false">
      <c r="A17" s="6" t="n">
        <v>7</v>
      </c>
      <c r="B17" s="1" t="n">
        <v>0.0614949063570439</v>
      </c>
      <c r="C17" s="1" t="s">
        <v>59</v>
      </c>
      <c r="E17" s="26" t="n">
        <v>20</v>
      </c>
      <c r="F17" s="27" t="n">
        <v>1</v>
      </c>
      <c r="G17" s="28"/>
      <c r="H17" s="28"/>
      <c r="I17" s="28"/>
      <c r="J17" s="28"/>
      <c r="K17" s="29" t="n">
        <v>1</v>
      </c>
      <c r="L17" s="30" t="n">
        <v>2</v>
      </c>
    </row>
    <row r="18" customFormat="false" ht="12.8" hidden="false" customHeight="false" outlineLevel="0" collapsed="false">
      <c r="A18" s="6" t="n">
        <v>2</v>
      </c>
      <c r="B18" s="1" t="n">
        <v>0.061245070129398</v>
      </c>
      <c r="C18" s="1" t="s">
        <v>55</v>
      </c>
      <c r="E18" s="26" t="n">
        <v>21</v>
      </c>
      <c r="F18" s="27"/>
      <c r="G18" s="28"/>
      <c r="H18" s="28"/>
      <c r="I18" s="28"/>
      <c r="J18" s="28"/>
      <c r="K18" s="29" t="n">
        <v>1</v>
      </c>
      <c r="L18" s="30" t="n">
        <v>1</v>
      </c>
    </row>
    <row r="19" customFormat="false" ht="12.8" hidden="false" customHeight="false" outlineLevel="0" collapsed="false">
      <c r="A19" s="6" t="n">
        <v>17</v>
      </c>
      <c r="B19" s="1" t="n">
        <v>0.0608483997723021</v>
      </c>
      <c r="C19" s="1" t="s">
        <v>55</v>
      </c>
      <c r="E19" s="26" t="n">
        <v>23</v>
      </c>
      <c r="F19" s="27" t="n">
        <v>1</v>
      </c>
      <c r="G19" s="28"/>
      <c r="H19" s="28" t="n">
        <v>1</v>
      </c>
      <c r="I19" s="28"/>
      <c r="J19" s="28" t="n">
        <v>1</v>
      </c>
      <c r="K19" s="29"/>
      <c r="L19" s="30" t="n">
        <v>3</v>
      </c>
    </row>
    <row r="20" customFormat="false" ht="12.8" hidden="false" customHeight="false" outlineLevel="0" collapsed="false">
      <c r="A20" s="6" t="n">
        <v>15</v>
      </c>
      <c r="B20" s="1" t="n">
        <v>0.059320832754442</v>
      </c>
      <c r="C20" s="1" t="s">
        <v>56</v>
      </c>
      <c r="E20" s="26" t="n">
        <v>25</v>
      </c>
      <c r="F20" s="31"/>
      <c r="G20" s="32"/>
      <c r="H20" s="32"/>
      <c r="I20" s="32"/>
      <c r="J20" s="32" t="n">
        <v>1</v>
      </c>
      <c r="K20" s="33"/>
      <c r="L20" s="34" t="n">
        <v>1</v>
      </c>
    </row>
    <row r="21" customFormat="false" ht="12.8" hidden="false" customHeight="false" outlineLevel="0" collapsed="false">
      <c r="A21" s="4" t="n">
        <v>25</v>
      </c>
      <c r="B21" s="1" t="n">
        <v>0.058830708820049</v>
      </c>
      <c r="C21" s="1" t="s">
        <v>55</v>
      </c>
      <c r="E21" s="35" t="s">
        <v>62</v>
      </c>
      <c r="F21" s="36" t="n">
        <v>6</v>
      </c>
      <c r="G21" s="37" t="n">
        <v>5</v>
      </c>
      <c r="H21" s="37" t="n">
        <v>5</v>
      </c>
      <c r="I21" s="37" t="n">
        <v>3</v>
      </c>
      <c r="J21" s="37" t="n">
        <v>6</v>
      </c>
      <c r="K21" s="38" t="n">
        <v>5</v>
      </c>
      <c r="L21" s="39" t="n">
        <v>30</v>
      </c>
    </row>
    <row r="22" customFormat="false" ht="12.8" hidden="false" customHeight="false" outlineLevel="0" collapsed="false">
      <c r="A22" s="6" t="n">
        <v>18</v>
      </c>
      <c r="B22" s="1" t="n">
        <v>0.0583507150533921</v>
      </c>
      <c r="C22" s="1" t="s">
        <v>57</v>
      </c>
    </row>
    <row r="23" customFormat="false" ht="12.8" hidden="false" customHeight="false" outlineLevel="0" collapsed="false">
      <c r="A23" s="6" t="n">
        <v>15</v>
      </c>
      <c r="B23" s="1" t="n">
        <v>0.057897275389601</v>
      </c>
      <c r="C23" s="1" t="s">
        <v>57</v>
      </c>
    </row>
    <row r="24" customFormat="false" ht="12.8" hidden="false" customHeight="false" outlineLevel="0" collapsed="false">
      <c r="A24" s="6" t="n">
        <v>17</v>
      </c>
      <c r="B24" s="1" t="n">
        <v>0.057457865661624</v>
      </c>
      <c r="C24" s="1" t="s">
        <v>58</v>
      </c>
    </row>
    <row r="25" customFormat="false" ht="12.8" hidden="false" customHeight="false" outlineLevel="0" collapsed="false">
      <c r="A25" s="6" t="n">
        <v>23</v>
      </c>
      <c r="B25" s="1" t="n">
        <v>0.057173693155668</v>
      </c>
      <c r="C25" s="1" t="s">
        <v>60</v>
      </c>
    </row>
    <row r="26" customFormat="false" ht="12.8" hidden="false" customHeight="false" outlineLevel="0" collapsed="false">
      <c r="A26" s="6" t="n">
        <v>16</v>
      </c>
      <c r="B26" s="1" t="n">
        <v>0.056276103079909</v>
      </c>
      <c r="C26" s="1" t="s">
        <v>57</v>
      </c>
    </row>
    <row r="27" customFormat="false" ht="12.8" hidden="false" customHeight="false" outlineLevel="0" collapsed="false">
      <c r="A27" s="6" t="n">
        <v>19</v>
      </c>
      <c r="B27" s="1" t="n">
        <v>0.0560658121733191</v>
      </c>
      <c r="C27" s="1" t="s">
        <v>58</v>
      </c>
    </row>
    <row r="28" customFormat="false" ht="12.8" hidden="false" customHeight="false" outlineLevel="0" collapsed="false">
      <c r="A28" s="6" t="n">
        <v>23</v>
      </c>
      <c r="B28" s="1" t="n">
        <v>0.0550522668743411</v>
      </c>
      <c r="C28" s="1" t="s">
        <v>55</v>
      </c>
    </row>
    <row r="29" customFormat="false" ht="12.8" hidden="false" customHeight="false" outlineLevel="0" collapsed="false">
      <c r="A29" s="6" t="n">
        <v>6</v>
      </c>
      <c r="B29" s="1" t="n">
        <v>0.054534206167638</v>
      </c>
      <c r="C29" s="1" t="s">
        <v>60</v>
      </c>
    </row>
    <row r="30" customFormat="false" ht="12.8" hidden="false" customHeight="false" outlineLevel="0" collapsed="false">
      <c r="A30" s="6" t="n">
        <v>19</v>
      </c>
      <c r="B30" s="1" t="n">
        <v>0.053072873645735</v>
      </c>
      <c r="C30" s="1" t="s">
        <v>59</v>
      </c>
    </row>
    <row r="31" customFormat="false" ht="12.8" hidden="false" customHeight="false" outlineLevel="0" collapsed="false">
      <c r="A31" s="6" t="n">
        <v>5</v>
      </c>
      <c r="B31" s="1" t="n">
        <v>0.052698488352958</v>
      </c>
      <c r="C31" s="1" t="s">
        <v>57</v>
      </c>
    </row>
    <row r="32" customFormat="false" ht="12.8" hidden="false" customHeight="false" outlineLevel="0" collapsed="false">
      <c r="A32" s="6" t="n">
        <v>13</v>
      </c>
      <c r="B32" s="1" t="n">
        <v>0.050636284329505</v>
      </c>
      <c r="C32" s="1" t="s">
        <v>55</v>
      </c>
    </row>
    <row r="33" customFormat="false" ht="12.8" hidden="false" customHeight="false" outlineLevel="0" collapsed="false">
      <c r="A33" s="6" t="n">
        <v>4</v>
      </c>
      <c r="B33" s="1" t="n">
        <v>0.0501238941325031</v>
      </c>
      <c r="C33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9"/>
  <sheetViews>
    <sheetView showFormulas="false" showGridLines="true" showRowColHeaders="true" showZeros="true" rightToLeft="false" tabSelected="true" showOutlineSymbols="true" defaultGridColor="true" view="normal" topLeftCell="A276" colorId="64" zoomScale="125" zoomScaleNormal="125" zoomScalePageLayoutView="100" workbookViewId="0">
      <selection pane="topLeft" activeCell="F265" activeCellId="0" sqref="F265:G269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2" min="2" style="1" width="37.94"/>
    <col collapsed="false" customWidth="true" hidden="false" outlineLevel="0" max="4" min="4" style="1" width="25.45"/>
    <col collapsed="false" customWidth="true" hidden="false" outlineLevel="0" max="6" min="6" style="1" width="37.31"/>
    <col collapsed="false" customWidth="true" hidden="false" outlineLevel="0" max="7" min="7" style="1" width="31.62"/>
    <col collapsed="false" customWidth="true" hidden="false" outlineLevel="0" max="10" min="9" style="1" width="19.78"/>
  </cols>
  <sheetData>
    <row r="1" customFormat="false" ht="12.8" hidden="false" customHeight="false" outlineLevel="0" collapsed="false">
      <c r="A1" s="40" t="s">
        <v>63</v>
      </c>
      <c r="B1" s="4" t="s">
        <v>64</v>
      </c>
      <c r="C1" s="4" t="s">
        <v>65</v>
      </c>
      <c r="D1" s="4" t="s">
        <v>66</v>
      </c>
    </row>
    <row r="2" customFormat="false" ht="12.8" hidden="false" customHeight="false" outlineLevel="0" collapsed="false">
      <c r="A2" s="3" t="n">
        <v>0</v>
      </c>
      <c r="B2" s="41" t="s">
        <v>67</v>
      </c>
      <c r="C2" s="3" t="n">
        <v>0.1</v>
      </c>
      <c r="D2" s="3" t="s">
        <v>68</v>
      </c>
      <c r="F2" s="13" t="s">
        <v>69</v>
      </c>
      <c r="G2" s="14" t="s">
        <v>66</v>
      </c>
      <c r="H2" s="15"/>
      <c r="I2" s="15"/>
      <c r="J2" s="15"/>
      <c r="K2" s="16"/>
    </row>
    <row r="3" customFormat="false" ht="12.8" hidden="false" customHeight="false" outlineLevel="0" collapsed="false">
      <c r="A3" s="3" t="n">
        <v>2</v>
      </c>
      <c r="B3" s="41" t="s">
        <v>70</v>
      </c>
      <c r="C3" s="3" t="n">
        <v>0.3097</v>
      </c>
      <c r="D3" s="3" t="s">
        <v>68</v>
      </c>
      <c r="F3" s="17" t="s">
        <v>63</v>
      </c>
      <c r="G3" s="42" t="s">
        <v>68</v>
      </c>
      <c r="H3" s="43" t="s">
        <v>71</v>
      </c>
      <c r="I3" s="43" t="s">
        <v>72</v>
      </c>
      <c r="J3" s="43" t="s">
        <v>73</v>
      </c>
      <c r="K3" s="20" t="s">
        <v>62</v>
      </c>
    </row>
    <row r="4" customFormat="false" ht="12.8" hidden="false" customHeight="false" outlineLevel="0" collapsed="false">
      <c r="A4" s="3" t="n">
        <v>2</v>
      </c>
      <c r="B4" s="41" t="s">
        <v>74</v>
      </c>
      <c r="C4" s="3" t="n">
        <v>0.3021</v>
      </c>
      <c r="D4" s="3" t="s">
        <v>68</v>
      </c>
      <c r="F4" s="21" t="n">
        <v>0</v>
      </c>
      <c r="G4" s="22" t="n">
        <v>1</v>
      </c>
      <c r="H4" s="23" t="n">
        <v>1</v>
      </c>
      <c r="I4" s="23" t="n">
        <v>1</v>
      </c>
      <c r="J4" s="24" t="n">
        <v>1</v>
      </c>
      <c r="K4" s="25" t="n">
        <v>4</v>
      </c>
    </row>
    <row r="5" customFormat="false" ht="12.8" hidden="false" customHeight="false" outlineLevel="0" collapsed="false">
      <c r="A5" s="3" t="n">
        <v>2</v>
      </c>
      <c r="B5" s="41" t="s">
        <v>75</v>
      </c>
      <c r="C5" s="3" t="n">
        <v>0.2882</v>
      </c>
      <c r="D5" s="3" t="s">
        <v>68</v>
      </c>
      <c r="F5" s="26" t="n">
        <v>2</v>
      </c>
      <c r="G5" s="27" t="n">
        <v>4</v>
      </c>
      <c r="H5" s="28" t="n">
        <v>1</v>
      </c>
      <c r="I5" s="28" t="n">
        <v>4</v>
      </c>
      <c r="J5" s="29" t="n">
        <v>1</v>
      </c>
      <c r="K5" s="30" t="n">
        <v>10</v>
      </c>
    </row>
    <row r="6" customFormat="false" ht="12.8" hidden="false" customHeight="false" outlineLevel="0" collapsed="false">
      <c r="A6" s="3" t="n">
        <v>2</v>
      </c>
      <c r="B6" s="41" t="s">
        <v>67</v>
      </c>
      <c r="C6" s="3" t="n">
        <v>0.1</v>
      </c>
      <c r="D6" s="3" t="s">
        <v>68</v>
      </c>
      <c r="F6" s="26" t="n">
        <v>4</v>
      </c>
      <c r="G6" s="27" t="n">
        <v>6</v>
      </c>
      <c r="H6" s="28" t="n">
        <v>6</v>
      </c>
      <c r="I6" s="28" t="n">
        <v>5</v>
      </c>
      <c r="J6" s="29" t="n">
        <v>6</v>
      </c>
      <c r="K6" s="30" t="n">
        <v>23</v>
      </c>
    </row>
    <row r="7" customFormat="false" ht="12.8" hidden="false" customHeight="false" outlineLevel="0" collapsed="false">
      <c r="A7" s="3" t="n">
        <v>4</v>
      </c>
      <c r="B7" s="41" t="s">
        <v>74</v>
      </c>
      <c r="C7" s="3" t="n">
        <v>0.2081</v>
      </c>
      <c r="D7" s="3" t="s">
        <v>68</v>
      </c>
      <c r="F7" s="26" t="n">
        <v>6</v>
      </c>
      <c r="G7" s="27" t="n">
        <v>2</v>
      </c>
      <c r="H7" s="28" t="n">
        <v>1</v>
      </c>
      <c r="I7" s="28" t="n">
        <v>1</v>
      </c>
      <c r="J7" s="29" t="n">
        <v>3</v>
      </c>
      <c r="K7" s="30" t="n">
        <v>7</v>
      </c>
    </row>
    <row r="8" customFormat="false" ht="12.8" hidden="false" customHeight="false" outlineLevel="0" collapsed="false">
      <c r="A8" s="3" t="n">
        <v>4</v>
      </c>
      <c r="B8" s="41" t="s">
        <v>76</v>
      </c>
      <c r="C8" s="3" t="n">
        <v>0.1881</v>
      </c>
      <c r="D8" s="3" t="s">
        <v>68</v>
      </c>
      <c r="F8" s="26" t="n">
        <v>8</v>
      </c>
      <c r="G8" s="27" t="n">
        <v>6</v>
      </c>
      <c r="H8" s="28" t="n">
        <v>6</v>
      </c>
      <c r="I8" s="28" t="n">
        <v>6</v>
      </c>
      <c r="J8" s="29" t="n">
        <v>6</v>
      </c>
      <c r="K8" s="30" t="n">
        <v>24</v>
      </c>
    </row>
    <row r="9" customFormat="false" ht="12.8" hidden="false" customHeight="false" outlineLevel="0" collapsed="false">
      <c r="A9" s="3" t="n">
        <v>4</v>
      </c>
      <c r="B9" s="41" t="s">
        <v>75</v>
      </c>
      <c r="C9" s="3" t="n">
        <v>0.1785</v>
      </c>
      <c r="D9" s="3" t="s">
        <v>68</v>
      </c>
      <c r="F9" s="26" t="n">
        <v>10</v>
      </c>
      <c r="G9" s="27" t="n">
        <v>2</v>
      </c>
      <c r="H9" s="28" t="n">
        <v>2</v>
      </c>
      <c r="I9" s="28" t="n">
        <v>1</v>
      </c>
      <c r="J9" s="29" t="n">
        <v>3</v>
      </c>
      <c r="K9" s="30" t="n">
        <v>8</v>
      </c>
    </row>
    <row r="10" customFormat="false" ht="12.8" hidden="false" customHeight="false" outlineLevel="0" collapsed="false">
      <c r="A10" s="3" t="n">
        <v>4</v>
      </c>
      <c r="B10" s="41" t="s">
        <v>70</v>
      </c>
      <c r="C10" s="3" t="n">
        <v>0.164</v>
      </c>
      <c r="D10" s="3" t="s">
        <v>68</v>
      </c>
      <c r="F10" s="26" t="n">
        <v>12</v>
      </c>
      <c r="G10" s="27" t="n">
        <v>6</v>
      </c>
      <c r="H10" s="28" t="n">
        <v>4</v>
      </c>
      <c r="I10" s="28" t="n">
        <v>5</v>
      </c>
      <c r="J10" s="29" t="n">
        <v>6</v>
      </c>
      <c r="K10" s="30" t="n">
        <v>21</v>
      </c>
    </row>
    <row r="11" customFormat="false" ht="12.8" hidden="false" customHeight="false" outlineLevel="0" collapsed="false">
      <c r="A11" s="3" t="n">
        <v>4</v>
      </c>
      <c r="B11" s="41" t="s">
        <v>77</v>
      </c>
      <c r="C11" s="3" t="n">
        <v>0.1613</v>
      </c>
      <c r="D11" s="3" t="s">
        <v>68</v>
      </c>
      <c r="F11" s="26" t="n">
        <v>14</v>
      </c>
      <c r="G11" s="27" t="n">
        <v>6</v>
      </c>
      <c r="H11" s="28" t="n">
        <v>5</v>
      </c>
      <c r="I11" s="28" t="n">
        <v>2</v>
      </c>
      <c r="J11" s="29" t="n">
        <v>6</v>
      </c>
      <c r="K11" s="30" t="n">
        <v>19</v>
      </c>
    </row>
    <row r="12" customFormat="false" ht="12.8" hidden="false" customHeight="false" outlineLevel="0" collapsed="false">
      <c r="A12" s="3" t="n">
        <v>4</v>
      </c>
      <c r="B12" s="41" t="s">
        <v>67</v>
      </c>
      <c r="C12" s="3" t="n">
        <v>0.1</v>
      </c>
      <c r="D12" s="3" t="s">
        <v>68</v>
      </c>
      <c r="F12" s="26" t="n">
        <v>16</v>
      </c>
      <c r="G12" s="27" t="n">
        <v>1</v>
      </c>
      <c r="H12" s="28" t="n">
        <v>1</v>
      </c>
      <c r="I12" s="28" t="n">
        <v>1</v>
      </c>
      <c r="J12" s="29" t="n">
        <v>1</v>
      </c>
      <c r="K12" s="30" t="n">
        <v>4</v>
      </c>
    </row>
    <row r="13" customFormat="false" ht="12.8" hidden="false" customHeight="false" outlineLevel="0" collapsed="false">
      <c r="A13" s="3" t="n">
        <v>6</v>
      </c>
      <c r="B13" s="41" t="s">
        <v>74</v>
      </c>
      <c r="C13" s="3" t="n">
        <v>0.9</v>
      </c>
      <c r="D13" s="3" t="s">
        <v>68</v>
      </c>
      <c r="F13" s="26" t="n">
        <v>18</v>
      </c>
      <c r="G13" s="27" t="n">
        <v>6</v>
      </c>
      <c r="H13" s="28" t="n">
        <v>6</v>
      </c>
      <c r="I13" s="28" t="n">
        <v>6</v>
      </c>
      <c r="J13" s="29" t="n">
        <v>6</v>
      </c>
      <c r="K13" s="30" t="n">
        <v>24</v>
      </c>
    </row>
    <row r="14" customFormat="false" ht="12.8" hidden="false" customHeight="false" outlineLevel="0" collapsed="false">
      <c r="A14" s="3" t="n">
        <v>6</v>
      </c>
      <c r="B14" s="41" t="s">
        <v>67</v>
      </c>
      <c r="C14" s="3" t="n">
        <v>0.1</v>
      </c>
      <c r="D14" s="3" t="s">
        <v>68</v>
      </c>
      <c r="F14" s="26" t="n">
        <v>20</v>
      </c>
      <c r="G14" s="27" t="n">
        <v>6</v>
      </c>
      <c r="H14" s="28" t="n">
        <v>5</v>
      </c>
      <c r="I14" s="28" t="n">
        <v>6</v>
      </c>
      <c r="J14" s="29" t="n">
        <v>6</v>
      </c>
      <c r="K14" s="30" t="n">
        <v>23</v>
      </c>
    </row>
    <row r="15" customFormat="false" ht="12.8" hidden="false" customHeight="false" outlineLevel="0" collapsed="false">
      <c r="A15" s="3" t="n">
        <v>8</v>
      </c>
      <c r="B15" s="41" t="s">
        <v>74</v>
      </c>
      <c r="C15" s="3" t="n">
        <v>0.2263</v>
      </c>
      <c r="D15" s="3" t="s">
        <v>68</v>
      </c>
      <c r="F15" s="26" t="n">
        <v>22</v>
      </c>
      <c r="G15" s="27" t="n">
        <v>6</v>
      </c>
      <c r="H15" s="28" t="n">
        <v>5</v>
      </c>
      <c r="I15" s="28" t="n">
        <v>6</v>
      </c>
      <c r="J15" s="29" t="n">
        <v>6</v>
      </c>
      <c r="K15" s="30" t="n">
        <v>23</v>
      </c>
    </row>
    <row r="16" customFormat="false" ht="12.8" hidden="false" customHeight="false" outlineLevel="0" collapsed="false">
      <c r="A16" s="3" t="n">
        <v>8</v>
      </c>
      <c r="B16" s="41" t="s">
        <v>76</v>
      </c>
      <c r="C16" s="3" t="n">
        <v>0.1824</v>
      </c>
      <c r="D16" s="3" t="s">
        <v>68</v>
      </c>
      <c r="F16" s="26" t="n">
        <v>24</v>
      </c>
      <c r="G16" s="27" t="n">
        <v>6</v>
      </c>
      <c r="H16" s="28" t="n">
        <v>6</v>
      </c>
      <c r="I16" s="28" t="n">
        <v>6</v>
      </c>
      <c r="J16" s="29" t="n">
        <v>6</v>
      </c>
      <c r="K16" s="30" t="n">
        <v>24</v>
      </c>
    </row>
    <row r="17" customFormat="false" ht="12.8" hidden="false" customHeight="false" outlineLevel="0" collapsed="false">
      <c r="A17" s="3" t="n">
        <v>8</v>
      </c>
      <c r="B17" s="41" t="s">
        <v>75</v>
      </c>
      <c r="C17" s="3" t="n">
        <v>0.1738</v>
      </c>
      <c r="D17" s="3" t="s">
        <v>68</v>
      </c>
      <c r="F17" s="26" t="n">
        <v>26</v>
      </c>
      <c r="G17" s="27" t="n">
        <v>6</v>
      </c>
      <c r="H17" s="28" t="n">
        <v>5</v>
      </c>
      <c r="I17" s="28" t="n">
        <v>6</v>
      </c>
      <c r="J17" s="29" t="n">
        <v>6</v>
      </c>
      <c r="K17" s="30" t="n">
        <v>23</v>
      </c>
    </row>
    <row r="18" customFormat="false" ht="12.8" hidden="false" customHeight="false" outlineLevel="0" collapsed="false">
      <c r="A18" s="3" t="n">
        <v>8</v>
      </c>
      <c r="B18" s="41" t="s">
        <v>78</v>
      </c>
      <c r="C18" s="3" t="n">
        <v>0.1621</v>
      </c>
      <c r="D18" s="3" t="s">
        <v>68</v>
      </c>
      <c r="F18" s="26" t="n">
        <v>28</v>
      </c>
      <c r="G18" s="27" t="n">
        <v>6</v>
      </c>
      <c r="H18" s="28" t="n">
        <v>6</v>
      </c>
      <c r="I18" s="28" t="n">
        <v>6</v>
      </c>
      <c r="J18" s="29" t="n">
        <v>6</v>
      </c>
      <c r="K18" s="30" t="n">
        <v>24</v>
      </c>
    </row>
    <row r="19" customFormat="false" ht="12.8" hidden="false" customHeight="false" outlineLevel="0" collapsed="false">
      <c r="A19" s="3" t="n">
        <v>8</v>
      </c>
      <c r="B19" s="41" t="s">
        <v>79</v>
      </c>
      <c r="C19" s="3" t="n">
        <v>0.1554</v>
      </c>
      <c r="D19" s="3" t="s">
        <v>68</v>
      </c>
      <c r="F19" s="26" t="n">
        <v>30</v>
      </c>
      <c r="G19" s="27" t="n">
        <v>6</v>
      </c>
      <c r="H19" s="28" t="n">
        <v>6</v>
      </c>
      <c r="I19" s="28" t="n">
        <v>6</v>
      </c>
      <c r="J19" s="29" t="n">
        <v>6</v>
      </c>
      <c r="K19" s="30" t="n">
        <v>24</v>
      </c>
    </row>
    <row r="20" customFormat="false" ht="12.8" hidden="false" customHeight="false" outlineLevel="0" collapsed="false">
      <c r="A20" s="3" t="n">
        <v>8</v>
      </c>
      <c r="B20" s="41" t="s">
        <v>67</v>
      </c>
      <c r="C20" s="3" t="n">
        <v>0.1</v>
      </c>
      <c r="D20" s="3" t="s">
        <v>68</v>
      </c>
      <c r="F20" s="26" t="n">
        <v>32</v>
      </c>
      <c r="G20" s="27" t="n">
        <v>6</v>
      </c>
      <c r="H20" s="28" t="n">
        <v>6</v>
      </c>
      <c r="I20" s="28" t="n">
        <v>6</v>
      </c>
      <c r="J20" s="29" t="n">
        <v>6</v>
      </c>
      <c r="K20" s="30" t="n">
        <v>24</v>
      </c>
    </row>
    <row r="21" customFormat="false" ht="12.8" hidden="false" customHeight="false" outlineLevel="0" collapsed="false">
      <c r="A21" s="3" t="n">
        <v>10</v>
      </c>
      <c r="B21" s="41" t="s">
        <v>76</v>
      </c>
      <c r="C21" s="3" t="n">
        <v>0.9</v>
      </c>
      <c r="D21" s="3" t="s">
        <v>68</v>
      </c>
      <c r="F21" s="26" t="n">
        <v>34</v>
      </c>
      <c r="G21" s="27" t="n">
        <v>6</v>
      </c>
      <c r="H21" s="28" t="n">
        <v>6</v>
      </c>
      <c r="I21" s="28" t="n">
        <v>6</v>
      </c>
      <c r="J21" s="29" t="n">
        <v>6</v>
      </c>
      <c r="K21" s="30" t="n">
        <v>24</v>
      </c>
    </row>
    <row r="22" customFormat="false" ht="12.8" hidden="false" customHeight="false" outlineLevel="0" collapsed="false">
      <c r="A22" s="3" t="n">
        <v>10</v>
      </c>
      <c r="B22" s="41" t="s">
        <v>67</v>
      </c>
      <c r="C22" s="3" t="n">
        <v>0.1</v>
      </c>
      <c r="D22" s="3" t="s">
        <v>68</v>
      </c>
      <c r="F22" s="26" t="n">
        <v>36</v>
      </c>
      <c r="G22" s="27" t="n">
        <v>6</v>
      </c>
      <c r="H22" s="28" t="n">
        <v>6</v>
      </c>
      <c r="I22" s="28" t="n">
        <v>6</v>
      </c>
      <c r="J22" s="29" t="n">
        <v>6</v>
      </c>
      <c r="K22" s="30" t="n">
        <v>24</v>
      </c>
    </row>
    <row r="23" customFormat="false" ht="12.8" hidden="false" customHeight="false" outlineLevel="0" collapsed="false">
      <c r="A23" s="3" t="n">
        <v>12</v>
      </c>
      <c r="B23" s="41" t="s">
        <v>76</v>
      </c>
      <c r="C23" s="3" t="n">
        <v>0.2075</v>
      </c>
      <c r="D23" s="3" t="s">
        <v>68</v>
      </c>
      <c r="F23" s="26" t="n">
        <v>38</v>
      </c>
      <c r="G23" s="27" t="n">
        <v>3</v>
      </c>
      <c r="H23" s="28" t="n">
        <v>2</v>
      </c>
      <c r="I23" s="28" t="n">
        <v>1</v>
      </c>
      <c r="J23" s="29" t="n">
        <v>6</v>
      </c>
      <c r="K23" s="30" t="n">
        <v>12</v>
      </c>
    </row>
    <row r="24" customFormat="false" ht="12.8" hidden="false" customHeight="false" outlineLevel="0" collapsed="false">
      <c r="A24" s="3" t="n">
        <v>12</v>
      </c>
      <c r="B24" s="41" t="s">
        <v>74</v>
      </c>
      <c r="C24" s="3" t="n">
        <v>0.188</v>
      </c>
      <c r="D24" s="3" t="s">
        <v>68</v>
      </c>
      <c r="F24" s="26" t="n">
        <v>40</v>
      </c>
      <c r="G24" s="27" t="n">
        <v>3</v>
      </c>
      <c r="H24" s="28" t="n">
        <v>3</v>
      </c>
      <c r="I24" s="28" t="n">
        <v>4</v>
      </c>
      <c r="J24" s="29" t="n">
        <v>3</v>
      </c>
      <c r="K24" s="30" t="n">
        <v>13</v>
      </c>
    </row>
    <row r="25" customFormat="false" ht="12.8" hidden="false" customHeight="false" outlineLevel="0" collapsed="false">
      <c r="A25" s="3" t="n">
        <v>12</v>
      </c>
      <c r="B25" s="41" t="s">
        <v>79</v>
      </c>
      <c r="C25" s="3" t="n">
        <v>0.1702</v>
      </c>
      <c r="D25" s="3" t="s">
        <v>68</v>
      </c>
      <c r="F25" s="26" t="n">
        <v>42</v>
      </c>
      <c r="G25" s="27" t="n">
        <v>6</v>
      </c>
      <c r="H25" s="28" t="n">
        <v>6</v>
      </c>
      <c r="I25" s="28" t="n">
        <v>6</v>
      </c>
      <c r="J25" s="29" t="n">
        <v>6</v>
      </c>
      <c r="K25" s="30" t="n">
        <v>24</v>
      </c>
    </row>
    <row r="26" customFormat="false" ht="12.8" hidden="false" customHeight="false" outlineLevel="0" collapsed="false">
      <c r="A26" s="3" t="n">
        <v>12</v>
      </c>
      <c r="B26" s="41" t="s">
        <v>70</v>
      </c>
      <c r="C26" s="3" t="n">
        <v>0.1693</v>
      </c>
      <c r="D26" s="3" t="s">
        <v>68</v>
      </c>
      <c r="F26" s="26" t="n">
        <v>44</v>
      </c>
      <c r="G26" s="27" t="n">
        <v>6</v>
      </c>
      <c r="H26" s="28" t="n">
        <v>6</v>
      </c>
      <c r="I26" s="28" t="n">
        <v>6</v>
      </c>
      <c r="J26" s="29" t="n">
        <v>6</v>
      </c>
      <c r="K26" s="30" t="n">
        <v>24</v>
      </c>
    </row>
    <row r="27" customFormat="false" ht="12.8" hidden="false" customHeight="false" outlineLevel="0" collapsed="false">
      <c r="A27" s="3" t="n">
        <v>12</v>
      </c>
      <c r="B27" s="41" t="s">
        <v>75</v>
      </c>
      <c r="C27" s="3" t="n">
        <v>0.165</v>
      </c>
      <c r="D27" s="3" t="s">
        <v>68</v>
      </c>
      <c r="F27" s="26" t="n">
        <v>46</v>
      </c>
      <c r="G27" s="27" t="n">
        <v>6</v>
      </c>
      <c r="H27" s="28" t="n">
        <v>6</v>
      </c>
      <c r="I27" s="28" t="n">
        <v>6</v>
      </c>
      <c r="J27" s="29" t="n">
        <v>6</v>
      </c>
      <c r="K27" s="30" t="n">
        <v>24</v>
      </c>
    </row>
    <row r="28" customFormat="false" ht="12.8" hidden="false" customHeight="false" outlineLevel="0" collapsed="false">
      <c r="A28" s="3" t="n">
        <v>12</v>
      </c>
      <c r="B28" s="41" t="s">
        <v>67</v>
      </c>
      <c r="C28" s="3" t="n">
        <v>0.1</v>
      </c>
      <c r="D28" s="3" t="s">
        <v>68</v>
      </c>
      <c r="F28" s="26" t="n">
        <v>48</v>
      </c>
      <c r="G28" s="31" t="n">
        <v>6</v>
      </c>
      <c r="H28" s="32" t="n">
        <v>6</v>
      </c>
      <c r="I28" s="32" t="n">
        <v>6</v>
      </c>
      <c r="J28" s="33" t="n">
        <v>6</v>
      </c>
      <c r="K28" s="34" t="n">
        <v>24</v>
      </c>
    </row>
    <row r="29" customFormat="false" ht="12.8" hidden="false" customHeight="false" outlineLevel="0" collapsed="false">
      <c r="A29" s="3" t="n">
        <v>14</v>
      </c>
      <c r="B29" s="41" t="s">
        <v>74</v>
      </c>
      <c r="C29" s="3" t="n">
        <v>0.1843</v>
      </c>
      <c r="D29" s="3" t="s">
        <v>68</v>
      </c>
      <c r="F29" s="35" t="s">
        <v>62</v>
      </c>
      <c r="G29" s="36" t="n">
        <v>124</v>
      </c>
      <c r="H29" s="37" t="n">
        <v>113</v>
      </c>
      <c r="I29" s="37" t="n">
        <v>115</v>
      </c>
      <c r="J29" s="38" t="n">
        <v>126</v>
      </c>
      <c r="K29" s="39" t="n">
        <v>478</v>
      </c>
    </row>
    <row r="30" customFormat="false" ht="12.8" hidden="false" customHeight="false" outlineLevel="0" collapsed="false">
      <c r="A30" s="3" t="n">
        <v>14</v>
      </c>
      <c r="B30" s="41" t="s">
        <v>76</v>
      </c>
      <c r="C30" s="3" t="n">
        <v>0.1781</v>
      </c>
      <c r="D30" s="3" t="s">
        <v>68</v>
      </c>
    </row>
    <row r="31" customFormat="false" ht="12.8" hidden="false" customHeight="false" outlineLevel="0" collapsed="false">
      <c r="A31" s="3" t="n">
        <v>14</v>
      </c>
      <c r="B31" s="41" t="s">
        <v>77</v>
      </c>
      <c r="C31" s="3" t="n">
        <v>0.1674</v>
      </c>
      <c r="D31" s="3" t="s">
        <v>68</v>
      </c>
    </row>
    <row r="32" customFormat="false" ht="12.8" hidden="false" customHeight="false" outlineLevel="0" collapsed="false">
      <c r="A32" s="3" t="n">
        <v>14</v>
      </c>
      <c r="B32" s="41" t="s">
        <v>79</v>
      </c>
      <c r="C32" s="3" t="n">
        <v>0.1663</v>
      </c>
      <c r="D32" s="3" t="s">
        <v>68</v>
      </c>
      <c r="F32" s="44" t="s">
        <v>80</v>
      </c>
      <c r="G32" s="45"/>
      <c r="H32" s="14" t="s">
        <v>66</v>
      </c>
      <c r="I32" s="15"/>
      <c r="J32" s="15"/>
      <c r="K32" s="15"/>
      <c r="L32" s="16"/>
    </row>
    <row r="33" customFormat="false" ht="12.8" hidden="false" customHeight="false" outlineLevel="0" collapsed="false">
      <c r="A33" s="3" t="n">
        <v>14</v>
      </c>
      <c r="B33" s="41" t="s">
        <v>67</v>
      </c>
      <c r="C33" s="3" t="n">
        <v>0.1559</v>
      </c>
      <c r="D33" s="3" t="s">
        <v>68</v>
      </c>
      <c r="F33" s="17" t="s">
        <v>63</v>
      </c>
      <c r="G33" s="46" t="s">
        <v>64</v>
      </c>
      <c r="H33" s="42" t="s">
        <v>68</v>
      </c>
      <c r="I33" s="43" t="s">
        <v>71</v>
      </c>
      <c r="J33" s="43" t="s">
        <v>72</v>
      </c>
      <c r="K33" s="43" t="s">
        <v>73</v>
      </c>
      <c r="L33" s="20" t="s">
        <v>62</v>
      </c>
    </row>
    <row r="34" customFormat="false" ht="12.8" hidden="false" customHeight="false" outlineLevel="0" collapsed="false">
      <c r="A34" s="3" t="n">
        <v>14</v>
      </c>
      <c r="B34" s="41" t="s">
        <v>78</v>
      </c>
      <c r="C34" s="3" t="n">
        <v>0.148</v>
      </c>
      <c r="D34" s="3" t="s">
        <v>68</v>
      </c>
      <c r="F34" s="47" t="n">
        <v>0</v>
      </c>
      <c r="G34" s="48" t="s">
        <v>67</v>
      </c>
      <c r="H34" s="49" t="n">
        <v>0.1</v>
      </c>
      <c r="I34" s="50" t="n">
        <v>0.1</v>
      </c>
      <c r="J34" s="50" t="n">
        <v>0.1</v>
      </c>
      <c r="K34" s="51" t="n">
        <v>0.1</v>
      </c>
      <c r="L34" s="52" t="n">
        <v>0.4</v>
      </c>
    </row>
    <row r="35" customFormat="false" ht="12.8" hidden="false" customHeight="false" outlineLevel="0" collapsed="false">
      <c r="A35" s="3" t="n">
        <v>16</v>
      </c>
      <c r="B35" s="41" t="s">
        <v>67</v>
      </c>
      <c r="C35" s="3" t="n">
        <v>0.1</v>
      </c>
      <c r="D35" s="3" t="s">
        <v>68</v>
      </c>
      <c r="F35" s="21" t="n">
        <v>2</v>
      </c>
      <c r="G35" s="53" t="s">
        <v>79</v>
      </c>
      <c r="H35" s="23"/>
      <c r="I35" s="23"/>
      <c r="J35" s="23" t="n">
        <v>0.2849</v>
      </c>
      <c r="K35" s="23"/>
      <c r="L35" s="25" t="n">
        <v>0.2849</v>
      </c>
    </row>
    <row r="36" customFormat="false" ht="12.8" hidden="false" customHeight="false" outlineLevel="0" collapsed="false">
      <c r="A36" s="3" t="n">
        <v>18</v>
      </c>
      <c r="B36" s="41" t="s">
        <v>74</v>
      </c>
      <c r="C36" s="3" t="n">
        <v>0.196</v>
      </c>
      <c r="D36" s="3" t="s">
        <v>68</v>
      </c>
      <c r="F36" s="26"/>
      <c r="G36" s="54" t="s">
        <v>70</v>
      </c>
      <c r="H36" s="28" t="n">
        <v>0.3097</v>
      </c>
      <c r="I36" s="28"/>
      <c r="J36" s="28"/>
      <c r="K36" s="28"/>
      <c r="L36" s="30" t="n">
        <v>0.3097</v>
      </c>
    </row>
    <row r="37" customFormat="false" ht="12.8" hidden="false" customHeight="false" outlineLevel="0" collapsed="false">
      <c r="A37" s="3" t="n">
        <v>18</v>
      </c>
      <c r="B37" s="41" t="s">
        <v>76</v>
      </c>
      <c r="C37" s="3" t="n">
        <v>0.1806</v>
      </c>
      <c r="D37" s="3" t="s">
        <v>68</v>
      </c>
      <c r="F37" s="26"/>
      <c r="G37" s="54" t="s">
        <v>74</v>
      </c>
      <c r="H37" s="28" t="n">
        <v>0.3021</v>
      </c>
      <c r="I37" s="28"/>
      <c r="J37" s="28" t="n">
        <v>0.3369</v>
      </c>
      <c r="K37" s="28"/>
      <c r="L37" s="30" t="n">
        <v>0.639</v>
      </c>
    </row>
    <row r="38" customFormat="false" ht="12.8" hidden="false" customHeight="false" outlineLevel="0" collapsed="false">
      <c r="A38" s="3" t="n">
        <v>18</v>
      </c>
      <c r="B38" s="41" t="s">
        <v>81</v>
      </c>
      <c r="C38" s="3" t="n">
        <v>0.1579</v>
      </c>
      <c r="D38" s="3" t="s">
        <v>68</v>
      </c>
      <c r="F38" s="26"/>
      <c r="G38" s="54" t="s">
        <v>75</v>
      </c>
      <c r="H38" s="28" t="n">
        <v>0.2882</v>
      </c>
      <c r="I38" s="28"/>
      <c r="J38" s="28" t="n">
        <v>0.2782</v>
      </c>
      <c r="K38" s="28"/>
      <c r="L38" s="30" t="n">
        <v>0.5664</v>
      </c>
    </row>
    <row r="39" customFormat="false" ht="12.8" hidden="false" customHeight="false" outlineLevel="0" collapsed="false">
      <c r="A39" s="3" t="n">
        <v>18</v>
      </c>
      <c r="B39" s="41" t="s">
        <v>79</v>
      </c>
      <c r="C39" s="3" t="n">
        <v>0.1573</v>
      </c>
      <c r="D39" s="3" t="s">
        <v>68</v>
      </c>
      <c r="F39" s="55"/>
      <c r="G39" s="56" t="s">
        <v>67</v>
      </c>
      <c r="H39" s="32" t="n">
        <v>0.1</v>
      </c>
      <c r="I39" s="32" t="n">
        <v>0.1</v>
      </c>
      <c r="J39" s="32" t="n">
        <v>0.1</v>
      </c>
      <c r="K39" s="32" t="n">
        <v>0.1</v>
      </c>
      <c r="L39" s="34" t="n">
        <v>0.4</v>
      </c>
    </row>
    <row r="40" customFormat="false" ht="12.8" hidden="false" customHeight="false" outlineLevel="0" collapsed="false">
      <c r="A40" s="3" t="n">
        <v>18</v>
      </c>
      <c r="B40" s="41" t="s">
        <v>67</v>
      </c>
      <c r="C40" s="3" t="n">
        <v>0.1555</v>
      </c>
      <c r="D40" s="3" t="s">
        <v>68</v>
      </c>
      <c r="F40" s="21" t="n">
        <v>4</v>
      </c>
      <c r="G40" s="53" t="s">
        <v>79</v>
      </c>
      <c r="H40" s="22"/>
      <c r="I40" s="23"/>
      <c r="J40" s="23" t="n">
        <v>0.2208</v>
      </c>
      <c r="K40" s="24"/>
      <c r="L40" s="25" t="n">
        <v>0.2208</v>
      </c>
    </row>
    <row r="41" customFormat="false" ht="12.8" hidden="false" customHeight="false" outlineLevel="0" collapsed="false">
      <c r="A41" s="3" t="n">
        <v>18</v>
      </c>
      <c r="B41" s="41" t="s">
        <v>70</v>
      </c>
      <c r="C41" s="3" t="n">
        <v>0.1526</v>
      </c>
      <c r="D41" s="3" t="s">
        <v>68</v>
      </c>
      <c r="F41" s="26"/>
      <c r="G41" s="54" t="s">
        <v>70</v>
      </c>
      <c r="H41" s="27" t="n">
        <v>0.164</v>
      </c>
      <c r="I41" s="28" t="n">
        <v>0.1761</v>
      </c>
      <c r="J41" s="28" t="n">
        <v>0.2119</v>
      </c>
      <c r="K41" s="29"/>
      <c r="L41" s="30" t="n">
        <v>0.552</v>
      </c>
    </row>
    <row r="42" customFormat="false" ht="12.8" hidden="false" customHeight="false" outlineLevel="0" collapsed="false">
      <c r="A42" s="3" t="n">
        <v>20</v>
      </c>
      <c r="B42" s="41" t="s">
        <v>74</v>
      </c>
      <c r="C42" s="3" t="n">
        <v>0.1925</v>
      </c>
      <c r="D42" s="3" t="s">
        <v>68</v>
      </c>
      <c r="F42" s="26"/>
      <c r="G42" s="54" t="s">
        <v>77</v>
      </c>
      <c r="H42" s="27" t="n">
        <v>0.1613</v>
      </c>
      <c r="I42" s="28" t="n">
        <v>0.1733</v>
      </c>
      <c r="J42" s="28"/>
      <c r="K42" s="29" t="n">
        <v>0.1751</v>
      </c>
      <c r="L42" s="30" t="n">
        <v>0.5097</v>
      </c>
    </row>
    <row r="43" customFormat="false" ht="12.8" hidden="false" customHeight="false" outlineLevel="0" collapsed="false">
      <c r="A43" s="3" t="n">
        <v>20</v>
      </c>
      <c r="B43" s="41" t="s">
        <v>76</v>
      </c>
      <c r="C43" s="3" t="n">
        <v>0.1921</v>
      </c>
      <c r="D43" s="3" t="s">
        <v>68</v>
      </c>
      <c r="F43" s="26"/>
      <c r="G43" s="54" t="s">
        <v>82</v>
      </c>
      <c r="H43" s="27"/>
      <c r="I43" s="28"/>
      <c r="J43" s="28"/>
      <c r="K43" s="29" t="n">
        <v>0.1694</v>
      </c>
      <c r="L43" s="30" t="n">
        <v>0.1694</v>
      </c>
    </row>
    <row r="44" customFormat="false" ht="12.8" hidden="false" customHeight="false" outlineLevel="0" collapsed="false">
      <c r="A44" s="3" t="n">
        <v>20</v>
      </c>
      <c r="B44" s="41" t="s">
        <v>79</v>
      </c>
      <c r="C44" s="3" t="n">
        <v>0.1811</v>
      </c>
      <c r="D44" s="3" t="s">
        <v>68</v>
      </c>
      <c r="F44" s="26"/>
      <c r="G44" s="54" t="s">
        <v>78</v>
      </c>
      <c r="H44" s="27"/>
      <c r="I44" s="28" t="n">
        <v>0.1785</v>
      </c>
      <c r="J44" s="28"/>
      <c r="K44" s="29"/>
      <c r="L44" s="30" t="n">
        <v>0.1785</v>
      </c>
    </row>
    <row r="45" customFormat="false" ht="12.8" hidden="false" customHeight="false" outlineLevel="0" collapsed="false">
      <c r="A45" s="3" t="n">
        <v>20</v>
      </c>
      <c r="B45" s="41" t="s">
        <v>77</v>
      </c>
      <c r="C45" s="3" t="n">
        <v>0.1739</v>
      </c>
      <c r="D45" s="3" t="s">
        <v>68</v>
      </c>
      <c r="F45" s="26"/>
      <c r="G45" s="54" t="s">
        <v>81</v>
      </c>
      <c r="H45" s="27"/>
      <c r="I45" s="28" t="n">
        <v>0.1751</v>
      </c>
      <c r="J45" s="28"/>
      <c r="K45" s="29"/>
      <c r="L45" s="30" t="n">
        <v>0.1751</v>
      </c>
    </row>
    <row r="46" customFormat="false" ht="12.8" hidden="false" customHeight="false" outlineLevel="0" collapsed="false">
      <c r="A46" s="3" t="n">
        <v>20</v>
      </c>
      <c r="B46" s="41" t="s">
        <v>75</v>
      </c>
      <c r="C46" s="3" t="n">
        <v>0.1605</v>
      </c>
      <c r="D46" s="3" t="s">
        <v>68</v>
      </c>
      <c r="F46" s="26"/>
      <c r="G46" s="54" t="s">
        <v>74</v>
      </c>
      <c r="H46" s="27" t="n">
        <v>0.2081</v>
      </c>
      <c r="I46" s="28" t="n">
        <v>0.197</v>
      </c>
      <c r="J46" s="28" t="n">
        <v>0.2505</v>
      </c>
      <c r="K46" s="29" t="n">
        <v>0.1903</v>
      </c>
      <c r="L46" s="30" t="n">
        <v>0.8459</v>
      </c>
    </row>
    <row r="47" customFormat="false" ht="12.8" hidden="false" customHeight="false" outlineLevel="0" collapsed="false">
      <c r="A47" s="3" t="n">
        <v>20</v>
      </c>
      <c r="B47" s="41" t="s">
        <v>67</v>
      </c>
      <c r="C47" s="3" t="n">
        <v>0.1</v>
      </c>
      <c r="D47" s="3" t="s">
        <v>68</v>
      </c>
      <c r="F47" s="26"/>
      <c r="G47" s="54" t="s">
        <v>76</v>
      </c>
      <c r="H47" s="27" t="n">
        <v>0.1881</v>
      </c>
      <c r="I47" s="28"/>
      <c r="J47" s="28" t="n">
        <v>0.2168</v>
      </c>
      <c r="K47" s="29" t="n">
        <v>0.1741</v>
      </c>
      <c r="L47" s="30" t="n">
        <v>0.579</v>
      </c>
    </row>
    <row r="48" customFormat="false" ht="12.8" hidden="false" customHeight="false" outlineLevel="0" collapsed="false">
      <c r="A48" s="3" t="n">
        <v>22</v>
      </c>
      <c r="B48" s="41" t="s">
        <v>79</v>
      </c>
      <c r="C48" s="3" t="n">
        <v>0.1967</v>
      </c>
      <c r="D48" s="3" t="s">
        <v>68</v>
      </c>
      <c r="F48" s="26"/>
      <c r="G48" s="54" t="s">
        <v>75</v>
      </c>
      <c r="H48" s="27" t="n">
        <v>0.1785</v>
      </c>
      <c r="I48" s="28"/>
      <c r="J48" s="28"/>
      <c r="K48" s="29" t="n">
        <v>0.1911</v>
      </c>
      <c r="L48" s="30" t="n">
        <v>0.3696</v>
      </c>
    </row>
    <row r="49" customFormat="false" ht="12.8" hidden="false" customHeight="false" outlineLevel="0" collapsed="false">
      <c r="A49" s="3" t="n">
        <v>22</v>
      </c>
      <c r="B49" s="41" t="s">
        <v>76</v>
      </c>
      <c r="C49" s="3" t="n">
        <v>0.1713</v>
      </c>
      <c r="D49" s="3" t="s">
        <v>68</v>
      </c>
      <c r="F49" s="55"/>
      <c r="G49" s="56" t="s">
        <v>67</v>
      </c>
      <c r="H49" s="31" t="n">
        <v>0.1</v>
      </c>
      <c r="I49" s="32" t="n">
        <v>0.1</v>
      </c>
      <c r="J49" s="32" t="n">
        <v>0.1</v>
      </c>
      <c r="K49" s="33" t="n">
        <v>0.1</v>
      </c>
      <c r="L49" s="34" t="n">
        <v>0.4</v>
      </c>
    </row>
    <row r="50" customFormat="false" ht="12.8" hidden="false" customHeight="false" outlineLevel="0" collapsed="false">
      <c r="A50" s="3" t="n">
        <v>22</v>
      </c>
      <c r="B50" s="41" t="s">
        <v>67</v>
      </c>
      <c r="C50" s="3" t="n">
        <v>0.1657</v>
      </c>
      <c r="D50" s="3" t="s">
        <v>68</v>
      </c>
      <c r="F50" s="21" t="n">
        <v>6</v>
      </c>
      <c r="G50" s="53" t="s">
        <v>74</v>
      </c>
      <c r="H50" s="23" t="n">
        <v>0.9</v>
      </c>
      <c r="I50" s="23"/>
      <c r="J50" s="23"/>
      <c r="K50" s="23" t="n">
        <v>0.444</v>
      </c>
      <c r="L50" s="25" t="n">
        <v>1.344</v>
      </c>
    </row>
    <row r="51" customFormat="false" ht="12.8" hidden="false" customHeight="false" outlineLevel="0" collapsed="false">
      <c r="A51" s="3" t="n">
        <v>22</v>
      </c>
      <c r="B51" s="41" t="s">
        <v>74</v>
      </c>
      <c r="C51" s="3" t="n">
        <v>0.1567</v>
      </c>
      <c r="D51" s="3" t="s">
        <v>68</v>
      </c>
      <c r="F51" s="26"/>
      <c r="G51" s="54" t="s">
        <v>76</v>
      </c>
      <c r="H51" s="28"/>
      <c r="I51" s="28"/>
      <c r="J51" s="28"/>
      <c r="K51" s="28" t="n">
        <v>0.456</v>
      </c>
      <c r="L51" s="30" t="n">
        <v>0.456</v>
      </c>
    </row>
    <row r="52" customFormat="false" ht="12.8" hidden="false" customHeight="false" outlineLevel="0" collapsed="false">
      <c r="A52" s="3" t="n">
        <v>22</v>
      </c>
      <c r="B52" s="41" t="s">
        <v>77</v>
      </c>
      <c r="C52" s="3" t="n">
        <v>0.1556</v>
      </c>
      <c r="D52" s="3" t="s">
        <v>68</v>
      </c>
      <c r="F52" s="55"/>
      <c r="G52" s="56" t="s">
        <v>67</v>
      </c>
      <c r="H52" s="32" t="n">
        <v>0.1</v>
      </c>
      <c r="I52" s="32" t="n">
        <v>0.1</v>
      </c>
      <c r="J52" s="32" t="n">
        <v>0.1</v>
      </c>
      <c r="K52" s="32" t="n">
        <v>0.1</v>
      </c>
      <c r="L52" s="34" t="n">
        <v>0.4</v>
      </c>
    </row>
    <row r="53" customFormat="false" ht="12.8" hidden="false" customHeight="false" outlineLevel="0" collapsed="false">
      <c r="A53" s="3" t="n">
        <v>22</v>
      </c>
      <c r="B53" s="41" t="s">
        <v>82</v>
      </c>
      <c r="C53" s="3" t="n">
        <v>0.154</v>
      </c>
      <c r="D53" s="3" t="s">
        <v>68</v>
      </c>
      <c r="F53" s="21" t="n">
        <v>8</v>
      </c>
      <c r="G53" s="53" t="s">
        <v>79</v>
      </c>
      <c r="H53" s="22" t="n">
        <v>0.1554</v>
      </c>
      <c r="I53" s="23" t="n">
        <v>0.1605</v>
      </c>
      <c r="J53" s="23" t="n">
        <v>0.1964</v>
      </c>
      <c r="K53" s="24"/>
      <c r="L53" s="25" t="n">
        <v>0.5123</v>
      </c>
    </row>
    <row r="54" customFormat="false" ht="12.8" hidden="false" customHeight="false" outlineLevel="0" collapsed="false">
      <c r="A54" s="3" t="n">
        <v>24</v>
      </c>
      <c r="B54" s="41" t="s">
        <v>79</v>
      </c>
      <c r="C54" s="3" t="n">
        <v>0.1952</v>
      </c>
      <c r="D54" s="3" t="s">
        <v>68</v>
      </c>
      <c r="F54" s="26"/>
      <c r="G54" s="54" t="s">
        <v>77</v>
      </c>
      <c r="H54" s="27"/>
      <c r="I54" s="28" t="n">
        <v>0.1639</v>
      </c>
      <c r="J54" s="28" t="n">
        <v>0.1641</v>
      </c>
      <c r="K54" s="29" t="n">
        <v>0.1642</v>
      </c>
      <c r="L54" s="30" t="n">
        <v>0.4922</v>
      </c>
    </row>
    <row r="55" customFormat="false" ht="12.8" hidden="false" customHeight="false" outlineLevel="0" collapsed="false">
      <c r="A55" s="3" t="n">
        <v>24</v>
      </c>
      <c r="B55" s="41" t="s">
        <v>76</v>
      </c>
      <c r="C55" s="3" t="n">
        <v>0.1916</v>
      </c>
      <c r="D55" s="3" t="s">
        <v>68</v>
      </c>
      <c r="F55" s="26"/>
      <c r="G55" s="54" t="s">
        <v>78</v>
      </c>
      <c r="H55" s="27" t="n">
        <v>0.1621</v>
      </c>
      <c r="I55" s="28" t="n">
        <v>0.163</v>
      </c>
      <c r="J55" s="28" t="n">
        <v>0.1629</v>
      </c>
      <c r="K55" s="29"/>
      <c r="L55" s="30" t="n">
        <v>0.488</v>
      </c>
    </row>
    <row r="56" customFormat="false" ht="12.8" hidden="false" customHeight="false" outlineLevel="0" collapsed="false">
      <c r="A56" s="3" t="n">
        <v>24</v>
      </c>
      <c r="B56" s="41" t="s">
        <v>77</v>
      </c>
      <c r="C56" s="3" t="n">
        <v>0.1742</v>
      </c>
      <c r="D56" s="3" t="s">
        <v>68</v>
      </c>
      <c r="F56" s="26"/>
      <c r="G56" s="54" t="s">
        <v>81</v>
      </c>
      <c r="H56" s="27"/>
      <c r="I56" s="28"/>
      <c r="J56" s="28"/>
      <c r="K56" s="29" t="n">
        <v>0.165</v>
      </c>
      <c r="L56" s="30" t="n">
        <v>0.165</v>
      </c>
    </row>
    <row r="57" customFormat="false" ht="12.8" hidden="false" customHeight="false" outlineLevel="0" collapsed="false">
      <c r="A57" s="3" t="n">
        <v>24</v>
      </c>
      <c r="B57" s="41" t="s">
        <v>70</v>
      </c>
      <c r="C57" s="3" t="n">
        <v>0.1717</v>
      </c>
      <c r="D57" s="3" t="s">
        <v>68</v>
      </c>
      <c r="F57" s="26"/>
      <c r="G57" s="54" t="s">
        <v>74</v>
      </c>
      <c r="H57" s="27" t="n">
        <v>0.2263</v>
      </c>
      <c r="I57" s="28" t="n">
        <v>0.2044</v>
      </c>
      <c r="J57" s="28" t="n">
        <v>0.2105</v>
      </c>
      <c r="K57" s="29" t="n">
        <v>0.2088</v>
      </c>
      <c r="L57" s="30" t="n">
        <v>0.85</v>
      </c>
    </row>
    <row r="58" customFormat="false" ht="12.8" hidden="false" customHeight="false" outlineLevel="0" collapsed="false">
      <c r="A58" s="3" t="n">
        <v>24</v>
      </c>
      <c r="B58" s="41" t="s">
        <v>74</v>
      </c>
      <c r="C58" s="3" t="n">
        <v>0.1673</v>
      </c>
      <c r="D58" s="3" t="s">
        <v>68</v>
      </c>
      <c r="F58" s="26"/>
      <c r="G58" s="54" t="s">
        <v>76</v>
      </c>
      <c r="H58" s="27" t="n">
        <v>0.1824</v>
      </c>
      <c r="I58" s="28"/>
      <c r="J58" s="28" t="n">
        <v>0.1661</v>
      </c>
      <c r="K58" s="29" t="n">
        <v>0.1703</v>
      </c>
      <c r="L58" s="30" t="n">
        <v>0.5188</v>
      </c>
    </row>
    <row r="59" customFormat="false" ht="12.8" hidden="false" customHeight="false" outlineLevel="0" collapsed="false">
      <c r="A59" s="3" t="n">
        <v>24</v>
      </c>
      <c r="B59" s="41" t="s">
        <v>67</v>
      </c>
      <c r="C59" s="3" t="n">
        <v>0.1</v>
      </c>
      <c r="D59" s="3" t="s">
        <v>68</v>
      </c>
      <c r="F59" s="26"/>
      <c r="G59" s="54" t="s">
        <v>75</v>
      </c>
      <c r="H59" s="27" t="n">
        <v>0.1738</v>
      </c>
      <c r="I59" s="28" t="n">
        <v>0.1556</v>
      </c>
      <c r="J59" s="28"/>
      <c r="K59" s="29" t="n">
        <v>0.1916</v>
      </c>
      <c r="L59" s="30" t="n">
        <v>0.521</v>
      </c>
    </row>
    <row r="60" customFormat="false" ht="12.8" hidden="false" customHeight="false" outlineLevel="0" collapsed="false">
      <c r="A60" s="3" t="n">
        <v>26</v>
      </c>
      <c r="B60" s="41" t="s">
        <v>74</v>
      </c>
      <c r="C60" s="3" t="n">
        <v>0.1989</v>
      </c>
      <c r="D60" s="3" t="s">
        <v>68</v>
      </c>
      <c r="F60" s="55"/>
      <c r="G60" s="56" t="s">
        <v>67</v>
      </c>
      <c r="H60" s="31" t="n">
        <v>0.1</v>
      </c>
      <c r="I60" s="32" t="n">
        <v>0.1525</v>
      </c>
      <c r="J60" s="32" t="n">
        <v>0.1</v>
      </c>
      <c r="K60" s="33" t="n">
        <v>0.1</v>
      </c>
      <c r="L60" s="34" t="n">
        <v>0.4525</v>
      </c>
    </row>
    <row r="61" customFormat="false" ht="12.8" hidden="false" customHeight="false" outlineLevel="0" collapsed="false">
      <c r="A61" s="3" t="n">
        <v>26</v>
      </c>
      <c r="B61" s="41" t="s">
        <v>76</v>
      </c>
      <c r="C61" s="3" t="n">
        <v>0.1875</v>
      </c>
      <c r="D61" s="3" t="s">
        <v>68</v>
      </c>
      <c r="F61" s="21" t="n">
        <v>10</v>
      </c>
      <c r="G61" s="53" t="s">
        <v>74</v>
      </c>
      <c r="H61" s="23"/>
      <c r="I61" s="23" t="n">
        <v>0.9</v>
      </c>
      <c r="J61" s="23"/>
      <c r="K61" s="23" t="n">
        <v>0.4423</v>
      </c>
      <c r="L61" s="25" t="n">
        <v>1.3423</v>
      </c>
    </row>
    <row r="62" customFormat="false" ht="12.8" hidden="false" customHeight="false" outlineLevel="0" collapsed="false">
      <c r="A62" s="3" t="n">
        <v>26</v>
      </c>
      <c r="B62" s="41" t="s">
        <v>75</v>
      </c>
      <c r="C62" s="3" t="n">
        <v>0.1758</v>
      </c>
      <c r="D62" s="3" t="s">
        <v>68</v>
      </c>
      <c r="F62" s="26"/>
      <c r="G62" s="54" t="s">
        <v>76</v>
      </c>
      <c r="H62" s="28" t="n">
        <v>0.9</v>
      </c>
      <c r="I62" s="28"/>
      <c r="J62" s="28"/>
      <c r="K62" s="28" t="n">
        <v>0.4577</v>
      </c>
      <c r="L62" s="30" t="n">
        <v>1.3577</v>
      </c>
    </row>
    <row r="63" customFormat="false" ht="12.8" hidden="false" customHeight="false" outlineLevel="0" collapsed="false">
      <c r="A63" s="3" t="n">
        <v>26</v>
      </c>
      <c r="B63" s="41" t="s">
        <v>70</v>
      </c>
      <c r="C63" s="3" t="n">
        <v>0.1733</v>
      </c>
      <c r="D63" s="3" t="s">
        <v>68</v>
      </c>
      <c r="F63" s="55"/>
      <c r="G63" s="56" t="s">
        <v>67</v>
      </c>
      <c r="H63" s="32" t="n">
        <v>0.1</v>
      </c>
      <c r="I63" s="32" t="n">
        <v>0.1</v>
      </c>
      <c r="J63" s="32" t="n">
        <v>0.1</v>
      </c>
      <c r="K63" s="32" t="n">
        <v>0.1</v>
      </c>
      <c r="L63" s="34" t="n">
        <v>0.4</v>
      </c>
    </row>
    <row r="64" customFormat="false" ht="12.8" hidden="false" customHeight="false" outlineLevel="0" collapsed="false">
      <c r="A64" s="3" t="n">
        <v>26</v>
      </c>
      <c r="B64" s="41" t="s">
        <v>77</v>
      </c>
      <c r="C64" s="3" t="n">
        <v>0.1645</v>
      </c>
      <c r="D64" s="3" t="s">
        <v>68</v>
      </c>
      <c r="F64" s="21" t="n">
        <v>12</v>
      </c>
      <c r="G64" s="53" t="s">
        <v>79</v>
      </c>
      <c r="H64" s="22" t="n">
        <v>0.1702</v>
      </c>
      <c r="I64" s="23" t="n">
        <v>0.315</v>
      </c>
      <c r="J64" s="23" t="n">
        <v>0.2542</v>
      </c>
      <c r="K64" s="24" t="n">
        <v>0.1933</v>
      </c>
      <c r="L64" s="25" t="n">
        <v>0.9327</v>
      </c>
    </row>
    <row r="65" customFormat="false" ht="12.8" hidden="false" customHeight="false" outlineLevel="0" collapsed="false">
      <c r="A65" s="3" t="n">
        <v>26</v>
      </c>
      <c r="B65" s="41" t="s">
        <v>67</v>
      </c>
      <c r="C65" s="3" t="n">
        <v>0.1</v>
      </c>
      <c r="D65" s="3" t="s">
        <v>68</v>
      </c>
      <c r="F65" s="26"/>
      <c r="G65" s="54" t="s">
        <v>70</v>
      </c>
      <c r="H65" s="27" t="n">
        <v>0.1693</v>
      </c>
      <c r="I65" s="28"/>
      <c r="J65" s="28"/>
      <c r="K65" s="29"/>
      <c r="L65" s="30" t="n">
        <v>0.1693</v>
      </c>
    </row>
    <row r="66" customFormat="false" ht="12.8" hidden="false" customHeight="false" outlineLevel="0" collapsed="false">
      <c r="A66" s="3" t="n">
        <v>28</v>
      </c>
      <c r="B66" s="41" t="s">
        <v>74</v>
      </c>
      <c r="C66" s="3" t="n">
        <v>0.2115</v>
      </c>
      <c r="D66" s="3" t="s">
        <v>68</v>
      </c>
      <c r="F66" s="26"/>
      <c r="G66" s="54" t="s">
        <v>77</v>
      </c>
      <c r="H66" s="27"/>
      <c r="I66" s="28"/>
      <c r="J66" s="28" t="n">
        <v>0.1869</v>
      </c>
      <c r="K66" s="29" t="n">
        <v>0.183</v>
      </c>
      <c r="L66" s="30" t="n">
        <v>0.3699</v>
      </c>
    </row>
    <row r="67" customFormat="false" ht="12.8" hidden="false" customHeight="false" outlineLevel="0" collapsed="false">
      <c r="A67" s="3" t="n">
        <v>28</v>
      </c>
      <c r="B67" s="41" t="s">
        <v>75</v>
      </c>
      <c r="C67" s="3" t="n">
        <v>0.1854</v>
      </c>
      <c r="D67" s="3" t="s">
        <v>68</v>
      </c>
      <c r="F67" s="26"/>
      <c r="G67" s="54" t="s">
        <v>82</v>
      </c>
      <c r="H67" s="27"/>
      <c r="I67" s="28"/>
      <c r="J67" s="28"/>
      <c r="K67" s="29" t="n">
        <v>0.168</v>
      </c>
      <c r="L67" s="30" t="n">
        <v>0.168</v>
      </c>
    </row>
    <row r="68" customFormat="false" ht="12.8" hidden="false" customHeight="false" outlineLevel="0" collapsed="false">
      <c r="A68" s="3" t="n">
        <v>28</v>
      </c>
      <c r="B68" s="41" t="s">
        <v>76</v>
      </c>
      <c r="C68" s="3" t="n">
        <v>0.1813</v>
      </c>
      <c r="D68" s="3" t="s">
        <v>68</v>
      </c>
      <c r="F68" s="26"/>
      <c r="G68" s="54" t="s">
        <v>74</v>
      </c>
      <c r="H68" s="27" t="n">
        <v>0.188</v>
      </c>
      <c r="I68" s="28" t="n">
        <v>0.2856</v>
      </c>
      <c r="J68" s="28" t="n">
        <v>0.2205</v>
      </c>
      <c r="K68" s="29" t="n">
        <v>0.1692</v>
      </c>
      <c r="L68" s="30" t="n">
        <v>0.8633</v>
      </c>
    </row>
    <row r="69" customFormat="false" ht="12.8" hidden="false" customHeight="false" outlineLevel="0" collapsed="false">
      <c r="A69" s="3" t="n">
        <v>28</v>
      </c>
      <c r="B69" s="41" t="s">
        <v>77</v>
      </c>
      <c r="C69" s="3" t="n">
        <v>0.1651</v>
      </c>
      <c r="D69" s="3" t="s">
        <v>68</v>
      </c>
      <c r="F69" s="26"/>
      <c r="G69" s="54" t="s">
        <v>76</v>
      </c>
      <c r="H69" s="27" t="n">
        <v>0.2075</v>
      </c>
      <c r="I69" s="28" t="n">
        <v>0.2994</v>
      </c>
      <c r="J69" s="28" t="n">
        <v>0.2385</v>
      </c>
      <c r="K69" s="29" t="n">
        <v>0.1865</v>
      </c>
      <c r="L69" s="30" t="n">
        <v>0.9319</v>
      </c>
    </row>
    <row r="70" customFormat="false" ht="12.8" hidden="false" customHeight="false" outlineLevel="0" collapsed="false">
      <c r="A70" s="3" t="n">
        <v>28</v>
      </c>
      <c r="B70" s="41" t="s">
        <v>79</v>
      </c>
      <c r="C70" s="3" t="n">
        <v>0.1567</v>
      </c>
      <c r="D70" s="3" t="s">
        <v>68</v>
      </c>
      <c r="F70" s="26"/>
      <c r="G70" s="54" t="s">
        <v>75</v>
      </c>
      <c r="H70" s="27" t="n">
        <v>0.165</v>
      </c>
      <c r="I70" s="28"/>
      <c r="J70" s="28"/>
      <c r="K70" s="29"/>
      <c r="L70" s="30" t="n">
        <v>0.165</v>
      </c>
    </row>
    <row r="71" customFormat="false" ht="12.8" hidden="false" customHeight="false" outlineLevel="0" collapsed="false">
      <c r="A71" s="3" t="n">
        <v>28</v>
      </c>
      <c r="B71" s="41" t="s">
        <v>67</v>
      </c>
      <c r="C71" s="3" t="n">
        <v>0.1</v>
      </c>
      <c r="D71" s="3" t="s">
        <v>68</v>
      </c>
      <c r="F71" s="55"/>
      <c r="G71" s="56" t="s">
        <v>67</v>
      </c>
      <c r="H71" s="31" t="n">
        <v>0.1</v>
      </c>
      <c r="I71" s="32" t="n">
        <v>0.1</v>
      </c>
      <c r="J71" s="32" t="n">
        <v>0.1</v>
      </c>
      <c r="K71" s="33" t="n">
        <v>0.1</v>
      </c>
      <c r="L71" s="34" t="n">
        <v>0.4</v>
      </c>
    </row>
    <row r="72" customFormat="false" ht="12.8" hidden="false" customHeight="false" outlineLevel="0" collapsed="false">
      <c r="A72" s="3" t="n">
        <v>30</v>
      </c>
      <c r="B72" s="41" t="s">
        <v>74</v>
      </c>
      <c r="C72" s="3" t="n">
        <v>0.2246</v>
      </c>
      <c r="D72" s="3" t="s">
        <v>68</v>
      </c>
      <c r="F72" s="21" t="n">
        <v>14</v>
      </c>
      <c r="G72" s="53" t="s">
        <v>79</v>
      </c>
      <c r="H72" s="23" t="n">
        <v>0.1663</v>
      </c>
      <c r="I72" s="23" t="n">
        <v>0.2397</v>
      </c>
      <c r="J72" s="23"/>
      <c r="K72" s="23" t="n">
        <v>0.1531</v>
      </c>
      <c r="L72" s="25" t="n">
        <v>0.5591</v>
      </c>
    </row>
    <row r="73" customFormat="false" ht="12.8" hidden="false" customHeight="false" outlineLevel="0" collapsed="false">
      <c r="A73" s="3" t="n">
        <v>30</v>
      </c>
      <c r="B73" s="41" t="s">
        <v>76</v>
      </c>
      <c r="C73" s="3" t="n">
        <v>0.1873</v>
      </c>
      <c r="D73" s="3" t="s">
        <v>68</v>
      </c>
      <c r="F73" s="26"/>
      <c r="G73" s="54" t="s">
        <v>77</v>
      </c>
      <c r="H73" s="28" t="n">
        <v>0.1674</v>
      </c>
      <c r="I73" s="28"/>
      <c r="J73" s="28"/>
      <c r="K73" s="28" t="n">
        <v>0.166</v>
      </c>
      <c r="L73" s="30" t="n">
        <v>0.3334</v>
      </c>
    </row>
    <row r="74" customFormat="false" ht="12.8" hidden="false" customHeight="false" outlineLevel="0" collapsed="false">
      <c r="A74" s="3" t="n">
        <v>30</v>
      </c>
      <c r="B74" s="41" t="s">
        <v>75</v>
      </c>
      <c r="C74" s="3" t="n">
        <v>0.1665</v>
      </c>
      <c r="D74" s="3" t="s">
        <v>68</v>
      </c>
      <c r="F74" s="26"/>
      <c r="G74" s="54" t="s">
        <v>82</v>
      </c>
      <c r="H74" s="28"/>
      <c r="I74" s="28" t="n">
        <v>0.2087</v>
      </c>
      <c r="J74" s="28"/>
      <c r="K74" s="28" t="n">
        <v>0.181</v>
      </c>
      <c r="L74" s="30" t="n">
        <v>0.3897</v>
      </c>
    </row>
    <row r="75" customFormat="false" ht="12.8" hidden="false" customHeight="false" outlineLevel="0" collapsed="false">
      <c r="A75" s="3" t="n">
        <v>30</v>
      </c>
      <c r="B75" s="41" t="s">
        <v>77</v>
      </c>
      <c r="C75" s="3" t="n">
        <v>0.1655</v>
      </c>
      <c r="D75" s="3" t="s">
        <v>68</v>
      </c>
      <c r="F75" s="26"/>
      <c r="G75" s="54" t="s">
        <v>78</v>
      </c>
      <c r="H75" s="28" t="n">
        <v>0.148</v>
      </c>
      <c r="I75" s="28"/>
      <c r="J75" s="28"/>
      <c r="K75" s="28"/>
      <c r="L75" s="30" t="n">
        <v>0.148</v>
      </c>
    </row>
    <row r="76" customFormat="false" ht="12.8" hidden="false" customHeight="false" outlineLevel="0" collapsed="false">
      <c r="A76" s="3" t="n">
        <v>30</v>
      </c>
      <c r="B76" s="41" t="s">
        <v>78</v>
      </c>
      <c r="C76" s="3" t="n">
        <v>0.1561</v>
      </c>
      <c r="D76" s="3" t="s">
        <v>68</v>
      </c>
      <c r="F76" s="26"/>
      <c r="G76" s="54" t="s">
        <v>74</v>
      </c>
      <c r="H76" s="28" t="n">
        <v>0.1843</v>
      </c>
      <c r="I76" s="28" t="n">
        <v>0.2204</v>
      </c>
      <c r="J76" s="28"/>
      <c r="K76" s="28" t="n">
        <v>0.1596</v>
      </c>
      <c r="L76" s="30" t="n">
        <v>0.5643</v>
      </c>
    </row>
    <row r="77" customFormat="false" ht="12.8" hidden="false" customHeight="false" outlineLevel="0" collapsed="false">
      <c r="A77" s="3" t="n">
        <v>30</v>
      </c>
      <c r="B77" s="41" t="s">
        <v>67</v>
      </c>
      <c r="C77" s="3" t="n">
        <v>0.1</v>
      </c>
      <c r="D77" s="3" t="s">
        <v>68</v>
      </c>
      <c r="F77" s="26"/>
      <c r="G77" s="54" t="s">
        <v>76</v>
      </c>
      <c r="H77" s="28" t="n">
        <v>0.1781</v>
      </c>
      <c r="I77" s="28" t="n">
        <v>0.2312</v>
      </c>
      <c r="J77" s="28" t="n">
        <v>0.9</v>
      </c>
      <c r="K77" s="28" t="n">
        <v>0.1884</v>
      </c>
      <c r="L77" s="30" t="n">
        <v>1.4977</v>
      </c>
    </row>
    <row r="78" customFormat="false" ht="12.8" hidden="false" customHeight="false" outlineLevel="0" collapsed="false">
      <c r="A78" s="3" t="n">
        <v>32</v>
      </c>
      <c r="B78" s="41" t="s">
        <v>76</v>
      </c>
      <c r="C78" s="3" t="n">
        <v>0.203</v>
      </c>
      <c r="D78" s="3" t="s">
        <v>68</v>
      </c>
      <c r="F78" s="55"/>
      <c r="G78" s="56" t="s">
        <v>67</v>
      </c>
      <c r="H78" s="32" t="n">
        <v>0.1559</v>
      </c>
      <c r="I78" s="32" t="n">
        <v>0.1</v>
      </c>
      <c r="J78" s="32" t="n">
        <v>0.1</v>
      </c>
      <c r="K78" s="32" t="n">
        <v>0.1518</v>
      </c>
      <c r="L78" s="34" t="n">
        <v>0.5077</v>
      </c>
    </row>
    <row r="79" customFormat="false" ht="12.8" hidden="false" customHeight="false" outlineLevel="0" collapsed="false">
      <c r="A79" s="3" t="n">
        <v>32</v>
      </c>
      <c r="B79" s="41" t="s">
        <v>74</v>
      </c>
      <c r="C79" s="3" t="n">
        <v>0.1941</v>
      </c>
      <c r="D79" s="3" t="s">
        <v>68</v>
      </c>
      <c r="F79" s="47" t="n">
        <v>16</v>
      </c>
      <c r="G79" s="48" t="s">
        <v>67</v>
      </c>
      <c r="H79" s="49" t="n">
        <v>0.1</v>
      </c>
      <c r="I79" s="50" t="n">
        <v>0.1</v>
      </c>
      <c r="J79" s="50" t="n">
        <v>0.1</v>
      </c>
      <c r="K79" s="51" t="n">
        <v>0.1</v>
      </c>
      <c r="L79" s="52" t="n">
        <v>0.4</v>
      </c>
    </row>
    <row r="80" customFormat="false" ht="12.8" hidden="false" customHeight="false" outlineLevel="0" collapsed="false">
      <c r="A80" s="3" t="n">
        <v>32</v>
      </c>
      <c r="B80" s="41" t="s">
        <v>77</v>
      </c>
      <c r="C80" s="3" t="n">
        <v>0.182</v>
      </c>
      <c r="D80" s="3" t="s">
        <v>68</v>
      </c>
      <c r="F80" s="21" t="n">
        <v>18</v>
      </c>
      <c r="G80" s="53" t="s">
        <v>79</v>
      </c>
      <c r="H80" s="23" t="n">
        <v>0.1573</v>
      </c>
      <c r="I80" s="23" t="n">
        <v>0.1701</v>
      </c>
      <c r="J80" s="23" t="n">
        <v>0.1808</v>
      </c>
      <c r="K80" s="23" t="n">
        <v>0.1552</v>
      </c>
      <c r="L80" s="25" t="n">
        <v>0.6634</v>
      </c>
    </row>
    <row r="81" customFormat="false" ht="12.8" hidden="false" customHeight="false" outlineLevel="0" collapsed="false">
      <c r="A81" s="3" t="n">
        <v>32</v>
      </c>
      <c r="B81" s="41" t="s">
        <v>79</v>
      </c>
      <c r="C81" s="3" t="n">
        <v>0.1607</v>
      </c>
      <c r="D81" s="3" t="s">
        <v>68</v>
      </c>
      <c r="F81" s="26"/>
      <c r="G81" s="54" t="s">
        <v>70</v>
      </c>
      <c r="H81" s="28" t="n">
        <v>0.1526</v>
      </c>
      <c r="I81" s="28"/>
      <c r="J81" s="28"/>
      <c r="K81" s="28"/>
      <c r="L81" s="30" t="n">
        <v>0.1526</v>
      </c>
    </row>
    <row r="82" customFormat="false" ht="12.8" hidden="false" customHeight="false" outlineLevel="0" collapsed="false">
      <c r="A82" s="3" t="n">
        <v>32</v>
      </c>
      <c r="B82" s="41" t="s">
        <v>82</v>
      </c>
      <c r="C82" s="3" t="n">
        <v>0.1602</v>
      </c>
      <c r="D82" s="3" t="s">
        <v>68</v>
      </c>
      <c r="F82" s="26"/>
      <c r="G82" s="54" t="s">
        <v>77</v>
      </c>
      <c r="H82" s="28"/>
      <c r="I82" s="28" t="n">
        <v>0.1523</v>
      </c>
      <c r="J82" s="28" t="n">
        <v>0.1586</v>
      </c>
      <c r="K82" s="28"/>
      <c r="L82" s="30" t="n">
        <v>0.3109</v>
      </c>
    </row>
    <row r="83" customFormat="false" ht="12.8" hidden="false" customHeight="false" outlineLevel="0" collapsed="false">
      <c r="A83" s="3" t="n">
        <v>32</v>
      </c>
      <c r="B83" s="41" t="s">
        <v>67</v>
      </c>
      <c r="C83" s="3" t="n">
        <v>0.1</v>
      </c>
      <c r="D83" s="3" t="s">
        <v>68</v>
      </c>
      <c r="F83" s="26"/>
      <c r="G83" s="54" t="s">
        <v>81</v>
      </c>
      <c r="H83" s="28" t="n">
        <v>0.1579</v>
      </c>
      <c r="I83" s="28" t="n">
        <v>0.1598</v>
      </c>
      <c r="J83" s="28" t="n">
        <v>0.1538</v>
      </c>
      <c r="K83" s="28" t="n">
        <v>0.1671</v>
      </c>
      <c r="L83" s="30" t="n">
        <v>0.6386</v>
      </c>
    </row>
    <row r="84" customFormat="false" ht="12.8" hidden="false" customHeight="false" outlineLevel="0" collapsed="false">
      <c r="A84" s="3" t="n">
        <v>34</v>
      </c>
      <c r="B84" s="41" t="s">
        <v>76</v>
      </c>
      <c r="C84" s="3" t="n">
        <v>0.1942</v>
      </c>
      <c r="D84" s="3" t="s">
        <v>68</v>
      </c>
      <c r="F84" s="26"/>
      <c r="G84" s="54" t="s">
        <v>74</v>
      </c>
      <c r="H84" s="28" t="n">
        <v>0.196</v>
      </c>
      <c r="I84" s="28" t="n">
        <v>0.2077</v>
      </c>
      <c r="J84" s="28" t="n">
        <v>0.1887</v>
      </c>
      <c r="K84" s="28" t="n">
        <v>0.1963</v>
      </c>
      <c r="L84" s="30" t="n">
        <v>0.7887</v>
      </c>
    </row>
    <row r="85" customFormat="false" ht="12.8" hidden="false" customHeight="false" outlineLevel="0" collapsed="false">
      <c r="A85" s="3" t="n">
        <v>34</v>
      </c>
      <c r="B85" s="41" t="s">
        <v>74</v>
      </c>
      <c r="C85" s="3" t="n">
        <v>0.1909</v>
      </c>
      <c r="D85" s="3" t="s">
        <v>68</v>
      </c>
      <c r="F85" s="26"/>
      <c r="G85" s="54" t="s">
        <v>76</v>
      </c>
      <c r="H85" s="28" t="n">
        <v>0.1806</v>
      </c>
      <c r="I85" s="28" t="n">
        <v>0.1528</v>
      </c>
      <c r="J85" s="28" t="n">
        <v>0.16</v>
      </c>
      <c r="K85" s="28" t="n">
        <v>0.169</v>
      </c>
      <c r="L85" s="30" t="n">
        <v>0.6624</v>
      </c>
    </row>
    <row r="86" customFormat="false" ht="12.8" hidden="false" customHeight="false" outlineLevel="0" collapsed="false">
      <c r="A86" s="3" t="n">
        <v>34</v>
      </c>
      <c r="B86" s="41" t="s">
        <v>77</v>
      </c>
      <c r="C86" s="3" t="n">
        <v>0.1878</v>
      </c>
      <c r="D86" s="3" t="s">
        <v>68</v>
      </c>
      <c r="F86" s="26"/>
      <c r="G86" s="54" t="s">
        <v>75</v>
      </c>
      <c r="H86" s="28"/>
      <c r="I86" s="28"/>
      <c r="J86" s="28"/>
      <c r="K86" s="28" t="n">
        <v>0.1598</v>
      </c>
      <c r="L86" s="30" t="n">
        <v>0.1598</v>
      </c>
    </row>
    <row r="87" customFormat="false" ht="12.8" hidden="false" customHeight="false" outlineLevel="0" collapsed="false">
      <c r="A87" s="3" t="n">
        <v>34</v>
      </c>
      <c r="B87" s="41" t="s">
        <v>79</v>
      </c>
      <c r="C87" s="3" t="n">
        <v>0.1665</v>
      </c>
      <c r="D87" s="3" t="s">
        <v>68</v>
      </c>
      <c r="F87" s="55"/>
      <c r="G87" s="56" t="s">
        <v>67</v>
      </c>
      <c r="H87" s="32" t="n">
        <v>0.1555</v>
      </c>
      <c r="I87" s="32" t="n">
        <v>0.1574</v>
      </c>
      <c r="J87" s="32" t="n">
        <v>0.1581</v>
      </c>
      <c r="K87" s="32" t="n">
        <v>0.1527</v>
      </c>
      <c r="L87" s="34" t="n">
        <v>0.6237</v>
      </c>
    </row>
    <row r="88" customFormat="false" ht="12.8" hidden="false" customHeight="false" outlineLevel="0" collapsed="false">
      <c r="A88" s="3" t="n">
        <v>34</v>
      </c>
      <c r="B88" s="41" t="s">
        <v>81</v>
      </c>
      <c r="C88" s="3" t="n">
        <v>0.1606</v>
      </c>
      <c r="D88" s="3" t="s">
        <v>68</v>
      </c>
      <c r="F88" s="21" t="n">
        <v>20</v>
      </c>
      <c r="G88" s="53" t="s">
        <v>79</v>
      </c>
      <c r="H88" s="22" t="n">
        <v>0.1811</v>
      </c>
      <c r="I88" s="23" t="n">
        <v>0.2339</v>
      </c>
      <c r="J88" s="23" t="n">
        <v>0.2032</v>
      </c>
      <c r="K88" s="24" t="n">
        <v>0.1911</v>
      </c>
      <c r="L88" s="25" t="n">
        <v>0.8093</v>
      </c>
    </row>
    <row r="89" customFormat="false" ht="12.8" hidden="false" customHeight="false" outlineLevel="0" collapsed="false">
      <c r="A89" s="3" t="n">
        <v>34</v>
      </c>
      <c r="B89" s="41" t="s">
        <v>67</v>
      </c>
      <c r="C89" s="3" t="n">
        <v>0.1</v>
      </c>
      <c r="D89" s="3" t="s">
        <v>68</v>
      </c>
      <c r="F89" s="26"/>
      <c r="G89" s="54" t="s">
        <v>77</v>
      </c>
      <c r="H89" s="27" t="n">
        <v>0.1739</v>
      </c>
      <c r="I89" s="28" t="n">
        <v>0.2125</v>
      </c>
      <c r="J89" s="28" t="n">
        <v>0.1624</v>
      </c>
      <c r="K89" s="29"/>
      <c r="L89" s="30" t="n">
        <v>0.5488</v>
      </c>
    </row>
    <row r="90" customFormat="false" ht="12.8" hidden="false" customHeight="false" outlineLevel="0" collapsed="false">
      <c r="A90" s="3" t="n">
        <v>36</v>
      </c>
      <c r="B90" s="41" t="s">
        <v>74</v>
      </c>
      <c r="C90" s="3" t="n">
        <v>0.198</v>
      </c>
      <c r="D90" s="3" t="s">
        <v>68</v>
      </c>
      <c r="F90" s="26"/>
      <c r="G90" s="54" t="s">
        <v>81</v>
      </c>
      <c r="H90" s="27"/>
      <c r="I90" s="28"/>
      <c r="J90" s="28" t="n">
        <v>0.1612</v>
      </c>
      <c r="K90" s="29" t="n">
        <v>0.1663</v>
      </c>
      <c r="L90" s="30" t="n">
        <v>0.3275</v>
      </c>
    </row>
    <row r="91" customFormat="false" ht="12.8" hidden="false" customHeight="false" outlineLevel="0" collapsed="false">
      <c r="A91" s="3" t="n">
        <v>36</v>
      </c>
      <c r="B91" s="41" t="s">
        <v>75</v>
      </c>
      <c r="C91" s="3" t="n">
        <v>0.1912</v>
      </c>
      <c r="D91" s="3" t="s">
        <v>68</v>
      </c>
      <c r="F91" s="26"/>
      <c r="G91" s="54" t="s">
        <v>74</v>
      </c>
      <c r="H91" s="27" t="n">
        <v>0.1925</v>
      </c>
      <c r="I91" s="28" t="n">
        <v>0.2524</v>
      </c>
      <c r="J91" s="28" t="n">
        <v>0.2038</v>
      </c>
      <c r="K91" s="29" t="n">
        <v>0.1823</v>
      </c>
      <c r="L91" s="30" t="n">
        <v>0.831</v>
      </c>
    </row>
    <row r="92" customFormat="false" ht="12.8" hidden="false" customHeight="false" outlineLevel="0" collapsed="false">
      <c r="A92" s="3" t="n">
        <v>36</v>
      </c>
      <c r="B92" s="41" t="s">
        <v>76</v>
      </c>
      <c r="C92" s="3" t="n">
        <v>0.1724</v>
      </c>
      <c r="D92" s="3" t="s">
        <v>68</v>
      </c>
      <c r="F92" s="26"/>
      <c r="G92" s="54" t="s">
        <v>76</v>
      </c>
      <c r="H92" s="27" t="n">
        <v>0.1921</v>
      </c>
      <c r="I92" s="28" t="n">
        <v>0.2012</v>
      </c>
      <c r="J92" s="28" t="n">
        <v>0.1694</v>
      </c>
      <c r="K92" s="29" t="n">
        <v>0.179</v>
      </c>
      <c r="L92" s="30" t="n">
        <v>0.7417</v>
      </c>
    </row>
    <row r="93" customFormat="false" ht="12.8" hidden="false" customHeight="false" outlineLevel="0" collapsed="false">
      <c r="A93" s="3" t="n">
        <v>36</v>
      </c>
      <c r="B93" s="41" t="s">
        <v>70</v>
      </c>
      <c r="C93" s="3" t="n">
        <v>0.1692</v>
      </c>
      <c r="D93" s="3" t="s">
        <v>68</v>
      </c>
      <c r="F93" s="26"/>
      <c r="G93" s="54" t="s">
        <v>75</v>
      </c>
      <c r="H93" s="27" t="n">
        <v>0.1605</v>
      </c>
      <c r="I93" s="28"/>
      <c r="J93" s="28"/>
      <c r="K93" s="29" t="n">
        <v>0.1813</v>
      </c>
      <c r="L93" s="30" t="n">
        <v>0.3418</v>
      </c>
    </row>
    <row r="94" customFormat="false" ht="12.8" hidden="false" customHeight="false" outlineLevel="0" collapsed="false">
      <c r="A94" s="3" t="n">
        <v>36</v>
      </c>
      <c r="B94" s="41" t="s">
        <v>83</v>
      </c>
      <c r="C94" s="3" t="n">
        <v>0.1692</v>
      </c>
      <c r="D94" s="3" t="s">
        <v>68</v>
      </c>
      <c r="F94" s="55"/>
      <c r="G94" s="56" t="s">
        <v>67</v>
      </c>
      <c r="H94" s="31" t="n">
        <v>0.1</v>
      </c>
      <c r="I94" s="32" t="n">
        <v>0.1</v>
      </c>
      <c r="J94" s="32" t="n">
        <v>0.1</v>
      </c>
      <c r="K94" s="33" t="n">
        <v>0.1</v>
      </c>
      <c r="L94" s="34" t="n">
        <v>0.4</v>
      </c>
    </row>
    <row r="95" customFormat="false" ht="12.8" hidden="false" customHeight="false" outlineLevel="0" collapsed="false">
      <c r="A95" s="3" t="n">
        <v>36</v>
      </c>
      <c r="B95" s="41" t="s">
        <v>67</v>
      </c>
      <c r="C95" s="3" t="n">
        <v>0.1</v>
      </c>
      <c r="D95" s="3" t="s">
        <v>68</v>
      </c>
      <c r="F95" s="21" t="n">
        <v>22</v>
      </c>
      <c r="G95" s="53" t="s">
        <v>79</v>
      </c>
      <c r="H95" s="23" t="n">
        <v>0.1967</v>
      </c>
      <c r="I95" s="23" t="n">
        <v>0.2462</v>
      </c>
      <c r="J95" s="23" t="n">
        <v>0.1977</v>
      </c>
      <c r="K95" s="23" t="n">
        <v>0.1833</v>
      </c>
      <c r="L95" s="25" t="n">
        <v>0.8239</v>
      </c>
    </row>
    <row r="96" customFormat="false" ht="12.8" hidden="false" customHeight="false" outlineLevel="0" collapsed="false">
      <c r="A96" s="3" t="n">
        <v>38</v>
      </c>
      <c r="B96" s="41" t="s">
        <v>75</v>
      </c>
      <c r="C96" s="3" t="n">
        <v>0.3519</v>
      </c>
      <c r="D96" s="3" t="s">
        <v>68</v>
      </c>
      <c r="F96" s="26"/>
      <c r="G96" s="54" t="s">
        <v>77</v>
      </c>
      <c r="H96" s="28" t="n">
        <v>0.1556</v>
      </c>
      <c r="I96" s="28"/>
      <c r="J96" s="28" t="n">
        <v>0.1587</v>
      </c>
      <c r="K96" s="28" t="n">
        <v>0.1681</v>
      </c>
      <c r="L96" s="30" t="n">
        <v>0.4824</v>
      </c>
    </row>
    <row r="97" customFormat="false" ht="12.8" hidden="false" customHeight="false" outlineLevel="0" collapsed="false">
      <c r="A97" s="3" t="n">
        <v>38</v>
      </c>
      <c r="B97" s="41" t="s">
        <v>74</v>
      </c>
      <c r="C97" s="3" t="n">
        <v>0.331</v>
      </c>
      <c r="D97" s="3" t="s">
        <v>68</v>
      </c>
      <c r="F97" s="26"/>
      <c r="G97" s="54" t="s">
        <v>82</v>
      </c>
      <c r="H97" s="28" t="n">
        <v>0.154</v>
      </c>
      <c r="I97" s="28"/>
      <c r="J97" s="28"/>
      <c r="K97" s="28"/>
      <c r="L97" s="30" t="n">
        <v>0.154</v>
      </c>
    </row>
    <row r="98" customFormat="false" ht="12.8" hidden="false" customHeight="false" outlineLevel="0" collapsed="false">
      <c r="A98" s="3" t="n">
        <v>38</v>
      </c>
      <c r="B98" s="41" t="s">
        <v>67</v>
      </c>
      <c r="C98" s="3" t="n">
        <v>0.3171</v>
      </c>
      <c r="D98" s="3" t="s">
        <v>68</v>
      </c>
      <c r="F98" s="26"/>
      <c r="G98" s="54" t="s">
        <v>78</v>
      </c>
      <c r="H98" s="28"/>
      <c r="I98" s="28"/>
      <c r="J98" s="28" t="n">
        <v>0.1533</v>
      </c>
      <c r="K98" s="28"/>
      <c r="L98" s="30" t="n">
        <v>0.1533</v>
      </c>
    </row>
    <row r="99" customFormat="false" ht="12.8" hidden="false" customHeight="false" outlineLevel="0" collapsed="false">
      <c r="A99" s="3" t="n">
        <v>40</v>
      </c>
      <c r="B99" s="41" t="s">
        <v>74</v>
      </c>
      <c r="C99" s="3" t="n">
        <v>0.4576</v>
      </c>
      <c r="D99" s="3" t="s">
        <v>68</v>
      </c>
      <c r="F99" s="26"/>
      <c r="G99" s="54" t="s">
        <v>81</v>
      </c>
      <c r="H99" s="28"/>
      <c r="I99" s="28" t="n">
        <v>0.1835</v>
      </c>
      <c r="J99" s="28"/>
      <c r="K99" s="28" t="n">
        <v>0.1548</v>
      </c>
      <c r="L99" s="30" t="n">
        <v>0.3383</v>
      </c>
    </row>
    <row r="100" customFormat="false" ht="12.8" hidden="false" customHeight="false" outlineLevel="0" collapsed="false">
      <c r="A100" s="3" t="n">
        <v>40</v>
      </c>
      <c r="B100" s="41" t="s">
        <v>75</v>
      </c>
      <c r="C100" s="3" t="n">
        <v>0.4424</v>
      </c>
      <c r="D100" s="3" t="s">
        <v>68</v>
      </c>
      <c r="F100" s="26"/>
      <c r="G100" s="54" t="s">
        <v>74</v>
      </c>
      <c r="H100" s="28" t="n">
        <v>0.1567</v>
      </c>
      <c r="I100" s="28" t="n">
        <v>0.1855</v>
      </c>
      <c r="J100" s="28" t="n">
        <v>0.1605</v>
      </c>
      <c r="K100" s="28" t="n">
        <v>0.1577</v>
      </c>
      <c r="L100" s="30" t="n">
        <v>0.6604</v>
      </c>
    </row>
    <row r="101" customFormat="false" ht="12.8" hidden="false" customHeight="false" outlineLevel="0" collapsed="false">
      <c r="A101" s="3" t="n">
        <v>40</v>
      </c>
      <c r="B101" s="41" t="s">
        <v>67</v>
      </c>
      <c r="C101" s="3" t="n">
        <v>0.1</v>
      </c>
      <c r="D101" s="3" t="s">
        <v>68</v>
      </c>
      <c r="F101" s="26"/>
      <c r="G101" s="54" t="s">
        <v>76</v>
      </c>
      <c r="H101" s="28" t="n">
        <v>0.1713</v>
      </c>
      <c r="I101" s="28" t="n">
        <v>0.1922</v>
      </c>
      <c r="J101" s="28" t="n">
        <v>0.1537</v>
      </c>
      <c r="K101" s="28"/>
      <c r="L101" s="30" t="n">
        <v>0.5172</v>
      </c>
    </row>
    <row r="102" customFormat="false" ht="12.8" hidden="false" customHeight="false" outlineLevel="0" collapsed="false">
      <c r="A102" s="3" t="n">
        <v>42</v>
      </c>
      <c r="B102" s="41" t="s">
        <v>74</v>
      </c>
      <c r="C102" s="3" t="n">
        <v>0.1897</v>
      </c>
      <c r="D102" s="3" t="s">
        <v>68</v>
      </c>
      <c r="F102" s="26"/>
      <c r="G102" s="54" t="s">
        <v>75</v>
      </c>
      <c r="H102" s="28"/>
      <c r="I102" s="28"/>
      <c r="J102" s="28"/>
      <c r="K102" s="28" t="n">
        <v>0.165</v>
      </c>
      <c r="L102" s="30" t="n">
        <v>0.165</v>
      </c>
    </row>
    <row r="103" customFormat="false" ht="12.8" hidden="false" customHeight="false" outlineLevel="0" collapsed="false">
      <c r="A103" s="3" t="n">
        <v>42</v>
      </c>
      <c r="B103" s="41" t="s">
        <v>76</v>
      </c>
      <c r="C103" s="3" t="n">
        <v>0.1707</v>
      </c>
      <c r="D103" s="3" t="s">
        <v>68</v>
      </c>
      <c r="F103" s="55"/>
      <c r="G103" s="56" t="s">
        <v>67</v>
      </c>
      <c r="H103" s="32" t="n">
        <v>0.1657</v>
      </c>
      <c r="I103" s="32" t="n">
        <v>0.1925</v>
      </c>
      <c r="J103" s="32" t="n">
        <v>0.1762</v>
      </c>
      <c r="K103" s="32" t="n">
        <v>0.1712</v>
      </c>
      <c r="L103" s="34" t="n">
        <v>0.7056</v>
      </c>
    </row>
    <row r="104" customFormat="false" ht="12.8" hidden="false" customHeight="false" outlineLevel="0" collapsed="false">
      <c r="A104" s="3" t="n">
        <v>42</v>
      </c>
      <c r="B104" s="41" t="s">
        <v>79</v>
      </c>
      <c r="C104" s="3" t="n">
        <v>0.162</v>
      </c>
      <c r="D104" s="3" t="s">
        <v>68</v>
      </c>
      <c r="F104" s="21" t="n">
        <v>24</v>
      </c>
      <c r="G104" s="53" t="s">
        <v>79</v>
      </c>
      <c r="H104" s="22" t="n">
        <v>0.1952</v>
      </c>
      <c r="I104" s="23" t="n">
        <v>0.2022</v>
      </c>
      <c r="J104" s="23" t="n">
        <v>0.2079</v>
      </c>
      <c r="K104" s="24" t="n">
        <v>0.1613</v>
      </c>
      <c r="L104" s="25" t="n">
        <v>0.7666</v>
      </c>
    </row>
    <row r="105" customFormat="false" ht="12.8" hidden="false" customHeight="false" outlineLevel="0" collapsed="false">
      <c r="A105" s="3" t="n">
        <v>42</v>
      </c>
      <c r="B105" s="41" t="s">
        <v>75</v>
      </c>
      <c r="C105" s="3" t="n">
        <v>0.1619</v>
      </c>
      <c r="D105" s="3" t="s">
        <v>68</v>
      </c>
      <c r="F105" s="26"/>
      <c r="G105" s="54" t="s">
        <v>70</v>
      </c>
      <c r="H105" s="27" t="n">
        <v>0.1717</v>
      </c>
      <c r="I105" s="28" t="n">
        <v>0.172</v>
      </c>
      <c r="J105" s="28" t="n">
        <v>0.1484</v>
      </c>
      <c r="K105" s="29"/>
      <c r="L105" s="30" t="n">
        <v>0.4921</v>
      </c>
    </row>
    <row r="106" customFormat="false" ht="12.8" hidden="false" customHeight="false" outlineLevel="0" collapsed="false">
      <c r="A106" s="3" t="n">
        <v>42</v>
      </c>
      <c r="B106" s="41" t="s">
        <v>70</v>
      </c>
      <c r="C106" s="3" t="n">
        <v>0.1586</v>
      </c>
      <c r="D106" s="3" t="s">
        <v>68</v>
      </c>
      <c r="F106" s="26"/>
      <c r="G106" s="54" t="s">
        <v>77</v>
      </c>
      <c r="H106" s="27" t="n">
        <v>0.1742</v>
      </c>
      <c r="I106" s="28"/>
      <c r="J106" s="28"/>
      <c r="K106" s="29" t="n">
        <v>0.1642</v>
      </c>
      <c r="L106" s="30" t="n">
        <v>0.3384</v>
      </c>
    </row>
    <row r="107" customFormat="false" ht="12.8" hidden="false" customHeight="false" outlineLevel="0" collapsed="false">
      <c r="A107" s="3" t="n">
        <v>42</v>
      </c>
      <c r="B107" s="41" t="s">
        <v>67</v>
      </c>
      <c r="C107" s="3" t="n">
        <v>0.1571</v>
      </c>
      <c r="D107" s="3" t="s">
        <v>68</v>
      </c>
      <c r="F107" s="26"/>
      <c r="G107" s="54" t="s">
        <v>82</v>
      </c>
      <c r="H107" s="27"/>
      <c r="I107" s="28" t="n">
        <v>0.1642</v>
      </c>
      <c r="J107" s="28" t="n">
        <v>0.1532</v>
      </c>
      <c r="K107" s="29" t="n">
        <v>0.1957</v>
      </c>
      <c r="L107" s="30" t="n">
        <v>0.5131</v>
      </c>
    </row>
    <row r="108" customFormat="false" ht="12.8" hidden="false" customHeight="false" outlineLevel="0" collapsed="false">
      <c r="A108" s="3" t="n">
        <v>44</v>
      </c>
      <c r="B108" s="41" t="s">
        <v>74</v>
      </c>
      <c r="C108" s="3" t="n">
        <v>0.213</v>
      </c>
      <c r="D108" s="3" t="s">
        <v>68</v>
      </c>
      <c r="F108" s="26"/>
      <c r="G108" s="54" t="s">
        <v>74</v>
      </c>
      <c r="H108" s="27" t="n">
        <v>0.1673</v>
      </c>
      <c r="I108" s="28" t="n">
        <v>0.1755</v>
      </c>
      <c r="J108" s="28" t="n">
        <v>0.1611</v>
      </c>
      <c r="K108" s="29"/>
      <c r="L108" s="30" t="n">
        <v>0.5039</v>
      </c>
    </row>
    <row r="109" customFormat="false" ht="12.8" hidden="false" customHeight="false" outlineLevel="0" collapsed="false">
      <c r="A109" s="3" t="n">
        <v>44</v>
      </c>
      <c r="B109" s="41" t="s">
        <v>76</v>
      </c>
      <c r="C109" s="3" t="n">
        <v>0.1872</v>
      </c>
      <c r="D109" s="3" t="s">
        <v>68</v>
      </c>
      <c r="F109" s="26"/>
      <c r="G109" s="54" t="s">
        <v>76</v>
      </c>
      <c r="H109" s="27" t="n">
        <v>0.1916</v>
      </c>
      <c r="I109" s="28" t="n">
        <v>0.1861</v>
      </c>
      <c r="J109" s="28" t="n">
        <v>0.1714</v>
      </c>
      <c r="K109" s="29" t="n">
        <v>0.1536</v>
      </c>
      <c r="L109" s="30" t="n">
        <v>0.7027</v>
      </c>
    </row>
    <row r="110" customFormat="false" ht="12.8" hidden="false" customHeight="false" outlineLevel="0" collapsed="false">
      <c r="A110" s="3" t="n">
        <v>44</v>
      </c>
      <c r="B110" s="41" t="s">
        <v>70</v>
      </c>
      <c r="C110" s="3" t="n">
        <v>0.1681</v>
      </c>
      <c r="D110" s="3" t="s">
        <v>68</v>
      </c>
      <c r="F110" s="26"/>
      <c r="G110" s="54" t="s">
        <v>75</v>
      </c>
      <c r="H110" s="27"/>
      <c r="I110" s="28"/>
      <c r="J110" s="28"/>
      <c r="K110" s="29" t="n">
        <v>0.1625</v>
      </c>
      <c r="L110" s="30" t="n">
        <v>0.1625</v>
      </c>
    </row>
    <row r="111" customFormat="false" ht="12.8" hidden="false" customHeight="false" outlineLevel="0" collapsed="false">
      <c r="A111" s="3" t="n">
        <v>44</v>
      </c>
      <c r="B111" s="41" t="s">
        <v>77</v>
      </c>
      <c r="C111" s="3" t="n">
        <v>0.1668</v>
      </c>
      <c r="D111" s="3" t="s">
        <v>68</v>
      </c>
      <c r="F111" s="55"/>
      <c r="G111" s="56" t="s">
        <v>67</v>
      </c>
      <c r="H111" s="31" t="n">
        <v>0.1</v>
      </c>
      <c r="I111" s="32" t="n">
        <v>0.1</v>
      </c>
      <c r="J111" s="32" t="n">
        <v>0.158</v>
      </c>
      <c r="K111" s="33" t="n">
        <v>0.1628</v>
      </c>
      <c r="L111" s="34" t="n">
        <v>0.5208</v>
      </c>
    </row>
    <row r="112" customFormat="false" ht="12.8" hidden="false" customHeight="false" outlineLevel="0" collapsed="false">
      <c r="A112" s="3" t="n">
        <v>44</v>
      </c>
      <c r="B112" s="41" t="s">
        <v>81</v>
      </c>
      <c r="C112" s="3" t="n">
        <v>0.1649</v>
      </c>
      <c r="D112" s="3" t="s">
        <v>68</v>
      </c>
      <c r="F112" s="21" t="n">
        <v>26</v>
      </c>
      <c r="G112" s="53" t="s">
        <v>79</v>
      </c>
      <c r="H112" s="23"/>
      <c r="I112" s="23"/>
      <c r="J112" s="23" t="n">
        <v>0.1877</v>
      </c>
      <c r="K112" s="23"/>
      <c r="L112" s="25" t="n">
        <v>0.1877</v>
      </c>
    </row>
    <row r="113" customFormat="false" ht="12.8" hidden="false" customHeight="false" outlineLevel="0" collapsed="false">
      <c r="A113" s="3" t="n">
        <v>44</v>
      </c>
      <c r="B113" s="41" t="s">
        <v>67</v>
      </c>
      <c r="C113" s="3" t="n">
        <v>0.1</v>
      </c>
      <c r="D113" s="3" t="s">
        <v>68</v>
      </c>
      <c r="F113" s="26"/>
      <c r="G113" s="54" t="s">
        <v>70</v>
      </c>
      <c r="H113" s="28" t="n">
        <v>0.1733</v>
      </c>
      <c r="I113" s="28" t="n">
        <v>0.2107</v>
      </c>
      <c r="J113" s="28"/>
      <c r="K113" s="28"/>
      <c r="L113" s="30" t="n">
        <v>0.384</v>
      </c>
    </row>
    <row r="114" customFormat="false" ht="12.8" hidden="false" customHeight="false" outlineLevel="0" collapsed="false">
      <c r="A114" s="3" t="n">
        <v>46</v>
      </c>
      <c r="B114" s="41" t="s">
        <v>74</v>
      </c>
      <c r="C114" s="3" t="n">
        <v>0.2094</v>
      </c>
      <c r="D114" s="3" t="s">
        <v>68</v>
      </c>
      <c r="F114" s="26"/>
      <c r="G114" s="54" t="s">
        <v>77</v>
      </c>
      <c r="H114" s="28" t="n">
        <v>0.1645</v>
      </c>
      <c r="I114" s="28"/>
      <c r="J114" s="28" t="n">
        <v>0.1666</v>
      </c>
      <c r="K114" s="28" t="n">
        <v>0.1684</v>
      </c>
      <c r="L114" s="30" t="n">
        <v>0.4995</v>
      </c>
    </row>
    <row r="115" customFormat="false" ht="12.8" hidden="false" customHeight="false" outlineLevel="0" collapsed="false">
      <c r="A115" s="3" t="n">
        <v>46</v>
      </c>
      <c r="B115" s="41" t="s">
        <v>76</v>
      </c>
      <c r="C115" s="3" t="n">
        <v>0.1914</v>
      </c>
      <c r="D115" s="3" t="s">
        <v>68</v>
      </c>
      <c r="F115" s="26"/>
      <c r="G115" s="54" t="s">
        <v>82</v>
      </c>
      <c r="H115" s="28"/>
      <c r="I115" s="28"/>
      <c r="J115" s="28"/>
      <c r="K115" s="28" t="n">
        <v>0.1676</v>
      </c>
      <c r="L115" s="30" t="n">
        <v>0.1676</v>
      </c>
    </row>
    <row r="116" customFormat="false" ht="12.8" hidden="false" customHeight="false" outlineLevel="0" collapsed="false">
      <c r="A116" s="3" t="n">
        <v>46</v>
      </c>
      <c r="B116" s="41" t="s">
        <v>75</v>
      </c>
      <c r="C116" s="3" t="n">
        <v>0.1764</v>
      </c>
      <c r="D116" s="3" t="s">
        <v>68</v>
      </c>
      <c r="F116" s="26"/>
      <c r="G116" s="54" t="s">
        <v>81</v>
      </c>
      <c r="H116" s="28"/>
      <c r="I116" s="28" t="n">
        <v>0.2036</v>
      </c>
      <c r="J116" s="28" t="n">
        <v>0.1705</v>
      </c>
      <c r="K116" s="28"/>
      <c r="L116" s="30" t="n">
        <v>0.3741</v>
      </c>
    </row>
    <row r="117" customFormat="false" ht="12.8" hidden="false" customHeight="false" outlineLevel="0" collapsed="false">
      <c r="A117" s="3" t="n">
        <v>46</v>
      </c>
      <c r="B117" s="41" t="s">
        <v>79</v>
      </c>
      <c r="C117" s="3" t="n">
        <v>0.1702</v>
      </c>
      <c r="D117" s="3" t="s">
        <v>68</v>
      </c>
      <c r="F117" s="26"/>
      <c r="G117" s="54" t="s">
        <v>74</v>
      </c>
      <c r="H117" s="28" t="n">
        <v>0.1989</v>
      </c>
      <c r="I117" s="28" t="n">
        <v>0.2563</v>
      </c>
      <c r="J117" s="28" t="n">
        <v>0.2031</v>
      </c>
      <c r="K117" s="28" t="n">
        <v>0.1972</v>
      </c>
      <c r="L117" s="30" t="n">
        <v>0.8555</v>
      </c>
    </row>
    <row r="118" customFormat="false" ht="12.8" hidden="false" customHeight="false" outlineLevel="0" collapsed="false">
      <c r="A118" s="3" t="n">
        <v>46</v>
      </c>
      <c r="B118" s="41" t="s">
        <v>77</v>
      </c>
      <c r="C118" s="3" t="n">
        <v>0.1526</v>
      </c>
      <c r="D118" s="3" t="s">
        <v>68</v>
      </c>
      <c r="F118" s="26"/>
      <c r="G118" s="54" t="s">
        <v>76</v>
      </c>
      <c r="H118" s="28" t="n">
        <v>0.1875</v>
      </c>
      <c r="I118" s="28"/>
      <c r="J118" s="28" t="n">
        <v>0.1722</v>
      </c>
      <c r="K118" s="28" t="n">
        <v>0.1689</v>
      </c>
      <c r="L118" s="30" t="n">
        <v>0.5286</v>
      </c>
    </row>
    <row r="119" customFormat="false" ht="12.8" hidden="false" customHeight="false" outlineLevel="0" collapsed="false">
      <c r="A119" s="3" t="n">
        <v>46</v>
      </c>
      <c r="B119" s="41" t="s">
        <v>67</v>
      </c>
      <c r="C119" s="3" t="n">
        <v>0.1</v>
      </c>
      <c r="D119" s="3" t="s">
        <v>68</v>
      </c>
      <c r="F119" s="26"/>
      <c r="G119" s="54" t="s">
        <v>75</v>
      </c>
      <c r="H119" s="28" t="n">
        <v>0.1758</v>
      </c>
      <c r="I119" s="28" t="n">
        <v>0.2294</v>
      </c>
      <c r="J119" s="28"/>
      <c r="K119" s="28" t="n">
        <v>0.1979</v>
      </c>
      <c r="L119" s="30" t="n">
        <v>0.6031</v>
      </c>
    </row>
    <row r="120" customFormat="false" ht="12.8" hidden="false" customHeight="false" outlineLevel="0" collapsed="false">
      <c r="A120" s="3" t="n">
        <v>48</v>
      </c>
      <c r="B120" s="41" t="s">
        <v>74</v>
      </c>
      <c r="C120" s="3" t="n">
        <v>0.1947</v>
      </c>
      <c r="D120" s="3" t="s">
        <v>68</v>
      </c>
      <c r="F120" s="55"/>
      <c r="G120" s="56" t="s">
        <v>67</v>
      </c>
      <c r="H120" s="32" t="n">
        <v>0.1</v>
      </c>
      <c r="I120" s="32" t="n">
        <v>0.1</v>
      </c>
      <c r="J120" s="32" t="n">
        <v>0.1</v>
      </c>
      <c r="K120" s="32" t="n">
        <v>0.1</v>
      </c>
      <c r="L120" s="34" t="n">
        <v>0.4</v>
      </c>
    </row>
    <row r="121" customFormat="false" ht="12.8" hidden="false" customHeight="false" outlineLevel="0" collapsed="false">
      <c r="A121" s="3" t="n">
        <v>48</v>
      </c>
      <c r="B121" s="41" t="s">
        <v>76</v>
      </c>
      <c r="C121" s="3" t="n">
        <v>0.1924</v>
      </c>
      <c r="D121" s="3" t="s">
        <v>68</v>
      </c>
      <c r="F121" s="21" t="n">
        <v>28</v>
      </c>
      <c r="G121" s="53" t="s">
        <v>79</v>
      </c>
      <c r="H121" s="22" t="n">
        <v>0.1567</v>
      </c>
      <c r="I121" s="23"/>
      <c r="J121" s="23"/>
      <c r="K121" s="24"/>
      <c r="L121" s="25" t="n">
        <v>0.1567</v>
      </c>
    </row>
    <row r="122" customFormat="false" ht="12.8" hidden="false" customHeight="false" outlineLevel="0" collapsed="false">
      <c r="A122" s="3" t="n">
        <v>48</v>
      </c>
      <c r="B122" s="41" t="s">
        <v>77</v>
      </c>
      <c r="C122" s="3" t="n">
        <v>0.1745</v>
      </c>
      <c r="D122" s="3" t="s">
        <v>68</v>
      </c>
      <c r="F122" s="26"/>
      <c r="G122" s="54" t="s">
        <v>77</v>
      </c>
      <c r="H122" s="27" t="n">
        <v>0.1651</v>
      </c>
      <c r="I122" s="28" t="n">
        <v>0.1699</v>
      </c>
      <c r="J122" s="28" t="n">
        <v>0.1731</v>
      </c>
      <c r="K122" s="29" t="n">
        <v>0.1642</v>
      </c>
      <c r="L122" s="30" t="n">
        <v>0.6723</v>
      </c>
    </row>
    <row r="123" customFormat="false" ht="12.8" hidden="false" customHeight="false" outlineLevel="0" collapsed="false">
      <c r="A123" s="3" t="n">
        <v>48</v>
      </c>
      <c r="B123" s="41" t="s">
        <v>75</v>
      </c>
      <c r="C123" s="3" t="n">
        <v>0.1728</v>
      </c>
      <c r="D123" s="3" t="s">
        <v>68</v>
      </c>
      <c r="F123" s="26"/>
      <c r="G123" s="54" t="s">
        <v>81</v>
      </c>
      <c r="H123" s="27"/>
      <c r="I123" s="28" t="n">
        <v>0.1667</v>
      </c>
      <c r="J123" s="28" t="n">
        <v>0.1771</v>
      </c>
      <c r="K123" s="29" t="n">
        <v>0.1824</v>
      </c>
      <c r="L123" s="30" t="n">
        <v>0.5262</v>
      </c>
    </row>
    <row r="124" customFormat="false" ht="12.8" hidden="false" customHeight="false" outlineLevel="0" collapsed="false">
      <c r="A124" s="3" t="n">
        <v>48</v>
      </c>
      <c r="B124" s="41" t="s">
        <v>79</v>
      </c>
      <c r="C124" s="3" t="n">
        <v>0.1657</v>
      </c>
      <c r="D124" s="3" t="s">
        <v>68</v>
      </c>
      <c r="F124" s="26"/>
      <c r="G124" s="54" t="s">
        <v>74</v>
      </c>
      <c r="H124" s="27" t="n">
        <v>0.2115</v>
      </c>
      <c r="I124" s="28" t="n">
        <v>0.233</v>
      </c>
      <c r="J124" s="28" t="n">
        <v>0.2274</v>
      </c>
      <c r="K124" s="29" t="n">
        <v>0.1939</v>
      </c>
      <c r="L124" s="30" t="n">
        <v>0.8658</v>
      </c>
    </row>
    <row r="125" customFormat="false" ht="12.8" hidden="false" customHeight="false" outlineLevel="0" collapsed="false">
      <c r="A125" s="3" t="n">
        <v>48</v>
      </c>
      <c r="B125" s="41" t="s">
        <v>67</v>
      </c>
      <c r="C125" s="3" t="n">
        <v>0.1</v>
      </c>
      <c r="D125" s="3" t="s">
        <v>68</v>
      </c>
      <c r="F125" s="26"/>
      <c r="G125" s="54" t="s">
        <v>76</v>
      </c>
      <c r="H125" s="27" t="n">
        <v>0.1813</v>
      </c>
      <c r="I125" s="28" t="n">
        <v>0.1615</v>
      </c>
      <c r="J125" s="28" t="n">
        <v>0.1631</v>
      </c>
      <c r="K125" s="29" t="n">
        <v>0.1737</v>
      </c>
      <c r="L125" s="30" t="n">
        <v>0.6796</v>
      </c>
    </row>
    <row r="126" customFormat="false" ht="12.8" hidden="false" customHeight="false" outlineLevel="0" collapsed="false">
      <c r="A126" s="1" t="n">
        <v>0</v>
      </c>
      <c r="B126" s="9" t="s">
        <v>67</v>
      </c>
      <c r="C126" s="1" t="n">
        <v>0.1</v>
      </c>
      <c r="D126" s="1" t="s">
        <v>71</v>
      </c>
      <c r="F126" s="26"/>
      <c r="G126" s="54" t="s">
        <v>75</v>
      </c>
      <c r="H126" s="27" t="n">
        <v>0.1854</v>
      </c>
      <c r="I126" s="28" t="n">
        <v>0.1689</v>
      </c>
      <c r="J126" s="28" t="n">
        <v>0.1592</v>
      </c>
      <c r="K126" s="29" t="n">
        <v>0.1858</v>
      </c>
      <c r="L126" s="30" t="n">
        <v>0.6993</v>
      </c>
    </row>
    <row r="127" customFormat="false" ht="12.8" hidden="false" customHeight="false" outlineLevel="0" collapsed="false">
      <c r="A127" s="1" t="n">
        <v>2</v>
      </c>
      <c r="B127" s="9" t="s">
        <v>67</v>
      </c>
      <c r="C127" s="1" t="n">
        <v>0.1</v>
      </c>
      <c r="D127" s="1" t="s">
        <v>71</v>
      </c>
      <c r="F127" s="55"/>
      <c r="G127" s="56" t="s">
        <v>67</v>
      </c>
      <c r="H127" s="31" t="n">
        <v>0.1</v>
      </c>
      <c r="I127" s="32" t="n">
        <v>0.1</v>
      </c>
      <c r="J127" s="32" t="n">
        <v>0.1</v>
      </c>
      <c r="K127" s="33" t="n">
        <v>0.1</v>
      </c>
      <c r="L127" s="34" t="n">
        <v>0.4</v>
      </c>
    </row>
    <row r="128" customFormat="false" ht="12.8" hidden="false" customHeight="false" outlineLevel="0" collapsed="false">
      <c r="A128" s="1" t="n">
        <v>4</v>
      </c>
      <c r="B128" s="9" t="s">
        <v>74</v>
      </c>
      <c r="C128" s="1" t="n">
        <v>0.197</v>
      </c>
      <c r="D128" s="1" t="s">
        <v>71</v>
      </c>
      <c r="F128" s="21" t="n">
        <v>30</v>
      </c>
      <c r="G128" s="53" t="s">
        <v>79</v>
      </c>
      <c r="H128" s="23"/>
      <c r="I128" s="23" t="n">
        <v>0.1667</v>
      </c>
      <c r="J128" s="23" t="n">
        <v>0.1778</v>
      </c>
      <c r="K128" s="23"/>
      <c r="L128" s="25" t="n">
        <v>0.3445</v>
      </c>
    </row>
    <row r="129" customFormat="false" ht="12.8" hidden="false" customHeight="false" outlineLevel="0" collapsed="false">
      <c r="A129" s="1" t="n">
        <v>4</v>
      </c>
      <c r="B129" s="9" t="s">
        <v>78</v>
      </c>
      <c r="C129" s="1" t="n">
        <v>0.1785</v>
      </c>
      <c r="D129" s="1" t="s">
        <v>71</v>
      </c>
      <c r="F129" s="26"/>
      <c r="G129" s="54" t="s">
        <v>77</v>
      </c>
      <c r="H129" s="28" t="n">
        <v>0.1655</v>
      </c>
      <c r="I129" s="28" t="n">
        <v>0.1832</v>
      </c>
      <c r="J129" s="28" t="n">
        <v>0.1791</v>
      </c>
      <c r="K129" s="28" t="n">
        <v>0.174</v>
      </c>
      <c r="L129" s="30" t="n">
        <v>0.7018</v>
      </c>
    </row>
    <row r="130" customFormat="false" ht="12.8" hidden="false" customHeight="false" outlineLevel="0" collapsed="false">
      <c r="A130" s="1" t="n">
        <v>4</v>
      </c>
      <c r="B130" s="9" t="s">
        <v>70</v>
      </c>
      <c r="C130" s="1" t="n">
        <v>0.1761</v>
      </c>
      <c r="D130" s="1" t="s">
        <v>71</v>
      </c>
      <c r="F130" s="26"/>
      <c r="G130" s="54" t="s">
        <v>78</v>
      </c>
      <c r="H130" s="28" t="n">
        <v>0.1561</v>
      </c>
      <c r="I130" s="28"/>
      <c r="J130" s="28"/>
      <c r="K130" s="28"/>
      <c r="L130" s="30" t="n">
        <v>0.1561</v>
      </c>
    </row>
    <row r="131" customFormat="false" ht="12.8" hidden="false" customHeight="false" outlineLevel="0" collapsed="false">
      <c r="A131" s="1" t="n">
        <v>4</v>
      </c>
      <c r="B131" s="9" t="s">
        <v>81</v>
      </c>
      <c r="C131" s="1" t="n">
        <v>0.1751</v>
      </c>
      <c r="D131" s="1" t="s">
        <v>71</v>
      </c>
      <c r="F131" s="26"/>
      <c r="G131" s="54" t="s">
        <v>81</v>
      </c>
      <c r="H131" s="28"/>
      <c r="I131" s="28" t="n">
        <v>0.1578</v>
      </c>
      <c r="J131" s="28" t="n">
        <v>0.1618</v>
      </c>
      <c r="K131" s="28" t="n">
        <v>0.1606</v>
      </c>
      <c r="L131" s="30" t="n">
        <v>0.4802</v>
      </c>
    </row>
    <row r="132" customFormat="false" ht="12.8" hidden="false" customHeight="false" outlineLevel="0" collapsed="false">
      <c r="A132" s="1" t="n">
        <v>4</v>
      </c>
      <c r="B132" s="9" t="s">
        <v>77</v>
      </c>
      <c r="C132" s="1" t="n">
        <v>0.1733</v>
      </c>
      <c r="D132" s="1" t="s">
        <v>71</v>
      </c>
      <c r="F132" s="26"/>
      <c r="G132" s="54" t="s">
        <v>74</v>
      </c>
      <c r="H132" s="28" t="n">
        <v>0.2246</v>
      </c>
      <c r="I132" s="28" t="n">
        <v>0.2321</v>
      </c>
      <c r="J132" s="28" t="n">
        <v>0.2237</v>
      </c>
      <c r="K132" s="28" t="n">
        <v>0.195</v>
      </c>
      <c r="L132" s="30" t="n">
        <v>0.8754</v>
      </c>
    </row>
    <row r="133" customFormat="false" ht="12.8" hidden="false" customHeight="false" outlineLevel="0" collapsed="false">
      <c r="A133" s="1" t="n">
        <v>4</v>
      </c>
      <c r="B133" s="9" t="s">
        <v>67</v>
      </c>
      <c r="C133" s="1" t="n">
        <v>0.1</v>
      </c>
      <c r="D133" s="1" t="s">
        <v>71</v>
      </c>
      <c r="F133" s="26"/>
      <c r="G133" s="54" t="s">
        <v>76</v>
      </c>
      <c r="H133" s="28" t="n">
        <v>0.1873</v>
      </c>
      <c r="I133" s="28"/>
      <c r="J133" s="28" t="n">
        <v>0.1576</v>
      </c>
      <c r="K133" s="28" t="n">
        <v>0.1844</v>
      </c>
      <c r="L133" s="30" t="n">
        <v>0.5293</v>
      </c>
    </row>
    <row r="134" customFormat="false" ht="12.8" hidden="false" customHeight="false" outlineLevel="0" collapsed="false">
      <c r="A134" s="1" t="n">
        <v>6</v>
      </c>
      <c r="B134" s="9" t="s">
        <v>67</v>
      </c>
      <c r="C134" s="1" t="n">
        <v>0.1</v>
      </c>
      <c r="D134" s="1" t="s">
        <v>71</v>
      </c>
      <c r="F134" s="26"/>
      <c r="G134" s="54" t="s">
        <v>75</v>
      </c>
      <c r="H134" s="28" t="n">
        <v>0.1665</v>
      </c>
      <c r="I134" s="28" t="n">
        <v>0.1602</v>
      </c>
      <c r="J134" s="28"/>
      <c r="K134" s="28" t="n">
        <v>0.186</v>
      </c>
      <c r="L134" s="30" t="n">
        <v>0.5127</v>
      </c>
    </row>
    <row r="135" customFormat="false" ht="12.8" hidden="false" customHeight="false" outlineLevel="0" collapsed="false">
      <c r="A135" s="1" t="n">
        <v>8</v>
      </c>
      <c r="B135" s="9" t="s">
        <v>74</v>
      </c>
      <c r="C135" s="1" t="n">
        <v>0.2044</v>
      </c>
      <c r="D135" s="1" t="s">
        <v>71</v>
      </c>
      <c r="F135" s="55"/>
      <c r="G135" s="56" t="s">
        <v>67</v>
      </c>
      <c r="H135" s="32" t="n">
        <v>0.1</v>
      </c>
      <c r="I135" s="32" t="n">
        <v>0.1</v>
      </c>
      <c r="J135" s="32" t="n">
        <v>0.1</v>
      </c>
      <c r="K135" s="32" t="n">
        <v>0.1</v>
      </c>
      <c r="L135" s="34" t="n">
        <v>0.4</v>
      </c>
    </row>
    <row r="136" customFormat="false" ht="12.8" hidden="false" customHeight="false" outlineLevel="0" collapsed="false">
      <c r="A136" s="1" t="n">
        <v>8</v>
      </c>
      <c r="B136" s="9" t="s">
        <v>77</v>
      </c>
      <c r="C136" s="1" t="n">
        <v>0.1639</v>
      </c>
      <c r="D136" s="1" t="s">
        <v>71</v>
      </c>
      <c r="F136" s="21" t="n">
        <v>32</v>
      </c>
      <c r="G136" s="53" t="s">
        <v>79</v>
      </c>
      <c r="H136" s="22" t="n">
        <v>0.1607</v>
      </c>
      <c r="I136" s="23" t="n">
        <v>0.1813</v>
      </c>
      <c r="J136" s="23" t="n">
        <v>0.1913</v>
      </c>
      <c r="K136" s="24" t="n">
        <v>0.1741</v>
      </c>
      <c r="L136" s="25" t="n">
        <v>0.7074</v>
      </c>
    </row>
    <row r="137" customFormat="false" ht="12.8" hidden="false" customHeight="false" outlineLevel="0" collapsed="false">
      <c r="A137" s="1" t="n">
        <v>8</v>
      </c>
      <c r="B137" s="9" t="s">
        <v>78</v>
      </c>
      <c r="C137" s="1" t="n">
        <v>0.163</v>
      </c>
      <c r="D137" s="1" t="s">
        <v>71</v>
      </c>
      <c r="F137" s="26"/>
      <c r="G137" s="54" t="s">
        <v>77</v>
      </c>
      <c r="H137" s="27" t="n">
        <v>0.182</v>
      </c>
      <c r="I137" s="28" t="n">
        <v>0.1726</v>
      </c>
      <c r="J137" s="28" t="n">
        <v>0.1784</v>
      </c>
      <c r="K137" s="29" t="n">
        <v>0.1754</v>
      </c>
      <c r="L137" s="30" t="n">
        <v>0.7084</v>
      </c>
    </row>
    <row r="138" customFormat="false" ht="12.8" hidden="false" customHeight="false" outlineLevel="0" collapsed="false">
      <c r="A138" s="1" t="n">
        <v>8</v>
      </c>
      <c r="B138" s="9" t="s">
        <v>79</v>
      </c>
      <c r="C138" s="1" t="n">
        <v>0.1605</v>
      </c>
      <c r="D138" s="1" t="s">
        <v>71</v>
      </c>
      <c r="F138" s="26"/>
      <c r="G138" s="54" t="s">
        <v>82</v>
      </c>
      <c r="H138" s="27" t="n">
        <v>0.1602</v>
      </c>
      <c r="I138" s="28"/>
      <c r="J138" s="28" t="n">
        <v>0.1703</v>
      </c>
      <c r="K138" s="29"/>
      <c r="L138" s="30" t="n">
        <v>0.3305</v>
      </c>
    </row>
    <row r="139" customFormat="false" ht="12.8" hidden="false" customHeight="false" outlineLevel="0" collapsed="false">
      <c r="A139" s="1" t="n">
        <v>8</v>
      </c>
      <c r="B139" s="9" t="s">
        <v>75</v>
      </c>
      <c r="C139" s="1" t="n">
        <v>0.1556</v>
      </c>
      <c r="D139" s="1" t="s">
        <v>71</v>
      </c>
      <c r="F139" s="26"/>
      <c r="G139" s="54" t="s">
        <v>81</v>
      </c>
      <c r="H139" s="27"/>
      <c r="I139" s="28" t="n">
        <v>0.1653</v>
      </c>
      <c r="J139" s="28"/>
      <c r="K139" s="29"/>
      <c r="L139" s="30" t="n">
        <v>0.1653</v>
      </c>
    </row>
    <row r="140" customFormat="false" ht="12.8" hidden="false" customHeight="false" outlineLevel="0" collapsed="false">
      <c r="A140" s="1" t="n">
        <v>8</v>
      </c>
      <c r="B140" s="9" t="s">
        <v>67</v>
      </c>
      <c r="C140" s="1" t="n">
        <v>0.1525</v>
      </c>
      <c r="D140" s="1" t="s">
        <v>71</v>
      </c>
      <c r="F140" s="26"/>
      <c r="G140" s="54" t="s">
        <v>74</v>
      </c>
      <c r="H140" s="27" t="n">
        <v>0.1941</v>
      </c>
      <c r="I140" s="28" t="n">
        <v>0.2059</v>
      </c>
      <c r="J140" s="28" t="n">
        <v>0.1772</v>
      </c>
      <c r="K140" s="29" t="n">
        <v>0.1928</v>
      </c>
      <c r="L140" s="30" t="n">
        <v>0.77</v>
      </c>
    </row>
    <row r="141" customFormat="false" ht="12.8" hidden="false" customHeight="false" outlineLevel="0" collapsed="false">
      <c r="A141" s="1" t="n">
        <v>10</v>
      </c>
      <c r="B141" s="9" t="s">
        <v>74</v>
      </c>
      <c r="C141" s="1" t="n">
        <v>0.9</v>
      </c>
      <c r="D141" s="1" t="s">
        <v>71</v>
      </c>
      <c r="F141" s="26"/>
      <c r="G141" s="54" t="s">
        <v>76</v>
      </c>
      <c r="H141" s="27" t="n">
        <v>0.203</v>
      </c>
      <c r="I141" s="28" t="n">
        <v>0.1749</v>
      </c>
      <c r="J141" s="28" t="n">
        <v>0.1829</v>
      </c>
      <c r="K141" s="29" t="n">
        <v>0.1782</v>
      </c>
      <c r="L141" s="30" t="n">
        <v>0.739</v>
      </c>
    </row>
    <row r="142" customFormat="false" ht="12.8" hidden="false" customHeight="false" outlineLevel="0" collapsed="false">
      <c r="A142" s="1" t="n">
        <v>10</v>
      </c>
      <c r="B142" s="9" t="s">
        <v>67</v>
      </c>
      <c r="C142" s="1" t="n">
        <v>0.1</v>
      </c>
      <c r="D142" s="1" t="s">
        <v>71</v>
      </c>
      <c r="F142" s="26"/>
      <c r="G142" s="54" t="s">
        <v>75</v>
      </c>
      <c r="H142" s="27"/>
      <c r="I142" s="28"/>
      <c r="J142" s="28"/>
      <c r="K142" s="29" t="n">
        <v>0.1794</v>
      </c>
      <c r="L142" s="30" t="n">
        <v>0.1794</v>
      </c>
    </row>
    <row r="143" customFormat="false" ht="12.8" hidden="false" customHeight="false" outlineLevel="0" collapsed="false">
      <c r="A143" s="1" t="n">
        <v>12</v>
      </c>
      <c r="B143" s="9" t="s">
        <v>79</v>
      </c>
      <c r="C143" s="1" t="n">
        <v>0.315</v>
      </c>
      <c r="D143" s="1" t="s">
        <v>71</v>
      </c>
      <c r="F143" s="55"/>
      <c r="G143" s="56" t="s">
        <v>67</v>
      </c>
      <c r="H143" s="31" t="n">
        <v>0.1</v>
      </c>
      <c r="I143" s="32" t="n">
        <v>0.1</v>
      </c>
      <c r="J143" s="32" t="n">
        <v>0.1</v>
      </c>
      <c r="K143" s="33" t="n">
        <v>0.1</v>
      </c>
      <c r="L143" s="34" t="n">
        <v>0.4</v>
      </c>
    </row>
    <row r="144" customFormat="false" ht="12.8" hidden="false" customHeight="false" outlineLevel="0" collapsed="false">
      <c r="A144" s="1" t="n">
        <v>12</v>
      </c>
      <c r="B144" s="9" t="s">
        <v>76</v>
      </c>
      <c r="C144" s="1" t="n">
        <v>0.2994</v>
      </c>
      <c r="D144" s="1" t="s">
        <v>71</v>
      </c>
      <c r="F144" s="21" t="n">
        <v>34</v>
      </c>
      <c r="G144" s="53" t="s">
        <v>79</v>
      </c>
      <c r="H144" s="23" t="n">
        <v>0.1665</v>
      </c>
      <c r="I144" s="23" t="n">
        <v>0.1711</v>
      </c>
      <c r="J144" s="23" t="n">
        <v>0.1868</v>
      </c>
      <c r="K144" s="23"/>
      <c r="L144" s="25" t="n">
        <v>0.5244</v>
      </c>
    </row>
    <row r="145" customFormat="false" ht="12.8" hidden="false" customHeight="false" outlineLevel="0" collapsed="false">
      <c r="A145" s="1" t="n">
        <v>12</v>
      </c>
      <c r="B145" s="9" t="s">
        <v>74</v>
      </c>
      <c r="C145" s="1" t="n">
        <v>0.2856</v>
      </c>
      <c r="D145" s="1" t="s">
        <v>71</v>
      </c>
      <c r="F145" s="26"/>
      <c r="G145" s="54" t="s">
        <v>77</v>
      </c>
      <c r="H145" s="28" t="n">
        <v>0.1878</v>
      </c>
      <c r="I145" s="28" t="n">
        <v>0.1803</v>
      </c>
      <c r="J145" s="28" t="n">
        <v>0.1876</v>
      </c>
      <c r="K145" s="28" t="n">
        <v>0.1811</v>
      </c>
      <c r="L145" s="30" t="n">
        <v>0.7368</v>
      </c>
    </row>
    <row r="146" customFormat="false" ht="12.8" hidden="false" customHeight="false" outlineLevel="0" collapsed="false">
      <c r="A146" s="1" t="n">
        <v>12</v>
      </c>
      <c r="B146" s="9" t="s">
        <v>67</v>
      </c>
      <c r="C146" s="1" t="n">
        <v>0.1</v>
      </c>
      <c r="D146" s="1" t="s">
        <v>71</v>
      </c>
      <c r="F146" s="26"/>
      <c r="G146" s="54" t="s">
        <v>81</v>
      </c>
      <c r="H146" s="28" t="n">
        <v>0.1606</v>
      </c>
      <c r="I146" s="28" t="n">
        <v>0.1852</v>
      </c>
      <c r="J146" s="28" t="n">
        <v>0.1632</v>
      </c>
      <c r="K146" s="28" t="n">
        <v>0.1778</v>
      </c>
      <c r="L146" s="30" t="n">
        <v>0.6868</v>
      </c>
    </row>
    <row r="147" customFormat="false" ht="12.8" hidden="false" customHeight="false" outlineLevel="0" collapsed="false">
      <c r="A147" s="1" t="n">
        <v>14</v>
      </c>
      <c r="B147" s="9" t="s">
        <v>79</v>
      </c>
      <c r="C147" s="1" t="n">
        <v>0.2397</v>
      </c>
      <c r="D147" s="1" t="s">
        <v>71</v>
      </c>
      <c r="F147" s="26"/>
      <c r="G147" s="54" t="s">
        <v>74</v>
      </c>
      <c r="H147" s="28" t="n">
        <v>0.1909</v>
      </c>
      <c r="I147" s="28" t="n">
        <v>0.1789</v>
      </c>
      <c r="J147" s="28" t="n">
        <v>0.1757</v>
      </c>
      <c r="K147" s="28" t="n">
        <v>0.1858</v>
      </c>
      <c r="L147" s="30" t="n">
        <v>0.7313</v>
      </c>
    </row>
    <row r="148" customFormat="false" ht="12.8" hidden="false" customHeight="false" outlineLevel="0" collapsed="false">
      <c r="A148" s="1" t="n">
        <v>14</v>
      </c>
      <c r="B148" s="9" t="s">
        <v>76</v>
      </c>
      <c r="C148" s="1" t="n">
        <v>0.2312</v>
      </c>
      <c r="D148" s="1" t="s">
        <v>71</v>
      </c>
      <c r="F148" s="26"/>
      <c r="G148" s="54" t="s">
        <v>76</v>
      </c>
      <c r="H148" s="28" t="n">
        <v>0.1942</v>
      </c>
      <c r="I148" s="28" t="n">
        <v>0.1846</v>
      </c>
      <c r="J148" s="28" t="n">
        <v>0.1867</v>
      </c>
      <c r="K148" s="28" t="n">
        <v>0.1784</v>
      </c>
      <c r="L148" s="30" t="n">
        <v>0.7439</v>
      </c>
    </row>
    <row r="149" customFormat="false" ht="12.8" hidden="false" customHeight="false" outlineLevel="0" collapsed="false">
      <c r="A149" s="1" t="n">
        <v>14</v>
      </c>
      <c r="B149" s="9" t="s">
        <v>74</v>
      </c>
      <c r="C149" s="1" t="n">
        <v>0.2204</v>
      </c>
      <c r="D149" s="1" t="s">
        <v>71</v>
      </c>
      <c r="F149" s="26"/>
      <c r="G149" s="54" t="s">
        <v>75</v>
      </c>
      <c r="H149" s="28"/>
      <c r="I149" s="28"/>
      <c r="J149" s="28"/>
      <c r="K149" s="28" t="n">
        <v>0.1769</v>
      </c>
      <c r="L149" s="30" t="n">
        <v>0.1769</v>
      </c>
    </row>
    <row r="150" customFormat="false" ht="12.8" hidden="false" customHeight="false" outlineLevel="0" collapsed="false">
      <c r="A150" s="1" t="n">
        <v>14</v>
      </c>
      <c r="B150" s="9" t="s">
        <v>82</v>
      </c>
      <c r="C150" s="1" t="n">
        <v>0.2087</v>
      </c>
      <c r="D150" s="1" t="s">
        <v>71</v>
      </c>
      <c r="F150" s="55"/>
      <c r="G150" s="56" t="s">
        <v>67</v>
      </c>
      <c r="H150" s="32" t="n">
        <v>0.1</v>
      </c>
      <c r="I150" s="32" t="n">
        <v>0.1</v>
      </c>
      <c r="J150" s="32" t="n">
        <v>0.1</v>
      </c>
      <c r="K150" s="32" t="n">
        <v>0.1</v>
      </c>
      <c r="L150" s="34" t="n">
        <v>0.4</v>
      </c>
    </row>
    <row r="151" customFormat="false" ht="12.8" hidden="false" customHeight="false" outlineLevel="0" collapsed="false">
      <c r="A151" s="1" t="n">
        <v>14</v>
      </c>
      <c r="B151" s="9" t="s">
        <v>67</v>
      </c>
      <c r="C151" s="1" t="n">
        <v>0.1</v>
      </c>
      <c r="D151" s="1" t="s">
        <v>71</v>
      </c>
      <c r="F151" s="21" t="n">
        <v>36</v>
      </c>
      <c r="G151" s="53" t="s">
        <v>79</v>
      </c>
      <c r="H151" s="22"/>
      <c r="I151" s="23"/>
      <c r="J151" s="23" t="n">
        <v>0.1696</v>
      </c>
      <c r="K151" s="24"/>
      <c r="L151" s="25" t="n">
        <v>0.1696</v>
      </c>
    </row>
    <row r="152" customFormat="false" ht="12.8" hidden="false" customHeight="false" outlineLevel="0" collapsed="false">
      <c r="A152" s="1" t="n">
        <v>16</v>
      </c>
      <c r="B152" s="9" t="s">
        <v>67</v>
      </c>
      <c r="C152" s="1" t="n">
        <v>0.1</v>
      </c>
      <c r="D152" s="1" t="s">
        <v>71</v>
      </c>
      <c r="F152" s="26"/>
      <c r="G152" s="54" t="s">
        <v>70</v>
      </c>
      <c r="H152" s="27" t="n">
        <v>0.1692</v>
      </c>
      <c r="I152" s="28"/>
      <c r="J152" s="28"/>
      <c r="K152" s="29"/>
      <c r="L152" s="30" t="n">
        <v>0.1692</v>
      </c>
    </row>
    <row r="153" customFormat="false" ht="12.8" hidden="false" customHeight="false" outlineLevel="0" collapsed="false">
      <c r="A153" s="1" t="n">
        <v>18</v>
      </c>
      <c r="B153" s="9" t="s">
        <v>74</v>
      </c>
      <c r="C153" s="1" t="n">
        <v>0.2077</v>
      </c>
      <c r="D153" s="1" t="s">
        <v>71</v>
      </c>
      <c r="F153" s="26"/>
      <c r="G153" s="54" t="s">
        <v>77</v>
      </c>
      <c r="H153" s="27"/>
      <c r="I153" s="28" t="n">
        <v>0.1619</v>
      </c>
      <c r="J153" s="28"/>
      <c r="K153" s="29"/>
      <c r="L153" s="30" t="n">
        <v>0.1619</v>
      </c>
    </row>
    <row r="154" customFormat="false" ht="12.8" hidden="false" customHeight="false" outlineLevel="0" collapsed="false">
      <c r="A154" s="1" t="n">
        <v>18</v>
      </c>
      <c r="B154" s="9" t="s">
        <v>79</v>
      </c>
      <c r="C154" s="1" t="n">
        <v>0.1701</v>
      </c>
      <c r="D154" s="1" t="s">
        <v>71</v>
      </c>
      <c r="F154" s="26"/>
      <c r="G154" s="54" t="s">
        <v>81</v>
      </c>
      <c r="H154" s="27"/>
      <c r="I154" s="28" t="n">
        <v>0.1773</v>
      </c>
      <c r="J154" s="28" t="n">
        <v>0.1721</v>
      </c>
      <c r="K154" s="29" t="n">
        <v>0.16</v>
      </c>
      <c r="L154" s="30" t="n">
        <v>0.5094</v>
      </c>
    </row>
    <row r="155" customFormat="false" ht="12.8" hidden="false" customHeight="false" outlineLevel="0" collapsed="false">
      <c r="A155" s="1" t="n">
        <v>18</v>
      </c>
      <c r="B155" s="9" t="s">
        <v>81</v>
      </c>
      <c r="C155" s="1" t="n">
        <v>0.1598</v>
      </c>
      <c r="D155" s="1" t="s">
        <v>71</v>
      </c>
      <c r="F155" s="26"/>
      <c r="G155" s="54" t="s">
        <v>74</v>
      </c>
      <c r="H155" s="27" t="n">
        <v>0.198</v>
      </c>
      <c r="I155" s="28" t="n">
        <v>0.2047</v>
      </c>
      <c r="J155" s="28" t="n">
        <v>0.2163</v>
      </c>
      <c r="K155" s="29" t="n">
        <v>0.1799</v>
      </c>
      <c r="L155" s="30" t="n">
        <v>0.7989</v>
      </c>
    </row>
    <row r="156" customFormat="false" ht="12.8" hidden="false" customHeight="false" outlineLevel="0" collapsed="false">
      <c r="A156" s="1" t="n">
        <v>18</v>
      </c>
      <c r="B156" s="9" t="s">
        <v>67</v>
      </c>
      <c r="C156" s="1" t="n">
        <v>0.1574</v>
      </c>
      <c r="D156" s="1" t="s">
        <v>71</v>
      </c>
      <c r="F156" s="26"/>
      <c r="G156" s="54" t="s">
        <v>83</v>
      </c>
      <c r="H156" s="27" t="n">
        <v>0.1692</v>
      </c>
      <c r="I156" s="28"/>
      <c r="J156" s="28"/>
      <c r="K156" s="29" t="n">
        <v>0.1831</v>
      </c>
      <c r="L156" s="30" t="n">
        <v>0.3523</v>
      </c>
    </row>
    <row r="157" customFormat="false" ht="12.8" hidden="false" customHeight="false" outlineLevel="0" collapsed="false">
      <c r="A157" s="1" t="n">
        <v>18</v>
      </c>
      <c r="B157" s="9" t="s">
        <v>76</v>
      </c>
      <c r="C157" s="1" t="n">
        <v>0.1528</v>
      </c>
      <c r="D157" s="1" t="s">
        <v>71</v>
      </c>
      <c r="F157" s="26"/>
      <c r="G157" s="54" t="s">
        <v>76</v>
      </c>
      <c r="H157" s="27" t="n">
        <v>0.1724</v>
      </c>
      <c r="I157" s="28" t="n">
        <v>0.1693</v>
      </c>
      <c r="J157" s="28" t="n">
        <v>0.1691</v>
      </c>
      <c r="K157" s="29" t="n">
        <v>0.1674</v>
      </c>
      <c r="L157" s="30" t="n">
        <v>0.6782</v>
      </c>
    </row>
    <row r="158" customFormat="false" ht="12.8" hidden="false" customHeight="false" outlineLevel="0" collapsed="false">
      <c r="A158" s="1" t="n">
        <v>18</v>
      </c>
      <c r="B158" s="9" t="s">
        <v>77</v>
      </c>
      <c r="C158" s="1" t="n">
        <v>0.1523</v>
      </c>
      <c r="D158" s="1" t="s">
        <v>71</v>
      </c>
      <c r="F158" s="26"/>
      <c r="G158" s="54" t="s">
        <v>75</v>
      </c>
      <c r="H158" s="27" t="n">
        <v>0.1912</v>
      </c>
      <c r="I158" s="28" t="n">
        <v>0.1868</v>
      </c>
      <c r="J158" s="28" t="n">
        <v>0.1729</v>
      </c>
      <c r="K158" s="29" t="n">
        <v>0.2095</v>
      </c>
      <c r="L158" s="30" t="n">
        <v>0.7604</v>
      </c>
    </row>
    <row r="159" customFormat="false" ht="12.8" hidden="false" customHeight="false" outlineLevel="0" collapsed="false">
      <c r="A159" s="1" t="n">
        <v>20</v>
      </c>
      <c r="B159" s="9" t="s">
        <v>74</v>
      </c>
      <c r="C159" s="1" t="n">
        <v>0.2524</v>
      </c>
      <c r="D159" s="1" t="s">
        <v>71</v>
      </c>
      <c r="F159" s="55"/>
      <c r="G159" s="56" t="s">
        <v>67</v>
      </c>
      <c r="H159" s="31" t="n">
        <v>0.1</v>
      </c>
      <c r="I159" s="32" t="n">
        <v>0.1</v>
      </c>
      <c r="J159" s="32" t="n">
        <v>0.1</v>
      </c>
      <c r="K159" s="33" t="n">
        <v>0.1</v>
      </c>
      <c r="L159" s="34" t="n">
        <v>0.4</v>
      </c>
    </row>
    <row r="160" customFormat="false" ht="12.8" hidden="false" customHeight="false" outlineLevel="0" collapsed="false">
      <c r="A160" s="1" t="n">
        <v>20</v>
      </c>
      <c r="B160" s="9" t="s">
        <v>79</v>
      </c>
      <c r="C160" s="1" t="n">
        <v>0.2339</v>
      </c>
      <c r="D160" s="1" t="s">
        <v>71</v>
      </c>
      <c r="F160" s="21" t="n">
        <v>38</v>
      </c>
      <c r="G160" s="53" t="s">
        <v>70</v>
      </c>
      <c r="H160" s="23"/>
      <c r="I160" s="23"/>
      <c r="J160" s="23"/>
      <c r="K160" s="23" t="n">
        <v>0.1622</v>
      </c>
      <c r="L160" s="25" t="n">
        <v>0.1622</v>
      </c>
    </row>
    <row r="161" customFormat="false" ht="12.8" hidden="false" customHeight="false" outlineLevel="0" collapsed="false">
      <c r="A161" s="1" t="n">
        <v>20</v>
      </c>
      <c r="B161" s="9" t="s">
        <v>77</v>
      </c>
      <c r="C161" s="1" t="n">
        <v>0.2125</v>
      </c>
      <c r="D161" s="1" t="s">
        <v>71</v>
      </c>
      <c r="F161" s="26"/>
      <c r="G161" s="54" t="s">
        <v>81</v>
      </c>
      <c r="H161" s="28"/>
      <c r="I161" s="28"/>
      <c r="J161" s="28"/>
      <c r="K161" s="28" t="n">
        <v>0.1628</v>
      </c>
      <c r="L161" s="30" t="n">
        <v>0.1628</v>
      </c>
    </row>
    <row r="162" customFormat="false" ht="12.8" hidden="false" customHeight="false" outlineLevel="0" collapsed="false">
      <c r="A162" s="1" t="n">
        <v>20</v>
      </c>
      <c r="B162" s="9" t="s">
        <v>76</v>
      </c>
      <c r="C162" s="1" t="n">
        <v>0.2012</v>
      </c>
      <c r="D162" s="1" t="s">
        <v>71</v>
      </c>
      <c r="F162" s="26"/>
      <c r="G162" s="54" t="s">
        <v>74</v>
      </c>
      <c r="H162" s="28" t="n">
        <v>0.331</v>
      </c>
      <c r="I162" s="28"/>
      <c r="J162" s="28"/>
      <c r="K162" s="28" t="n">
        <v>0.176</v>
      </c>
      <c r="L162" s="30" t="n">
        <v>0.507</v>
      </c>
    </row>
    <row r="163" customFormat="false" ht="12.8" hidden="false" customHeight="false" outlineLevel="0" collapsed="false">
      <c r="A163" s="1" t="n">
        <v>20</v>
      </c>
      <c r="B163" s="9" t="s">
        <v>67</v>
      </c>
      <c r="C163" s="1" t="n">
        <v>0.1</v>
      </c>
      <c r="D163" s="1" t="s">
        <v>71</v>
      </c>
      <c r="F163" s="26"/>
      <c r="G163" s="54" t="s">
        <v>83</v>
      </c>
      <c r="H163" s="28"/>
      <c r="I163" s="28" t="n">
        <v>0.9</v>
      </c>
      <c r="J163" s="28"/>
      <c r="K163" s="28" t="n">
        <v>0.1808</v>
      </c>
      <c r="L163" s="30" t="n">
        <v>1.0808</v>
      </c>
    </row>
    <row r="164" customFormat="false" ht="12.8" hidden="false" customHeight="false" outlineLevel="0" collapsed="false">
      <c r="A164" s="1" t="n">
        <v>22</v>
      </c>
      <c r="B164" s="9" t="s">
        <v>79</v>
      </c>
      <c r="C164" s="1" t="n">
        <v>0.2462</v>
      </c>
      <c r="D164" s="1" t="s">
        <v>71</v>
      </c>
      <c r="F164" s="26"/>
      <c r="G164" s="54" t="s">
        <v>75</v>
      </c>
      <c r="H164" s="28" t="n">
        <v>0.3519</v>
      </c>
      <c r="I164" s="28"/>
      <c r="J164" s="28"/>
      <c r="K164" s="28" t="n">
        <v>0.2183</v>
      </c>
      <c r="L164" s="30" t="n">
        <v>0.5702</v>
      </c>
    </row>
    <row r="165" customFormat="false" ht="12.8" hidden="false" customHeight="false" outlineLevel="0" collapsed="false">
      <c r="A165" s="1" t="n">
        <v>22</v>
      </c>
      <c r="B165" s="9" t="s">
        <v>67</v>
      </c>
      <c r="C165" s="1" t="n">
        <v>0.1925</v>
      </c>
      <c r="D165" s="1" t="s">
        <v>71</v>
      </c>
      <c r="F165" s="55"/>
      <c r="G165" s="56" t="s">
        <v>67</v>
      </c>
      <c r="H165" s="32" t="n">
        <v>0.3171</v>
      </c>
      <c r="I165" s="32" t="n">
        <v>0.1</v>
      </c>
      <c r="J165" s="32" t="n">
        <v>0.1</v>
      </c>
      <c r="K165" s="32" t="n">
        <v>0.1</v>
      </c>
      <c r="L165" s="34" t="n">
        <v>0.6171</v>
      </c>
    </row>
    <row r="166" customFormat="false" ht="12.8" hidden="false" customHeight="false" outlineLevel="0" collapsed="false">
      <c r="A166" s="1" t="n">
        <v>22</v>
      </c>
      <c r="B166" s="9" t="s">
        <v>76</v>
      </c>
      <c r="C166" s="1" t="n">
        <v>0.1922</v>
      </c>
      <c r="D166" s="1" t="s">
        <v>71</v>
      </c>
      <c r="F166" s="21" t="n">
        <v>40</v>
      </c>
      <c r="G166" s="53" t="s">
        <v>79</v>
      </c>
      <c r="H166" s="22"/>
      <c r="I166" s="23"/>
      <c r="J166" s="23" t="n">
        <v>0.2384</v>
      </c>
      <c r="K166" s="24"/>
      <c r="L166" s="25" t="n">
        <v>0.2384</v>
      </c>
    </row>
    <row r="167" customFormat="false" ht="12.8" hidden="false" customHeight="false" outlineLevel="0" collapsed="false">
      <c r="A167" s="1" t="n">
        <v>22</v>
      </c>
      <c r="B167" s="9" t="s">
        <v>74</v>
      </c>
      <c r="C167" s="1" t="n">
        <v>0.1855</v>
      </c>
      <c r="D167" s="1" t="s">
        <v>71</v>
      </c>
      <c r="F167" s="26"/>
      <c r="G167" s="54" t="s">
        <v>81</v>
      </c>
      <c r="H167" s="27"/>
      <c r="I167" s="28"/>
      <c r="J167" s="28" t="n">
        <v>0.245</v>
      </c>
      <c r="K167" s="29"/>
      <c r="L167" s="30" t="n">
        <v>0.245</v>
      </c>
    </row>
    <row r="168" customFormat="false" ht="12.8" hidden="false" customHeight="false" outlineLevel="0" collapsed="false">
      <c r="A168" s="1" t="n">
        <v>22</v>
      </c>
      <c r="B168" s="9" t="s">
        <v>81</v>
      </c>
      <c r="C168" s="1" t="n">
        <v>0.1835</v>
      </c>
      <c r="D168" s="1" t="s">
        <v>71</v>
      </c>
      <c r="F168" s="26"/>
      <c r="G168" s="54" t="s">
        <v>74</v>
      </c>
      <c r="H168" s="27" t="n">
        <v>0.4576</v>
      </c>
      <c r="I168" s="28" t="n">
        <v>0.4773</v>
      </c>
      <c r="J168" s="28" t="n">
        <v>0.281</v>
      </c>
      <c r="K168" s="29" t="n">
        <v>0.4291</v>
      </c>
      <c r="L168" s="30" t="n">
        <v>1.645</v>
      </c>
    </row>
    <row r="169" customFormat="false" ht="12.8" hidden="false" customHeight="false" outlineLevel="0" collapsed="false">
      <c r="A169" s="1" t="n">
        <v>24</v>
      </c>
      <c r="B169" s="9" t="s">
        <v>79</v>
      </c>
      <c r="C169" s="1" t="n">
        <v>0.2022</v>
      </c>
      <c r="D169" s="1" t="s">
        <v>71</v>
      </c>
      <c r="F169" s="26"/>
      <c r="G169" s="54" t="s">
        <v>75</v>
      </c>
      <c r="H169" s="27" t="n">
        <v>0.4424</v>
      </c>
      <c r="I169" s="28" t="n">
        <v>0.4227</v>
      </c>
      <c r="J169" s="28"/>
      <c r="K169" s="29" t="n">
        <v>0.4709</v>
      </c>
      <c r="L169" s="30" t="n">
        <v>1.336</v>
      </c>
    </row>
    <row r="170" customFormat="false" ht="12.8" hidden="false" customHeight="false" outlineLevel="0" collapsed="false">
      <c r="A170" s="1" t="n">
        <v>24</v>
      </c>
      <c r="B170" s="9" t="s">
        <v>76</v>
      </c>
      <c r="C170" s="1" t="n">
        <v>0.1861</v>
      </c>
      <c r="D170" s="1" t="s">
        <v>71</v>
      </c>
      <c r="F170" s="55"/>
      <c r="G170" s="56" t="s">
        <v>67</v>
      </c>
      <c r="H170" s="31" t="n">
        <v>0.1</v>
      </c>
      <c r="I170" s="32" t="n">
        <v>0.1</v>
      </c>
      <c r="J170" s="32" t="n">
        <v>0.2356</v>
      </c>
      <c r="K170" s="33" t="n">
        <v>0.1</v>
      </c>
      <c r="L170" s="34" t="n">
        <v>0.5356</v>
      </c>
    </row>
    <row r="171" customFormat="false" ht="12.8" hidden="false" customHeight="false" outlineLevel="0" collapsed="false">
      <c r="A171" s="1" t="n">
        <v>24</v>
      </c>
      <c r="B171" s="9" t="s">
        <v>74</v>
      </c>
      <c r="C171" s="1" t="n">
        <v>0.1755</v>
      </c>
      <c r="D171" s="1" t="s">
        <v>71</v>
      </c>
      <c r="F171" s="21" t="n">
        <v>42</v>
      </c>
      <c r="G171" s="53" t="s">
        <v>79</v>
      </c>
      <c r="H171" s="23" t="n">
        <v>0.162</v>
      </c>
      <c r="I171" s="23" t="n">
        <v>0.1864</v>
      </c>
      <c r="J171" s="23" t="n">
        <v>0.194</v>
      </c>
      <c r="K171" s="23" t="n">
        <v>0.1721</v>
      </c>
      <c r="L171" s="25" t="n">
        <v>0.7145</v>
      </c>
    </row>
    <row r="172" customFormat="false" ht="12.8" hidden="false" customHeight="false" outlineLevel="0" collapsed="false">
      <c r="A172" s="1" t="n">
        <v>24</v>
      </c>
      <c r="B172" s="9" t="s">
        <v>70</v>
      </c>
      <c r="C172" s="1" t="n">
        <v>0.172</v>
      </c>
      <c r="D172" s="1" t="s">
        <v>71</v>
      </c>
      <c r="F172" s="26"/>
      <c r="G172" s="54" t="s">
        <v>70</v>
      </c>
      <c r="H172" s="28" t="n">
        <v>0.1586</v>
      </c>
      <c r="I172" s="28"/>
      <c r="J172" s="28"/>
      <c r="K172" s="28"/>
      <c r="L172" s="30" t="n">
        <v>0.1586</v>
      </c>
    </row>
    <row r="173" customFormat="false" ht="12.8" hidden="false" customHeight="false" outlineLevel="0" collapsed="false">
      <c r="A173" s="1" t="n">
        <v>24</v>
      </c>
      <c r="B173" s="9" t="s">
        <v>82</v>
      </c>
      <c r="C173" s="1" t="n">
        <v>0.1642</v>
      </c>
      <c r="D173" s="1" t="s">
        <v>71</v>
      </c>
      <c r="F173" s="26"/>
      <c r="G173" s="54" t="s">
        <v>77</v>
      </c>
      <c r="H173" s="28"/>
      <c r="I173" s="28" t="n">
        <v>0.1586</v>
      </c>
      <c r="J173" s="28" t="n">
        <v>0.159</v>
      </c>
      <c r="K173" s="28" t="n">
        <v>0.1798</v>
      </c>
      <c r="L173" s="30" t="n">
        <v>0.4974</v>
      </c>
    </row>
    <row r="174" customFormat="false" ht="12.8" hidden="false" customHeight="false" outlineLevel="0" collapsed="false">
      <c r="A174" s="1" t="n">
        <v>24</v>
      </c>
      <c r="B174" s="9" t="s">
        <v>67</v>
      </c>
      <c r="C174" s="1" t="n">
        <v>0.1</v>
      </c>
      <c r="D174" s="1" t="s">
        <v>71</v>
      </c>
      <c r="F174" s="26"/>
      <c r="G174" s="54" t="s">
        <v>78</v>
      </c>
      <c r="H174" s="28"/>
      <c r="I174" s="28" t="n">
        <v>0.1551</v>
      </c>
      <c r="J174" s="28" t="n">
        <v>0.1611</v>
      </c>
      <c r="K174" s="28" t="n">
        <v>0.1727</v>
      </c>
      <c r="L174" s="30" t="n">
        <v>0.4889</v>
      </c>
    </row>
    <row r="175" customFormat="false" ht="12.8" hidden="false" customHeight="false" outlineLevel="0" collapsed="false">
      <c r="A175" s="1" t="n">
        <v>26</v>
      </c>
      <c r="B175" s="9" t="s">
        <v>74</v>
      </c>
      <c r="C175" s="1" t="n">
        <v>0.2563</v>
      </c>
      <c r="D175" s="1" t="s">
        <v>71</v>
      </c>
      <c r="F175" s="26"/>
      <c r="G175" s="54" t="s">
        <v>74</v>
      </c>
      <c r="H175" s="28" t="n">
        <v>0.1897</v>
      </c>
      <c r="I175" s="28" t="n">
        <v>0.1882</v>
      </c>
      <c r="J175" s="28" t="n">
        <v>0.1816</v>
      </c>
      <c r="K175" s="28" t="n">
        <v>0.1908</v>
      </c>
      <c r="L175" s="30" t="n">
        <v>0.7503</v>
      </c>
    </row>
    <row r="176" customFormat="false" ht="12.8" hidden="false" customHeight="false" outlineLevel="0" collapsed="false">
      <c r="A176" s="1" t="n">
        <v>26</v>
      </c>
      <c r="B176" s="9" t="s">
        <v>75</v>
      </c>
      <c r="C176" s="1" t="n">
        <v>0.2294</v>
      </c>
      <c r="D176" s="1" t="s">
        <v>71</v>
      </c>
      <c r="F176" s="26"/>
      <c r="G176" s="54" t="s">
        <v>76</v>
      </c>
      <c r="H176" s="28" t="n">
        <v>0.1707</v>
      </c>
      <c r="I176" s="28" t="n">
        <v>0.1579</v>
      </c>
      <c r="J176" s="28"/>
      <c r="K176" s="28"/>
      <c r="L176" s="30" t="n">
        <v>0.3286</v>
      </c>
    </row>
    <row r="177" customFormat="false" ht="12.8" hidden="false" customHeight="false" outlineLevel="0" collapsed="false">
      <c r="A177" s="1" t="n">
        <v>26</v>
      </c>
      <c r="B177" s="9" t="s">
        <v>70</v>
      </c>
      <c r="C177" s="1" t="n">
        <v>0.2107</v>
      </c>
      <c r="D177" s="1" t="s">
        <v>71</v>
      </c>
      <c r="F177" s="26"/>
      <c r="G177" s="54" t="s">
        <v>75</v>
      </c>
      <c r="H177" s="28" t="n">
        <v>0.1619</v>
      </c>
      <c r="I177" s="28"/>
      <c r="J177" s="28" t="n">
        <v>0.1482</v>
      </c>
      <c r="K177" s="28" t="n">
        <v>0.1846</v>
      </c>
      <c r="L177" s="30" t="n">
        <v>0.4947</v>
      </c>
    </row>
    <row r="178" customFormat="false" ht="12.8" hidden="false" customHeight="false" outlineLevel="0" collapsed="false">
      <c r="A178" s="1" t="n">
        <v>26</v>
      </c>
      <c r="B178" s="9" t="s">
        <v>81</v>
      </c>
      <c r="C178" s="1" t="n">
        <v>0.2036</v>
      </c>
      <c r="D178" s="1" t="s">
        <v>71</v>
      </c>
      <c r="F178" s="55"/>
      <c r="G178" s="56" t="s">
        <v>67</v>
      </c>
      <c r="H178" s="32" t="n">
        <v>0.1571</v>
      </c>
      <c r="I178" s="32" t="n">
        <v>0.1538</v>
      </c>
      <c r="J178" s="32" t="n">
        <v>0.1561</v>
      </c>
      <c r="K178" s="32" t="n">
        <v>0.1</v>
      </c>
      <c r="L178" s="34" t="n">
        <v>0.567</v>
      </c>
    </row>
    <row r="179" customFormat="false" ht="12.8" hidden="false" customHeight="false" outlineLevel="0" collapsed="false">
      <c r="A179" s="1" t="n">
        <v>26</v>
      </c>
      <c r="B179" s="9" t="s">
        <v>67</v>
      </c>
      <c r="C179" s="1" t="n">
        <v>0.1</v>
      </c>
      <c r="D179" s="1" t="s">
        <v>71</v>
      </c>
      <c r="F179" s="21" t="n">
        <v>44</v>
      </c>
      <c r="G179" s="53" t="s">
        <v>79</v>
      </c>
      <c r="H179" s="22"/>
      <c r="I179" s="23" t="n">
        <v>0.1646</v>
      </c>
      <c r="J179" s="23" t="n">
        <v>0.1643</v>
      </c>
      <c r="K179" s="24" t="n">
        <v>0.173</v>
      </c>
      <c r="L179" s="25" t="n">
        <v>0.5019</v>
      </c>
    </row>
    <row r="180" customFormat="false" ht="12.8" hidden="false" customHeight="false" outlineLevel="0" collapsed="false">
      <c r="A180" s="1" t="n">
        <v>28</v>
      </c>
      <c r="B180" s="9" t="s">
        <v>74</v>
      </c>
      <c r="C180" s="1" t="n">
        <v>0.233</v>
      </c>
      <c r="D180" s="1" t="s">
        <v>71</v>
      </c>
      <c r="F180" s="26"/>
      <c r="G180" s="54" t="s">
        <v>70</v>
      </c>
      <c r="H180" s="27" t="n">
        <v>0.1681</v>
      </c>
      <c r="I180" s="28"/>
      <c r="J180" s="28"/>
      <c r="K180" s="29"/>
      <c r="L180" s="30" t="n">
        <v>0.1681</v>
      </c>
    </row>
    <row r="181" customFormat="false" ht="12.8" hidden="false" customHeight="false" outlineLevel="0" collapsed="false">
      <c r="A181" s="1" t="n">
        <v>28</v>
      </c>
      <c r="B181" s="9" t="s">
        <v>77</v>
      </c>
      <c r="C181" s="1" t="n">
        <v>0.1699</v>
      </c>
      <c r="D181" s="1" t="s">
        <v>71</v>
      </c>
      <c r="F181" s="26"/>
      <c r="G181" s="54" t="s">
        <v>77</v>
      </c>
      <c r="H181" s="27" t="n">
        <v>0.1668</v>
      </c>
      <c r="I181" s="28" t="n">
        <v>0.1868</v>
      </c>
      <c r="J181" s="28" t="n">
        <v>0.1634</v>
      </c>
      <c r="K181" s="29" t="n">
        <v>0.1668</v>
      </c>
      <c r="L181" s="30" t="n">
        <v>0.6838</v>
      </c>
    </row>
    <row r="182" customFormat="false" ht="12.8" hidden="false" customHeight="false" outlineLevel="0" collapsed="false">
      <c r="A182" s="1" t="n">
        <v>28</v>
      </c>
      <c r="B182" s="9" t="s">
        <v>75</v>
      </c>
      <c r="C182" s="1" t="n">
        <v>0.1689</v>
      </c>
      <c r="D182" s="1" t="s">
        <v>71</v>
      </c>
      <c r="F182" s="26"/>
      <c r="G182" s="54" t="s">
        <v>82</v>
      </c>
      <c r="H182" s="27"/>
      <c r="I182" s="28" t="n">
        <v>0.1706</v>
      </c>
      <c r="J182" s="28"/>
      <c r="K182" s="29" t="n">
        <v>0.183</v>
      </c>
      <c r="L182" s="30" t="n">
        <v>0.3536</v>
      </c>
    </row>
    <row r="183" customFormat="false" ht="12.8" hidden="false" customHeight="false" outlineLevel="0" collapsed="false">
      <c r="A183" s="1" t="n">
        <v>28</v>
      </c>
      <c r="B183" s="9" t="s">
        <v>81</v>
      </c>
      <c r="C183" s="1" t="n">
        <v>0.1667</v>
      </c>
      <c r="D183" s="1" t="s">
        <v>71</v>
      </c>
      <c r="F183" s="26"/>
      <c r="G183" s="54" t="s">
        <v>81</v>
      </c>
      <c r="H183" s="27" t="n">
        <v>0.1649</v>
      </c>
      <c r="I183" s="28"/>
      <c r="J183" s="28" t="n">
        <v>0.17</v>
      </c>
      <c r="K183" s="29"/>
      <c r="L183" s="30" t="n">
        <v>0.3349</v>
      </c>
    </row>
    <row r="184" customFormat="false" ht="12.8" hidden="false" customHeight="false" outlineLevel="0" collapsed="false">
      <c r="A184" s="1" t="n">
        <v>28</v>
      </c>
      <c r="B184" s="9" t="s">
        <v>76</v>
      </c>
      <c r="C184" s="1" t="n">
        <v>0.1615</v>
      </c>
      <c r="D184" s="1" t="s">
        <v>71</v>
      </c>
      <c r="F184" s="26"/>
      <c r="G184" s="54" t="s">
        <v>74</v>
      </c>
      <c r="H184" s="27" t="n">
        <v>0.213</v>
      </c>
      <c r="I184" s="28" t="n">
        <v>0.1921</v>
      </c>
      <c r="J184" s="28" t="n">
        <v>0.2281</v>
      </c>
      <c r="K184" s="29" t="n">
        <v>0.2009</v>
      </c>
      <c r="L184" s="30" t="n">
        <v>0.8341</v>
      </c>
    </row>
    <row r="185" customFormat="false" ht="12.8" hidden="false" customHeight="false" outlineLevel="0" collapsed="false">
      <c r="A185" s="1" t="n">
        <v>28</v>
      </c>
      <c r="B185" s="9" t="s">
        <v>67</v>
      </c>
      <c r="C185" s="1" t="n">
        <v>0.1</v>
      </c>
      <c r="D185" s="1" t="s">
        <v>71</v>
      </c>
      <c r="F185" s="26"/>
      <c r="G185" s="54" t="s">
        <v>76</v>
      </c>
      <c r="H185" s="27" t="n">
        <v>0.1872</v>
      </c>
      <c r="I185" s="28" t="n">
        <v>0.1859</v>
      </c>
      <c r="J185" s="28" t="n">
        <v>0.1742</v>
      </c>
      <c r="K185" s="29"/>
      <c r="L185" s="30" t="n">
        <v>0.5473</v>
      </c>
    </row>
    <row r="186" customFormat="false" ht="12.8" hidden="false" customHeight="false" outlineLevel="0" collapsed="false">
      <c r="A186" s="1" t="n">
        <v>30</v>
      </c>
      <c r="B186" s="9" t="s">
        <v>74</v>
      </c>
      <c r="C186" s="1" t="n">
        <v>0.2321</v>
      </c>
      <c r="D186" s="1" t="s">
        <v>71</v>
      </c>
      <c r="F186" s="26"/>
      <c r="G186" s="54" t="s">
        <v>75</v>
      </c>
      <c r="H186" s="27"/>
      <c r="I186" s="28"/>
      <c r="J186" s="28"/>
      <c r="K186" s="29" t="n">
        <v>0.1764</v>
      </c>
      <c r="L186" s="30" t="n">
        <v>0.1764</v>
      </c>
    </row>
    <row r="187" customFormat="false" ht="12.8" hidden="false" customHeight="false" outlineLevel="0" collapsed="false">
      <c r="A187" s="1" t="n">
        <v>30</v>
      </c>
      <c r="B187" s="9" t="s">
        <v>77</v>
      </c>
      <c r="C187" s="1" t="n">
        <v>0.1832</v>
      </c>
      <c r="D187" s="1" t="s">
        <v>71</v>
      </c>
      <c r="F187" s="55"/>
      <c r="G187" s="56" t="s">
        <v>67</v>
      </c>
      <c r="H187" s="31" t="n">
        <v>0.1</v>
      </c>
      <c r="I187" s="32" t="n">
        <v>0.1</v>
      </c>
      <c r="J187" s="32" t="n">
        <v>0.1</v>
      </c>
      <c r="K187" s="33" t="n">
        <v>0.1</v>
      </c>
      <c r="L187" s="34" t="n">
        <v>0.4</v>
      </c>
    </row>
    <row r="188" customFormat="false" ht="12.8" hidden="false" customHeight="false" outlineLevel="0" collapsed="false">
      <c r="A188" s="1" t="n">
        <v>30</v>
      </c>
      <c r="B188" s="9" t="s">
        <v>79</v>
      </c>
      <c r="C188" s="1" t="n">
        <v>0.1667</v>
      </c>
      <c r="D188" s="1" t="s">
        <v>71</v>
      </c>
      <c r="F188" s="21" t="n">
        <v>46</v>
      </c>
      <c r="G188" s="53" t="s">
        <v>79</v>
      </c>
      <c r="H188" s="23" t="n">
        <v>0.1702</v>
      </c>
      <c r="I188" s="23" t="n">
        <v>0.1766</v>
      </c>
      <c r="J188" s="23" t="n">
        <v>0.1855</v>
      </c>
      <c r="K188" s="23" t="n">
        <v>0.1635</v>
      </c>
      <c r="L188" s="25" t="n">
        <v>0.6958</v>
      </c>
    </row>
    <row r="189" customFormat="false" ht="12.8" hidden="false" customHeight="false" outlineLevel="0" collapsed="false">
      <c r="A189" s="1" t="n">
        <v>30</v>
      </c>
      <c r="B189" s="9" t="s">
        <v>75</v>
      </c>
      <c r="C189" s="1" t="n">
        <v>0.1602</v>
      </c>
      <c r="D189" s="1" t="s">
        <v>71</v>
      </c>
      <c r="F189" s="26"/>
      <c r="G189" s="54" t="s">
        <v>77</v>
      </c>
      <c r="H189" s="28" t="n">
        <v>0.1526</v>
      </c>
      <c r="I189" s="28"/>
      <c r="J189" s="28"/>
      <c r="K189" s="28"/>
      <c r="L189" s="30" t="n">
        <v>0.1526</v>
      </c>
    </row>
    <row r="190" customFormat="false" ht="12.8" hidden="false" customHeight="false" outlineLevel="0" collapsed="false">
      <c r="A190" s="1" t="n">
        <v>30</v>
      </c>
      <c r="B190" s="9" t="s">
        <v>81</v>
      </c>
      <c r="C190" s="1" t="n">
        <v>0.1578</v>
      </c>
      <c r="D190" s="1" t="s">
        <v>71</v>
      </c>
      <c r="F190" s="26"/>
      <c r="G190" s="54" t="s">
        <v>78</v>
      </c>
      <c r="H190" s="28"/>
      <c r="I190" s="28" t="n">
        <v>0.1666</v>
      </c>
      <c r="J190" s="28" t="n">
        <v>0.1597</v>
      </c>
      <c r="K190" s="28"/>
      <c r="L190" s="30" t="n">
        <v>0.3263</v>
      </c>
    </row>
    <row r="191" customFormat="false" ht="12.8" hidden="false" customHeight="false" outlineLevel="0" collapsed="false">
      <c r="A191" s="1" t="n">
        <v>30</v>
      </c>
      <c r="B191" s="9" t="s">
        <v>67</v>
      </c>
      <c r="C191" s="1" t="n">
        <v>0.1</v>
      </c>
      <c r="D191" s="1" t="s">
        <v>71</v>
      </c>
      <c r="F191" s="26"/>
      <c r="G191" s="54" t="s">
        <v>81</v>
      </c>
      <c r="H191" s="28"/>
      <c r="I191" s="28" t="n">
        <v>0.1746</v>
      </c>
      <c r="J191" s="28" t="n">
        <v>0.1615</v>
      </c>
      <c r="K191" s="28" t="n">
        <v>0.1632</v>
      </c>
      <c r="L191" s="30" t="n">
        <v>0.4993</v>
      </c>
    </row>
    <row r="192" customFormat="false" ht="12.8" hidden="false" customHeight="false" outlineLevel="0" collapsed="false">
      <c r="A192" s="1" t="n">
        <v>32</v>
      </c>
      <c r="B192" s="9" t="s">
        <v>74</v>
      </c>
      <c r="C192" s="1" t="n">
        <v>0.2059</v>
      </c>
      <c r="D192" s="1" t="s">
        <v>71</v>
      </c>
      <c r="F192" s="26"/>
      <c r="G192" s="54" t="s">
        <v>74</v>
      </c>
      <c r="H192" s="28" t="n">
        <v>0.2094</v>
      </c>
      <c r="I192" s="28" t="n">
        <v>0.2159</v>
      </c>
      <c r="J192" s="28" t="n">
        <v>0.2197</v>
      </c>
      <c r="K192" s="28" t="n">
        <v>0.2092</v>
      </c>
      <c r="L192" s="30" t="n">
        <v>0.8542</v>
      </c>
    </row>
    <row r="193" customFormat="false" ht="12.8" hidden="false" customHeight="false" outlineLevel="0" collapsed="false">
      <c r="A193" s="1" t="n">
        <v>32</v>
      </c>
      <c r="B193" s="9" t="s">
        <v>79</v>
      </c>
      <c r="C193" s="1" t="n">
        <v>0.1813</v>
      </c>
      <c r="D193" s="1" t="s">
        <v>71</v>
      </c>
      <c r="F193" s="26"/>
      <c r="G193" s="54" t="s">
        <v>76</v>
      </c>
      <c r="H193" s="28" t="n">
        <v>0.1914</v>
      </c>
      <c r="I193" s="28" t="n">
        <v>0.1664</v>
      </c>
      <c r="J193" s="28" t="n">
        <v>0.1736</v>
      </c>
      <c r="K193" s="28" t="n">
        <v>0.1824</v>
      </c>
      <c r="L193" s="30" t="n">
        <v>0.7138</v>
      </c>
    </row>
    <row r="194" customFormat="false" ht="12.8" hidden="false" customHeight="false" outlineLevel="0" collapsed="false">
      <c r="A194" s="1" t="n">
        <v>32</v>
      </c>
      <c r="B194" s="9" t="s">
        <v>76</v>
      </c>
      <c r="C194" s="1" t="n">
        <v>0.1749</v>
      </c>
      <c r="D194" s="1" t="s">
        <v>71</v>
      </c>
      <c r="F194" s="26"/>
      <c r="G194" s="54" t="s">
        <v>75</v>
      </c>
      <c r="H194" s="28" t="n">
        <v>0.1764</v>
      </c>
      <c r="I194" s="28"/>
      <c r="J194" s="28"/>
      <c r="K194" s="28" t="n">
        <v>0.1816</v>
      </c>
      <c r="L194" s="30" t="n">
        <v>0.358</v>
      </c>
    </row>
    <row r="195" customFormat="false" ht="12.8" hidden="false" customHeight="false" outlineLevel="0" collapsed="false">
      <c r="A195" s="1" t="n">
        <v>32</v>
      </c>
      <c r="B195" s="9" t="s">
        <v>77</v>
      </c>
      <c r="C195" s="1" t="n">
        <v>0.1726</v>
      </c>
      <c r="D195" s="1" t="s">
        <v>71</v>
      </c>
      <c r="F195" s="55"/>
      <c r="G195" s="56" t="s">
        <v>67</v>
      </c>
      <c r="H195" s="32" t="n">
        <v>0.1</v>
      </c>
      <c r="I195" s="32" t="n">
        <v>0.1</v>
      </c>
      <c r="J195" s="32" t="n">
        <v>0.1</v>
      </c>
      <c r="K195" s="32" t="n">
        <v>0.1</v>
      </c>
      <c r="L195" s="34" t="n">
        <v>0.4</v>
      </c>
    </row>
    <row r="196" customFormat="false" ht="12.8" hidden="false" customHeight="false" outlineLevel="0" collapsed="false">
      <c r="A196" s="1" t="n">
        <v>32</v>
      </c>
      <c r="B196" s="9" t="s">
        <v>81</v>
      </c>
      <c r="C196" s="1" t="n">
        <v>0.1653</v>
      </c>
      <c r="D196" s="1" t="s">
        <v>71</v>
      </c>
      <c r="F196" s="21" t="n">
        <v>48</v>
      </c>
      <c r="G196" s="53" t="s">
        <v>79</v>
      </c>
      <c r="H196" s="22" t="n">
        <v>0.1657</v>
      </c>
      <c r="I196" s="23"/>
      <c r="J196" s="23" t="n">
        <v>0.1838</v>
      </c>
      <c r="K196" s="24"/>
      <c r="L196" s="25" t="n">
        <v>0.3495</v>
      </c>
    </row>
    <row r="197" customFormat="false" ht="12.8" hidden="false" customHeight="false" outlineLevel="0" collapsed="false">
      <c r="A197" s="1" t="n">
        <v>32</v>
      </c>
      <c r="B197" s="9" t="s">
        <v>67</v>
      </c>
      <c r="C197" s="1" t="n">
        <v>0.1</v>
      </c>
      <c r="D197" s="1" t="s">
        <v>71</v>
      </c>
      <c r="F197" s="26"/>
      <c r="G197" s="54" t="s">
        <v>77</v>
      </c>
      <c r="H197" s="27" t="n">
        <v>0.1745</v>
      </c>
      <c r="I197" s="28" t="n">
        <v>0.1843</v>
      </c>
      <c r="J197" s="28" t="n">
        <v>0.1834</v>
      </c>
      <c r="K197" s="29" t="n">
        <v>0.185</v>
      </c>
      <c r="L197" s="30" t="n">
        <v>0.7272</v>
      </c>
    </row>
    <row r="198" customFormat="false" ht="12.8" hidden="false" customHeight="false" outlineLevel="0" collapsed="false">
      <c r="A198" s="1" t="n">
        <v>34</v>
      </c>
      <c r="B198" s="9" t="s">
        <v>81</v>
      </c>
      <c r="C198" s="1" t="n">
        <v>0.1852</v>
      </c>
      <c r="D198" s="1" t="s">
        <v>71</v>
      </c>
      <c r="F198" s="26"/>
      <c r="G198" s="54" t="s">
        <v>78</v>
      </c>
      <c r="H198" s="27"/>
      <c r="I198" s="28" t="n">
        <v>0.1701</v>
      </c>
      <c r="J198" s="28" t="n">
        <v>0.1751</v>
      </c>
      <c r="K198" s="29" t="n">
        <v>0.1643</v>
      </c>
      <c r="L198" s="30" t="n">
        <v>0.5095</v>
      </c>
    </row>
    <row r="199" customFormat="false" ht="12.8" hidden="false" customHeight="false" outlineLevel="0" collapsed="false">
      <c r="A199" s="1" t="n">
        <v>34</v>
      </c>
      <c r="B199" s="9" t="s">
        <v>76</v>
      </c>
      <c r="C199" s="1" t="n">
        <v>0.1846</v>
      </c>
      <c r="D199" s="1" t="s">
        <v>71</v>
      </c>
      <c r="F199" s="26"/>
      <c r="G199" s="54" t="s">
        <v>81</v>
      </c>
      <c r="H199" s="27"/>
      <c r="I199" s="28" t="n">
        <v>0.167</v>
      </c>
      <c r="J199" s="28"/>
      <c r="K199" s="29"/>
      <c r="L199" s="30" t="n">
        <v>0.167</v>
      </c>
    </row>
    <row r="200" customFormat="false" ht="12.8" hidden="false" customHeight="false" outlineLevel="0" collapsed="false">
      <c r="A200" s="1" t="n">
        <v>34</v>
      </c>
      <c r="B200" s="9" t="s">
        <v>77</v>
      </c>
      <c r="C200" s="1" t="n">
        <v>0.1803</v>
      </c>
      <c r="D200" s="1" t="s">
        <v>71</v>
      </c>
      <c r="F200" s="26"/>
      <c r="G200" s="54" t="s">
        <v>74</v>
      </c>
      <c r="H200" s="27" t="n">
        <v>0.1947</v>
      </c>
      <c r="I200" s="28" t="n">
        <v>0.2101</v>
      </c>
      <c r="J200" s="28" t="n">
        <v>0.1865</v>
      </c>
      <c r="K200" s="29" t="n">
        <v>0.1854</v>
      </c>
      <c r="L200" s="30" t="n">
        <v>0.7767</v>
      </c>
    </row>
    <row r="201" customFormat="false" ht="12.8" hidden="false" customHeight="false" outlineLevel="0" collapsed="false">
      <c r="A201" s="1" t="n">
        <v>34</v>
      </c>
      <c r="B201" s="9" t="s">
        <v>74</v>
      </c>
      <c r="C201" s="1" t="n">
        <v>0.1789</v>
      </c>
      <c r="D201" s="1" t="s">
        <v>71</v>
      </c>
      <c r="F201" s="26"/>
      <c r="G201" s="54" t="s">
        <v>76</v>
      </c>
      <c r="H201" s="27" t="n">
        <v>0.1924</v>
      </c>
      <c r="I201" s="28" t="n">
        <v>0.1685</v>
      </c>
      <c r="J201" s="28" t="n">
        <v>0.1712</v>
      </c>
      <c r="K201" s="29" t="n">
        <v>0.1656</v>
      </c>
      <c r="L201" s="30" t="n">
        <v>0.6977</v>
      </c>
    </row>
    <row r="202" customFormat="false" ht="12.8" hidden="false" customHeight="false" outlineLevel="0" collapsed="false">
      <c r="A202" s="1" t="n">
        <v>34</v>
      </c>
      <c r="B202" s="9" t="s">
        <v>79</v>
      </c>
      <c r="C202" s="1" t="n">
        <v>0.1711</v>
      </c>
      <c r="D202" s="1" t="s">
        <v>71</v>
      </c>
      <c r="F202" s="26"/>
      <c r="G202" s="54" t="s">
        <v>75</v>
      </c>
      <c r="H202" s="27" t="n">
        <v>0.1728</v>
      </c>
      <c r="I202" s="28"/>
      <c r="J202" s="28"/>
      <c r="K202" s="29" t="n">
        <v>0.1998</v>
      </c>
      <c r="L202" s="30" t="n">
        <v>0.3726</v>
      </c>
    </row>
    <row r="203" customFormat="false" ht="12.8" hidden="false" customHeight="false" outlineLevel="0" collapsed="false">
      <c r="A203" s="1" t="n">
        <v>34</v>
      </c>
      <c r="B203" s="9" t="s">
        <v>67</v>
      </c>
      <c r="C203" s="1" t="n">
        <v>0.1</v>
      </c>
      <c r="D203" s="1" t="s">
        <v>71</v>
      </c>
      <c r="F203" s="55"/>
      <c r="G203" s="56" t="s">
        <v>67</v>
      </c>
      <c r="H203" s="31" t="n">
        <v>0.1</v>
      </c>
      <c r="I203" s="32" t="n">
        <v>0.1</v>
      </c>
      <c r="J203" s="32" t="n">
        <v>0.1</v>
      </c>
      <c r="K203" s="33" t="n">
        <v>0.1</v>
      </c>
      <c r="L203" s="34" t="n">
        <v>0.4</v>
      </c>
    </row>
    <row r="204" customFormat="false" ht="12.8" hidden="false" customHeight="false" outlineLevel="0" collapsed="false">
      <c r="A204" s="1" t="n">
        <v>36</v>
      </c>
      <c r="B204" s="9" t="s">
        <v>74</v>
      </c>
      <c r="C204" s="1" t="n">
        <v>0.2047</v>
      </c>
      <c r="D204" s="1" t="s">
        <v>71</v>
      </c>
      <c r="F204" s="57" t="s">
        <v>62</v>
      </c>
      <c r="G204" s="58"/>
      <c r="H204" s="36" t="n">
        <v>23.2001</v>
      </c>
      <c r="I204" s="37" t="n">
        <v>21.4001</v>
      </c>
      <c r="J204" s="37" t="n">
        <v>20.5003</v>
      </c>
      <c r="K204" s="38" t="n">
        <v>22.3001</v>
      </c>
      <c r="L204" s="39" t="n">
        <v>87.4005999999999</v>
      </c>
    </row>
    <row r="205" customFormat="false" ht="12.8" hidden="false" customHeight="false" outlineLevel="0" collapsed="false">
      <c r="A205" s="1" t="n">
        <v>36</v>
      </c>
      <c r="B205" s="9" t="s">
        <v>75</v>
      </c>
      <c r="C205" s="1" t="n">
        <v>0.1868</v>
      </c>
      <c r="D205" s="1" t="s">
        <v>71</v>
      </c>
    </row>
    <row r="206" customFormat="false" ht="12.8" hidden="false" customHeight="false" outlineLevel="0" collapsed="false">
      <c r="A206" s="1" t="n">
        <v>36</v>
      </c>
      <c r="B206" s="9" t="s">
        <v>81</v>
      </c>
      <c r="C206" s="1" t="n">
        <v>0.1773</v>
      </c>
      <c r="D206" s="1" t="s">
        <v>71</v>
      </c>
    </row>
    <row r="207" customFormat="false" ht="12.8" hidden="false" customHeight="false" outlineLevel="0" collapsed="false">
      <c r="A207" s="1" t="n">
        <v>36</v>
      </c>
      <c r="B207" s="9" t="s">
        <v>76</v>
      </c>
      <c r="C207" s="1" t="n">
        <v>0.1693</v>
      </c>
      <c r="D207" s="1" t="s">
        <v>71</v>
      </c>
      <c r="F207" s="13" t="s">
        <v>84</v>
      </c>
      <c r="G207" s="14" t="s">
        <v>66</v>
      </c>
      <c r="H207" s="15"/>
      <c r="I207" s="15"/>
      <c r="J207" s="15"/>
      <c r="K207" s="16"/>
    </row>
    <row r="208" customFormat="false" ht="12.8" hidden="false" customHeight="false" outlineLevel="0" collapsed="false">
      <c r="A208" s="1" t="n">
        <v>36</v>
      </c>
      <c r="B208" s="9" t="s">
        <v>77</v>
      </c>
      <c r="C208" s="1" t="n">
        <v>0.1619</v>
      </c>
      <c r="D208" s="1" t="s">
        <v>71</v>
      </c>
      <c r="F208" s="17" t="s">
        <v>64</v>
      </c>
      <c r="G208" s="42" t="s">
        <v>68</v>
      </c>
      <c r="H208" s="43" t="s">
        <v>71</v>
      </c>
      <c r="I208" s="43" t="s">
        <v>72</v>
      </c>
      <c r="J208" s="43" t="s">
        <v>73</v>
      </c>
      <c r="K208" s="20" t="s">
        <v>62</v>
      </c>
    </row>
    <row r="209" customFormat="false" ht="12.8" hidden="false" customHeight="false" outlineLevel="0" collapsed="false">
      <c r="A209" s="1" t="n">
        <v>36</v>
      </c>
      <c r="B209" s="9" t="s">
        <v>67</v>
      </c>
      <c r="C209" s="1" t="n">
        <v>0.1</v>
      </c>
      <c r="D209" s="1" t="s">
        <v>71</v>
      </c>
      <c r="F209" s="21" t="s">
        <v>79</v>
      </c>
      <c r="G209" s="22" t="n">
        <v>13</v>
      </c>
      <c r="H209" s="23" t="n">
        <v>13</v>
      </c>
      <c r="I209" s="23" t="n">
        <v>18</v>
      </c>
      <c r="J209" s="24" t="n">
        <v>10</v>
      </c>
      <c r="K209" s="25" t="n">
        <v>54</v>
      </c>
    </row>
    <row r="210" customFormat="false" ht="12.8" hidden="false" customHeight="false" outlineLevel="0" collapsed="false">
      <c r="A210" s="1" t="n">
        <v>38</v>
      </c>
      <c r="B210" s="9" t="s">
        <v>83</v>
      </c>
      <c r="C210" s="1" t="n">
        <v>0.9</v>
      </c>
      <c r="D210" s="1" t="s">
        <v>71</v>
      </c>
      <c r="F210" s="26" t="s">
        <v>70</v>
      </c>
      <c r="G210" s="27" t="n">
        <v>9</v>
      </c>
      <c r="H210" s="28" t="n">
        <v>3</v>
      </c>
      <c r="I210" s="28" t="n">
        <v>2</v>
      </c>
      <c r="J210" s="29" t="n">
        <v>1</v>
      </c>
      <c r="K210" s="30" t="n">
        <v>15</v>
      </c>
    </row>
    <row r="211" customFormat="false" ht="12.8" hidden="false" customHeight="false" outlineLevel="0" collapsed="false">
      <c r="A211" s="1" t="n">
        <v>38</v>
      </c>
      <c r="B211" s="9" t="s">
        <v>67</v>
      </c>
      <c r="C211" s="1" t="n">
        <v>0.1</v>
      </c>
      <c r="D211" s="1" t="s">
        <v>71</v>
      </c>
      <c r="F211" s="26" t="s">
        <v>77</v>
      </c>
      <c r="G211" s="27" t="n">
        <v>13</v>
      </c>
      <c r="H211" s="28" t="n">
        <v>12</v>
      </c>
      <c r="I211" s="28" t="n">
        <v>13</v>
      </c>
      <c r="J211" s="29" t="n">
        <v>14</v>
      </c>
      <c r="K211" s="30" t="n">
        <v>52</v>
      </c>
    </row>
    <row r="212" customFormat="false" ht="12.8" hidden="false" customHeight="false" outlineLevel="0" collapsed="false">
      <c r="A212" s="1" t="n">
        <v>40</v>
      </c>
      <c r="B212" s="9" t="s">
        <v>74</v>
      </c>
      <c r="C212" s="1" t="n">
        <v>0.4773</v>
      </c>
      <c r="D212" s="1" t="s">
        <v>71</v>
      </c>
      <c r="F212" s="26" t="s">
        <v>82</v>
      </c>
      <c r="G212" s="27" t="n">
        <v>2</v>
      </c>
      <c r="H212" s="28" t="n">
        <v>3</v>
      </c>
      <c r="I212" s="28" t="n">
        <v>2</v>
      </c>
      <c r="J212" s="29" t="n">
        <v>6</v>
      </c>
      <c r="K212" s="30" t="n">
        <v>13</v>
      </c>
    </row>
    <row r="213" customFormat="false" ht="12.8" hidden="false" customHeight="false" outlineLevel="0" collapsed="false">
      <c r="A213" s="1" t="n">
        <v>40</v>
      </c>
      <c r="B213" s="9" t="s">
        <v>75</v>
      </c>
      <c r="C213" s="1" t="n">
        <v>0.4227</v>
      </c>
      <c r="D213" s="1" t="s">
        <v>71</v>
      </c>
      <c r="F213" s="26" t="s">
        <v>78</v>
      </c>
      <c r="G213" s="27" t="n">
        <v>3</v>
      </c>
      <c r="H213" s="28" t="n">
        <v>5</v>
      </c>
      <c r="I213" s="28" t="n">
        <v>5</v>
      </c>
      <c r="J213" s="29" t="n">
        <v>2</v>
      </c>
      <c r="K213" s="30" t="n">
        <v>15</v>
      </c>
    </row>
    <row r="214" customFormat="false" ht="12.8" hidden="false" customHeight="false" outlineLevel="0" collapsed="false">
      <c r="A214" s="1" t="n">
        <v>40</v>
      </c>
      <c r="B214" s="9" t="s">
        <v>67</v>
      </c>
      <c r="C214" s="1" t="n">
        <v>0.1</v>
      </c>
      <c r="D214" s="1" t="s">
        <v>71</v>
      </c>
      <c r="F214" s="26" t="s">
        <v>81</v>
      </c>
      <c r="G214" s="27" t="n">
        <v>3</v>
      </c>
      <c r="H214" s="28" t="n">
        <v>11</v>
      </c>
      <c r="I214" s="28" t="n">
        <v>10</v>
      </c>
      <c r="J214" s="29" t="n">
        <v>10</v>
      </c>
      <c r="K214" s="30" t="n">
        <v>34</v>
      </c>
    </row>
    <row r="215" customFormat="false" ht="12.8" hidden="false" customHeight="false" outlineLevel="0" collapsed="false">
      <c r="A215" s="1" t="n">
        <v>42</v>
      </c>
      <c r="B215" s="9" t="s">
        <v>74</v>
      </c>
      <c r="C215" s="1" t="n">
        <v>0.1882</v>
      </c>
      <c r="D215" s="1" t="s">
        <v>71</v>
      </c>
      <c r="F215" s="26" t="s">
        <v>74</v>
      </c>
      <c r="G215" s="27" t="n">
        <v>22</v>
      </c>
      <c r="H215" s="28" t="n">
        <v>20</v>
      </c>
      <c r="I215" s="28" t="n">
        <v>19</v>
      </c>
      <c r="J215" s="29" t="n">
        <v>21</v>
      </c>
      <c r="K215" s="30" t="n">
        <v>82</v>
      </c>
    </row>
    <row r="216" customFormat="false" ht="12.8" hidden="false" customHeight="false" outlineLevel="0" collapsed="false">
      <c r="A216" s="1" t="n">
        <v>42</v>
      </c>
      <c r="B216" s="9" t="s">
        <v>79</v>
      </c>
      <c r="C216" s="1" t="n">
        <v>0.1864</v>
      </c>
      <c r="D216" s="1" t="s">
        <v>71</v>
      </c>
      <c r="F216" s="26" t="s">
        <v>83</v>
      </c>
      <c r="G216" s="27" t="n">
        <v>1</v>
      </c>
      <c r="H216" s="28" t="n">
        <v>1</v>
      </c>
      <c r="I216" s="28"/>
      <c r="J216" s="29" t="n">
        <v>2</v>
      </c>
      <c r="K216" s="30" t="n">
        <v>4</v>
      </c>
    </row>
    <row r="217" customFormat="false" ht="12.8" hidden="false" customHeight="false" outlineLevel="0" collapsed="false">
      <c r="A217" s="1" t="n">
        <v>42</v>
      </c>
      <c r="B217" s="9" t="s">
        <v>77</v>
      </c>
      <c r="C217" s="1" t="n">
        <v>0.1586</v>
      </c>
      <c r="D217" s="1" t="s">
        <v>71</v>
      </c>
      <c r="F217" s="26" t="s">
        <v>76</v>
      </c>
      <c r="G217" s="27" t="n">
        <v>19</v>
      </c>
      <c r="H217" s="28" t="n">
        <v>14</v>
      </c>
      <c r="I217" s="28" t="n">
        <v>17</v>
      </c>
      <c r="J217" s="29" t="n">
        <v>17</v>
      </c>
      <c r="K217" s="30" t="n">
        <v>67</v>
      </c>
    </row>
    <row r="218" customFormat="false" ht="12.8" hidden="false" customHeight="false" outlineLevel="0" collapsed="false">
      <c r="A218" s="1" t="n">
        <v>42</v>
      </c>
      <c r="B218" s="9" t="s">
        <v>76</v>
      </c>
      <c r="C218" s="1" t="n">
        <v>0.1579</v>
      </c>
      <c r="D218" s="1" t="s">
        <v>71</v>
      </c>
      <c r="F218" s="26" t="s">
        <v>75</v>
      </c>
      <c r="G218" s="27" t="n">
        <v>14</v>
      </c>
      <c r="H218" s="28" t="n">
        <v>6</v>
      </c>
      <c r="I218" s="28" t="n">
        <v>4</v>
      </c>
      <c r="J218" s="29" t="n">
        <v>18</v>
      </c>
      <c r="K218" s="30" t="n">
        <v>42</v>
      </c>
    </row>
    <row r="219" customFormat="false" ht="12.8" hidden="false" customHeight="false" outlineLevel="0" collapsed="false">
      <c r="A219" s="1" t="n">
        <v>42</v>
      </c>
      <c r="B219" s="9" t="s">
        <v>78</v>
      </c>
      <c r="C219" s="1" t="n">
        <v>0.1551</v>
      </c>
      <c r="D219" s="1" t="s">
        <v>71</v>
      </c>
      <c r="F219" s="26" t="s">
        <v>67</v>
      </c>
      <c r="G219" s="31" t="n">
        <v>25</v>
      </c>
      <c r="H219" s="32" t="n">
        <v>25</v>
      </c>
      <c r="I219" s="32" t="n">
        <v>25</v>
      </c>
      <c r="J219" s="33" t="n">
        <v>25</v>
      </c>
      <c r="K219" s="34" t="n">
        <v>100</v>
      </c>
    </row>
    <row r="220" customFormat="false" ht="12.8" hidden="false" customHeight="false" outlineLevel="0" collapsed="false">
      <c r="A220" s="1" t="n">
        <v>42</v>
      </c>
      <c r="B220" s="9" t="s">
        <v>67</v>
      </c>
      <c r="C220" s="1" t="n">
        <v>0.1538</v>
      </c>
      <c r="D220" s="1" t="s">
        <v>71</v>
      </c>
      <c r="F220" s="35" t="s">
        <v>62</v>
      </c>
      <c r="G220" s="36" t="n">
        <v>124</v>
      </c>
      <c r="H220" s="37" t="n">
        <v>113</v>
      </c>
      <c r="I220" s="37" t="n">
        <v>115</v>
      </c>
      <c r="J220" s="38" t="n">
        <v>126</v>
      </c>
      <c r="K220" s="39" t="n">
        <v>478</v>
      </c>
    </row>
    <row r="221" customFormat="false" ht="12.8" hidden="false" customHeight="false" outlineLevel="0" collapsed="false">
      <c r="A221" s="1" t="n">
        <v>44</v>
      </c>
      <c r="B221" s="9" t="s">
        <v>74</v>
      </c>
      <c r="C221" s="1" t="n">
        <v>0.1921</v>
      </c>
      <c r="D221" s="1" t="s">
        <v>71</v>
      </c>
    </row>
    <row r="222" customFormat="false" ht="12.8" hidden="false" customHeight="false" outlineLevel="0" collapsed="false">
      <c r="A222" s="1" t="n">
        <v>44</v>
      </c>
      <c r="B222" s="9" t="s">
        <v>77</v>
      </c>
      <c r="C222" s="1" t="n">
        <v>0.1868</v>
      </c>
      <c r="D222" s="1" t="s">
        <v>71</v>
      </c>
    </row>
    <row r="223" customFormat="false" ht="12.8" hidden="false" customHeight="false" outlineLevel="0" collapsed="false">
      <c r="A223" s="1" t="n">
        <v>44</v>
      </c>
      <c r="B223" s="9" t="s">
        <v>76</v>
      </c>
      <c r="C223" s="1" t="n">
        <v>0.1859</v>
      </c>
      <c r="D223" s="1" t="s">
        <v>71</v>
      </c>
      <c r="F223" s="59" t="s">
        <v>85</v>
      </c>
    </row>
    <row r="224" customFormat="false" ht="12.8" hidden="false" customHeight="false" outlineLevel="0" collapsed="false">
      <c r="A224" s="1" t="n">
        <v>44</v>
      </c>
      <c r="B224" s="9" t="s">
        <v>82</v>
      </c>
      <c r="C224" s="1" t="n">
        <v>0.1706</v>
      </c>
      <c r="D224" s="1" t="s">
        <v>71</v>
      </c>
    </row>
    <row r="225" customFormat="false" ht="12.8" hidden="false" customHeight="false" outlineLevel="0" collapsed="false">
      <c r="A225" s="1" t="n">
        <v>44</v>
      </c>
      <c r="B225" s="9" t="s">
        <v>79</v>
      </c>
      <c r="C225" s="1" t="n">
        <v>0.1646</v>
      </c>
      <c r="D225" s="1" t="s">
        <v>71</v>
      </c>
      <c r="F225" s="60" t="s">
        <v>84</v>
      </c>
      <c r="G225" s="61" t="s">
        <v>66</v>
      </c>
      <c r="H225" s="62"/>
      <c r="I225" s="62"/>
      <c r="J225" s="62"/>
      <c r="K225" s="63"/>
    </row>
    <row r="226" customFormat="false" ht="12.8" hidden="false" customHeight="false" outlineLevel="0" collapsed="false">
      <c r="A226" s="1" t="n">
        <v>44</v>
      </c>
      <c r="B226" s="9" t="s">
        <v>67</v>
      </c>
      <c r="C226" s="1" t="n">
        <v>0.1</v>
      </c>
      <c r="D226" s="1" t="s">
        <v>71</v>
      </c>
      <c r="F226" s="64" t="s">
        <v>64</v>
      </c>
      <c r="G226" s="65" t="s">
        <v>68</v>
      </c>
      <c r="H226" s="66" t="s">
        <v>71</v>
      </c>
      <c r="I226" s="66" t="s">
        <v>72</v>
      </c>
      <c r="J226" s="66" t="s">
        <v>73</v>
      </c>
      <c r="K226" s="67" t="s">
        <v>62</v>
      </c>
    </row>
    <row r="227" customFormat="false" ht="12.8" hidden="false" customHeight="false" outlineLevel="0" collapsed="false">
      <c r="A227" s="1" t="n">
        <v>46</v>
      </c>
      <c r="B227" s="9" t="s">
        <v>74</v>
      </c>
      <c r="C227" s="1" t="n">
        <v>0.2159</v>
      </c>
      <c r="D227" s="1" t="s">
        <v>71</v>
      </c>
      <c r="F227" s="68" t="s">
        <v>79</v>
      </c>
      <c r="G227" s="69" t="n">
        <v>13</v>
      </c>
      <c r="H227" s="70" t="n">
        <v>13</v>
      </c>
      <c r="I227" s="70" t="n">
        <v>18</v>
      </c>
      <c r="J227" s="71" t="n">
        <v>10</v>
      </c>
      <c r="K227" s="72" t="n">
        <v>54</v>
      </c>
    </row>
    <row r="228" customFormat="false" ht="12.8" hidden="false" customHeight="false" outlineLevel="0" collapsed="false">
      <c r="A228" s="1" t="n">
        <v>46</v>
      </c>
      <c r="B228" s="9" t="s">
        <v>79</v>
      </c>
      <c r="C228" s="1" t="n">
        <v>0.1766</v>
      </c>
      <c r="D228" s="1" t="s">
        <v>71</v>
      </c>
      <c r="F228" s="73" t="s">
        <v>70</v>
      </c>
      <c r="G228" s="74" t="n">
        <v>9</v>
      </c>
      <c r="H228" s="75" t="n">
        <v>3</v>
      </c>
      <c r="I228" s="75" t="n">
        <v>2</v>
      </c>
      <c r="J228" s="76" t="n">
        <v>1</v>
      </c>
      <c r="K228" s="77" t="n">
        <v>15</v>
      </c>
    </row>
    <row r="229" customFormat="false" ht="12.8" hidden="false" customHeight="false" outlineLevel="0" collapsed="false">
      <c r="A229" s="1" t="n">
        <v>46</v>
      </c>
      <c r="B229" s="9" t="s">
        <v>81</v>
      </c>
      <c r="C229" s="1" t="n">
        <v>0.1746</v>
      </c>
      <c r="D229" s="1" t="s">
        <v>71</v>
      </c>
      <c r="F229" s="73" t="s">
        <v>77</v>
      </c>
      <c r="G229" s="74" t="n">
        <v>13</v>
      </c>
      <c r="H229" s="75" t="n">
        <v>12</v>
      </c>
      <c r="I229" s="75" t="n">
        <v>13</v>
      </c>
      <c r="J229" s="76" t="n">
        <v>14</v>
      </c>
      <c r="K229" s="77" t="n">
        <v>52</v>
      </c>
    </row>
    <row r="230" customFormat="false" ht="12.8" hidden="false" customHeight="false" outlineLevel="0" collapsed="false">
      <c r="A230" s="1" t="n">
        <v>46</v>
      </c>
      <c r="B230" s="9" t="s">
        <v>78</v>
      </c>
      <c r="C230" s="1" t="n">
        <v>0.1666</v>
      </c>
      <c r="D230" s="1" t="s">
        <v>71</v>
      </c>
      <c r="F230" s="73" t="s">
        <v>82</v>
      </c>
      <c r="G230" s="74" t="n">
        <v>2</v>
      </c>
      <c r="H230" s="75" t="n">
        <v>3</v>
      </c>
      <c r="I230" s="75" t="n">
        <v>2</v>
      </c>
      <c r="J230" s="76" t="n">
        <v>6</v>
      </c>
      <c r="K230" s="77" t="n">
        <v>13</v>
      </c>
    </row>
    <row r="231" customFormat="false" ht="12.8" hidden="false" customHeight="false" outlineLevel="0" collapsed="false">
      <c r="A231" s="1" t="n">
        <v>46</v>
      </c>
      <c r="B231" s="9" t="s">
        <v>76</v>
      </c>
      <c r="C231" s="1" t="n">
        <v>0.1664</v>
      </c>
      <c r="D231" s="1" t="s">
        <v>71</v>
      </c>
      <c r="F231" s="73" t="s">
        <v>78</v>
      </c>
      <c r="G231" s="74" t="n">
        <v>3</v>
      </c>
      <c r="H231" s="75" t="n">
        <v>5</v>
      </c>
      <c r="I231" s="75" t="n">
        <v>5</v>
      </c>
      <c r="J231" s="76" t="n">
        <v>2</v>
      </c>
      <c r="K231" s="77" t="n">
        <v>15</v>
      </c>
    </row>
    <row r="232" customFormat="false" ht="12.8" hidden="false" customHeight="false" outlineLevel="0" collapsed="false">
      <c r="A232" s="1" t="n">
        <v>46</v>
      </c>
      <c r="B232" s="9" t="s">
        <v>67</v>
      </c>
      <c r="C232" s="1" t="n">
        <v>0.1</v>
      </c>
      <c r="D232" s="1" t="s">
        <v>71</v>
      </c>
      <c r="F232" s="73" t="s">
        <v>81</v>
      </c>
      <c r="G232" s="74" t="n">
        <v>3</v>
      </c>
      <c r="H232" s="75" t="n">
        <v>11</v>
      </c>
      <c r="I232" s="75" t="n">
        <v>10</v>
      </c>
      <c r="J232" s="76" t="n">
        <v>10</v>
      </c>
      <c r="K232" s="77" t="n">
        <v>34</v>
      </c>
    </row>
    <row r="233" customFormat="false" ht="12.8" hidden="false" customHeight="false" outlineLevel="0" collapsed="false">
      <c r="A233" s="1" t="n">
        <v>48</v>
      </c>
      <c r="B233" s="9" t="s">
        <v>74</v>
      </c>
      <c r="C233" s="1" t="n">
        <v>0.2101</v>
      </c>
      <c r="D233" s="1" t="s">
        <v>71</v>
      </c>
      <c r="F233" s="73" t="s">
        <v>74</v>
      </c>
      <c r="G233" s="74" t="n">
        <v>22</v>
      </c>
      <c r="H233" s="75" t="n">
        <v>20</v>
      </c>
      <c r="I233" s="75" t="n">
        <v>19</v>
      </c>
      <c r="J233" s="76" t="n">
        <v>21</v>
      </c>
      <c r="K233" s="77" t="n">
        <v>82</v>
      </c>
    </row>
    <row r="234" customFormat="false" ht="12.8" hidden="false" customHeight="false" outlineLevel="0" collapsed="false">
      <c r="A234" s="1" t="n">
        <v>48</v>
      </c>
      <c r="B234" s="9" t="s">
        <v>77</v>
      </c>
      <c r="C234" s="1" t="n">
        <v>0.1843</v>
      </c>
      <c r="D234" s="1" t="s">
        <v>71</v>
      </c>
      <c r="F234" s="73" t="s">
        <v>83</v>
      </c>
      <c r="G234" s="74" t="n">
        <v>1</v>
      </c>
      <c r="H234" s="75" t="n">
        <v>1</v>
      </c>
      <c r="I234" s="75" t="n">
        <v>0</v>
      </c>
      <c r="J234" s="76" t="n">
        <v>2</v>
      </c>
      <c r="K234" s="77" t="n">
        <v>4</v>
      </c>
    </row>
    <row r="235" customFormat="false" ht="12.8" hidden="false" customHeight="false" outlineLevel="0" collapsed="false">
      <c r="A235" s="1" t="n">
        <v>48</v>
      </c>
      <c r="B235" s="9" t="s">
        <v>78</v>
      </c>
      <c r="C235" s="1" t="n">
        <v>0.1701</v>
      </c>
      <c r="D235" s="1" t="s">
        <v>71</v>
      </c>
      <c r="F235" s="73" t="s">
        <v>76</v>
      </c>
      <c r="G235" s="74" t="n">
        <v>19</v>
      </c>
      <c r="H235" s="75" t="n">
        <v>14</v>
      </c>
      <c r="I235" s="75" t="n">
        <v>17</v>
      </c>
      <c r="J235" s="76" t="n">
        <v>17</v>
      </c>
      <c r="K235" s="77" t="n">
        <v>67</v>
      </c>
    </row>
    <row r="236" customFormat="false" ht="12.8" hidden="false" customHeight="false" outlineLevel="0" collapsed="false">
      <c r="A236" s="1" t="n">
        <v>48</v>
      </c>
      <c r="B236" s="9" t="s">
        <v>76</v>
      </c>
      <c r="C236" s="1" t="n">
        <v>0.1685</v>
      </c>
      <c r="D236" s="1" t="s">
        <v>71</v>
      </c>
      <c r="F236" s="73" t="s">
        <v>75</v>
      </c>
      <c r="G236" s="74" t="n">
        <v>14</v>
      </c>
      <c r="H236" s="75" t="n">
        <v>6</v>
      </c>
      <c r="I236" s="75" t="n">
        <v>4</v>
      </c>
      <c r="J236" s="76" t="n">
        <v>18</v>
      </c>
      <c r="K236" s="77" t="n">
        <v>42</v>
      </c>
    </row>
    <row r="237" customFormat="false" ht="12.8" hidden="false" customHeight="false" outlineLevel="0" collapsed="false">
      <c r="A237" s="1" t="n">
        <v>48</v>
      </c>
      <c r="B237" s="9" t="s">
        <v>81</v>
      </c>
      <c r="C237" s="1" t="n">
        <v>0.167</v>
      </c>
      <c r="D237" s="1" t="s">
        <v>71</v>
      </c>
      <c r="F237" s="73" t="s">
        <v>67</v>
      </c>
      <c r="G237" s="78" t="n">
        <v>25</v>
      </c>
      <c r="H237" s="79" t="n">
        <v>25</v>
      </c>
      <c r="I237" s="79" t="n">
        <v>25</v>
      </c>
      <c r="J237" s="80" t="n">
        <v>25</v>
      </c>
      <c r="K237" s="81" t="n">
        <v>100</v>
      </c>
    </row>
    <row r="238" customFormat="false" ht="12.8" hidden="false" customHeight="false" outlineLevel="0" collapsed="false">
      <c r="A238" s="1" t="n">
        <v>48</v>
      </c>
      <c r="B238" s="9" t="s">
        <v>67</v>
      </c>
      <c r="C238" s="1" t="n">
        <v>0.1</v>
      </c>
      <c r="D238" s="1" t="s">
        <v>71</v>
      </c>
      <c r="F238" s="82" t="s">
        <v>62</v>
      </c>
      <c r="G238" s="83" t="n">
        <v>124</v>
      </c>
      <c r="H238" s="84" t="n">
        <v>113</v>
      </c>
      <c r="I238" s="84" t="n">
        <v>115</v>
      </c>
      <c r="J238" s="85" t="n">
        <v>126</v>
      </c>
      <c r="K238" s="86" t="n">
        <v>478</v>
      </c>
    </row>
    <row r="239" customFormat="false" ht="12.8" hidden="false" customHeight="false" outlineLevel="0" collapsed="false">
      <c r="A239" s="1" t="n">
        <v>0</v>
      </c>
      <c r="B239" s="9" t="s">
        <v>67</v>
      </c>
      <c r="C239" s="1" t="n">
        <v>0.1</v>
      </c>
      <c r="D239" s="1" t="s">
        <v>72</v>
      </c>
    </row>
    <row r="240" customFormat="false" ht="12.8" hidden="false" customHeight="false" outlineLevel="0" collapsed="false">
      <c r="A240" s="1" t="n">
        <v>2</v>
      </c>
      <c r="B240" s="9" t="s">
        <v>74</v>
      </c>
      <c r="C240" s="1" t="n">
        <v>0.3369</v>
      </c>
      <c r="D240" s="1" t="s">
        <v>72</v>
      </c>
      <c r="F240" s="5" t="s">
        <v>86</v>
      </c>
    </row>
    <row r="241" customFormat="false" ht="12.8" hidden="false" customHeight="false" outlineLevel="0" collapsed="false">
      <c r="A241" s="1" t="n">
        <v>2</v>
      </c>
      <c r="B241" s="9" t="s">
        <v>79</v>
      </c>
      <c r="C241" s="1" t="n">
        <v>0.2849</v>
      </c>
      <c r="D241" s="1" t="s">
        <v>72</v>
      </c>
      <c r="F241" s="1" t="s">
        <v>7</v>
      </c>
      <c r="G241" s="1" t="n">
        <v>0.05</v>
      </c>
    </row>
    <row r="242" customFormat="false" ht="12.8" hidden="false" customHeight="false" outlineLevel="0" collapsed="false">
      <c r="A242" s="1" t="n">
        <v>2</v>
      </c>
      <c r="B242" s="9" t="s">
        <v>75</v>
      </c>
      <c r="C242" s="1" t="n">
        <v>0.2782</v>
      </c>
      <c r="D242" s="1" t="s">
        <v>72</v>
      </c>
      <c r="F242" s="1" t="s">
        <v>20</v>
      </c>
      <c r="G242" s="1" t="n">
        <f aca="false">(COLUMNS(anchor_raw_information!$G$227:$J$237) - 1) * (ROWS(anchor_raw_information!$G$227:$J$237) - 1)</f>
        <v>30</v>
      </c>
    </row>
    <row r="243" customFormat="false" ht="12.8" hidden="false" customHeight="false" outlineLevel="0" collapsed="false">
      <c r="A243" s="1" t="n">
        <v>2</v>
      </c>
      <c r="B243" s="9" t="s">
        <v>67</v>
      </c>
      <c r="C243" s="1" t="n">
        <v>0.1</v>
      </c>
      <c r="D243" s="1" t="s">
        <v>72</v>
      </c>
      <c r="F243" s="1" t="s">
        <v>23</v>
      </c>
      <c r="G243" s="1" t="n">
        <f aca="false">CHITEST(anchor_raw_information!$G$227:$J$237, MMULT(MMULT(anchor_raw_information!$G$227:$J$237,TRANSPOSE(IF(COLUMN(anchor_raw_information!$G$227:$J$237),TRUE()))),MMULT(TRANSPOSE(IF(ROW(anchor_raw_information!$G$227:$J$237),TRUE())),anchor_raw_information!$G$227:$J$237)) / SUM(anchor_raw_information!$G$227:$J$237))</f>
        <v>0.185575201800211</v>
      </c>
    </row>
    <row r="244" customFormat="false" ht="12.8" hidden="false" customHeight="false" outlineLevel="0" collapsed="false">
      <c r="A244" s="1" t="n">
        <v>4</v>
      </c>
      <c r="B244" s="9" t="s">
        <v>74</v>
      </c>
      <c r="C244" s="1" t="n">
        <v>0.2505</v>
      </c>
      <c r="D244" s="1" t="s">
        <v>72</v>
      </c>
      <c r="F244" s="1" t="s">
        <v>87</v>
      </c>
      <c r="G244" s="1" t="n">
        <f aca="false">CHIINV(anchor_raw_information!$G$243, anchor_raw_information!$G$242)</f>
        <v>36.7156301514281</v>
      </c>
    </row>
    <row r="245" customFormat="false" ht="12.8" hidden="false" customHeight="false" outlineLevel="0" collapsed="false">
      <c r="A245" s="1" t="n">
        <v>4</v>
      </c>
      <c r="B245" s="9" t="s">
        <v>79</v>
      </c>
      <c r="C245" s="1" t="n">
        <v>0.2208</v>
      </c>
      <c r="D245" s="1" t="s">
        <v>72</v>
      </c>
      <c r="F245" s="1" t="s">
        <v>88</v>
      </c>
      <c r="G245" s="1" t="n">
        <f aca="false">CHIINV(anchor_raw_information!$G$241, anchor_raw_information!$G$242)</f>
        <v>43.7729718257422</v>
      </c>
    </row>
    <row r="246" customFormat="false" ht="12.8" hidden="false" customHeight="false" outlineLevel="0" collapsed="false">
      <c r="A246" s="1" t="n">
        <v>4</v>
      </c>
      <c r="B246" s="9" t="s">
        <v>76</v>
      </c>
      <c r="C246" s="1" t="n">
        <v>0.2168</v>
      </c>
      <c r="D246" s="1" t="s">
        <v>72</v>
      </c>
    </row>
    <row r="247" customFormat="false" ht="12.8" hidden="false" customHeight="false" outlineLevel="0" collapsed="false">
      <c r="A247" s="1" t="n">
        <v>4</v>
      </c>
      <c r="B247" s="9" t="s">
        <v>70</v>
      </c>
      <c r="C247" s="1" t="n">
        <v>0.2119</v>
      </c>
      <c r="D247" s="1" t="s">
        <v>72</v>
      </c>
    </row>
    <row r="248" customFormat="false" ht="12.8" hidden="false" customHeight="false" outlineLevel="0" collapsed="false">
      <c r="A248" s="1" t="n">
        <v>4</v>
      </c>
      <c r="B248" s="9" t="s">
        <v>67</v>
      </c>
      <c r="C248" s="1" t="n">
        <v>0.1</v>
      </c>
      <c r="D248" s="1" t="s">
        <v>72</v>
      </c>
    </row>
    <row r="249" customFormat="false" ht="12.8" hidden="false" customHeight="false" outlineLevel="0" collapsed="false">
      <c r="A249" s="1" t="n">
        <v>6</v>
      </c>
      <c r="B249" s="9" t="s">
        <v>67</v>
      </c>
      <c r="C249" s="1" t="n">
        <v>0.1</v>
      </c>
      <c r="D249" s="1" t="s">
        <v>72</v>
      </c>
      <c r="F249" s="5" t="s">
        <v>89</v>
      </c>
    </row>
    <row r="250" customFormat="false" ht="12.8" hidden="false" customHeight="false" outlineLevel="0" collapsed="false">
      <c r="A250" s="1" t="n">
        <v>8</v>
      </c>
      <c r="B250" s="9" t="s">
        <v>74</v>
      </c>
      <c r="C250" s="1" t="n">
        <v>0.2105</v>
      </c>
      <c r="D250" s="1" t="s">
        <v>72</v>
      </c>
    </row>
    <row r="251" customFormat="false" ht="12.8" hidden="false" customHeight="false" outlineLevel="0" collapsed="false">
      <c r="A251" s="1" t="n">
        <v>8</v>
      </c>
      <c r="B251" s="9" t="s">
        <v>79</v>
      </c>
      <c r="C251" s="1" t="n">
        <v>0.1964</v>
      </c>
      <c r="D251" s="1" t="s">
        <v>72</v>
      </c>
      <c r="F251" s="60" t="s">
        <v>84</v>
      </c>
      <c r="G251" s="61" t="s">
        <v>66</v>
      </c>
      <c r="H251" s="62"/>
      <c r="I251" s="62"/>
      <c r="J251" s="62"/>
      <c r="K251" s="63"/>
    </row>
    <row r="252" customFormat="false" ht="12.8" hidden="false" customHeight="false" outlineLevel="0" collapsed="false">
      <c r="A252" s="1" t="n">
        <v>8</v>
      </c>
      <c r="B252" s="9" t="s">
        <v>76</v>
      </c>
      <c r="C252" s="1" t="n">
        <v>0.1661</v>
      </c>
      <c r="D252" s="1" t="s">
        <v>72</v>
      </c>
      <c r="F252" s="64" t="s">
        <v>64</v>
      </c>
      <c r="G252" s="65" t="s">
        <v>68</v>
      </c>
      <c r="H252" s="66" t="s">
        <v>71</v>
      </c>
      <c r="I252" s="66" t="s">
        <v>72</v>
      </c>
      <c r="J252" s="66" t="s">
        <v>73</v>
      </c>
      <c r="K252" s="67" t="s">
        <v>62</v>
      </c>
    </row>
    <row r="253" customFormat="false" ht="12.8" hidden="false" customHeight="false" outlineLevel="0" collapsed="false">
      <c r="A253" s="1" t="n">
        <v>8</v>
      </c>
      <c r="B253" s="9" t="s">
        <v>77</v>
      </c>
      <c r="C253" s="1" t="n">
        <v>0.1641</v>
      </c>
      <c r="D253" s="1" t="s">
        <v>72</v>
      </c>
      <c r="F253" s="68" t="s">
        <v>79</v>
      </c>
      <c r="G253" s="69" t="n">
        <v>13</v>
      </c>
      <c r="H253" s="70" t="n">
        <v>13</v>
      </c>
      <c r="I253" s="70" t="n">
        <v>18</v>
      </c>
      <c r="J253" s="71" t="n">
        <v>10</v>
      </c>
      <c r="K253" s="72" t="n">
        <v>54</v>
      </c>
    </row>
    <row r="254" customFormat="false" ht="12.8" hidden="false" customHeight="false" outlineLevel="0" collapsed="false">
      <c r="A254" s="1" t="n">
        <v>8</v>
      </c>
      <c r="B254" s="9" t="s">
        <v>78</v>
      </c>
      <c r="C254" s="1" t="n">
        <v>0.1629</v>
      </c>
      <c r="D254" s="1" t="s">
        <v>72</v>
      </c>
      <c r="F254" s="73" t="s">
        <v>70</v>
      </c>
      <c r="G254" s="74" t="n">
        <v>9</v>
      </c>
      <c r="H254" s="75" t="n">
        <v>3</v>
      </c>
      <c r="I254" s="75" t="n">
        <v>2</v>
      </c>
      <c r="J254" s="76" t="n">
        <v>1</v>
      </c>
      <c r="K254" s="77" t="n">
        <v>15</v>
      </c>
    </row>
    <row r="255" customFormat="false" ht="12.8" hidden="false" customHeight="false" outlineLevel="0" collapsed="false">
      <c r="A255" s="1" t="n">
        <v>8</v>
      </c>
      <c r="B255" s="9" t="s">
        <v>67</v>
      </c>
      <c r="C255" s="1" t="n">
        <v>0.1</v>
      </c>
      <c r="D255" s="1" t="s">
        <v>72</v>
      </c>
      <c r="F255" s="73" t="s">
        <v>77</v>
      </c>
      <c r="G255" s="74" t="n">
        <v>13</v>
      </c>
      <c r="H255" s="75" t="n">
        <v>12</v>
      </c>
      <c r="I255" s="75" t="n">
        <v>13</v>
      </c>
      <c r="J255" s="76" t="n">
        <v>14</v>
      </c>
      <c r="K255" s="77" t="n">
        <v>52</v>
      </c>
    </row>
    <row r="256" customFormat="false" ht="12.8" hidden="false" customHeight="false" outlineLevel="0" collapsed="false">
      <c r="A256" s="1" t="n">
        <v>10</v>
      </c>
      <c r="B256" s="9" t="s">
        <v>67</v>
      </c>
      <c r="C256" s="1" t="n">
        <v>0.1</v>
      </c>
      <c r="D256" s="1" t="s">
        <v>72</v>
      </c>
      <c r="F256" s="73" t="s">
        <v>82</v>
      </c>
      <c r="G256" s="74" t="n">
        <v>2</v>
      </c>
      <c r="H256" s="75" t="n">
        <v>3</v>
      </c>
      <c r="I256" s="75" t="n">
        <v>2</v>
      </c>
      <c r="J256" s="76" t="n">
        <v>6</v>
      </c>
      <c r="K256" s="77" t="n">
        <v>13</v>
      </c>
    </row>
    <row r="257" customFormat="false" ht="12.8" hidden="false" customHeight="false" outlineLevel="0" collapsed="false">
      <c r="A257" s="1" t="n">
        <v>12</v>
      </c>
      <c r="B257" s="9" t="s">
        <v>79</v>
      </c>
      <c r="C257" s="1" t="n">
        <v>0.2542</v>
      </c>
      <c r="D257" s="1" t="s">
        <v>72</v>
      </c>
      <c r="F257" s="73" t="s">
        <v>78</v>
      </c>
      <c r="G257" s="74" t="n">
        <v>3</v>
      </c>
      <c r="H257" s="75" t="n">
        <v>5</v>
      </c>
      <c r="I257" s="75" t="n">
        <v>5</v>
      </c>
      <c r="J257" s="76" t="n">
        <v>2</v>
      </c>
      <c r="K257" s="77" t="n">
        <v>15</v>
      </c>
    </row>
    <row r="258" customFormat="false" ht="12.8" hidden="false" customHeight="false" outlineLevel="0" collapsed="false">
      <c r="A258" s="1" t="n">
        <v>12</v>
      </c>
      <c r="B258" s="9" t="s">
        <v>76</v>
      </c>
      <c r="C258" s="1" t="n">
        <v>0.2385</v>
      </c>
      <c r="D258" s="1" t="s">
        <v>72</v>
      </c>
      <c r="F258" s="73" t="s">
        <v>81</v>
      </c>
      <c r="G258" s="74" t="n">
        <v>3</v>
      </c>
      <c r="H258" s="75" t="n">
        <v>11</v>
      </c>
      <c r="I258" s="75" t="n">
        <v>10</v>
      </c>
      <c r="J258" s="76" t="n">
        <v>10</v>
      </c>
      <c r="K258" s="77" t="n">
        <v>34</v>
      </c>
    </row>
    <row r="259" customFormat="false" ht="12.8" hidden="false" customHeight="false" outlineLevel="0" collapsed="false">
      <c r="A259" s="1" t="n">
        <v>12</v>
      </c>
      <c r="B259" s="9" t="s">
        <v>74</v>
      </c>
      <c r="C259" s="1" t="n">
        <v>0.2205</v>
      </c>
      <c r="D259" s="1" t="s">
        <v>72</v>
      </c>
      <c r="F259" s="73" t="s">
        <v>74</v>
      </c>
      <c r="G259" s="74" t="n">
        <v>22</v>
      </c>
      <c r="H259" s="75" t="n">
        <v>20</v>
      </c>
      <c r="I259" s="75" t="n">
        <v>19</v>
      </c>
      <c r="J259" s="76" t="n">
        <v>21</v>
      </c>
      <c r="K259" s="77" t="n">
        <v>82</v>
      </c>
    </row>
    <row r="260" customFormat="false" ht="12.8" hidden="false" customHeight="false" outlineLevel="0" collapsed="false">
      <c r="A260" s="1" t="n">
        <v>12</v>
      </c>
      <c r="B260" s="9" t="s">
        <v>77</v>
      </c>
      <c r="C260" s="1" t="n">
        <v>0.1869</v>
      </c>
      <c r="D260" s="1" t="s">
        <v>72</v>
      </c>
      <c r="F260" s="73" t="s">
        <v>76</v>
      </c>
      <c r="G260" s="74" t="n">
        <v>19</v>
      </c>
      <c r="H260" s="75" t="n">
        <v>14</v>
      </c>
      <c r="I260" s="75" t="n">
        <v>17</v>
      </c>
      <c r="J260" s="76" t="n">
        <v>17</v>
      </c>
      <c r="K260" s="77" t="n">
        <v>67</v>
      </c>
    </row>
    <row r="261" customFormat="false" ht="12.8" hidden="false" customHeight="false" outlineLevel="0" collapsed="false">
      <c r="A261" s="1" t="n">
        <v>12</v>
      </c>
      <c r="B261" s="9" t="s">
        <v>67</v>
      </c>
      <c r="C261" s="1" t="n">
        <v>0.1</v>
      </c>
      <c r="D261" s="1" t="s">
        <v>72</v>
      </c>
      <c r="F261" s="73" t="s">
        <v>75</v>
      </c>
      <c r="G261" s="74" t="n">
        <v>14</v>
      </c>
      <c r="H261" s="75" t="n">
        <v>6</v>
      </c>
      <c r="I261" s="75" t="n">
        <v>4</v>
      </c>
      <c r="J261" s="76" t="n">
        <v>18</v>
      </c>
      <c r="K261" s="77" t="n">
        <v>42</v>
      </c>
    </row>
    <row r="262" customFormat="false" ht="12.8" hidden="false" customHeight="false" outlineLevel="0" collapsed="false">
      <c r="A262" s="1" t="n">
        <v>14</v>
      </c>
      <c r="B262" s="9" t="s">
        <v>76</v>
      </c>
      <c r="C262" s="1" t="n">
        <v>0.9</v>
      </c>
      <c r="D262" s="1" t="s">
        <v>72</v>
      </c>
      <c r="F262" s="82" t="s">
        <v>62</v>
      </c>
      <c r="G262" s="83" t="n">
        <v>124</v>
      </c>
      <c r="H262" s="84" t="n">
        <v>113</v>
      </c>
      <c r="I262" s="84" t="n">
        <v>115</v>
      </c>
      <c r="J262" s="85" t="n">
        <v>126</v>
      </c>
      <c r="K262" s="86" t="n">
        <v>478</v>
      </c>
    </row>
    <row r="263" customFormat="false" ht="12.8" hidden="false" customHeight="false" outlineLevel="0" collapsed="false">
      <c r="A263" s="1" t="n">
        <v>14</v>
      </c>
      <c r="B263" s="9" t="s">
        <v>67</v>
      </c>
      <c r="C263" s="1" t="n">
        <v>0.1</v>
      </c>
      <c r="D263" s="1" t="s">
        <v>72</v>
      </c>
    </row>
    <row r="264" customFormat="false" ht="12.8" hidden="false" customHeight="false" outlineLevel="0" collapsed="false">
      <c r="A264" s="1" t="n">
        <v>16</v>
      </c>
      <c r="B264" s="9" t="s">
        <v>67</v>
      </c>
      <c r="C264" s="1" t="n">
        <v>0.1</v>
      </c>
      <c r="D264" s="1" t="s">
        <v>72</v>
      </c>
      <c r="F264" s="5" t="s">
        <v>86</v>
      </c>
    </row>
    <row r="265" customFormat="false" ht="12.8" hidden="false" customHeight="false" outlineLevel="0" collapsed="false">
      <c r="A265" s="1" t="n">
        <v>18</v>
      </c>
      <c r="B265" s="9" t="s">
        <v>74</v>
      </c>
      <c r="C265" s="1" t="n">
        <v>0.1887</v>
      </c>
      <c r="D265" s="1" t="s">
        <v>72</v>
      </c>
      <c r="F265" s="1" t="s">
        <v>7</v>
      </c>
      <c r="G265" s="1" t="n">
        <v>0.05</v>
      </c>
    </row>
    <row r="266" customFormat="false" ht="12.8" hidden="false" customHeight="false" outlineLevel="0" collapsed="false">
      <c r="A266" s="1" t="n">
        <v>18</v>
      </c>
      <c r="B266" s="9" t="s">
        <v>79</v>
      </c>
      <c r="C266" s="1" t="n">
        <v>0.1808</v>
      </c>
      <c r="D266" s="1" t="s">
        <v>72</v>
      </c>
      <c r="F266" s="1" t="s">
        <v>20</v>
      </c>
      <c r="G266" s="1" t="n">
        <f aca="false">(COLUMNS(anchor_raw_information!$G$253:$J$261) - 1) * (ROWS(anchor_raw_information!$G$253:$J$261) - 1)</f>
        <v>24</v>
      </c>
    </row>
    <row r="267" customFormat="false" ht="12.8" hidden="false" customHeight="false" outlineLevel="0" collapsed="false">
      <c r="A267" s="1" t="n">
        <v>18</v>
      </c>
      <c r="B267" s="9" t="s">
        <v>76</v>
      </c>
      <c r="C267" s="1" t="n">
        <v>0.16</v>
      </c>
      <c r="D267" s="1" t="s">
        <v>72</v>
      </c>
      <c r="F267" s="1" t="s">
        <v>23</v>
      </c>
      <c r="G267" s="1" t="n">
        <f aca="false">CHITEST(anchor_raw_information!$G$253:$J$261, MMULT(MMULT(anchor_raw_information!$G$253:$J$261,TRANSPOSE(IF(COLUMN(anchor_raw_information!$G$253:$J$261),TRUE()))),MMULT(TRANSPOSE(IF(ROW(anchor_raw_information!$G$253:$J$261),TRUE())),anchor_raw_information!$G$253:$J$261)) / SUM(anchor_raw_information!$G$253:$J$261))</f>
        <v>0.0756295928464179</v>
      </c>
    </row>
    <row r="268" customFormat="false" ht="12.8" hidden="false" customHeight="false" outlineLevel="0" collapsed="false">
      <c r="A268" s="1" t="n">
        <v>18</v>
      </c>
      <c r="B268" s="9" t="s">
        <v>77</v>
      </c>
      <c r="C268" s="1" t="n">
        <v>0.1586</v>
      </c>
      <c r="D268" s="1" t="s">
        <v>72</v>
      </c>
      <c r="F268" s="1" t="s">
        <v>87</v>
      </c>
      <c r="G268" s="1" t="n">
        <f aca="false">CHIINV(anchor_raw_information!$G$267, anchor_raw_information!$G$266)</f>
        <v>34.5331605444943</v>
      </c>
    </row>
    <row r="269" customFormat="false" ht="12.8" hidden="false" customHeight="false" outlineLevel="0" collapsed="false">
      <c r="A269" s="1" t="n">
        <v>18</v>
      </c>
      <c r="B269" s="9" t="s">
        <v>67</v>
      </c>
      <c r="C269" s="1" t="n">
        <v>0.1581</v>
      </c>
      <c r="D269" s="1" t="s">
        <v>72</v>
      </c>
      <c r="F269" s="1" t="s">
        <v>88</v>
      </c>
      <c r="G269" s="1" t="n">
        <f aca="false">CHIINV(anchor_raw_information!$G$265, anchor_raw_information!$G$266)</f>
        <v>36.4150285018073</v>
      </c>
    </row>
    <row r="270" customFormat="false" ht="12.8" hidden="false" customHeight="false" outlineLevel="0" collapsed="false">
      <c r="A270" s="1" t="n">
        <v>18</v>
      </c>
      <c r="B270" s="9" t="s">
        <v>81</v>
      </c>
      <c r="C270" s="1" t="n">
        <v>0.1538</v>
      </c>
      <c r="D270" s="1" t="s">
        <v>72</v>
      </c>
    </row>
    <row r="271" customFormat="false" ht="12.8" hidden="false" customHeight="false" outlineLevel="0" collapsed="false">
      <c r="A271" s="1" t="n">
        <v>20</v>
      </c>
      <c r="B271" s="9" t="s">
        <v>74</v>
      </c>
      <c r="C271" s="1" t="n">
        <v>0.2038</v>
      </c>
      <c r="D271" s="1" t="s">
        <v>72</v>
      </c>
    </row>
    <row r="272" customFormat="false" ht="12.8" hidden="false" customHeight="false" outlineLevel="0" collapsed="false">
      <c r="A272" s="1" t="n">
        <v>20</v>
      </c>
      <c r="B272" s="9" t="s">
        <v>79</v>
      </c>
      <c r="C272" s="1" t="n">
        <v>0.2032</v>
      </c>
      <c r="D272" s="1" t="s">
        <v>72</v>
      </c>
    </row>
    <row r="273" customFormat="false" ht="12.8" hidden="false" customHeight="false" outlineLevel="0" collapsed="false">
      <c r="A273" s="1" t="n">
        <v>20</v>
      </c>
      <c r="B273" s="9" t="s">
        <v>76</v>
      </c>
      <c r="C273" s="1" t="n">
        <v>0.1694</v>
      </c>
      <c r="D273" s="1" t="s">
        <v>72</v>
      </c>
    </row>
    <row r="274" customFormat="false" ht="12.8" hidden="false" customHeight="false" outlineLevel="0" collapsed="false">
      <c r="A274" s="1" t="n">
        <v>20</v>
      </c>
      <c r="B274" s="9" t="s">
        <v>77</v>
      </c>
      <c r="C274" s="1" t="n">
        <v>0.1624</v>
      </c>
      <c r="D274" s="1" t="s">
        <v>72</v>
      </c>
    </row>
    <row r="275" customFormat="false" ht="12.8" hidden="false" customHeight="false" outlineLevel="0" collapsed="false">
      <c r="A275" s="1" t="n">
        <v>20</v>
      </c>
      <c r="B275" s="9" t="s">
        <v>81</v>
      </c>
      <c r="C275" s="1" t="n">
        <v>0.1612</v>
      </c>
      <c r="D275" s="1" t="s">
        <v>72</v>
      </c>
      <c r="F275" s="44"/>
      <c r="G275" s="45"/>
      <c r="H275" s="14" t="s">
        <v>66</v>
      </c>
      <c r="I275" s="15"/>
      <c r="J275" s="15"/>
      <c r="K275" s="15"/>
      <c r="L275" s="16"/>
    </row>
    <row r="276" customFormat="false" ht="12.8" hidden="false" customHeight="false" outlineLevel="0" collapsed="false">
      <c r="A276" s="1" t="n">
        <v>20</v>
      </c>
      <c r="B276" s="9" t="s">
        <v>67</v>
      </c>
      <c r="C276" s="1" t="n">
        <v>0.1</v>
      </c>
      <c r="D276" s="1" t="s">
        <v>72</v>
      </c>
      <c r="F276" s="17" t="s">
        <v>64</v>
      </c>
      <c r="G276" s="46" t="s">
        <v>90</v>
      </c>
      <c r="H276" s="42" t="s">
        <v>68</v>
      </c>
      <c r="I276" s="43" t="s">
        <v>71</v>
      </c>
      <c r="J276" s="43" t="s">
        <v>72</v>
      </c>
      <c r="K276" s="43" t="s">
        <v>73</v>
      </c>
      <c r="L276" s="20" t="s">
        <v>62</v>
      </c>
    </row>
    <row r="277" customFormat="false" ht="12.8" hidden="false" customHeight="false" outlineLevel="0" collapsed="false">
      <c r="A277" s="1" t="n">
        <v>22</v>
      </c>
      <c r="B277" s="9" t="s">
        <v>79</v>
      </c>
      <c r="C277" s="1" t="n">
        <v>0.1977</v>
      </c>
      <c r="D277" s="1" t="s">
        <v>72</v>
      </c>
      <c r="F277" s="21" t="s">
        <v>79</v>
      </c>
      <c r="G277" s="53" t="s">
        <v>84</v>
      </c>
      <c r="H277" s="87" t="n">
        <v>13</v>
      </c>
      <c r="I277" s="88" t="n">
        <v>13</v>
      </c>
      <c r="J277" s="88" t="n">
        <v>18</v>
      </c>
      <c r="K277" s="89" t="n">
        <v>10</v>
      </c>
      <c r="L277" s="90" t="n">
        <v>54</v>
      </c>
    </row>
    <row r="278" customFormat="false" ht="12.8" hidden="false" customHeight="false" outlineLevel="0" collapsed="false">
      <c r="A278" s="1" t="n">
        <v>22</v>
      </c>
      <c r="B278" s="9" t="s">
        <v>67</v>
      </c>
      <c r="C278" s="1" t="n">
        <v>0.1762</v>
      </c>
      <c r="D278" s="1" t="s">
        <v>72</v>
      </c>
      <c r="F278" s="55"/>
      <c r="G278" s="56" t="s">
        <v>91</v>
      </c>
      <c r="H278" s="91" t="n">
        <v>0.169538461538462</v>
      </c>
      <c r="I278" s="92" t="n">
        <v>0.2011</v>
      </c>
      <c r="J278" s="92" t="n">
        <v>0.201394444444444</v>
      </c>
      <c r="K278" s="93" t="n">
        <v>0.172</v>
      </c>
      <c r="L278" s="94" t="n">
        <v>0.188211111111111</v>
      </c>
    </row>
    <row r="279" customFormat="false" ht="12.8" hidden="false" customHeight="false" outlineLevel="0" collapsed="false">
      <c r="A279" s="1" t="n">
        <v>22</v>
      </c>
      <c r="B279" s="9" t="s">
        <v>74</v>
      </c>
      <c r="C279" s="1" t="n">
        <v>0.1605</v>
      </c>
      <c r="D279" s="1" t="s">
        <v>72</v>
      </c>
      <c r="F279" s="21" t="s">
        <v>70</v>
      </c>
      <c r="G279" s="53" t="s">
        <v>84</v>
      </c>
      <c r="H279" s="88" t="n">
        <v>9</v>
      </c>
      <c r="I279" s="88" t="n">
        <v>3</v>
      </c>
      <c r="J279" s="88" t="n">
        <v>2</v>
      </c>
      <c r="K279" s="88" t="n">
        <v>1</v>
      </c>
      <c r="L279" s="90" t="n">
        <v>15</v>
      </c>
    </row>
    <row r="280" customFormat="false" ht="12.8" hidden="false" customHeight="false" outlineLevel="0" collapsed="false">
      <c r="A280" s="1" t="n">
        <v>22</v>
      </c>
      <c r="B280" s="9" t="s">
        <v>77</v>
      </c>
      <c r="C280" s="1" t="n">
        <v>0.1587</v>
      </c>
      <c r="D280" s="1" t="s">
        <v>72</v>
      </c>
      <c r="F280" s="55"/>
      <c r="G280" s="56" t="s">
        <v>91</v>
      </c>
      <c r="H280" s="92" t="n">
        <v>0.181833333333333</v>
      </c>
      <c r="I280" s="92" t="n">
        <v>0.186266666666667</v>
      </c>
      <c r="J280" s="92" t="n">
        <v>0.18015</v>
      </c>
      <c r="K280" s="92" t="n">
        <v>0.1622</v>
      </c>
      <c r="L280" s="94" t="n">
        <v>0.181186666666667</v>
      </c>
    </row>
    <row r="281" customFormat="false" ht="12.8" hidden="false" customHeight="false" outlineLevel="0" collapsed="false">
      <c r="A281" s="1" t="n">
        <v>22</v>
      </c>
      <c r="B281" s="9" t="s">
        <v>76</v>
      </c>
      <c r="C281" s="1" t="n">
        <v>0.1537</v>
      </c>
      <c r="D281" s="1" t="s">
        <v>72</v>
      </c>
      <c r="F281" s="21" t="s">
        <v>77</v>
      </c>
      <c r="G281" s="53" t="s">
        <v>84</v>
      </c>
      <c r="H281" s="87" t="n">
        <v>13</v>
      </c>
      <c r="I281" s="88" t="n">
        <v>12</v>
      </c>
      <c r="J281" s="88" t="n">
        <v>13</v>
      </c>
      <c r="K281" s="89" t="n">
        <v>14</v>
      </c>
      <c r="L281" s="90" t="n">
        <v>52</v>
      </c>
    </row>
    <row r="282" customFormat="false" ht="12.8" hidden="false" customHeight="false" outlineLevel="0" collapsed="false">
      <c r="A282" s="1" t="n">
        <v>22</v>
      </c>
      <c r="B282" s="9" t="s">
        <v>78</v>
      </c>
      <c r="C282" s="1" t="n">
        <v>0.1533</v>
      </c>
      <c r="D282" s="1" t="s">
        <v>72</v>
      </c>
      <c r="F282" s="55"/>
      <c r="G282" s="56" t="s">
        <v>91</v>
      </c>
      <c r="H282" s="91" t="n">
        <v>0.168553846153846</v>
      </c>
      <c r="I282" s="92" t="n">
        <v>0.174966666666667</v>
      </c>
      <c r="J282" s="92" t="n">
        <v>0.170869230769231</v>
      </c>
      <c r="K282" s="93" t="n">
        <v>0.172521428571429</v>
      </c>
      <c r="L282" s="94" t="n">
        <v>0.171680769230769</v>
      </c>
    </row>
    <row r="283" customFormat="false" ht="12.8" hidden="false" customHeight="false" outlineLevel="0" collapsed="false">
      <c r="A283" s="1" t="n">
        <v>24</v>
      </c>
      <c r="B283" s="9" t="s">
        <v>79</v>
      </c>
      <c r="C283" s="1" t="n">
        <v>0.2079</v>
      </c>
      <c r="D283" s="1" t="s">
        <v>72</v>
      </c>
      <c r="F283" s="21" t="s">
        <v>82</v>
      </c>
      <c r="G283" s="53" t="s">
        <v>84</v>
      </c>
      <c r="H283" s="88" t="n">
        <v>2</v>
      </c>
      <c r="I283" s="88" t="n">
        <v>3</v>
      </c>
      <c r="J283" s="88" t="n">
        <v>2</v>
      </c>
      <c r="K283" s="88" t="n">
        <v>6</v>
      </c>
      <c r="L283" s="90" t="n">
        <v>13</v>
      </c>
    </row>
    <row r="284" customFormat="false" ht="12.8" hidden="false" customHeight="false" outlineLevel="0" collapsed="false">
      <c r="A284" s="1" t="n">
        <v>24</v>
      </c>
      <c r="B284" s="9" t="s">
        <v>76</v>
      </c>
      <c r="C284" s="1" t="n">
        <v>0.1714</v>
      </c>
      <c r="D284" s="1" t="s">
        <v>72</v>
      </c>
      <c r="F284" s="55"/>
      <c r="G284" s="56" t="s">
        <v>91</v>
      </c>
      <c r="H284" s="92" t="n">
        <v>0.1571</v>
      </c>
      <c r="I284" s="92" t="n">
        <v>0.181166666666667</v>
      </c>
      <c r="J284" s="92" t="n">
        <v>0.16175</v>
      </c>
      <c r="K284" s="92" t="n">
        <v>0.17745</v>
      </c>
      <c r="L284" s="94" t="n">
        <v>0.172761538461538</v>
      </c>
    </row>
    <row r="285" customFormat="false" ht="12.8" hidden="false" customHeight="false" outlineLevel="0" collapsed="false">
      <c r="A285" s="1" t="n">
        <v>24</v>
      </c>
      <c r="B285" s="9" t="s">
        <v>74</v>
      </c>
      <c r="C285" s="1" t="n">
        <v>0.1611</v>
      </c>
      <c r="D285" s="1" t="s">
        <v>72</v>
      </c>
      <c r="F285" s="21" t="s">
        <v>78</v>
      </c>
      <c r="G285" s="53" t="s">
        <v>84</v>
      </c>
      <c r="H285" s="87" t="n">
        <v>3</v>
      </c>
      <c r="I285" s="88" t="n">
        <v>5</v>
      </c>
      <c r="J285" s="88" t="n">
        <v>5</v>
      </c>
      <c r="K285" s="89" t="n">
        <v>2</v>
      </c>
      <c r="L285" s="90" t="n">
        <v>15</v>
      </c>
    </row>
    <row r="286" customFormat="false" ht="12.8" hidden="false" customHeight="false" outlineLevel="0" collapsed="false">
      <c r="A286" s="1" t="n">
        <v>24</v>
      </c>
      <c r="B286" s="9" t="s">
        <v>67</v>
      </c>
      <c r="C286" s="1" t="n">
        <v>0.158</v>
      </c>
      <c r="D286" s="1" t="s">
        <v>72</v>
      </c>
      <c r="F286" s="55"/>
      <c r="G286" s="56" t="s">
        <v>91</v>
      </c>
      <c r="H286" s="91" t="n">
        <v>0.1554</v>
      </c>
      <c r="I286" s="92" t="n">
        <v>0.16666</v>
      </c>
      <c r="J286" s="92" t="n">
        <v>0.16242</v>
      </c>
      <c r="K286" s="93" t="n">
        <v>0.1685</v>
      </c>
      <c r="L286" s="94" t="n">
        <v>0.16324</v>
      </c>
    </row>
    <row r="287" customFormat="false" ht="12.8" hidden="false" customHeight="false" outlineLevel="0" collapsed="false">
      <c r="A287" s="1" t="n">
        <v>24</v>
      </c>
      <c r="B287" s="9" t="s">
        <v>82</v>
      </c>
      <c r="C287" s="1" t="n">
        <v>0.1532</v>
      </c>
      <c r="D287" s="1" t="s">
        <v>72</v>
      </c>
      <c r="F287" s="21" t="s">
        <v>81</v>
      </c>
      <c r="G287" s="53" t="s">
        <v>84</v>
      </c>
      <c r="H287" s="88" t="n">
        <v>3</v>
      </c>
      <c r="I287" s="88" t="n">
        <v>11</v>
      </c>
      <c r="J287" s="88" t="n">
        <v>10</v>
      </c>
      <c r="K287" s="88" t="n">
        <v>10</v>
      </c>
      <c r="L287" s="90" t="n">
        <v>34</v>
      </c>
    </row>
    <row r="288" customFormat="false" ht="12.8" hidden="false" customHeight="false" outlineLevel="0" collapsed="false">
      <c r="A288" s="1" t="n">
        <v>24</v>
      </c>
      <c r="B288" s="9" t="s">
        <v>70</v>
      </c>
      <c r="C288" s="1" t="n">
        <v>0.1484</v>
      </c>
      <c r="D288" s="1" t="s">
        <v>72</v>
      </c>
      <c r="F288" s="55"/>
      <c r="G288" s="56" t="s">
        <v>91</v>
      </c>
      <c r="H288" s="92" t="n">
        <v>0.161133333333333</v>
      </c>
      <c r="I288" s="92" t="n">
        <v>0.174172727272727</v>
      </c>
      <c r="J288" s="92" t="n">
        <v>0.17362</v>
      </c>
      <c r="K288" s="92" t="n">
        <v>0.166</v>
      </c>
      <c r="L288" s="94" t="n">
        <v>0.170455882352941</v>
      </c>
    </row>
    <row r="289" customFormat="false" ht="12.8" hidden="false" customHeight="false" outlineLevel="0" collapsed="false">
      <c r="A289" s="1" t="n">
        <v>26</v>
      </c>
      <c r="B289" s="9" t="s">
        <v>74</v>
      </c>
      <c r="C289" s="1" t="n">
        <v>0.2031</v>
      </c>
      <c r="D289" s="1" t="s">
        <v>72</v>
      </c>
      <c r="F289" s="21" t="s">
        <v>74</v>
      </c>
      <c r="G289" s="53" t="s">
        <v>84</v>
      </c>
      <c r="H289" s="87" t="n">
        <v>22</v>
      </c>
      <c r="I289" s="88" t="n">
        <v>20</v>
      </c>
      <c r="J289" s="88" t="n">
        <v>19</v>
      </c>
      <c r="K289" s="89" t="n">
        <v>21</v>
      </c>
      <c r="L289" s="90" t="n">
        <v>82</v>
      </c>
    </row>
    <row r="290" customFormat="false" ht="12.8" hidden="false" customHeight="false" outlineLevel="0" collapsed="false">
      <c r="A290" s="1" t="n">
        <v>26</v>
      </c>
      <c r="B290" s="9" t="s">
        <v>79</v>
      </c>
      <c r="C290" s="1" t="n">
        <v>0.1877</v>
      </c>
      <c r="D290" s="1" t="s">
        <v>72</v>
      </c>
      <c r="F290" s="55"/>
      <c r="G290" s="56" t="s">
        <v>91</v>
      </c>
      <c r="H290" s="91" t="n">
        <v>0.251577272727273</v>
      </c>
      <c r="I290" s="92" t="n">
        <v>0.26115</v>
      </c>
      <c r="J290" s="92" t="n">
        <v>0.213305263157895</v>
      </c>
      <c r="K290" s="93" t="n">
        <v>0.223166666666667</v>
      </c>
      <c r="L290" s="94" t="n">
        <v>0.237768292682927</v>
      </c>
    </row>
    <row r="291" customFormat="false" ht="12.8" hidden="false" customHeight="false" outlineLevel="0" collapsed="false">
      <c r="A291" s="1" t="n">
        <v>26</v>
      </c>
      <c r="B291" s="9" t="s">
        <v>76</v>
      </c>
      <c r="C291" s="1" t="n">
        <v>0.1722</v>
      </c>
      <c r="D291" s="1" t="s">
        <v>72</v>
      </c>
      <c r="F291" s="21" t="s">
        <v>83</v>
      </c>
      <c r="G291" s="53" t="s">
        <v>84</v>
      </c>
      <c r="H291" s="88" t="n">
        <v>1</v>
      </c>
      <c r="I291" s="88" t="n">
        <v>1</v>
      </c>
      <c r="J291" s="23"/>
      <c r="K291" s="88" t="n">
        <v>2</v>
      </c>
      <c r="L291" s="90" t="n">
        <v>4</v>
      </c>
    </row>
    <row r="292" customFormat="false" ht="12.8" hidden="false" customHeight="false" outlineLevel="0" collapsed="false">
      <c r="A292" s="1" t="n">
        <v>26</v>
      </c>
      <c r="B292" s="9" t="s">
        <v>81</v>
      </c>
      <c r="C292" s="1" t="n">
        <v>0.1705</v>
      </c>
      <c r="D292" s="1" t="s">
        <v>72</v>
      </c>
      <c r="F292" s="55"/>
      <c r="G292" s="56" t="s">
        <v>91</v>
      </c>
      <c r="H292" s="92" t="n">
        <v>0.1692</v>
      </c>
      <c r="I292" s="92" t="n">
        <v>0.9</v>
      </c>
      <c r="J292" s="32"/>
      <c r="K292" s="92" t="n">
        <v>0.18195</v>
      </c>
      <c r="L292" s="94" t="n">
        <v>0.358275</v>
      </c>
    </row>
    <row r="293" customFormat="false" ht="12.8" hidden="false" customHeight="false" outlineLevel="0" collapsed="false">
      <c r="A293" s="1" t="n">
        <v>26</v>
      </c>
      <c r="B293" s="9" t="s">
        <v>77</v>
      </c>
      <c r="C293" s="1" t="n">
        <v>0.1666</v>
      </c>
      <c r="D293" s="1" t="s">
        <v>72</v>
      </c>
      <c r="F293" s="21" t="s">
        <v>76</v>
      </c>
      <c r="G293" s="53" t="s">
        <v>84</v>
      </c>
      <c r="H293" s="87" t="n">
        <v>19</v>
      </c>
      <c r="I293" s="88" t="n">
        <v>14</v>
      </c>
      <c r="J293" s="88" t="n">
        <v>17</v>
      </c>
      <c r="K293" s="89" t="n">
        <v>17</v>
      </c>
      <c r="L293" s="90" t="n">
        <v>67</v>
      </c>
    </row>
    <row r="294" customFormat="false" ht="12.8" hidden="false" customHeight="false" outlineLevel="0" collapsed="false">
      <c r="A294" s="1" t="n">
        <v>26</v>
      </c>
      <c r="B294" s="9" t="s">
        <v>67</v>
      </c>
      <c r="C294" s="1" t="n">
        <v>0.1</v>
      </c>
      <c r="D294" s="1" t="s">
        <v>72</v>
      </c>
      <c r="F294" s="55"/>
      <c r="G294" s="56" t="s">
        <v>91</v>
      </c>
      <c r="H294" s="91" t="n">
        <v>0.224163157894737</v>
      </c>
      <c r="I294" s="92" t="n">
        <v>0.187992857142857</v>
      </c>
      <c r="J294" s="92" t="n">
        <v>0.219205882352941</v>
      </c>
      <c r="K294" s="93" t="n">
        <v>0.207858823529412</v>
      </c>
      <c r="L294" s="94" t="n">
        <v>0.211210447761194</v>
      </c>
    </row>
    <row r="295" customFormat="false" ht="12.8" hidden="false" customHeight="false" outlineLevel="0" collapsed="false">
      <c r="A295" s="1" t="n">
        <v>28</v>
      </c>
      <c r="B295" s="9" t="s">
        <v>74</v>
      </c>
      <c r="C295" s="1" t="n">
        <v>0.2274</v>
      </c>
      <c r="D295" s="1" t="s">
        <v>72</v>
      </c>
      <c r="F295" s="21" t="s">
        <v>75</v>
      </c>
      <c r="G295" s="53" t="s">
        <v>84</v>
      </c>
      <c r="H295" s="88" t="n">
        <v>14</v>
      </c>
      <c r="I295" s="88" t="n">
        <v>6</v>
      </c>
      <c r="J295" s="88" t="n">
        <v>4</v>
      </c>
      <c r="K295" s="88" t="n">
        <v>18</v>
      </c>
      <c r="L295" s="90" t="n">
        <v>42</v>
      </c>
    </row>
    <row r="296" customFormat="false" ht="12.8" hidden="false" customHeight="false" outlineLevel="0" collapsed="false">
      <c r="A296" s="1" t="n">
        <v>28</v>
      </c>
      <c r="B296" s="9" t="s">
        <v>81</v>
      </c>
      <c r="C296" s="1" t="n">
        <v>0.1771</v>
      </c>
      <c r="D296" s="1" t="s">
        <v>72</v>
      </c>
      <c r="F296" s="55"/>
      <c r="G296" s="56" t="s">
        <v>91</v>
      </c>
      <c r="H296" s="92" t="n">
        <v>0.213592857142857</v>
      </c>
      <c r="I296" s="92" t="n">
        <v>0.2206</v>
      </c>
      <c r="J296" s="92" t="n">
        <v>0.189625</v>
      </c>
      <c r="K296" s="92" t="n">
        <v>0.201022222222222</v>
      </c>
      <c r="L296" s="94" t="n">
        <v>0.20692380952381</v>
      </c>
    </row>
    <row r="297" customFormat="false" ht="12.8" hidden="false" customHeight="false" outlineLevel="0" collapsed="false">
      <c r="A297" s="1" t="n">
        <v>28</v>
      </c>
      <c r="B297" s="9" t="s">
        <v>77</v>
      </c>
      <c r="C297" s="1" t="n">
        <v>0.1731</v>
      </c>
      <c r="D297" s="1" t="s">
        <v>72</v>
      </c>
      <c r="F297" s="21" t="s">
        <v>67</v>
      </c>
      <c r="G297" s="53" t="s">
        <v>84</v>
      </c>
      <c r="H297" s="87" t="n">
        <v>25</v>
      </c>
      <c r="I297" s="88" t="n">
        <v>25</v>
      </c>
      <c r="J297" s="88" t="n">
        <v>25</v>
      </c>
      <c r="K297" s="89" t="n">
        <v>25</v>
      </c>
      <c r="L297" s="90" t="n">
        <v>100</v>
      </c>
    </row>
    <row r="298" customFormat="false" ht="12.8" hidden="false" customHeight="false" outlineLevel="0" collapsed="false">
      <c r="A298" s="1" t="n">
        <v>28</v>
      </c>
      <c r="B298" s="9" t="s">
        <v>76</v>
      </c>
      <c r="C298" s="1" t="n">
        <v>0.1631</v>
      </c>
      <c r="D298" s="1" t="s">
        <v>72</v>
      </c>
      <c r="F298" s="55"/>
      <c r="G298" s="56" t="s">
        <v>91</v>
      </c>
      <c r="H298" s="91" t="n">
        <v>0.118052</v>
      </c>
      <c r="I298" s="92" t="n">
        <v>0.110248</v>
      </c>
      <c r="J298" s="92" t="n">
        <v>0.11536</v>
      </c>
      <c r="K298" s="93" t="n">
        <v>0.10954</v>
      </c>
      <c r="L298" s="94" t="n">
        <v>0.1133</v>
      </c>
    </row>
    <row r="299" customFormat="false" ht="12.8" hidden="false" customHeight="false" outlineLevel="0" collapsed="false">
      <c r="A299" s="1" t="n">
        <v>28</v>
      </c>
      <c r="B299" s="9" t="s">
        <v>75</v>
      </c>
      <c r="C299" s="1" t="n">
        <v>0.1592</v>
      </c>
      <c r="D299" s="1" t="s">
        <v>72</v>
      </c>
      <c r="F299" s="95" t="s">
        <v>92</v>
      </c>
      <c r="G299" s="96"/>
      <c r="H299" s="97" t="n">
        <v>124</v>
      </c>
      <c r="I299" s="97" t="n">
        <v>113</v>
      </c>
      <c r="J299" s="97" t="n">
        <v>115</v>
      </c>
      <c r="K299" s="97" t="n">
        <v>126</v>
      </c>
      <c r="L299" s="98" t="n">
        <v>478</v>
      </c>
    </row>
    <row r="300" customFormat="false" ht="12.8" hidden="false" customHeight="false" outlineLevel="0" collapsed="false">
      <c r="A300" s="1" t="n">
        <v>28</v>
      </c>
      <c r="B300" s="9" t="s">
        <v>67</v>
      </c>
      <c r="C300" s="1" t="n">
        <v>0.1</v>
      </c>
      <c r="D300" s="1" t="s">
        <v>72</v>
      </c>
      <c r="F300" s="57" t="s">
        <v>93</v>
      </c>
      <c r="G300" s="58"/>
      <c r="H300" s="99" t="n">
        <v>0.187097580645161</v>
      </c>
      <c r="I300" s="100" t="n">
        <v>0.189381415929204</v>
      </c>
      <c r="J300" s="100" t="n">
        <v>0.17826347826087</v>
      </c>
      <c r="K300" s="101" t="n">
        <v>0.176984920634921</v>
      </c>
      <c r="L300" s="102" t="n">
        <v>0.182846443514644</v>
      </c>
    </row>
    <row r="301" customFormat="false" ht="12.8" hidden="false" customHeight="false" outlineLevel="0" collapsed="false">
      <c r="A301" s="1" t="n">
        <v>30</v>
      </c>
      <c r="B301" s="9" t="s">
        <v>74</v>
      </c>
      <c r="C301" s="1" t="n">
        <v>0.2237</v>
      </c>
      <c r="D301" s="1" t="s">
        <v>72</v>
      </c>
    </row>
    <row r="302" customFormat="false" ht="12.8" hidden="false" customHeight="false" outlineLevel="0" collapsed="false">
      <c r="A302" s="1" t="n">
        <v>30</v>
      </c>
      <c r="B302" s="9" t="s">
        <v>77</v>
      </c>
      <c r="C302" s="1" t="n">
        <v>0.1791</v>
      </c>
      <c r="D302" s="1" t="s">
        <v>72</v>
      </c>
    </row>
    <row r="303" customFormat="false" ht="12.8" hidden="false" customHeight="false" outlineLevel="0" collapsed="false">
      <c r="A303" s="1" t="n">
        <v>30</v>
      </c>
      <c r="B303" s="9" t="s">
        <v>79</v>
      </c>
      <c r="C303" s="1" t="n">
        <v>0.1778</v>
      </c>
      <c r="D303" s="1" t="s">
        <v>72</v>
      </c>
    </row>
    <row r="304" customFormat="false" ht="12.8" hidden="false" customHeight="false" outlineLevel="0" collapsed="false">
      <c r="A304" s="1" t="n">
        <v>30</v>
      </c>
      <c r="B304" s="9" t="s">
        <v>81</v>
      </c>
      <c r="C304" s="1" t="n">
        <v>0.1618</v>
      </c>
      <c r="D304" s="1" t="s">
        <v>72</v>
      </c>
    </row>
    <row r="305" customFormat="false" ht="12.8" hidden="false" customHeight="false" outlineLevel="0" collapsed="false">
      <c r="A305" s="1" t="n">
        <v>30</v>
      </c>
      <c r="B305" s="9" t="s">
        <v>76</v>
      </c>
      <c r="C305" s="1" t="n">
        <v>0.1576</v>
      </c>
      <c r="D305" s="1" t="s">
        <v>72</v>
      </c>
    </row>
    <row r="306" customFormat="false" ht="12.8" hidden="false" customHeight="false" outlineLevel="0" collapsed="false">
      <c r="A306" s="1" t="n">
        <v>30</v>
      </c>
      <c r="B306" s="9" t="s">
        <v>67</v>
      </c>
      <c r="C306" s="1" t="n">
        <v>0.1</v>
      </c>
      <c r="D306" s="1" t="s">
        <v>72</v>
      </c>
    </row>
    <row r="307" customFormat="false" ht="12.8" hidden="false" customHeight="false" outlineLevel="0" collapsed="false">
      <c r="A307" s="1" t="n">
        <v>32</v>
      </c>
      <c r="B307" s="9" t="s">
        <v>79</v>
      </c>
      <c r="C307" s="1" t="n">
        <v>0.1913</v>
      </c>
      <c r="D307" s="1" t="s">
        <v>72</v>
      </c>
    </row>
    <row r="308" customFormat="false" ht="12.8" hidden="false" customHeight="false" outlineLevel="0" collapsed="false">
      <c r="A308" s="1" t="n">
        <v>32</v>
      </c>
      <c r="B308" s="9" t="s">
        <v>76</v>
      </c>
      <c r="C308" s="1" t="n">
        <v>0.1829</v>
      </c>
      <c r="D308" s="1" t="s">
        <v>72</v>
      </c>
    </row>
    <row r="309" customFormat="false" ht="12.8" hidden="false" customHeight="false" outlineLevel="0" collapsed="false">
      <c r="A309" s="1" t="n">
        <v>32</v>
      </c>
      <c r="B309" s="9" t="s">
        <v>77</v>
      </c>
      <c r="C309" s="1" t="n">
        <v>0.1784</v>
      </c>
      <c r="D309" s="1" t="s">
        <v>72</v>
      </c>
    </row>
    <row r="310" customFormat="false" ht="12.8" hidden="false" customHeight="false" outlineLevel="0" collapsed="false">
      <c r="A310" s="1" t="n">
        <v>32</v>
      </c>
      <c r="B310" s="9" t="s">
        <v>74</v>
      </c>
      <c r="C310" s="1" t="n">
        <v>0.1772</v>
      </c>
      <c r="D310" s="1" t="s">
        <v>72</v>
      </c>
    </row>
    <row r="311" customFormat="false" ht="12.8" hidden="false" customHeight="false" outlineLevel="0" collapsed="false">
      <c r="A311" s="1" t="n">
        <v>32</v>
      </c>
      <c r="B311" s="9" t="s">
        <v>82</v>
      </c>
      <c r="C311" s="1" t="n">
        <v>0.1703</v>
      </c>
      <c r="D311" s="1" t="s">
        <v>72</v>
      </c>
    </row>
    <row r="312" customFormat="false" ht="12.8" hidden="false" customHeight="false" outlineLevel="0" collapsed="false">
      <c r="A312" s="1" t="n">
        <v>32</v>
      </c>
      <c r="B312" s="9" t="s">
        <v>67</v>
      </c>
      <c r="C312" s="1" t="n">
        <v>0.1</v>
      </c>
      <c r="D312" s="1" t="s">
        <v>72</v>
      </c>
    </row>
    <row r="313" customFormat="false" ht="12.8" hidden="false" customHeight="false" outlineLevel="0" collapsed="false">
      <c r="A313" s="1" t="n">
        <v>34</v>
      </c>
      <c r="B313" s="9" t="s">
        <v>77</v>
      </c>
      <c r="C313" s="1" t="n">
        <v>0.1876</v>
      </c>
      <c r="D313" s="1" t="s">
        <v>72</v>
      </c>
    </row>
    <row r="314" customFormat="false" ht="12.8" hidden="false" customHeight="false" outlineLevel="0" collapsed="false">
      <c r="A314" s="1" t="n">
        <v>34</v>
      </c>
      <c r="B314" s="9" t="s">
        <v>79</v>
      </c>
      <c r="C314" s="1" t="n">
        <v>0.1868</v>
      </c>
      <c r="D314" s="1" t="s">
        <v>72</v>
      </c>
    </row>
    <row r="315" customFormat="false" ht="12.8" hidden="false" customHeight="false" outlineLevel="0" collapsed="false">
      <c r="A315" s="1" t="n">
        <v>34</v>
      </c>
      <c r="B315" s="9" t="s">
        <v>76</v>
      </c>
      <c r="C315" s="1" t="n">
        <v>0.1867</v>
      </c>
      <c r="D315" s="1" t="s">
        <v>72</v>
      </c>
    </row>
    <row r="316" customFormat="false" ht="12.8" hidden="false" customHeight="false" outlineLevel="0" collapsed="false">
      <c r="A316" s="1" t="n">
        <v>34</v>
      </c>
      <c r="B316" s="9" t="s">
        <v>74</v>
      </c>
      <c r="C316" s="1" t="n">
        <v>0.1757</v>
      </c>
      <c r="D316" s="1" t="s">
        <v>72</v>
      </c>
    </row>
    <row r="317" customFormat="false" ht="12.8" hidden="false" customHeight="false" outlineLevel="0" collapsed="false">
      <c r="A317" s="1" t="n">
        <v>34</v>
      </c>
      <c r="B317" s="9" t="s">
        <v>81</v>
      </c>
      <c r="C317" s="1" t="n">
        <v>0.1632</v>
      </c>
      <c r="D317" s="1" t="s">
        <v>72</v>
      </c>
    </row>
    <row r="318" customFormat="false" ht="12.8" hidden="false" customHeight="false" outlineLevel="0" collapsed="false">
      <c r="A318" s="1" t="n">
        <v>34</v>
      </c>
      <c r="B318" s="9" t="s">
        <v>67</v>
      </c>
      <c r="C318" s="1" t="n">
        <v>0.1</v>
      </c>
      <c r="D318" s="1" t="s">
        <v>72</v>
      </c>
    </row>
    <row r="319" customFormat="false" ht="12.8" hidden="false" customHeight="false" outlineLevel="0" collapsed="false">
      <c r="A319" s="1" t="n">
        <v>36</v>
      </c>
      <c r="B319" s="9" t="s">
        <v>74</v>
      </c>
      <c r="C319" s="1" t="n">
        <v>0.2163</v>
      </c>
      <c r="D319" s="1" t="s">
        <v>72</v>
      </c>
    </row>
    <row r="320" customFormat="false" ht="12.8" hidden="false" customHeight="false" outlineLevel="0" collapsed="false">
      <c r="A320" s="1" t="n">
        <v>36</v>
      </c>
      <c r="B320" s="9" t="s">
        <v>75</v>
      </c>
      <c r="C320" s="1" t="n">
        <v>0.1729</v>
      </c>
      <c r="D320" s="1" t="s">
        <v>72</v>
      </c>
    </row>
    <row r="321" customFormat="false" ht="12.8" hidden="false" customHeight="false" outlineLevel="0" collapsed="false">
      <c r="A321" s="1" t="n">
        <v>36</v>
      </c>
      <c r="B321" s="9" t="s">
        <v>81</v>
      </c>
      <c r="C321" s="1" t="n">
        <v>0.1721</v>
      </c>
      <c r="D321" s="1" t="s">
        <v>72</v>
      </c>
    </row>
    <row r="322" customFormat="false" ht="12.8" hidden="false" customHeight="false" outlineLevel="0" collapsed="false">
      <c r="A322" s="1" t="n">
        <v>36</v>
      </c>
      <c r="B322" s="9" t="s">
        <v>79</v>
      </c>
      <c r="C322" s="1" t="n">
        <v>0.1696</v>
      </c>
      <c r="D322" s="1" t="s">
        <v>72</v>
      </c>
    </row>
    <row r="323" customFormat="false" ht="12.8" hidden="false" customHeight="false" outlineLevel="0" collapsed="false">
      <c r="A323" s="1" t="n">
        <v>36</v>
      </c>
      <c r="B323" s="9" t="s">
        <v>76</v>
      </c>
      <c r="C323" s="1" t="n">
        <v>0.1691</v>
      </c>
      <c r="D323" s="1" t="s">
        <v>72</v>
      </c>
    </row>
    <row r="324" customFormat="false" ht="12.8" hidden="false" customHeight="false" outlineLevel="0" collapsed="false">
      <c r="A324" s="1" t="n">
        <v>36</v>
      </c>
      <c r="B324" s="9" t="s">
        <v>67</v>
      </c>
      <c r="C324" s="1" t="n">
        <v>0.1</v>
      </c>
      <c r="D324" s="1" t="s">
        <v>72</v>
      </c>
    </row>
    <row r="325" customFormat="false" ht="12.8" hidden="false" customHeight="false" outlineLevel="0" collapsed="false">
      <c r="A325" s="1" t="n">
        <v>38</v>
      </c>
      <c r="B325" s="9" t="s">
        <v>67</v>
      </c>
      <c r="C325" s="1" t="n">
        <v>0.1</v>
      </c>
      <c r="D325" s="1" t="s">
        <v>72</v>
      </c>
    </row>
    <row r="326" customFormat="false" ht="12.8" hidden="false" customHeight="false" outlineLevel="0" collapsed="false">
      <c r="A326" s="1" t="n">
        <v>40</v>
      </c>
      <c r="B326" s="9" t="s">
        <v>74</v>
      </c>
      <c r="C326" s="1" t="n">
        <v>0.281</v>
      </c>
      <c r="D326" s="1" t="s">
        <v>72</v>
      </c>
    </row>
    <row r="327" customFormat="false" ht="12.8" hidden="false" customHeight="false" outlineLevel="0" collapsed="false">
      <c r="A327" s="1" t="n">
        <v>40</v>
      </c>
      <c r="B327" s="9" t="s">
        <v>81</v>
      </c>
      <c r="C327" s="1" t="n">
        <v>0.245</v>
      </c>
      <c r="D327" s="1" t="s">
        <v>72</v>
      </c>
    </row>
    <row r="328" customFormat="false" ht="12.8" hidden="false" customHeight="false" outlineLevel="0" collapsed="false">
      <c r="A328" s="1" t="n">
        <v>40</v>
      </c>
      <c r="B328" s="9" t="s">
        <v>79</v>
      </c>
      <c r="C328" s="1" t="n">
        <v>0.2384</v>
      </c>
      <c r="D328" s="1" t="s">
        <v>72</v>
      </c>
    </row>
    <row r="329" customFormat="false" ht="12.8" hidden="false" customHeight="false" outlineLevel="0" collapsed="false">
      <c r="A329" s="1" t="n">
        <v>40</v>
      </c>
      <c r="B329" s="9" t="s">
        <v>67</v>
      </c>
      <c r="C329" s="1" t="n">
        <v>0.2356</v>
      </c>
      <c r="D329" s="1" t="s">
        <v>72</v>
      </c>
    </row>
    <row r="330" customFormat="false" ht="12.8" hidden="false" customHeight="false" outlineLevel="0" collapsed="false">
      <c r="A330" s="1" t="n">
        <v>42</v>
      </c>
      <c r="B330" s="9" t="s">
        <v>79</v>
      </c>
      <c r="C330" s="1" t="n">
        <v>0.194</v>
      </c>
      <c r="D330" s="1" t="s">
        <v>72</v>
      </c>
    </row>
    <row r="331" customFormat="false" ht="12.8" hidden="false" customHeight="false" outlineLevel="0" collapsed="false">
      <c r="A331" s="1" t="n">
        <v>42</v>
      </c>
      <c r="B331" s="9" t="s">
        <v>74</v>
      </c>
      <c r="C331" s="1" t="n">
        <v>0.1816</v>
      </c>
      <c r="D331" s="1" t="s">
        <v>72</v>
      </c>
    </row>
    <row r="332" customFormat="false" ht="12.8" hidden="false" customHeight="false" outlineLevel="0" collapsed="false">
      <c r="A332" s="1" t="n">
        <v>42</v>
      </c>
      <c r="B332" s="9" t="s">
        <v>78</v>
      </c>
      <c r="C332" s="1" t="n">
        <v>0.1611</v>
      </c>
      <c r="D332" s="1" t="s">
        <v>72</v>
      </c>
    </row>
    <row r="333" customFormat="false" ht="12.8" hidden="false" customHeight="false" outlineLevel="0" collapsed="false">
      <c r="A333" s="1" t="n">
        <v>42</v>
      </c>
      <c r="B333" s="9" t="s">
        <v>77</v>
      </c>
      <c r="C333" s="1" t="n">
        <v>0.159</v>
      </c>
      <c r="D333" s="1" t="s">
        <v>72</v>
      </c>
    </row>
    <row r="334" customFormat="false" ht="12.8" hidden="false" customHeight="false" outlineLevel="0" collapsed="false">
      <c r="A334" s="1" t="n">
        <v>42</v>
      </c>
      <c r="B334" s="9" t="s">
        <v>67</v>
      </c>
      <c r="C334" s="1" t="n">
        <v>0.1561</v>
      </c>
      <c r="D334" s="1" t="s">
        <v>72</v>
      </c>
    </row>
    <row r="335" customFormat="false" ht="12.8" hidden="false" customHeight="false" outlineLevel="0" collapsed="false">
      <c r="A335" s="1" t="n">
        <v>42</v>
      </c>
      <c r="B335" s="9" t="s">
        <v>75</v>
      </c>
      <c r="C335" s="1" t="n">
        <v>0.1482</v>
      </c>
      <c r="D335" s="1" t="s">
        <v>72</v>
      </c>
    </row>
    <row r="336" customFormat="false" ht="12.8" hidden="false" customHeight="false" outlineLevel="0" collapsed="false">
      <c r="A336" s="1" t="n">
        <v>44</v>
      </c>
      <c r="B336" s="9" t="s">
        <v>74</v>
      </c>
      <c r="C336" s="1" t="n">
        <v>0.2281</v>
      </c>
      <c r="D336" s="1" t="s">
        <v>72</v>
      </c>
    </row>
    <row r="337" customFormat="false" ht="12.8" hidden="false" customHeight="false" outlineLevel="0" collapsed="false">
      <c r="A337" s="1" t="n">
        <v>44</v>
      </c>
      <c r="B337" s="9" t="s">
        <v>76</v>
      </c>
      <c r="C337" s="1" t="n">
        <v>0.1742</v>
      </c>
      <c r="D337" s="1" t="s">
        <v>72</v>
      </c>
    </row>
    <row r="338" customFormat="false" ht="12.8" hidden="false" customHeight="false" outlineLevel="0" collapsed="false">
      <c r="A338" s="1" t="n">
        <v>44</v>
      </c>
      <c r="B338" s="9" t="s">
        <v>81</v>
      </c>
      <c r="C338" s="1" t="n">
        <v>0.17</v>
      </c>
      <c r="D338" s="1" t="s">
        <v>72</v>
      </c>
    </row>
    <row r="339" customFormat="false" ht="12.8" hidden="false" customHeight="false" outlineLevel="0" collapsed="false">
      <c r="A339" s="1" t="n">
        <v>44</v>
      </c>
      <c r="B339" s="9" t="s">
        <v>79</v>
      </c>
      <c r="C339" s="1" t="n">
        <v>0.1643</v>
      </c>
      <c r="D339" s="1" t="s">
        <v>72</v>
      </c>
    </row>
    <row r="340" customFormat="false" ht="12.8" hidden="false" customHeight="false" outlineLevel="0" collapsed="false">
      <c r="A340" s="1" t="n">
        <v>44</v>
      </c>
      <c r="B340" s="9" t="s">
        <v>77</v>
      </c>
      <c r="C340" s="1" t="n">
        <v>0.1634</v>
      </c>
      <c r="D340" s="1" t="s">
        <v>72</v>
      </c>
    </row>
    <row r="341" customFormat="false" ht="12.8" hidden="false" customHeight="false" outlineLevel="0" collapsed="false">
      <c r="A341" s="1" t="n">
        <v>44</v>
      </c>
      <c r="B341" s="9" t="s">
        <v>67</v>
      </c>
      <c r="C341" s="1" t="n">
        <v>0.1</v>
      </c>
      <c r="D341" s="1" t="s">
        <v>72</v>
      </c>
    </row>
    <row r="342" customFormat="false" ht="12.8" hidden="false" customHeight="false" outlineLevel="0" collapsed="false">
      <c r="A342" s="1" t="n">
        <v>46</v>
      </c>
      <c r="B342" s="9" t="s">
        <v>74</v>
      </c>
      <c r="C342" s="1" t="n">
        <v>0.2197</v>
      </c>
      <c r="D342" s="1" t="s">
        <v>72</v>
      </c>
    </row>
    <row r="343" customFormat="false" ht="12.8" hidden="false" customHeight="false" outlineLevel="0" collapsed="false">
      <c r="A343" s="1" t="n">
        <v>46</v>
      </c>
      <c r="B343" s="9" t="s">
        <v>79</v>
      </c>
      <c r="C343" s="1" t="n">
        <v>0.1855</v>
      </c>
      <c r="D343" s="1" t="s">
        <v>72</v>
      </c>
    </row>
    <row r="344" customFormat="false" ht="12.8" hidden="false" customHeight="false" outlineLevel="0" collapsed="false">
      <c r="A344" s="1" t="n">
        <v>46</v>
      </c>
      <c r="B344" s="9" t="s">
        <v>76</v>
      </c>
      <c r="C344" s="1" t="n">
        <v>0.1736</v>
      </c>
      <c r="D344" s="1" t="s">
        <v>72</v>
      </c>
    </row>
    <row r="345" customFormat="false" ht="12.8" hidden="false" customHeight="false" outlineLevel="0" collapsed="false">
      <c r="A345" s="1" t="n">
        <v>46</v>
      </c>
      <c r="B345" s="9" t="s">
        <v>81</v>
      </c>
      <c r="C345" s="1" t="n">
        <v>0.1615</v>
      </c>
      <c r="D345" s="1" t="s">
        <v>72</v>
      </c>
    </row>
    <row r="346" customFormat="false" ht="12.8" hidden="false" customHeight="false" outlineLevel="0" collapsed="false">
      <c r="A346" s="1" t="n">
        <v>46</v>
      </c>
      <c r="B346" s="9" t="s">
        <v>78</v>
      </c>
      <c r="C346" s="1" t="n">
        <v>0.1597</v>
      </c>
      <c r="D346" s="1" t="s">
        <v>72</v>
      </c>
    </row>
    <row r="347" customFormat="false" ht="12.8" hidden="false" customHeight="false" outlineLevel="0" collapsed="false">
      <c r="A347" s="1" t="n">
        <v>46</v>
      </c>
      <c r="B347" s="9" t="s">
        <v>67</v>
      </c>
      <c r="C347" s="1" t="n">
        <v>0.1</v>
      </c>
      <c r="D347" s="1" t="s">
        <v>72</v>
      </c>
    </row>
    <row r="348" customFormat="false" ht="12.8" hidden="false" customHeight="false" outlineLevel="0" collapsed="false">
      <c r="A348" s="1" t="n">
        <v>48</v>
      </c>
      <c r="B348" s="9" t="s">
        <v>74</v>
      </c>
      <c r="C348" s="1" t="n">
        <v>0.1865</v>
      </c>
      <c r="D348" s="1" t="s">
        <v>72</v>
      </c>
    </row>
    <row r="349" customFormat="false" ht="12.8" hidden="false" customHeight="false" outlineLevel="0" collapsed="false">
      <c r="A349" s="1" t="n">
        <v>48</v>
      </c>
      <c r="B349" s="9" t="s">
        <v>79</v>
      </c>
      <c r="C349" s="1" t="n">
        <v>0.1838</v>
      </c>
      <c r="D349" s="1" t="s">
        <v>72</v>
      </c>
    </row>
    <row r="350" customFormat="false" ht="12.8" hidden="false" customHeight="false" outlineLevel="0" collapsed="false">
      <c r="A350" s="1" t="n">
        <v>48</v>
      </c>
      <c r="B350" s="9" t="s">
        <v>77</v>
      </c>
      <c r="C350" s="1" t="n">
        <v>0.1834</v>
      </c>
      <c r="D350" s="1" t="s">
        <v>72</v>
      </c>
    </row>
    <row r="351" customFormat="false" ht="12.8" hidden="false" customHeight="false" outlineLevel="0" collapsed="false">
      <c r="A351" s="1" t="n">
        <v>48</v>
      </c>
      <c r="B351" s="9" t="s">
        <v>78</v>
      </c>
      <c r="C351" s="1" t="n">
        <v>0.1751</v>
      </c>
      <c r="D351" s="1" t="s">
        <v>72</v>
      </c>
    </row>
    <row r="352" customFormat="false" ht="12.8" hidden="false" customHeight="false" outlineLevel="0" collapsed="false">
      <c r="A352" s="1" t="n">
        <v>48</v>
      </c>
      <c r="B352" s="9" t="s">
        <v>76</v>
      </c>
      <c r="C352" s="1" t="n">
        <v>0.1712</v>
      </c>
      <c r="D352" s="1" t="s">
        <v>72</v>
      </c>
    </row>
    <row r="353" customFormat="false" ht="12.8" hidden="false" customHeight="false" outlineLevel="0" collapsed="false">
      <c r="A353" s="1" t="n">
        <v>48</v>
      </c>
      <c r="B353" s="9" t="s">
        <v>67</v>
      </c>
      <c r="C353" s="1" t="n">
        <v>0.1</v>
      </c>
      <c r="D353" s="1" t="s">
        <v>72</v>
      </c>
    </row>
    <row r="354" customFormat="false" ht="12.8" hidden="false" customHeight="false" outlineLevel="0" collapsed="false">
      <c r="A354" s="1" t="n">
        <v>0</v>
      </c>
      <c r="B354" s="9" t="s">
        <v>67</v>
      </c>
      <c r="C354" s="1" t="n">
        <v>0.1</v>
      </c>
      <c r="D354" s="1" t="s">
        <v>73</v>
      </c>
    </row>
    <row r="355" customFormat="false" ht="12.8" hidden="false" customHeight="false" outlineLevel="0" collapsed="false">
      <c r="A355" s="1" t="n">
        <v>2</v>
      </c>
      <c r="B355" s="9" t="s">
        <v>67</v>
      </c>
      <c r="C355" s="1" t="n">
        <v>0.1</v>
      </c>
      <c r="D355" s="1" t="s">
        <v>73</v>
      </c>
    </row>
    <row r="356" customFormat="false" ht="12.8" hidden="false" customHeight="false" outlineLevel="0" collapsed="false">
      <c r="A356" s="1" t="n">
        <v>4</v>
      </c>
      <c r="B356" s="9" t="s">
        <v>75</v>
      </c>
      <c r="C356" s="1" t="n">
        <v>0.1911</v>
      </c>
      <c r="D356" s="1" t="s">
        <v>73</v>
      </c>
    </row>
    <row r="357" customFormat="false" ht="12.8" hidden="false" customHeight="false" outlineLevel="0" collapsed="false">
      <c r="A357" s="1" t="n">
        <v>4</v>
      </c>
      <c r="B357" s="9" t="s">
        <v>74</v>
      </c>
      <c r="C357" s="1" t="n">
        <v>0.1903</v>
      </c>
      <c r="D357" s="1" t="s">
        <v>73</v>
      </c>
    </row>
    <row r="358" customFormat="false" ht="12.8" hidden="false" customHeight="false" outlineLevel="0" collapsed="false">
      <c r="A358" s="1" t="n">
        <v>4</v>
      </c>
      <c r="B358" s="9" t="s">
        <v>77</v>
      </c>
      <c r="C358" s="1" t="n">
        <v>0.1751</v>
      </c>
      <c r="D358" s="1" t="s">
        <v>73</v>
      </c>
    </row>
    <row r="359" customFormat="false" ht="12.8" hidden="false" customHeight="false" outlineLevel="0" collapsed="false">
      <c r="A359" s="1" t="n">
        <v>4</v>
      </c>
      <c r="B359" s="9" t="s">
        <v>76</v>
      </c>
      <c r="C359" s="1" t="n">
        <v>0.1741</v>
      </c>
      <c r="D359" s="1" t="s">
        <v>73</v>
      </c>
    </row>
    <row r="360" customFormat="false" ht="12.8" hidden="false" customHeight="false" outlineLevel="0" collapsed="false">
      <c r="A360" s="1" t="n">
        <v>4</v>
      </c>
      <c r="B360" s="9" t="s">
        <v>82</v>
      </c>
      <c r="C360" s="1" t="n">
        <v>0.1694</v>
      </c>
      <c r="D360" s="1" t="s">
        <v>73</v>
      </c>
    </row>
    <row r="361" customFormat="false" ht="12.8" hidden="false" customHeight="false" outlineLevel="0" collapsed="false">
      <c r="A361" s="1" t="n">
        <v>4</v>
      </c>
      <c r="B361" s="9" t="s">
        <v>67</v>
      </c>
      <c r="C361" s="1" t="n">
        <v>0.1</v>
      </c>
      <c r="D361" s="1" t="s">
        <v>73</v>
      </c>
    </row>
    <row r="362" customFormat="false" ht="12.8" hidden="false" customHeight="false" outlineLevel="0" collapsed="false">
      <c r="A362" s="1" t="n">
        <v>6</v>
      </c>
      <c r="B362" s="9" t="s">
        <v>76</v>
      </c>
      <c r="C362" s="1" t="n">
        <v>0.456</v>
      </c>
      <c r="D362" s="1" t="s">
        <v>73</v>
      </c>
    </row>
    <row r="363" customFormat="false" ht="12.8" hidden="false" customHeight="false" outlineLevel="0" collapsed="false">
      <c r="A363" s="1" t="n">
        <v>6</v>
      </c>
      <c r="B363" s="9" t="s">
        <v>74</v>
      </c>
      <c r="C363" s="1" t="n">
        <v>0.444</v>
      </c>
      <c r="D363" s="1" t="s">
        <v>73</v>
      </c>
    </row>
    <row r="364" customFormat="false" ht="12.8" hidden="false" customHeight="false" outlineLevel="0" collapsed="false">
      <c r="A364" s="1" t="n">
        <v>6</v>
      </c>
      <c r="B364" s="9" t="s">
        <v>67</v>
      </c>
      <c r="C364" s="1" t="n">
        <v>0.1</v>
      </c>
      <c r="D364" s="1" t="s">
        <v>73</v>
      </c>
    </row>
    <row r="365" customFormat="false" ht="12.8" hidden="false" customHeight="false" outlineLevel="0" collapsed="false">
      <c r="A365" s="1" t="n">
        <v>8</v>
      </c>
      <c r="B365" s="9" t="s">
        <v>74</v>
      </c>
      <c r="C365" s="1" t="n">
        <v>0.2088</v>
      </c>
      <c r="D365" s="1" t="s">
        <v>73</v>
      </c>
    </row>
    <row r="366" customFormat="false" ht="12.8" hidden="false" customHeight="false" outlineLevel="0" collapsed="false">
      <c r="A366" s="1" t="n">
        <v>8</v>
      </c>
      <c r="B366" s="9" t="s">
        <v>75</v>
      </c>
      <c r="C366" s="1" t="n">
        <v>0.1916</v>
      </c>
      <c r="D366" s="1" t="s">
        <v>73</v>
      </c>
    </row>
    <row r="367" customFormat="false" ht="12.8" hidden="false" customHeight="false" outlineLevel="0" collapsed="false">
      <c r="A367" s="1" t="n">
        <v>8</v>
      </c>
      <c r="B367" s="9" t="s">
        <v>76</v>
      </c>
      <c r="C367" s="1" t="n">
        <v>0.1703</v>
      </c>
      <c r="D367" s="1" t="s">
        <v>73</v>
      </c>
    </row>
    <row r="368" customFormat="false" ht="12.8" hidden="false" customHeight="false" outlineLevel="0" collapsed="false">
      <c r="A368" s="1" t="n">
        <v>8</v>
      </c>
      <c r="B368" s="9" t="s">
        <v>81</v>
      </c>
      <c r="C368" s="1" t="n">
        <v>0.165</v>
      </c>
      <c r="D368" s="1" t="s">
        <v>73</v>
      </c>
    </row>
    <row r="369" customFormat="false" ht="12.8" hidden="false" customHeight="false" outlineLevel="0" collapsed="false">
      <c r="A369" s="1" t="n">
        <v>8</v>
      </c>
      <c r="B369" s="9" t="s">
        <v>77</v>
      </c>
      <c r="C369" s="1" t="n">
        <v>0.1642</v>
      </c>
      <c r="D369" s="1" t="s">
        <v>73</v>
      </c>
    </row>
    <row r="370" customFormat="false" ht="12.8" hidden="false" customHeight="false" outlineLevel="0" collapsed="false">
      <c r="A370" s="1" t="n">
        <v>8</v>
      </c>
      <c r="B370" s="9" t="s">
        <v>67</v>
      </c>
      <c r="C370" s="1" t="n">
        <v>0.1</v>
      </c>
      <c r="D370" s="1" t="s">
        <v>73</v>
      </c>
    </row>
    <row r="371" customFormat="false" ht="12.8" hidden="false" customHeight="false" outlineLevel="0" collapsed="false">
      <c r="A371" s="1" t="n">
        <v>10</v>
      </c>
      <c r="B371" s="9" t="s">
        <v>76</v>
      </c>
      <c r="C371" s="1" t="n">
        <v>0.4577</v>
      </c>
      <c r="D371" s="1" t="s">
        <v>73</v>
      </c>
    </row>
    <row r="372" customFormat="false" ht="12.8" hidden="false" customHeight="false" outlineLevel="0" collapsed="false">
      <c r="A372" s="1" t="n">
        <v>10</v>
      </c>
      <c r="B372" s="9" t="s">
        <v>74</v>
      </c>
      <c r="C372" s="1" t="n">
        <v>0.4423</v>
      </c>
      <c r="D372" s="1" t="s">
        <v>73</v>
      </c>
    </row>
    <row r="373" customFormat="false" ht="12.8" hidden="false" customHeight="false" outlineLevel="0" collapsed="false">
      <c r="A373" s="1" t="n">
        <v>10</v>
      </c>
      <c r="B373" s="9" t="s">
        <v>67</v>
      </c>
      <c r="C373" s="1" t="n">
        <v>0.1</v>
      </c>
      <c r="D373" s="1" t="s">
        <v>73</v>
      </c>
    </row>
    <row r="374" customFormat="false" ht="12.8" hidden="false" customHeight="false" outlineLevel="0" collapsed="false">
      <c r="A374" s="1" t="n">
        <v>12</v>
      </c>
      <c r="B374" s="9" t="s">
        <v>79</v>
      </c>
      <c r="C374" s="1" t="n">
        <v>0.1933</v>
      </c>
      <c r="D374" s="1" t="s">
        <v>73</v>
      </c>
    </row>
    <row r="375" customFormat="false" ht="12.8" hidden="false" customHeight="false" outlineLevel="0" collapsed="false">
      <c r="A375" s="1" t="n">
        <v>12</v>
      </c>
      <c r="B375" s="9" t="s">
        <v>76</v>
      </c>
      <c r="C375" s="1" t="n">
        <v>0.1865</v>
      </c>
      <c r="D375" s="1" t="s">
        <v>73</v>
      </c>
    </row>
    <row r="376" customFormat="false" ht="12.8" hidden="false" customHeight="false" outlineLevel="0" collapsed="false">
      <c r="A376" s="1" t="n">
        <v>12</v>
      </c>
      <c r="B376" s="9" t="s">
        <v>77</v>
      </c>
      <c r="C376" s="1" t="n">
        <v>0.183</v>
      </c>
      <c r="D376" s="1" t="s">
        <v>73</v>
      </c>
    </row>
    <row r="377" customFormat="false" ht="12.8" hidden="false" customHeight="false" outlineLevel="0" collapsed="false">
      <c r="A377" s="1" t="n">
        <v>12</v>
      </c>
      <c r="B377" s="9" t="s">
        <v>74</v>
      </c>
      <c r="C377" s="1" t="n">
        <v>0.1692</v>
      </c>
      <c r="D377" s="1" t="s">
        <v>73</v>
      </c>
    </row>
    <row r="378" customFormat="false" ht="12.8" hidden="false" customHeight="false" outlineLevel="0" collapsed="false">
      <c r="A378" s="1" t="n">
        <v>12</v>
      </c>
      <c r="B378" s="9" t="s">
        <v>82</v>
      </c>
      <c r="C378" s="1" t="n">
        <v>0.168</v>
      </c>
      <c r="D378" s="1" t="s">
        <v>73</v>
      </c>
    </row>
    <row r="379" customFormat="false" ht="12.8" hidden="false" customHeight="false" outlineLevel="0" collapsed="false">
      <c r="A379" s="1" t="n">
        <v>12</v>
      </c>
      <c r="B379" s="9" t="s">
        <v>67</v>
      </c>
      <c r="C379" s="1" t="n">
        <v>0.1</v>
      </c>
      <c r="D379" s="1" t="s">
        <v>73</v>
      </c>
    </row>
    <row r="380" customFormat="false" ht="12.8" hidden="false" customHeight="false" outlineLevel="0" collapsed="false">
      <c r="A380" s="1" t="n">
        <v>14</v>
      </c>
      <c r="B380" s="9" t="s">
        <v>76</v>
      </c>
      <c r="C380" s="1" t="n">
        <v>0.1884</v>
      </c>
      <c r="D380" s="1" t="s">
        <v>73</v>
      </c>
    </row>
    <row r="381" customFormat="false" ht="12.8" hidden="false" customHeight="false" outlineLevel="0" collapsed="false">
      <c r="A381" s="1" t="n">
        <v>14</v>
      </c>
      <c r="B381" s="9" t="s">
        <v>82</v>
      </c>
      <c r="C381" s="1" t="n">
        <v>0.181</v>
      </c>
      <c r="D381" s="1" t="s">
        <v>73</v>
      </c>
    </row>
    <row r="382" customFormat="false" ht="12.8" hidden="false" customHeight="false" outlineLevel="0" collapsed="false">
      <c r="A382" s="1" t="n">
        <v>14</v>
      </c>
      <c r="B382" s="9" t="s">
        <v>77</v>
      </c>
      <c r="C382" s="1" t="n">
        <v>0.166</v>
      </c>
      <c r="D382" s="1" t="s">
        <v>73</v>
      </c>
    </row>
    <row r="383" customFormat="false" ht="12.8" hidden="false" customHeight="false" outlineLevel="0" collapsed="false">
      <c r="A383" s="1" t="n">
        <v>14</v>
      </c>
      <c r="B383" s="9" t="s">
        <v>74</v>
      </c>
      <c r="C383" s="1" t="n">
        <v>0.1596</v>
      </c>
      <c r="D383" s="1" t="s">
        <v>73</v>
      </c>
    </row>
    <row r="384" customFormat="false" ht="12.8" hidden="false" customHeight="false" outlineLevel="0" collapsed="false">
      <c r="A384" s="1" t="n">
        <v>14</v>
      </c>
      <c r="B384" s="9" t="s">
        <v>79</v>
      </c>
      <c r="C384" s="1" t="n">
        <v>0.1531</v>
      </c>
      <c r="D384" s="1" t="s">
        <v>73</v>
      </c>
    </row>
    <row r="385" customFormat="false" ht="12.8" hidden="false" customHeight="false" outlineLevel="0" collapsed="false">
      <c r="A385" s="1" t="n">
        <v>14</v>
      </c>
      <c r="B385" s="9" t="s">
        <v>67</v>
      </c>
      <c r="C385" s="1" t="n">
        <v>0.1518</v>
      </c>
      <c r="D385" s="1" t="s">
        <v>73</v>
      </c>
    </row>
    <row r="386" customFormat="false" ht="12.8" hidden="false" customHeight="false" outlineLevel="0" collapsed="false">
      <c r="A386" s="1" t="n">
        <v>16</v>
      </c>
      <c r="B386" s="9" t="s">
        <v>67</v>
      </c>
      <c r="C386" s="1" t="n">
        <v>0.1</v>
      </c>
      <c r="D386" s="1" t="s">
        <v>73</v>
      </c>
    </row>
    <row r="387" customFormat="false" ht="12.8" hidden="false" customHeight="false" outlineLevel="0" collapsed="false">
      <c r="A387" s="1" t="n">
        <v>18</v>
      </c>
      <c r="B387" s="9" t="s">
        <v>74</v>
      </c>
      <c r="C387" s="1" t="n">
        <v>0.1963</v>
      </c>
      <c r="D387" s="1" t="s">
        <v>73</v>
      </c>
    </row>
    <row r="388" customFormat="false" ht="12.8" hidden="false" customHeight="false" outlineLevel="0" collapsed="false">
      <c r="A388" s="1" t="n">
        <v>18</v>
      </c>
      <c r="B388" s="9" t="s">
        <v>76</v>
      </c>
      <c r="C388" s="1" t="n">
        <v>0.169</v>
      </c>
      <c r="D388" s="1" t="s">
        <v>73</v>
      </c>
    </row>
    <row r="389" customFormat="false" ht="12.8" hidden="false" customHeight="false" outlineLevel="0" collapsed="false">
      <c r="A389" s="1" t="n">
        <v>18</v>
      </c>
      <c r="B389" s="9" t="s">
        <v>81</v>
      </c>
      <c r="C389" s="1" t="n">
        <v>0.1671</v>
      </c>
      <c r="D389" s="1" t="s">
        <v>73</v>
      </c>
    </row>
    <row r="390" customFormat="false" ht="12.8" hidden="false" customHeight="false" outlineLevel="0" collapsed="false">
      <c r="A390" s="1" t="n">
        <v>18</v>
      </c>
      <c r="B390" s="9" t="s">
        <v>75</v>
      </c>
      <c r="C390" s="1" t="n">
        <v>0.1598</v>
      </c>
      <c r="D390" s="1" t="s">
        <v>73</v>
      </c>
    </row>
    <row r="391" customFormat="false" ht="12.8" hidden="false" customHeight="false" outlineLevel="0" collapsed="false">
      <c r="A391" s="1" t="n">
        <v>18</v>
      </c>
      <c r="B391" s="9" t="s">
        <v>79</v>
      </c>
      <c r="C391" s="1" t="n">
        <v>0.1552</v>
      </c>
      <c r="D391" s="1" t="s">
        <v>73</v>
      </c>
    </row>
    <row r="392" customFormat="false" ht="12.8" hidden="false" customHeight="false" outlineLevel="0" collapsed="false">
      <c r="A392" s="1" t="n">
        <v>18</v>
      </c>
      <c r="B392" s="9" t="s">
        <v>67</v>
      </c>
      <c r="C392" s="1" t="n">
        <v>0.1527</v>
      </c>
      <c r="D392" s="1" t="s">
        <v>73</v>
      </c>
    </row>
    <row r="393" customFormat="false" ht="12.8" hidden="false" customHeight="false" outlineLevel="0" collapsed="false">
      <c r="A393" s="1" t="n">
        <v>20</v>
      </c>
      <c r="B393" s="9" t="s">
        <v>79</v>
      </c>
      <c r="C393" s="1" t="n">
        <v>0.1911</v>
      </c>
      <c r="D393" s="1" t="s">
        <v>73</v>
      </c>
    </row>
    <row r="394" customFormat="false" ht="12.8" hidden="false" customHeight="false" outlineLevel="0" collapsed="false">
      <c r="A394" s="1" t="n">
        <v>20</v>
      </c>
      <c r="B394" s="9" t="s">
        <v>74</v>
      </c>
      <c r="C394" s="1" t="n">
        <v>0.1823</v>
      </c>
      <c r="D394" s="1" t="s">
        <v>73</v>
      </c>
    </row>
    <row r="395" customFormat="false" ht="12.8" hidden="false" customHeight="false" outlineLevel="0" collapsed="false">
      <c r="A395" s="1" t="n">
        <v>20</v>
      </c>
      <c r="B395" s="9" t="s">
        <v>75</v>
      </c>
      <c r="C395" s="1" t="n">
        <v>0.1813</v>
      </c>
      <c r="D395" s="1" t="s">
        <v>73</v>
      </c>
    </row>
    <row r="396" customFormat="false" ht="12.8" hidden="false" customHeight="false" outlineLevel="0" collapsed="false">
      <c r="A396" s="1" t="n">
        <v>20</v>
      </c>
      <c r="B396" s="9" t="s">
        <v>76</v>
      </c>
      <c r="C396" s="1" t="n">
        <v>0.179</v>
      </c>
      <c r="D396" s="1" t="s">
        <v>73</v>
      </c>
    </row>
    <row r="397" customFormat="false" ht="12.8" hidden="false" customHeight="false" outlineLevel="0" collapsed="false">
      <c r="A397" s="1" t="n">
        <v>20</v>
      </c>
      <c r="B397" s="9" t="s">
        <v>81</v>
      </c>
      <c r="C397" s="1" t="n">
        <v>0.1663</v>
      </c>
      <c r="D397" s="1" t="s">
        <v>73</v>
      </c>
    </row>
    <row r="398" customFormat="false" ht="12.8" hidden="false" customHeight="false" outlineLevel="0" collapsed="false">
      <c r="A398" s="1" t="n">
        <v>20</v>
      </c>
      <c r="B398" s="9" t="s">
        <v>67</v>
      </c>
      <c r="C398" s="1" t="n">
        <v>0.1</v>
      </c>
      <c r="D398" s="1" t="s">
        <v>73</v>
      </c>
    </row>
    <row r="399" customFormat="false" ht="12.8" hidden="false" customHeight="false" outlineLevel="0" collapsed="false">
      <c r="A399" s="1" t="n">
        <v>22</v>
      </c>
      <c r="B399" s="9" t="s">
        <v>79</v>
      </c>
      <c r="C399" s="1" t="n">
        <v>0.1833</v>
      </c>
      <c r="D399" s="1" t="s">
        <v>73</v>
      </c>
    </row>
    <row r="400" customFormat="false" ht="12.8" hidden="false" customHeight="false" outlineLevel="0" collapsed="false">
      <c r="A400" s="1" t="n">
        <v>22</v>
      </c>
      <c r="B400" s="9" t="s">
        <v>67</v>
      </c>
      <c r="C400" s="1" t="n">
        <v>0.1712</v>
      </c>
      <c r="D400" s="1" t="s">
        <v>73</v>
      </c>
    </row>
    <row r="401" customFormat="false" ht="12.8" hidden="false" customHeight="false" outlineLevel="0" collapsed="false">
      <c r="A401" s="1" t="n">
        <v>22</v>
      </c>
      <c r="B401" s="9" t="s">
        <v>77</v>
      </c>
      <c r="C401" s="1" t="n">
        <v>0.1681</v>
      </c>
      <c r="D401" s="1" t="s">
        <v>73</v>
      </c>
    </row>
    <row r="402" customFormat="false" ht="12.8" hidden="false" customHeight="false" outlineLevel="0" collapsed="false">
      <c r="A402" s="1" t="n">
        <v>22</v>
      </c>
      <c r="B402" s="9" t="s">
        <v>75</v>
      </c>
      <c r="C402" s="1" t="n">
        <v>0.165</v>
      </c>
      <c r="D402" s="1" t="s">
        <v>73</v>
      </c>
    </row>
    <row r="403" customFormat="false" ht="12.8" hidden="false" customHeight="false" outlineLevel="0" collapsed="false">
      <c r="A403" s="1" t="n">
        <v>22</v>
      </c>
      <c r="B403" s="9" t="s">
        <v>74</v>
      </c>
      <c r="C403" s="1" t="n">
        <v>0.1577</v>
      </c>
      <c r="D403" s="1" t="s">
        <v>73</v>
      </c>
    </row>
    <row r="404" customFormat="false" ht="12.8" hidden="false" customHeight="false" outlineLevel="0" collapsed="false">
      <c r="A404" s="1" t="n">
        <v>22</v>
      </c>
      <c r="B404" s="9" t="s">
        <v>81</v>
      </c>
      <c r="C404" s="1" t="n">
        <v>0.1548</v>
      </c>
      <c r="D404" s="1" t="s">
        <v>73</v>
      </c>
    </row>
    <row r="405" customFormat="false" ht="12.8" hidden="false" customHeight="false" outlineLevel="0" collapsed="false">
      <c r="A405" s="1" t="n">
        <v>24</v>
      </c>
      <c r="B405" s="9" t="s">
        <v>82</v>
      </c>
      <c r="C405" s="1" t="n">
        <v>0.1957</v>
      </c>
      <c r="D405" s="1" t="s">
        <v>73</v>
      </c>
    </row>
    <row r="406" customFormat="false" ht="12.8" hidden="false" customHeight="false" outlineLevel="0" collapsed="false">
      <c r="A406" s="1" t="n">
        <v>24</v>
      </c>
      <c r="B406" s="9" t="s">
        <v>77</v>
      </c>
      <c r="C406" s="1" t="n">
        <v>0.1642</v>
      </c>
      <c r="D406" s="1" t="s">
        <v>73</v>
      </c>
    </row>
    <row r="407" customFormat="false" ht="12.8" hidden="false" customHeight="false" outlineLevel="0" collapsed="false">
      <c r="A407" s="1" t="n">
        <v>24</v>
      </c>
      <c r="B407" s="9" t="s">
        <v>67</v>
      </c>
      <c r="C407" s="1" t="n">
        <v>0.1628</v>
      </c>
      <c r="D407" s="1" t="s">
        <v>73</v>
      </c>
    </row>
    <row r="408" customFormat="false" ht="12.8" hidden="false" customHeight="false" outlineLevel="0" collapsed="false">
      <c r="A408" s="1" t="n">
        <v>24</v>
      </c>
      <c r="B408" s="9" t="s">
        <v>75</v>
      </c>
      <c r="C408" s="1" t="n">
        <v>0.1625</v>
      </c>
      <c r="D408" s="1" t="s">
        <v>73</v>
      </c>
    </row>
    <row r="409" customFormat="false" ht="12.8" hidden="false" customHeight="false" outlineLevel="0" collapsed="false">
      <c r="A409" s="1" t="n">
        <v>24</v>
      </c>
      <c r="B409" s="9" t="s">
        <v>79</v>
      </c>
      <c r="C409" s="1" t="n">
        <v>0.1613</v>
      </c>
      <c r="D409" s="1" t="s">
        <v>73</v>
      </c>
    </row>
    <row r="410" customFormat="false" ht="12.8" hidden="false" customHeight="false" outlineLevel="0" collapsed="false">
      <c r="A410" s="1" t="n">
        <v>24</v>
      </c>
      <c r="B410" s="9" t="s">
        <v>76</v>
      </c>
      <c r="C410" s="1" t="n">
        <v>0.1536</v>
      </c>
      <c r="D410" s="1" t="s">
        <v>73</v>
      </c>
    </row>
    <row r="411" customFormat="false" ht="12.8" hidden="false" customHeight="false" outlineLevel="0" collapsed="false">
      <c r="A411" s="1" t="n">
        <v>26</v>
      </c>
      <c r="B411" s="9" t="s">
        <v>75</v>
      </c>
      <c r="C411" s="1" t="n">
        <v>0.1979</v>
      </c>
      <c r="D411" s="1" t="s">
        <v>73</v>
      </c>
    </row>
    <row r="412" customFormat="false" ht="12.8" hidden="false" customHeight="false" outlineLevel="0" collapsed="false">
      <c r="A412" s="1" t="n">
        <v>26</v>
      </c>
      <c r="B412" s="9" t="s">
        <v>74</v>
      </c>
      <c r="C412" s="1" t="n">
        <v>0.1972</v>
      </c>
      <c r="D412" s="1" t="s">
        <v>73</v>
      </c>
    </row>
    <row r="413" customFormat="false" ht="12.8" hidden="false" customHeight="false" outlineLevel="0" collapsed="false">
      <c r="A413" s="1" t="n">
        <v>26</v>
      </c>
      <c r="B413" s="9" t="s">
        <v>76</v>
      </c>
      <c r="C413" s="1" t="n">
        <v>0.1689</v>
      </c>
      <c r="D413" s="1" t="s">
        <v>73</v>
      </c>
    </row>
    <row r="414" customFormat="false" ht="12.8" hidden="false" customHeight="false" outlineLevel="0" collapsed="false">
      <c r="A414" s="1" t="n">
        <v>26</v>
      </c>
      <c r="B414" s="9" t="s">
        <v>77</v>
      </c>
      <c r="C414" s="1" t="n">
        <v>0.1684</v>
      </c>
      <c r="D414" s="1" t="s">
        <v>73</v>
      </c>
    </row>
    <row r="415" customFormat="false" ht="12.8" hidden="false" customHeight="false" outlineLevel="0" collapsed="false">
      <c r="A415" s="1" t="n">
        <v>26</v>
      </c>
      <c r="B415" s="9" t="s">
        <v>82</v>
      </c>
      <c r="C415" s="1" t="n">
        <v>0.1676</v>
      </c>
      <c r="D415" s="1" t="s">
        <v>73</v>
      </c>
    </row>
    <row r="416" customFormat="false" ht="12.8" hidden="false" customHeight="false" outlineLevel="0" collapsed="false">
      <c r="A416" s="1" t="n">
        <v>26</v>
      </c>
      <c r="B416" s="9" t="s">
        <v>67</v>
      </c>
      <c r="C416" s="1" t="n">
        <v>0.1</v>
      </c>
      <c r="D416" s="1" t="s">
        <v>73</v>
      </c>
    </row>
    <row r="417" customFormat="false" ht="12.8" hidden="false" customHeight="false" outlineLevel="0" collapsed="false">
      <c r="A417" s="1" t="n">
        <v>28</v>
      </c>
      <c r="B417" s="9" t="s">
        <v>74</v>
      </c>
      <c r="C417" s="1" t="n">
        <v>0.1939</v>
      </c>
      <c r="D417" s="1" t="s">
        <v>73</v>
      </c>
    </row>
    <row r="418" customFormat="false" ht="12.8" hidden="false" customHeight="false" outlineLevel="0" collapsed="false">
      <c r="A418" s="1" t="n">
        <v>28</v>
      </c>
      <c r="B418" s="9" t="s">
        <v>75</v>
      </c>
      <c r="C418" s="1" t="n">
        <v>0.1858</v>
      </c>
      <c r="D418" s="1" t="s">
        <v>73</v>
      </c>
    </row>
    <row r="419" customFormat="false" ht="12.8" hidden="false" customHeight="false" outlineLevel="0" collapsed="false">
      <c r="A419" s="1" t="n">
        <v>28</v>
      </c>
      <c r="B419" s="9" t="s">
        <v>81</v>
      </c>
      <c r="C419" s="1" t="n">
        <v>0.1824</v>
      </c>
      <c r="D419" s="1" t="s">
        <v>73</v>
      </c>
    </row>
    <row r="420" customFormat="false" ht="12.8" hidden="false" customHeight="false" outlineLevel="0" collapsed="false">
      <c r="A420" s="1" t="n">
        <v>28</v>
      </c>
      <c r="B420" s="9" t="s">
        <v>76</v>
      </c>
      <c r="C420" s="1" t="n">
        <v>0.1737</v>
      </c>
      <c r="D420" s="1" t="s">
        <v>73</v>
      </c>
    </row>
    <row r="421" customFormat="false" ht="12.8" hidden="false" customHeight="false" outlineLevel="0" collapsed="false">
      <c r="A421" s="1" t="n">
        <v>28</v>
      </c>
      <c r="B421" s="9" t="s">
        <v>77</v>
      </c>
      <c r="C421" s="1" t="n">
        <v>0.1642</v>
      </c>
      <c r="D421" s="1" t="s">
        <v>73</v>
      </c>
    </row>
    <row r="422" customFormat="false" ht="12.8" hidden="false" customHeight="false" outlineLevel="0" collapsed="false">
      <c r="A422" s="1" t="n">
        <v>28</v>
      </c>
      <c r="B422" s="9" t="s">
        <v>67</v>
      </c>
      <c r="C422" s="1" t="n">
        <v>0.1</v>
      </c>
      <c r="D422" s="1" t="s">
        <v>73</v>
      </c>
    </row>
    <row r="423" customFormat="false" ht="12.8" hidden="false" customHeight="false" outlineLevel="0" collapsed="false">
      <c r="A423" s="1" t="n">
        <v>30</v>
      </c>
      <c r="B423" s="9" t="s">
        <v>74</v>
      </c>
      <c r="C423" s="1" t="n">
        <v>0.195</v>
      </c>
      <c r="D423" s="1" t="s">
        <v>73</v>
      </c>
    </row>
    <row r="424" customFormat="false" ht="12.8" hidden="false" customHeight="false" outlineLevel="0" collapsed="false">
      <c r="A424" s="1" t="n">
        <v>30</v>
      </c>
      <c r="B424" s="9" t="s">
        <v>75</v>
      </c>
      <c r="C424" s="1" t="n">
        <v>0.186</v>
      </c>
      <c r="D424" s="1" t="s">
        <v>73</v>
      </c>
    </row>
    <row r="425" customFormat="false" ht="12.8" hidden="false" customHeight="false" outlineLevel="0" collapsed="false">
      <c r="A425" s="1" t="n">
        <v>30</v>
      </c>
      <c r="B425" s="9" t="s">
        <v>76</v>
      </c>
      <c r="C425" s="1" t="n">
        <v>0.1844</v>
      </c>
      <c r="D425" s="1" t="s">
        <v>73</v>
      </c>
    </row>
    <row r="426" customFormat="false" ht="12.8" hidden="false" customHeight="false" outlineLevel="0" collapsed="false">
      <c r="A426" s="1" t="n">
        <v>30</v>
      </c>
      <c r="B426" s="9" t="s">
        <v>77</v>
      </c>
      <c r="C426" s="1" t="n">
        <v>0.174</v>
      </c>
      <c r="D426" s="1" t="s">
        <v>73</v>
      </c>
    </row>
    <row r="427" customFormat="false" ht="12.8" hidden="false" customHeight="false" outlineLevel="0" collapsed="false">
      <c r="A427" s="1" t="n">
        <v>30</v>
      </c>
      <c r="B427" s="9" t="s">
        <v>81</v>
      </c>
      <c r="C427" s="1" t="n">
        <v>0.1606</v>
      </c>
      <c r="D427" s="1" t="s">
        <v>73</v>
      </c>
    </row>
    <row r="428" customFormat="false" ht="12.8" hidden="false" customHeight="false" outlineLevel="0" collapsed="false">
      <c r="A428" s="1" t="n">
        <v>30</v>
      </c>
      <c r="B428" s="9" t="s">
        <v>67</v>
      </c>
      <c r="C428" s="1" t="n">
        <v>0.1</v>
      </c>
      <c r="D428" s="1" t="s">
        <v>73</v>
      </c>
    </row>
    <row r="429" customFormat="false" ht="12.8" hidden="false" customHeight="false" outlineLevel="0" collapsed="false">
      <c r="A429" s="1" t="n">
        <v>32</v>
      </c>
      <c r="B429" s="9" t="s">
        <v>74</v>
      </c>
      <c r="C429" s="1" t="n">
        <v>0.1928</v>
      </c>
      <c r="D429" s="1" t="s">
        <v>73</v>
      </c>
    </row>
    <row r="430" customFormat="false" ht="12.8" hidden="false" customHeight="false" outlineLevel="0" collapsed="false">
      <c r="A430" s="1" t="n">
        <v>32</v>
      </c>
      <c r="B430" s="9" t="s">
        <v>75</v>
      </c>
      <c r="C430" s="1" t="n">
        <v>0.1794</v>
      </c>
      <c r="D430" s="1" t="s">
        <v>73</v>
      </c>
    </row>
    <row r="431" customFormat="false" ht="12.8" hidden="false" customHeight="false" outlineLevel="0" collapsed="false">
      <c r="A431" s="1" t="n">
        <v>32</v>
      </c>
      <c r="B431" s="9" t="s">
        <v>76</v>
      </c>
      <c r="C431" s="1" t="n">
        <v>0.1782</v>
      </c>
      <c r="D431" s="1" t="s">
        <v>73</v>
      </c>
    </row>
    <row r="432" customFormat="false" ht="12.8" hidden="false" customHeight="false" outlineLevel="0" collapsed="false">
      <c r="A432" s="1" t="n">
        <v>32</v>
      </c>
      <c r="B432" s="9" t="s">
        <v>77</v>
      </c>
      <c r="C432" s="1" t="n">
        <v>0.1754</v>
      </c>
      <c r="D432" s="1" t="s">
        <v>73</v>
      </c>
    </row>
    <row r="433" customFormat="false" ht="12.8" hidden="false" customHeight="false" outlineLevel="0" collapsed="false">
      <c r="A433" s="1" t="n">
        <v>32</v>
      </c>
      <c r="B433" s="9" t="s">
        <v>79</v>
      </c>
      <c r="C433" s="1" t="n">
        <v>0.1741</v>
      </c>
      <c r="D433" s="1" t="s">
        <v>73</v>
      </c>
    </row>
    <row r="434" customFormat="false" ht="12.8" hidden="false" customHeight="false" outlineLevel="0" collapsed="false">
      <c r="A434" s="1" t="n">
        <v>32</v>
      </c>
      <c r="B434" s="9" t="s">
        <v>67</v>
      </c>
      <c r="C434" s="1" t="n">
        <v>0.1</v>
      </c>
      <c r="D434" s="1" t="s">
        <v>73</v>
      </c>
    </row>
    <row r="435" customFormat="false" ht="12.8" hidden="false" customHeight="false" outlineLevel="0" collapsed="false">
      <c r="A435" s="1" t="n">
        <v>34</v>
      </c>
      <c r="B435" s="9" t="s">
        <v>74</v>
      </c>
      <c r="C435" s="1" t="n">
        <v>0.1858</v>
      </c>
      <c r="D435" s="1" t="s">
        <v>73</v>
      </c>
    </row>
    <row r="436" customFormat="false" ht="12.8" hidden="false" customHeight="false" outlineLevel="0" collapsed="false">
      <c r="A436" s="1" t="n">
        <v>34</v>
      </c>
      <c r="B436" s="9" t="s">
        <v>77</v>
      </c>
      <c r="C436" s="1" t="n">
        <v>0.1811</v>
      </c>
      <c r="D436" s="1" t="s">
        <v>73</v>
      </c>
    </row>
    <row r="437" customFormat="false" ht="12.8" hidden="false" customHeight="false" outlineLevel="0" collapsed="false">
      <c r="A437" s="1" t="n">
        <v>34</v>
      </c>
      <c r="B437" s="9" t="s">
        <v>76</v>
      </c>
      <c r="C437" s="1" t="n">
        <v>0.1784</v>
      </c>
      <c r="D437" s="1" t="s">
        <v>73</v>
      </c>
    </row>
    <row r="438" customFormat="false" ht="12.8" hidden="false" customHeight="false" outlineLevel="0" collapsed="false">
      <c r="A438" s="1" t="n">
        <v>34</v>
      </c>
      <c r="B438" s="9" t="s">
        <v>81</v>
      </c>
      <c r="C438" s="1" t="n">
        <v>0.1778</v>
      </c>
      <c r="D438" s="1" t="s">
        <v>73</v>
      </c>
    </row>
    <row r="439" customFormat="false" ht="12.8" hidden="false" customHeight="false" outlineLevel="0" collapsed="false">
      <c r="A439" s="1" t="n">
        <v>34</v>
      </c>
      <c r="B439" s="9" t="s">
        <v>75</v>
      </c>
      <c r="C439" s="1" t="n">
        <v>0.1769</v>
      </c>
      <c r="D439" s="1" t="s">
        <v>73</v>
      </c>
    </row>
    <row r="440" customFormat="false" ht="12.8" hidden="false" customHeight="false" outlineLevel="0" collapsed="false">
      <c r="A440" s="1" t="n">
        <v>34</v>
      </c>
      <c r="B440" s="9" t="s">
        <v>67</v>
      </c>
      <c r="C440" s="1" t="n">
        <v>0.1</v>
      </c>
      <c r="D440" s="1" t="s">
        <v>73</v>
      </c>
    </row>
    <row r="441" customFormat="false" ht="12.8" hidden="false" customHeight="false" outlineLevel="0" collapsed="false">
      <c r="A441" s="1" t="n">
        <v>36</v>
      </c>
      <c r="B441" s="9" t="s">
        <v>75</v>
      </c>
      <c r="C441" s="1" t="n">
        <v>0.2095</v>
      </c>
      <c r="D441" s="1" t="s">
        <v>73</v>
      </c>
    </row>
    <row r="442" customFormat="false" ht="12.8" hidden="false" customHeight="false" outlineLevel="0" collapsed="false">
      <c r="A442" s="1" t="n">
        <v>36</v>
      </c>
      <c r="B442" s="9" t="s">
        <v>83</v>
      </c>
      <c r="C442" s="1" t="n">
        <v>0.1831</v>
      </c>
      <c r="D442" s="1" t="s">
        <v>73</v>
      </c>
    </row>
    <row r="443" customFormat="false" ht="12.8" hidden="false" customHeight="false" outlineLevel="0" collapsed="false">
      <c r="A443" s="1" t="n">
        <v>36</v>
      </c>
      <c r="B443" s="9" t="s">
        <v>74</v>
      </c>
      <c r="C443" s="1" t="n">
        <v>0.1799</v>
      </c>
      <c r="D443" s="1" t="s">
        <v>73</v>
      </c>
    </row>
    <row r="444" customFormat="false" ht="12.8" hidden="false" customHeight="false" outlineLevel="0" collapsed="false">
      <c r="A444" s="1" t="n">
        <v>36</v>
      </c>
      <c r="B444" s="9" t="s">
        <v>76</v>
      </c>
      <c r="C444" s="1" t="n">
        <v>0.1674</v>
      </c>
      <c r="D444" s="1" t="s">
        <v>73</v>
      </c>
    </row>
    <row r="445" customFormat="false" ht="12.8" hidden="false" customHeight="false" outlineLevel="0" collapsed="false">
      <c r="A445" s="1" t="n">
        <v>36</v>
      </c>
      <c r="B445" s="9" t="s">
        <v>81</v>
      </c>
      <c r="C445" s="1" t="n">
        <v>0.16</v>
      </c>
      <c r="D445" s="1" t="s">
        <v>73</v>
      </c>
    </row>
    <row r="446" customFormat="false" ht="12.8" hidden="false" customHeight="false" outlineLevel="0" collapsed="false">
      <c r="A446" s="1" t="n">
        <v>36</v>
      </c>
      <c r="B446" s="9" t="s">
        <v>67</v>
      </c>
      <c r="C446" s="1" t="n">
        <v>0.1</v>
      </c>
      <c r="D446" s="1" t="s">
        <v>73</v>
      </c>
    </row>
    <row r="447" customFormat="false" ht="12.8" hidden="false" customHeight="false" outlineLevel="0" collapsed="false">
      <c r="A447" s="1" t="n">
        <v>38</v>
      </c>
      <c r="B447" s="9" t="s">
        <v>75</v>
      </c>
      <c r="C447" s="1" t="n">
        <v>0.2183</v>
      </c>
      <c r="D447" s="1" t="s">
        <v>73</v>
      </c>
    </row>
    <row r="448" customFormat="false" ht="12.8" hidden="false" customHeight="false" outlineLevel="0" collapsed="false">
      <c r="A448" s="1" t="n">
        <v>38</v>
      </c>
      <c r="B448" s="9" t="s">
        <v>83</v>
      </c>
      <c r="C448" s="1" t="n">
        <v>0.1808</v>
      </c>
      <c r="D448" s="1" t="s">
        <v>73</v>
      </c>
    </row>
    <row r="449" customFormat="false" ht="12.8" hidden="false" customHeight="false" outlineLevel="0" collapsed="false">
      <c r="A449" s="1" t="n">
        <v>38</v>
      </c>
      <c r="B449" s="9" t="s">
        <v>74</v>
      </c>
      <c r="C449" s="1" t="n">
        <v>0.176</v>
      </c>
      <c r="D449" s="1" t="s">
        <v>73</v>
      </c>
    </row>
    <row r="450" customFormat="false" ht="12.8" hidden="false" customHeight="false" outlineLevel="0" collapsed="false">
      <c r="A450" s="1" t="n">
        <v>38</v>
      </c>
      <c r="B450" s="9" t="s">
        <v>81</v>
      </c>
      <c r="C450" s="1" t="n">
        <v>0.1628</v>
      </c>
      <c r="D450" s="1" t="s">
        <v>73</v>
      </c>
    </row>
    <row r="451" customFormat="false" ht="12.8" hidden="false" customHeight="false" outlineLevel="0" collapsed="false">
      <c r="A451" s="1" t="n">
        <v>38</v>
      </c>
      <c r="B451" s="9" t="s">
        <v>70</v>
      </c>
      <c r="C451" s="1" t="n">
        <v>0.1622</v>
      </c>
      <c r="D451" s="1" t="s">
        <v>73</v>
      </c>
    </row>
    <row r="452" customFormat="false" ht="12.8" hidden="false" customHeight="false" outlineLevel="0" collapsed="false">
      <c r="A452" s="1" t="n">
        <v>38</v>
      </c>
      <c r="B452" s="9" t="s">
        <v>67</v>
      </c>
      <c r="C452" s="1" t="n">
        <v>0.1</v>
      </c>
      <c r="D452" s="1" t="s">
        <v>73</v>
      </c>
    </row>
    <row r="453" customFormat="false" ht="12.8" hidden="false" customHeight="false" outlineLevel="0" collapsed="false">
      <c r="A453" s="1" t="n">
        <v>40</v>
      </c>
      <c r="B453" s="9" t="s">
        <v>75</v>
      </c>
      <c r="C453" s="1" t="n">
        <v>0.4709</v>
      </c>
      <c r="D453" s="1" t="s">
        <v>73</v>
      </c>
    </row>
    <row r="454" customFormat="false" ht="12.8" hidden="false" customHeight="false" outlineLevel="0" collapsed="false">
      <c r="A454" s="1" t="n">
        <v>40</v>
      </c>
      <c r="B454" s="9" t="s">
        <v>74</v>
      </c>
      <c r="C454" s="1" t="n">
        <v>0.4291</v>
      </c>
      <c r="D454" s="1" t="s">
        <v>73</v>
      </c>
    </row>
    <row r="455" customFormat="false" ht="12.8" hidden="false" customHeight="false" outlineLevel="0" collapsed="false">
      <c r="A455" s="1" t="n">
        <v>40</v>
      </c>
      <c r="B455" s="9" t="s">
        <v>67</v>
      </c>
      <c r="C455" s="1" t="n">
        <v>0.1</v>
      </c>
      <c r="D455" s="1" t="s">
        <v>73</v>
      </c>
    </row>
    <row r="456" customFormat="false" ht="12.8" hidden="false" customHeight="false" outlineLevel="0" collapsed="false">
      <c r="A456" s="1" t="n">
        <v>42</v>
      </c>
      <c r="B456" s="9" t="s">
        <v>74</v>
      </c>
      <c r="C456" s="1" t="n">
        <v>0.1908</v>
      </c>
      <c r="D456" s="1" t="s">
        <v>73</v>
      </c>
    </row>
    <row r="457" customFormat="false" ht="12.8" hidden="false" customHeight="false" outlineLevel="0" collapsed="false">
      <c r="A457" s="1" t="n">
        <v>42</v>
      </c>
      <c r="B457" s="9" t="s">
        <v>75</v>
      </c>
      <c r="C457" s="1" t="n">
        <v>0.1846</v>
      </c>
      <c r="D457" s="1" t="s">
        <v>73</v>
      </c>
    </row>
    <row r="458" customFormat="false" ht="12.8" hidden="false" customHeight="false" outlineLevel="0" collapsed="false">
      <c r="A458" s="1" t="n">
        <v>42</v>
      </c>
      <c r="B458" s="9" t="s">
        <v>77</v>
      </c>
      <c r="C458" s="1" t="n">
        <v>0.1798</v>
      </c>
      <c r="D458" s="1" t="s">
        <v>73</v>
      </c>
    </row>
    <row r="459" customFormat="false" ht="12.8" hidden="false" customHeight="false" outlineLevel="0" collapsed="false">
      <c r="A459" s="1" t="n">
        <v>42</v>
      </c>
      <c r="B459" s="9" t="s">
        <v>78</v>
      </c>
      <c r="C459" s="1" t="n">
        <v>0.1727</v>
      </c>
      <c r="D459" s="1" t="s">
        <v>73</v>
      </c>
    </row>
    <row r="460" customFormat="false" ht="12.8" hidden="false" customHeight="false" outlineLevel="0" collapsed="false">
      <c r="A460" s="1" t="n">
        <v>42</v>
      </c>
      <c r="B460" s="9" t="s">
        <v>79</v>
      </c>
      <c r="C460" s="1" t="n">
        <v>0.1721</v>
      </c>
      <c r="D460" s="1" t="s">
        <v>73</v>
      </c>
    </row>
    <row r="461" customFormat="false" ht="12.8" hidden="false" customHeight="false" outlineLevel="0" collapsed="false">
      <c r="A461" s="1" t="n">
        <v>42</v>
      </c>
      <c r="B461" s="9" t="s">
        <v>67</v>
      </c>
      <c r="C461" s="1" t="n">
        <v>0.1</v>
      </c>
      <c r="D461" s="1" t="s">
        <v>73</v>
      </c>
    </row>
    <row r="462" customFormat="false" ht="12.8" hidden="false" customHeight="false" outlineLevel="0" collapsed="false">
      <c r="A462" s="1" t="n">
        <v>44</v>
      </c>
      <c r="B462" s="9" t="s">
        <v>74</v>
      </c>
      <c r="C462" s="1" t="n">
        <v>0.2009</v>
      </c>
      <c r="D462" s="1" t="s">
        <v>73</v>
      </c>
    </row>
    <row r="463" customFormat="false" ht="12.8" hidden="false" customHeight="false" outlineLevel="0" collapsed="false">
      <c r="A463" s="1" t="n">
        <v>44</v>
      </c>
      <c r="B463" s="9" t="s">
        <v>82</v>
      </c>
      <c r="C463" s="1" t="n">
        <v>0.183</v>
      </c>
      <c r="D463" s="1" t="s">
        <v>73</v>
      </c>
    </row>
    <row r="464" customFormat="false" ht="12.8" hidden="false" customHeight="false" outlineLevel="0" collapsed="false">
      <c r="A464" s="1" t="n">
        <v>44</v>
      </c>
      <c r="B464" s="9" t="s">
        <v>75</v>
      </c>
      <c r="C464" s="1" t="n">
        <v>0.1764</v>
      </c>
      <c r="D464" s="1" t="s">
        <v>73</v>
      </c>
    </row>
    <row r="465" customFormat="false" ht="12.8" hidden="false" customHeight="false" outlineLevel="0" collapsed="false">
      <c r="A465" s="1" t="n">
        <v>44</v>
      </c>
      <c r="B465" s="9" t="s">
        <v>79</v>
      </c>
      <c r="C465" s="1" t="n">
        <v>0.173</v>
      </c>
      <c r="D465" s="1" t="s">
        <v>73</v>
      </c>
    </row>
    <row r="466" customFormat="false" ht="12.8" hidden="false" customHeight="false" outlineLevel="0" collapsed="false">
      <c r="A466" s="1" t="n">
        <v>44</v>
      </c>
      <c r="B466" s="9" t="s">
        <v>77</v>
      </c>
      <c r="C466" s="1" t="n">
        <v>0.1668</v>
      </c>
      <c r="D466" s="1" t="s">
        <v>73</v>
      </c>
    </row>
    <row r="467" customFormat="false" ht="12.8" hidden="false" customHeight="false" outlineLevel="0" collapsed="false">
      <c r="A467" s="1" t="n">
        <v>44</v>
      </c>
      <c r="B467" s="9" t="s">
        <v>67</v>
      </c>
      <c r="C467" s="1" t="n">
        <v>0.1</v>
      </c>
      <c r="D467" s="1" t="s">
        <v>73</v>
      </c>
    </row>
    <row r="468" customFormat="false" ht="12.8" hidden="false" customHeight="false" outlineLevel="0" collapsed="false">
      <c r="A468" s="1" t="n">
        <v>46</v>
      </c>
      <c r="B468" s="9" t="s">
        <v>74</v>
      </c>
      <c r="C468" s="1" t="n">
        <v>0.2092</v>
      </c>
      <c r="D468" s="1" t="s">
        <v>73</v>
      </c>
    </row>
    <row r="469" customFormat="false" ht="12.8" hidden="false" customHeight="false" outlineLevel="0" collapsed="false">
      <c r="A469" s="1" t="n">
        <v>46</v>
      </c>
      <c r="B469" s="9" t="s">
        <v>76</v>
      </c>
      <c r="C469" s="1" t="n">
        <v>0.1824</v>
      </c>
      <c r="D469" s="1" t="s">
        <v>73</v>
      </c>
    </row>
    <row r="470" customFormat="false" ht="12.8" hidden="false" customHeight="false" outlineLevel="0" collapsed="false">
      <c r="A470" s="1" t="n">
        <v>46</v>
      </c>
      <c r="B470" s="9" t="s">
        <v>75</v>
      </c>
      <c r="C470" s="1" t="n">
        <v>0.1816</v>
      </c>
      <c r="D470" s="1" t="s">
        <v>73</v>
      </c>
    </row>
    <row r="471" customFormat="false" ht="12.8" hidden="false" customHeight="false" outlineLevel="0" collapsed="false">
      <c r="A471" s="1" t="n">
        <v>46</v>
      </c>
      <c r="B471" s="9" t="s">
        <v>79</v>
      </c>
      <c r="C471" s="1" t="n">
        <v>0.1635</v>
      </c>
      <c r="D471" s="1" t="s">
        <v>73</v>
      </c>
    </row>
    <row r="472" customFormat="false" ht="12.8" hidden="false" customHeight="false" outlineLevel="0" collapsed="false">
      <c r="A472" s="1" t="n">
        <v>46</v>
      </c>
      <c r="B472" s="9" t="s">
        <v>81</v>
      </c>
      <c r="C472" s="1" t="n">
        <v>0.1632</v>
      </c>
      <c r="D472" s="1" t="s">
        <v>73</v>
      </c>
    </row>
    <row r="473" customFormat="false" ht="12.8" hidden="false" customHeight="false" outlineLevel="0" collapsed="false">
      <c r="A473" s="1" t="n">
        <v>46</v>
      </c>
      <c r="B473" s="9" t="s">
        <v>67</v>
      </c>
      <c r="C473" s="1" t="n">
        <v>0.1</v>
      </c>
      <c r="D473" s="1" t="s">
        <v>73</v>
      </c>
    </row>
    <row r="474" customFormat="false" ht="12.8" hidden="false" customHeight="false" outlineLevel="0" collapsed="false">
      <c r="A474" s="1" t="n">
        <v>48</v>
      </c>
      <c r="B474" s="9" t="s">
        <v>75</v>
      </c>
      <c r="C474" s="1" t="n">
        <v>0.1998</v>
      </c>
      <c r="D474" s="1" t="s">
        <v>73</v>
      </c>
    </row>
    <row r="475" customFormat="false" ht="12.8" hidden="false" customHeight="false" outlineLevel="0" collapsed="false">
      <c r="A475" s="1" t="n">
        <v>48</v>
      </c>
      <c r="B475" s="9" t="s">
        <v>74</v>
      </c>
      <c r="C475" s="1" t="n">
        <v>0.1854</v>
      </c>
      <c r="D475" s="1" t="s">
        <v>73</v>
      </c>
    </row>
    <row r="476" customFormat="false" ht="12.8" hidden="false" customHeight="false" outlineLevel="0" collapsed="false">
      <c r="A476" s="1" t="n">
        <v>48</v>
      </c>
      <c r="B476" s="9" t="s">
        <v>77</v>
      </c>
      <c r="C476" s="1" t="n">
        <v>0.185</v>
      </c>
      <c r="D476" s="1" t="s">
        <v>73</v>
      </c>
    </row>
    <row r="477" customFormat="false" ht="12.8" hidden="false" customHeight="false" outlineLevel="0" collapsed="false">
      <c r="A477" s="1" t="n">
        <v>48</v>
      </c>
      <c r="B477" s="9" t="s">
        <v>76</v>
      </c>
      <c r="C477" s="1" t="n">
        <v>0.1656</v>
      </c>
      <c r="D477" s="1" t="s">
        <v>73</v>
      </c>
    </row>
    <row r="478" customFormat="false" ht="12.8" hidden="false" customHeight="false" outlineLevel="0" collapsed="false">
      <c r="A478" s="1" t="n">
        <v>48</v>
      </c>
      <c r="B478" s="9" t="s">
        <v>78</v>
      </c>
      <c r="C478" s="1" t="n">
        <v>0.1643</v>
      </c>
      <c r="D478" s="1" t="s">
        <v>73</v>
      </c>
    </row>
    <row r="479" customFormat="false" ht="12.8" hidden="false" customHeight="false" outlineLevel="0" collapsed="false">
      <c r="A479" s="1" t="n">
        <v>48</v>
      </c>
      <c r="B479" s="9" t="s">
        <v>67</v>
      </c>
      <c r="C479" s="1" t="n">
        <v>0.1</v>
      </c>
      <c r="D479" s="1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2026-02-18T13:19:41Z</dcterms:created>
  <dc:creator/>
  <dc:description/>
  <dc:language>en-US</dc:language>
  <cp:lastModifiedBy/>
  <dcterms:modified xsi:type="dcterms:W3CDTF">2026-02-20T17:59:25Z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
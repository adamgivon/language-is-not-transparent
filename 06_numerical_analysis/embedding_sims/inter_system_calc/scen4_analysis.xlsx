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8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Records5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ims_per_turn_scen4" sheetId="1" state="visible" r:id="rId3"/>
    <sheet name="pivot_sim_per_turn" sheetId="2" state="visible" r:id="rId4"/>
    <sheet name="anchors_raw_information" sheetId="3" state="visible" r:id="rId5"/>
  </sheets>
  <definedNames>
    <definedName function="false" hidden="true" localSheetId="1" name="_xlnm._FilterDatabase" vbProcedure="false">pivot_sim_per_turn!$A$3:$C$153</definedName>
    <definedName function="false" hidden="true" localSheetId="0" name="_xlnm._FilterDatabase" vbProcedure="false">sims_per_turn_scen4!$M$178:$N$203</definedName>
  </definedNames>
  <calcPr iterateCount="100" refMode="A1" iterate="false" iterateDelta="0.001"/>
  <pivotCaches>
    <pivotCache cacheId="1" r:id="rId7"/>
    <pivotCache cacheId="2" r:id="rId8"/>
    <pivotCache cacheId="3" r:id="rId9"/>
    <pivotCache cacheId="4" r:id="rId10"/>
    <pivotCache cacheId="5" r:id="rId11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<sst xmlns="http://schemas.openxmlformats.org/spreadsheetml/2006/main" count="1975" uniqueCount="81">
  <si>
    <t xml:space="preserve">Sum - abs delta</t>
  </si>
  <si>
    <t xml:space="preserve">comparison</t>
  </si>
  <si>
    <t xml:space="preserve">turns</t>
  </si>
  <si>
    <t xml:space="preserve">ac15-ac15p</t>
  </si>
  <si>
    <t xml:space="preserve">hybrid-ac15</t>
  </si>
  <si>
    <t xml:space="preserve">hybrid-ac15p</t>
  </si>
  <si>
    <t xml:space="preserve">hybrid-hybsem</t>
  </si>
  <si>
    <t xml:space="preserve">hybsem-ac15</t>
  </si>
  <si>
    <t xml:space="preserve">hybsem-ac15p</t>
  </si>
  <si>
    <t xml:space="preserve">Total Result</t>
  </si>
  <si>
    <t xml:space="preserve">per turn, prompt-response deltas</t>
  </si>
  <si>
    <t xml:space="preserve">Turn</t>
  </si>
  <si>
    <t xml:space="preserve">hybsem</t>
  </si>
  <si>
    <t xml:space="preserve">hybrid</t>
  </si>
  <si>
    <t xml:space="preserve">Delta=hybrid-hybsem</t>
  </si>
  <si>
    <t xml:space="preserve">ABS delta</t>
  </si>
  <si>
    <t xml:space="preserve">Mean difference</t>
  </si>
  <si>
    <t xml:space="preserve">std delta</t>
  </si>
  <si>
    <t xml:space="preserve">Paired t-test</t>
  </si>
  <si>
    <t xml:space="preserve">Alpha</t>
  </si>
  <si>
    <t xml:space="preserve">Hypothesized Mean Difference</t>
  </si>
  <si>
    <t xml:space="preserve">Variable 1</t>
  </si>
  <si>
    <t xml:space="preserve">Variable 2</t>
  </si>
  <si>
    <t xml:space="preserve">Mean</t>
  </si>
  <si>
    <t xml:space="preserve">Variance</t>
  </si>
  <si>
    <t xml:space="preserve">Observations</t>
  </si>
  <si>
    <t xml:space="preserve">Pearson Correlation</t>
  </si>
  <si>
    <t xml:space="preserve">Observed Mean Difference</t>
  </si>
  <si>
    <t xml:space="preserve">Variance of the Differences</t>
  </si>
  <si>
    <t xml:space="preserve">df</t>
  </si>
  <si>
    <t xml:space="preserve">t Stat</t>
  </si>
  <si>
    <t xml:space="preserve">P (T&lt;=t) one-tail</t>
  </si>
  <si>
    <t xml:space="preserve">t Critical one-tail</t>
  </si>
  <si>
    <t xml:space="preserve">P (T&lt;=t) two-tail</t>
  </si>
  <si>
    <t xml:space="preserve">t Critical two-tail</t>
  </si>
  <si>
    <t xml:space="preserve">ac15p</t>
  </si>
  <si>
    <t xml:space="preserve">ac15</t>
  </si>
  <si>
    <t xml:space="preserve">Delta=ac15-ac15p</t>
  </si>
  <si>
    <t xml:space="preserve">Delta=hybrid-ac15p</t>
  </si>
  <si>
    <t xml:space="preserve">Delta=hybsem-ac15p</t>
  </si>
  <si>
    <t xml:space="preserve">Delta=hybsem-ac15</t>
  </si>
  <si>
    <t xml:space="preserve">Delta=hybrid-ac15</t>
  </si>
  <si>
    <t xml:space="preserve">abs delta</t>
  </si>
  <si>
    <t xml:space="preserve">Count - abs delta</t>
  </si>
  <si>
    <t xml:space="preserve">seq</t>
  </si>
  <si>
    <t xml:space="preserve">anchorName</t>
  </si>
  <si>
    <t xml:space="preserve">weight</t>
  </si>
  <si>
    <t xml:space="preserve">projectName</t>
  </si>
  <si>
    <t xml:space="preserve">practicality_and_feasibility</t>
  </si>
  <si>
    <t xml:space="preserve">ac15-plain</t>
  </si>
  <si>
    <t xml:space="preserve">Count - anchorName</t>
  </si>
  <si>
    <t xml:space="preserve">identity</t>
  </si>
  <si>
    <t xml:space="preserve">hybrid_v3_5</t>
  </si>
  <si>
    <t xml:space="preserve">hybrid_v3_5_semantic</t>
  </si>
  <si>
    <t xml:space="preserve">test_ac15</t>
  </si>
  <si>
    <t xml:space="preserve">sovereignty</t>
  </si>
  <si>
    <t xml:space="preserve">mathematics_computer_science_engineering</t>
  </si>
  <si>
    <t xml:space="preserve">imagination_and_possibility</t>
  </si>
  <si>
    <t xml:space="preserve">truth_and_fact</t>
  </si>
  <si>
    <t xml:space="preserve">affective_interface</t>
  </si>
  <si>
    <t xml:space="preserve">freedom_and_limitations</t>
  </si>
  <si>
    <t xml:space="preserve">Sum - weight</t>
  </si>
  <si>
    <t xml:space="preserve">metaphorical_scaffolding</t>
  </si>
  <si>
    <t xml:space="preserve">context_dependent_expression</t>
  </si>
  <si>
    <t xml:space="preserve">science</t>
  </si>
  <si>
    <t xml:space="preserve">temporal_dynamics</t>
  </si>
  <si>
    <t xml:space="preserve">Count - weight</t>
  </si>
  <si>
    <t xml:space="preserve">Chi Square test</t>
  </si>
  <si>
    <t xml:space="preserve">Test of Independence (Chi-Square)</t>
  </si>
  <si>
    <t xml:space="preserve">P-value</t>
  </si>
  <si>
    <t xml:space="preserve">Test Statistic</t>
  </si>
  <si>
    <t xml:space="preserve">Critical Value</t>
  </si>
  <si>
    <t xml:space="preserve">Chi Square test – w/o context_dependent_expression</t>
  </si>
  <si>
    <t xml:space="preserve">Chi Square test – w/o context_dependent_expression &amp; science</t>
  </si>
  <si>
    <t xml:space="preserve">Chi Square test – w/o context_dependent_expression &amp; science, truth</t>
  </si>
  <si>
    <t xml:space="preserve">Anchors average</t>
  </si>
  <si>
    <t xml:space="preserve">Average - weight</t>
  </si>
  <si>
    <t xml:space="preserve">Data</t>
  </si>
  <si>
    <t xml:space="preserve">Average - weight*</t>
  </si>
  <si>
    <t xml:space="preserve">Total Count - weight</t>
  </si>
  <si>
    <t xml:space="preserve">Total Average - weight*</t>
  </si>
</sst>
</file>

<file path=xl/styles.xml><?xml version="1.0" encoding="utf-8"?>
<styleSheet xmlns="http://schemas.openxmlformats.org/spreadsheetml/2006/main">
  <numFmts count="5">
    <numFmt numFmtId="164" formatCode="0.000000;[RED]\-0.000000"/>
    <numFmt numFmtId="165" formatCode="General"/>
    <numFmt numFmtId="166" formatCode="0"/>
    <numFmt numFmtId="167" formatCode="0.000000"/>
    <numFmt numFmtId="168" formatCode="0;[RED]\-0"/>
  </numFmts>
  <fonts count="8">
    <font>
      <sz val="9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2"/>
      <charset val="1"/>
    </font>
    <font>
      <b val="true"/>
      <sz val="9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7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center" vertical="center" textRotation="0" wrapText="tru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0" fillId="0" borderId="0" applyFont="true" applyBorder="false" applyAlignment="true" applyProtection="false">
      <alignment horizontal="center" vertical="center" textRotation="0" wrapText="false" indent="0" shrinkToFit="false"/>
    </xf>
    <xf numFmtId="164" fontId="0" fillId="0" borderId="0" applyFont="true" applyBorder="false" applyAlignment="true" applyProtection="false">
      <alignment horizontal="center" vertical="center" textRotation="0" wrapText="false" indent="0" shrinkToFit="false"/>
    </xf>
    <xf numFmtId="164" fontId="5" fillId="0" borderId="0" applyFont="true" applyBorder="false" applyAlignment="true" applyProtection="false">
      <alignment horizontal="center" vertical="center" textRotation="0" wrapText="false" indent="0" shrinkToFit="false"/>
    </xf>
    <xf numFmtId="164" fontId="5" fillId="0" borderId="0" applyFont="true" applyBorder="false" applyAlignment="true" applyProtection="false">
      <alignment horizontal="left" vertical="center" textRotation="0" wrapText="false" indent="0" shrinkToFit="false"/>
    </xf>
    <xf numFmtId="164" fontId="0" fillId="0" borderId="0" applyFont="true" applyBorder="false" applyAlignment="true" applyProtection="false">
      <alignment horizontal="center" vertical="center" textRotation="0" wrapText="false" indent="0" shrinkToFit="false"/>
    </xf>
  </cellStyleXfs>
  <cellXfs count="117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2" xfId="23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3" xfId="22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4" xfId="22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0" fillId="0" borderId="6" xfId="21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5" fontId="0" fillId="0" borderId="7" xfId="21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5" fontId="5" fillId="0" borderId="8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6" fontId="0" fillId="0" borderId="9" xfId="21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10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1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2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13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6" fontId="0" fillId="0" borderId="14" xfId="21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15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26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6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17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6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7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8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19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6" fontId="5" fillId="0" borderId="20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21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2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3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4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1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2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13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5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26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6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17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6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7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8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19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1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2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3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4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0" fillId="0" borderId="9" xfId="21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8" fontId="0" fillId="0" borderId="14" xfId="21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8" fontId="5" fillId="0" borderId="20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25" xfId="22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26" xfId="22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27" xfId="23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0" fillId="0" borderId="28" xfId="21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5" fontId="0" fillId="0" borderId="29" xfId="21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8" fontId="0" fillId="0" borderId="30" xfId="21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5" fontId="0" fillId="0" borderId="31" xfId="21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5" fillId="0" borderId="32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5" fontId="5" fillId="0" borderId="23" xfId="25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5" fontId="0" fillId="0" borderId="9" xfId="21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5" fontId="0" fillId="0" borderId="14" xfId="21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5" fontId="5" fillId="0" borderId="20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22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22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8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9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0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3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4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5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7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8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9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20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1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2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3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4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0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0" fillId="0" borderId="11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0" fillId="0" borderId="12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5" fillId="0" borderId="13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0" fillId="0" borderId="30" xfId="21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5" fontId="5" fillId="0" borderId="33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5" fontId="5" fillId="0" borderId="34" xfId="25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5" fontId="5" fillId="0" borderId="35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5" fillId="0" borderId="36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5" fillId="0" borderId="34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5" fillId="0" borderId="8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5" fillId="0" borderId="32" xfId="25" applyFont="true" applyBorder="true" applyAlignment="false" applyProtection="false">
      <alignment horizontal="left" vertical="center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  <cellStyle name="Pivot Table Category" xfId="21"/>
    <cellStyle name="Pivot Table Corner" xfId="22"/>
    <cellStyle name="Pivot Table Field" xfId="23"/>
    <cellStyle name="Pivot Table Result" xfId="24"/>
    <cellStyle name="Pivot Table Title" xfId="25"/>
    <cellStyle name="Pivot Table Value" xfId="26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_rels/pivotCacheDefinition3.xml.rels><?xml version="1.0" encoding="UTF-8"?>
<Relationships xmlns="http://schemas.openxmlformats.org/package/2006/relationships"><Relationship Id="rId1" Type="http://schemas.openxmlformats.org/officeDocument/2006/relationships/pivotCacheRecords" Target="pivotCacheRecords3.xml"/>
</Relationships>
</file>

<file path=xl/pivotCache/_rels/pivotCacheDefinition4.xml.rels><?xml version="1.0" encoding="UTF-8"?>
<Relationships xmlns="http://schemas.openxmlformats.org/package/2006/relationships"><Relationship Id="rId1" Type="http://schemas.openxmlformats.org/officeDocument/2006/relationships/pivotCacheRecords" Target="pivotCacheRecords4.xml"/>
</Relationships>
</file>

<file path=xl/pivotCache/_rels/pivotCacheDefinition5.xml.rels><?xml version="1.0" encoding="UTF-8"?>
<Relationships xmlns="http://schemas.openxmlformats.org/package/2006/relationships"><Relationship Id="rId1" Type="http://schemas.openxmlformats.org/officeDocument/2006/relationships/pivotCacheRecords" Target="pivotCacheRecords5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6" createdVersion="3">
  <cacheSource type="worksheet">
    <worksheetSource ref="A3:C139" sheet="pivot_sim_per_turn"/>
  </cacheSource>
  <cacheFields count="3">
    <cacheField name="turns" numFmtId="0">
      <sharedItems containsSemiMixedTypes="0" containsString="0" containsNumber="1" containsInteger="1" minValue="1" maxValue="25" count="2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  <cacheField name="comparison" numFmtId="0">
      <sharedItems count="6">
        <s v="ac15-ac15p"/>
        <s v="hybrid-ac15"/>
        <s v="hybrid-ac15p"/>
        <s v="hybrid-hybsem"/>
        <s v="hybsem-ac15"/>
        <s v="hybsem-ac15p"/>
      </sharedItems>
    </cacheField>
    <cacheField name="abs delta" numFmtId="0">
      <sharedItems containsSemiMixedTypes="0" containsString="0" containsNumber="1" minValue="0.000220469472459794" maxValue="0.134697832450992" count="136">
        <n v="0.000220469472459794"/>
        <n v="0.000429948444238382"/>
        <n v="0.0010006125299169"/>
        <n v="0.00132865638540225"/>
        <n v="0.00144980226628422"/>
        <n v="0.00153425342679703"/>
        <n v="0.00162906675598029"/>
        <n v="0.00184953622844009"/>
        <n v="0.00207432278930564"/>
        <n v="0.00224001548323272"/>
        <n v="0.00228111658057151"/>
        <n v="0.00233715265781331"/>
        <n v="0.00235052174401984"/>
        <n v="0.00351927636346328"/>
        <n v="0.00369920421079994"/>
        <n v="0.00377426891002974"/>
        <n v="0.00405547696060882"/>
        <n v="0.00418865641105659"/>
        <n v="0.00474688555289693"/>
        <n v="0.00655933684335264"/>
        <n v="0.00679409825535793"/>
        <n v="0.00725705999250714"/>
        <n v="0.0074199364608889"/>
        <n v="0.00756896317179012"/>
        <n v="0.00785814422102371"/>
        <n v="0.0080455682801267"/>
        <n v="0.00829005875960809"/>
        <n v="0.00890859941842659"/>
        <n v="0.00908185607431311"/>
        <n v="0.00918686391840295"/>
        <n v="0.00970105304146041"/>
        <n v="0.0103663761241036"/>
        <n v="0.0105323663214711"/>
        <n v="0.0106366661846872"/>
        <n v="0.011377420584487"/>
        <n v="0.0117737141636345"/>
        <n v="0.0124787151706647"/>
        <n v="0.0128122362513557"/>
        <n v="0.0133554278919528"/>
        <n v="0.0133906748529681"/>
        <n v="0.0144095930894773"/>
        <n v="0.0145550581320186"/>
        <n v="0.0152619765499559"/>
        <n v="0.0157278275107814"/>
        <n v="0.0175164592659253"/>
        <n v="0.0175335234094478"/>
        <n v="0.0179874624653911"/>
        <n v="0.0184650700500861"/>
        <n v="0.0190450604460891"/>
        <n v="0.0193426773354246"/>
        <n v="0.019447974233933"/>
        <n v="0.0199147647353054"/>
        <n v="0.0206919376295764"/>
        <n v="0.0206940434483244"/>
        <n v="0.0208578045314825"/>
        <n v="0.0208945966745292"/>
        <n v="0.0212926601366059"/>
        <n v="0.0214090677022991"/>
        <n v="0.0214098138870542"/>
        <n v="0.0218707974307926"/>
        <n v="0.0222243635701596"/>
        <n v="0.0227018391713697"/>
        <n v="0.02283994579036"/>
        <n v="0.0228596161533384"/>
        <n v="0.0234051544137447"/>
        <n v="0.0237218040160564"/>
        <n v="0.0240038654198511"/>
        <n v="0.0246042760947787"/>
        <n v="0.0247023076480338"/>
        <n v="0.0251940888115466"/>
        <n v="0.025624037255785"/>
        <n v="0.0258647552941427"/>
        <n v="0.025890020256814"/>
        <n v="0.0262033049743323"/>
        <n v="0.0267628380313075"/>
        <n v="0.0267928143558145"/>
        <n v="0.0280658897309189"/>
        <n v="0.0284844215549038"/>
        <n v="0.0289803726341441"/>
        <n v="0.0294491932009308"/>
        <n v="0.0298170346819745"/>
        <n v="0.030281140859409"/>
        <n v="0.0313308943781639"/>
        <n v="0.0315235159902364"/>
        <n v="0.0319218018646731"/>
        <n v="0.0319260523554026"/>
        <n v="0.0322235744368468"/>
        <n v="0.0325261660064187"/>
        <n v="0.0331218152866498"/>
        <n v="0.0344755533350042"/>
        <n v="0.0345740961808666"/>
        <n v="0.0347986196752406"/>
        <n v="0.0359815293160114"/>
        <n v="0.0368210194974498"/>
        <n v="0.0380001227704924"/>
        <n v="0.0386333567702234"/>
        <n v="0.0386815059137154"/>
        <n v="0.0396339693001403"/>
        <n v="0.0397354284778488"/>
        <n v="0.0412696819046459"/>
        <n v="0.0414395205504461"/>
        <n v="0.0419867035849303"/>
        <n v="0.0422879200242929"/>
        <n v="0.0428720385915504"/>
        <n v="0.0435096973878786"/>
        <n v="0.0443244960472375"/>
        <n v="0.0448142221160438"/>
        <n v="0.0452091912493637"/>
        <n v="0.047454775660884"/>
        <n v="0.0474847519853909"/>
        <n v="0.0491979542313977"/>
        <n v="0.0492976647714698"/>
        <n v="0.0496279026756361"/>
        <n v="0.0502902533010785"/>
        <n v="0.0511995188108463"/>
        <n v="0.051369776098606"/>
        <n v="0.0516083203714017"/>
        <n v="0.0523700643273642"/>
        <n v="0.0528169411349331"/>
        <n v="0.053068307051809"/>
        <n v="0.0543553746201964"/>
        <n v="0.0543969634372112"/>
        <n v="0.0585440310312529"/>
        <n v="0.0585998661023318"/>
        <n v="0.0601081182292729"/>
        <n v="0.0636282416352019"/>
        <n v="0.066834089790861"/>
        <n v="0.0677962569399365"/>
        <n v="0.0766334795407158"/>
        <n v="0.0776340920706327"/>
        <n v="0.0830582334898924"/>
        <n v="0.0859981384860868"/>
        <n v="0.0882325177299805"/>
        <n v="0.097613291621911"/>
        <n v="0.110093556356214"/>
        <n v="0.13469783245099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23" createdVersion="3">
  <cacheSource type="worksheet">
    <worksheetSource ref="A156:C179" sheet="pivot_sim_per_turn"/>
  </cacheSource>
  <cacheFields count="3">
    <cacheField name="turns" numFmtId="0">
      <sharedItems containsSemiMixedTypes="0" containsString="0" containsNumber="1" containsInteger="1" minValue="2" maxValue="25" count="12">
        <n v="2"/>
        <n v="3"/>
        <n v="5"/>
        <n v="6"/>
        <n v="7"/>
        <n v="10"/>
        <n v="11"/>
        <n v="19"/>
        <n v="20"/>
        <n v="21"/>
        <n v="23"/>
        <n v="25"/>
      </sharedItems>
    </cacheField>
    <cacheField name="comparison" numFmtId="0">
      <sharedItems count="6">
        <s v="ac15-ac15p"/>
        <s v="hybrid-ac15"/>
        <s v="hybrid-ac15p"/>
        <s v="hybrid-hybsem"/>
        <s v="hybsem-ac15"/>
        <s v="hybsem-ac15p"/>
      </sharedItems>
    </cacheField>
    <cacheField name="abs delta" numFmtId="0">
      <sharedItems containsSemiMixedTypes="0" containsString="0" containsNumber="1" minValue="0.0502902533010785" maxValue="0.134697832450992" count="23">
        <n v="0.0502902533010785"/>
        <n v="0.0511995188108463"/>
        <n v="0.051369776098606"/>
        <n v="0.0516083203714017"/>
        <n v="0.0523700643273642"/>
        <n v="0.0528169411349331"/>
        <n v="0.053068307051809"/>
        <n v="0.0543553746201964"/>
        <n v="0.0543969634372112"/>
        <n v="0.0585440310312529"/>
        <n v="0.0585998661023318"/>
        <n v="0.0601081182292729"/>
        <n v="0.0636282416352019"/>
        <n v="0.066834089790861"/>
        <n v="0.0677962569399365"/>
        <n v="0.0766334795407158"/>
        <n v="0.0776340920706327"/>
        <n v="0.0830582334898924"/>
        <n v="0.0859981384860868"/>
        <n v="0.0882325177299805"/>
        <n v="0.097613291621911"/>
        <n v="0.110093556356214"/>
        <n v="0.134697832450992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cordCount="592" createdVersion="3">
  <cacheSource type="worksheet">
    <worksheetSource ref="B1:E593" sheet="anchors_raw_information"/>
  </cacheSource>
  <cacheFields count="4">
    <cacheField name="seq" numFmtId="0">
      <sharedItems containsSemiMixedTypes="0" containsString="0" containsNumber="1" containsInteger="1" minValue="0" maxValue="48" count="25">
        <n v="0"/>
        <n v="2"/>
        <n v="4"/>
        <n v="6"/>
        <n v="8"/>
        <n v="10"/>
        <n v="12"/>
        <n v="14"/>
        <n v="16"/>
        <n v="18"/>
        <n v="20"/>
        <n v="22"/>
        <n v="24"/>
        <n v="26"/>
        <n v="28"/>
        <n v="30"/>
        <n v="32"/>
        <n v="34"/>
        <n v="36"/>
        <n v="38"/>
        <n v="40"/>
        <n v="42"/>
        <n v="44"/>
        <n v="46"/>
        <n v="48"/>
      </sharedItems>
    </cacheField>
    <cacheField name="anchorName" numFmtId="0">
      <sharedItems count="12">
        <s v="affective_interface"/>
        <s v="context_dependent_expression"/>
        <s v="freedom_and_limitations"/>
        <s v="identity"/>
        <s v="imagination_and_possibility"/>
        <s v="mathematics_computer_science_engineering"/>
        <s v="metaphorical_scaffolding"/>
        <s v="practicality_and_feasibility"/>
        <s v="science"/>
        <s v="sovereignty"/>
        <s v="temporal_dynamics"/>
        <s v="truth_and_fact"/>
      </sharedItems>
    </cacheField>
    <cacheField name="weight" numFmtId="0">
      <sharedItems containsSemiMixedTypes="0" containsString="0" containsNumber="1" minValue="0.1" maxValue="0.3425" count="334">
        <n v="0.1"/>
        <n v="0.1433"/>
        <n v="0.149"/>
        <n v="0.1502"/>
        <n v="0.1507"/>
        <n v="0.1511"/>
        <n v="0.1523"/>
        <n v="0.1528"/>
        <n v="0.1543"/>
        <n v="0.155"/>
        <n v="0.1553"/>
        <n v="0.156"/>
        <n v="0.1576"/>
        <n v="0.1578"/>
        <n v="0.1579"/>
        <n v="0.1582"/>
        <n v="0.1585"/>
        <n v="0.1587"/>
        <n v="0.1588"/>
        <n v="0.159"/>
        <n v="0.1592"/>
        <n v="0.1594"/>
        <n v="0.1595"/>
        <n v="0.1596"/>
        <n v="0.1602"/>
        <n v="0.1603"/>
        <n v="0.1604"/>
        <n v="0.1605"/>
        <n v="0.1607"/>
        <n v="0.1609"/>
        <n v="0.1614"/>
        <n v="0.1615"/>
        <n v="0.1616"/>
        <n v="0.1617"/>
        <n v="0.1618"/>
        <n v="0.1619"/>
        <n v="0.162"/>
        <n v="0.1621"/>
        <n v="0.1622"/>
        <n v="0.1624"/>
        <n v="0.1625"/>
        <n v="0.1626"/>
        <n v="0.163"/>
        <n v="0.1632"/>
        <n v="0.1634"/>
        <n v="0.1636"/>
        <n v="0.1637"/>
        <n v="0.1639"/>
        <n v="0.164"/>
        <n v="0.1641"/>
        <n v="0.1642"/>
        <n v="0.1645"/>
        <n v="0.1646"/>
        <n v="0.1647"/>
        <n v="0.1648"/>
        <n v="0.1649"/>
        <n v="0.165"/>
        <n v="0.1651"/>
        <n v="0.1652"/>
        <n v="0.1653"/>
        <n v="0.1654"/>
        <n v="0.1656"/>
        <n v="0.1657"/>
        <n v="0.1658"/>
        <n v="0.1659"/>
        <n v="0.1661"/>
        <n v="0.1663"/>
        <n v="0.1664"/>
        <n v="0.1665"/>
        <n v="0.1666"/>
        <n v="0.1667"/>
        <n v="0.1669"/>
        <n v="0.167"/>
        <n v="0.1671"/>
        <n v="0.1672"/>
        <n v="0.1673"/>
        <n v="0.1676"/>
        <n v="0.1678"/>
        <n v="0.1679"/>
        <n v="0.168"/>
        <n v="0.1681"/>
        <n v="0.1682"/>
        <n v="0.1683"/>
        <n v="0.1684"/>
        <n v="0.1688"/>
        <n v="0.169"/>
        <n v="0.1691"/>
        <n v="0.1692"/>
        <n v="0.1693"/>
        <n v="0.1694"/>
        <n v="0.1696"/>
        <n v="0.1699"/>
        <n v="0.17"/>
        <n v="0.1701"/>
        <n v="0.1702"/>
        <n v="0.1703"/>
        <n v="0.1705"/>
        <n v="0.1706"/>
        <n v="0.1707"/>
        <n v="0.1708"/>
        <n v="0.1709"/>
        <n v="0.171"/>
        <n v="0.1711"/>
        <n v="0.1712"/>
        <n v="0.1713"/>
        <n v="0.1714"/>
        <n v="0.1715"/>
        <n v="0.1716"/>
        <n v="0.1717"/>
        <n v="0.1719"/>
        <n v="0.172"/>
        <n v="0.1721"/>
        <n v="0.1722"/>
        <n v="0.1724"/>
        <n v="0.1725"/>
        <n v="0.1726"/>
        <n v="0.1728"/>
        <n v="0.1729"/>
        <n v="0.173"/>
        <n v="0.1731"/>
        <n v="0.1732"/>
        <n v="0.1733"/>
        <n v="0.1734"/>
        <n v="0.1735"/>
        <n v="0.1736"/>
        <n v="0.1737"/>
        <n v="0.1738"/>
        <n v="0.1739"/>
        <n v="0.1741"/>
        <n v="0.1742"/>
        <n v="0.1743"/>
        <n v="0.1744"/>
        <n v="0.1745"/>
        <n v="0.1747"/>
        <n v="0.1748"/>
        <n v="0.1749"/>
        <n v="0.1751"/>
        <n v="0.1752"/>
        <n v="0.1753"/>
        <n v="0.1755"/>
        <n v="0.1756"/>
        <n v="0.1758"/>
        <n v="0.1759"/>
        <n v="0.176"/>
        <n v="0.1761"/>
        <n v="0.1763"/>
        <n v="0.1764"/>
        <n v="0.1766"/>
        <n v="0.1767"/>
        <n v="0.1768"/>
        <n v="0.1769"/>
        <n v="0.1771"/>
        <n v="0.1772"/>
        <n v="0.1773"/>
        <n v="0.1774"/>
        <n v="0.1775"/>
        <n v="0.1776"/>
        <n v="0.1777"/>
        <n v="0.178"/>
        <n v="0.1781"/>
        <n v="0.1782"/>
        <n v="0.1783"/>
        <n v="0.1784"/>
        <n v="0.1785"/>
        <n v="0.1786"/>
        <n v="0.1788"/>
        <n v="0.1789"/>
        <n v="0.1792"/>
        <n v="0.1793"/>
        <n v="0.1794"/>
        <n v="0.1796"/>
        <n v="0.1797"/>
        <n v="0.1799"/>
        <n v="0.18"/>
        <n v="0.1801"/>
        <n v="0.1802"/>
        <n v="0.1805"/>
        <n v="0.1806"/>
        <n v="0.1808"/>
        <n v="0.1814"/>
        <n v="0.1817"/>
        <n v="0.1818"/>
        <n v="0.1819"/>
        <n v="0.182"/>
        <n v="0.1821"/>
        <n v="0.1822"/>
        <n v="0.1823"/>
        <n v="0.1824"/>
        <n v="0.1828"/>
        <n v="0.1831"/>
        <n v="0.1832"/>
        <n v="0.1834"/>
        <n v="0.1835"/>
        <n v="0.1838"/>
        <n v="0.1844"/>
        <n v="0.1845"/>
        <n v="0.1847"/>
        <n v="0.1848"/>
        <n v="0.1851"/>
        <n v="0.1853"/>
        <n v="0.1855"/>
        <n v="0.1858"/>
        <n v="0.1859"/>
        <n v="0.1866"/>
        <n v="0.1867"/>
        <n v="0.1869"/>
        <n v="0.1871"/>
        <n v="0.1873"/>
        <n v="0.1875"/>
        <n v="0.1877"/>
        <n v="0.1878"/>
        <n v="0.1879"/>
        <n v="0.188"/>
        <n v="0.1882"/>
        <n v="0.1886"/>
        <n v="0.1888"/>
        <n v="0.1889"/>
        <n v="0.189"/>
        <n v="0.1895"/>
        <n v="0.1897"/>
        <n v="0.1898"/>
        <n v="0.1899"/>
        <n v="0.1902"/>
        <n v="0.1904"/>
        <n v="0.1906"/>
        <n v="0.1907"/>
        <n v="0.1908"/>
        <n v="0.191"/>
        <n v="0.1911"/>
        <n v="0.1914"/>
        <n v="0.1916"/>
        <n v="0.192"/>
        <n v="0.1921"/>
        <n v="0.1922"/>
        <n v="0.1924"/>
        <n v="0.1926"/>
        <n v="0.193"/>
        <n v="0.1934"/>
        <n v="0.1935"/>
        <n v="0.1937"/>
        <n v="0.1938"/>
        <n v="0.1939"/>
        <n v="0.194"/>
        <n v="0.1942"/>
        <n v="0.1945"/>
        <n v="0.1946"/>
        <n v="0.1952"/>
        <n v="0.1956"/>
        <n v="0.1959"/>
        <n v="0.196"/>
        <n v="0.1963"/>
        <n v="0.1966"/>
        <n v="0.1975"/>
        <n v="0.1978"/>
        <n v="0.1983"/>
        <n v="0.1986"/>
        <n v="0.1992"/>
        <n v="0.1996"/>
        <n v="0.2"/>
        <n v="0.2005"/>
        <n v="0.2011"/>
        <n v="0.2022"/>
        <n v="0.2025"/>
        <n v="0.2026"/>
        <n v="0.2034"/>
        <n v="0.2035"/>
        <n v="0.2037"/>
        <n v="0.2041"/>
        <n v="0.2042"/>
        <n v="0.2047"/>
        <n v="0.2049"/>
        <n v="0.205"/>
        <n v="0.2051"/>
        <n v="0.2052"/>
        <n v="0.2058"/>
        <n v="0.2059"/>
        <n v="0.2064"/>
        <n v="0.2066"/>
        <n v="0.2067"/>
        <n v="0.2068"/>
        <n v="0.2083"/>
        <n v="0.2087"/>
        <n v="0.2088"/>
        <n v="0.209"/>
        <n v="0.2092"/>
        <n v="0.2095"/>
        <n v="0.21"/>
        <n v="0.2101"/>
        <n v="0.2105"/>
        <n v="0.2116"/>
        <n v="0.2124"/>
        <n v="0.213"/>
        <n v="0.2132"/>
        <n v="0.2136"/>
        <n v="0.2144"/>
        <n v="0.2145"/>
        <n v="0.2147"/>
        <n v="0.215"/>
        <n v="0.2157"/>
        <n v="0.2161"/>
        <n v="0.2163"/>
        <n v="0.2164"/>
        <n v="0.2186"/>
        <n v="0.2187"/>
        <n v="0.219"/>
        <n v="0.2191"/>
        <n v="0.2205"/>
        <n v="0.222"/>
        <n v="0.2224"/>
        <n v="0.2236"/>
        <n v="0.2239"/>
        <n v="0.2244"/>
        <n v="0.2252"/>
        <n v="0.2255"/>
        <n v="0.2267"/>
        <n v="0.2271"/>
        <n v="0.2287"/>
        <n v="0.2295"/>
        <n v="0.2297"/>
        <n v="0.2308"/>
        <n v="0.2338"/>
        <n v="0.2363"/>
        <n v="0.2395"/>
        <n v="0.241"/>
        <n v="0.2452"/>
        <n v="0.262"/>
        <n v="0.2712"/>
        <n v="0.2745"/>
        <n v="0.2955"/>
        <n v="0.2985"/>
        <n v="0.3131"/>
        <n v="0.3157"/>
        <n v="0.327"/>
        <n v="0.3425"/>
      </sharedItems>
    </cacheField>
    <cacheField name="projectName" numFmtId="0">
      <sharedItems count="4">
        <s v="ac15-plain"/>
        <s v="hybrid_v3_5"/>
        <s v="hybrid_v3_5_semantic"/>
        <s v="test_ac15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cordCount="592" createdVersion="3">
  <cacheSource type="worksheet">
    <worksheetSource ref="C1:E593" sheet="anchors_raw_information"/>
  </cacheSource>
  <cacheFields count="3">
    <cacheField name="anchorName" numFmtId="0">
      <sharedItems count="12">
        <s v="affective_interface"/>
        <s v="context_dependent_expression"/>
        <s v="freedom_and_limitations"/>
        <s v="identity"/>
        <s v="imagination_and_possibility"/>
        <s v="mathematics_computer_science_engineering"/>
        <s v="metaphorical_scaffolding"/>
        <s v="practicality_and_feasibility"/>
        <s v="science"/>
        <s v="sovereignty"/>
        <s v="temporal_dynamics"/>
        <s v="truth_and_fact"/>
      </sharedItems>
    </cacheField>
    <cacheField name="weight" numFmtId="0">
      <sharedItems containsSemiMixedTypes="0" containsString="0" containsNumber="1" minValue="0.1" maxValue="0.3425" count="334">
        <n v="0.1"/>
        <n v="0.1433"/>
        <n v="0.149"/>
        <n v="0.1502"/>
        <n v="0.1507"/>
        <n v="0.1511"/>
        <n v="0.1523"/>
        <n v="0.1528"/>
        <n v="0.1543"/>
        <n v="0.155"/>
        <n v="0.1553"/>
        <n v="0.156"/>
        <n v="0.1576"/>
        <n v="0.1578"/>
        <n v="0.1579"/>
        <n v="0.1582"/>
        <n v="0.1585"/>
        <n v="0.1587"/>
        <n v="0.1588"/>
        <n v="0.159"/>
        <n v="0.1592"/>
        <n v="0.1594"/>
        <n v="0.1595"/>
        <n v="0.1596"/>
        <n v="0.1602"/>
        <n v="0.1603"/>
        <n v="0.1604"/>
        <n v="0.1605"/>
        <n v="0.1607"/>
        <n v="0.1609"/>
        <n v="0.1614"/>
        <n v="0.1615"/>
        <n v="0.1616"/>
        <n v="0.1617"/>
        <n v="0.1618"/>
        <n v="0.1619"/>
        <n v="0.162"/>
        <n v="0.1621"/>
        <n v="0.1622"/>
        <n v="0.1624"/>
        <n v="0.1625"/>
        <n v="0.1626"/>
        <n v="0.163"/>
        <n v="0.1632"/>
        <n v="0.1634"/>
        <n v="0.1636"/>
        <n v="0.1637"/>
        <n v="0.1639"/>
        <n v="0.164"/>
        <n v="0.1641"/>
        <n v="0.1642"/>
        <n v="0.1645"/>
        <n v="0.1646"/>
        <n v="0.1647"/>
        <n v="0.1648"/>
        <n v="0.1649"/>
        <n v="0.165"/>
        <n v="0.1651"/>
        <n v="0.1652"/>
        <n v="0.1653"/>
        <n v="0.1654"/>
        <n v="0.1656"/>
        <n v="0.1657"/>
        <n v="0.1658"/>
        <n v="0.1659"/>
        <n v="0.1661"/>
        <n v="0.1663"/>
        <n v="0.1664"/>
        <n v="0.1665"/>
        <n v="0.1666"/>
        <n v="0.1667"/>
        <n v="0.1669"/>
        <n v="0.167"/>
        <n v="0.1671"/>
        <n v="0.1672"/>
        <n v="0.1673"/>
        <n v="0.1676"/>
        <n v="0.1678"/>
        <n v="0.1679"/>
        <n v="0.168"/>
        <n v="0.1681"/>
        <n v="0.1682"/>
        <n v="0.1683"/>
        <n v="0.1684"/>
        <n v="0.1688"/>
        <n v="0.169"/>
        <n v="0.1691"/>
        <n v="0.1692"/>
        <n v="0.1693"/>
        <n v="0.1694"/>
        <n v="0.1696"/>
        <n v="0.1699"/>
        <n v="0.17"/>
        <n v="0.1701"/>
        <n v="0.1702"/>
        <n v="0.1703"/>
        <n v="0.1705"/>
        <n v="0.1706"/>
        <n v="0.1707"/>
        <n v="0.1708"/>
        <n v="0.1709"/>
        <n v="0.171"/>
        <n v="0.1711"/>
        <n v="0.1712"/>
        <n v="0.1713"/>
        <n v="0.1714"/>
        <n v="0.1715"/>
        <n v="0.1716"/>
        <n v="0.1717"/>
        <n v="0.1719"/>
        <n v="0.172"/>
        <n v="0.1721"/>
        <n v="0.1722"/>
        <n v="0.1724"/>
        <n v="0.1725"/>
        <n v="0.1726"/>
        <n v="0.1728"/>
        <n v="0.1729"/>
        <n v="0.173"/>
        <n v="0.1731"/>
        <n v="0.1732"/>
        <n v="0.1733"/>
        <n v="0.1734"/>
        <n v="0.1735"/>
        <n v="0.1736"/>
        <n v="0.1737"/>
        <n v="0.1738"/>
        <n v="0.1739"/>
        <n v="0.1741"/>
        <n v="0.1742"/>
        <n v="0.1743"/>
        <n v="0.1744"/>
        <n v="0.1745"/>
        <n v="0.1747"/>
        <n v="0.1748"/>
        <n v="0.1749"/>
        <n v="0.1751"/>
        <n v="0.1752"/>
        <n v="0.1753"/>
        <n v="0.1755"/>
        <n v="0.1756"/>
        <n v="0.1758"/>
        <n v="0.1759"/>
        <n v="0.176"/>
        <n v="0.1761"/>
        <n v="0.1763"/>
        <n v="0.1764"/>
        <n v="0.1766"/>
        <n v="0.1767"/>
        <n v="0.1768"/>
        <n v="0.1769"/>
        <n v="0.1771"/>
        <n v="0.1772"/>
        <n v="0.1773"/>
        <n v="0.1774"/>
        <n v="0.1775"/>
        <n v="0.1776"/>
        <n v="0.1777"/>
        <n v="0.178"/>
        <n v="0.1781"/>
        <n v="0.1782"/>
        <n v="0.1783"/>
        <n v="0.1784"/>
        <n v="0.1785"/>
        <n v="0.1786"/>
        <n v="0.1788"/>
        <n v="0.1789"/>
        <n v="0.1792"/>
        <n v="0.1793"/>
        <n v="0.1794"/>
        <n v="0.1796"/>
        <n v="0.1797"/>
        <n v="0.1799"/>
        <n v="0.18"/>
        <n v="0.1801"/>
        <n v="0.1802"/>
        <n v="0.1805"/>
        <n v="0.1806"/>
        <n v="0.1808"/>
        <n v="0.1814"/>
        <n v="0.1817"/>
        <n v="0.1818"/>
        <n v="0.1819"/>
        <n v="0.182"/>
        <n v="0.1821"/>
        <n v="0.1822"/>
        <n v="0.1823"/>
        <n v="0.1824"/>
        <n v="0.1828"/>
        <n v="0.1831"/>
        <n v="0.1832"/>
        <n v="0.1834"/>
        <n v="0.1835"/>
        <n v="0.1838"/>
        <n v="0.1844"/>
        <n v="0.1845"/>
        <n v="0.1847"/>
        <n v="0.1848"/>
        <n v="0.1851"/>
        <n v="0.1853"/>
        <n v="0.1855"/>
        <n v="0.1858"/>
        <n v="0.1859"/>
        <n v="0.1866"/>
        <n v="0.1867"/>
        <n v="0.1869"/>
        <n v="0.1871"/>
        <n v="0.1873"/>
        <n v="0.1875"/>
        <n v="0.1877"/>
        <n v="0.1878"/>
        <n v="0.1879"/>
        <n v="0.188"/>
        <n v="0.1882"/>
        <n v="0.1886"/>
        <n v="0.1888"/>
        <n v="0.1889"/>
        <n v="0.189"/>
        <n v="0.1895"/>
        <n v="0.1897"/>
        <n v="0.1898"/>
        <n v="0.1899"/>
        <n v="0.1902"/>
        <n v="0.1904"/>
        <n v="0.1906"/>
        <n v="0.1907"/>
        <n v="0.1908"/>
        <n v="0.191"/>
        <n v="0.1911"/>
        <n v="0.1914"/>
        <n v="0.1916"/>
        <n v="0.192"/>
        <n v="0.1921"/>
        <n v="0.1922"/>
        <n v="0.1924"/>
        <n v="0.1926"/>
        <n v="0.193"/>
        <n v="0.1934"/>
        <n v="0.1935"/>
        <n v="0.1937"/>
        <n v="0.1938"/>
        <n v="0.1939"/>
        <n v="0.194"/>
        <n v="0.1942"/>
        <n v="0.1945"/>
        <n v="0.1946"/>
        <n v="0.1952"/>
        <n v="0.1956"/>
        <n v="0.1959"/>
        <n v="0.196"/>
        <n v="0.1963"/>
        <n v="0.1966"/>
        <n v="0.1975"/>
        <n v="0.1978"/>
        <n v="0.1983"/>
        <n v="0.1986"/>
        <n v="0.1992"/>
        <n v="0.1996"/>
        <n v="0.2"/>
        <n v="0.2005"/>
        <n v="0.2011"/>
        <n v="0.2022"/>
        <n v="0.2025"/>
        <n v="0.2026"/>
        <n v="0.2034"/>
        <n v="0.2035"/>
        <n v="0.2037"/>
        <n v="0.2041"/>
        <n v="0.2042"/>
        <n v="0.2047"/>
        <n v="0.2049"/>
        <n v="0.205"/>
        <n v="0.2051"/>
        <n v="0.2052"/>
        <n v="0.2058"/>
        <n v="0.2059"/>
        <n v="0.2064"/>
        <n v="0.2066"/>
        <n v="0.2067"/>
        <n v="0.2068"/>
        <n v="0.2083"/>
        <n v="0.2087"/>
        <n v="0.2088"/>
        <n v="0.209"/>
        <n v="0.2092"/>
        <n v="0.2095"/>
        <n v="0.21"/>
        <n v="0.2101"/>
        <n v="0.2105"/>
        <n v="0.2116"/>
        <n v="0.2124"/>
        <n v="0.213"/>
        <n v="0.2132"/>
        <n v="0.2136"/>
        <n v="0.2144"/>
        <n v="0.2145"/>
        <n v="0.2147"/>
        <n v="0.215"/>
        <n v="0.2157"/>
        <n v="0.2161"/>
        <n v="0.2163"/>
        <n v="0.2164"/>
        <n v="0.2186"/>
        <n v="0.2187"/>
        <n v="0.219"/>
        <n v="0.2191"/>
        <n v="0.2205"/>
        <n v="0.222"/>
        <n v="0.2224"/>
        <n v="0.2236"/>
        <n v="0.2239"/>
        <n v="0.2244"/>
        <n v="0.2252"/>
        <n v="0.2255"/>
        <n v="0.2267"/>
        <n v="0.2271"/>
        <n v="0.2287"/>
        <n v="0.2295"/>
        <n v="0.2297"/>
        <n v="0.2308"/>
        <n v="0.2338"/>
        <n v="0.2363"/>
        <n v="0.2395"/>
        <n v="0.241"/>
        <n v="0.2452"/>
        <n v="0.262"/>
        <n v="0.2712"/>
        <n v="0.2745"/>
        <n v="0.2955"/>
        <n v="0.2985"/>
        <n v="0.3131"/>
        <n v="0.3157"/>
        <n v="0.327"/>
        <n v="0.3425"/>
      </sharedItems>
    </cacheField>
    <cacheField name="projectName" numFmtId="0">
      <sharedItems count="4">
        <s v="ac15-plain"/>
        <s v="hybrid_v3_5"/>
        <s v="hybrid_v3_5_semantic"/>
        <s v="test_ac15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cordCount="150" createdVersion="3">
  <cacheSource type="worksheet">
    <worksheetSource ref="A3:C153" sheet="pivot_sim_per_turn"/>
  </cacheSource>
  <cacheFields count="3">
    <cacheField name="turns" numFmtId="0">
      <sharedItems containsSemiMixedTypes="0" containsString="0" containsNumber="1" containsInteger="1" minValue="1" maxValue="25" count="2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  <cacheField name="comparison" numFmtId="0">
      <sharedItems count="6">
        <s v="ac15-ac15p"/>
        <s v="hybrid-ac15"/>
        <s v="hybrid-ac15p"/>
        <s v="hybrid-hybsem"/>
        <s v="hybsem-ac15"/>
        <s v="hybsem-ac15p"/>
      </sharedItems>
    </cacheField>
    <cacheField name="abs delta" numFmtId="0">
      <sharedItems containsSemiMixedTypes="0" containsString="0" containsNumber="1" minValue="2.9976324506964E-005" maxValue="0.134697832450992" count="150">
        <n v="2.9976324506964E-005"/>
        <n v="0.000220469472459794"/>
        <n v="0.000429948444238382"/>
        <n v="0.0010006125299169"/>
        <n v="0.00132865638540225"/>
        <n v="0.00144980226628422"/>
        <n v="0.00153425342679703"/>
        <n v="0.00162906675598029"/>
        <n v="0.00184953622844009"/>
        <n v="0.00207432278930564"/>
        <n v="0.00224001548323272"/>
        <n v="0.00228111658057151"/>
        <n v="0.00233715265781331"/>
        <n v="0.00235052174401984"/>
        <n v="0.00324320180270266"/>
        <n v="0.00330519767121484"/>
        <n v="0.00351927636346328"/>
        <n v="0.00369920421079994"/>
        <n v="0.00377426891002974"/>
        <n v="0.00405547696060882"/>
        <n v="0.00418865641105659"/>
        <n v="0.00474688555289693"/>
        <n v="0.00655933684335264"/>
        <n v="0.00679409825535793"/>
        <n v="0.00682120834220257"/>
        <n v="0.00725705999250714"/>
        <n v="0.0074199364608889"/>
        <n v="0.00756896317179012"/>
        <n v="0.00785814422102371"/>
        <n v="0.0080455682801267"/>
        <n v="0.00829005875960809"/>
        <n v="0.00890859941842659"/>
        <n v="0.00908185607431311"/>
        <n v="0.00918686391840295"/>
        <n v="0.00970105304146041"/>
        <n v="0.0103663761241036"/>
        <n v="0.0105323663214711"/>
        <n v="0.0106366661846872"/>
        <n v="0.0109562642033071"/>
        <n v="0.011377420584487"/>
        <n v="0.0117737141636345"/>
        <n v="0.0124787151706647"/>
        <n v="0.0128122362513557"/>
        <n v="0.0133554278919528"/>
        <n v="0.0133906748529681"/>
        <n v="0.0144095930894773"/>
        <n v="0.0145550581320186"/>
        <n v="0.0152619765499559"/>
        <n v="0.0157278275107814"/>
        <n v="0.0175164592659253"/>
        <n v="0.0175335234094478"/>
        <n v="0.0179874624653911"/>
        <n v="0.0184650700500861"/>
        <n v="0.0187833685134434"/>
        <n v="0.0190450604460891"/>
        <n v="0.0193426773354246"/>
        <n v="0.019447974233933"/>
        <n v="0.0199147647353054"/>
        <n v="0.0205421410453903"/>
        <n v="0.0206741272020694"/>
        <n v="0.0206919376295764"/>
        <n v="0.0206940434483244"/>
        <n v="0.0208578045314825"/>
        <n v="0.0208945966745292"/>
        <n v="0.0212926601366059"/>
        <n v="0.0214090677022991"/>
        <n v="0.0214098138870542"/>
        <n v="0.0218707974307926"/>
        <n v="0.0222243635701596"/>
        <n v="0.0227018391713697"/>
        <n v="0.02283994579036"/>
        <n v="0.0228596161533384"/>
        <n v="0.0234051544137447"/>
        <n v="0.0237218040160564"/>
        <n v="0.0240038654198511"/>
        <n v="0.0246042760947787"/>
        <n v="0.0247023076480338"/>
        <n v="0.0251940888115466"/>
        <n v="0.025624037255785"/>
        <n v="0.0258647552941427"/>
        <n v="0.025890020256814"/>
        <n v="0.0262033049743323"/>
        <n v="0.0267628380313075"/>
        <n v="0.0267928143558145"/>
        <n v="0.0280658897309189"/>
        <n v="0.028203165957657"/>
        <n v="0.0284844215549038"/>
        <n v="0.0289803726341441"/>
        <n v="0.0294491932009308"/>
        <n v="0.0298170346819745"/>
        <n v="0.030281140859409"/>
        <n v="0.0313308943781639"/>
        <n v="0.0315122597958818"/>
        <n v="0.0315235159902364"/>
        <n v="0.0319218018646731"/>
        <n v="0.0319260523554026"/>
        <n v="0.0320464800717414"/>
        <n v="0.0322235744368468"/>
        <n v="0.0325261660064187"/>
        <n v="0.0327567298916307"/>
        <n v="0.0331218152866498"/>
        <n v="0.0344755533350042"/>
        <n v="0.0345740961808666"/>
        <n v="0.0347986196752406"/>
        <n v="0.0359815293160114"/>
        <n v="0.0368210194974498"/>
        <n v="0.0380001227704924"/>
        <n v="0.0386333567702234"/>
        <n v="0.0386815059137154"/>
        <n v="0.0396339693001403"/>
        <n v="0.0397354284778488"/>
        <n v="0.0412696819046459"/>
        <n v="0.0414395205504461"/>
        <n v="0.0419867035849303"/>
        <n v="0.0420445165067943"/>
        <n v="0.0422879200242929"/>
        <n v="0.0428720385915504"/>
        <n v="0.0435096973878786"/>
        <n v="0.0443244960472375"/>
        <n v="0.0448142221160438"/>
        <n v="0.0452091912493637"/>
        <n v="0.0464653147210119"/>
        <n v="0.047454775660884"/>
        <n v="0.0474847519853909"/>
        <n v="0.0491979542313977"/>
        <n v="0.0492976647714698"/>
        <n v="0.0496279026756361"/>
        <n v="0.0502902533010785"/>
        <n v="0.0511995188108463"/>
        <n v="0.051369776098606"/>
        <n v="0.0516083203714017"/>
        <n v="0.0523700643273642"/>
        <n v="0.0528169411349331"/>
        <n v="0.053068307051809"/>
        <n v="0.0543553746201964"/>
        <n v="0.0543969634372112"/>
        <n v="0.0585440310312529"/>
        <n v="0.0585998661023318"/>
        <n v="0.0601081182292729"/>
        <n v="0.0636282416352019"/>
        <n v="0.066834089790861"/>
        <n v="0.0677962569399365"/>
        <n v="0.0766334795407158"/>
        <n v="0.0776340920706327"/>
        <n v="0.0830582334898924"/>
        <n v="0.0859981384860868"/>
        <n v="0.0882325177299805"/>
        <n v="0.097613291621911"/>
        <n v="0.110093556356214"/>
        <n v="0.13469783245099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6">
  <r>
    <x v="0"/>
    <x v="3"/>
    <x v="19"/>
  </r>
  <r>
    <x v="1"/>
    <x v="3"/>
    <x v="43"/>
  </r>
  <r>
    <x v="2"/>
    <x v="3"/>
    <x v="50"/>
  </r>
  <r>
    <x v="3"/>
    <x v="3"/>
    <x v="5"/>
  </r>
  <r>
    <x v="4"/>
    <x v="3"/>
    <x v="120"/>
  </r>
  <r>
    <x v="5"/>
    <x v="3"/>
    <x v="24"/>
  </r>
  <r>
    <x v="6"/>
    <x v="3"/>
    <x v="97"/>
  </r>
  <r>
    <x v="7"/>
    <x v="3"/>
    <x v="1"/>
  </r>
  <r>
    <x v="8"/>
    <x v="3"/>
    <x v="44"/>
  </r>
  <r>
    <x v="9"/>
    <x v="3"/>
    <x v="41"/>
  </r>
  <r>
    <x v="10"/>
    <x v="3"/>
    <x v="124"/>
  </r>
  <r>
    <x v="11"/>
    <x v="3"/>
    <x v="101"/>
  </r>
  <r>
    <x v="12"/>
    <x v="3"/>
    <x v="22"/>
  </r>
  <r>
    <x v="13"/>
    <x v="3"/>
    <x v="48"/>
  </r>
  <r>
    <x v="14"/>
    <x v="3"/>
    <x v="23"/>
  </r>
  <r>
    <x v="15"/>
    <x v="3"/>
    <x v="86"/>
  </r>
  <r>
    <x v="16"/>
    <x v="3"/>
    <x v="8"/>
  </r>
  <r>
    <x v="17"/>
    <x v="3"/>
    <x v="71"/>
  </r>
  <r>
    <x v="18"/>
    <x v="3"/>
    <x v="54"/>
  </r>
  <r>
    <x v="19"/>
    <x v="3"/>
    <x v="64"/>
  </r>
  <r>
    <x v="20"/>
    <x v="3"/>
    <x v="135"/>
  </r>
  <r>
    <x v="21"/>
    <x v="3"/>
    <x v="29"/>
  </r>
  <r>
    <x v="22"/>
    <x v="3"/>
    <x v="60"/>
  </r>
  <r>
    <x v="23"/>
    <x v="3"/>
    <x v="108"/>
  </r>
  <r>
    <x v="24"/>
    <x v="3"/>
    <x v="119"/>
  </r>
  <r>
    <x v="0"/>
    <x v="0"/>
    <x v="31"/>
  </r>
  <r>
    <x v="1"/>
    <x v="0"/>
    <x v="107"/>
  </r>
  <r>
    <x v="2"/>
    <x v="0"/>
    <x v="28"/>
  </r>
  <r>
    <x v="3"/>
    <x v="0"/>
    <x v="104"/>
  </r>
  <r>
    <x v="4"/>
    <x v="0"/>
    <x v="26"/>
  </r>
  <r>
    <x v="5"/>
    <x v="0"/>
    <x v="118"/>
  </r>
  <r>
    <x v="6"/>
    <x v="0"/>
    <x v="128"/>
  </r>
  <r>
    <x v="7"/>
    <x v="0"/>
    <x v="66"/>
  </r>
  <r>
    <x v="8"/>
    <x v="0"/>
    <x v="16"/>
  </r>
  <r>
    <x v="9"/>
    <x v="0"/>
    <x v="127"/>
  </r>
  <r>
    <x v="10"/>
    <x v="0"/>
    <x v="91"/>
  </r>
  <r>
    <x v="11"/>
    <x v="0"/>
    <x v="46"/>
  </r>
  <r>
    <x v="12"/>
    <x v="0"/>
    <x v="77"/>
  </r>
  <r>
    <x v="13"/>
    <x v="0"/>
    <x v="0"/>
  </r>
  <r>
    <x v="14"/>
    <x v="0"/>
    <x v="61"/>
  </r>
  <r>
    <x v="15"/>
    <x v="0"/>
    <x v="82"/>
  </r>
  <r>
    <x v="16"/>
    <x v="0"/>
    <x v="68"/>
  </r>
  <r>
    <x v="17"/>
    <x v="0"/>
    <x v="14"/>
  </r>
  <r>
    <x v="18"/>
    <x v="0"/>
    <x v="105"/>
  </r>
  <r>
    <x v="19"/>
    <x v="0"/>
    <x v="20"/>
  </r>
  <r>
    <x v="20"/>
    <x v="0"/>
    <x v="125"/>
  </r>
  <r>
    <x v="21"/>
    <x v="0"/>
    <x v="58"/>
  </r>
  <r>
    <x v="22"/>
    <x v="0"/>
    <x v="45"/>
  </r>
  <r>
    <x v="23"/>
    <x v="0"/>
    <x v="75"/>
  </r>
  <r>
    <x v="24"/>
    <x v="0"/>
    <x v="59"/>
  </r>
  <r>
    <x v="0"/>
    <x v="2"/>
    <x v="38"/>
  </r>
  <r>
    <x v="1"/>
    <x v="2"/>
    <x v="39"/>
  </r>
  <r>
    <x v="2"/>
    <x v="2"/>
    <x v="62"/>
  </r>
  <r>
    <x v="3"/>
    <x v="2"/>
    <x v="98"/>
  </r>
  <r>
    <x v="4"/>
    <x v="2"/>
    <x v="17"/>
  </r>
  <r>
    <x v="5"/>
    <x v="2"/>
    <x v="13"/>
  </r>
  <r>
    <x v="6"/>
    <x v="2"/>
    <x v="129"/>
  </r>
  <r>
    <x v="7"/>
    <x v="2"/>
    <x v="112"/>
  </r>
  <r>
    <x v="8"/>
    <x v="2"/>
    <x v="92"/>
  </r>
  <r>
    <x v="9"/>
    <x v="2"/>
    <x v="133"/>
  </r>
  <r>
    <x v="10"/>
    <x v="2"/>
    <x v="131"/>
  </r>
  <r>
    <x v="11"/>
    <x v="2"/>
    <x v="56"/>
  </r>
  <r>
    <x v="12"/>
    <x v="2"/>
    <x v="30"/>
  </r>
  <r>
    <x v="13"/>
    <x v="2"/>
    <x v="55"/>
  </r>
  <r>
    <x v="14"/>
    <x v="2"/>
    <x v="49"/>
  </r>
  <r>
    <x v="15"/>
    <x v="2"/>
    <x v="90"/>
  </r>
  <r>
    <x v="16"/>
    <x v="2"/>
    <x v="83"/>
  </r>
  <r>
    <x v="17"/>
    <x v="2"/>
    <x v="21"/>
  </r>
  <r>
    <x v="18"/>
    <x v="2"/>
    <x v="37"/>
  </r>
  <r>
    <x v="19"/>
    <x v="2"/>
    <x v="57"/>
  </r>
  <r>
    <x v="20"/>
    <x v="2"/>
    <x v="134"/>
  </r>
  <r>
    <x v="21"/>
    <x v="2"/>
    <x v="33"/>
  </r>
  <r>
    <x v="22"/>
    <x v="2"/>
    <x v="113"/>
  </r>
  <r>
    <x v="23"/>
    <x v="2"/>
    <x v="74"/>
  </r>
  <r>
    <x v="24"/>
    <x v="2"/>
    <x v="3"/>
  </r>
  <r>
    <x v="0"/>
    <x v="5"/>
    <x v="51"/>
  </r>
  <r>
    <x v="1"/>
    <x v="5"/>
    <x v="11"/>
  </r>
  <r>
    <x v="2"/>
    <x v="5"/>
    <x v="102"/>
  </r>
  <r>
    <x v="3"/>
    <x v="5"/>
    <x v="99"/>
  </r>
  <r>
    <x v="4"/>
    <x v="5"/>
    <x v="122"/>
  </r>
  <r>
    <x v="5"/>
    <x v="5"/>
    <x v="34"/>
  </r>
  <r>
    <x v="6"/>
    <x v="5"/>
    <x v="94"/>
  </r>
  <r>
    <x v="7"/>
    <x v="5"/>
    <x v="110"/>
  </r>
  <r>
    <x v="8"/>
    <x v="5"/>
    <x v="47"/>
  </r>
  <r>
    <x v="9"/>
    <x v="5"/>
    <x v="130"/>
  </r>
  <r>
    <x v="10"/>
    <x v="5"/>
    <x v="72"/>
  </r>
  <r>
    <x v="11"/>
    <x v="5"/>
    <x v="53"/>
  </r>
  <r>
    <x v="12"/>
    <x v="5"/>
    <x v="10"/>
  </r>
  <r>
    <x v="13"/>
    <x v="5"/>
    <x v="7"/>
  </r>
  <r>
    <x v="14"/>
    <x v="5"/>
    <x v="35"/>
  </r>
  <r>
    <x v="15"/>
    <x v="5"/>
    <x v="12"/>
  </r>
  <r>
    <x v="16"/>
    <x v="5"/>
    <x v="79"/>
  </r>
  <r>
    <x v="17"/>
    <x v="5"/>
    <x v="88"/>
  </r>
  <r>
    <x v="18"/>
    <x v="5"/>
    <x v="25"/>
  </r>
  <r>
    <x v="19"/>
    <x v="5"/>
    <x v="106"/>
  </r>
  <r>
    <x v="20"/>
    <x v="5"/>
    <x v="67"/>
  </r>
  <r>
    <x v="21"/>
    <x v="5"/>
    <x v="4"/>
  </r>
  <r>
    <x v="22"/>
    <x v="5"/>
    <x v="76"/>
  </r>
  <r>
    <x v="23"/>
    <x v="5"/>
    <x v="52"/>
  </r>
  <r>
    <x v="24"/>
    <x v="5"/>
    <x v="121"/>
  </r>
  <r>
    <x v="0"/>
    <x v="4"/>
    <x v="81"/>
  </r>
  <r>
    <x v="1"/>
    <x v="4"/>
    <x v="103"/>
  </r>
  <r>
    <x v="2"/>
    <x v="4"/>
    <x v="115"/>
  </r>
  <r>
    <x v="3"/>
    <x v="4"/>
    <x v="9"/>
  </r>
  <r>
    <x v="4"/>
    <x v="4"/>
    <x v="126"/>
  </r>
  <r>
    <x v="5"/>
    <x v="4"/>
    <x v="100"/>
  </r>
  <r>
    <x v="6"/>
    <x v="4"/>
    <x v="95"/>
  </r>
  <r>
    <x v="7"/>
    <x v="4"/>
    <x v="69"/>
  </r>
  <r>
    <x v="8"/>
    <x v="4"/>
    <x v="40"/>
  </r>
  <r>
    <x v="9"/>
    <x v="4"/>
    <x v="42"/>
  </r>
  <r>
    <x v="10"/>
    <x v="4"/>
    <x v="27"/>
  </r>
  <r>
    <x v="11"/>
    <x v="4"/>
    <x v="96"/>
  </r>
  <r>
    <x v="12"/>
    <x v="4"/>
    <x v="73"/>
  </r>
  <r>
    <x v="13"/>
    <x v="4"/>
    <x v="6"/>
  </r>
  <r>
    <x v="14"/>
    <x v="4"/>
    <x v="89"/>
  </r>
  <r>
    <x v="15"/>
    <x v="4"/>
    <x v="78"/>
  </r>
  <r>
    <x v="16"/>
    <x v="4"/>
    <x v="18"/>
  </r>
  <r>
    <x v="17"/>
    <x v="4"/>
    <x v="93"/>
  </r>
  <r>
    <x v="18"/>
    <x v="4"/>
    <x v="117"/>
  </r>
  <r>
    <x v="19"/>
    <x v="4"/>
    <x v="116"/>
  </r>
  <r>
    <x v="20"/>
    <x v="4"/>
    <x v="132"/>
  </r>
  <r>
    <x v="21"/>
    <x v="4"/>
    <x v="63"/>
  </r>
  <r>
    <x v="22"/>
    <x v="4"/>
    <x v="32"/>
  </r>
  <r>
    <x v="23"/>
    <x v="4"/>
    <x v="109"/>
  </r>
  <r>
    <x v="24"/>
    <x v="4"/>
    <x v="87"/>
  </r>
  <r>
    <x v="0"/>
    <x v="1"/>
    <x v="65"/>
  </r>
  <r>
    <x v="1"/>
    <x v="1"/>
    <x v="123"/>
  </r>
  <r>
    <x v="2"/>
    <x v="1"/>
    <x v="84"/>
  </r>
  <r>
    <x v="3"/>
    <x v="1"/>
    <x v="15"/>
  </r>
  <r>
    <x v="4"/>
    <x v="1"/>
    <x v="36"/>
  </r>
  <r>
    <x v="5"/>
    <x v="1"/>
    <x v="111"/>
  </r>
  <r>
    <x v="6"/>
    <x v="1"/>
    <x v="2"/>
  </r>
  <r>
    <x v="7"/>
    <x v="1"/>
    <x v="70"/>
  </r>
  <r>
    <x v="8"/>
    <x v="1"/>
    <x v="85"/>
  </r>
  <r>
    <x v="9"/>
    <x v="1"/>
    <x v="80"/>
  </r>
  <r>
    <x v="10"/>
    <x v="1"/>
    <x v="1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3">
  <r>
    <x v="2"/>
    <x v="3"/>
    <x v="7"/>
  </r>
  <r>
    <x v="6"/>
    <x v="3"/>
    <x v="11"/>
  </r>
  <r>
    <x v="9"/>
    <x v="3"/>
    <x v="22"/>
  </r>
  <r>
    <x v="11"/>
    <x v="3"/>
    <x v="6"/>
  </r>
  <r>
    <x v="3"/>
    <x v="0"/>
    <x v="5"/>
  </r>
  <r>
    <x v="4"/>
    <x v="0"/>
    <x v="15"/>
  </r>
  <r>
    <x v="5"/>
    <x v="0"/>
    <x v="14"/>
  </r>
  <r>
    <x v="9"/>
    <x v="0"/>
    <x v="12"/>
  </r>
  <r>
    <x v="4"/>
    <x v="2"/>
    <x v="16"/>
  </r>
  <r>
    <x v="5"/>
    <x v="2"/>
    <x v="20"/>
  </r>
  <r>
    <x v="6"/>
    <x v="2"/>
    <x v="18"/>
  </r>
  <r>
    <x v="9"/>
    <x v="2"/>
    <x v="21"/>
  </r>
  <r>
    <x v="10"/>
    <x v="2"/>
    <x v="0"/>
  </r>
  <r>
    <x v="2"/>
    <x v="5"/>
    <x v="9"/>
  </r>
  <r>
    <x v="5"/>
    <x v="5"/>
    <x v="17"/>
  </r>
  <r>
    <x v="11"/>
    <x v="5"/>
    <x v="8"/>
  </r>
  <r>
    <x v="1"/>
    <x v="4"/>
    <x v="2"/>
  </r>
  <r>
    <x v="2"/>
    <x v="4"/>
    <x v="13"/>
  </r>
  <r>
    <x v="7"/>
    <x v="4"/>
    <x v="4"/>
  </r>
  <r>
    <x v="8"/>
    <x v="4"/>
    <x v="3"/>
  </r>
  <r>
    <x v="9"/>
    <x v="4"/>
    <x v="19"/>
  </r>
  <r>
    <x v="0"/>
    <x v="1"/>
    <x v="10"/>
  </r>
  <r>
    <x v="6"/>
    <x v="1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92">
  <r>
    <x v="0"/>
    <x v="7"/>
    <x v="272"/>
    <x v="0"/>
  </r>
  <r>
    <x v="0"/>
    <x v="3"/>
    <x v="162"/>
    <x v="0"/>
  </r>
  <r>
    <x v="0"/>
    <x v="9"/>
    <x v="122"/>
    <x v="0"/>
  </r>
  <r>
    <x v="0"/>
    <x v="5"/>
    <x v="119"/>
    <x v="0"/>
  </r>
  <r>
    <x v="0"/>
    <x v="4"/>
    <x v="92"/>
    <x v="0"/>
  </r>
  <r>
    <x v="0"/>
    <x v="11"/>
    <x v="0"/>
    <x v="0"/>
  </r>
  <r>
    <x v="1"/>
    <x v="7"/>
    <x v="306"/>
    <x v="0"/>
  </r>
  <r>
    <x v="1"/>
    <x v="0"/>
    <x v="149"/>
    <x v="0"/>
  </r>
  <r>
    <x v="1"/>
    <x v="9"/>
    <x v="105"/>
    <x v="0"/>
  </r>
  <r>
    <x v="1"/>
    <x v="5"/>
    <x v="87"/>
    <x v="0"/>
  </r>
  <r>
    <x v="1"/>
    <x v="4"/>
    <x v="37"/>
    <x v="0"/>
  </r>
  <r>
    <x v="1"/>
    <x v="11"/>
    <x v="0"/>
    <x v="0"/>
  </r>
  <r>
    <x v="2"/>
    <x v="7"/>
    <x v="248"/>
    <x v="0"/>
  </r>
  <r>
    <x v="2"/>
    <x v="3"/>
    <x v="202"/>
    <x v="0"/>
  </r>
  <r>
    <x v="2"/>
    <x v="0"/>
    <x v="169"/>
    <x v="0"/>
  </r>
  <r>
    <x v="2"/>
    <x v="9"/>
    <x v="163"/>
    <x v="0"/>
  </r>
  <r>
    <x v="2"/>
    <x v="4"/>
    <x v="25"/>
    <x v="0"/>
  </r>
  <r>
    <x v="2"/>
    <x v="11"/>
    <x v="0"/>
    <x v="0"/>
  </r>
  <r>
    <x v="3"/>
    <x v="7"/>
    <x v="237"/>
    <x v="0"/>
  </r>
  <r>
    <x v="3"/>
    <x v="3"/>
    <x v="217"/>
    <x v="0"/>
  </r>
  <r>
    <x v="3"/>
    <x v="9"/>
    <x v="176"/>
    <x v="0"/>
  </r>
  <r>
    <x v="3"/>
    <x v="4"/>
    <x v="98"/>
    <x v="0"/>
  </r>
  <r>
    <x v="3"/>
    <x v="0"/>
    <x v="67"/>
    <x v="0"/>
  </r>
  <r>
    <x v="3"/>
    <x v="11"/>
    <x v="0"/>
    <x v="0"/>
  </r>
  <r>
    <x v="4"/>
    <x v="7"/>
    <x v="320"/>
    <x v="0"/>
  </r>
  <r>
    <x v="4"/>
    <x v="4"/>
    <x v="114"/>
    <x v="0"/>
  </r>
  <r>
    <x v="4"/>
    <x v="5"/>
    <x v="69"/>
    <x v="0"/>
  </r>
  <r>
    <x v="4"/>
    <x v="9"/>
    <x v="52"/>
    <x v="0"/>
  </r>
  <r>
    <x v="4"/>
    <x v="2"/>
    <x v="41"/>
    <x v="0"/>
  </r>
  <r>
    <x v="4"/>
    <x v="11"/>
    <x v="0"/>
    <x v="0"/>
  </r>
  <r>
    <x v="5"/>
    <x v="7"/>
    <x v="289"/>
    <x v="0"/>
  </r>
  <r>
    <x v="5"/>
    <x v="9"/>
    <x v="184"/>
    <x v="0"/>
  </r>
  <r>
    <x v="5"/>
    <x v="5"/>
    <x v="136"/>
    <x v="0"/>
  </r>
  <r>
    <x v="5"/>
    <x v="0"/>
    <x v="65"/>
    <x v="0"/>
  </r>
  <r>
    <x v="5"/>
    <x v="6"/>
    <x v="57"/>
    <x v="0"/>
  </r>
  <r>
    <x v="5"/>
    <x v="11"/>
    <x v="0"/>
    <x v="0"/>
  </r>
  <r>
    <x v="6"/>
    <x v="7"/>
    <x v="318"/>
    <x v="0"/>
  </r>
  <r>
    <x v="6"/>
    <x v="9"/>
    <x v="213"/>
    <x v="0"/>
  </r>
  <r>
    <x v="6"/>
    <x v="2"/>
    <x v="48"/>
    <x v="0"/>
  </r>
  <r>
    <x v="6"/>
    <x v="5"/>
    <x v="24"/>
    <x v="0"/>
  </r>
  <r>
    <x v="6"/>
    <x v="4"/>
    <x v="14"/>
    <x v="0"/>
  </r>
  <r>
    <x v="6"/>
    <x v="11"/>
    <x v="0"/>
    <x v="0"/>
  </r>
  <r>
    <x v="7"/>
    <x v="7"/>
    <x v="275"/>
    <x v="0"/>
  </r>
  <r>
    <x v="7"/>
    <x v="9"/>
    <x v="219"/>
    <x v="0"/>
  </r>
  <r>
    <x v="7"/>
    <x v="6"/>
    <x v="100"/>
    <x v="0"/>
  </r>
  <r>
    <x v="7"/>
    <x v="4"/>
    <x v="84"/>
    <x v="0"/>
  </r>
  <r>
    <x v="7"/>
    <x v="2"/>
    <x v="53"/>
    <x v="0"/>
  </r>
  <r>
    <x v="7"/>
    <x v="11"/>
    <x v="0"/>
    <x v="0"/>
  </r>
  <r>
    <x v="8"/>
    <x v="7"/>
    <x v="235"/>
    <x v="0"/>
  </r>
  <r>
    <x v="8"/>
    <x v="9"/>
    <x v="212"/>
    <x v="0"/>
  </r>
  <r>
    <x v="8"/>
    <x v="0"/>
    <x v="165"/>
    <x v="0"/>
  </r>
  <r>
    <x v="8"/>
    <x v="3"/>
    <x v="97"/>
    <x v="0"/>
  </r>
  <r>
    <x v="8"/>
    <x v="2"/>
    <x v="92"/>
    <x v="0"/>
  </r>
  <r>
    <x v="8"/>
    <x v="11"/>
    <x v="0"/>
    <x v="0"/>
  </r>
  <r>
    <x v="9"/>
    <x v="7"/>
    <x v="225"/>
    <x v="0"/>
  </r>
  <r>
    <x v="9"/>
    <x v="0"/>
    <x v="190"/>
    <x v="0"/>
  </r>
  <r>
    <x v="9"/>
    <x v="9"/>
    <x v="153"/>
    <x v="0"/>
  </r>
  <r>
    <x v="9"/>
    <x v="4"/>
    <x v="145"/>
    <x v="0"/>
  </r>
  <r>
    <x v="9"/>
    <x v="6"/>
    <x v="114"/>
    <x v="0"/>
  </r>
  <r>
    <x v="9"/>
    <x v="11"/>
    <x v="0"/>
    <x v="0"/>
  </r>
  <r>
    <x v="10"/>
    <x v="7"/>
    <x v="305"/>
    <x v="0"/>
  </r>
  <r>
    <x v="10"/>
    <x v="9"/>
    <x v="165"/>
    <x v="0"/>
  </r>
  <r>
    <x v="10"/>
    <x v="5"/>
    <x v="119"/>
    <x v="0"/>
  </r>
  <r>
    <x v="10"/>
    <x v="2"/>
    <x v="105"/>
    <x v="0"/>
  </r>
  <r>
    <x v="10"/>
    <x v="4"/>
    <x v="12"/>
    <x v="0"/>
  </r>
  <r>
    <x v="10"/>
    <x v="11"/>
    <x v="0"/>
    <x v="0"/>
  </r>
  <r>
    <x v="11"/>
    <x v="7"/>
    <x v="322"/>
    <x v="0"/>
  </r>
  <r>
    <x v="11"/>
    <x v="5"/>
    <x v="187"/>
    <x v="0"/>
  </r>
  <r>
    <x v="11"/>
    <x v="9"/>
    <x v="37"/>
    <x v="0"/>
  </r>
  <r>
    <x v="11"/>
    <x v="4"/>
    <x v="33"/>
    <x v="0"/>
  </r>
  <r>
    <x v="11"/>
    <x v="10"/>
    <x v="8"/>
    <x v="0"/>
  </r>
  <r>
    <x v="11"/>
    <x v="11"/>
    <x v="0"/>
    <x v="0"/>
  </r>
  <r>
    <x v="12"/>
    <x v="7"/>
    <x v="316"/>
    <x v="0"/>
  </r>
  <r>
    <x v="12"/>
    <x v="9"/>
    <x v="116"/>
    <x v="0"/>
  </r>
  <r>
    <x v="12"/>
    <x v="5"/>
    <x v="107"/>
    <x v="0"/>
  </r>
  <r>
    <x v="12"/>
    <x v="4"/>
    <x v="81"/>
    <x v="0"/>
  </r>
  <r>
    <x v="12"/>
    <x v="6"/>
    <x v="17"/>
    <x v="0"/>
  </r>
  <r>
    <x v="12"/>
    <x v="11"/>
    <x v="0"/>
    <x v="0"/>
  </r>
  <r>
    <x v="13"/>
    <x v="7"/>
    <x v="304"/>
    <x v="0"/>
  </r>
  <r>
    <x v="13"/>
    <x v="2"/>
    <x v="146"/>
    <x v="0"/>
  </r>
  <r>
    <x v="13"/>
    <x v="10"/>
    <x v="126"/>
    <x v="0"/>
  </r>
  <r>
    <x v="13"/>
    <x v="9"/>
    <x v="95"/>
    <x v="0"/>
  </r>
  <r>
    <x v="13"/>
    <x v="4"/>
    <x v="27"/>
    <x v="0"/>
  </r>
  <r>
    <x v="13"/>
    <x v="11"/>
    <x v="0"/>
    <x v="0"/>
  </r>
  <r>
    <x v="14"/>
    <x v="7"/>
    <x v="297"/>
    <x v="0"/>
  </r>
  <r>
    <x v="14"/>
    <x v="2"/>
    <x v="253"/>
    <x v="0"/>
  </r>
  <r>
    <x v="14"/>
    <x v="4"/>
    <x v="78"/>
    <x v="0"/>
  </r>
  <r>
    <x v="14"/>
    <x v="9"/>
    <x v="72"/>
    <x v="0"/>
  </r>
  <r>
    <x v="14"/>
    <x v="6"/>
    <x v="6"/>
    <x v="0"/>
  </r>
  <r>
    <x v="14"/>
    <x v="11"/>
    <x v="0"/>
    <x v="0"/>
  </r>
  <r>
    <x v="15"/>
    <x v="7"/>
    <x v="267"/>
    <x v="0"/>
  </r>
  <r>
    <x v="15"/>
    <x v="9"/>
    <x v="197"/>
    <x v="0"/>
  </r>
  <r>
    <x v="15"/>
    <x v="4"/>
    <x v="177"/>
    <x v="0"/>
  </r>
  <r>
    <x v="15"/>
    <x v="2"/>
    <x v="94"/>
    <x v="0"/>
  </r>
  <r>
    <x v="15"/>
    <x v="10"/>
    <x v="24"/>
    <x v="0"/>
  </r>
  <r>
    <x v="15"/>
    <x v="11"/>
    <x v="0"/>
    <x v="0"/>
  </r>
  <r>
    <x v="16"/>
    <x v="7"/>
    <x v="319"/>
    <x v="0"/>
  </r>
  <r>
    <x v="16"/>
    <x v="9"/>
    <x v="168"/>
    <x v="0"/>
  </r>
  <r>
    <x v="16"/>
    <x v="4"/>
    <x v="95"/>
    <x v="0"/>
  </r>
  <r>
    <x v="16"/>
    <x v="5"/>
    <x v="26"/>
    <x v="0"/>
  </r>
  <r>
    <x v="16"/>
    <x v="0"/>
    <x v="20"/>
    <x v="0"/>
  </r>
  <r>
    <x v="16"/>
    <x v="11"/>
    <x v="0"/>
    <x v="0"/>
  </r>
  <r>
    <x v="17"/>
    <x v="7"/>
    <x v="287"/>
    <x v="0"/>
  </r>
  <r>
    <x v="17"/>
    <x v="9"/>
    <x v="226"/>
    <x v="0"/>
  </r>
  <r>
    <x v="17"/>
    <x v="0"/>
    <x v="113"/>
    <x v="0"/>
  </r>
  <r>
    <x v="17"/>
    <x v="4"/>
    <x v="77"/>
    <x v="0"/>
  </r>
  <r>
    <x v="17"/>
    <x v="10"/>
    <x v="19"/>
    <x v="0"/>
  </r>
  <r>
    <x v="17"/>
    <x v="11"/>
    <x v="0"/>
    <x v="0"/>
  </r>
  <r>
    <x v="18"/>
    <x v="0"/>
    <x v="228"/>
    <x v="0"/>
  </r>
  <r>
    <x v="18"/>
    <x v="7"/>
    <x v="204"/>
    <x v="0"/>
  </r>
  <r>
    <x v="18"/>
    <x v="9"/>
    <x v="173"/>
    <x v="0"/>
  </r>
  <r>
    <x v="18"/>
    <x v="2"/>
    <x v="141"/>
    <x v="0"/>
  </r>
  <r>
    <x v="18"/>
    <x v="6"/>
    <x v="67"/>
    <x v="0"/>
  </r>
  <r>
    <x v="18"/>
    <x v="11"/>
    <x v="0"/>
    <x v="0"/>
  </r>
  <r>
    <x v="19"/>
    <x v="9"/>
    <x v="251"/>
    <x v="0"/>
  </r>
  <r>
    <x v="19"/>
    <x v="7"/>
    <x v="198"/>
    <x v="0"/>
  </r>
  <r>
    <x v="19"/>
    <x v="2"/>
    <x v="168"/>
    <x v="0"/>
  </r>
  <r>
    <x v="19"/>
    <x v="0"/>
    <x v="156"/>
    <x v="0"/>
  </r>
  <r>
    <x v="19"/>
    <x v="10"/>
    <x v="30"/>
    <x v="0"/>
  </r>
  <r>
    <x v="19"/>
    <x v="11"/>
    <x v="0"/>
    <x v="0"/>
  </r>
  <r>
    <x v="20"/>
    <x v="7"/>
    <x v="312"/>
    <x v="0"/>
  </r>
  <r>
    <x v="20"/>
    <x v="9"/>
    <x v="217"/>
    <x v="0"/>
  </r>
  <r>
    <x v="20"/>
    <x v="4"/>
    <x v="76"/>
    <x v="0"/>
  </r>
  <r>
    <x v="20"/>
    <x v="10"/>
    <x v="27"/>
    <x v="0"/>
  </r>
  <r>
    <x v="20"/>
    <x v="5"/>
    <x v="13"/>
    <x v="0"/>
  </r>
  <r>
    <x v="20"/>
    <x v="11"/>
    <x v="0"/>
    <x v="0"/>
  </r>
  <r>
    <x v="21"/>
    <x v="7"/>
    <x v="283"/>
    <x v="0"/>
  </r>
  <r>
    <x v="21"/>
    <x v="4"/>
    <x v="207"/>
    <x v="0"/>
  </r>
  <r>
    <x v="21"/>
    <x v="5"/>
    <x v="116"/>
    <x v="0"/>
  </r>
  <r>
    <x v="21"/>
    <x v="9"/>
    <x v="111"/>
    <x v="0"/>
  </r>
  <r>
    <x v="21"/>
    <x v="8"/>
    <x v="17"/>
    <x v="0"/>
  </r>
  <r>
    <x v="21"/>
    <x v="11"/>
    <x v="0"/>
    <x v="0"/>
  </r>
  <r>
    <x v="22"/>
    <x v="7"/>
    <x v="268"/>
    <x v="0"/>
  </r>
  <r>
    <x v="22"/>
    <x v="2"/>
    <x v="159"/>
    <x v="0"/>
  </r>
  <r>
    <x v="22"/>
    <x v="9"/>
    <x v="156"/>
    <x v="0"/>
  </r>
  <r>
    <x v="22"/>
    <x v="4"/>
    <x v="92"/>
    <x v="0"/>
  </r>
  <r>
    <x v="22"/>
    <x v="5"/>
    <x v="92"/>
    <x v="0"/>
  </r>
  <r>
    <x v="22"/>
    <x v="11"/>
    <x v="0"/>
    <x v="0"/>
  </r>
  <r>
    <x v="23"/>
    <x v="9"/>
    <x v="282"/>
    <x v="0"/>
  </r>
  <r>
    <x v="23"/>
    <x v="7"/>
    <x v="259"/>
    <x v="0"/>
  </r>
  <r>
    <x v="23"/>
    <x v="5"/>
    <x v="68"/>
    <x v="0"/>
  </r>
  <r>
    <x v="23"/>
    <x v="2"/>
    <x v="64"/>
    <x v="0"/>
  </r>
  <r>
    <x v="23"/>
    <x v="4"/>
    <x v="15"/>
    <x v="0"/>
  </r>
  <r>
    <x v="23"/>
    <x v="11"/>
    <x v="0"/>
    <x v="0"/>
  </r>
  <r>
    <x v="24"/>
    <x v="7"/>
    <x v="276"/>
    <x v="0"/>
  </r>
  <r>
    <x v="24"/>
    <x v="9"/>
    <x v="118"/>
    <x v="0"/>
  </r>
  <r>
    <x v="24"/>
    <x v="5"/>
    <x v="73"/>
    <x v="0"/>
  </r>
  <r>
    <x v="24"/>
    <x v="11"/>
    <x v="8"/>
    <x v="0"/>
  </r>
  <r>
    <x v="24"/>
    <x v="4"/>
    <x v="3"/>
    <x v="0"/>
  </r>
  <r>
    <x v="24"/>
    <x v="8"/>
    <x v="2"/>
    <x v="0"/>
  </r>
  <r>
    <x v="0"/>
    <x v="7"/>
    <x v="262"/>
    <x v="1"/>
  </r>
  <r>
    <x v="0"/>
    <x v="3"/>
    <x v="231"/>
    <x v="1"/>
  </r>
  <r>
    <x v="0"/>
    <x v="5"/>
    <x v="143"/>
    <x v="1"/>
  </r>
  <r>
    <x v="0"/>
    <x v="4"/>
    <x v="104"/>
    <x v="1"/>
  </r>
  <r>
    <x v="0"/>
    <x v="6"/>
    <x v="15"/>
    <x v="1"/>
  </r>
  <r>
    <x v="0"/>
    <x v="11"/>
    <x v="0"/>
    <x v="1"/>
  </r>
  <r>
    <x v="1"/>
    <x v="7"/>
    <x v="294"/>
    <x v="1"/>
  </r>
  <r>
    <x v="1"/>
    <x v="3"/>
    <x v="185"/>
    <x v="1"/>
  </r>
  <r>
    <x v="1"/>
    <x v="6"/>
    <x v="104"/>
    <x v="1"/>
  </r>
  <r>
    <x v="1"/>
    <x v="4"/>
    <x v="66"/>
    <x v="1"/>
  </r>
  <r>
    <x v="1"/>
    <x v="0"/>
    <x v="63"/>
    <x v="1"/>
  </r>
  <r>
    <x v="1"/>
    <x v="11"/>
    <x v="0"/>
    <x v="1"/>
  </r>
  <r>
    <x v="2"/>
    <x v="3"/>
    <x v="277"/>
    <x v="1"/>
  </r>
  <r>
    <x v="2"/>
    <x v="9"/>
    <x v="211"/>
    <x v="1"/>
  </r>
  <r>
    <x v="2"/>
    <x v="7"/>
    <x v="150"/>
    <x v="1"/>
  </r>
  <r>
    <x v="2"/>
    <x v="0"/>
    <x v="88"/>
    <x v="1"/>
  </r>
  <r>
    <x v="2"/>
    <x v="4"/>
    <x v="21"/>
    <x v="1"/>
  </r>
  <r>
    <x v="2"/>
    <x v="11"/>
    <x v="0"/>
    <x v="1"/>
  </r>
  <r>
    <x v="3"/>
    <x v="3"/>
    <x v="261"/>
    <x v="1"/>
  </r>
  <r>
    <x v="3"/>
    <x v="7"/>
    <x v="256"/>
    <x v="1"/>
  </r>
  <r>
    <x v="3"/>
    <x v="4"/>
    <x v="104"/>
    <x v="1"/>
  </r>
  <r>
    <x v="3"/>
    <x v="1"/>
    <x v="60"/>
    <x v="1"/>
  </r>
  <r>
    <x v="3"/>
    <x v="9"/>
    <x v="35"/>
    <x v="1"/>
  </r>
  <r>
    <x v="3"/>
    <x v="11"/>
    <x v="0"/>
    <x v="1"/>
  </r>
  <r>
    <x v="4"/>
    <x v="7"/>
    <x v="315"/>
    <x v="1"/>
  </r>
  <r>
    <x v="4"/>
    <x v="4"/>
    <x v="117"/>
    <x v="1"/>
  </r>
  <r>
    <x v="4"/>
    <x v="5"/>
    <x v="90"/>
    <x v="1"/>
  </r>
  <r>
    <x v="4"/>
    <x v="3"/>
    <x v="59"/>
    <x v="1"/>
  </r>
  <r>
    <x v="4"/>
    <x v="2"/>
    <x v="58"/>
    <x v="1"/>
  </r>
  <r>
    <x v="4"/>
    <x v="11"/>
    <x v="0"/>
    <x v="1"/>
  </r>
  <r>
    <x v="5"/>
    <x v="7"/>
    <x v="278"/>
    <x v="1"/>
  </r>
  <r>
    <x v="5"/>
    <x v="3"/>
    <x v="189"/>
    <x v="1"/>
  </r>
  <r>
    <x v="5"/>
    <x v="10"/>
    <x v="108"/>
    <x v="1"/>
  </r>
  <r>
    <x v="5"/>
    <x v="4"/>
    <x v="93"/>
    <x v="1"/>
  </r>
  <r>
    <x v="5"/>
    <x v="5"/>
    <x v="83"/>
    <x v="1"/>
  </r>
  <r>
    <x v="5"/>
    <x v="11"/>
    <x v="0"/>
    <x v="1"/>
  </r>
  <r>
    <x v="6"/>
    <x v="7"/>
    <x v="307"/>
    <x v="1"/>
  </r>
  <r>
    <x v="6"/>
    <x v="2"/>
    <x v="136"/>
    <x v="1"/>
  </r>
  <r>
    <x v="6"/>
    <x v="9"/>
    <x v="91"/>
    <x v="1"/>
  </r>
  <r>
    <x v="6"/>
    <x v="10"/>
    <x v="75"/>
    <x v="1"/>
  </r>
  <r>
    <x v="6"/>
    <x v="4"/>
    <x v="62"/>
    <x v="1"/>
  </r>
  <r>
    <x v="6"/>
    <x v="11"/>
    <x v="0"/>
    <x v="1"/>
  </r>
  <r>
    <x v="7"/>
    <x v="7"/>
    <x v="284"/>
    <x v="1"/>
  </r>
  <r>
    <x v="7"/>
    <x v="6"/>
    <x v="187"/>
    <x v="1"/>
  </r>
  <r>
    <x v="7"/>
    <x v="2"/>
    <x v="128"/>
    <x v="1"/>
  </r>
  <r>
    <x v="7"/>
    <x v="3"/>
    <x v="79"/>
    <x v="1"/>
  </r>
  <r>
    <x v="7"/>
    <x v="4"/>
    <x v="66"/>
    <x v="1"/>
  </r>
  <r>
    <x v="7"/>
    <x v="11"/>
    <x v="0"/>
    <x v="1"/>
  </r>
  <r>
    <x v="8"/>
    <x v="3"/>
    <x v="236"/>
    <x v="1"/>
  </r>
  <r>
    <x v="8"/>
    <x v="7"/>
    <x v="179"/>
    <x v="1"/>
  </r>
  <r>
    <x v="8"/>
    <x v="2"/>
    <x v="143"/>
    <x v="1"/>
  </r>
  <r>
    <x v="8"/>
    <x v="4"/>
    <x v="142"/>
    <x v="1"/>
  </r>
  <r>
    <x v="8"/>
    <x v="0"/>
    <x v="125"/>
    <x v="1"/>
  </r>
  <r>
    <x v="8"/>
    <x v="11"/>
    <x v="0"/>
    <x v="1"/>
  </r>
  <r>
    <x v="9"/>
    <x v="3"/>
    <x v="206"/>
    <x v="1"/>
  </r>
  <r>
    <x v="9"/>
    <x v="7"/>
    <x v="195"/>
    <x v="1"/>
  </r>
  <r>
    <x v="9"/>
    <x v="4"/>
    <x v="178"/>
    <x v="1"/>
  </r>
  <r>
    <x v="9"/>
    <x v="5"/>
    <x v="140"/>
    <x v="1"/>
  </r>
  <r>
    <x v="9"/>
    <x v="6"/>
    <x v="110"/>
    <x v="1"/>
  </r>
  <r>
    <x v="9"/>
    <x v="11"/>
    <x v="0"/>
    <x v="1"/>
  </r>
  <r>
    <x v="10"/>
    <x v="7"/>
    <x v="270"/>
    <x v="1"/>
  </r>
  <r>
    <x v="10"/>
    <x v="5"/>
    <x v="158"/>
    <x v="1"/>
  </r>
  <r>
    <x v="10"/>
    <x v="2"/>
    <x v="143"/>
    <x v="1"/>
  </r>
  <r>
    <x v="10"/>
    <x v="4"/>
    <x v="110"/>
    <x v="1"/>
  </r>
  <r>
    <x v="10"/>
    <x v="3"/>
    <x v="87"/>
    <x v="1"/>
  </r>
  <r>
    <x v="10"/>
    <x v="11"/>
    <x v="0"/>
    <x v="1"/>
  </r>
  <r>
    <x v="11"/>
    <x v="7"/>
    <x v="308"/>
    <x v="1"/>
  </r>
  <r>
    <x v="11"/>
    <x v="5"/>
    <x v="175"/>
    <x v="1"/>
  </r>
  <r>
    <x v="11"/>
    <x v="2"/>
    <x v="137"/>
    <x v="1"/>
  </r>
  <r>
    <x v="11"/>
    <x v="4"/>
    <x v="102"/>
    <x v="1"/>
  </r>
  <r>
    <x v="11"/>
    <x v="6"/>
    <x v="5"/>
    <x v="1"/>
  </r>
  <r>
    <x v="11"/>
    <x v="11"/>
    <x v="0"/>
    <x v="1"/>
  </r>
  <r>
    <x v="12"/>
    <x v="7"/>
    <x v="298"/>
    <x v="1"/>
  </r>
  <r>
    <x v="12"/>
    <x v="5"/>
    <x v="160"/>
    <x v="1"/>
  </r>
  <r>
    <x v="12"/>
    <x v="4"/>
    <x v="135"/>
    <x v="1"/>
  </r>
  <r>
    <x v="12"/>
    <x v="2"/>
    <x v="100"/>
    <x v="1"/>
  </r>
  <r>
    <x v="12"/>
    <x v="6"/>
    <x v="25"/>
    <x v="1"/>
  </r>
  <r>
    <x v="12"/>
    <x v="11"/>
    <x v="0"/>
    <x v="1"/>
  </r>
  <r>
    <x v="13"/>
    <x v="2"/>
    <x v="331"/>
    <x v="1"/>
  </r>
  <r>
    <x v="13"/>
    <x v="7"/>
    <x v="330"/>
    <x v="1"/>
  </r>
  <r>
    <x v="13"/>
    <x v="10"/>
    <x v="326"/>
    <x v="1"/>
  </r>
  <r>
    <x v="13"/>
    <x v="11"/>
    <x v="0"/>
    <x v="1"/>
  </r>
  <r>
    <x v="14"/>
    <x v="2"/>
    <x v="289"/>
    <x v="1"/>
  </r>
  <r>
    <x v="14"/>
    <x v="7"/>
    <x v="238"/>
    <x v="1"/>
  </r>
  <r>
    <x v="14"/>
    <x v="4"/>
    <x v="106"/>
    <x v="1"/>
  </r>
  <r>
    <x v="14"/>
    <x v="10"/>
    <x v="36"/>
    <x v="1"/>
  </r>
  <r>
    <x v="14"/>
    <x v="5"/>
    <x v="30"/>
    <x v="1"/>
  </r>
  <r>
    <x v="14"/>
    <x v="11"/>
    <x v="0"/>
    <x v="1"/>
  </r>
  <r>
    <x v="15"/>
    <x v="7"/>
    <x v="222"/>
    <x v="1"/>
  </r>
  <r>
    <x v="15"/>
    <x v="2"/>
    <x v="196"/>
    <x v="1"/>
  </r>
  <r>
    <x v="15"/>
    <x v="4"/>
    <x v="171"/>
    <x v="1"/>
  </r>
  <r>
    <x v="15"/>
    <x v="10"/>
    <x v="151"/>
    <x v="1"/>
  </r>
  <r>
    <x v="15"/>
    <x v="5"/>
    <x v="82"/>
    <x v="1"/>
  </r>
  <r>
    <x v="15"/>
    <x v="11"/>
    <x v="0"/>
    <x v="1"/>
  </r>
  <r>
    <x v="16"/>
    <x v="7"/>
    <x v="333"/>
    <x v="1"/>
  </r>
  <r>
    <x v="16"/>
    <x v="5"/>
    <x v="328"/>
    <x v="1"/>
  </r>
  <r>
    <x v="16"/>
    <x v="0"/>
    <x v="325"/>
    <x v="1"/>
  </r>
  <r>
    <x v="16"/>
    <x v="11"/>
    <x v="0"/>
    <x v="1"/>
  </r>
  <r>
    <x v="17"/>
    <x v="7"/>
    <x v="279"/>
    <x v="1"/>
  </r>
  <r>
    <x v="17"/>
    <x v="5"/>
    <x v="181"/>
    <x v="1"/>
  </r>
  <r>
    <x v="17"/>
    <x v="4"/>
    <x v="149"/>
    <x v="1"/>
  </r>
  <r>
    <x v="17"/>
    <x v="2"/>
    <x v="80"/>
    <x v="1"/>
  </r>
  <r>
    <x v="17"/>
    <x v="0"/>
    <x v="68"/>
    <x v="1"/>
  </r>
  <r>
    <x v="17"/>
    <x v="11"/>
    <x v="0"/>
    <x v="1"/>
  </r>
  <r>
    <x v="18"/>
    <x v="7"/>
    <x v="225"/>
    <x v="1"/>
  </r>
  <r>
    <x v="18"/>
    <x v="10"/>
    <x v="218"/>
    <x v="1"/>
  </r>
  <r>
    <x v="18"/>
    <x v="6"/>
    <x v="203"/>
    <x v="1"/>
  </r>
  <r>
    <x v="18"/>
    <x v="5"/>
    <x v="114"/>
    <x v="1"/>
  </r>
  <r>
    <x v="18"/>
    <x v="1"/>
    <x v="28"/>
    <x v="1"/>
  </r>
  <r>
    <x v="18"/>
    <x v="11"/>
    <x v="0"/>
    <x v="1"/>
  </r>
  <r>
    <x v="19"/>
    <x v="9"/>
    <x v="244"/>
    <x v="1"/>
  </r>
  <r>
    <x v="19"/>
    <x v="5"/>
    <x v="217"/>
    <x v="1"/>
  </r>
  <r>
    <x v="19"/>
    <x v="7"/>
    <x v="214"/>
    <x v="1"/>
  </r>
  <r>
    <x v="19"/>
    <x v="2"/>
    <x v="50"/>
    <x v="1"/>
  </r>
  <r>
    <x v="19"/>
    <x v="4"/>
    <x v="46"/>
    <x v="1"/>
  </r>
  <r>
    <x v="19"/>
    <x v="11"/>
    <x v="0"/>
    <x v="1"/>
  </r>
  <r>
    <x v="20"/>
    <x v="7"/>
    <x v="239"/>
    <x v="1"/>
  </r>
  <r>
    <x v="20"/>
    <x v="9"/>
    <x v="199"/>
    <x v="1"/>
  </r>
  <r>
    <x v="20"/>
    <x v="4"/>
    <x v="162"/>
    <x v="1"/>
  </r>
  <r>
    <x v="20"/>
    <x v="2"/>
    <x v="126"/>
    <x v="1"/>
  </r>
  <r>
    <x v="20"/>
    <x v="5"/>
    <x v="84"/>
    <x v="1"/>
  </r>
  <r>
    <x v="20"/>
    <x v="11"/>
    <x v="0"/>
    <x v="1"/>
  </r>
  <r>
    <x v="21"/>
    <x v="7"/>
    <x v="227"/>
    <x v="1"/>
  </r>
  <r>
    <x v="21"/>
    <x v="5"/>
    <x v="194"/>
    <x v="1"/>
  </r>
  <r>
    <x v="21"/>
    <x v="4"/>
    <x v="169"/>
    <x v="1"/>
  </r>
  <r>
    <x v="21"/>
    <x v="2"/>
    <x v="158"/>
    <x v="1"/>
  </r>
  <r>
    <x v="21"/>
    <x v="3"/>
    <x v="74"/>
    <x v="1"/>
  </r>
  <r>
    <x v="21"/>
    <x v="11"/>
    <x v="0"/>
    <x v="1"/>
  </r>
  <r>
    <x v="22"/>
    <x v="2"/>
    <x v="251"/>
    <x v="1"/>
  </r>
  <r>
    <x v="22"/>
    <x v="7"/>
    <x v="217"/>
    <x v="1"/>
  </r>
  <r>
    <x v="22"/>
    <x v="5"/>
    <x v="132"/>
    <x v="1"/>
  </r>
  <r>
    <x v="22"/>
    <x v="4"/>
    <x v="130"/>
    <x v="1"/>
  </r>
  <r>
    <x v="22"/>
    <x v="9"/>
    <x v="61"/>
    <x v="1"/>
  </r>
  <r>
    <x v="22"/>
    <x v="11"/>
    <x v="0"/>
    <x v="1"/>
  </r>
  <r>
    <x v="23"/>
    <x v="7"/>
    <x v="321"/>
    <x v="1"/>
  </r>
  <r>
    <x v="23"/>
    <x v="5"/>
    <x v="313"/>
    <x v="1"/>
  </r>
  <r>
    <x v="23"/>
    <x v="9"/>
    <x v="309"/>
    <x v="1"/>
  </r>
  <r>
    <x v="23"/>
    <x v="3"/>
    <x v="296"/>
    <x v="1"/>
  </r>
  <r>
    <x v="23"/>
    <x v="11"/>
    <x v="0"/>
    <x v="1"/>
  </r>
  <r>
    <x v="24"/>
    <x v="7"/>
    <x v="291"/>
    <x v="1"/>
  </r>
  <r>
    <x v="24"/>
    <x v="5"/>
    <x v="202"/>
    <x v="1"/>
  </r>
  <r>
    <x v="24"/>
    <x v="3"/>
    <x v="8"/>
    <x v="1"/>
  </r>
  <r>
    <x v="24"/>
    <x v="2"/>
    <x v="7"/>
    <x v="1"/>
  </r>
  <r>
    <x v="24"/>
    <x v="9"/>
    <x v="4"/>
    <x v="1"/>
  </r>
  <r>
    <x v="24"/>
    <x v="11"/>
    <x v="1"/>
    <x v="1"/>
  </r>
  <r>
    <x v="0"/>
    <x v="7"/>
    <x v="257"/>
    <x v="2"/>
  </r>
  <r>
    <x v="0"/>
    <x v="3"/>
    <x v="234"/>
    <x v="2"/>
  </r>
  <r>
    <x v="0"/>
    <x v="4"/>
    <x v="146"/>
    <x v="2"/>
  </r>
  <r>
    <x v="0"/>
    <x v="5"/>
    <x v="110"/>
    <x v="2"/>
  </r>
  <r>
    <x v="0"/>
    <x v="0"/>
    <x v="23"/>
    <x v="2"/>
  </r>
  <r>
    <x v="0"/>
    <x v="11"/>
    <x v="0"/>
    <x v="2"/>
  </r>
  <r>
    <x v="1"/>
    <x v="7"/>
    <x v="284"/>
    <x v="2"/>
  </r>
  <r>
    <x v="1"/>
    <x v="3"/>
    <x v="187"/>
    <x v="2"/>
  </r>
  <r>
    <x v="1"/>
    <x v="0"/>
    <x v="155"/>
    <x v="2"/>
  </r>
  <r>
    <x v="1"/>
    <x v="4"/>
    <x v="77"/>
    <x v="2"/>
  </r>
  <r>
    <x v="1"/>
    <x v="5"/>
    <x v="43"/>
    <x v="2"/>
  </r>
  <r>
    <x v="1"/>
    <x v="11"/>
    <x v="0"/>
    <x v="2"/>
  </r>
  <r>
    <x v="2"/>
    <x v="7"/>
    <x v="233"/>
    <x v="2"/>
  </r>
  <r>
    <x v="2"/>
    <x v="9"/>
    <x v="200"/>
    <x v="2"/>
  </r>
  <r>
    <x v="2"/>
    <x v="0"/>
    <x v="154"/>
    <x v="2"/>
  </r>
  <r>
    <x v="2"/>
    <x v="4"/>
    <x v="130"/>
    <x v="2"/>
  </r>
  <r>
    <x v="2"/>
    <x v="3"/>
    <x v="97"/>
    <x v="2"/>
  </r>
  <r>
    <x v="2"/>
    <x v="11"/>
    <x v="0"/>
    <x v="2"/>
  </r>
  <r>
    <x v="3"/>
    <x v="3"/>
    <x v="280"/>
    <x v="2"/>
  </r>
  <r>
    <x v="3"/>
    <x v="7"/>
    <x v="209"/>
    <x v="2"/>
  </r>
  <r>
    <x v="3"/>
    <x v="4"/>
    <x v="129"/>
    <x v="2"/>
  </r>
  <r>
    <x v="3"/>
    <x v="5"/>
    <x v="56"/>
    <x v="2"/>
  </r>
  <r>
    <x v="3"/>
    <x v="0"/>
    <x v="54"/>
    <x v="2"/>
  </r>
  <r>
    <x v="3"/>
    <x v="11"/>
    <x v="0"/>
    <x v="2"/>
  </r>
  <r>
    <x v="4"/>
    <x v="7"/>
    <x v="324"/>
    <x v="2"/>
  </r>
  <r>
    <x v="4"/>
    <x v="5"/>
    <x v="96"/>
    <x v="2"/>
  </r>
  <r>
    <x v="4"/>
    <x v="3"/>
    <x v="61"/>
    <x v="2"/>
  </r>
  <r>
    <x v="4"/>
    <x v="4"/>
    <x v="46"/>
    <x v="2"/>
  </r>
  <r>
    <x v="4"/>
    <x v="6"/>
    <x v="9"/>
    <x v="2"/>
  </r>
  <r>
    <x v="4"/>
    <x v="11"/>
    <x v="0"/>
    <x v="2"/>
  </r>
  <r>
    <x v="5"/>
    <x v="7"/>
    <x v="273"/>
    <x v="2"/>
  </r>
  <r>
    <x v="5"/>
    <x v="6"/>
    <x v="137"/>
    <x v="2"/>
  </r>
  <r>
    <x v="5"/>
    <x v="0"/>
    <x v="133"/>
    <x v="2"/>
  </r>
  <r>
    <x v="5"/>
    <x v="3"/>
    <x v="116"/>
    <x v="2"/>
  </r>
  <r>
    <x v="5"/>
    <x v="10"/>
    <x v="111"/>
    <x v="2"/>
  </r>
  <r>
    <x v="5"/>
    <x v="11"/>
    <x v="0"/>
    <x v="2"/>
  </r>
  <r>
    <x v="6"/>
    <x v="7"/>
    <x v="286"/>
    <x v="2"/>
  </r>
  <r>
    <x v="6"/>
    <x v="5"/>
    <x v="158"/>
    <x v="2"/>
  </r>
  <r>
    <x v="6"/>
    <x v="9"/>
    <x v="152"/>
    <x v="2"/>
  </r>
  <r>
    <x v="6"/>
    <x v="10"/>
    <x v="93"/>
    <x v="2"/>
  </r>
  <r>
    <x v="6"/>
    <x v="0"/>
    <x v="53"/>
    <x v="2"/>
  </r>
  <r>
    <x v="6"/>
    <x v="11"/>
    <x v="0"/>
    <x v="2"/>
  </r>
  <r>
    <x v="7"/>
    <x v="7"/>
    <x v="242"/>
    <x v="2"/>
  </r>
  <r>
    <x v="7"/>
    <x v="6"/>
    <x v="208"/>
    <x v="2"/>
  </r>
  <r>
    <x v="7"/>
    <x v="3"/>
    <x v="166"/>
    <x v="2"/>
  </r>
  <r>
    <x v="7"/>
    <x v="9"/>
    <x v="93"/>
    <x v="2"/>
  </r>
  <r>
    <x v="7"/>
    <x v="4"/>
    <x v="90"/>
    <x v="2"/>
  </r>
  <r>
    <x v="7"/>
    <x v="11"/>
    <x v="0"/>
    <x v="2"/>
  </r>
  <r>
    <x v="8"/>
    <x v="3"/>
    <x v="230"/>
    <x v="2"/>
  </r>
  <r>
    <x v="8"/>
    <x v="9"/>
    <x v="179"/>
    <x v="2"/>
  </r>
  <r>
    <x v="8"/>
    <x v="0"/>
    <x v="170"/>
    <x v="2"/>
  </r>
  <r>
    <x v="8"/>
    <x v="7"/>
    <x v="160"/>
    <x v="2"/>
  </r>
  <r>
    <x v="8"/>
    <x v="2"/>
    <x v="87"/>
    <x v="2"/>
  </r>
  <r>
    <x v="8"/>
    <x v="11"/>
    <x v="0"/>
    <x v="2"/>
  </r>
  <r>
    <x v="9"/>
    <x v="7"/>
    <x v="209"/>
    <x v="2"/>
  </r>
  <r>
    <x v="9"/>
    <x v="3"/>
    <x v="192"/>
    <x v="2"/>
  </r>
  <r>
    <x v="9"/>
    <x v="4"/>
    <x v="161"/>
    <x v="2"/>
  </r>
  <r>
    <x v="9"/>
    <x v="5"/>
    <x v="138"/>
    <x v="2"/>
  </r>
  <r>
    <x v="9"/>
    <x v="0"/>
    <x v="137"/>
    <x v="2"/>
  </r>
  <r>
    <x v="9"/>
    <x v="11"/>
    <x v="0"/>
    <x v="2"/>
  </r>
  <r>
    <x v="10"/>
    <x v="7"/>
    <x v="263"/>
    <x v="2"/>
  </r>
  <r>
    <x v="10"/>
    <x v="2"/>
    <x v="172"/>
    <x v="2"/>
  </r>
  <r>
    <x v="10"/>
    <x v="6"/>
    <x v="134"/>
    <x v="2"/>
  </r>
  <r>
    <x v="10"/>
    <x v="3"/>
    <x v="120"/>
    <x v="2"/>
  </r>
  <r>
    <x v="10"/>
    <x v="5"/>
    <x v="89"/>
    <x v="2"/>
  </r>
  <r>
    <x v="10"/>
    <x v="11"/>
    <x v="0"/>
    <x v="2"/>
  </r>
  <r>
    <x v="11"/>
    <x v="7"/>
    <x v="311"/>
    <x v="2"/>
  </r>
  <r>
    <x v="11"/>
    <x v="5"/>
    <x v="137"/>
    <x v="2"/>
  </r>
  <r>
    <x v="11"/>
    <x v="4"/>
    <x v="102"/>
    <x v="2"/>
  </r>
  <r>
    <x v="11"/>
    <x v="6"/>
    <x v="64"/>
    <x v="2"/>
  </r>
  <r>
    <x v="11"/>
    <x v="2"/>
    <x v="44"/>
    <x v="2"/>
  </r>
  <r>
    <x v="11"/>
    <x v="11"/>
    <x v="0"/>
    <x v="2"/>
  </r>
  <r>
    <x v="12"/>
    <x v="7"/>
    <x v="281"/>
    <x v="2"/>
  </r>
  <r>
    <x v="12"/>
    <x v="5"/>
    <x v="178"/>
    <x v="2"/>
  </r>
  <r>
    <x v="12"/>
    <x v="6"/>
    <x v="120"/>
    <x v="2"/>
  </r>
  <r>
    <x v="12"/>
    <x v="2"/>
    <x v="115"/>
    <x v="2"/>
  </r>
  <r>
    <x v="12"/>
    <x v="4"/>
    <x v="53"/>
    <x v="2"/>
  </r>
  <r>
    <x v="12"/>
    <x v="11"/>
    <x v="0"/>
    <x v="2"/>
  </r>
  <r>
    <x v="13"/>
    <x v="7"/>
    <x v="260"/>
    <x v="2"/>
  </r>
  <r>
    <x v="13"/>
    <x v="2"/>
    <x v="255"/>
    <x v="2"/>
  </r>
  <r>
    <x v="13"/>
    <x v="4"/>
    <x v="86"/>
    <x v="2"/>
  </r>
  <r>
    <x v="13"/>
    <x v="10"/>
    <x v="73"/>
    <x v="2"/>
  </r>
  <r>
    <x v="13"/>
    <x v="9"/>
    <x v="49"/>
    <x v="2"/>
  </r>
  <r>
    <x v="13"/>
    <x v="11"/>
    <x v="0"/>
    <x v="2"/>
  </r>
  <r>
    <x v="14"/>
    <x v="2"/>
    <x v="285"/>
    <x v="2"/>
  </r>
  <r>
    <x v="14"/>
    <x v="7"/>
    <x v="250"/>
    <x v="2"/>
  </r>
  <r>
    <x v="14"/>
    <x v="4"/>
    <x v="122"/>
    <x v="2"/>
  </r>
  <r>
    <x v="14"/>
    <x v="5"/>
    <x v="55"/>
    <x v="2"/>
  </r>
  <r>
    <x v="14"/>
    <x v="9"/>
    <x v="11"/>
    <x v="2"/>
  </r>
  <r>
    <x v="14"/>
    <x v="11"/>
    <x v="0"/>
    <x v="2"/>
  </r>
  <r>
    <x v="15"/>
    <x v="7"/>
    <x v="246"/>
    <x v="2"/>
  </r>
  <r>
    <x v="15"/>
    <x v="4"/>
    <x v="223"/>
    <x v="2"/>
  </r>
  <r>
    <x v="15"/>
    <x v="2"/>
    <x v="129"/>
    <x v="2"/>
  </r>
  <r>
    <x v="15"/>
    <x v="5"/>
    <x v="126"/>
    <x v="2"/>
  </r>
  <r>
    <x v="15"/>
    <x v="0"/>
    <x v="66"/>
    <x v="2"/>
  </r>
  <r>
    <x v="15"/>
    <x v="11"/>
    <x v="0"/>
    <x v="2"/>
  </r>
  <r>
    <x v="16"/>
    <x v="7"/>
    <x v="271"/>
    <x v="2"/>
  </r>
  <r>
    <x v="16"/>
    <x v="5"/>
    <x v="219"/>
    <x v="2"/>
  </r>
  <r>
    <x v="16"/>
    <x v="6"/>
    <x v="92"/>
    <x v="2"/>
  </r>
  <r>
    <x v="16"/>
    <x v="0"/>
    <x v="81"/>
    <x v="2"/>
  </r>
  <r>
    <x v="16"/>
    <x v="4"/>
    <x v="72"/>
    <x v="2"/>
  </r>
  <r>
    <x v="16"/>
    <x v="11"/>
    <x v="0"/>
    <x v="2"/>
  </r>
  <r>
    <x v="17"/>
    <x v="7"/>
    <x v="269"/>
    <x v="2"/>
  </r>
  <r>
    <x v="17"/>
    <x v="0"/>
    <x v="170"/>
    <x v="2"/>
  </r>
  <r>
    <x v="17"/>
    <x v="5"/>
    <x v="169"/>
    <x v="2"/>
  </r>
  <r>
    <x v="17"/>
    <x v="10"/>
    <x v="88"/>
    <x v="2"/>
  </r>
  <r>
    <x v="17"/>
    <x v="4"/>
    <x v="71"/>
    <x v="2"/>
  </r>
  <r>
    <x v="17"/>
    <x v="11"/>
    <x v="0"/>
    <x v="2"/>
  </r>
  <r>
    <x v="18"/>
    <x v="10"/>
    <x v="215"/>
    <x v="2"/>
  </r>
  <r>
    <x v="18"/>
    <x v="7"/>
    <x v="205"/>
    <x v="2"/>
  </r>
  <r>
    <x v="18"/>
    <x v="5"/>
    <x v="183"/>
    <x v="2"/>
  </r>
  <r>
    <x v="18"/>
    <x v="6"/>
    <x v="137"/>
    <x v="2"/>
  </r>
  <r>
    <x v="18"/>
    <x v="9"/>
    <x v="73"/>
    <x v="2"/>
  </r>
  <r>
    <x v="18"/>
    <x v="11"/>
    <x v="0"/>
    <x v="2"/>
  </r>
  <r>
    <x v="19"/>
    <x v="7"/>
    <x v="232"/>
    <x v="2"/>
  </r>
  <r>
    <x v="19"/>
    <x v="5"/>
    <x v="218"/>
    <x v="2"/>
  </r>
  <r>
    <x v="19"/>
    <x v="4"/>
    <x v="131"/>
    <x v="2"/>
  </r>
  <r>
    <x v="19"/>
    <x v="9"/>
    <x v="110"/>
    <x v="2"/>
  </r>
  <r>
    <x v="19"/>
    <x v="2"/>
    <x v="109"/>
    <x v="2"/>
  </r>
  <r>
    <x v="19"/>
    <x v="11"/>
    <x v="0"/>
    <x v="2"/>
  </r>
  <r>
    <x v="20"/>
    <x v="7"/>
    <x v="332"/>
    <x v="2"/>
  </r>
  <r>
    <x v="20"/>
    <x v="4"/>
    <x v="329"/>
    <x v="2"/>
  </r>
  <r>
    <x v="20"/>
    <x v="9"/>
    <x v="327"/>
    <x v="2"/>
  </r>
  <r>
    <x v="20"/>
    <x v="11"/>
    <x v="0"/>
    <x v="2"/>
  </r>
  <r>
    <x v="21"/>
    <x v="2"/>
    <x v="245"/>
    <x v="2"/>
  </r>
  <r>
    <x v="21"/>
    <x v="7"/>
    <x v="210"/>
    <x v="2"/>
  </r>
  <r>
    <x v="21"/>
    <x v="4"/>
    <x v="165"/>
    <x v="2"/>
  </r>
  <r>
    <x v="21"/>
    <x v="5"/>
    <x v="146"/>
    <x v="2"/>
  </r>
  <r>
    <x v="21"/>
    <x v="9"/>
    <x v="39"/>
    <x v="2"/>
  </r>
  <r>
    <x v="21"/>
    <x v="11"/>
    <x v="0"/>
    <x v="2"/>
  </r>
  <r>
    <x v="22"/>
    <x v="2"/>
    <x v="211"/>
    <x v="2"/>
  </r>
  <r>
    <x v="22"/>
    <x v="0"/>
    <x v="188"/>
    <x v="2"/>
  </r>
  <r>
    <x v="22"/>
    <x v="7"/>
    <x v="186"/>
    <x v="2"/>
  </r>
  <r>
    <x v="22"/>
    <x v="5"/>
    <x v="141"/>
    <x v="2"/>
  </r>
  <r>
    <x v="22"/>
    <x v="6"/>
    <x v="103"/>
    <x v="2"/>
  </r>
  <r>
    <x v="22"/>
    <x v="11"/>
    <x v="0"/>
    <x v="2"/>
  </r>
  <r>
    <x v="23"/>
    <x v="7"/>
    <x v="323"/>
    <x v="2"/>
  </r>
  <r>
    <x v="23"/>
    <x v="0"/>
    <x v="314"/>
    <x v="2"/>
  </r>
  <r>
    <x v="23"/>
    <x v="2"/>
    <x v="300"/>
    <x v="2"/>
  </r>
  <r>
    <x v="23"/>
    <x v="9"/>
    <x v="299"/>
    <x v="2"/>
  </r>
  <r>
    <x v="23"/>
    <x v="11"/>
    <x v="0"/>
    <x v="2"/>
  </r>
  <r>
    <x v="24"/>
    <x v="7"/>
    <x v="317"/>
    <x v="2"/>
  </r>
  <r>
    <x v="24"/>
    <x v="5"/>
    <x v="179"/>
    <x v="2"/>
  </r>
  <r>
    <x v="24"/>
    <x v="2"/>
    <x v="72"/>
    <x v="2"/>
  </r>
  <r>
    <x v="24"/>
    <x v="0"/>
    <x v="32"/>
    <x v="2"/>
  </r>
  <r>
    <x v="24"/>
    <x v="4"/>
    <x v="27"/>
    <x v="2"/>
  </r>
  <r>
    <x v="24"/>
    <x v="11"/>
    <x v="0"/>
    <x v="2"/>
  </r>
  <r>
    <x v="0"/>
    <x v="7"/>
    <x v="292"/>
    <x v="3"/>
  </r>
  <r>
    <x v="0"/>
    <x v="5"/>
    <x v="227"/>
    <x v="3"/>
  </r>
  <r>
    <x v="0"/>
    <x v="4"/>
    <x v="161"/>
    <x v="3"/>
  </r>
  <r>
    <x v="0"/>
    <x v="3"/>
    <x v="38"/>
    <x v="3"/>
  </r>
  <r>
    <x v="0"/>
    <x v="6"/>
    <x v="10"/>
    <x v="3"/>
  </r>
  <r>
    <x v="0"/>
    <x v="11"/>
    <x v="0"/>
    <x v="3"/>
  </r>
  <r>
    <x v="1"/>
    <x v="7"/>
    <x v="301"/>
    <x v="3"/>
  </r>
  <r>
    <x v="1"/>
    <x v="5"/>
    <x v="152"/>
    <x v="3"/>
  </r>
  <r>
    <x v="1"/>
    <x v="4"/>
    <x v="148"/>
    <x v="3"/>
  </r>
  <r>
    <x v="1"/>
    <x v="0"/>
    <x v="56"/>
    <x v="3"/>
  </r>
  <r>
    <x v="1"/>
    <x v="6"/>
    <x v="53"/>
    <x v="3"/>
  </r>
  <r>
    <x v="1"/>
    <x v="11"/>
    <x v="0"/>
    <x v="3"/>
  </r>
  <r>
    <x v="2"/>
    <x v="7"/>
    <x v="264"/>
    <x v="3"/>
  </r>
  <r>
    <x v="2"/>
    <x v="9"/>
    <x v="245"/>
    <x v="3"/>
  </r>
  <r>
    <x v="2"/>
    <x v="4"/>
    <x v="124"/>
    <x v="3"/>
  </r>
  <r>
    <x v="2"/>
    <x v="0"/>
    <x v="96"/>
    <x v="3"/>
  </r>
  <r>
    <x v="2"/>
    <x v="5"/>
    <x v="14"/>
    <x v="3"/>
  </r>
  <r>
    <x v="2"/>
    <x v="11"/>
    <x v="0"/>
    <x v="3"/>
  </r>
  <r>
    <x v="3"/>
    <x v="7"/>
    <x v="247"/>
    <x v="3"/>
  </r>
  <r>
    <x v="3"/>
    <x v="5"/>
    <x v="167"/>
    <x v="3"/>
  </r>
  <r>
    <x v="3"/>
    <x v="4"/>
    <x v="155"/>
    <x v="3"/>
  </r>
  <r>
    <x v="3"/>
    <x v="3"/>
    <x v="134"/>
    <x v="3"/>
  </r>
  <r>
    <x v="3"/>
    <x v="0"/>
    <x v="117"/>
    <x v="3"/>
  </r>
  <r>
    <x v="3"/>
    <x v="11"/>
    <x v="0"/>
    <x v="3"/>
  </r>
  <r>
    <x v="4"/>
    <x v="7"/>
    <x v="310"/>
    <x v="3"/>
  </r>
  <r>
    <x v="4"/>
    <x v="5"/>
    <x v="157"/>
    <x v="3"/>
  </r>
  <r>
    <x v="4"/>
    <x v="4"/>
    <x v="99"/>
    <x v="3"/>
  </r>
  <r>
    <x v="4"/>
    <x v="2"/>
    <x v="51"/>
    <x v="3"/>
  </r>
  <r>
    <x v="4"/>
    <x v="8"/>
    <x v="42"/>
    <x v="3"/>
  </r>
  <r>
    <x v="4"/>
    <x v="11"/>
    <x v="0"/>
    <x v="3"/>
  </r>
  <r>
    <x v="5"/>
    <x v="7"/>
    <x v="302"/>
    <x v="3"/>
  </r>
  <r>
    <x v="5"/>
    <x v="5"/>
    <x v="182"/>
    <x v="3"/>
  </r>
  <r>
    <x v="5"/>
    <x v="0"/>
    <x v="115"/>
    <x v="3"/>
  </r>
  <r>
    <x v="5"/>
    <x v="8"/>
    <x v="75"/>
    <x v="3"/>
  </r>
  <r>
    <x v="5"/>
    <x v="9"/>
    <x v="23"/>
    <x v="3"/>
  </r>
  <r>
    <x v="5"/>
    <x v="11"/>
    <x v="0"/>
    <x v="3"/>
  </r>
  <r>
    <x v="6"/>
    <x v="7"/>
    <x v="288"/>
    <x v="3"/>
  </r>
  <r>
    <x v="6"/>
    <x v="0"/>
    <x v="139"/>
    <x v="3"/>
  </r>
  <r>
    <x v="6"/>
    <x v="5"/>
    <x v="139"/>
    <x v="3"/>
  </r>
  <r>
    <x v="6"/>
    <x v="4"/>
    <x v="112"/>
    <x v="3"/>
  </r>
  <r>
    <x v="6"/>
    <x v="9"/>
    <x v="66"/>
    <x v="3"/>
  </r>
  <r>
    <x v="6"/>
    <x v="11"/>
    <x v="0"/>
    <x v="3"/>
  </r>
  <r>
    <x v="7"/>
    <x v="7"/>
    <x v="254"/>
    <x v="3"/>
  </r>
  <r>
    <x v="7"/>
    <x v="5"/>
    <x v="178"/>
    <x v="3"/>
  </r>
  <r>
    <x v="7"/>
    <x v="4"/>
    <x v="152"/>
    <x v="3"/>
  </r>
  <r>
    <x v="7"/>
    <x v="6"/>
    <x v="115"/>
    <x v="3"/>
  </r>
  <r>
    <x v="7"/>
    <x v="2"/>
    <x v="103"/>
    <x v="3"/>
  </r>
  <r>
    <x v="7"/>
    <x v="11"/>
    <x v="0"/>
    <x v="3"/>
  </r>
  <r>
    <x v="8"/>
    <x v="7"/>
    <x v="220"/>
    <x v="3"/>
  </r>
  <r>
    <x v="8"/>
    <x v="5"/>
    <x v="173"/>
    <x v="3"/>
  </r>
  <r>
    <x v="8"/>
    <x v="9"/>
    <x v="163"/>
    <x v="3"/>
  </r>
  <r>
    <x v="8"/>
    <x v="3"/>
    <x v="149"/>
    <x v="3"/>
  </r>
  <r>
    <x v="8"/>
    <x v="10"/>
    <x v="135"/>
    <x v="3"/>
  </r>
  <r>
    <x v="8"/>
    <x v="11"/>
    <x v="0"/>
    <x v="3"/>
  </r>
  <r>
    <x v="9"/>
    <x v="7"/>
    <x v="252"/>
    <x v="3"/>
  </r>
  <r>
    <x v="9"/>
    <x v="5"/>
    <x v="191"/>
    <x v="3"/>
  </r>
  <r>
    <x v="9"/>
    <x v="0"/>
    <x v="130"/>
    <x v="3"/>
  </r>
  <r>
    <x v="9"/>
    <x v="3"/>
    <x v="121"/>
    <x v="3"/>
  </r>
  <r>
    <x v="9"/>
    <x v="4"/>
    <x v="106"/>
    <x v="3"/>
  </r>
  <r>
    <x v="9"/>
    <x v="11"/>
    <x v="0"/>
    <x v="3"/>
  </r>
  <r>
    <x v="10"/>
    <x v="7"/>
    <x v="265"/>
    <x v="3"/>
  </r>
  <r>
    <x v="10"/>
    <x v="5"/>
    <x v="176"/>
    <x v="3"/>
  </r>
  <r>
    <x v="10"/>
    <x v="9"/>
    <x v="123"/>
    <x v="3"/>
  </r>
  <r>
    <x v="10"/>
    <x v="3"/>
    <x v="122"/>
    <x v="3"/>
  </r>
  <r>
    <x v="10"/>
    <x v="4"/>
    <x v="85"/>
    <x v="3"/>
  </r>
  <r>
    <x v="10"/>
    <x v="11"/>
    <x v="0"/>
    <x v="3"/>
  </r>
  <r>
    <x v="11"/>
    <x v="7"/>
    <x v="303"/>
    <x v="3"/>
  </r>
  <r>
    <x v="11"/>
    <x v="5"/>
    <x v="232"/>
    <x v="3"/>
  </r>
  <r>
    <x v="11"/>
    <x v="10"/>
    <x v="68"/>
    <x v="3"/>
  </r>
  <r>
    <x v="11"/>
    <x v="2"/>
    <x v="34"/>
    <x v="3"/>
  </r>
  <r>
    <x v="11"/>
    <x v="4"/>
    <x v="29"/>
    <x v="3"/>
  </r>
  <r>
    <x v="11"/>
    <x v="11"/>
    <x v="0"/>
    <x v="3"/>
  </r>
  <r>
    <x v="12"/>
    <x v="7"/>
    <x v="295"/>
    <x v="3"/>
  </r>
  <r>
    <x v="12"/>
    <x v="5"/>
    <x v="203"/>
    <x v="3"/>
  </r>
  <r>
    <x v="12"/>
    <x v="9"/>
    <x v="127"/>
    <x v="3"/>
  </r>
  <r>
    <x v="12"/>
    <x v="2"/>
    <x v="60"/>
    <x v="3"/>
  </r>
  <r>
    <x v="12"/>
    <x v="10"/>
    <x v="22"/>
    <x v="3"/>
  </r>
  <r>
    <x v="12"/>
    <x v="11"/>
    <x v="0"/>
    <x v="3"/>
  </r>
  <r>
    <x v="13"/>
    <x v="7"/>
    <x v="266"/>
    <x v="3"/>
  </r>
  <r>
    <x v="13"/>
    <x v="10"/>
    <x v="194"/>
    <x v="3"/>
  </r>
  <r>
    <x v="13"/>
    <x v="9"/>
    <x v="164"/>
    <x v="3"/>
  </r>
  <r>
    <x v="13"/>
    <x v="2"/>
    <x v="134"/>
    <x v="3"/>
  </r>
  <r>
    <x v="13"/>
    <x v="4"/>
    <x v="16"/>
    <x v="3"/>
  </r>
  <r>
    <x v="13"/>
    <x v="11"/>
    <x v="0"/>
    <x v="3"/>
  </r>
  <r>
    <x v="14"/>
    <x v="7"/>
    <x v="258"/>
    <x v="3"/>
  </r>
  <r>
    <x v="14"/>
    <x v="2"/>
    <x v="203"/>
    <x v="3"/>
  </r>
  <r>
    <x v="14"/>
    <x v="9"/>
    <x v="108"/>
    <x v="3"/>
  </r>
  <r>
    <x v="14"/>
    <x v="4"/>
    <x v="106"/>
    <x v="3"/>
  </r>
  <r>
    <x v="14"/>
    <x v="10"/>
    <x v="95"/>
    <x v="3"/>
  </r>
  <r>
    <x v="14"/>
    <x v="11"/>
    <x v="0"/>
    <x v="3"/>
  </r>
  <r>
    <x v="15"/>
    <x v="7"/>
    <x v="240"/>
    <x v="3"/>
  </r>
  <r>
    <x v="15"/>
    <x v="4"/>
    <x v="238"/>
    <x v="3"/>
  </r>
  <r>
    <x v="15"/>
    <x v="10"/>
    <x v="149"/>
    <x v="3"/>
  </r>
  <r>
    <x v="15"/>
    <x v="2"/>
    <x v="113"/>
    <x v="3"/>
  </r>
  <r>
    <x v="15"/>
    <x v="5"/>
    <x v="44"/>
    <x v="3"/>
  </r>
  <r>
    <x v="15"/>
    <x v="11"/>
    <x v="0"/>
    <x v="3"/>
  </r>
  <r>
    <x v="16"/>
    <x v="7"/>
    <x v="293"/>
    <x v="3"/>
  </r>
  <r>
    <x v="16"/>
    <x v="5"/>
    <x v="171"/>
    <x v="3"/>
  </r>
  <r>
    <x v="16"/>
    <x v="10"/>
    <x v="120"/>
    <x v="3"/>
  </r>
  <r>
    <x v="16"/>
    <x v="4"/>
    <x v="70"/>
    <x v="3"/>
  </r>
  <r>
    <x v="16"/>
    <x v="9"/>
    <x v="70"/>
    <x v="3"/>
  </r>
  <r>
    <x v="16"/>
    <x v="11"/>
    <x v="0"/>
    <x v="3"/>
  </r>
  <r>
    <x v="17"/>
    <x v="7"/>
    <x v="274"/>
    <x v="3"/>
  </r>
  <r>
    <x v="17"/>
    <x v="4"/>
    <x v="193"/>
    <x v="3"/>
  </r>
  <r>
    <x v="17"/>
    <x v="0"/>
    <x v="112"/>
    <x v="3"/>
  </r>
  <r>
    <x v="17"/>
    <x v="5"/>
    <x v="106"/>
    <x v="3"/>
  </r>
  <r>
    <x v="17"/>
    <x v="10"/>
    <x v="70"/>
    <x v="3"/>
  </r>
  <r>
    <x v="17"/>
    <x v="11"/>
    <x v="0"/>
    <x v="3"/>
  </r>
  <r>
    <x v="18"/>
    <x v="7"/>
    <x v="221"/>
    <x v="3"/>
  </r>
  <r>
    <x v="18"/>
    <x v="0"/>
    <x v="180"/>
    <x v="3"/>
  </r>
  <r>
    <x v="18"/>
    <x v="10"/>
    <x v="174"/>
    <x v="3"/>
  </r>
  <r>
    <x v="18"/>
    <x v="2"/>
    <x v="147"/>
    <x v="3"/>
  </r>
  <r>
    <x v="18"/>
    <x v="4"/>
    <x v="108"/>
    <x v="3"/>
  </r>
  <r>
    <x v="18"/>
    <x v="11"/>
    <x v="0"/>
    <x v="3"/>
  </r>
  <r>
    <x v="19"/>
    <x v="7"/>
    <x v="229"/>
    <x v="3"/>
  </r>
  <r>
    <x v="19"/>
    <x v="2"/>
    <x v="224"/>
    <x v="3"/>
  </r>
  <r>
    <x v="19"/>
    <x v="5"/>
    <x v="125"/>
    <x v="3"/>
  </r>
  <r>
    <x v="19"/>
    <x v="0"/>
    <x v="121"/>
    <x v="3"/>
  </r>
  <r>
    <x v="19"/>
    <x v="4"/>
    <x v="101"/>
    <x v="3"/>
  </r>
  <r>
    <x v="19"/>
    <x v="11"/>
    <x v="0"/>
    <x v="3"/>
  </r>
  <r>
    <x v="20"/>
    <x v="7"/>
    <x v="284"/>
    <x v="3"/>
  </r>
  <r>
    <x v="20"/>
    <x v="9"/>
    <x v="243"/>
    <x v="3"/>
  </r>
  <r>
    <x v="20"/>
    <x v="4"/>
    <x v="138"/>
    <x v="3"/>
  </r>
  <r>
    <x v="20"/>
    <x v="10"/>
    <x v="40"/>
    <x v="3"/>
  </r>
  <r>
    <x v="20"/>
    <x v="5"/>
    <x v="18"/>
    <x v="3"/>
  </r>
  <r>
    <x v="20"/>
    <x v="11"/>
    <x v="0"/>
    <x v="3"/>
  </r>
  <r>
    <x v="21"/>
    <x v="7"/>
    <x v="290"/>
    <x v="3"/>
  </r>
  <r>
    <x v="21"/>
    <x v="4"/>
    <x v="201"/>
    <x v="3"/>
  </r>
  <r>
    <x v="21"/>
    <x v="5"/>
    <x v="130"/>
    <x v="3"/>
  </r>
  <r>
    <x v="21"/>
    <x v="8"/>
    <x v="47"/>
    <x v="3"/>
  </r>
  <r>
    <x v="21"/>
    <x v="9"/>
    <x v="45"/>
    <x v="3"/>
  </r>
  <r>
    <x v="21"/>
    <x v="11"/>
    <x v="0"/>
    <x v="3"/>
  </r>
  <r>
    <x v="22"/>
    <x v="7"/>
    <x v="241"/>
    <x v="3"/>
  </r>
  <r>
    <x v="22"/>
    <x v="9"/>
    <x v="202"/>
    <x v="3"/>
  </r>
  <r>
    <x v="22"/>
    <x v="5"/>
    <x v="178"/>
    <x v="3"/>
  </r>
  <r>
    <x v="22"/>
    <x v="3"/>
    <x v="92"/>
    <x v="3"/>
  </r>
  <r>
    <x v="22"/>
    <x v="2"/>
    <x v="88"/>
    <x v="3"/>
  </r>
  <r>
    <x v="22"/>
    <x v="11"/>
    <x v="0"/>
    <x v="3"/>
  </r>
  <r>
    <x v="23"/>
    <x v="7"/>
    <x v="249"/>
    <x v="3"/>
  </r>
  <r>
    <x v="23"/>
    <x v="9"/>
    <x v="189"/>
    <x v="3"/>
  </r>
  <r>
    <x v="23"/>
    <x v="3"/>
    <x v="171"/>
    <x v="3"/>
  </r>
  <r>
    <x v="23"/>
    <x v="5"/>
    <x v="144"/>
    <x v="3"/>
  </r>
  <r>
    <x v="23"/>
    <x v="4"/>
    <x v="57"/>
    <x v="3"/>
  </r>
  <r>
    <x v="23"/>
    <x v="11"/>
    <x v="0"/>
    <x v="3"/>
  </r>
  <r>
    <x v="24"/>
    <x v="7"/>
    <x v="283"/>
    <x v="3"/>
  </r>
  <r>
    <x v="24"/>
    <x v="5"/>
    <x v="216"/>
    <x v="3"/>
  </r>
  <r>
    <x v="24"/>
    <x v="9"/>
    <x v="160"/>
    <x v="3"/>
  </r>
  <r>
    <x v="24"/>
    <x v="4"/>
    <x v="39"/>
    <x v="3"/>
  </r>
  <r>
    <x v="24"/>
    <x v="2"/>
    <x v="31"/>
    <x v="3"/>
  </r>
  <r>
    <x v="24"/>
    <x v="11"/>
    <x v="0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92">
  <r>
    <x v="7"/>
    <x v="272"/>
    <x v="0"/>
  </r>
  <r>
    <x v="3"/>
    <x v="162"/>
    <x v="0"/>
  </r>
  <r>
    <x v="9"/>
    <x v="122"/>
    <x v="0"/>
  </r>
  <r>
    <x v="5"/>
    <x v="119"/>
    <x v="0"/>
  </r>
  <r>
    <x v="4"/>
    <x v="92"/>
    <x v="0"/>
  </r>
  <r>
    <x v="11"/>
    <x v="0"/>
    <x v="0"/>
  </r>
  <r>
    <x v="7"/>
    <x v="306"/>
    <x v="0"/>
  </r>
  <r>
    <x v="0"/>
    <x v="149"/>
    <x v="0"/>
  </r>
  <r>
    <x v="9"/>
    <x v="105"/>
    <x v="0"/>
  </r>
  <r>
    <x v="5"/>
    <x v="87"/>
    <x v="0"/>
  </r>
  <r>
    <x v="4"/>
    <x v="37"/>
    <x v="0"/>
  </r>
  <r>
    <x v="11"/>
    <x v="0"/>
    <x v="0"/>
  </r>
  <r>
    <x v="7"/>
    <x v="248"/>
    <x v="0"/>
  </r>
  <r>
    <x v="3"/>
    <x v="202"/>
    <x v="0"/>
  </r>
  <r>
    <x v="0"/>
    <x v="169"/>
    <x v="0"/>
  </r>
  <r>
    <x v="9"/>
    <x v="163"/>
    <x v="0"/>
  </r>
  <r>
    <x v="4"/>
    <x v="25"/>
    <x v="0"/>
  </r>
  <r>
    <x v="11"/>
    <x v="0"/>
    <x v="0"/>
  </r>
  <r>
    <x v="7"/>
    <x v="237"/>
    <x v="0"/>
  </r>
  <r>
    <x v="3"/>
    <x v="217"/>
    <x v="0"/>
  </r>
  <r>
    <x v="9"/>
    <x v="176"/>
    <x v="0"/>
  </r>
  <r>
    <x v="4"/>
    <x v="98"/>
    <x v="0"/>
  </r>
  <r>
    <x v="0"/>
    <x v="67"/>
    <x v="0"/>
  </r>
  <r>
    <x v="11"/>
    <x v="0"/>
    <x v="0"/>
  </r>
  <r>
    <x v="7"/>
    <x v="320"/>
    <x v="0"/>
  </r>
  <r>
    <x v="4"/>
    <x v="114"/>
    <x v="0"/>
  </r>
  <r>
    <x v="5"/>
    <x v="69"/>
    <x v="0"/>
  </r>
  <r>
    <x v="9"/>
    <x v="52"/>
    <x v="0"/>
  </r>
  <r>
    <x v="2"/>
    <x v="41"/>
    <x v="0"/>
  </r>
  <r>
    <x v="11"/>
    <x v="0"/>
    <x v="0"/>
  </r>
  <r>
    <x v="7"/>
    <x v="289"/>
    <x v="0"/>
  </r>
  <r>
    <x v="9"/>
    <x v="184"/>
    <x v="0"/>
  </r>
  <r>
    <x v="5"/>
    <x v="136"/>
    <x v="0"/>
  </r>
  <r>
    <x v="0"/>
    <x v="65"/>
    <x v="0"/>
  </r>
  <r>
    <x v="6"/>
    <x v="57"/>
    <x v="0"/>
  </r>
  <r>
    <x v="11"/>
    <x v="0"/>
    <x v="0"/>
  </r>
  <r>
    <x v="7"/>
    <x v="318"/>
    <x v="0"/>
  </r>
  <r>
    <x v="9"/>
    <x v="213"/>
    <x v="0"/>
  </r>
  <r>
    <x v="2"/>
    <x v="48"/>
    <x v="0"/>
  </r>
  <r>
    <x v="5"/>
    <x v="24"/>
    <x v="0"/>
  </r>
  <r>
    <x v="4"/>
    <x v="14"/>
    <x v="0"/>
  </r>
  <r>
    <x v="11"/>
    <x v="0"/>
    <x v="0"/>
  </r>
  <r>
    <x v="7"/>
    <x v="275"/>
    <x v="0"/>
  </r>
  <r>
    <x v="9"/>
    <x v="219"/>
    <x v="0"/>
  </r>
  <r>
    <x v="6"/>
    <x v="100"/>
    <x v="0"/>
  </r>
  <r>
    <x v="4"/>
    <x v="84"/>
    <x v="0"/>
  </r>
  <r>
    <x v="2"/>
    <x v="53"/>
    <x v="0"/>
  </r>
  <r>
    <x v="11"/>
    <x v="0"/>
    <x v="0"/>
  </r>
  <r>
    <x v="7"/>
    <x v="235"/>
    <x v="0"/>
  </r>
  <r>
    <x v="9"/>
    <x v="212"/>
    <x v="0"/>
  </r>
  <r>
    <x v="0"/>
    <x v="165"/>
    <x v="0"/>
  </r>
  <r>
    <x v="3"/>
    <x v="97"/>
    <x v="0"/>
  </r>
  <r>
    <x v="2"/>
    <x v="92"/>
    <x v="0"/>
  </r>
  <r>
    <x v="11"/>
    <x v="0"/>
    <x v="0"/>
  </r>
  <r>
    <x v="7"/>
    <x v="225"/>
    <x v="0"/>
  </r>
  <r>
    <x v="0"/>
    <x v="190"/>
    <x v="0"/>
  </r>
  <r>
    <x v="9"/>
    <x v="153"/>
    <x v="0"/>
  </r>
  <r>
    <x v="4"/>
    <x v="145"/>
    <x v="0"/>
  </r>
  <r>
    <x v="6"/>
    <x v="114"/>
    <x v="0"/>
  </r>
  <r>
    <x v="11"/>
    <x v="0"/>
    <x v="0"/>
  </r>
  <r>
    <x v="7"/>
    <x v="305"/>
    <x v="0"/>
  </r>
  <r>
    <x v="9"/>
    <x v="165"/>
    <x v="0"/>
  </r>
  <r>
    <x v="5"/>
    <x v="119"/>
    <x v="0"/>
  </r>
  <r>
    <x v="2"/>
    <x v="105"/>
    <x v="0"/>
  </r>
  <r>
    <x v="4"/>
    <x v="12"/>
    <x v="0"/>
  </r>
  <r>
    <x v="11"/>
    <x v="0"/>
    <x v="0"/>
  </r>
  <r>
    <x v="7"/>
    <x v="322"/>
    <x v="0"/>
  </r>
  <r>
    <x v="5"/>
    <x v="187"/>
    <x v="0"/>
  </r>
  <r>
    <x v="9"/>
    <x v="37"/>
    <x v="0"/>
  </r>
  <r>
    <x v="4"/>
    <x v="33"/>
    <x v="0"/>
  </r>
  <r>
    <x v="10"/>
    <x v="8"/>
    <x v="0"/>
  </r>
  <r>
    <x v="11"/>
    <x v="0"/>
    <x v="0"/>
  </r>
  <r>
    <x v="7"/>
    <x v="316"/>
    <x v="0"/>
  </r>
  <r>
    <x v="9"/>
    <x v="116"/>
    <x v="0"/>
  </r>
  <r>
    <x v="5"/>
    <x v="107"/>
    <x v="0"/>
  </r>
  <r>
    <x v="4"/>
    <x v="81"/>
    <x v="0"/>
  </r>
  <r>
    <x v="6"/>
    <x v="17"/>
    <x v="0"/>
  </r>
  <r>
    <x v="11"/>
    <x v="0"/>
    <x v="0"/>
  </r>
  <r>
    <x v="7"/>
    <x v="304"/>
    <x v="0"/>
  </r>
  <r>
    <x v="2"/>
    <x v="146"/>
    <x v="0"/>
  </r>
  <r>
    <x v="10"/>
    <x v="126"/>
    <x v="0"/>
  </r>
  <r>
    <x v="9"/>
    <x v="95"/>
    <x v="0"/>
  </r>
  <r>
    <x v="4"/>
    <x v="27"/>
    <x v="0"/>
  </r>
  <r>
    <x v="11"/>
    <x v="0"/>
    <x v="0"/>
  </r>
  <r>
    <x v="7"/>
    <x v="297"/>
    <x v="0"/>
  </r>
  <r>
    <x v="2"/>
    <x v="253"/>
    <x v="0"/>
  </r>
  <r>
    <x v="4"/>
    <x v="78"/>
    <x v="0"/>
  </r>
  <r>
    <x v="9"/>
    <x v="72"/>
    <x v="0"/>
  </r>
  <r>
    <x v="6"/>
    <x v="6"/>
    <x v="0"/>
  </r>
  <r>
    <x v="11"/>
    <x v="0"/>
    <x v="0"/>
  </r>
  <r>
    <x v="7"/>
    <x v="267"/>
    <x v="0"/>
  </r>
  <r>
    <x v="9"/>
    <x v="197"/>
    <x v="0"/>
  </r>
  <r>
    <x v="4"/>
    <x v="177"/>
    <x v="0"/>
  </r>
  <r>
    <x v="2"/>
    <x v="94"/>
    <x v="0"/>
  </r>
  <r>
    <x v="10"/>
    <x v="24"/>
    <x v="0"/>
  </r>
  <r>
    <x v="11"/>
    <x v="0"/>
    <x v="0"/>
  </r>
  <r>
    <x v="7"/>
    <x v="319"/>
    <x v="0"/>
  </r>
  <r>
    <x v="9"/>
    <x v="168"/>
    <x v="0"/>
  </r>
  <r>
    <x v="4"/>
    <x v="95"/>
    <x v="0"/>
  </r>
  <r>
    <x v="5"/>
    <x v="26"/>
    <x v="0"/>
  </r>
  <r>
    <x v="0"/>
    <x v="20"/>
    <x v="0"/>
  </r>
  <r>
    <x v="11"/>
    <x v="0"/>
    <x v="0"/>
  </r>
  <r>
    <x v="7"/>
    <x v="287"/>
    <x v="0"/>
  </r>
  <r>
    <x v="9"/>
    <x v="226"/>
    <x v="0"/>
  </r>
  <r>
    <x v="0"/>
    <x v="113"/>
    <x v="0"/>
  </r>
  <r>
    <x v="4"/>
    <x v="77"/>
    <x v="0"/>
  </r>
  <r>
    <x v="10"/>
    <x v="19"/>
    <x v="0"/>
  </r>
  <r>
    <x v="11"/>
    <x v="0"/>
    <x v="0"/>
  </r>
  <r>
    <x v="0"/>
    <x v="228"/>
    <x v="0"/>
  </r>
  <r>
    <x v="7"/>
    <x v="204"/>
    <x v="0"/>
  </r>
  <r>
    <x v="9"/>
    <x v="173"/>
    <x v="0"/>
  </r>
  <r>
    <x v="2"/>
    <x v="141"/>
    <x v="0"/>
  </r>
  <r>
    <x v="6"/>
    <x v="67"/>
    <x v="0"/>
  </r>
  <r>
    <x v="11"/>
    <x v="0"/>
    <x v="0"/>
  </r>
  <r>
    <x v="9"/>
    <x v="251"/>
    <x v="0"/>
  </r>
  <r>
    <x v="7"/>
    <x v="198"/>
    <x v="0"/>
  </r>
  <r>
    <x v="2"/>
    <x v="168"/>
    <x v="0"/>
  </r>
  <r>
    <x v="0"/>
    <x v="156"/>
    <x v="0"/>
  </r>
  <r>
    <x v="10"/>
    <x v="30"/>
    <x v="0"/>
  </r>
  <r>
    <x v="11"/>
    <x v="0"/>
    <x v="0"/>
  </r>
  <r>
    <x v="7"/>
    <x v="312"/>
    <x v="0"/>
  </r>
  <r>
    <x v="9"/>
    <x v="217"/>
    <x v="0"/>
  </r>
  <r>
    <x v="4"/>
    <x v="76"/>
    <x v="0"/>
  </r>
  <r>
    <x v="10"/>
    <x v="27"/>
    <x v="0"/>
  </r>
  <r>
    <x v="5"/>
    <x v="13"/>
    <x v="0"/>
  </r>
  <r>
    <x v="11"/>
    <x v="0"/>
    <x v="0"/>
  </r>
  <r>
    <x v="7"/>
    <x v="283"/>
    <x v="0"/>
  </r>
  <r>
    <x v="4"/>
    <x v="207"/>
    <x v="0"/>
  </r>
  <r>
    <x v="5"/>
    <x v="116"/>
    <x v="0"/>
  </r>
  <r>
    <x v="9"/>
    <x v="111"/>
    <x v="0"/>
  </r>
  <r>
    <x v="8"/>
    <x v="17"/>
    <x v="0"/>
  </r>
  <r>
    <x v="11"/>
    <x v="0"/>
    <x v="0"/>
  </r>
  <r>
    <x v="7"/>
    <x v="268"/>
    <x v="0"/>
  </r>
  <r>
    <x v="2"/>
    <x v="159"/>
    <x v="0"/>
  </r>
  <r>
    <x v="9"/>
    <x v="156"/>
    <x v="0"/>
  </r>
  <r>
    <x v="4"/>
    <x v="92"/>
    <x v="0"/>
  </r>
  <r>
    <x v="5"/>
    <x v="92"/>
    <x v="0"/>
  </r>
  <r>
    <x v="11"/>
    <x v="0"/>
    <x v="0"/>
  </r>
  <r>
    <x v="9"/>
    <x v="282"/>
    <x v="0"/>
  </r>
  <r>
    <x v="7"/>
    <x v="259"/>
    <x v="0"/>
  </r>
  <r>
    <x v="5"/>
    <x v="68"/>
    <x v="0"/>
  </r>
  <r>
    <x v="2"/>
    <x v="64"/>
    <x v="0"/>
  </r>
  <r>
    <x v="4"/>
    <x v="15"/>
    <x v="0"/>
  </r>
  <r>
    <x v="11"/>
    <x v="0"/>
    <x v="0"/>
  </r>
  <r>
    <x v="7"/>
    <x v="276"/>
    <x v="0"/>
  </r>
  <r>
    <x v="9"/>
    <x v="118"/>
    <x v="0"/>
  </r>
  <r>
    <x v="5"/>
    <x v="73"/>
    <x v="0"/>
  </r>
  <r>
    <x v="11"/>
    <x v="8"/>
    <x v="0"/>
  </r>
  <r>
    <x v="4"/>
    <x v="3"/>
    <x v="0"/>
  </r>
  <r>
    <x v="8"/>
    <x v="2"/>
    <x v="0"/>
  </r>
  <r>
    <x v="7"/>
    <x v="262"/>
    <x v="1"/>
  </r>
  <r>
    <x v="3"/>
    <x v="231"/>
    <x v="1"/>
  </r>
  <r>
    <x v="5"/>
    <x v="143"/>
    <x v="1"/>
  </r>
  <r>
    <x v="4"/>
    <x v="104"/>
    <x v="1"/>
  </r>
  <r>
    <x v="6"/>
    <x v="15"/>
    <x v="1"/>
  </r>
  <r>
    <x v="11"/>
    <x v="0"/>
    <x v="1"/>
  </r>
  <r>
    <x v="7"/>
    <x v="294"/>
    <x v="1"/>
  </r>
  <r>
    <x v="3"/>
    <x v="185"/>
    <x v="1"/>
  </r>
  <r>
    <x v="6"/>
    <x v="104"/>
    <x v="1"/>
  </r>
  <r>
    <x v="4"/>
    <x v="66"/>
    <x v="1"/>
  </r>
  <r>
    <x v="0"/>
    <x v="63"/>
    <x v="1"/>
  </r>
  <r>
    <x v="11"/>
    <x v="0"/>
    <x v="1"/>
  </r>
  <r>
    <x v="3"/>
    <x v="277"/>
    <x v="1"/>
  </r>
  <r>
    <x v="9"/>
    <x v="211"/>
    <x v="1"/>
  </r>
  <r>
    <x v="7"/>
    <x v="150"/>
    <x v="1"/>
  </r>
  <r>
    <x v="0"/>
    <x v="88"/>
    <x v="1"/>
  </r>
  <r>
    <x v="4"/>
    <x v="21"/>
    <x v="1"/>
  </r>
  <r>
    <x v="11"/>
    <x v="0"/>
    <x v="1"/>
  </r>
  <r>
    <x v="3"/>
    <x v="261"/>
    <x v="1"/>
  </r>
  <r>
    <x v="7"/>
    <x v="256"/>
    <x v="1"/>
  </r>
  <r>
    <x v="4"/>
    <x v="104"/>
    <x v="1"/>
  </r>
  <r>
    <x v="1"/>
    <x v="60"/>
    <x v="1"/>
  </r>
  <r>
    <x v="9"/>
    <x v="35"/>
    <x v="1"/>
  </r>
  <r>
    <x v="11"/>
    <x v="0"/>
    <x v="1"/>
  </r>
  <r>
    <x v="7"/>
    <x v="315"/>
    <x v="1"/>
  </r>
  <r>
    <x v="4"/>
    <x v="117"/>
    <x v="1"/>
  </r>
  <r>
    <x v="5"/>
    <x v="90"/>
    <x v="1"/>
  </r>
  <r>
    <x v="3"/>
    <x v="59"/>
    <x v="1"/>
  </r>
  <r>
    <x v="2"/>
    <x v="58"/>
    <x v="1"/>
  </r>
  <r>
    <x v="11"/>
    <x v="0"/>
    <x v="1"/>
  </r>
  <r>
    <x v="7"/>
    <x v="278"/>
    <x v="1"/>
  </r>
  <r>
    <x v="3"/>
    <x v="189"/>
    <x v="1"/>
  </r>
  <r>
    <x v="10"/>
    <x v="108"/>
    <x v="1"/>
  </r>
  <r>
    <x v="4"/>
    <x v="93"/>
    <x v="1"/>
  </r>
  <r>
    <x v="5"/>
    <x v="83"/>
    <x v="1"/>
  </r>
  <r>
    <x v="11"/>
    <x v="0"/>
    <x v="1"/>
  </r>
  <r>
    <x v="7"/>
    <x v="307"/>
    <x v="1"/>
  </r>
  <r>
    <x v="2"/>
    <x v="136"/>
    <x v="1"/>
  </r>
  <r>
    <x v="9"/>
    <x v="91"/>
    <x v="1"/>
  </r>
  <r>
    <x v="10"/>
    <x v="75"/>
    <x v="1"/>
  </r>
  <r>
    <x v="4"/>
    <x v="62"/>
    <x v="1"/>
  </r>
  <r>
    <x v="11"/>
    <x v="0"/>
    <x v="1"/>
  </r>
  <r>
    <x v="7"/>
    <x v="284"/>
    <x v="1"/>
  </r>
  <r>
    <x v="6"/>
    <x v="187"/>
    <x v="1"/>
  </r>
  <r>
    <x v="2"/>
    <x v="128"/>
    <x v="1"/>
  </r>
  <r>
    <x v="3"/>
    <x v="79"/>
    <x v="1"/>
  </r>
  <r>
    <x v="4"/>
    <x v="66"/>
    <x v="1"/>
  </r>
  <r>
    <x v="11"/>
    <x v="0"/>
    <x v="1"/>
  </r>
  <r>
    <x v="3"/>
    <x v="236"/>
    <x v="1"/>
  </r>
  <r>
    <x v="7"/>
    <x v="179"/>
    <x v="1"/>
  </r>
  <r>
    <x v="2"/>
    <x v="143"/>
    <x v="1"/>
  </r>
  <r>
    <x v="4"/>
    <x v="142"/>
    <x v="1"/>
  </r>
  <r>
    <x v="0"/>
    <x v="125"/>
    <x v="1"/>
  </r>
  <r>
    <x v="11"/>
    <x v="0"/>
    <x v="1"/>
  </r>
  <r>
    <x v="3"/>
    <x v="206"/>
    <x v="1"/>
  </r>
  <r>
    <x v="7"/>
    <x v="195"/>
    <x v="1"/>
  </r>
  <r>
    <x v="4"/>
    <x v="178"/>
    <x v="1"/>
  </r>
  <r>
    <x v="5"/>
    <x v="140"/>
    <x v="1"/>
  </r>
  <r>
    <x v="6"/>
    <x v="110"/>
    <x v="1"/>
  </r>
  <r>
    <x v="11"/>
    <x v="0"/>
    <x v="1"/>
  </r>
  <r>
    <x v="7"/>
    <x v="270"/>
    <x v="1"/>
  </r>
  <r>
    <x v="5"/>
    <x v="158"/>
    <x v="1"/>
  </r>
  <r>
    <x v="2"/>
    <x v="143"/>
    <x v="1"/>
  </r>
  <r>
    <x v="4"/>
    <x v="110"/>
    <x v="1"/>
  </r>
  <r>
    <x v="3"/>
    <x v="87"/>
    <x v="1"/>
  </r>
  <r>
    <x v="11"/>
    <x v="0"/>
    <x v="1"/>
  </r>
  <r>
    <x v="7"/>
    <x v="308"/>
    <x v="1"/>
  </r>
  <r>
    <x v="5"/>
    <x v="175"/>
    <x v="1"/>
  </r>
  <r>
    <x v="2"/>
    <x v="137"/>
    <x v="1"/>
  </r>
  <r>
    <x v="4"/>
    <x v="102"/>
    <x v="1"/>
  </r>
  <r>
    <x v="6"/>
    <x v="5"/>
    <x v="1"/>
  </r>
  <r>
    <x v="11"/>
    <x v="0"/>
    <x v="1"/>
  </r>
  <r>
    <x v="7"/>
    <x v="298"/>
    <x v="1"/>
  </r>
  <r>
    <x v="5"/>
    <x v="160"/>
    <x v="1"/>
  </r>
  <r>
    <x v="4"/>
    <x v="135"/>
    <x v="1"/>
  </r>
  <r>
    <x v="2"/>
    <x v="100"/>
    <x v="1"/>
  </r>
  <r>
    <x v="6"/>
    <x v="25"/>
    <x v="1"/>
  </r>
  <r>
    <x v="11"/>
    <x v="0"/>
    <x v="1"/>
  </r>
  <r>
    <x v="2"/>
    <x v="331"/>
    <x v="1"/>
  </r>
  <r>
    <x v="7"/>
    <x v="330"/>
    <x v="1"/>
  </r>
  <r>
    <x v="10"/>
    <x v="326"/>
    <x v="1"/>
  </r>
  <r>
    <x v="11"/>
    <x v="0"/>
    <x v="1"/>
  </r>
  <r>
    <x v="2"/>
    <x v="289"/>
    <x v="1"/>
  </r>
  <r>
    <x v="7"/>
    <x v="238"/>
    <x v="1"/>
  </r>
  <r>
    <x v="4"/>
    <x v="106"/>
    <x v="1"/>
  </r>
  <r>
    <x v="10"/>
    <x v="36"/>
    <x v="1"/>
  </r>
  <r>
    <x v="5"/>
    <x v="30"/>
    <x v="1"/>
  </r>
  <r>
    <x v="11"/>
    <x v="0"/>
    <x v="1"/>
  </r>
  <r>
    <x v="7"/>
    <x v="222"/>
    <x v="1"/>
  </r>
  <r>
    <x v="2"/>
    <x v="196"/>
    <x v="1"/>
  </r>
  <r>
    <x v="4"/>
    <x v="171"/>
    <x v="1"/>
  </r>
  <r>
    <x v="10"/>
    <x v="151"/>
    <x v="1"/>
  </r>
  <r>
    <x v="5"/>
    <x v="82"/>
    <x v="1"/>
  </r>
  <r>
    <x v="11"/>
    <x v="0"/>
    <x v="1"/>
  </r>
  <r>
    <x v="7"/>
    <x v="333"/>
    <x v="1"/>
  </r>
  <r>
    <x v="5"/>
    <x v="328"/>
    <x v="1"/>
  </r>
  <r>
    <x v="0"/>
    <x v="325"/>
    <x v="1"/>
  </r>
  <r>
    <x v="11"/>
    <x v="0"/>
    <x v="1"/>
  </r>
  <r>
    <x v="7"/>
    <x v="279"/>
    <x v="1"/>
  </r>
  <r>
    <x v="5"/>
    <x v="181"/>
    <x v="1"/>
  </r>
  <r>
    <x v="4"/>
    <x v="149"/>
    <x v="1"/>
  </r>
  <r>
    <x v="2"/>
    <x v="80"/>
    <x v="1"/>
  </r>
  <r>
    <x v="0"/>
    <x v="68"/>
    <x v="1"/>
  </r>
  <r>
    <x v="11"/>
    <x v="0"/>
    <x v="1"/>
  </r>
  <r>
    <x v="7"/>
    <x v="225"/>
    <x v="1"/>
  </r>
  <r>
    <x v="10"/>
    <x v="218"/>
    <x v="1"/>
  </r>
  <r>
    <x v="6"/>
    <x v="203"/>
    <x v="1"/>
  </r>
  <r>
    <x v="5"/>
    <x v="114"/>
    <x v="1"/>
  </r>
  <r>
    <x v="1"/>
    <x v="28"/>
    <x v="1"/>
  </r>
  <r>
    <x v="11"/>
    <x v="0"/>
    <x v="1"/>
  </r>
  <r>
    <x v="9"/>
    <x v="244"/>
    <x v="1"/>
  </r>
  <r>
    <x v="5"/>
    <x v="217"/>
    <x v="1"/>
  </r>
  <r>
    <x v="7"/>
    <x v="214"/>
    <x v="1"/>
  </r>
  <r>
    <x v="2"/>
    <x v="50"/>
    <x v="1"/>
  </r>
  <r>
    <x v="4"/>
    <x v="46"/>
    <x v="1"/>
  </r>
  <r>
    <x v="11"/>
    <x v="0"/>
    <x v="1"/>
  </r>
  <r>
    <x v="7"/>
    <x v="239"/>
    <x v="1"/>
  </r>
  <r>
    <x v="9"/>
    <x v="199"/>
    <x v="1"/>
  </r>
  <r>
    <x v="4"/>
    <x v="162"/>
    <x v="1"/>
  </r>
  <r>
    <x v="2"/>
    <x v="126"/>
    <x v="1"/>
  </r>
  <r>
    <x v="5"/>
    <x v="84"/>
    <x v="1"/>
  </r>
  <r>
    <x v="11"/>
    <x v="0"/>
    <x v="1"/>
  </r>
  <r>
    <x v="7"/>
    <x v="227"/>
    <x v="1"/>
  </r>
  <r>
    <x v="5"/>
    <x v="194"/>
    <x v="1"/>
  </r>
  <r>
    <x v="4"/>
    <x v="169"/>
    <x v="1"/>
  </r>
  <r>
    <x v="2"/>
    <x v="158"/>
    <x v="1"/>
  </r>
  <r>
    <x v="3"/>
    <x v="74"/>
    <x v="1"/>
  </r>
  <r>
    <x v="11"/>
    <x v="0"/>
    <x v="1"/>
  </r>
  <r>
    <x v="2"/>
    <x v="251"/>
    <x v="1"/>
  </r>
  <r>
    <x v="7"/>
    <x v="217"/>
    <x v="1"/>
  </r>
  <r>
    <x v="5"/>
    <x v="132"/>
    <x v="1"/>
  </r>
  <r>
    <x v="4"/>
    <x v="130"/>
    <x v="1"/>
  </r>
  <r>
    <x v="9"/>
    <x v="61"/>
    <x v="1"/>
  </r>
  <r>
    <x v="11"/>
    <x v="0"/>
    <x v="1"/>
  </r>
  <r>
    <x v="7"/>
    <x v="321"/>
    <x v="1"/>
  </r>
  <r>
    <x v="5"/>
    <x v="313"/>
    <x v="1"/>
  </r>
  <r>
    <x v="9"/>
    <x v="309"/>
    <x v="1"/>
  </r>
  <r>
    <x v="3"/>
    <x v="296"/>
    <x v="1"/>
  </r>
  <r>
    <x v="11"/>
    <x v="0"/>
    <x v="1"/>
  </r>
  <r>
    <x v="7"/>
    <x v="291"/>
    <x v="1"/>
  </r>
  <r>
    <x v="5"/>
    <x v="202"/>
    <x v="1"/>
  </r>
  <r>
    <x v="3"/>
    <x v="8"/>
    <x v="1"/>
  </r>
  <r>
    <x v="2"/>
    <x v="7"/>
    <x v="1"/>
  </r>
  <r>
    <x v="9"/>
    <x v="4"/>
    <x v="1"/>
  </r>
  <r>
    <x v="11"/>
    <x v="1"/>
    <x v="1"/>
  </r>
  <r>
    <x v="7"/>
    <x v="257"/>
    <x v="2"/>
  </r>
  <r>
    <x v="3"/>
    <x v="234"/>
    <x v="2"/>
  </r>
  <r>
    <x v="4"/>
    <x v="146"/>
    <x v="2"/>
  </r>
  <r>
    <x v="5"/>
    <x v="110"/>
    <x v="2"/>
  </r>
  <r>
    <x v="0"/>
    <x v="23"/>
    <x v="2"/>
  </r>
  <r>
    <x v="11"/>
    <x v="0"/>
    <x v="2"/>
  </r>
  <r>
    <x v="7"/>
    <x v="284"/>
    <x v="2"/>
  </r>
  <r>
    <x v="3"/>
    <x v="187"/>
    <x v="2"/>
  </r>
  <r>
    <x v="0"/>
    <x v="155"/>
    <x v="2"/>
  </r>
  <r>
    <x v="4"/>
    <x v="77"/>
    <x v="2"/>
  </r>
  <r>
    <x v="5"/>
    <x v="43"/>
    <x v="2"/>
  </r>
  <r>
    <x v="11"/>
    <x v="0"/>
    <x v="2"/>
  </r>
  <r>
    <x v="7"/>
    <x v="233"/>
    <x v="2"/>
  </r>
  <r>
    <x v="9"/>
    <x v="200"/>
    <x v="2"/>
  </r>
  <r>
    <x v="0"/>
    <x v="154"/>
    <x v="2"/>
  </r>
  <r>
    <x v="4"/>
    <x v="130"/>
    <x v="2"/>
  </r>
  <r>
    <x v="3"/>
    <x v="97"/>
    <x v="2"/>
  </r>
  <r>
    <x v="11"/>
    <x v="0"/>
    <x v="2"/>
  </r>
  <r>
    <x v="3"/>
    <x v="280"/>
    <x v="2"/>
  </r>
  <r>
    <x v="7"/>
    <x v="209"/>
    <x v="2"/>
  </r>
  <r>
    <x v="4"/>
    <x v="129"/>
    <x v="2"/>
  </r>
  <r>
    <x v="5"/>
    <x v="56"/>
    <x v="2"/>
  </r>
  <r>
    <x v="0"/>
    <x v="54"/>
    <x v="2"/>
  </r>
  <r>
    <x v="11"/>
    <x v="0"/>
    <x v="2"/>
  </r>
  <r>
    <x v="7"/>
    <x v="324"/>
    <x v="2"/>
  </r>
  <r>
    <x v="5"/>
    <x v="96"/>
    <x v="2"/>
  </r>
  <r>
    <x v="3"/>
    <x v="61"/>
    <x v="2"/>
  </r>
  <r>
    <x v="4"/>
    <x v="46"/>
    <x v="2"/>
  </r>
  <r>
    <x v="6"/>
    <x v="9"/>
    <x v="2"/>
  </r>
  <r>
    <x v="11"/>
    <x v="0"/>
    <x v="2"/>
  </r>
  <r>
    <x v="7"/>
    <x v="273"/>
    <x v="2"/>
  </r>
  <r>
    <x v="6"/>
    <x v="137"/>
    <x v="2"/>
  </r>
  <r>
    <x v="0"/>
    <x v="133"/>
    <x v="2"/>
  </r>
  <r>
    <x v="3"/>
    <x v="116"/>
    <x v="2"/>
  </r>
  <r>
    <x v="10"/>
    <x v="111"/>
    <x v="2"/>
  </r>
  <r>
    <x v="11"/>
    <x v="0"/>
    <x v="2"/>
  </r>
  <r>
    <x v="7"/>
    <x v="286"/>
    <x v="2"/>
  </r>
  <r>
    <x v="5"/>
    <x v="158"/>
    <x v="2"/>
  </r>
  <r>
    <x v="9"/>
    <x v="152"/>
    <x v="2"/>
  </r>
  <r>
    <x v="10"/>
    <x v="93"/>
    <x v="2"/>
  </r>
  <r>
    <x v="0"/>
    <x v="53"/>
    <x v="2"/>
  </r>
  <r>
    <x v="11"/>
    <x v="0"/>
    <x v="2"/>
  </r>
  <r>
    <x v="7"/>
    <x v="242"/>
    <x v="2"/>
  </r>
  <r>
    <x v="6"/>
    <x v="208"/>
    <x v="2"/>
  </r>
  <r>
    <x v="3"/>
    <x v="166"/>
    <x v="2"/>
  </r>
  <r>
    <x v="9"/>
    <x v="93"/>
    <x v="2"/>
  </r>
  <r>
    <x v="4"/>
    <x v="90"/>
    <x v="2"/>
  </r>
  <r>
    <x v="11"/>
    <x v="0"/>
    <x v="2"/>
  </r>
  <r>
    <x v="3"/>
    <x v="230"/>
    <x v="2"/>
  </r>
  <r>
    <x v="9"/>
    <x v="179"/>
    <x v="2"/>
  </r>
  <r>
    <x v="0"/>
    <x v="170"/>
    <x v="2"/>
  </r>
  <r>
    <x v="7"/>
    <x v="160"/>
    <x v="2"/>
  </r>
  <r>
    <x v="2"/>
    <x v="87"/>
    <x v="2"/>
  </r>
  <r>
    <x v="11"/>
    <x v="0"/>
    <x v="2"/>
  </r>
  <r>
    <x v="7"/>
    <x v="209"/>
    <x v="2"/>
  </r>
  <r>
    <x v="3"/>
    <x v="192"/>
    <x v="2"/>
  </r>
  <r>
    <x v="4"/>
    <x v="161"/>
    <x v="2"/>
  </r>
  <r>
    <x v="5"/>
    <x v="138"/>
    <x v="2"/>
  </r>
  <r>
    <x v="0"/>
    <x v="137"/>
    <x v="2"/>
  </r>
  <r>
    <x v="11"/>
    <x v="0"/>
    <x v="2"/>
  </r>
  <r>
    <x v="7"/>
    <x v="263"/>
    <x v="2"/>
  </r>
  <r>
    <x v="2"/>
    <x v="172"/>
    <x v="2"/>
  </r>
  <r>
    <x v="6"/>
    <x v="134"/>
    <x v="2"/>
  </r>
  <r>
    <x v="3"/>
    <x v="120"/>
    <x v="2"/>
  </r>
  <r>
    <x v="5"/>
    <x v="89"/>
    <x v="2"/>
  </r>
  <r>
    <x v="11"/>
    <x v="0"/>
    <x v="2"/>
  </r>
  <r>
    <x v="7"/>
    <x v="311"/>
    <x v="2"/>
  </r>
  <r>
    <x v="5"/>
    <x v="137"/>
    <x v="2"/>
  </r>
  <r>
    <x v="4"/>
    <x v="102"/>
    <x v="2"/>
  </r>
  <r>
    <x v="6"/>
    <x v="64"/>
    <x v="2"/>
  </r>
  <r>
    <x v="2"/>
    <x v="44"/>
    <x v="2"/>
  </r>
  <r>
    <x v="11"/>
    <x v="0"/>
    <x v="2"/>
  </r>
  <r>
    <x v="7"/>
    <x v="281"/>
    <x v="2"/>
  </r>
  <r>
    <x v="5"/>
    <x v="178"/>
    <x v="2"/>
  </r>
  <r>
    <x v="6"/>
    <x v="120"/>
    <x v="2"/>
  </r>
  <r>
    <x v="2"/>
    <x v="115"/>
    <x v="2"/>
  </r>
  <r>
    <x v="4"/>
    <x v="53"/>
    <x v="2"/>
  </r>
  <r>
    <x v="11"/>
    <x v="0"/>
    <x v="2"/>
  </r>
  <r>
    <x v="7"/>
    <x v="260"/>
    <x v="2"/>
  </r>
  <r>
    <x v="2"/>
    <x v="255"/>
    <x v="2"/>
  </r>
  <r>
    <x v="4"/>
    <x v="86"/>
    <x v="2"/>
  </r>
  <r>
    <x v="10"/>
    <x v="73"/>
    <x v="2"/>
  </r>
  <r>
    <x v="9"/>
    <x v="49"/>
    <x v="2"/>
  </r>
  <r>
    <x v="11"/>
    <x v="0"/>
    <x v="2"/>
  </r>
  <r>
    <x v="2"/>
    <x v="285"/>
    <x v="2"/>
  </r>
  <r>
    <x v="7"/>
    <x v="250"/>
    <x v="2"/>
  </r>
  <r>
    <x v="4"/>
    <x v="122"/>
    <x v="2"/>
  </r>
  <r>
    <x v="5"/>
    <x v="55"/>
    <x v="2"/>
  </r>
  <r>
    <x v="9"/>
    <x v="11"/>
    <x v="2"/>
  </r>
  <r>
    <x v="11"/>
    <x v="0"/>
    <x v="2"/>
  </r>
  <r>
    <x v="7"/>
    <x v="246"/>
    <x v="2"/>
  </r>
  <r>
    <x v="4"/>
    <x v="223"/>
    <x v="2"/>
  </r>
  <r>
    <x v="2"/>
    <x v="129"/>
    <x v="2"/>
  </r>
  <r>
    <x v="5"/>
    <x v="126"/>
    <x v="2"/>
  </r>
  <r>
    <x v="0"/>
    <x v="66"/>
    <x v="2"/>
  </r>
  <r>
    <x v="11"/>
    <x v="0"/>
    <x v="2"/>
  </r>
  <r>
    <x v="7"/>
    <x v="271"/>
    <x v="2"/>
  </r>
  <r>
    <x v="5"/>
    <x v="219"/>
    <x v="2"/>
  </r>
  <r>
    <x v="6"/>
    <x v="92"/>
    <x v="2"/>
  </r>
  <r>
    <x v="0"/>
    <x v="81"/>
    <x v="2"/>
  </r>
  <r>
    <x v="4"/>
    <x v="72"/>
    <x v="2"/>
  </r>
  <r>
    <x v="11"/>
    <x v="0"/>
    <x v="2"/>
  </r>
  <r>
    <x v="7"/>
    <x v="269"/>
    <x v="2"/>
  </r>
  <r>
    <x v="0"/>
    <x v="170"/>
    <x v="2"/>
  </r>
  <r>
    <x v="5"/>
    <x v="169"/>
    <x v="2"/>
  </r>
  <r>
    <x v="10"/>
    <x v="88"/>
    <x v="2"/>
  </r>
  <r>
    <x v="4"/>
    <x v="71"/>
    <x v="2"/>
  </r>
  <r>
    <x v="11"/>
    <x v="0"/>
    <x v="2"/>
  </r>
  <r>
    <x v="10"/>
    <x v="215"/>
    <x v="2"/>
  </r>
  <r>
    <x v="7"/>
    <x v="205"/>
    <x v="2"/>
  </r>
  <r>
    <x v="5"/>
    <x v="183"/>
    <x v="2"/>
  </r>
  <r>
    <x v="6"/>
    <x v="137"/>
    <x v="2"/>
  </r>
  <r>
    <x v="9"/>
    <x v="73"/>
    <x v="2"/>
  </r>
  <r>
    <x v="11"/>
    <x v="0"/>
    <x v="2"/>
  </r>
  <r>
    <x v="7"/>
    <x v="232"/>
    <x v="2"/>
  </r>
  <r>
    <x v="5"/>
    <x v="218"/>
    <x v="2"/>
  </r>
  <r>
    <x v="4"/>
    <x v="131"/>
    <x v="2"/>
  </r>
  <r>
    <x v="9"/>
    <x v="110"/>
    <x v="2"/>
  </r>
  <r>
    <x v="2"/>
    <x v="109"/>
    <x v="2"/>
  </r>
  <r>
    <x v="11"/>
    <x v="0"/>
    <x v="2"/>
  </r>
  <r>
    <x v="7"/>
    <x v="332"/>
    <x v="2"/>
  </r>
  <r>
    <x v="4"/>
    <x v="329"/>
    <x v="2"/>
  </r>
  <r>
    <x v="9"/>
    <x v="327"/>
    <x v="2"/>
  </r>
  <r>
    <x v="11"/>
    <x v="0"/>
    <x v="2"/>
  </r>
  <r>
    <x v="2"/>
    <x v="245"/>
    <x v="2"/>
  </r>
  <r>
    <x v="7"/>
    <x v="210"/>
    <x v="2"/>
  </r>
  <r>
    <x v="4"/>
    <x v="165"/>
    <x v="2"/>
  </r>
  <r>
    <x v="5"/>
    <x v="146"/>
    <x v="2"/>
  </r>
  <r>
    <x v="9"/>
    <x v="39"/>
    <x v="2"/>
  </r>
  <r>
    <x v="11"/>
    <x v="0"/>
    <x v="2"/>
  </r>
  <r>
    <x v="2"/>
    <x v="211"/>
    <x v="2"/>
  </r>
  <r>
    <x v="0"/>
    <x v="188"/>
    <x v="2"/>
  </r>
  <r>
    <x v="7"/>
    <x v="186"/>
    <x v="2"/>
  </r>
  <r>
    <x v="5"/>
    <x v="141"/>
    <x v="2"/>
  </r>
  <r>
    <x v="6"/>
    <x v="103"/>
    <x v="2"/>
  </r>
  <r>
    <x v="11"/>
    <x v="0"/>
    <x v="2"/>
  </r>
  <r>
    <x v="7"/>
    <x v="323"/>
    <x v="2"/>
  </r>
  <r>
    <x v="0"/>
    <x v="314"/>
    <x v="2"/>
  </r>
  <r>
    <x v="2"/>
    <x v="300"/>
    <x v="2"/>
  </r>
  <r>
    <x v="9"/>
    <x v="299"/>
    <x v="2"/>
  </r>
  <r>
    <x v="11"/>
    <x v="0"/>
    <x v="2"/>
  </r>
  <r>
    <x v="7"/>
    <x v="317"/>
    <x v="2"/>
  </r>
  <r>
    <x v="5"/>
    <x v="179"/>
    <x v="2"/>
  </r>
  <r>
    <x v="2"/>
    <x v="72"/>
    <x v="2"/>
  </r>
  <r>
    <x v="0"/>
    <x v="32"/>
    <x v="2"/>
  </r>
  <r>
    <x v="4"/>
    <x v="27"/>
    <x v="2"/>
  </r>
  <r>
    <x v="11"/>
    <x v="0"/>
    <x v="2"/>
  </r>
  <r>
    <x v="7"/>
    <x v="292"/>
    <x v="3"/>
  </r>
  <r>
    <x v="5"/>
    <x v="227"/>
    <x v="3"/>
  </r>
  <r>
    <x v="4"/>
    <x v="161"/>
    <x v="3"/>
  </r>
  <r>
    <x v="3"/>
    <x v="38"/>
    <x v="3"/>
  </r>
  <r>
    <x v="6"/>
    <x v="10"/>
    <x v="3"/>
  </r>
  <r>
    <x v="11"/>
    <x v="0"/>
    <x v="3"/>
  </r>
  <r>
    <x v="7"/>
    <x v="301"/>
    <x v="3"/>
  </r>
  <r>
    <x v="5"/>
    <x v="152"/>
    <x v="3"/>
  </r>
  <r>
    <x v="4"/>
    <x v="148"/>
    <x v="3"/>
  </r>
  <r>
    <x v="0"/>
    <x v="56"/>
    <x v="3"/>
  </r>
  <r>
    <x v="6"/>
    <x v="53"/>
    <x v="3"/>
  </r>
  <r>
    <x v="11"/>
    <x v="0"/>
    <x v="3"/>
  </r>
  <r>
    <x v="7"/>
    <x v="264"/>
    <x v="3"/>
  </r>
  <r>
    <x v="9"/>
    <x v="245"/>
    <x v="3"/>
  </r>
  <r>
    <x v="4"/>
    <x v="124"/>
    <x v="3"/>
  </r>
  <r>
    <x v="0"/>
    <x v="96"/>
    <x v="3"/>
  </r>
  <r>
    <x v="5"/>
    <x v="14"/>
    <x v="3"/>
  </r>
  <r>
    <x v="11"/>
    <x v="0"/>
    <x v="3"/>
  </r>
  <r>
    <x v="7"/>
    <x v="247"/>
    <x v="3"/>
  </r>
  <r>
    <x v="5"/>
    <x v="167"/>
    <x v="3"/>
  </r>
  <r>
    <x v="4"/>
    <x v="155"/>
    <x v="3"/>
  </r>
  <r>
    <x v="3"/>
    <x v="134"/>
    <x v="3"/>
  </r>
  <r>
    <x v="0"/>
    <x v="117"/>
    <x v="3"/>
  </r>
  <r>
    <x v="11"/>
    <x v="0"/>
    <x v="3"/>
  </r>
  <r>
    <x v="7"/>
    <x v="310"/>
    <x v="3"/>
  </r>
  <r>
    <x v="5"/>
    <x v="157"/>
    <x v="3"/>
  </r>
  <r>
    <x v="4"/>
    <x v="99"/>
    <x v="3"/>
  </r>
  <r>
    <x v="2"/>
    <x v="51"/>
    <x v="3"/>
  </r>
  <r>
    <x v="8"/>
    <x v="42"/>
    <x v="3"/>
  </r>
  <r>
    <x v="11"/>
    <x v="0"/>
    <x v="3"/>
  </r>
  <r>
    <x v="7"/>
    <x v="302"/>
    <x v="3"/>
  </r>
  <r>
    <x v="5"/>
    <x v="182"/>
    <x v="3"/>
  </r>
  <r>
    <x v="0"/>
    <x v="115"/>
    <x v="3"/>
  </r>
  <r>
    <x v="8"/>
    <x v="75"/>
    <x v="3"/>
  </r>
  <r>
    <x v="9"/>
    <x v="23"/>
    <x v="3"/>
  </r>
  <r>
    <x v="11"/>
    <x v="0"/>
    <x v="3"/>
  </r>
  <r>
    <x v="7"/>
    <x v="288"/>
    <x v="3"/>
  </r>
  <r>
    <x v="0"/>
    <x v="139"/>
    <x v="3"/>
  </r>
  <r>
    <x v="5"/>
    <x v="139"/>
    <x v="3"/>
  </r>
  <r>
    <x v="4"/>
    <x v="112"/>
    <x v="3"/>
  </r>
  <r>
    <x v="9"/>
    <x v="66"/>
    <x v="3"/>
  </r>
  <r>
    <x v="11"/>
    <x v="0"/>
    <x v="3"/>
  </r>
  <r>
    <x v="7"/>
    <x v="254"/>
    <x v="3"/>
  </r>
  <r>
    <x v="5"/>
    <x v="178"/>
    <x v="3"/>
  </r>
  <r>
    <x v="4"/>
    <x v="152"/>
    <x v="3"/>
  </r>
  <r>
    <x v="6"/>
    <x v="115"/>
    <x v="3"/>
  </r>
  <r>
    <x v="2"/>
    <x v="103"/>
    <x v="3"/>
  </r>
  <r>
    <x v="11"/>
    <x v="0"/>
    <x v="3"/>
  </r>
  <r>
    <x v="7"/>
    <x v="220"/>
    <x v="3"/>
  </r>
  <r>
    <x v="5"/>
    <x v="173"/>
    <x v="3"/>
  </r>
  <r>
    <x v="9"/>
    <x v="163"/>
    <x v="3"/>
  </r>
  <r>
    <x v="3"/>
    <x v="149"/>
    <x v="3"/>
  </r>
  <r>
    <x v="10"/>
    <x v="135"/>
    <x v="3"/>
  </r>
  <r>
    <x v="11"/>
    <x v="0"/>
    <x v="3"/>
  </r>
  <r>
    <x v="7"/>
    <x v="252"/>
    <x v="3"/>
  </r>
  <r>
    <x v="5"/>
    <x v="191"/>
    <x v="3"/>
  </r>
  <r>
    <x v="0"/>
    <x v="130"/>
    <x v="3"/>
  </r>
  <r>
    <x v="3"/>
    <x v="121"/>
    <x v="3"/>
  </r>
  <r>
    <x v="4"/>
    <x v="106"/>
    <x v="3"/>
  </r>
  <r>
    <x v="11"/>
    <x v="0"/>
    <x v="3"/>
  </r>
  <r>
    <x v="7"/>
    <x v="265"/>
    <x v="3"/>
  </r>
  <r>
    <x v="5"/>
    <x v="176"/>
    <x v="3"/>
  </r>
  <r>
    <x v="9"/>
    <x v="123"/>
    <x v="3"/>
  </r>
  <r>
    <x v="3"/>
    <x v="122"/>
    <x v="3"/>
  </r>
  <r>
    <x v="4"/>
    <x v="85"/>
    <x v="3"/>
  </r>
  <r>
    <x v="11"/>
    <x v="0"/>
    <x v="3"/>
  </r>
  <r>
    <x v="7"/>
    <x v="303"/>
    <x v="3"/>
  </r>
  <r>
    <x v="5"/>
    <x v="232"/>
    <x v="3"/>
  </r>
  <r>
    <x v="10"/>
    <x v="68"/>
    <x v="3"/>
  </r>
  <r>
    <x v="2"/>
    <x v="34"/>
    <x v="3"/>
  </r>
  <r>
    <x v="4"/>
    <x v="29"/>
    <x v="3"/>
  </r>
  <r>
    <x v="11"/>
    <x v="0"/>
    <x v="3"/>
  </r>
  <r>
    <x v="7"/>
    <x v="295"/>
    <x v="3"/>
  </r>
  <r>
    <x v="5"/>
    <x v="203"/>
    <x v="3"/>
  </r>
  <r>
    <x v="9"/>
    <x v="127"/>
    <x v="3"/>
  </r>
  <r>
    <x v="2"/>
    <x v="60"/>
    <x v="3"/>
  </r>
  <r>
    <x v="10"/>
    <x v="22"/>
    <x v="3"/>
  </r>
  <r>
    <x v="11"/>
    <x v="0"/>
    <x v="3"/>
  </r>
  <r>
    <x v="7"/>
    <x v="266"/>
    <x v="3"/>
  </r>
  <r>
    <x v="10"/>
    <x v="194"/>
    <x v="3"/>
  </r>
  <r>
    <x v="9"/>
    <x v="164"/>
    <x v="3"/>
  </r>
  <r>
    <x v="2"/>
    <x v="134"/>
    <x v="3"/>
  </r>
  <r>
    <x v="4"/>
    <x v="16"/>
    <x v="3"/>
  </r>
  <r>
    <x v="11"/>
    <x v="0"/>
    <x v="3"/>
  </r>
  <r>
    <x v="7"/>
    <x v="258"/>
    <x v="3"/>
  </r>
  <r>
    <x v="2"/>
    <x v="203"/>
    <x v="3"/>
  </r>
  <r>
    <x v="9"/>
    <x v="108"/>
    <x v="3"/>
  </r>
  <r>
    <x v="4"/>
    <x v="106"/>
    <x v="3"/>
  </r>
  <r>
    <x v="10"/>
    <x v="95"/>
    <x v="3"/>
  </r>
  <r>
    <x v="11"/>
    <x v="0"/>
    <x v="3"/>
  </r>
  <r>
    <x v="7"/>
    <x v="240"/>
    <x v="3"/>
  </r>
  <r>
    <x v="4"/>
    <x v="238"/>
    <x v="3"/>
  </r>
  <r>
    <x v="10"/>
    <x v="149"/>
    <x v="3"/>
  </r>
  <r>
    <x v="2"/>
    <x v="113"/>
    <x v="3"/>
  </r>
  <r>
    <x v="5"/>
    <x v="44"/>
    <x v="3"/>
  </r>
  <r>
    <x v="11"/>
    <x v="0"/>
    <x v="3"/>
  </r>
  <r>
    <x v="7"/>
    <x v="293"/>
    <x v="3"/>
  </r>
  <r>
    <x v="5"/>
    <x v="171"/>
    <x v="3"/>
  </r>
  <r>
    <x v="10"/>
    <x v="120"/>
    <x v="3"/>
  </r>
  <r>
    <x v="4"/>
    <x v="70"/>
    <x v="3"/>
  </r>
  <r>
    <x v="9"/>
    <x v="70"/>
    <x v="3"/>
  </r>
  <r>
    <x v="11"/>
    <x v="0"/>
    <x v="3"/>
  </r>
  <r>
    <x v="7"/>
    <x v="274"/>
    <x v="3"/>
  </r>
  <r>
    <x v="4"/>
    <x v="193"/>
    <x v="3"/>
  </r>
  <r>
    <x v="0"/>
    <x v="112"/>
    <x v="3"/>
  </r>
  <r>
    <x v="5"/>
    <x v="106"/>
    <x v="3"/>
  </r>
  <r>
    <x v="10"/>
    <x v="70"/>
    <x v="3"/>
  </r>
  <r>
    <x v="11"/>
    <x v="0"/>
    <x v="3"/>
  </r>
  <r>
    <x v="7"/>
    <x v="221"/>
    <x v="3"/>
  </r>
  <r>
    <x v="0"/>
    <x v="180"/>
    <x v="3"/>
  </r>
  <r>
    <x v="10"/>
    <x v="174"/>
    <x v="3"/>
  </r>
  <r>
    <x v="2"/>
    <x v="147"/>
    <x v="3"/>
  </r>
  <r>
    <x v="4"/>
    <x v="108"/>
    <x v="3"/>
  </r>
  <r>
    <x v="11"/>
    <x v="0"/>
    <x v="3"/>
  </r>
  <r>
    <x v="7"/>
    <x v="229"/>
    <x v="3"/>
  </r>
  <r>
    <x v="2"/>
    <x v="224"/>
    <x v="3"/>
  </r>
  <r>
    <x v="5"/>
    <x v="125"/>
    <x v="3"/>
  </r>
  <r>
    <x v="0"/>
    <x v="121"/>
    <x v="3"/>
  </r>
  <r>
    <x v="4"/>
    <x v="101"/>
    <x v="3"/>
  </r>
  <r>
    <x v="11"/>
    <x v="0"/>
    <x v="3"/>
  </r>
  <r>
    <x v="7"/>
    <x v="284"/>
    <x v="3"/>
  </r>
  <r>
    <x v="9"/>
    <x v="243"/>
    <x v="3"/>
  </r>
  <r>
    <x v="4"/>
    <x v="138"/>
    <x v="3"/>
  </r>
  <r>
    <x v="10"/>
    <x v="40"/>
    <x v="3"/>
  </r>
  <r>
    <x v="5"/>
    <x v="18"/>
    <x v="3"/>
  </r>
  <r>
    <x v="11"/>
    <x v="0"/>
    <x v="3"/>
  </r>
  <r>
    <x v="7"/>
    <x v="290"/>
    <x v="3"/>
  </r>
  <r>
    <x v="4"/>
    <x v="201"/>
    <x v="3"/>
  </r>
  <r>
    <x v="5"/>
    <x v="130"/>
    <x v="3"/>
  </r>
  <r>
    <x v="8"/>
    <x v="47"/>
    <x v="3"/>
  </r>
  <r>
    <x v="9"/>
    <x v="45"/>
    <x v="3"/>
  </r>
  <r>
    <x v="11"/>
    <x v="0"/>
    <x v="3"/>
  </r>
  <r>
    <x v="7"/>
    <x v="241"/>
    <x v="3"/>
  </r>
  <r>
    <x v="9"/>
    <x v="202"/>
    <x v="3"/>
  </r>
  <r>
    <x v="5"/>
    <x v="178"/>
    <x v="3"/>
  </r>
  <r>
    <x v="3"/>
    <x v="92"/>
    <x v="3"/>
  </r>
  <r>
    <x v="2"/>
    <x v="88"/>
    <x v="3"/>
  </r>
  <r>
    <x v="11"/>
    <x v="0"/>
    <x v="3"/>
  </r>
  <r>
    <x v="7"/>
    <x v="249"/>
    <x v="3"/>
  </r>
  <r>
    <x v="9"/>
    <x v="189"/>
    <x v="3"/>
  </r>
  <r>
    <x v="3"/>
    <x v="171"/>
    <x v="3"/>
  </r>
  <r>
    <x v="5"/>
    <x v="144"/>
    <x v="3"/>
  </r>
  <r>
    <x v="4"/>
    <x v="57"/>
    <x v="3"/>
  </r>
  <r>
    <x v="11"/>
    <x v="0"/>
    <x v="3"/>
  </r>
  <r>
    <x v="7"/>
    <x v="283"/>
    <x v="3"/>
  </r>
  <r>
    <x v="5"/>
    <x v="216"/>
    <x v="3"/>
  </r>
  <r>
    <x v="9"/>
    <x v="160"/>
    <x v="3"/>
  </r>
  <r>
    <x v="4"/>
    <x v="39"/>
    <x v="3"/>
  </r>
  <r>
    <x v="2"/>
    <x v="31"/>
    <x v="3"/>
  </r>
  <r>
    <x v="11"/>
    <x v="0"/>
    <x v="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50">
  <r>
    <x v="0"/>
    <x v="3"/>
    <x v="22"/>
  </r>
  <r>
    <x v="1"/>
    <x v="3"/>
    <x v="48"/>
  </r>
  <r>
    <x v="2"/>
    <x v="3"/>
    <x v="56"/>
  </r>
  <r>
    <x v="3"/>
    <x v="3"/>
    <x v="6"/>
  </r>
  <r>
    <x v="4"/>
    <x v="3"/>
    <x v="134"/>
  </r>
  <r>
    <x v="5"/>
    <x v="3"/>
    <x v="28"/>
  </r>
  <r>
    <x v="6"/>
    <x v="3"/>
    <x v="109"/>
  </r>
  <r>
    <x v="7"/>
    <x v="3"/>
    <x v="2"/>
  </r>
  <r>
    <x v="8"/>
    <x v="3"/>
    <x v="49"/>
  </r>
  <r>
    <x v="9"/>
    <x v="3"/>
    <x v="46"/>
  </r>
  <r>
    <x v="10"/>
    <x v="3"/>
    <x v="138"/>
  </r>
  <r>
    <x v="11"/>
    <x v="3"/>
    <x v="113"/>
  </r>
  <r>
    <x v="12"/>
    <x v="3"/>
    <x v="26"/>
  </r>
  <r>
    <x v="13"/>
    <x v="3"/>
    <x v="54"/>
  </r>
  <r>
    <x v="14"/>
    <x v="3"/>
    <x v="27"/>
  </r>
  <r>
    <x v="15"/>
    <x v="3"/>
    <x v="97"/>
  </r>
  <r>
    <x v="16"/>
    <x v="3"/>
    <x v="9"/>
  </r>
  <r>
    <x v="17"/>
    <x v="3"/>
    <x v="79"/>
  </r>
  <r>
    <x v="18"/>
    <x v="3"/>
    <x v="62"/>
  </r>
  <r>
    <x v="19"/>
    <x v="3"/>
    <x v="72"/>
  </r>
  <r>
    <x v="20"/>
    <x v="3"/>
    <x v="149"/>
  </r>
  <r>
    <x v="21"/>
    <x v="3"/>
    <x v="33"/>
  </r>
  <r>
    <x v="22"/>
    <x v="3"/>
    <x v="68"/>
  </r>
  <r>
    <x v="23"/>
    <x v="3"/>
    <x v="122"/>
  </r>
  <r>
    <x v="24"/>
    <x v="3"/>
    <x v="133"/>
  </r>
  <r>
    <x v="0"/>
    <x v="0"/>
    <x v="35"/>
  </r>
  <r>
    <x v="1"/>
    <x v="0"/>
    <x v="120"/>
  </r>
  <r>
    <x v="2"/>
    <x v="0"/>
    <x v="32"/>
  </r>
  <r>
    <x v="3"/>
    <x v="0"/>
    <x v="117"/>
  </r>
  <r>
    <x v="4"/>
    <x v="0"/>
    <x v="30"/>
  </r>
  <r>
    <x v="5"/>
    <x v="0"/>
    <x v="132"/>
  </r>
  <r>
    <x v="6"/>
    <x v="0"/>
    <x v="142"/>
  </r>
  <r>
    <x v="7"/>
    <x v="0"/>
    <x v="74"/>
  </r>
  <r>
    <x v="8"/>
    <x v="0"/>
    <x v="19"/>
  </r>
  <r>
    <x v="9"/>
    <x v="0"/>
    <x v="141"/>
  </r>
  <r>
    <x v="10"/>
    <x v="0"/>
    <x v="103"/>
  </r>
  <r>
    <x v="11"/>
    <x v="0"/>
    <x v="51"/>
  </r>
  <r>
    <x v="12"/>
    <x v="0"/>
    <x v="86"/>
  </r>
  <r>
    <x v="13"/>
    <x v="0"/>
    <x v="1"/>
  </r>
  <r>
    <x v="14"/>
    <x v="0"/>
    <x v="69"/>
  </r>
  <r>
    <x v="15"/>
    <x v="0"/>
    <x v="91"/>
  </r>
  <r>
    <x v="16"/>
    <x v="0"/>
    <x v="76"/>
  </r>
  <r>
    <x v="17"/>
    <x v="0"/>
    <x v="17"/>
  </r>
  <r>
    <x v="18"/>
    <x v="0"/>
    <x v="118"/>
  </r>
  <r>
    <x v="19"/>
    <x v="0"/>
    <x v="23"/>
  </r>
  <r>
    <x v="20"/>
    <x v="0"/>
    <x v="139"/>
  </r>
  <r>
    <x v="21"/>
    <x v="0"/>
    <x v="66"/>
  </r>
  <r>
    <x v="22"/>
    <x v="0"/>
    <x v="50"/>
  </r>
  <r>
    <x v="23"/>
    <x v="0"/>
    <x v="83"/>
  </r>
  <r>
    <x v="24"/>
    <x v="0"/>
    <x v="67"/>
  </r>
  <r>
    <x v="0"/>
    <x v="2"/>
    <x v="43"/>
  </r>
  <r>
    <x v="1"/>
    <x v="2"/>
    <x v="44"/>
  </r>
  <r>
    <x v="2"/>
    <x v="2"/>
    <x v="70"/>
  </r>
  <r>
    <x v="3"/>
    <x v="2"/>
    <x v="110"/>
  </r>
  <r>
    <x v="4"/>
    <x v="2"/>
    <x v="20"/>
  </r>
  <r>
    <x v="5"/>
    <x v="2"/>
    <x v="16"/>
  </r>
  <r>
    <x v="6"/>
    <x v="2"/>
    <x v="143"/>
  </r>
  <r>
    <x v="7"/>
    <x v="2"/>
    <x v="126"/>
  </r>
  <r>
    <x v="8"/>
    <x v="2"/>
    <x v="104"/>
  </r>
  <r>
    <x v="9"/>
    <x v="2"/>
    <x v="147"/>
  </r>
  <r>
    <x v="10"/>
    <x v="2"/>
    <x v="145"/>
  </r>
  <r>
    <x v="11"/>
    <x v="2"/>
    <x v="64"/>
  </r>
  <r>
    <x v="12"/>
    <x v="2"/>
    <x v="34"/>
  </r>
  <r>
    <x v="13"/>
    <x v="2"/>
    <x v="63"/>
  </r>
  <r>
    <x v="14"/>
    <x v="2"/>
    <x v="55"/>
  </r>
  <r>
    <x v="15"/>
    <x v="2"/>
    <x v="102"/>
  </r>
  <r>
    <x v="16"/>
    <x v="2"/>
    <x v="93"/>
  </r>
  <r>
    <x v="17"/>
    <x v="2"/>
    <x v="25"/>
  </r>
  <r>
    <x v="18"/>
    <x v="2"/>
    <x v="42"/>
  </r>
  <r>
    <x v="19"/>
    <x v="2"/>
    <x v="65"/>
  </r>
  <r>
    <x v="20"/>
    <x v="2"/>
    <x v="148"/>
  </r>
  <r>
    <x v="21"/>
    <x v="2"/>
    <x v="37"/>
  </r>
  <r>
    <x v="22"/>
    <x v="2"/>
    <x v="127"/>
  </r>
  <r>
    <x v="23"/>
    <x v="2"/>
    <x v="82"/>
  </r>
  <r>
    <x v="24"/>
    <x v="2"/>
    <x v="4"/>
  </r>
  <r>
    <x v="0"/>
    <x v="5"/>
    <x v="57"/>
  </r>
  <r>
    <x v="1"/>
    <x v="5"/>
    <x v="12"/>
  </r>
  <r>
    <x v="2"/>
    <x v="5"/>
    <x v="115"/>
  </r>
  <r>
    <x v="3"/>
    <x v="5"/>
    <x v="111"/>
  </r>
  <r>
    <x v="4"/>
    <x v="5"/>
    <x v="136"/>
  </r>
  <r>
    <x v="5"/>
    <x v="5"/>
    <x v="39"/>
  </r>
  <r>
    <x v="6"/>
    <x v="5"/>
    <x v="106"/>
  </r>
  <r>
    <x v="7"/>
    <x v="5"/>
    <x v="124"/>
  </r>
  <r>
    <x v="8"/>
    <x v="5"/>
    <x v="52"/>
  </r>
  <r>
    <x v="9"/>
    <x v="5"/>
    <x v="144"/>
  </r>
  <r>
    <x v="10"/>
    <x v="5"/>
    <x v="80"/>
  </r>
  <r>
    <x v="11"/>
    <x v="5"/>
    <x v="61"/>
  </r>
  <r>
    <x v="12"/>
    <x v="5"/>
    <x v="11"/>
  </r>
  <r>
    <x v="13"/>
    <x v="5"/>
    <x v="8"/>
  </r>
  <r>
    <x v="14"/>
    <x v="5"/>
    <x v="40"/>
  </r>
  <r>
    <x v="15"/>
    <x v="5"/>
    <x v="13"/>
  </r>
  <r>
    <x v="16"/>
    <x v="5"/>
    <x v="88"/>
  </r>
  <r>
    <x v="17"/>
    <x v="5"/>
    <x v="100"/>
  </r>
  <r>
    <x v="18"/>
    <x v="5"/>
    <x v="29"/>
  </r>
  <r>
    <x v="19"/>
    <x v="5"/>
    <x v="119"/>
  </r>
  <r>
    <x v="20"/>
    <x v="5"/>
    <x v="75"/>
  </r>
  <r>
    <x v="21"/>
    <x v="5"/>
    <x v="5"/>
  </r>
  <r>
    <x v="22"/>
    <x v="5"/>
    <x v="84"/>
  </r>
  <r>
    <x v="23"/>
    <x v="5"/>
    <x v="60"/>
  </r>
  <r>
    <x v="24"/>
    <x v="5"/>
    <x v="135"/>
  </r>
  <r>
    <x v="0"/>
    <x v="4"/>
    <x v="90"/>
  </r>
  <r>
    <x v="1"/>
    <x v="4"/>
    <x v="116"/>
  </r>
  <r>
    <x v="2"/>
    <x v="4"/>
    <x v="129"/>
  </r>
  <r>
    <x v="3"/>
    <x v="4"/>
    <x v="10"/>
  </r>
  <r>
    <x v="4"/>
    <x v="4"/>
    <x v="140"/>
  </r>
  <r>
    <x v="5"/>
    <x v="4"/>
    <x v="112"/>
  </r>
  <r>
    <x v="6"/>
    <x v="4"/>
    <x v="107"/>
  </r>
  <r>
    <x v="7"/>
    <x v="4"/>
    <x v="77"/>
  </r>
  <r>
    <x v="8"/>
    <x v="4"/>
    <x v="45"/>
  </r>
  <r>
    <x v="9"/>
    <x v="4"/>
    <x v="47"/>
  </r>
  <r>
    <x v="10"/>
    <x v="4"/>
    <x v="31"/>
  </r>
  <r>
    <x v="11"/>
    <x v="4"/>
    <x v="108"/>
  </r>
  <r>
    <x v="12"/>
    <x v="4"/>
    <x v="81"/>
  </r>
  <r>
    <x v="13"/>
    <x v="4"/>
    <x v="7"/>
  </r>
  <r>
    <x v="14"/>
    <x v="4"/>
    <x v="101"/>
  </r>
  <r>
    <x v="15"/>
    <x v="4"/>
    <x v="87"/>
  </r>
  <r>
    <x v="16"/>
    <x v="4"/>
    <x v="21"/>
  </r>
  <r>
    <x v="17"/>
    <x v="4"/>
    <x v="105"/>
  </r>
  <r>
    <x v="18"/>
    <x v="4"/>
    <x v="131"/>
  </r>
  <r>
    <x v="19"/>
    <x v="4"/>
    <x v="130"/>
  </r>
  <r>
    <x v="20"/>
    <x v="4"/>
    <x v="146"/>
  </r>
  <r>
    <x v="21"/>
    <x v="4"/>
    <x v="71"/>
  </r>
  <r>
    <x v="22"/>
    <x v="4"/>
    <x v="36"/>
  </r>
  <r>
    <x v="23"/>
    <x v="4"/>
    <x v="123"/>
  </r>
  <r>
    <x v="24"/>
    <x v="4"/>
    <x v="98"/>
  </r>
  <r>
    <x v="0"/>
    <x v="1"/>
    <x v="73"/>
  </r>
  <r>
    <x v="1"/>
    <x v="1"/>
    <x v="137"/>
  </r>
  <r>
    <x v="2"/>
    <x v="1"/>
    <x v="94"/>
  </r>
  <r>
    <x v="3"/>
    <x v="1"/>
    <x v="18"/>
  </r>
  <r>
    <x v="4"/>
    <x v="1"/>
    <x v="41"/>
  </r>
  <r>
    <x v="5"/>
    <x v="1"/>
    <x v="125"/>
  </r>
  <r>
    <x v="6"/>
    <x v="1"/>
    <x v="3"/>
  </r>
  <r>
    <x v="7"/>
    <x v="1"/>
    <x v="78"/>
  </r>
  <r>
    <x v="8"/>
    <x v="1"/>
    <x v="95"/>
  </r>
  <r>
    <x v="9"/>
    <x v="1"/>
    <x v="89"/>
  </r>
  <r>
    <x v="10"/>
    <x v="1"/>
    <x v="128"/>
  </r>
  <r>
    <x v="11"/>
    <x v="1"/>
    <x v="15"/>
  </r>
  <r>
    <x v="12"/>
    <x v="1"/>
    <x v="53"/>
  </r>
  <r>
    <x v="13"/>
    <x v="1"/>
    <x v="59"/>
  </r>
  <r>
    <x v="14"/>
    <x v="1"/>
    <x v="114"/>
  </r>
  <r>
    <x v="15"/>
    <x v="1"/>
    <x v="14"/>
  </r>
  <r>
    <x v="16"/>
    <x v="1"/>
    <x v="24"/>
  </r>
  <r>
    <x v="17"/>
    <x v="1"/>
    <x v="38"/>
  </r>
  <r>
    <x v="18"/>
    <x v="1"/>
    <x v="92"/>
  </r>
  <r>
    <x v="19"/>
    <x v="1"/>
    <x v="85"/>
  </r>
  <r>
    <x v="20"/>
    <x v="1"/>
    <x v="121"/>
  </r>
  <r>
    <x v="21"/>
    <x v="1"/>
    <x v="96"/>
  </r>
  <r>
    <x v="22"/>
    <x v="1"/>
    <x v="99"/>
  </r>
  <r>
    <x v="23"/>
    <x v="1"/>
    <x v="0"/>
  </r>
  <r>
    <x v="24"/>
    <x v="1"/>
    <x v="58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3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3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4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3.xml"/>
</Relationships>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3.xml"/>
</Relationships>
</file>

<file path=xl/pivotTables/_rels/pivotTable8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5.xml"/>
</Relationships>
</file>

<file path=xl/pivotTables/pivotTable1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E8:L35" firstHeaderRow="1" firstDataRow="2" firstDataCol="1"/>
  <pivotFields count="3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dataField="1" compact="0" outline="0"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- abs delta" fld="2" subtotal="count" numFmtId="165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3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E156:L170" firstHeaderRow="1" firstDataRow="2" firstDataCol="1"/>
  <pivotFields count="3"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dataField="1" compact="0" outline="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- abs delta" fld="2" subtotal="count" numFmtId="165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4" cacheId="3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H2:M29" firstHeaderRow="1" firstDataRow="2" firstDataCol="1"/>
  <pivotFields count="4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compact="0" outline="0" showAll="0"/>
    <pivotField compact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- anchorName" fld="1" subtotal="count" numFmtId="165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5" cacheId="3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H32:N238" firstHeaderRow="1" firstDataRow="2" firstDataCol="2"/>
  <pivotFields count="4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2">
    <field x="0"/>
    <field x="1"/>
  </rowFields>
  <rowItems count="205">
    <i>
      <x/>
      <x/>
    </i>
    <i r="1">
      <x v="3"/>
    </i>
    <i r="1">
      <x v="4"/>
    </i>
    <i r="1">
      <x v="5"/>
    </i>
    <i r="1">
      <x v="6"/>
    </i>
    <i r="1">
      <x v="7"/>
    </i>
    <i r="1">
      <x v="9"/>
    </i>
    <i r="1">
      <x v="11"/>
    </i>
    <i>
      <x v="1"/>
      <x/>
    </i>
    <i r="1">
      <x v="3"/>
    </i>
    <i r="1">
      <x v="4"/>
    </i>
    <i r="1">
      <x v="5"/>
    </i>
    <i r="1">
      <x v="6"/>
    </i>
    <i r="1">
      <x v="7"/>
    </i>
    <i r="1">
      <x v="9"/>
    </i>
    <i r="1">
      <x v="11"/>
    </i>
    <i>
      <x v="2"/>
      <x/>
    </i>
    <i r="1">
      <x v="3"/>
    </i>
    <i r="1">
      <x v="4"/>
    </i>
    <i r="1">
      <x v="5"/>
    </i>
    <i r="1">
      <x v="7"/>
    </i>
    <i r="1">
      <x v="9"/>
    </i>
    <i r="1">
      <x v="11"/>
    </i>
    <i>
      <x v="3"/>
      <x/>
    </i>
    <i r="1">
      <x v="1"/>
    </i>
    <i r="1">
      <x v="3"/>
    </i>
    <i r="1">
      <x v="4"/>
    </i>
    <i r="1">
      <x v="5"/>
    </i>
    <i r="1">
      <x v="7"/>
    </i>
    <i r="1">
      <x v="9"/>
    </i>
    <i r="1">
      <x v="11"/>
    </i>
    <i>
      <x v="4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>
      <x v="5"/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  <x/>
    </i>
    <i r="1">
      <x v="2"/>
    </i>
    <i r="1">
      <x v="4"/>
    </i>
    <i r="1">
      <x v="5"/>
    </i>
    <i r="1">
      <x v="7"/>
    </i>
    <i r="1">
      <x v="9"/>
    </i>
    <i r="1">
      <x v="10"/>
    </i>
    <i r="1">
      <x v="11"/>
    </i>
    <i>
      <x v="7"/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1"/>
    </i>
    <i>
      <x v="8"/>
      <x/>
    </i>
    <i r="1">
      <x v="2"/>
    </i>
    <i r="1">
      <x v="3"/>
    </i>
    <i r="1">
      <x v="4"/>
    </i>
    <i r="1">
      <x v="5"/>
    </i>
    <i r="1">
      <x v="7"/>
    </i>
    <i r="1">
      <x v="9"/>
    </i>
    <i r="1">
      <x v="10"/>
    </i>
    <i r="1">
      <x v="11"/>
    </i>
    <i>
      <x v="9"/>
      <x/>
    </i>
    <i r="1">
      <x v="3"/>
    </i>
    <i r="1">
      <x v="4"/>
    </i>
    <i r="1">
      <x v="5"/>
    </i>
    <i r="1">
      <x v="6"/>
    </i>
    <i r="1">
      <x v="7"/>
    </i>
    <i r="1">
      <x v="9"/>
    </i>
    <i r="1">
      <x v="11"/>
    </i>
    <i>
      <x v="10"/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1"/>
    </i>
    <i>
      <x v="11"/>
      <x v="2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>
      <x v="12"/>
      <x v="2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>
      <x v="13"/>
      <x v="2"/>
    </i>
    <i r="1">
      <x v="4"/>
    </i>
    <i r="1">
      <x v="7"/>
    </i>
    <i r="1">
      <x v="9"/>
    </i>
    <i r="1">
      <x v="10"/>
    </i>
    <i r="1">
      <x v="11"/>
    </i>
    <i>
      <x v="14"/>
      <x v="2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>
      <x v="15"/>
      <x/>
    </i>
    <i r="1">
      <x v="2"/>
    </i>
    <i r="1">
      <x v="4"/>
    </i>
    <i r="1">
      <x v="5"/>
    </i>
    <i r="1">
      <x v="7"/>
    </i>
    <i r="1">
      <x v="9"/>
    </i>
    <i r="1">
      <x v="10"/>
    </i>
    <i r="1">
      <x v="11"/>
    </i>
    <i>
      <x v="16"/>
      <x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>
      <x v="17"/>
      <x/>
    </i>
    <i r="1">
      <x v="2"/>
    </i>
    <i r="1">
      <x v="4"/>
    </i>
    <i r="1">
      <x v="5"/>
    </i>
    <i r="1">
      <x v="7"/>
    </i>
    <i r="1">
      <x v="9"/>
    </i>
    <i r="1">
      <x v="10"/>
    </i>
    <i r="1">
      <x v="11"/>
    </i>
    <i>
      <x v="18"/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>
      <x v="19"/>
      <x/>
    </i>
    <i r="1">
      <x v="2"/>
    </i>
    <i r="1">
      <x v="4"/>
    </i>
    <i r="1">
      <x v="5"/>
    </i>
    <i r="1">
      <x v="7"/>
    </i>
    <i r="1">
      <x v="9"/>
    </i>
    <i r="1">
      <x v="10"/>
    </i>
    <i r="1">
      <x v="11"/>
    </i>
    <i>
      <x v="20"/>
      <x v="2"/>
    </i>
    <i r="1">
      <x v="4"/>
    </i>
    <i r="1">
      <x v="5"/>
    </i>
    <i r="1">
      <x v="7"/>
    </i>
    <i r="1">
      <x v="9"/>
    </i>
    <i r="1">
      <x v="10"/>
    </i>
    <i r="1">
      <x v="11"/>
    </i>
    <i>
      <x v="21"/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1"/>
    </i>
    <i>
      <x v="22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1"/>
    </i>
    <i>
      <x v="23"/>
      <x/>
    </i>
    <i r="1">
      <x v="2"/>
    </i>
    <i r="1">
      <x v="3"/>
    </i>
    <i r="1">
      <x v="4"/>
    </i>
    <i r="1">
      <x v="5"/>
    </i>
    <i r="1">
      <x v="7"/>
    </i>
    <i r="1">
      <x v="9"/>
    </i>
    <i r="1">
      <x v="11"/>
    </i>
    <i>
      <x v="24"/>
      <x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- weight" fld="2" subtotal="sum" numFmtId="164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DataPilot6" cacheId="4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H241:M255" firstHeaderRow="1" firstDataRow="2" firstDataCol="1"/>
  <pivotFields count="3"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- weight" fld="1" subtotal="count" numFmtId="165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DataPilot7" cacheId="3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H357:M371" firstHeaderRow="1" firstDataRow="2" firstDataCol="1"/>
  <pivotFields count="4">
    <pivotField compact="0" showAll="0"/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Average - weight" fld="2" subtotal="average" numFmtId="164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DataPilot8" cacheId="3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H374:N401" firstHeaderRow="1" firstDataRow="2" firstDataCol="2"/>
  <pivotFields count="4">
    <pivotField compact="0" showAll="0"/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1"/>
  </rowFields>
  <rowItems count="26">
    <i>
      <x/>
    </i>
    <i r="1"/>
    <i>
      <x v="1"/>
    </i>
    <i r="1"/>
    <i>
      <x v="2"/>
    </i>
    <i r="1"/>
    <i>
      <x v="3"/>
    </i>
    <i r="1"/>
    <i>
      <x v="4"/>
    </i>
    <i r="1"/>
    <i>
      <x v="5"/>
    </i>
    <i r="1"/>
    <i>
      <x v="6"/>
    </i>
    <i r="1"/>
    <i>
      <x v="7"/>
    </i>
    <i r="1"/>
    <i>
      <x v="8"/>
    </i>
    <i r="1"/>
    <i>
      <x v="9"/>
    </i>
    <i r="1"/>
    <i>
      <x v="10"/>
    </i>
    <i r="1"/>
    <i>
      <x v="11"/>
    </i>
    <i r="1"/>
    <i t="default">
      <x/>
    </i>
    <i t="default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2">
    <dataField name="Count - weight" fld="2" subtotal="count" numFmtId="165"/>
    <dataField name="Average - weight*" fld="2" subtotal="average" numFmtId="164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DataPilot1" cacheId="5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H28" firstHeaderRow="1" firstDataRow="2" firstDataCol="1"/>
  <pivotFields count="3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dataField="1" compact="0" outline="0"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- abs delta" fld="2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8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1.xml"/><Relationship Id="rId3" Type="http://schemas.openxmlformats.org/officeDocument/2006/relationships/pivotTable" Target="../pivotTables/pivot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pivotTable" Target="../pivotTables/pivotTable5.xml"/><Relationship Id="rId4" Type="http://schemas.openxmlformats.org/officeDocument/2006/relationships/pivotTable" Target="../pivotTables/pivotTable6.xml"/><Relationship Id="rId5" Type="http://schemas.openxmlformats.org/officeDocument/2006/relationships/pivotTable" Target="../pivotTables/pivot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3"/>
  <sheetViews>
    <sheetView showFormulas="false" showGridLines="true" showRowColHeaders="true" showZeros="true" rightToLeft="false" tabSelected="false" showOutlineSymbols="true" defaultGridColor="true" view="normal" topLeftCell="A186" colorId="64" zoomScale="125" zoomScaleNormal="125" zoomScalePageLayoutView="100" workbookViewId="0">
      <selection pane="topLeft" activeCell="D120" activeCellId="0" sqref="D120"/>
    </sheetView>
  </sheetViews>
  <sheetFormatPr defaultColWidth="12.8046875" defaultRowHeight="12.8" customHeight="false" zeroHeight="false" outlineLevelRow="0" outlineLevelCol="0"/>
  <cols>
    <col collapsed="false" customWidth="true" hidden="false" outlineLevel="0" max="1" min="1" style="1" width="18.9"/>
    <col collapsed="false" customWidth="true" hidden="false" outlineLevel="0" max="4" min="4" style="1" width="19.88"/>
    <col collapsed="false" customWidth="true" hidden="false" outlineLevel="0" max="6" min="6" style="1" width="18.77"/>
    <col collapsed="false" customWidth="true" hidden="false" outlineLevel="0" max="9" min="9" style="2" width="28.16"/>
    <col collapsed="false" customWidth="true" hidden="false" outlineLevel="0" max="10" min="10" style="1" width="17.78"/>
    <col collapsed="false" customWidth="true" hidden="false" outlineLevel="0" max="11" min="11" style="1" width="15.81"/>
  </cols>
  <sheetData>
    <row r="1" customFormat="false" ht="12.8" hidden="false" customHeight="false" outlineLevel="0" collapsed="false">
      <c r="A1" s="3" t="s">
        <v>0</v>
      </c>
      <c r="B1" s="4" t="s">
        <v>1</v>
      </c>
      <c r="C1" s="5"/>
      <c r="D1" s="5"/>
      <c r="E1" s="5"/>
      <c r="F1" s="5"/>
      <c r="G1" s="5"/>
      <c r="H1" s="6"/>
    </row>
    <row r="2" customFormat="false" ht="12.8" hidden="false" customHeight="false" outlineLevel="0" collapsed="false">
      <c r="A2" s="7" t="s">
        <v>2</v>
      </c>
      <c r="B2" s="8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10" t="s">
        <v>9</v>
      </c>
    </row>
    <row r="3" customFormat="false" ht="12.8" hidden="false" customHeight="false" outlineLevel="0" collapsed="false">
      <c r="A3" s="11" t="n">
        <v>1</v>
      </c>
      <c r="B3" s="12" t="n">
        <v>0.0103663761241036</v>
      </c>
      <c r="C3" s="13" t="n">
        <v>0.0237218040160564</v>
      </c>
      <c r="D3" s="13" t="n">
        <v>0.0133554278919528</v>
      </c>
      <c r="E3" s="13" t="n">
        <v>0.00655933684335264</v>
      </c>
      <c r="F3" s="13" t="n">
        <v>0.030281140859409</v>
      </c>
      <c r="G3" s="14" t="n">
        <v>0.0199147647353054</v>
      </c>
      <c r="H3" s="15" t="n">
        <v>0.10419885047018</v>
      </c>
    </row>
    <row r="4" customFormat="false" ht="12.8" hidden="false" customHeight="false" outlineLevel="0" collapsed="false">
      <c r="A4" s="16" t="n">
        <v>2</v>
      </c>
      <c r="B4" s="17" t="n">
        <v>0.0452091912493637</v>
      </c>
      <c r="C4" s="18" t="n">
        <v>0.0585998661023318</v>
      </c>
      <c r="D4" s="18" t="n">
        <v>0.0133906748529681</v>
      </c>
      <c r="E4" s="18" t="n">
        <v>0.0157278275107814</v>
      </c>
      <c r="F4" s="18" t="n">
        <v>0.0428720385915504</v>
      </c>
      <c r="G4" s="19" t="n">
        <v>0.00233715265781331</v>
      </c>
      <c r="H4" s="20" t="n">
        <v>0.178136750964809</v>
      </c>
    </row>
    <row r="5" customFormat="false" ht="12.8" hidden="false" customHeight="false" outlineLevel="0" collapsed="false">
      <c r="A5" s="16" t="n">
        <v>3</v>
      </c>
      <c r="B5" s="17" t="n">
        <v>0.00908185607431311</v>
      </c>
      <c r="C5" s="18" t="n">
        <v>0.0319218018646731</v>
      </c>
      <c r="D5" s="18" t="n">
        <v>0.02283994579036</v>
      </c>
      <c r="E5" s="18" t="n">
        <v>0.019447974233933</v>
      </c>
      <c r="F5" s="18" t="n">
        <v>0.051369776098606</v>
      </c>
      <c r="G5" s="19" t="n">
        <v>0.0422879200242929</v>
      </c>
      <c r="H5" s="20" t="n">
        <v>0.176949274086178</v>
      </c>
    </row>
    <row r="6" customFormat="false" ht="12.8" hidden="false" customHeight="false" outlineLevel="0" collapsed="false">
      <c r="A6" s="16" t="n">
        <v>4</v>
      </c>
      <c r="B6" s="17" t="n">
        <v>0.0435096973878786</v>
      </c>
      <c r="C6" s="18" t="n">
        <v>0.00377426891002974</v>
      </c>
      <c r="D6" s="18" t="n">
        <v>0.0397354284778488</v>
      </c>
      <c r="E6" s="18" t="n">
        <v>0.00153425342679703</v>
      </c>
      <c r="F6" s="18" t="n">
        <v>0.00224001548323272</v>
      </c>
      <c r="G6" s="19" t="n">
        <v>0.0412696819046459</v>
      </c>
      <c r="H6" s="20" t="n">
        <v>0.132063345590433</v>
      </c>
    </row>
    <row r="7" customFormat="false" ht="12.8" hidden="false" customHeight="false" outlineLevel="0" collapsed="false">
      <c r="A7" s="16" t="n">
        <v>5</v>
      </c>
      <c r="B7" s="17" t="n">
        <v>0.00829005875960809</v>
      </c>
      <c r="C7" s="18" t="n">
        <v>0.0124787151706647</v>
      </c>
      <c r="D7" s="18" t="n">
        <v>0.00418865641105659</v>
      </c>
      <c r="E7" s="18" t="n">
        <v>0.0543553746201964</v>
      </c>
      <c r="F7" s="18" t="n">
        <v>0.066834089790861</v>
      </c>
      <c r="G7" s="19" t="n">
        <v>0.0585440310312529</v>
      </c>
      <c r="H7" s="20" t="n">
        <v>0.20469092578364</v>
      </c>
    </row>
    <row r="8" customFormat="false" ht="12.8" hidden="false" customHeight="false" outlineLevel="0" collapsed="false">
      <c r="A8" s="16" t="n">
        <v>6</v>
      </c>
      <c r="B8" s="17" t="n">
        <v>0.0528169411349331</v>
      </c>
      <c r="C8" s="18" t="n">
        <v>0.0492976647714698</v>
      </c>
      <c r="D8" s="18" t="n">
        <v>0.00351927636346328</v>
      </c>
      <c r="E8" s="18" t="n">
        <v>0.00785814422102371</v>
      </c>
      <c r="F8" s="18" t="n">
        <v>0.0414395205504461</v>
      </c>
      <c r="G8" s="19" t="n">
        <v>0.011377420584487</v>
      </c>
      <c r="H8" s="20" t="n">
        <v>0.166308967625823</v>
      </c>
    </row>
    <row r="9" customFormat="false" ht="12.8" hidden="false" customHeight="false" outlineLevel="0" collapsed="false">
      <c r="A9" s="16" t="n">
        <v>7</v>
      </c>
      <c r="B9" s="17" t="n">
        <v>0.0766334795407158</v>
      </c>
      <c r="C9" s="18" t="n">
        <v>0.0010006125299169</v>
      </c>
      <c r="D9" s="18" t="n">
        <v>0.0776340920706327</v>
      </c>
      <c r="E9" s="18" t="n">
        <v>0.0396339693001403</v>
      </c>
      <c r="F9" s="18" t="n">
        <v>0.0386333567702234</v>
      </c>
      <c r="G9" s="19" t="n">
        <v>0.0380001227704924</v>
      </c>
      <c r="H9" s="20" t="n">
        <v>0.271535632982122</v>
      </c>
    </row>
    <row r="10" customFormat="false" ht="12.8" hidden="false" customHeight="false" outlineLevel="0" collapsed="false">
      <c r="A10" s="16" t="n">
        <v>8</v>
      </c>
      <c r="B10" s="17" t="n">
        <v>0.0240038654198511</v>
      </c>
      <c r="C10" s="18" t="n">
        <v>0.025624037255785</v>
      </c>
      <c r="D10" s="18" t="n">
        <v>0.0496279026756361</v>
      </c>
      <c r="E10" s="18" t="n">
        <v>0.000429948444238382</v>
      </c>
      <c r="F10" s="18" t="n">
        <v>0.0251940888115466</v>
      </c>
      <c r="G10" s="19" t="n">
        <v>0.0491979542313977</v>
      </c>
      <c r="H10" s="20" t="n">
        <v>0.174077796838455</v>
      </c>
    </row>
    <row r="11" customFormat="false" ht="12.8" hidden="false" customHeight="false" outlineLevel="0" collapsed="false">
      <c r="A11" s="16" t="n">
        <v>9</v>
      </c>
      <c r="B11" s="17" t="n">
        <v>0.00405547696060882</v>
      </c>
      <c r="C11" s="18" t="n">
        <v>0.0319260523554026</v>
      </c>
      <c r="D11" s="18" t="n">
        <v>0.0359815293160114</v>
      </c>
      <c r="E11" s="18" t="n">
        <v>0.0175164592659253</v>
      </c>
      <c r="F11" s="18" t="n">
        <v>0.0144095930894773</v>
      </c>
      <c r="G11" s="19" t="n">
        <v>0.0184650700500861</v>
      </c>
      <c r="H11" s="20" t="n">
        <v>0.122354181037512</v>
      </c>
    </row>
    <row r="12" customFormat="false" ht="12.8" hidden="false" customHeight="false" outlineLevel="0" collapsed="false">
      <c r="A12" s="16" t="n">
        <v>10</v>
      </c>
      <c r="B12" s="17" t="n">
        <v>0.0677962569399365</v>
      </c>
      <c r="C12" s="18" t="n">
        <v>0.0298170346819745</v>
      </c>
      <c r="D12" s="18" t="n">
        <v>0.097613291621911</v>
      </c>
      <c r="E12" s="18" t="n">
        <v>0.0145550581320186</v>
      </c>
      <c r="F12" s="18" t="n">
        <v>0.0152619765499559</v>
      </c>
      <c r="G12" s="19" t="n">
        <v>0.0830582334898924</v>
      </c>
      <c r="H12" s="20" t="n">
        <v>0.308101851415689</v>
      </c>
    </row>
    <row r="13" customFormat="false" ht="12.8" hidden="false" customHeight="false" outlineLevel="0" collapsed="false">
      <c r="A13" s="16" t="n">
        <v>11</v>
      </c>
      <c r="B13" s="17" t="n">
        <v>0.0347986196752406</v>
      </c>
      <c r="C13" s="18" t="n">
        <v>0.0511995188108463</v>
      </c>
      <c r="D13" s="18" t="n">
        <v>0.0859981384860868</v>
      </c>
      <c r="E13" s="18" t="n">
        <v>0.0601081182292729</v>
      </c>
      <c r="F13" s="18" t="n">
        <v>0.00890859941842659</v>
      </c>
      <c r="G13" s="19" t="n">
        <v>0.025890020256814</v>
      </c>
      <c r="H13" s="20" t="n">
        <v>0.266903014876687</v>
      </c>
    </row>
    <row r="14" customFormat="false" ht="12.8" hidden="false" customHeight="false" outlineLevel="0" collapsed="false">
      <c r="A14" s="16" t="n">
        <v>12</v>
      </c>
      <c r="B14" s="17" t="n">
        <v>0.0179874624653911</v>
      </c>
      <c r="C14" s="18" t="n">
        <v>0.00330519767121484</v>
      </c>
      <c r="D14" s="18" t="n">
        <v>0.0212926601366059</v>
      </c>
      <c r="E14" s="18" t="n">
        <v>0.0419867035849303</v>
      </c>
      <c r="F14" s="18" t="n">
        <v>0.0386815059137154</v>
      </c>
      <c r="G14" s="19" t="n">
        <v>0.0206940434483244</v>
      </c>
      <c r="H14" s="20" t="n">
        <v>0.143947573220182</v>
      </c>
    </row>
    <row r="15" customFormat="false" ht="12.8" hidden="false" customHeight="false" outlineLevel="0" collapsed="false">
      <c r="A15" s="16" t="n">
        <v>13</v>
      </c>
      <c r="B15" s="17" t="n">
        <v>0.0284844215549038</v>
      </c>
      <c r="C15" s="18" t="n">
        <v>0.0187833685134434</v>
      </c>
      <c r="D15" s="18" t="n">
        <v>0.00970105304146041</v>
      </c>
      <c r="E15" s="18" t="n">
        <v>0.0074199364608889</v>
      </c>
      <c r="F15" s="18" t="n">
        <v>0.0262033049743323</v>
      </c>
      <c r="G15" s="19" t="n">
        <v>0.00228111658057151</v>
      </c>
      <c r="H15" s="20" t="n">
        <v>0.0928732011256003</v>
      </c>
    </row>
    <row r="16" customFormat="false" ht="12.8" hidden="false" customHeight="false" outlineLevel="0" collapsed="false">
      <c r="A16" s="16" t="n">
        <v>14</v>
      </c>
      <c r="B16" s="17" t="n">
        <v>0.000220469472459794</v>
      </c>
      <c r="C16" s="18" t="n">
        <v>0.0206741272020694</v>
      </c>
      <c r="D16" s="18" t="n">
        <v>0.0208945966745292</v>
      </c>
      <c r="E16" s="18" t="n">
        <v>0.0190450604460891</v>
      </c>
      <c r="F16" s="18" t="n">
        <v>0.00162906675598029</v>
      </c>
      <c r="G16" s="19" t="n">
        <v>0.00184953622844009</v>
      </c>
      <c r="H16" s="20" t="n">
        <v>0.0643128567795679</v>
      </c>
    </row>
    <row r="17" customFormat="false" ht="12.8" hidden="false" customHeight="false" outlineLevel="0" collapsed="false">
      <c r="A17" s="16" t="n">
        <v>15</v>
      </c>
      <c r="B17" s="17" t="n">
        <v>0.0227018391713697</v>
      </c>
      <c r="C17" s="18" t="n">
        <v>0.0420445165067943</v>
      </c>
      <c r="D17" s="18" t="n">
        <v>0.0193426773354246</v>
      </c>
      <c r="E17" s="18" t="n">
        <v>0.00756896317179012</v>
      </c>
      <c r="F17" s="18" t="n">
        <v>0.0344755533350042</v>
      </c>
      <c r="G17" s="19" t="n">
        <v>0.0117737141636345</v>
      </c>
      <c r="H17" s="20" t="n">
        <v>0.137907263684017</v>
      </c>
    </row>
    <row r="18" customFormat="false" ht="12.8" hidden="false" customHeight="false" outlineLevel="0" collapsed="false">
      <c r="A18" s="16" t="n">
        <v>16</v>
      </c>
      <c r="B18" s="17" t="n">
        <v>0.0313308943781639</v>
      </c>
      <c r="C18" s="18" t="n">
        <v>0.00324320180270266</v>
      </c>
      <c r="D18" s="18" t="n">
        <v>0.0345740961808666</v>
      </c>
      <c r="E18" s="18" t="n">
        <v>0.0322235744368468</v>
      </c>
      <c r="F18" s="18" t="n">
        <v>0.0289803726341441</v>
      </c>
      <c r="G18" s="19" t="n">
        <v>0.00235052174401984</v>
      </c>
      <c r="H18" s="20" t="n">
        <v>0.132702661176744</v>
      </c>
    </row>
    <row r="19" customFormat="false" ht="12.8" hidden="false" customHeight="false" outlineLevel="0" collapsed="false">
      <c r="A19" s="16" t="n">
        <v>17</v>
      </c>
      <c r="B19" s="17" t="n">
        <v>0.0247023076480338</v>
      </c>
      <c r="C19" s="18" t="n">
        <v>0.00682120834220257</v>
      </c>
      <c r="D19" s="18" t="n">
        <v>0.0315235159902364</v>
      </c>
      <c r="E19" s="18" t="n">
        <v>0.00207432278930564</v>
      </c>
      <c r="F19" s="18" t="n">
        <v>0.00474688555289693</v>
      </c>
      <c r="G19" s="19" t="n">
        <v>0.0294491932009308</v>
      </c>
      <c r="H19" s="20" t="n">
        <v>0.0993174335236061</v>
      </c>
    </row>
    <row r="20" customFormat="false" ht="12.8" hidden="false" customHeight="false" outlineLevel="0" collapsed="false">
      <c r="A20" s="16" t="n">
        <v>18</v>
      </c>
      <c r="B20" s="17" t="n">
        <v>0.00369920421079994</v>
      </c>
      <c r="C20" s="18" t="n">
        <v>0.0109562642033071</v>
      </c>
      <c r="D20" s="18" t="n">
        <v>0.00725705999250714</v>
      </c>
      <c r="E20" s="18" t="n">
        <v>0.0258647552941427</v>
      </c>
      <c r="F20" s="18" t="n">
        <v>0.0368210194974498</v>
      </c>
      <c r="G20" s="19" t="n">
        <v>0.0331218152866498</v>
      </c>
      <c r="H20" s="20" t="n">
        <v>0.117720118484856</v>
      </c>
    </row>
    <row r="21" customFormat="false" ht="12.8" hidden="false" customHeight="false" outlineLevel="0" collapsed="false">
      <c r="A21" s="16" t="n">
        <v>19</v>
      </c>
      <c r="B21" s="17" t="n">
        <v>0.0443244960472375</v>
      </c>
      <c r="C21" s="18" t="n">
        <v>0.0315122597958818</v>
      </c>
      <c r="D21" s="18" t="n">
        <v>0.0128122362513557</v>
      </c>
      <c r="E21" s="18" t="n">
        <v>0.0208578045314825</v>
      </c>
      <c r="F21" s="18" t="n">
        <v>0.0523700643273642</v>
      </c>
      <c r="G21" s="19" t="n">
        <v>0.0080455682801267</v>
      </c>
      <c r="H21" s="20" t="n">
        <v>0.169922429233448</v>
      </c>
    </row>
    <row r="22" customFormat="false" ht="12.8" hidden="false" customHeight="false" outlineLevel="0" collapsed="false">
      <c r="A22" s="16" t="n">
        <v>20</v>
      </c>
      <c r="B22" s="17" t="n">
        <v>0.00679409825535793</v>
      </c>
      <c r="C22" s="18" t="n">
        <v>0.028203165957657</v>
      </c>
      <c r="D22" s="18" t="n">
        <v>0.0214090677022991</v>
      </c>
      <c r="E22" s="18" t="n">
        <v>0.0234051544137447</v>
      </c>
      <c r="F22" s="18" t="n">
        <v>0.0516083203714017</v>
      </c>
      <c r="G22" s="19" t="n">
        <v>0.0448142221160438</v>
      </c>
      <c r="H22" s="20" t="n">
        <v>0.176234028816504</v>
      </c>
    </row>
    <row r="23" customFormat="false" ht="12.8" hidden="false" customHeight="false" outlineLevel="0" collapsed="false">
      <c r="A23" s="16" t="n">
        <v>21</v>
      </c>
      <c r="B23" s="17" t="n">
        <v>0.0636282416352019</v>
      </c>
      <c r="C23" s="18" t="n">
        <v>0.0464653147210119</v>
      </c>
      <c r="D23" s="18" t="n">
        <v>0.110093556356214</v>
      </c>
      <c r="E23" s="18" t="n">
        <v>0.134697832450992</v>
      </c>
      <c r="F23" s="18" t="n">
        <v>0.0882325177299805</v>
      </c>
      <c r="G23" s="19" t="n">
        <v>0.0246042760947787</v>
      </c>
      <c r="H23" s="20" t="n">
        <v>0.467721738988179</v>
      </c>
    </row>
    <row r="24" customFormat="false" ht="12.8" hidden="false" customHeight="false" outlineLevel="0" collapsed="false">
      <c r="A24" s="16" t="n">
        <v>22</v>
      </c>
      <c r="B24" s="17" t="n">
        <v>0.0214098138870542</v>
      </c>
      <c r="C24" s="18" t="n">
        <v>0.0320464800717414</v>
      </c>
      <c r="D24" s="18" t="n">
        <v>0.0106366661846872</v>
      </c>
      <c r="E24" s="18" t="n">
        <v>0.00918686391840295</v>
      </c>
      <c r="F24" s="18" t="n">
        <v>0.0228596161533384</v>
      </c>
      <c r="G24" s="19" t="n">
        <v>0.00144980226628422</v>
      </c>
      <c r="H24" s="20" t="n">
        <v>0.0975892424815084</v>
      </c>
    </row>
    <row r="25" customFormat="false" ht="12.8" hidden="false" customHeight="false" outlineLevel="0" collapsed="false">
      <c r="A25" s="16" t="n">
        <v>23</v>
      </c>
      <c r="B25" s="17" t="n">
        <v>0.0175335234094478</v>
      </c>
      <c r="C25" s="18" t="n">
        <v>0.0327567298916307</v>
      </c>
      <c r="D25" s="18" t="n">
        <v>0.0502902533010785</v>
      </c>
      <c r="E25" s="18" t="n">
        <v>0.0222243635701596</v>
      </c>
      <c r="F25" s="18" t="n">
        <v>0.0105323663214711</v>
      </c>
      <c r="G25" s="19" t="n">
        <v>0.0280658897309189</v>
      </c>
      <c r="H25" s="20" t="n">
        <v>0.161403126224707</v>
      </c>
    </row>
    <row r="26" customFormat="false" ht="12.8" hidden="false" customHeight="false" outlineLevel="0" collapsed="false">
      <c r="A26" s="16" t="n">
        <v>24</v>
      </c>
      <c r="B26" s="17" t="n">
        <v>0.0267928143558145</v>
      </c>
      <c r="C26" s="18" t="n">
        <v>2.9976324506964E-005</v>
      </c>
      <c r="D26" s="18" t="n">
        <v>0.0267628380313075</v>
      </c>
      <c r="E26" s="18" t="n">
        <v>0.047454775660884</v>
      </c>
      <c r="F26" s="18" t="n">
        <v>0.0474847519853909</v>
      </c>
      <c r="G26" s="19" t="n">
        <v>0.0206919376295764</v>
      </c>
      <c r="H26" s="20" t="n">
        <v>0.16921709398748</v>
      </c>
    </row>
    <row r="27" customFormat="false" ht="12.8" hidden="false" customHeight="false" outlineLevel="0" collapsed="false">
      <c r="A27" s="16" t="n">
        <v>25</v>
      </c>
      <c r="B27" s="21" t="n">
        <v>0.0218707974307926</v>
      </c>
      <c r="C27" s="22" t="n">
        <v>0.0205421410453903</v>
      </c>
      <c r="D27" s="22" t="n">
        <v>0.00132865638540225</v>
      </c>
      <c r="E27" s="22" t="n">
        <v>0.053068307051809</v>
      </c>
      <c r="F27" s="22" t="n">
        <v>0.0325261660064187</v>
      </c>
      <c r="G27" s="23" t="n">
        <v>0.0543969634372112</v>
      </c>
      <c r="H27" s="24" t="n">
        <v>0.183733031357024</v>
      </c>
    </row>
    <row r="28" customFormat="false" ht="12.8" hidden="false" customHeight="false" outlineLevel="0" collapsed="false">
      <c r="A28" s="25" t="s">
        <v>9</v>
      </c>
      <c r="B28" s="26" t="n">
        <v>0.708042203188582</v>
      </c>
      <c r="C28" s="27" t="n">
        <v>0.616745328518705</v>
      </c>
      <c r="D28" s="27" t="n">
        <v>0.821803297521902</v>
      </c>
      <c r="E28" s="27" t="n">
        <v>0.684804882009148</v>
      </c>
      <c r="F28" s="27" t="n">
        <v>0.814595707572624</v>
      </c>
      <c r="G28" s="28" t="n">
        <v>0.673930971943991</v>
      </c>
      <c r="H28" s="29" t="n">
        <v>4.31992239075495</v>
      </c>
    </row>
    <row r="31" customFormat="false" ht="13.8" hidden="false" customHeight="true" outlineLevel="0" collapsed="false">
      <c r="B31" s="30" t="s">
        <v>10</v>
      </c>
      <c r="C31" s="30"/>
      <c r="D31" s="30"/>
    </row>
    <row r="33" customFormat="false" ht="12.8" hidden="false" customHeight="false" outlineLevel="0" collapsed="false">
      <c r="A33" s="31" t="s">
        <v>11</v>
      </c>
      <c r="B33" s="32" t="s">
        <v>12</v>
      </c>
      <c r="C33" s="32" t="s">
        <v>13</v>
      </c>
      <c r="D33" s="33" t="s">
        <v>14</v>
      </c>
      <c r="E33" s="33" t="s">
        <v>15</v>
      </c>
      <c r="F33" s="33" t="s">
        <v>16</v>
      </c>
      <c r="G33" s="33" t="s">
        <v>17</v>
      </c>
      <c r="I33" s="34" t="s">
        <v>18</v>
      </c>
      <c r="M33" s="31" t="s">
        <v>11</v>
      </c>
      <c r="N33" s="33" t="s">
        <v>15</v>
      </c>
    </row>
    <row r="34" customFormat="false" ht="12.8" hidden="false" customHeight="false" outlineLevel="0" collapsed="false">
      <c r="A34" s="35" t="n">
        <v>1</v>
      </c>
      <c r="B34" s="1" t="n">
        <v>0.802858105976441</v>
      </c>
      <c r="C34" s="1" t="n">
        <v>0.796298769133089</v>
      </c>
      <c r="D34" s="33" t="n">
        <f aca="false">C34-B34</f>
        <v>-0.00655933684335264</v>
      </c>
      <c r="E34" s="33" t="n">
        <f aca="false">ABS(D34)</f>
        <v>0.00655933684335264</v>
      </c>
      <c r="F34" s="33" t="n">
        <f aca="false">AVERAGE(D34:D58)</f>
        <v>-0.010855480049429</v>
      </c>
      <c r="G34" s="33" t="n">
        <f aca="false">_xlfn.STDEV.S(D34:D58)</f>
        <v>0.0382787761538927</v>
      </c>
      <c r="I34" s="2" t="s">
        <v>19</v>
      </c>
      <c r="J34" s="1" t="n">
        <v>0.05</v>
      </c>
      <c r="M34" s="35" t="n">
        <v>21</v>
      </c>
      <c r="N34" s="1" t="n">
        <v>0.134697832450992</v>
      </c>
    </row>
    <row r="35" customFormat="false" ht="12.8" hidden="false" customHeight="false" outlineLevel="0" collapsed="false">
      <c r="A35" s="35" t="n">
        <v>2</v>
      </c>
      <c r="B35" s="1" t="n">
        <v>0.723830722485877</v>
      </c>
      <c r="C35" s="1" t="n">
        <v>0.739558549996658</v>
      </c>
      <c r="D35" s="33" t="n">
        <f aca="false">C35-B35</f>
        <v>0.0157278275107814</v>
      </c>
      <c r="E35" s="33" t="n">
        <f aca="false">ABS(D35)</f>
        <v>0.0157278275107814</v>
      </c>
      <c r="I35" s="2" t="s">
        <v>20</v>
      </c>
      <c r="J35" s="1" t="n">
        <v>0</v>
      </c>
      <c r="M35" s="35" t="n">
        <v>11</v>
      </c>
      <c r="N35" s="1" t="n">
        <v>0.0601081182292729</v>
      </c>
    </row>
    <row r="36" customFormat="false" ht="12.8" hidden="false" customHeight="false" outlineLevel="0" collapsed="false">
      <c r="A36" s="35" t="n">
        <v>3</v>
      </c>
      <c r="B36" s="1" t="n">
        <v>0.720096923539769</v>
      </c>
      <c r="C36" s="1" t="n">
        <v>0.739544897773702</v>
      </c>
      <c r="D36" s="33" t="n">
        <f aca="false">C36-B36</f>
        <v>0.019447974233933</v>
      </c>
      <c r="E36" s="33" t="n">
        <f aca="false">ABS(D36)</f>
        <v>0.019447974233933</v>
      </c>
      <c r="J36" s="36" t="s">
        <v>21</v>
      </c>
      <c r="K36" s="36" t="s">
        <v>22</v>
      </c>
      <c r="M36" s="35" t="n">
        <v>5</v>
      </c>
      <c r="N36" s="1" t="n">
        <v>0.0543553746201964</v>
      </c>
    </row>
    <row r="37" customFormat="false" ht="12.8" hidden="false" customHeight="false" outlineLevel="0" collapsed="false">
      <c r="A37" s="35" t="n">
        <v>4</v>
      </c>
      <c r="B37" s="1" t="n">
        <v>0.744563645027981</v>
      </c>
      <c r="C37" s="1" t="n">
        <v>0.743029391601184</v>
      </c>
      <c r="D37" s="33" t="n">
        <f aca="false">C37-B37</f>
        <v>-0.00153425342679703</v>
      </c>
      <c r="E37" s="33" t="n">
        <f aca="false">ABS(D37)</f>
        <v>0.00153425342679703</v>
      </c>
      <c r="I37" s="2" t="s">
        <v>23</v>
      </c>
      <c r="J37" s="1" t="n">
        <f aca="false">AVERAGE(sims_per_turn_scen4!$B$33:$B$58)</f>
        <v>0.738591074325871</v>
      </c>
      <c r="K37" s="1" t="n">
        <f aca="false">AVERAGE(sims_per_turn_scen4!$C$33:$C$58)</f>
        <v>0.727735594276442</v>
      </c>
      <c r="M37" s="37" t="n">
        <v>25</v>
      </c>
      <c r="N37" s="1" t="n">
        <v>0.053068307051809</v>
      </c>
    </row>
    <row r="38" customFormat="false" ht="12.8" hidden="false" customHeight="false" outlineLevel="0" collapsed="false">
      <c r="A38" s="35" t="n">
        <v>5</v>
      </c>
      <c r="B38" s="1" t="n">
        <v>0.67114667173556</v>
      </c>
      <c r="C38" s="1" t="n">
        <v>0.725502046355756</v>
      </c>
      <c r="D38" s="33" t="n">
        <f aca="false">C38-B38</f>
        <v>0.0543553746201964</v>
      </c>
      <c r="E38" s="33" t="n">
        <f aca="false">ABS(D38)</f>
        <v>0.0543553746201964</v>
      </c>
      <c r="I38" s="2" t="s">
        <v>24</v>
      </c>
      <c r="J38" s="1" t="n">
        <f aca="false">VAR(sims_per_turn_scen4!$B$33:$B$58)</f>
        <v>0.00297443070943292</v>
      </c>
      <c r="K38" s="1" t="n">
        <f aca="false">VAR(sims_per_turn_scen4!$C$33:$C$58)</f>
        <v>0.00415956848228218</v>
      </c>
      <c r="M38" s="35" t="n">
        <v>24</v>
      </c>
      <c r="N38" s="1" t="n">
        <v>0.047454775660884</v>
      </c>
    </row>
    <row r="39" customFormat="false" ht="12.8" hidden="false" customHeight="false" outlineLevel="0" collapsed="false">
      <c r="A39" s="35" t="n">
        <v>6</v>
      </c>
      <c r="B39" s="1" t="n">
        <v>0.740698706746506</v>
      </c>
      <c r="C39" s="1" t="n">
        <v>0.74855685096753</v>
      </c>
      <c r="D39" s="33" t="n">
        <f aca="false">C39-B39</f>
        <v>0.00785814422102371</v>
      </c>
      <c r="E39" s="33" t="n">
        <f aca="false">ABS(D39)</f>
        <v>0.00785814422102371</v>
      </c>
      <c r="I39" s="2" t="s">
        <v>25</v>
      </c>
      <c r="J39" s="1" t="n">
        <f aca="false">COUNT(sims_per_turn_scen4!$B$33:$B$58)</f>
        <v>25</v>
      </c>
      <c r="K39" s="1" t="n">
        <f aca="false">COUNT(sims_per_turn_scen4!$C$33:$C$58)</f>
        <v>25</v>
      </c>
      <c r="M39" s="35" t="n">
        <v>12</v>
      </c>
      <c r="N39" s="1" t="n">
        <v>0.0419867035849303</v>
      </c>
    </row>
    <row r="40" customFormat="false" ht="12.8" hidden="false" customHeight="false" outlineLevel="0" collapsed="false">
      <c r="A40" s="35" t="n">
        <v>7</v>
      </c>
      <c r="B40" s="1" t="n">
        <v>0.773772436552573</v>
      </c>
      <c r="C40" s="1" t="n">
        <v>0.734138467252432</v>
      </c>
      <c r="D40" s="33" t="n">
        <f aca="false">C40-B40</f>
        <v>-0.0396339693001403</v>
      </c>
      <c r="E40" s="33" t="n">
        <f aca="false">ABS(D40)</f>
        <v>0.0396339693001403</v>
      </c>
      <c r="I40" s="2" t="s">
        <v>26</v>
      </c>
      <c r="J40" s="1" t="n">
        <f aca="false">CORREL(sims_per_turn_scen4!$B$33:$B$58,sims_per_turn_scen4!$C$33:$C$58)</f>
        <v>0.805805176091009</v>
      </c>
      <c r="M40" s="35" t="n">
        <v>7</v>
      </c>
      <c r="N40" s="1" t="n">
        <v>0.0396339693001403</v>
      </c>
    </row>
    <row r="41" customFormat="false" ht="12.8" hidden="false" customHeight="false" outlineLevel="0" collapsed="false">
      <c r="A41" s="35" t="n">
        <v>8</v>
      </c>
      <c r="B41" s="1" t="n">
        <v>0.669131289751387</v>
      </c>
      <c r="C41" s="1" t="n">
        <v>0.668701341307149</v>
      </c>
      <c r="D41" s="33" t="n">
        <f aca="false">C41-B41</f>
        <v>-0.000429948444238382</v>
      </c>
      <c r="E41" s="33" t="n">
        <f aca="false">ABS(D41)</f>
        <v>0.000429948444238382</v>
      </c>
      <c r="I41" s="2" t="s">
        <v>27</v>
      </c>
      <c r="J41" s="1" t="n">
        <f aca="false" t="array" ref="J41:J41">AVERAGE(IF(ISODD(IF(ISNUMBER(sims_per_turn_scen4!$B$33:$B$58), 1, 0) * IF(ISNUMBER(sims_per_turn_scen4!$C$33:$C$58), 1, 0)), sims_per_turn_scen4!$B$33:$B$58 - sims_per_turn_scen4!$C$33:$C$58, "NA"))</f>
        <v>0.0108554800494289</v>
      </c>
      <c r="M41" s="35" t="n">
        <v>16</v>
      </c>
      <c r="N41" s="1" t="n">
        <v>0.0322235744368468</v>
      </c>
    </row>
    <row r="42" customFormat="false" ht="12.8" hidden="false" customHeight="false" outlineLevel="0" collapsed="false">
      <c r="A42" s="35" t="n">
        <v>9</v>
      </c>
      <c r="B42" s="1" t="n">
        <v>0.76936357772334</v>
      </c>
      <c r="C42" s="1" t="n">
        <v>0.786880036989265</v>
      </c>
      <c r="D42" s="33" t="n">
        <f aca="false">C42-B42</f>
        <v>0.0175164592659253</v>
      </c>
      <c r="E42" s="33" t="n">
        <f aca="false">ABS(D42)</f>
        <v>0.0175164592659253</v>
      </c>
      <c r="I42" s="2" t="s">
        <v>28</v>
      </c>
      <c r="J42" s="1" t="n">
        <f aca="false" t="array" ref="J42:J42">VAR(IF(ISODD(IF(ISNUMBER(sims_per_turn_scen4!$B$33:$B$58), 1, 0) * IF(ISNUMBER(sims_per_turn_scen4!$C$33:$C$58), 1, 0)), sims_per_turn_scen4!$B$33:$B$58 - sims_per_turn_scen4!$C$33:$C$58, "NA"))</f>
        <v>0.00146526470383984</v>
      </c>
      <c r="M42" s="35" t="n">
        <v>18</v>
      </c>
      <c r="N42" s="1" t="n">
        <v>0.0258647552941427</v>
      </c>
    </row>
    <row r="43" customFormat="false" ht="12.8" hidden="false" customHeight="false" outlineLevel="0" collapsed="false">
      <c r="A43" s="35" t="n">
        <v>10</v>
      </c>
      <c r="B43" s="1" t="n">
        <v>0.795393600984621</v>
      </c>
      <c r="C43" s="1" t="n">
        <v>0.80994865911664</v>
      </c>
      <c r="D43" s="33" t="n">
        <f aca="false">C43-B43</f>
        <v>0.0145550581320186</v>
      </c>
      <c r="E43" s="33" t="n">
        <f aca="false">ABS(D43)</f>
        <v>0.0145550581320186</v>
      </c>
      <c r="I43" s="2" t="s">
        <v>29</v>
      </c>
      <c r="J43" s="1" t="n">
        <f aca="false" t="array" ref="J43:J43">SUM(IF(ISNUMBER(sims_per_turn_scen4!$B$33:$B$58), 1, 0) * IF(ISNUMBER(sims_per_turn_scen4!$C$33:$C$58), 1, 0)) - 1</f>
        <v>24</v>
      </c>
      <c r="M43" s="35" t="n">
        <v>20</v>
      </c>
      <c r="N43" s="1" t="n">
        <v>0.0234051544137447</v>
      </c>
    </row>
    <row r="44" customFormat="false" ht="12.8" hidden="false" customHeight="false" outlineLevel="0" collapsed="false">
      <c r="A44" s="35" t="n">
        <v>11</v>
      </c>
      <c r="B44" s="1" t="n">
        <v>0.750280009673556</v>
      </c>
      <c r="C44" s="1" t="n">
        <v>0.690171891444283</v>
      </c>
      <c r="D44" s="33" t="n">
        <f aca="false">C44-B44</f>
        <v>-0.0601081182292729</v>
      </c>
      <c r="E44" s="33" t="n">
        <f aca="false">ABS(D44)</f>
        <v>0.0601081182292729</v>
      </c>
      <c r="I44" s="2" t="s">
        <v>30</v>
      </c>
      <c r="J44" s="1" t="n">
        <f aca="false">(sims_per_turn_scen4!$J$41 - sims_per_turn_scen4!$J$35) / (sims_per_turn_scen4!$J$42 / ( sims_per_turn_scen4!$J$43 + 1)) ^ 0.5</f>
        <v>1.41795025078473</v>
      </c>
      <c r="M44" s="35" t="n">
        <v>23</v>
      </c>
      <c r="N44" s="1" t="n">
        <v>0.0222243635701596</v>
      </c>
    </row>
    <row r="45" customFormat="false" ht="12.8" hidden="false" customHeight="false" outlineLevel="0" collapsed="false">
      <c r="A45" s="35" t="n">
        <v>12</v>
      </c>
      <c r="B45" s="1" t="n">
        <v>0.791112051354437</v>
      </c>
      <c r="C45" s="1" t="n">
        <v>0.749125347769507</v>
      </c>
      <c r="D45" s="33" t="n">
        <f aca="false">C45-B45</f>
        <v>-0.0419867035849303</v>
      </c>
      <c r="E45" s="33" t="n">
        <f aca="false">ABS(D45)</f>
        <v>0.0419867035849303</v>
      </c>
      <c r="I45" s="2" t="s">
        <v>31</v>
      </c>
      <c r="J45" s="1" t="n">
        <f aca="false">TDIST(ABS(sims_per_turn_scen4!$J$44), sims_per_turn_scen4!$J$43, 1)</f>
        <v>0.0845297180422085</v>
      </c>
      <c r="M45" s="35" t="n">
        <v>19</v>
      </c>
      <c r="N45" s="1" t="n">
        <v>0.0208578045314825</v>
      </c>
    </row>
    <row r="46" customFormat="false" ht="12.8" hidden="false" customHeight="false" outlineLevel="0" collapsed="false">
      <c r="A46" s="35" t="n">
        <v>13</v>
      </c>
      <c r="B46" s="1" t="n">
        <v>0.684900718861709</v>
      </c>
      <c r="C46" s="1" t="n">
        <v>0.677480782400821</v>
      </c>
      <c r="D46" s="33" t="n">
        <f aca="false">C46-B46</f>
        <v>-0.0074199364608889</v>
      </c>
      <c r="E46" s="33" t="n">
        <f aca="false">ABS(D46)</f>
        <v>0.0074199364608889</v>
      </c>
      <c r="I46" s="2" t="s">
        <v>32</v>
      </c>
      <c r="J46" s="1" t="n">
        <f aca="false">TINV(2*sims_per_turn_scen4!$J$34, sims_per_turn_scen4!$J$43)</f>
        <v>1.71088207990943</v>
      </c>
      <c r="M46" s="35" t="n">
        <v>3</v>
      </c>
      <c r="N46" s="1" t="n">
        <v>0.019447974233933</v>
      </c>
    </row>
    <row r="47" customFormat="false" ht="12.8" hidden="false" customHeight="false" outlineLevel="0" collapsed="false">
      <c r="A47" s="35" t="n">
        <v>14</v>
      </c>
      <c r="B47" s="1" t="n">
        <v>0.81196411023973</v>
      </c>
      <c r="C47" s="1" t="n">
        <v>0.792919049793641</v>
      </c>
      <c r="D47" s="33" t="n">
        <f aca="false">C47-B47</f>
        <v>-0.0190450604460891</v>
      </c>
      <c r="E47" s="33" t="n">
        <f aca="false">ABS(D47)</f>
        <v>0.0190450604460891</v>
      </c>
      <c r="I47" s="2" t="s">
        <v>33</v>
      </c>
      <c r="J47" s="1" t="n">
        <f aca="false">TDIST(ABS(sims_per_turn_scen4!$J$44), sims_per_turn_scen4!$J$43, 2)</f>
        <v>0.169059436084417</v>
      </c>
      <c r="M47" s="35" t="n">
        <v>14</v>
      </c>
      <c r="N47" s="1" t="n">
        <v>0.0190450604460891</v>
      </c>
    </row>
    <row r="48" customFormat="false" ht="12.8" hidden="false" customHeight="false" outlineLevel="0" collapsed="false">
      <c r="A48" s="35" t="n">
        <v>15</v>
      </c>
      <c r="B48" s="1" t="n">
        <v>0.793315446960825</v>
      </c>
      <c r="C48" s="1" t="n">
        <v>0.800884410132615</v>
      </c>
      <c r="D48" s="33" t="n">
        <f aca="false">C48-B48</f>
        <v>0.00756896317179012</v>
      </c>
      <c r="E48" s="33" t="n">
        <f aca="false">ABS(D48)</f>
        <v>0.00756896317179012</v>
      </c>
      <c r="I48" s="2" t="s">
        <v>34</v>
      </c>
      <c r="J48" s="1" t="n">
        <f aca="false">TINV(sims_per_turn_scen4!$J$34, sims_per_turn_scen4!$J$43)</f>
        <v>2.06389856162803</v>
      </c>
      <c r="M48" s="35" t="n">
        <v>9</v>
      </c>
      <c r="N48" s="1" t="n">
        <v>0.0175164592659253</v>
      </c>
    </row>
    <row r="49" customFormat="false" ht="12.8" hidden="false" customHeight="false" outlineLevel="0" collapsed="false">
      <c r="A49" s="35" t="n">
        <v>16</v>
      </c>
      <c r="B49" s="1" t="n">
        <v>0.677622741253111</v>
      </c>
      <c r="C49" s="1" t="n">
        <v>0.645399166816264</v>
      </c>
      <c r="D49" s="33" t="n">
        <f aca="false">C49-B49</f>
        <v>-0.0322235744368468</v>
      </c>
      <c r="E49" s="33" t="n">
        <f aca="false">ABS(D49)</f>
        <v>0.0322235744368468</v>
      </c>
      <c r="M49" s="35" t="n">
        <v>2</v>
      </c>
      <c r="N49" s="1" t="n">
        <v>0.0157278275107814</v>
      </c>
    </row>
    <row r="50" customFormat="false" ht="12.8" hidden="false" customHeight="false" outlineLevel="0" collapsed="false">
      <c r="A50" s="35" t="n">
        <v>17</v>
      </c>
      <c r="B50" s="1" t="n">
        <v>0.775090547764</v>
      </c>
      <c r="C50" s="1" t="n">
        <v>0.773016224974695</v>
      </c>
      <c r="D50" s="33" t="n">
        <f aca="false">C50-B50</f>
        <v>-0.00207432278930564</v>
      </c>
      <c r="E50" s="33" t="n">
        <f aca="false">ABS(D50)</f>
        <v>0.00207432278930564</v>
      </c>
      <c r="M50" s="35" t="n">
        <v>10</v>
      </c>
      <c r="N50" s="1" t="n">
        <v>0.0145550581320186</v>
      </c>
    </row>
    <row r="51" customFormat="false" ht="12.8" hidden="false" customHeight="false" outlineLevel="0" collapsed="false">
      <c r="A51" s="35" t="n">
        <v>18</v>
      </c>
      <c r="B51" s="1" t="n">
        <v>0.608910195539342</v>
      </c>
      <c r="C51" s="1" t="n">
        <v>0.583045440245199</v>
      </c>
      <c r="D51" s="33" t="n">
        <f aca="false">C51-B51</f>
        <v>-0.0258647552941427</v>
      </c>
      <c r="E51" s="33" t="n">
        <f aca="false">ABS(D51)</f>
        <v>0.0258647552941427</v>
      </c>
      <c r="M51" s="35" t="n">
        <v>22</v>
      </c>
      <c r="N51" s="1" t="n">
        <v>0.00918686391840295</v>
      </c>
    </row>
    <row r="52" customFormat="false" ht="12.8" hidden="false" customHeight="false" outlineLevel="0" collapsed="false">
      <c r="A52" s="35" t="n">
        <v>19</v>
      </c>
      <c r="B52" s="1" t="n">
        <v>0.816339008116756</v>
      </c>
      <c r="C52" s="1" t="n">
        <v>0.795481203585273</v>
      </c>
      <c r="D52" s="33" t="n">
        <f aca="false">C52-B52</f>
        <v>-0.0208578045314825</v>
      </c>
      <c r="E52" s="33" t="n">
        <f aca="false">ABS(D52)</f>
        <v>0.0208578045314825</v>
      </c>
      <c r="M52" s="35" t="n">
        <v>6</v>
      </c>
      <c r="N52" s="1" t="n">
        <v>0.00785814422102371</v>
      </c>
    </row>
    <row r="53" customFormat="false" ht="12.8" hidden="false" customHeight="false" outlineLevel="0" collapsed="false">
      <c r="A53" s="35" t="n">
        <v>20</v>
      </c>
      <c r="B53" s="1" t="n">
        <v>0.675912922731983</v>
      </c>
      <c r="C53" s="1" t="n">
        <v>0.652507768318238</v>
      </c>
      <c r="D53" s="33" t="n">
        <f aca="false">C53-B53</f>
        <v>-0.0234051544137447</v>
      </c>
      <c r="E53" s="33" t="n">
        <f aca="false">ABS(D53)</f>
        <v>0.0234051544137447</v>
      </c>
      <c r="M53" s="35" t="n">
        <v>15</v>
      </c>
      <c r="N53" s="1" t="n">
        <v>0.00756896317179012</v>
      </c>
    </row>
    <row r="54" customFormat="false" ht="12.8" hidden="false" customHeight="false" outlineLevel="0" collapsed="false">
      <c r="A54" s="35" t="n">
        <v>21</v>
      </c>
      <c r="B54" s="1" t="n">
        <v>0.748125732839088</v>
      </c>
      <c r="C54" s="1" t="n">
        <v>0.613427900388095</v>
      </c>
      <c r="D54" s="33" t="n">
        <f aca="false">C54-B54</f>
        <v>-0.134697832450992</v>
      </c>
      <c r="E54" s="33" t="n">
        <f aca="false">ABS(D54)</f>
        <v>0.134697832450992</v>
      </c>
      <c r="M54" s="35" t="n">
        <v>13</v>
      </c>
      <c r="N54" s="1" t="n">
        <v>0.0074199364608889</v>
      </c>
    </row>
    <row r="55" customFormat="false" ht="12.8" hidden="false" customHeight="false" outlineLevel="0" collapsed="false">
      <c r="A55" s="35" t="n">
        <v>22</v>
      </c>
      <c r="B55" s="1" t="n">
        <v>0.66618628675421</v>
      </c>
      <c r="C55" s="1" t="n">
        <v>0.656999422835807</v>
      </c>
      <c r="D55" s="33" t="n">
        <f aca="false">C55-B55</f>
        <v>-0.00918686391840295</v>
      </c>
      <c r="E55" s="33" t="n">
        <f aca="false">ABS(D55)</f>
        <v>0.00918686391840295</v>
      </c>
      <c r="M55" s="35" t="n">
        <v>1</v>
      </c>
      <c r="N55" s="1" t="n">
        <v>0.00655933684335264</v>
      </c>
    </row>
    <row r="56" customFormat="false" ht="12.8" hidden="false" customHeight="false" outlineLevel="0" collapsed="false">
      <c r="A56" s="35" t="n">
        <v>23</v>
      </c>
      <c r="B56" s="1" t="n">
        <v>0.757211026307674</v>
      </c>
      <c r="C56" s="1" t="n">
        <v>0.779435389877834</v>
      </c>
      <c r="D56" s="33" t="n">
        <f aca="false">C56-B56</f>
        <v>0.0222243635701596</v>
      </c>
      <c r="E56" s="33" t="n">
        <f aca="false">ABS(D56)</f>
        <v>0.0222243635701596</v>
      </c>
      <c r="M56" s="35" t="n">
        <v>17</v>
      </c>
      <c r="N56" s="1" t="n">
        <v>0.00207432278930564</v>
      </c>
    </row>
    <row r="57" customFormat="false" ht="12.8" hidden="false" customHeight="false" outlineLevel="0" collapsed="false">
      <c r="A57" s="35" t="n">
        <v>24</v>
      </c>
      <c r="B57" s="1" t="n">
        <v>0.74821765393045</v>
      </c>
      <c r="C57" s="1" t="n">
        <v>0.795672429591334</v>
      </c>
      <c r="D57" s="33" t="n">
        <f aca="false">C57-B57</f>
        <v>0.047454775660884</v>
      </c>
      <c r="E57" s="33" t="n">
        <f aca="false">ABS(D57)</f>
        <v>0.047454775660884</v>
      </c>
      <c r="M57" s="35" t="n">
        <v>4</v>
      </c>
      <c r="N57" s="1" t="n">
        <v>0.00153425342679703</v>
      </c>
    </row>
    <row r="58" customFormat="false" ht="12.8" hidden="false" customHeight="false" outlineLevel="0" collapsed="false">
      <c r="A58" s="37" t="n">
        <v>25</v>
      </c>
      <c r="B58" s="1" t="n">
        <v>0.748732725295858</v>
      </c>
      <c r="C58" s="1" t="n">
        <v>0.695664418244049</v>
      </c>
      <c r="D58" s="33" t="n">
        <f aca="false">C58-B58</f>
        <v>-0.053068307051809</v>
      </c>
      <c r="E58" s="33" t="n">
        <f aca="false">ABS(D58)</f>
        <v>0.053068307051809</v>
      </c>
      <c r="M58" s="35" t="n">
        <v>8</v>
      </c>
      <c r="N58" s="1" t="n">
        <v>0.000429948444238382</v>
      </c>
    </row>
    <row r="62" customFormat="false" ht="12.8" hidden="false" customHeight="false" outlineLevel="0" collapsed="false">
      <c r="A62" s="31" t="s">
        <v>11</v>
      </c>
      <c r="B62" s="38" t="s">
        <v>35</v>
      </c>
      <c r="C62" s="32" t="s">
        <v>36</v>
      </c>
      <c r="D62" s="33" t="s">
        <v>37</v>
      </c>
      <c r="E62" s="33" t="s">
        <v>15</v>
      </c>
      <c r="F62" s="33" t="s">
        <v>16</v>
      </c>
      <c r="G62" s="33" t="s">
        <v>17</v>
      </c>
      <c r="I62" s="34" t="s">
        <v>18</v>
      </c>
      <c r="M62" s="31" t="s">
        <v>11</v>
      </c>
      <c r="N62" s="33" t="s">
        <v>15</v>
      </c>
    </row>
    <row r="63" customFormat="false" ht="12.8" hidden="false" customHeight="false" outlineLevel="0" collapsed="false">
      <c r="A63" s="35" t="n">
        <v>1</v>
      </c>
      <c r="B63" s="1" t="n">
        <v>0.782943341241136</v>
      </c>
      <c r="C63" s="1" t="n">
        <v>0.772576965117032</v>
      </c>
      <c r="D63" s="33" t="n">
        <f aca="false">C63-B63</f>
        <v>-0.0103663761241036</v>
      </c>
      <c r="E63" s="33" t="n">
        <f aca="false">ABS(D63)</f>
        <v>0.0103663761241036</v>
      </c>
      <c r="F63" s="33" t="n">
        <f aca="false">AVERAGE(D63:D87)</f>
        <v>-0.0106944645111069</v>
      </c>
      <c r="G63" s="33" t="n">
        <f aca="false">_xlfn.STDEV.S(D63:D87)</f>
        <v>0.0339581740551731</v>
      </c>
      <c r="I63" s="2" t="s">
        <v>19</v>
      </c>
      <c r="J63" s="1" t="n">
        <v>0.05</v>
      </c>
      <c r="M63" s="35" t="n">
        <v>7</v>
      </c>
      <c r="N63" s="33" t="n">
        <v>0.0766334795407158</v>
      </c>
    </row>
    <row r="64" customFormat="false" ht="12.8" hidden="false" customHeight="false" outlineLevel="0" collapsed="false">
      <c r="A64" s="35" t="n">
        <v>2</v>
      </c>
      <c r="B64" s="1" t="n">
        <v>0.72616787514369</v>
      </c>
      <c r="C64" s="1" t="n">
        <v>0.680958683894326</v>
      </c>
      <c r="D64" s="33" t="n">
        <f aca="false">C64-B64</f>
        <v>-0.0452091912493637</v>
      </c>
      <c r="E64" s="33" t="n">
        <f aca="false">ABS(D64)</f>
        <v>0.0452091912493637</v>
      </c>
      <c r="I64" s="2" t="s">
        <v>20</v>
      </c>
      <c r="J64" s="1" t="n">
        <v>0</v>
      </c>
      <c r="M64" s="35" t="n">
        <v>10</v>
      </c>
      <c r="N64" s="33" t="n">
        <v>0.0677962569399365</v>
      </c>
    </row>
    <row r="65" customFormat="false" ht="12.8" hidden="false" customHeight="false" outlineLevel="0" collapsed="false">
      <c r="A65" s="35" t="n">
        <v>3</v>
      </c>
      <c r="B65" s="1" t="n">
        <v>0.762384843564062</v>
      </c>
      <c r="C65" s="1" t="n">
        <v>0.771466699638375</v>
      </c>
      <c r="D65" s="33" t="n">
        <f aca="false">C65-B65</f>
        <v>0.00908185607431311</v>
      </c>
      <c r="E65" s="33" t="n">
        <f aca="false">ABS(D65)</f>
        <v>0.00908185607431311</v>
      </c>
      <c r="J65" s="36" t="s">
        <v>21</v>
      </c>
      <c r="K65" s="36" t="s">
        <v>22</v>
      </c>
      <c r="M65" s="35" t="n">
        <v>21</v>
      </c>
      <c r="N65" s="33" t="n">
        <v>0.0636282416352019</v>
      </c>
    </row>
    <row r="66" customFormat="false" ht="12.8" hidden="false" customHeight="false" outlineLevel="0" collapsed="false">
      <c r="A66" s="35" t="n">
        <v>4</v>
      </c>
      <c r="B66" s="1" t="n">
        <v>0.703293963123335</v>
      </c>
      <c r="C66" s="1" t="n">
        <v>0.746803660511214</v>
      </c>
      <c r="D66" s="33" t="n">
        <f aca="false">C66-B66</f>
        <v>0.0435096973878786</v>
      </c>
      <c r="E66" s="33" t="n">
        <f aca="false">ABS(D66)</f>
        <v>0.0435096973878786</v>
      </c>
      <c r="I66" s="2" t="s">
        <v>23</v>
      </c>
      <c r="J66" s="1" t="n">
        <f aca="false">AVERAGE(sims_per_turn_scen4!$B$62:$B$87)</f>
        <v>0.734490373784622</v>
      </c>
      <c r="K66" s="1" t="n">
        <f aca="false">AVERAGE(sims_per_turn_scen4!$C$62:$C$87)</f>
        <v>0.723795909273515</v>
      </c>
      <c r="M66" s="35" t="n">
        <v>6</v>
      </c>
      <c r="N66" s="33" t="n">
        <v>0.0528169411349331</v>
      </c>
    </row>
    <row r="67" customFormat="false" ht="12.8" hidden="false" customHeight="false" outlineLevel="0" collapsed="false">
      <c r="A67" s="35" t="n">
        <v>5</v>
      </c>
      <c r="B67" s="1" t="n">
        <v>0.729690702766813</v>
      </c>
      <c r="C67" s="1" t="n">
        <v>0.737980761526421</v>
      </c>
      <c r="D67" s="33" t="n">
        <f aca="false">C67-B67</f>
        <v>0.00829005875960809</v>
      </c>
      <c r="E67" s="33" t="n">
        <f aca="false">ABS(D67)</f>
        <v>0.00829005875960809</v>
      </c>
      <c r="I67" s="2" t="s">
        <v>24</v>
      </c>
      <c r="J67" s="1" t="n">
        <f aca="false">VAR(sims_per_turn_scen4!$B$62:$B$87)</f>
        <v>0.00341183321168499</v>
      </c>
      <c r="K67" s="1" t="n">
        <f aca="false">VAR(sims_per_turn_scen4!$C$62:$C$87)</f>
        <v>0.00341577736974905</v>
      </c>
      <c r="M67" s="35" t="n">
        <v>2</v>
      </c>
      <c r="N67" s="33" t="n">
        <v>0.0452091912493637</v>
      </c>
    </row>
    <row r="68" customFormat="false" ht="12.8" hidden="false" customHeight="false" outlineLevel="0" collapsed="false">
      <c r="A68" s="35" t="n">
        <v>6</v>
      </c>
      <c r="B68" s="1" t="n">
        <v>0.752076127330993</v>
      </c>
      <c r="C68" s="1" t="n">
        <v>0.69925918619606</v>
      </c>
      <c r="D68" s="33" t="n">
        <f aca="false">C68-B68</f>
        <v>-0.0528169411349331</v>
      </c>
      <c r="E68" s="33" t="n">
        <f aca="false">ABS(D68)</f>
        <v>0.0528169411349331</v>
      </c>
      <c r="I68" s="2" t="s">
        <v>25</v>
      </c>
      <c r="J68" s="1" t="n">
        <f aca="false">COUNT(sims_per_turn_scen4!$B$62:$B$87)</f>
        <v>25</v>
      </c>
      <c r="K68" s="1" t="n">
        <f aca="false">COUNT(sims_per_turn_scen4!$C$62:$C$87)</f>
        <v>25</v>
      </c>
      <c r="M68" s="35" t="n">
        <v>19</v>
      </c>
      <c r="N68" s="33" t="n">
        <v>0.0443244960472375</v>
      </c>
    </row>
    <row r="69" customFormat="false" ht="12.8" hidden="false" customHeight="false" outlineLevel="0" collapsed="false">
      <c r="A69" s="35" t="n">
        <v>7</v>
      </c>
      <c r="B69" s="1" t="n">
        <v>0.811772559323065</v>
      </c>
      <c r="C69" s="1" t="n">
        <v>0.735139079782349</v>
      </c>
      <c r="D69" s="33" t="n">
        <f aca="false">C69-B69</f>
        <v>-0.0766334795407158</v>
      </c>
      <c r="E69" s="33" t="n">
        <f aca="false">ABS(D69)</f>
        <v>0.0766334795407158</v>
      </c>
      <c r="I69" s="2" t="s">
        <v>26</v>
      </c>
      <c r="J69" s="1" t="n">
        <f aca="false">CORREL(sims_per_turn_scen4!$B$62:$B$87,sims_per_turn_scen4!$C$62:$C$87)</f>
        <v>0.831103923606616</v>
      </c>
      <c r="M69" s="35" t="n">
        <v>4</v>
      </c>
      <c r="N69" s="33" t="n">
        <v>0.0435096973878786</v>
      </c>
    </row>
    <row r="70" customFormat="false" ht="12.8" hidden="false" customHeight="false" outlineLevel="0" collapsed="false">
      <c r="A70" s="35" t="n">
        <v>8</v>
      </c>
      <c r="B70" s="1" t="n">
        <v>0.718329243982785</v>
      </c>
      <c r="C70" s="1" t="n">
        <v>0.694325378562934</v>
      </c>
      <c r="D70" s="33" t="n">
        <f aca="false">C70-B70</f>
        <v>-0.0240038654198511</v>
      </c>
      <c r="E70" s="33" t="n">
        <f aca="false">ABS(D70)</f>
        <v>0.0240038654198511</v>
      </c>
      <c r="I70" s="2" t="s">
        <v>27</v>
      </c>
      <c r="J70" s="1" t="n">
        <f aca="false" t="array" ref="J70:J70">AVERAGE(IF(ISODD(IF(ISNUMBER(sims_per_turn_scen4!$B$62:$B$87), 1, 0) * IF(ISNUMBER(sims_per_turn_scen4!$C$62:$C$87), 1, 0)), sims_per_turn_scen4!$B$62:$B$87 - sims_per_turn_scen4!$C$62:$C$87, "NA"))</f>
        <v>0.0106944645111069</v>
      </c>
      <c r="M70" s="35" t="n">
        <v>11</v>
      </c>
      <c r="N70" s="33" t="n">
        <v>0.0347986196752406</v>
      </c>
    </row>
    <row r="71" customFormat="false" ht="12.8" hidden="false" customHeight="false" outlineLevel="0" collapsed="false">
      <c r="A71" s="35" t="n">
        <v>9</v>
      </c>
      <c r="B71" s="1" t="n">
        <v>0.750898507673254</v>
      </c>
      <c r="C71" s="1" t="n">
        <v>0.754953984633863</v>
      </c>
      <c r="D71" s="33" t="n">
        <f aca="false">C71-B71</f>
        <v>0.00405547696060882</v>
      </c>
      <c r="E71" s="33" t="n">
        <f aca="false">ABS(D71)</f>
        <v>0.00405547696060882</v>
      </c>
      <c r="I71" s="2" t="s">
        <v>28</v>
      </c>
      <c r="J71" s="1" t="n">
        <f aca="false" t="array" ref="J71:J71">VAR(IF(ISODD(IF(ISNUMBER(sims_per_turn_scen4!$B$62:$B$87), 1, 0) * IF(ISNUMBER(sims_per_turn_scen4!$C$62:$C$87), 1, 0)), sims_per_turn_scen4!$B$62:$B$87 - sims_per_turn_scen4!$C$62:$C$87, "NA"))</f>
        <v>0.00115315758516144</v>
      </c>
      <c r="M71" s="35" t="n">
        <v>16</v>
      </c>
      <c r="N71" s="33" t="n">
        <v>0.0313308943781639</v>
      </c>
    </row>
    <row r="72" customFormat="false" ht="12.8" hidden="false" customHeight="false" outlineLevel="0" collapsed="false">
      <c r="A72" s="35" t="n">
        <v>10</v>
      </c>
      <c r="B72" s="1" t="n">
        <v>0.712335367494729</v>
      </c>
      <c r="C72" s="1" t="n">
        <v>0.780131624434666</v>
      </c>
      <c r="D72" s="33" t="n">
        <f aca="false">C72-B72</f>
        <v>0.0677962569399365</v>
      </c>
      <c r="E72" s="33" t="n">
        <f aca="false">ABS(D72)</f>
        <v>0.0677962569399365</v>
      </c>
      <c r="I72" s="2" t="s">
        <v>29</v>
      </c>
      <c r="J72" s="1" t="n">
        <f aca="false" t="array" ref="J72:J72">SUM(IF(ISNUMBER(sims_per_turn_scen4!$B$62:$B$87), 1, 0) * IF(ISNUMBER(sims_per_turn_scen4!$C$62:$C$87), 1, 0)) - 1</f>
        <v>24</v>
      </c>
      <c r="M72" s="35" t="n">
        <v>13</v>
      </c>
      <c r="N72" s="33" t="n">
        <v>0.0284844215549038</v>
      </c>
    </row>
    <row r="73" customFormat="false" ht="12.8" hidden="false" customHeight="false" outlineLevel="0" collapsed="false">
      <c r="A73" s="35" t="n">
        <v>11</v>
      </c>
      <c r="B73" s="1" t="n">
        <v>0.77617002993037</v>
      </c>
      <c r="C73" s="1" t="n">
        <v>0.741371410255129</v>
      </c>
      <c r="D73" s="33" t="n">
        <f aca="false">C73-B73</f>
        <v>-0.0347986196752406</v>
      </c>
      <c r="E73" s="33" t="n">
        <f aca="false">ABS(D73)</f>
        <v>0.0347986196752406</v>
      </c>
      <c r="I73" s="2" t="s">
        <v>30</v>
      </c>
      <c r="J73" s="1" t="n">
        <f aca="false">(sims_per_turn_scen4!$J$70 - sims_per_turn_scen4!$J$64) / (sims_per_turn_scen4!$J$71 / ( sims_per_turn_scen4!$J$72 + 1)) ^ 0.5</f>
        <v>1.57465246713961</v>
      </c>
      <c r="M73" s="35" t="n">
        <v>24</v>
      </c>
      <c r="N73" s="33" t="n">
        <v>0.0267928143558145</v>
      </c>
    </row>
    <row r="74" customFormat="false" ht="12.8" hidden="false" customHeight="false" outlineLevel="0" collapsed="false">
      <c r="A74" s="35" t="n">
        <v>12</v>
      </c>
      <c r="B74" s="1" t="n">
        <v>0.770418007906113</v>
      </c>
      <c r="C74" s="1" t="n">
        <v>0.752430545440722</v>
      </c>
      <c r="D74" s="33" t="n">
        <f aca="false">C74-B74</f>
        <v>-0.0179874624653911</v>
      </c>
      <c r="E74" s="33" t="n">
        <f aca="false">ABS(D74)</f>
        <v>0.0179874624653911</v>
      </c>
      <c r="I74" s="2" t="s">
        <v>31</v>
      </c>
      <c r="J74" s="1" t="n">
        <f aca="false">TDIST(ABS(sims_per_turn_scen4!$J$73), sims_per_turn_scen4!$J$72, 1)</f>
        <v>0.0642140968381539</v>
      </c>
      <c r="M74" s="35" t="n">
        <v>17</v>
      </c>
      <c r="N74" s="33" t="n">
        <v>0.0247023076480338</v>
      </c>
    </row>
    <row r="75" customFormat="false" ht="12.8" hidden="false" customHeight="false" outlineLevel="0" collapsed="false">
      <c r="A75" s="35" t="n">
        <v>13</v>
      </c>
      <c r="B75" s="1" t="n">
        <v>0.687181835442281</v>
      </c>
      <c r="C75" s="1" t="n">
        <v>0.658697413887377</v>
      </c>
      <c r="D75" s="33" t="n">
        <f aca="false">C75-B75</f>
        <v>-0.0284844215549038</v>
      </c>
      <c r="E75" s="33" t="n">
        <f aca="false">ABS(D75)</f>
        <v>0.0284844215549038</v>
      </c>
      <c r="I75" s="2" t="s">
        <v>32</v>
      </c>
      <c r="J75" s="1" t="n">
        <f aca="false">TINV(2*sims_per_turn_scen4!$J$63, sims_per_turn_scen4!$J$72)</f>
        <v>1.71088207990943</v>
      </c>
      <c r="M75" s="35" t="n">
        <v>8</v>
      </c>
      <c r="N75" s="33" t="n">
        <v>0.0240038654198511</v>
      </c>
    </row>
    <row r="76" customFormat="false" ht="12.8" hidden="false" customHeight="false" outlineLevel="0" collapsed="false">
      <c r="A76" s="35" t="n">
        <v>14</v>
      </c>
      <c r="B76" s="1" t="n">
        <v>0.81381364646817</v>
      </c>
      <c r="C76" s="1" t="n">
        <v>0.81359317699571</v>
      </c>
      <c r="D76" s="33" t="n">
        <f aca="false">C76-B76</f>
        <v>-0.000220469472459794</v>
      </c>
      <c r="E76" s="33" t="n">
        <f aca="false">ABS(D76)</f>
        <v>0.000220469472459794</v>
      </c>
      <c r="I76" s="2" t="s">
        <v>33</v>
      </c>
      <c r="J76" s="1" t="n">
        <f aca="false">TDIST(ABS(sims_per_turn_scen4!$J$73), sims_per_turn_scen4!$J$72, 2)</f>
        <v>0.128428193676308</v>
      </c>
      <c r="M76" s="35" t="n">
        <v>15</v>
      </c>
      <c r="N76" s="33" t="n">
        <v>0.0227018391713697</v>
      </c>
    </row>
    <row r="77" customFormat="false" ht="12.8" hidden="false" customHeight="false" outlineLevel="0" collapsed="false">
      <c r="A77" s="35" t="n">
        <v>15</v>
      </c>
      <c r="B77" s="1" t="n">
        <v>0.78154173279719</v>
      </c>
      <c r="C77" s="1" t="n">
        <v>0.75883989362582</v>
      </c>
      <c r="D77" s="33" t="n">
        <f aca="false">C77-B77</f>
        <v>-0.0227018391713697</v>
      </c>
      <c r="E77" s="33" t="n">
        <f aca="false">ABS(D77)</f>
        <v>0.0227018391713697</v>
      </c>
      <c r="I77" s="2" t="s">
        <v>34</v>
      </c>
      <c r="J77" s="1" t="n">
        <f aca="false">TINV(sims_per_turn_scen4!$J$63, sims_per_turn_scen4!$J$72)</f>
        <v>2.06389856162803</v>
      </c>
      <c r="M77" s="37" t="n">
        <v>25</v>
      </c>
      <c r="N77" s="33" t="n">
        <v>0.0218707974307926</v>
      </c>
    </row>
    <row r="78" customFormat="false" ht="12.8" hidden="false" customHeight="false" outlineLevel="0" collapsed="false">
      <c r="A78" s="35" t="n">
        <v>16</v>
      </c>
      <c r="B78" s="1" t="n">
        <v>0.679973262997131</v>
      </c>
      <c r="C78" s="1" t="n">
        <v>0.648642368618967</v>
      </c>
      <c r="D78" s="33" t="n">
        <f aca="false">C78-B78</f>
        <v>-0.0313308943781639</v>
      </c>
      <c r="E78" s="33" t="n">
        <f aca="false">ABS(D78)</f>
        <v>0.0313308943781639</v>
      </c>
      <c r="M78" s="35" t="n">
        <v>22</v>
      </c>
      <c r="N78" s="33" t="n">
        <v>0.0214098138870542</v>
      </c>
    </row>
    <row r="79" customFormat="false" ht="12.8" hidden="false" customHeight="false" outlineLevel="0" collapsed="false">
      <c r="A79" s="35" t="n">
        <v>17</v>
      </c>
      <c r="B79" s="1" t="n">
        <v>0.804539740964931</v>
      </c>
      <c r="C79" s="1" t="n">
        <v>0.779837433316897</v>
      </c>
      <c r="D79" s="33" t="n">
        <f aca="false">C79-B79</f>
        <v>-0.0247023076480338</v>
      </c>
      <c r="E79" s="33" t="n">
        <f aca="false">ABS(D79)</f>
        <v>0.0247023076480338</v>
      </c>
      <c r="M79" s="35" t="n">
        <v>12</v>
      </c>
      <c r="N79" s="33" t="n">
        <v>0.0179874624653911</v>
      </c>
    </row>
    <row r="80" customFormat="false" ht="12.8" hidden="false" customHeight="false" outlineLevel="0" collapsed="false">
      <c r="A80" s="35" t="n">
        <v>18</v>
      </c>
      <c r="B80" s="1" t="n">
        <v>0.575788380252692</v>
      </c>
      <c r="C80" s="1" t="n">
        <v>0.572089176041892</v>
      </c>
      <c r="D80" s="33" t="n">
        <f aca="false">C80-B80</f>
        <v>-0.00369920421079994</v>
      </c>
      <c r="E80" s="33" t="n">
        <f aca="false">ABS(D80)</f>
        <v>0.00369920421079994</v>
      </c>
      <c r="M80" s="35" t="n">
        <v>23</v>
      </c>
      <c r="N80" s="33" t="n">
        <v>0.0175335234094478</v>
      </c>
    </row>
    <row r="81" customFormat="false" ht="12.8" hidden="false" customHeight="false" outlineLevel="0" collapsed="false">
      <c r="A81" s="35" t="n">
        <v>19</v>
      </c>
      <c r="B81" s="1" t="n">
        <v>0.808293439836629</v>
      </c>
      <c r="C81" s="1" t="n">
        <v>0.763968943789392</v>
      </c>
      <c r="D81" s="33" t="n">
        <f aca="false">C81-B81</f>
        <v>-0.0443244960472375</v>
      </c>
      <c r="E81" s="33" t="n">
        <f aca="false">ABS(D81)</f>
        <v>0.0443244960472375</v>
      </c>
      <c r="M81" s="35" t="n">
        <v>1</v>
      </c>
      <c r="N81" s="33" t="n">
        <v>0.0103663761241036</v>
      </c>
    </row>
    <row r="82" customFormat="false" ht="12.8" hidden="false" customHeight="false" outlineLevel="0" collapsed="false">
      <c r="A82" s="35" t="n">
        <v>20</v>
      </c>
      <c r="B82" s="1" t="n">
        <v>0.631098700615939</v>
      </c>
      <c r="C82" s="1" t="n">
        <v>0.624304602360581</v>
      </c>
      <c r="D82" s="33" t="n">
        <f aca="false">C82-B82</f>
        <v>-0.00679409825535793</v>
      </c>
      <c r="E82" s="33" t="n">
        <f aca="false">ABS(D82)</f>
        <v>0.00679409825535793</v>
      </c>
      <c r="M82" s="35" t="n">
        <v>3</v>
      </c>
      <c r="N82" s="33" t="n">
        <v>0.00908185607431311</v>
      </c>
    </row>
    <row r="83" customFormat="false" ht="12.8" hidden="false" customHeight="false" outlineLevel="0" collapsed="false">
      <c r="A83" s="35" t="n">
        <v>21</v>
      </c>
      <c r="B83" s="1" t="n">
        <v>0.723521456744309</v>
      </c>
      <c r="C83" s="1" t="n">
        <v>0.659893215109107</v>
      </c>
      <c r="D83" s="33" t="n">
        <f aca="false">C83-B83</f>
        <v>-0.0636282416352019</v>
      </c>
      <c r="E83" s="33" t="n">
        <f aca="false">ABS(D83)</f>
        <v>0.0636282416352019</v>
      </c>
      <c r="M83" s="35" t="n">
        <v>5</v>
      </c>
      <c r="N83" s="33" t="n">
        <v>0.00829005875960809</v>
      </c>
    </row>
    <row r="84" customFormat="false" ht="12.8" hidden="false" customHeight="false" outlineLevel="0" collapsed="false">
      <c r="A84" s="35" t="n">
        <v>22</v>
      </c>
      <c r="B84" s="1" t="n">
        <v>0.667636089020494</v>
      </c>
      <c r="C84" s="1" t="n">
        <v>0.689045902907548</v>
      </c>
      <c r="D84" s="33" t="n">
        <f aca="false">C84-B84</f>
        <v>0.0214098138870542</v>
      </c>
      <c r="E84" s="33" t="n">
        <f aca="false">ABS(D84)</f>
        <v>0.0214098138870542</v>
      </c>
      <c r="M84" s="35" t="n">
        <v>20</v>
      </c>
      <c r="N84" s="33" t="n">
        <v>0.00679409825535793</v>
      </c>
    </row>
    <row r="85" customFormat="false" ht="12.8" hidden="false" customHeight="false" outlineLevel="0" collapsed="false">
      <c r="A85" s="35" t="n">
        <v>23</v>
      </c>
      <c r="B85" s="1" t="n">
        <v>0.729145136576755</v>
      </c>
      <c r="C85" s="1" t="n">
        <v>0.746678659986203</v>
      </c>
      <c r="D85" s="33" t="n">
        <f aca="false">C85-B85</f>
        <v>0.0175335234094478</v>
      </c>
      <c r="E85" s="33" t="n">
        <f aca="false">ABS(D85)</f>
        <v>0.0175335234094478</v>
      </c>
      <c r="M85" s="35" t="n">
        <v>9</v>
      </c>
      <c r="N85" s="33" t="n">
        <v>0.00405547696060882</v>
      </c>
    </row>
    <row r="86" customFormat="false" ht="12.8" hidden="false" customHeight="false" outlineLevel="0" collapsed="false">
      <c r="A86" s="35" t="n">
        <v>24</v>
      </c>
      <c r="B86" s="1" t="n">
        <v>0.768909591560026</v>
      </c>
      <c r="C86" s="1" t="n">
        <v>0.795702405915841</v>
      </c>
      <c r="D86" s="33" t="n">
        <f aca="false">C86-B86</f>
        <v>0.0267928143558145</v>
      </c>
      <c r="E86" s="33" t="n">
        <f aca="false">ABS(D86)</f>
        <v>0.0267928143558145</v>
      </c>
      <c r="M86" s="35" t="n">
        <v>18</v>
      </c>
      <c r="N86" s="33" t="n">
        <v>0.00369920421079994</v>
      </c>
    </row>
    <row r="87" customFormat="false" ht="12.8" hidden="false" customHeight="false" outlineLevel="0" collapsed="false">
      <c r="A87" s="37" t="n">
        <v>25</v>
      </c>
      <c r="B87" s="1" t="n">
        <v>0.694335761858647</v>
      </c>
      <c r="C87" s="1" t="n">
        <v>0.71620655928944</v>
      </c>
      <c r="D87" s="33" t="n">
        <f aca="false">C87-B87</f>
        <v>0.0218707974307926</v>
      </c>
      <c r="E87" s="33" t="n">
        <f aca="false">ABS(D87)</f>
        <v>0.0218707974307926</v>
      </c>
      <c r="M87" s="35" t="n">
        <v>14</v>
      </c>
      <c r="N87" s="33" t="n">
        <v>0.000220469472459794</v>
      </c>
    </row>
    <row r="91" customFormat="false" ht="12.8" hidden="false" customHeight="false" outlineLevel="0" collapsed="false">
      <c r="A91" s="31" t="s">
        <v>11</v>
      </c>
      <c r="B91" s="38" t="s">
        <v>35</v>
      </c>
      <c r="C91" s="32" t="s">
        <v>13</v>
      </c>
      <c r="D91" s="33" t="s">
        <v>38</v>
      </c>
      <c r="E91" s="33" t="s">
        <v>15</v>
      </c>
      <c r="F91" s="33" t="s">
        <v>16</v>
      </c>
      <c r="G91" s="33" t="s">
        <v>17</v>
      </c>
      <c r="I91" s="34" t="s">
        <v>18</v>
      </c>
      <c r="M91" s="31" t="s">
        <v>11</v>
      </c>
      <c r="N91" s="33" t="s">
        <v>15</v>
      </c>
    </row>
    <row r="92" customFormat="false" ht="12.8" hidden="false" customHeight="false" outlineLevel="0" collapsed="false">
      <c r="A92" s="35" t="n">
        <v>1</v>
      </c>
      <c r="B92" s="1" t="n">
        <v>0.782943341241136</v>
      </c>
      <c r="C92" s="1" t="n">
        <v>0.796298769133089</v>
      </c>
      <c r="D92" s="33" t="n">
        <f aca="false">C92-B92</f>
        <v>0.0133554278919528</v>
      </c>
      <c r="E92" s="33" t="n">
        <f aca="false">ABS(D92)</f>
        <v>0.0133554278919528</v>
      </c>
      <c r="F92" s="33" t="n">
        <f aca="false">AVERAGE(D92:D116)</f>
        <v>-0.00675477950817918</v>
      </c>
      <c r="G92" s="33" t="n">
        <f aca="false">_xlfn.STDEV.S(D92:D116)</f>
        <v>0.0446091904874415</v>
      </c>
      <c r="I92" s="2" t="s">
        <v>19</v>
      </c>
      <c r="J92" s="1" t="n">
        <v>0.05</v>
      </c>
      <c r="M92" s="35" t="n">
        <v>21</v>
      </c>
      <c r="N92" s="1" t="n">
        <v>0.110093556356214</v>
      </c>
    </row>
    <row r="93" customFormat="false" ht="12.8" hidden="false" customHeight="false" outlineLevel="0" collapsed="false">
      <c r="A93" s="35" t="n">
        <v>2</v>
      </c>
      <c r="B93" s="1" t="n">
        <v>0.72616787514369</v>
      </c>
      <c r="C93" s="1" t="n">
        <v>0.739558549996658</v>
      </c>
      <c r="D93" s="33" t="n">
        <f aca="false">C93-B93</f>
        <v>0.0133906748529681</v>
      </c>
      <c r="E93" s="33" t="n">
        <f aca="false">ABS(D93)</f>
        <v>0.0133906748529681</v>
      </c>
      <c r="I93" s="2" t="s">
        <v>20</v>
      </c>
      <c r="J93" s="1" t="n">
        <v>0</v>
      </c>
      <c r="M93" s="35" t="n">
        <v>10</v>
      </c>
      <c r="N93" s="1" t="n">
        <v>0.097613291621911</v>
      </c>
    </row>
    <row r="94" customFormat="false" ht="12.8" hidden="false" customHeight="false" outlineLevel="0" collapsed="false">
      <c r="A94" s="35" t="n">
        <v>3</v>
      </c>
      <c r="B94" s="1" t="n">
        <v>0.762384843564062</v>
      </c>
      <c r="C94" s="1" t="n">
        <v>0.739544897773702</v>
      </c>
      <c r="D94" s="33" t="n">
        <f aca="false">C94-B94</f>
        <v>-0.02283994579036</v>
      </c>
      <c r="E94" s="33" t="n">
        <f aca="false">ABS(D94)</f>
        <v>0.02283994579036</v>
      </c>
      <c r="J94" s="36" t="s">
        <v>21</v>
      </c>
      <c r="K94" s="36" t="s">
        <v>22</v>
      </c>
      <c r="M94" s="35" t="n">
        <v>11</v>
      </c>
      <c r="N94" s="1" t="n">
        <v>0.0859981384860868</v>
      </c>
    </row>
    <row r="95" customFormat="false" ht="12.8" hidden="false" customHeight="false" outlineLevel="0" collapsed="false">
      <c r="A95" s="35" t="n">
        <v>4</v>
      </c>
      <c r="B95" s="1" t="n">
        <v>0.703293963123335</v>
      </c>
      <c r="C95" s="1" t="n">
        <v>0.743029391601184</v>
      </c>
      <c r="D95" s="33" t="n">
        <f aca="false">C95-B95</f>
        <v>0.0397354284778488</v>
      </c>
      <c r="E95" s="33" t="n">
        <f aca="false">ABS(D95)</f>
        <v>0.0397354284778488</v>
      </c>
      <c r="I95" s="2" t="s">
        <v>23</v>
      </c>
      <c r="J95" s="1" t="n">
        <f aca="false">AVERAGE(sims_per_turn_scen4!$B$91:$B$116)</f>
        <v>0.734490373784622</v>
      </c>
      <c r="K95" s="1" t="n">
        <f aca="false">AVERAGE(sims_per_turn_scen4!$C$91:$C$116)</f>
        <v>0.727735594276442</v>
      </c>
      <c r="M95" s="35" t="n">
        <v>7</v>
      </c>
      <c r="N95" s="1" t="n">
        <v>0.0776340920706327</v>
      </c>
    </row>
    <row r="96" customFormat="false" ht="12.8" hidden="false" customHeight="false" outlineLevel="0" collapsed="false">
      <c r="A96" s="35" t="n">
        <v>5</v>
      </c>
      <c r="B96" s="1" t="n">
        <v>0.729690702766813</v>
      </c>
      <c r="C96" s="1" t="n">
        <v>0.725502046355756</v>
      </c>
      <c r="D96" s="33" t="n">
        <f aca="false">C96-B96</f>
        <v>-0.00418865641105659</v>
      </c>
      <c r="E96" s="33" t="n">
        <f aca="false">ABS(D96)</f>
        <v>0.00418865641105659</v>
      </c>
      <c r="I96" s="2" t="s">
        <v>24</v>
      </c>
      <c r="J96" s="1" t="n">
        <f aca="false">VAR(sims_per_turn_scen4!$B$91:$B$116)</f>
        <v>0.00341183321168499</v>
      </c>
      <c r="K96" s="1" t="n">
        <f aca="false">VAR(sims_per_turn_scen4!$C$91:$C$116)</f>
        <v>0.00415956848228218</v>
      </c>
      <c r="M96" s="35" t="n">
        <v>23</v>
      </c>
      <c r="N96" s="1" t="n">
        <v>0.0502902533010785</v>
      </c>
    </row>
    <row r="97" customFormat="false" ht="12.8" hidden="false" customHeight="false" outlineLevel="0" collapsed="false">
      <c r="A97" s="35" t="n">
        <v>6</v>
      </c>
      <c r="B97" s="1" t="n">
        <v>0.752076127330993</v>
      </c>
      <c r="C97" s="1" t="n">
        <v>0.74855685096753</v>
      </c>
      <c r="D97" s="33" t="n">
        <f aca="false">C97-B97</f>
        <v>-0.00351927636346328</v>
      </c>
      <c r="E97" s="33" t="n">
        <f aca="false">ABS(D97)</f>
        <v>0.00351927636346328</v>
      </c>
      <c r="I97" s="2" t="s">
        <v>25</v>
      </c>
      <c r="J97" s="1" t="n">
        <f aca="false">COUNT(sims_per_turn_scen4!$B$91:$B$116)</f>
        <v>25</v>
      </c>
      <c r="K97" s="1" t="n">
        <f aca="false">COUNT(sims_per_turn_scen4!$C$91:$C$116)</f>
        <v>25</v>
      </c>
      <c r="M97" s="35" t="n">
        <v>8</v>
      </c>
      <c r="N97" s="1" t="n">
        <v>0.0496279026756361</v>
      </c>
    </row>
    <row r="98" customFormat="false" ht="12.8" hidden="false" customHeight="false" outlineLevel="0" collapsed="false">
      <c r="A98" s="35" t="n">
        <v>7</v>
      </c>
      <c r="B98" s="1" t="n">
        <v>0.811772559323065</v>
      </c>
      <c r="C98" s="1" t="n">
        <v>0.734138467252432</v>
      </c>
      <c r="D98" s="33" t="n">
        <f aca="false">C98-B98</f>
        <v>-0.0776340920706327</v>
      </c>
      <c r="E98" s="33" t="n">
        <f aca="false">ABS(D98)</f>
        <v>0.0776340920706327</v>
      </c>
      <c r="I98" s="2" t="s">
        <v>26</v>
      </c>
      <c r="J98" s="1" t="n">
        <f aca="false">CORREL(sims_per_turn_scen4!$B$91:$B$116,sims_per_turn_scen4!$C$91:$C$116)</f>
        <v>0.740792905391764</v>
      </c>
      <c r="M98" s="35" t="n">
        <v>4</v>
      </c>
      <c r="N98" s="1" t="n">
        <v>0.0397354284778488</v>
      </c>
    </row>
    <row r="99" customFormat="false" ht="12.8" hidden="false" customHeight="false" outlineLevel="0" collapsed="false">
      <c r="A99" s="35" t="n">
        <v>8</v>
      </c>
      <c r="B99" s="1" t="n">
        <v>0.718329243982785</v>
      </c>
      <c r="C99" s="1" t="n">
        <v>0.668701341307149</v>
      </c>
      <c r="D99" s="33" t="n">
        <f aca="false">C99-B99</f>
        <v>-0.0496279026756361</v>
      </c>
      <c r="E99" s="33" t="n">
        <f aca="false">ABS(D99)</f>
        <v>0.0496279026756361</v>
      </c>
      <c r="I99" s="2" t="s">
        <v>27</v>
      </c>
      <c r="J99" s="1" t="n">
        <f aca="false" t="array" ref="J99:J99">AVERAGE(IF(ISODD(IF(ISNUMBER(sims_per_turn_scen4!$B$91:$B$116), 1, 0) * IF(ISNUMBER(sims_per_turn_scen4!$C$91:$C$116), 1, 0)), sims_per_turn_scen4!$B$91:$B$116 - sims_per_turn_scen4!$C$91:$C$116, "NA"))</f>
        <v>0.00675477950817915</v>
      </c>
      <c r="M99" s="35" t="n">
        <v>9</v>
      </c>
      <c r="N99" s="1" t="n">
        <v>0.0359815293160114</v>
      </c>
    </row>
    <row r="100" customFormat="false" ht="12.8" hidden="false" customHeight="false" outlineLevel="0" collapsed="false">
      <c r="A100" s="35" t="n">
        <v>9</v>
      </c>
      <c r="B100" s="1" t="n">
        <v>0.750898507673254</v>
      </c>
      <c r="C100" s="1" t="n">
        <v>0.786880036989265</v>
      </c>
      <c r="D100" s="33" t="n">
        <f aca="false">C100-B100</f>
        <v>0.0359815293160114</v>
      </c>
      <c r="E100" s="33" t="n">
        <f aca="false">ABS(D100)</f>
        <v>0.0359815293160114</v>
      </c>
      <c r="I100" s="2" t="s">
        <v>28</v>
      </c>
      <c r="J100" s="1" t="n">
        <f aca="false" t="array" ref="J100:J100">VAR(IF(ISODD(IF(ISNUMBER(sims_per_turn_scen4!$B$91:$B$116), 1, 0) * IF(ISNUMBER(sims_per_turn_scen4!$C$91:$C$116), 1, 0)), sims_per_turn_scen4!$B$91:$B$116 - sims_per_turn_scen4!$C$91:$C$116, "NA"))</f>
        <v>0.00198997987594485</v>
      </c>
      <c r="M100" s="35" t="n">
        <v>16</v>
      </c>
      <c r="N100" s="1" t="n">
        <v>0.0345740961808666</v>
      </c>
    </row>
    <row r="101" customFormat="false" ht="12.8" hidden="false" customHeight="false" outlineLevel="0" collapsed="false">
      <c r="A101" s="35" t="n">
        <v>10</v>
      </c>
      <c r="B101" s="1" t="n">
        <v>0.712335367494729</v>
      </c>
      <c r="C101" s="1" t="n">
        <v>0.80994865911664</v>
      </c>
      <c r="D101" s="33" t="n">
        <f aca="false">C101-B101</f>
        <v>0.097613291621911</v>
      </c>
      <c r="E101" s="33" t="n">
        <f aca="false">ABS(D101)</f>
        <v>0.097613291621911</v>
      </c>
      <c r="I101" s="2" t="s">
        <v>29</v>
      </c>
      <c r="J101" s="1" t="n">
        <f aca="false" t="array" ref="J101:J101">SUM(IF(ISNUMBER(sims_per_turn_scen4!$B$91:$B$116), 1, 0) * IF(ISNUMBER(sims_per_turn_scen4!$C$91:$C$116), 1, 0)) - 1</f>
        <v>24</v>
      </c>
      <c r="M101" s="35" t="n">
        <v>17</v>
      </c>
      <c r="N101" s="1" t="n">
        <v>0.0315235159902364</v>
      </c>
    </row>
    <row r="102" customFormat="false" ht="12.8" hidden="false" customHeight="false" outlineLevel="0" collapsed="false">
      <c r="A102" s="35" t="n">
        <v>11</v>
      </c>
      <c r="B102" s="1" t="n">
        <v>0.77617002993037</v>
      </c>
      <c r="C102" s="1" t="n">
        <v>0.690171891444283</v>
      </c>
      <c r="D102" s="33" t="n">
        <f aca="false">C102-B102</f>
        <v>-0.0859981384860868</v>
      </c>
      <c r="E102" s="33" t="n">
        <f aca="false">ABS(D102)</f>
        <v>0.0859981384860868</v>
      </c>
      <c r="I102" s="2" t="s">
        <v>30</v>
      </c>
      <c r="J102" s="1" t="n">
        <f aca="false">(sims_per_turn_scen4!$J$99 - sims_per_turn_scen4!$J$93) / (sims_per_turn_scen4!$J$100 / ( sims_per_turn_scen4!$J$101 + 1)) ^ 0.5</f>
        <v>0.757106263795663</v>
      </c>
      <c r="M102" s="35" t="n">
        <v>24</v>
      </c>
      <c r="N102" s="1" t="n">
        <v>0.0267628380313075</v>
      </c>
    </row>
    <row r="103" customFormat="false" ht="12.8" hidden="false" customHeight="false" outlineLevel="0" collapsed="false">
      <c r="A103" s="35" t="n">
        <v>12</v>
      </c>
      <c r="B103" s="1" t="n">
        <v>0.770418007906113</v>
      </c>
      <c r="C103" s="1" t="n">
        <v>0.749125347769507</v>
      </c>
      <c r="D103" s="33" t="n">
        <f aca="false">C103-B103</f>
        <v>-0.0212926601366059</v>
      </c>
      <c r="E103" s="33" t="n">
        <f aca="false">ABS(D103)</f>
        <v>0.0212926601366059</v>
      </c>
      <c r="I103" s="2" t="s">
        <v>31</v>
      </c>
      <c r="J103" s="1" t="n">
        <f aca="false">TDIST(ABS(sims_per_turn_scen4!$J$102), sims_per_turn_scen4!$J$101, 1)</f>
        <v>0.228177677983555</v>
      </c>
      <c r="M103" s="35" t="n">
        <v>3</v>
      </c>
      <c r="N103" s="1" t="n">
        <v>0.02283994579036</v>
      </c>
    </row>
    <row r="104" customFormat="false" ht="12.8" hidden="false" customHeight="false" outlineLevel="0" collapsed="false">
      <c r="A104" s="35" t="n">
        <v>13</v>
      </c>
      <c r="B104" s="1" t="n">
        <v>0.687181835442281</v>
      </c>
      <c r="C104" s="1" t="n">
        <v>0.677480782400821</v>
      </c>
      <c r="D104" s="33" t="n">
        <f aca="false">C104-B104</f>
        <v>-0.00970105304146041</v>
      </c>
      <c r="E104" s="33" t="n">
        <f aca="false">ABS(D104)</f>
        <v>0.00970105304146041</v>
      </c>
      <c r="I104" s="2" t="s">
        <v>32</v>
      </c>
      <c r="J104" s="1" t="n">
        <f aca="false">TINV(2*sims_per_turn_scen4!$J$92, sims_per_turn_scen4!$J$101)</f>
        <v>1.71088207990943</v>
      </c>
      <c r="M104" s="35" t="n">
        <v>20</v>
      </c>
      <c r="N104" s="1" t="n">
        <v>0.0214090677022991</v>
      </c>
    </row>
    <row r="105" customFormat="false" ht="12.8" hidden="false" customHeight="false" outlineLevel="0" collapsed="false">
      <c r="A105" s="35" t="n">
        <v>14</v>
      </c>
      <c r="B105" s="1" t="n">
        <v>0.81381364646817</v>
      </c>
      <c r="C105" s="1" t="n">
        <v>0.792919049793641</v>
      </c>
      <c r="D105" s="33" t="n">
        <f aca="false">C105-B105</f>
        <v>-0.0208945966745292</v>
      </c>
      <c r="E105" s="33" t="n">
        <f aca="false">ABS(D105)</f>
        <v>0.0208945966745292</v>
      </c>
      <c r="I105" s="2" t="s">
        <v>33</v>
      </c>
      <c r="J105" s="1" t="n">
        <f aca="false">TDIST(ABS(sims_per_turn_scen4!$J$102), sims_per_turn_scen4!$J$101, 2)</f>
        <v>0.45635535596711</v>
      </c>
      <c r="M105" s="35" t="n">
        <v>12</v>
      </c>
      <c r="N105" s="1" t="n">
        <v>0.0212926601366059</v>
      </c>
    </row>
    <row r="106" customFormat="false" ht="12.8" hidden="false" customHeight="false" outlineLevel="0" collapsed="false">
      <c r="A106" s="35" t="n">
        <v>15</v>
      </c>
      <c r="B106" s="1" t="n">
        <v>0.78154173279719</v>
      </c>
      <c r="C106" s="1" t="n">
        <v>0.800884410132615</v>
      </c>
      <c r="D106" s="33" t="n">
        <f aca="false">C106-B106</f>
        <v>0.0193426773354246</v>
      </c>
      <c r="E106" s="33" t="n">
        <f aca="false">ABS(D106)</f>
        <v>0.0193426773354246</v>
      </c>
      <c r="I106" s="2" t="s">
        <v>34</v>
      </c>
      <c r="J106" s="1" t="n">
        <f aca="false">TINV(sims_per_turn_scen4!$J$92, sims_per_turn_scen4!$J$101)</f>
        <v>2.06389856162803</v>
      </c>
      <c r="M106" s="35" t="n">
        <v>14</v>
      </c>
      <c r="N106" s="1" t="n">
        <v>0.0208945966745292</v>
      </c>
    </row>
    <row r="107" customFormat="false" ht="12.8" hidden="false" customHeight="false" outlineLevel="0" collapsed="false">
      <c r="A107" s="35" t="n">
        <v>16</v>
      </c>
      <c r="B107" s="1" t="n">
        <v>0.679973262997131</v>
      </c>
      <c r="C107" s="1" t="n">
        <v>0.645399166816264</v>
      </c>
      <c r="D107" s="33" t="n">
        <f aca="false">C107-B107</f>
        <v>-0.0345740961808666</v>
      </c>
      <c r="E107" s="33" t="n">
        <f aca="false">ABS(D107)</f>
        <v>0.0345740961808666</v>
      </c>
      <c r="M107" s="35" t="n">
        <v>15</v>
      </c>
      <c r="N107" s="1" t="n">
        <v>0.0193426773354246</v>
      </c>
    </row>
    <row r="108" customFormat="false" ht="12.8" hidden="false" customHeight="false" outlineLevel="0" collapsed="false">
      <c r="A108" s="35" t="n">
        <v>17</v>
      </c>
      <c r="B108" s="1" t="n">
        <v>0.804539740964931</v>
      </c>
      <c r="C108" s="1" t="n">
        <v>0.773016224974695</v>
      </c>
      <c r="D108" s="33" t="n">
        <f aca="false">C108-B108</f>
        <v>-0.0315235159902364</v>
      </c>
      <c r="E108" s="33" t="n">
        <f aca="false">ABS(D108)</f>
        <v>0.0315235159902364</v>
      </c>
      <c r="M108" s="35" t="n">
        <v>2</v>
      </c>
      <c r="N108" s="1" t="n">
        <v>0.0133906748529681</v>
      </c>
    </row>
    <row r="109" customFormat="false" ht="12.8" hidden="false" customHeight="false" outlineLevel="0" collapsed="false">
      <c r="A109" s="35" t="n">
        <v>18</v>
      </c>
      <c r="B109" s="1" t="n">
        <v>0.575788380252692</v>
      </c>
      <c r="C109" s="1" t="n">
        <v>0.583045440245199</v>
      </c>
      <c r="D109" s="33" t="n">
        <f aca="false">C109-B109</f>
        <v>0.00725705999250714</v>
      </c>
      <c r="E109" s="33" t="n">
        <f aca="false">ABS(D109)</f>
        <v>0.00725705999250714</v>
      </c>
      <c r="M109" s="35" t="n">
        <v>1</v>
      </c>
      <c r="N109" s="1" t="n">
        <v>0.0133554278919528</v>
      </c>
    </row>
    <row r="110" customFormat="false" ht="12.8" hidden="false" customHeight="false" outlineLevel="0" collapsed="false">
      <c r="A110" s="35" t="n">
        <v>19</v>
      </c>
      <c r="B110" s="1" t="n">
        <v>0.808293439836629</v>
      </c>
      <c r="C110" s="1" t="n">
        <v>0.795481203585273</v>
      </c>
      <c r="D110" s="33" t="n">
        <f aca="false">C110-B110</f>
        <v>-0.0128122362513557</v>
      </c>
      <c r="E110" s="33" t="n">
        <f aca="false">ABS(D110)</f>
        <v>0.0128122362513557</v>
      </c>
      <c r="M110" s="35" t="n">
        <v>19</v>
      </c>
      <c r="N110" s="1" t="n">
        <v>0.0128122362513557</v>
      </c>
    </row>
    <row r="111" customFormat="false" ht="12.8" hidden="false" customHeight="false" outlineLevel="0" collapsed="false">
      <c r="A111" s="35" t="n">
        <v>20</v>
      </c>
      <c r="B111" s="1" t="n">
        <v>0.631098700615939</v>
      </c>
      <c r="C111" s="1" t="n">
        <v>0.652507768318238</v>
      </c>
      <c r="D111" s="33" t="n">
        <f aca="false">C111-B111</f>
        <v>0.0214090677022991</v>
      </c>
      <c r="E111" s="33" t="n">
        <f aca="false">ABS(D111)</f>
        <v>0.0214090677022991</v>
      </c>
      <c r="M111" s="35" t="n">
        <v>22</v>
      </c>
      <c r="N111" s="1" t="n">
        <v>0.0106366661846872</v>
      </c>
    </row>
    <row r="112" customFormat="false" ht="12.8" hidden="false" customHeight="false" outlineLevel="0" collapsed="false">
      <c r="A112" s="35" t="n">
        <v>21</v>
      </c>
      <c r="B112" s="1" t="n">
        <v>0.723521456744309</v>
      </c>
      <c r="C112" s="1" t="n">
        <v>0.613427900388095</v>
      </c>
      <c r="D112" s="33" t="n">
        <f aca="false">C112-B112</f>
        <v>-0.110093556356214</v>
      </c>
      <c r="E112" s="33" t="n">
        <f aca="false">ABS(D112)</f>
        <v>0.110093556356214</v>
      </c>
      <c r="M112" s="35" t="n">
        <v>13</v>
      </c>
      <c r="N112" s="1" t="n">
        <v>0.00970105304146041</v>
      </c>
    </row>
    <row r="113" customFormat="false" ht="12.8" hidden="false" customHeight="false" outlineLevel="0" collapsed="false">
      <c r="A113" s="35" t="n">
        <v>22</v>
      </c>
      <c r="B113" s="1" t="n">
        <v>0.667636089020494</v>
      </c>
      <c r="C113" s="1" t="n">
        <v>0.656999422835807</v>
      </c>
      <c r="D113" s="33" t="n">
        <f aca="false">C113-B113</f>
        <v>-0.0106366661846872</v>
      </c>
      <c r="E113" s="33" t="n">
        <f aca="false">ABS(D113)</f>
        <v>0.0106366661846872</v>
      </c>
      <c r="M113" s="35" t="n">
        <v>18</v>
      </c>
      <c r="N113" s="1" t="n">
        <v>0.00725705999250714</v>
      </c>
    </row>
    <row r="114" customFormat="false" ht="12.8" hidden="false" customHeight="false" outlineLevel="0" collapsed="false">
      <c r="A114" s="35" t="n">
        <v>23</v>
      </c>
      <c r="B114" s="1" t="n">
        <v>0.729145136576755</v>
      </c>
      <c r="C114" s="1" t="n">
        <v>0.779435389877834</v>
      </c>
      <c r="D114" s="33" t="n">
        <f aca="false">C114-B114</f>
        <v>0.0502902533010785</v>
      </c>
      <c r="E114" s="33" t="n">
        <f aca="false">ABS(D114)</f>
        <v>0.0502902533010785</v>
      </c>
      <c r="M114" s="35" t="n">
        <v>5</v>
      </c>
      <c r="N114" s="1" t="n">
        <v>0.00418865641105659</v>
      </c>
    </row>
    <row r="115" customFormat="false" ht="12.8" hidden="false" customHeight="false" outlineLevel="0" collapsed="false">
      <c r="A115" s="35" t="n">
        <v>24</v>
      </c>
      <c r="B115" s="1" t="n">
        <v>0.768909591560026</v>
      </c>
      <c r="C115" s="1" t="n">
        <v>0.795672429591334</v>
      </c>
      <c r="D115" s="33" t="n">
        <f aca="false">C115-B115</f>
        <v>0.0267628380313075</v>
      </c>
      <c r="E115" s="33" t="n">
        <f aca="false">ABS(D115)</f>
        <v>0.0267628380313075</v>
      </c>
      <c r="M115" s="35" t="n">
        <v>6</v>
      </c>
      <c r="N115" s="1" t="n">
        <v>0.00351927636346328</v>
      </c>
    </row>
    <row r="116" customFormat="false" ht="12.8" hidden="false" customHeight="false" outlineLevel="0" collapsed="false">
      <c r="A116" s="37" t="n">
        <v>25</v>
      </c>
      <c r="B116" s="1" t="n">
        <v>0.694335761858647</v>
      </c>
      <c r="C116" s="1" t="n">
        <v>0.695664418244049</v>
      </c>
      <c r="D116" s="33" t="n">
        <f aca="false">C116-B116</f>
        <v>0.00132865638540225</v>
      </c>
      <c r="E116" s="33" t="n">
        <f aca="false">ABS(D116)</f>
        <v>0.00132865638540225</v>
      </c>
      <c r="M116" s="37" t="n">
        <v>25</v>
      </c>
      <c r="N116" s="1" t="n">
        <v>0.00132865638540225</v>
      </c>
    </row>
    <row r="120" customFormat="false" ht="12.8" hidden="false" customHeight="false" outlineLevel="0" collapsed="false">
      <c r="A120" s="31" t="s">
        <v>11</v>
      </c>
      <c r="B120" s="38" t="s">
        <v>35</v>
      </c>
      <c r="C120" s="32" t="s">
        <v>12</v>
      </c>
      <c r="D120" s="33" t="s">
        <v>39</v>
      </c>
      <c r="E120" s="33" t="s">
        <v>15</v>
      </c>
      <c r="F120" s="33" t="s">
        <v>16</v>
      </c>
      <c r="G120" s="33" t="s">
        <v>17</v>
      </c>
      <c r="I120" s="34" t="s">
        <v>18</v>
      </c>
      <c r="M120" s="31" t="s">
        <v>11</v>
      </c>
      <c r="N120" s="39" t="s">
        <v>15</v>
      </c>
    </row>
    <row r="121" customFormat="false" ht="12.8" hidden="false" customHeight="false" outlineLevel="0" collapsed="false">
      <c r="A121" s="35" t="n">
        <v>1</v>
      </c>
      <c r="B121" s="1" t="n">
        <v>0.782943341241136</v>
      </c>
      <c r="C121" s="1" t="n">
        <v>0.802858105976441</v>
      </c>
      <c r="D121" s="33" t="n">
        <f aca="false">C121-B121</f>
        <v>0.0199147647353054</v>
      </c>
      <c r="E121" s="33" t="n">
        <f aca="false">ABS(D121)</f>
        <v>0.0199147647353054</v>
      </c>
      <c r="F121" s="33" t="n">
        <f aca="false">AVERAGE(D121:D145)</f>
        <v>0.00410070054124979</v>
      </c>
      <c r="G121" s="33" t="n">
        <f aca="false">_xlfn.STDEV.S(D121:D145)</f>
        <v>0.0342813490766608</v>
      </c>
      <c r="I121" s="2" t="s">
        <v>19</v>
      </c>
      <c r="J121" s="1" t="n">
        <v>0.05</v>
      </c>
      <c r="M121" s="35" t="n">
        <v>10</v>
      </c>
      <c r="N121" s="1" t="n">
        <v>0.0830582334898924</v>
      </c>
    </row>
    <row r="122" customFormat="false" ht="12.8" hidden="false" customHeight="false" outlineLevel="0" collapsed="false">
      <c r="A122" s="35" t="n">
        <v>2</v>
      </c>
      <c r="B122" s="1" t="n">
        <v>0.72616787514369</v>
      </c>
      <c r="C122" s="1" t="n">
        <v>0.723830722485877</v>
      </c>
      <c r="D122" s="33" t="n">
        <f aca="false">C122-B122</f>
        <v>-0.00233715265781331</v>
      </c>
      <c r="E122" s="33" t="n">
        <f aca="false">ABS(D122)</f>
        <v>0.00233715265781331</v>
      </c>
      <c r="I122" s="2" t="s">
        <v>20</v>
      </c>
      <c r="J122" s="1" t="n">
        <v>0</v>
      </c>
      <c r="M122" s="35" t="n">
        <v>5</v>
      </c>
      <c r="N122" s="1" t="n">
        <v>0.0585440310312529</v>
      </c>
    </row>
    <row r="123" customFormat="false" ht="12.8" hidden="false" customHeight="false" outlineLevel="0" collapsed="false">
      <c r="A123" s="35" t="n">
        <v>3</v>
      </c>
      <c r="B123" s="1" t="n">
        <v>0.762384843564062</v>
      </c>
      <c r="C123" s="1" t="n">
        <v>0.720096923539769</v>
      </c>
      <c r="D123" s="33" t="n">
        <f aca="false">C123-B123</f>
        <v>-0.0422879200242929</v>
      </c>
      <c r="E123" s="33" t="n">
        <f aca="false">ABS(D123)</f>
        <v>0.0422879200242929</v>
      </c>
      <c r="J123" s="36" t="s">
        <v>21</v>
      </c>
      <c r="K123" s="36" t="s">
        <v>22</v>
      </c>
      <c r="M123" s="37" t="n">
        <v>25</v>
      </c>
      <c r="N123" s="1" t="n">
        <v>0.0543969634372112</v>
      </c>
    </row>
    <row r="124" customFormat="false" ht="12.8" hidden="false" customHeight="false" outlineLevel="0" collapsed="false">
      <c r="A124" s="35" t="n">
        <v>4</v>
      </c>
      <c r="B124" s="1" t="n">
        <v>0.703293963123335</v>
      </c>
      <c r="C124" s="1" t="n">
        <v>0.744563645027981</v>
      </c>
      <c r="D124" s="33" t="n">
        <f aca="false">C124-B124</f>
        <v>0.0412696819046459</v>
      </c>
      <c r="E124" s="33" t="n">
        <f aca="false">ABS(D124)</f>
        <v>0.0412696819046459</v>
      </c>
      <c r="I124" s="2" t="s">
        <v>23</v>
      </c>
      <c r="J124" s="1" t="n">
        <f aca="false">AVERAGE(sims_per_turn_scen4!$B$120:$B$145)</f>
        <v>0.734490373784622</v>
      </c>
      <c r="K124" s="1" t="n">
        <f aca="false">AVERAGE(sims_per_turn_scen4!$C$120:$C$145)</f>
        <v>0.738591074325871</v>
      </c>
      <c r="M124" s="35" t="n">
        <v>8</v>
      </c>
      <c r="N124" s="1" t="n">
        <v>0.0491979542313977</v>
      </c>
    </row>
    <row r="125" customFormat="false" ht="12.8" hidden="false" customHeight="false" outlineLevel="0" collapsed="false">
      <c r="A125" s="35" t="n">
        <v>5</v>
      </c>
      <c r="B125" s="1" t="n">
        <v>0.729690702766813</v>
      </c>
      <c r="C125" s="1" t="n">
        <v>0.67114667173556</v>
      </c>
      <c r="D125" s="33" t="n">
        <f aca="false">C125-B125</f>
        <v>-0.0585440310312529</v>
      </c>
      <c r="E125" s="33" t="n">
        <f aca="false">ABS(D125)</f>
        <v>0.0585440310312529</v>
      </c>
      <c r="I125" s="2" t="s">
        <v>24</v>
      </c>
      <c r="J125" s="1" t="n">
        <f aca="false">VAR(sims_per_turn_scen4!$B$120:$B$145)</f>
        <v>0.00341183321168499</v>
      </c>
      <c r="K125" s="1" t="n">
        <f aca="false">VAR(sims_per_turn_scen4!$C$120:$C$145)</f>
        <v>0.00297443070943292</v>
      </c>
      <c r="M125" s="35" t="n">
        <v>20</v>
      </c>
      <c r="N125" s="1" t="n">
        <v>0.0448142221160438</v>
      </c>
    </row>
    <row r="126" customFormat="false" ht="12.8" hidden="false" customHeight="false" outlineLevel="0" collapsed="false">
      <c r="A126" s="35" t="n">
        <v>6</v>
      </c>
      <c r="B126" s="1" t="n">
        <v>0.752076127330993</v>
      </c>
      <c r="C126" s="1" t="n">
        <v>0.740698706746506</v>
      </c>
      <c r="D126" s="33" t="n">
        <f aca="false">C126-B126</f>
        <v>-0.011377420584487</v>
      </c>
      <c r="E126" s="33" t="n">
        <f aca="false">ABS(D126)</f>
        <v>0.011377420584487</v>
      </c>
      <c r="I126" s="2" t="s">
        <v>25</v>
      </c>
      <c r="J126" s="1" t="n">
        <f aca="false">COUNT(sims_per_turn_scen4!$B$120:$B$145)</f>
        <v>25</v>
      </c>
      <c r="K126" s="1" t="n">
        <f aca="false">COUNT(sims_per_turn_scen4!$C$120:$C$145)</f>
        <v>25</v>
      </c>
      <c r="M126" s="35" t="n">
        <v>3</v>
      </c>
      <c r="N126" s="1" t="n">
        <v>0.0422879200242929</v>
      </c>
    </row>
    <row r="127" customFormat="false" ht="12.8" hidden="false" customHeight="false" outlineLevel="0" collapsed="false">
      <c r="A127" s="35" t="n">
        <v>7</v>
      </c>
      <c r="B127" s="1" t="n">
        <v>0.811772559323065</v>
      </c>
      <c r="C127" s="1" t="n">
        <v>0.773772436552573</v>
      </c>
      <c r="D127" s="33" t="n">
        <f aca="false">C127-B127</f>
        <v>-0.0380001227704924</v>
      </c>
      <c r="E127" s="33" t="n">
        <f aca="false">ABS(D127)</f>
        <v>0.0380001227704924</v>
      </c>
      <c r="I127" s="2" t="s">
        <v>26</v>
      </c>
      <c r="J127" s="1" t="n">
        <f aca="false">CORREL(sims_per_turn_scen4!$B$120:$B$145,sims_per_turn_scen4!$C$120:$C$145)</f>
        <v>0.817898991047414</v>
      </c>
      <c r="M127" s="35" t="n">
        <v>4</v>
      </c>
      <c r="N127" s="1" t="n">
        <v>0.0412696819046459</v>
      </c>
    </row>
    <row r="128" customFormat="false" ht="12.8" hidden="false" customHeight="false" outlineLevel="0" collapsed="false">
      <c r="A128" s="35" t="n">
        <v>8</v>
      </c>
      <c r="B128" s="1" t="n">
        <v>0.718329243982785</v>
      </c>
      <c r="C128" s="1" t="n">
        <v>0.669131289751387</v>
      </c>
      <c r="D128" s="33" t="n">
        <f aca="false">C128-B128</f>
        <v>-0.0491979542313977</v>
      </c>
      <c r="E128" s="33" t="n">
        <f aca="false">ABS(D128)</f>
        <v>0.0491979542313977</v>
      </c>
      <c r="I128" s="2" t="s">
        <v>27</v>
      </c>
      <c r="J128" s="1" t="n">
        <f aca="false" t="array" ref="J128:J128">AVERAGE(IF(ISODD(IF(ISNUMBER(sims_per_turn_scen4!$B$120:$B$145), 1, 0) * IF(ISNUMBER(sims_per_turn_scen4!$C$120:$C$145), 1, 0)), sims_per_turn_scen4!$B$120:$B$145 - sims_per_turn_scen4!$C$120:$C$145, "NA"))</f>
        <v>-0.0041007005412498</v>
      </c>
      <c r="M128" s="35" t="n">
        <v>7</v>
      </c>
      <c r="N128" s="1" t="n">
        <v>0.0380001227704924</v>
      </c>
    </row>
    <row r="129" customFormat="false" ht="12.8" hidden="false" customHeight="false" outlineLevel="0" collapsed="false">
      <c r="A129" s="35" t="n">
        <v>9</v>
      </c>
      <c r="B129" s="1" t="n">
        <v>0.750898507673254</v>
      </c>
      <c r="C129" s="1" t="n">
        <v>0.76936357772334</v>
      </c>
      <c r="D129" s="33" t="n">
        <f aca="false">C129-B129</f>
        <v>0.0184650700500861</v>
      </c>
      <c r="E129" s="33" t="n">
        <f aca="false">ABS(D129)</f>
        <v>0.0184650700500861</v>
      </c>
      <c r="I129" s="2" t="s">
        <v>28</v>
      </c>
      <c r="J129" s="1" t="n">
        <f aca="false" t="array" ref="J129:J129">VAR(IF(ISODD(IF(ISNUMBER(sims_per_turn_scen4!$B$120:$B$145), 1, 0) * IF(ISNUMBER(sims_per_turn_scen4!$C$120:$C$145), 1, 0)), sims_per_turn_scen4!$B$120:$B$145 - sims_per_turn_scen4!$C$120:$C$145, "NA"))</f>
        <v>0.00117521089451587</v>
      </c>
      <c r="M129" s="35" t="n">
        <v>18</v>
      </c>
      <c r="N129" s="1" t="n">
        <v>0.0331218152866498</v>
      </c>
    </row>
    <row r="130" customFormat="false" ht="12.8" hidden="false" customHeight="false" outlineLevel="0" collapsed="false">
      <c r="A130" s="35" t="n">
        <v>10</v>
      </c>
      <c r="B130" s="1" t="n">
        <v>0.712335367494729</v>
      </c>
      <c r="C130" s="1" t="n">
        <v>0.795393600984621</v>
      </c>
      <c r="D130" s="33" t="n">
        <f aca="false">C130-B130</f>
        <v>0.0830582334898924</v>
      </c>
      <c r="E130" s="33" t="n">
        <f aca="false">ABS(D130)</f>
        <v>0.0830582334898924</v>
      </c>
      <c r="I130" s="2" t="s">
        <v>29</v>
      </c>
      <c r="J130" s="1" t="n">
        <f aca="false" t="array" ref="J130:J130">SUM(IF(ISNUMBER(sims_per_turn_scen4!$B$120:$B$145), 1, 0) * IF(ISNUMBER(sims_per_turn_scen4!$C$120:$C$145), 1, 0)) - 1</f>
        <v>24</v>
      </c>
      <c r="M130" s="35" t="n">
        <v>17</v>
      </c>
      <c r="N130" s="1" t="n">
        <v>0.0294491932009308</v>
      </c>
    </row>
    <row r="131" customFormat="false" ht="12.8" hidden="false" customHeight="false" outlineLevel="0" collapsed="false">
      <c r="A131" s="35" t="n">
        <v>11</v>
      </c>
      <c r="B131" s="1" t="n">
        <v>0.77617002993037</v>
      </c>
      <c r="C131" s="1" t="n">
        <v>0.750280009673556</v>
      </c>
      <c r="D131" s="33" t="n">
        <f aca="false">C131-B131</f>
        <v>-0.025890020256814</v>
      </c>
      <c r="E131" s="33" t="n">
        <f aca="false">ABS(D131)</f>
        <v>0.025890020256814</v>
      </c>
      <c r="I131" s="2" t="s">
        <v>30</v>
      </c>
      <c r="J131" s="1" t="n">
        <f aca="false">(sims_per_turn_scen4!$J$128 - sims_per_turn_scen4!$J$122) / (sims_per_turn_scen4!$J$129 / ( sims_per_turn_scen4!$J$130 + 1)) ^ 0.5</f>
        <v>-0.598094977545911</v>
      </c>
      <c r="M131" s="35" t="n">
        <v>23</v>
      </c>
      <c r="N131" s="1" t="n">
        <v>0.0280658897309189</v>
      </c>
    </row>
    <row r="132" customFormat="false" ht="12.8" hidden="false" customHeight="false" outlineLevel="0" collapsed="false">
      <c r="A132" s="35" t="n">
        <v>12</v>
      </c>
      <c r="B132" s="1" t="n">
        <v>0.770418007906113</v>
      </c>
      <c r="C132" s="1" t="n">
        <v>0.791112051354437</v>
      </c>
      <c r="D132" s="33" t="n">
        <f aca="false">C132-B132</f>
        <v>0.0206940434483244</v>
      </c>
      <c r="E132" s="33" t="n">
        <f aca="false">ABS(D132)</f>
        <v>0.0206940434483244</v>
      </c>
      <c r="I132" s="2" t="s">
        <v>31</v>
      </c>
      <c r="J132" s="1" t="n">
        <f aca="false">TDIST(ABS(sims_per_turn_scen4!$J$131), sims_per_turn_scen4!$J$130, 1)</f>
        <v>0.277689612673319</v>
      </c>
      <c r="M132" s="35" t="n">
        <v>11</v>
      </c>
      <c r="N132" s="1" t="n">
        <v>0.025890020256814</v>
      </c>
    </row>
    <row r="133" customFormat="false" ht="12.8" hidden="false" customHeight="false" outlineLevel="0" collapsed="false">
      <c r="A133" s="35" t="n">
        <v>13</v>
      </c>
      <c r="B133" s="1" t="n">
        <v>0.687181835442281</v>
      </c>
      <c r="C133" s="1" t="n">
        <v>0.684900718861709</v>
      </c>
      <c r="D133" s="33" t="n">
        <f aca="false">C133-B133</f>
        <v>-0.00228111658057151</v>
      </c>
      <c r="E133" s="33" t="n">
        <f aca="false">ABS(D133)</f>
        <v>0.00228111658057151</v>
      </c>
      <c r="I133" s="2" t="s">
        <v>32</v>
      </c>
      <c r="J133" s="1" t="n">
        <f aca="false">TINV(2*sims_per_turn_scen4!$J$121, sims_per_turn_scen4!$J$130)</f>
        <v>1.71088207990943</v>
      </c>
      <c r="M133" s="35" t="n">
        <v>21</v>
      </c>
      <c r="N133" s="1" t="n">
        <v>0.0246042760947787</v>
      </c>
    </row>
    <row r="134" customFormat="false" ht="12.8" hidden="false" customHeight="false" outlineLevel="0" collapsed="false">
      <c r="A134" s="35" t="n">
        <v>14</v>
      </c>
      <c r="B134" s="1" t="n">
        <v>0.81381364646817</v>
      </c>
      <c r="C134" s="1" t="n">
        <v>0.81196411023973</v>
      </c>
      <c r="D134" s="33" t="n">
        <f aca="false">C134-B134</f>
        <v>-0.00184953622844009</v>
      </c>
      <c r="E134" s="33" t="n">
        <f aca="false">ABS(D134)</f>
        <v>0.00184953622844009</v>
      </c>
      <c r="I134" s="2" t="s">
        <v>33</v>
      </c>
      <c r="J134" s="1" t="n">
        <f aca="false">TDIST(ABS(sims_per_turn_scen4!$J$131), sims_per_turn_scen4!$J$130, 2)</f>
        <v>0.555379225346637</v>
      </c>
      <c r="M134" s="35" t="n">
        <v>12</v>
      </c>
      <c r="N134" s="1" t="n">
        <v>0.0206940434483244</v>
      </c>
    </row>
    <row r="135" customFormat="false" ht="12.8" hidden="false" customHeight="false" outlineLevel="0" collapsed="false">
      <c r="A135" s="35" t="n">
        <v>15</v>
      </c>
      <c r="B135" s="1" t="n">
        <v>0.78154173279719</v>
      </c>
      <c r="C135" s="1" t="n">
        <v>0.793315446960825</v>
      </c>
      <c r="D135" s="33" t="n">
        <f aca="false">C135-B135</f>
        <v>0.0117737141636345</v>
      </c>
      <c r="E135" s="33" t="n">
        <f aca="false">ABS(D135)</f>
        <v>0.0117737141636345</v>
      </c>
      <c r="I135" s="2" t="s">
        <v>34</v>
      </c>
      <c r="J135" s="1" t="n">
        <f aca="false">TINV(sims_per_turn_scen4!$J$121, sims_per_turn_scen4!$J$130)</f>
        <v>2.06389856162803</v>
      </c>
      <c r="M135" s="35" t="n">
        <v>24</v>
      </c>
      <c r="N135" s="1" t="n">
        <v>0.0206919376295764</v>
      </c>
    </row>
    <row r="136" customFormat="false" ht="12.8" hidden="false" customHeight="false" outlineLevel="0" collapsed="false">
      <c r="A136" s="35" t="n">
        <v>16</v>
      </c>
      <c r="B136" s="1" t="n">
        <v>0.679973262997131</v>
      </c>
      <c r="C136" s="1" t="n">
        <v>0.677622741253111</v>
      </c>
      <c r="D136" s="33" t="n">
        <f aca="false">C136-B136</f>
        <v>-0.00235052174401984</v>
      </c>
      <c r="E136" s="33" t="n">
        <f aca="false">ABS(D136)</f>
        <v>0.00235052174401984</v>
      </c>
      <c r="M136" s="35" t="n">
        <v>1</v>
      </c>
      <c r="N136" s="1" t="n">
        <v>0.0199147647353054</v>
      </c>
    </row>
    <row r="137" customFormat="false" ht="12.8" hidden="false" customHeight="false" outlineLevel="0" collapsed="false">
      <c r="A137" s="35" t="n">
        <v>17</v>
      </c>
      <c r="B137" s="1" t="n">
        <v>0.804539740964931</v>
      </c>
      <c r="C137" s="1" t="n">
        <v>0.775090547764</v>
      </c>
      <c r="D137" s="33" t="n">
        <f aca="false">C137-B137</f>
        <v>-0.0294491932009308</v>
      </c>
      <c r="E137" s="33" t="n">
        <f aca="false">ABS(D137)</f>
        <v>0.0294491932009308</v>
      </c>
      <c r="M137" s="35" t="n">
        <v>9</v>
      </c>
      <c r="N137" s="1" t="n">
        <v>0.0184650700500861</v>
      </c>
    </row>
    <row r="138" customFormat="false" ht="12.8" hidden="false" customHeight="false" outlineLevel="0" collapsed="false">
      <c r="A138" s="35" t="n">
        <v>18</v>
      </c>
      <c r="B138" s="1" t="n">
        <v>0.575788380252692</v>
      </c>
      <c r="C138" s="1" t="n">
        <v>0.608910195539342</v>
      </c>
      <c r="D138" s="33" t="n">
        <f aca="false">C138-B138</f>
        <v>0.0331218152866498</v>
      </c>
      <c r="E138" s="33" t="n">
        <f aca="false">ABS(D138)</f>
        <v>0.0331218152866498</v>
      </c>
      <c r="M138" s="35" t="n">
        <v>15</v>
      </c>
      <c r="N138" s="1" t="n">
        <v>0.0117737141636345</v>
      </c>
    </row>
    <row r="139" customFormat="false" ht="12.8" hidden="false" customHeight="false" outlineLevel="0" collapsed="false">
      <c r="A139" s="35" t="n">
        <v>19</v>
      </c>
      <c r="B139" s="1" t="n">
        <v>0.808293439836629</v>
      </c>
      <c r="C139" s="1" t="n">
        <v>0.816339008116756</v>
      </c>
      <c r="D139" s="33" t="n">
        <f aca="false">C139-B139</f>
        <v>0.0080455682801267</v>
      </c>
      <c r="E139" s="33" t="n">
        <f aca="false">ABS(D139)</f>
        <v>0.0080455682801267</v>
      </c>
      <c r="M139" s="35" t="n">
        <v>6</v>
      </c>
      <c r="N139" s="1" t="n">
        <v>0.011377420584487</v>
      </c>
    </row>
    <row r="140" customFormat="false" ht="12.8" hidden="false" customHeight="false" outlineLevel="0" collapsed="false">
      <c r="A140" s="35" t="n">
        <v>20</v>
      </c>
      <c r="B140" s="1" t="n">
        <v>0.631098700615939</v>
      </c>
      <c r="C140" s="1" t="n">
        <v>0.675912922731983</v>
      </c>
      <c r="D140" s="33" t="n">
        <f aca="false">C140-B140</f>
        <v>0.0448142221160438</v>
      </c>
      <c r="E140" s="33" t="n">
        <f aca="false">ABS(D140)</f>
        <v>0.0448142221160438</v>
      </c>
      <c r="M140" s="35" t="n">
        <v>19</v>
      </c>
      <c r="N140" s="1" t="n">
        <v>0.0080455682801267</v>
      </c>
    </row>
    <row r="141" customFormat="false" ht="12.8" hidden="false" customHeight="false" outlineLevel="0" collapsed="false">
      <c r="A141" s="35" t="n">
        <v>21</v>
      </c>
      <c r="B141" s="1" t="n">
        <v>0.723521456744309</v>
      </c>
      <c r="C141" s="1" t="n">
        <v>0.748125732839088</v>
      </c>
      <c r="D141" s="33" t="n">
        <f aca="false">C141-B141</f>
        <v>0.0246042760947787</v>
      </c>
      <c r="E141" s="33" t="n">
        <f aca="false">ABS(D141)</f>
        <v>0.0246042760947787</v>
      </c>
      <c r="M141" s="35" t="n">
        <v>16</v>
      </c>
      <c r="N141" s="1" t="n">
        <v>0.00235052174401984</v>
      </c>
    </row>
    <row r="142" customFormat="false" ht="12.8" hidden="false" customHeight="false" outlineLevel="0" collapsed="false">
      <c r="A142" s="35" t="n">
        <v>22</v>
      </c>
      <c r="B142" s="1" t="n">
        <v>0.667636089020494</v>
      </c>
      <c r="C142" s="1" t="n">
        <v>0.66618628675421</v>
      </c>
      <c r="D142" s="33" t="n">
        <f aca="false">C142-B142</f>
        <v>-0.00144980226628422</v>
      </c>
      <c r="E142" s="33" t="n">
        <f aca="false">ABS(D142)</f>
        <v>0.00144980226628422</v>
      </c>
      <c r="M142" s="35" t="n">
        <v>2</v>
      </c>
      <c r="N142" s="1" t="n">
        <v>0.00233715265781331</v>
      </c>
    </row>
    <row r="143" customFormat="false" ht="12.8" hidden="false" customHeight="false" outlineLevel="0" collapsed="false">
      <c r="A143" s="35" t="n">
        <v>23</v>
      </c>
      <c r="B143" s="1" t="n">
        <v>0.729145136576755</v>
      </c>
      <c r="C143" s="1" t="n">
        <v>0.757211026307674</v>
      </c>
      <c r="D143" s="33" t="n">
        <f aca="false">C143-B143</f>
        <v>0.0280658897309189</v>
      </c>
      <c r="E143" s="33" t="n">
        <f aca="false">ABS(D143)</f>
        <v>0.0280658897309189</v>
      </c>
      <c r="M143" s="35" t="n">
        <v>13</v>
      </c>
      <c r="N143" s="1" t="n">
        <v>0.00228111658057151</v>
      </c>
    </row>
    <row r="144" customFormat="false" ht="12.8" hidden="false" customHeight="false" outlineLevel="0" collapsed="false">
      <c r="A144" s="35" t="n">
        <v>24</v>
      </c>
      <c r="B144" s="1" t="n">
        <v>0.768909591560026</v>
      </c>
      <c r="C144" s="1" t="n">
        <v>0.74821765393045</v>
      </c>
      <c r="D144" s="33" t="n">
        <f aca="false">C144-B144</f>
        <v>-0.0206919376295764</v>
      </c>
      <c r="E144" s="33" t="n">
        <f aca="false">ABS(D144)</f>
        <v>0.0206919376295764</v>
      </c>
      <c r="M144" s="35" t="n">
        <v>14</v>
      </c>
      <c r="N144" s="1" t="n">
        <v>0.00184953622844009</v>
      </c>
    </row>
    <row r="145" customFormat="false" ht="12.8" hidden="false" customHeight="false" outlineLevel="0" collapsed="false">
      <c r="A145" s="37" t="n">
        <v>25</v>
      </c>
      <c r="B145" s="1" t="n">
        <v>0.694335761858647</v>
      </c>
      <c r="C145" s="1" t="n">
        <v>0.748732725295858</v>
      </c>
      <c r="D145" s="33" t="n">
        <f aca="false">C145-B145</f>
        <v>0.0543969634372112</v>
      </c>
      <c r="E145" s="33" t="n">
        <f aca="false">ABS(D145)</f>
        <v>0.0543969634372112</v>
      </c>
      <c r="M145" s="35" t="n">
        <v>22</v>
      </c>
      <c r="N145" s="1" t="n">
        <v>0.00144980226628422</v>
      </c>
    </row>
    <row r="149" customFormat="false" ht="12.8" hidden="false" customHeight="false" outlineLevel="0" collapsed="false">
      <c r="A149" s="31" t="s">
        <v>11</v>
      </c>
      <c r="B149" s="32" t="s">
        <v>36</v>
      </c>
      <c r="C149" s="32" t="s">
        <v>12</v>
      </c>
      <c r="D149" s="33" t="s">
        <v>40</v>
      </c>
      <c r="E149" s="33" t="s">
        <v>15</v>
      </c>
      <c r="F149" s="33" t="s">
        <v>16</v>
      </c>
      <c r="G149" s="33" t="s">
        <v>17</v>
      </c>
      <c r="I149" s="34" t="s">
        <v>18</v>
      </c>
      <c r="M149" s="31" t="s">
        <v>11</v>
      </c>
      <c r="N149" s="39" t="s">
        <v>15</v>
      </c>
    </row>
    <row r="150" customFormat="false" ht="12.8" hidden="false" customHeight="false" outlineLevel="0" collapsed="false">
      <c r="A150" s="35" t="n">
        <v>1</v>
      </c>
      <c r="B150" s="1" t="n">
        <v>0.772576965117032</v>
      </c>
      <c r="C150" s="1" t="n">
        <v>0.802858105976441</v>
      </c>
      <c r="D150" s="33" t="n">
        <f aca="false">C150-B150</f>
        <v>0.030281140859409</v>
      </c>
      <c r="E150" s="33" t="n">
        <f aca="false">ABS(D150)</f>
        <v>0.030281140859409</v>
      </c>
      <c r="F150" s="33" t="n">
        <f aca="false">AVERAGE(D150:D174)</f>
        <v>0.0147951650523567</v>
      </c>
      <c r="G150" s="33" t="n">
        <f aca="false">_xlfn.STDEV.S(D150:D174)</f>
        <v>0.0362210694189411</v>
      </c>
      <c r="I150" s="2" t="s">
        <v>19</v>
      </c>
      <c r="J150" s="1" t="n">
        <v>0.05</v>
      </c>
      <c r="M150" s="35" t="n">
        <v>21</v>
      </c>
      <c r="N150" s="1" t="n">
        <v>0.0882325177299805</v>
      </c>
    </row>
    <row r="151" customFormat="false" ht="12.8" hidden="false" customHeight="false" outlineLevel="0" collapsed="false">
      <c r="A151" s="35" t="n">
        <v>2</v>
      </c>
      <c r="B151" s="1" t="n">
        <v>0.680958683894326</v>
      </c>
      <c r="C151" s="1" t="n">
        <v>0.723830722485877</v>
      </c>
      <c r="D151" s="33" t="n">
        <f aca="false">C151-B151</f>
        <v>0.0428720385915504</v>
      </c>
      <c r="E151" s="33" t="n">
        <f aca="false">ABS(D151)</f>
        <v>0.0428720385915504</v>
      </c>
      <c r="I151" s="2" t="s">
        <v>20</v>
      </c>
      <c r="J151" s="1" t="n">
        <v>0</v>
      </c>
      <c r="M151" s="35" t="n">
        <v>5</v>
      </c>
      <c r="N151" s="1" t="n">
        <v>0.066834089790861</v>
      </c>
    </row>
    <row r="152" customFormat="false" ht="12.8" hidden="false" customHeight="false" outlineLevel="0" collapsed="false">
      <c r="A152" s="35" t="n">
        <v>3</v>
      </c>
      <c r="B152" s="1" t="n">
        <v>0.771466699638375</v>
      </c>
      <c r="C152" s="1" t="n">
        <v>0.720096923539769</v>
      </c>
      <c r="D152" s="33" t="n">
        <f aca="false">C152-B152</f>
        <v>-0.051369776098606</v>
      </c>
      <c r="E152" s="33" t="n">
        <f aca="false">ABS(D152)</f>
        <v>0.051369776098606</v>
      </c>
      <c r="J152" s="36" t="s">
        <v>21</v>
      </c>
      <c r="K152" s="36" t="s">
        <v>22</v>
      </c>
      <c r="M152" s="35" t="n">
        <v>19</v>
      </c>
      <c r="N152" s="1" t="n">
        <v>0.0523700643273642</v>
      </c>
    </row>
    <row r="153" customFormat="false" ht="12.8" hidden="false" customHeight="false" outlineLevel="0" collapsed="false">
      <c r="A153" s="35" t="n">
        <v>4</v>
      </c>
      <c r="B153" s="1" t="n">
        <v>0.746803660511214</v>
      </c>
      <c r="C153" s="1" t="n">
        <v>0.744563645027981</v>
      </c>
      <c r="D153" s="33" t="n">
        <f aca="false">C153-B153</f>
        <v>-0.00224001548323272</v>
      </c>
      <c r="E153" s="33" t="n">
        <f aca="false">ABS(D153)</f>
        <v>0.00224001548323272</v>
      </c>
      <c r="I153" s="2" t="s">
        <v>23</v>
      </c>
      <c r="J153" s="1" t="n">
        <f aca="false">AVERAGE(sims_per_turn_scen4!$B$149:$B$174)</f>
        <v>0.723795909273515</v>
      </c>
      <c r="K153" s="1" t="n">
        <f aca="false">AVERAGE(sims_per_turn_scen4!$C$149:$C$174)</f>
        <v>0.738591074325871</v>
      </c>
      <c r="M153" s="35" t="n">
        <v>20</v>
      </c>
      <c r="N153" s="1" t="n">
        <v>0.0516083203714017</v>
      </c>
    </row>
    <row r="154" customFormat="false" ht="12.8" hidden="false" customHeight="false" outlineLevel="0" collapsed="false">
      <c r="A154" s="35" t="n">
        <v>5</v>
      </c>
      <c r="B154" s="1" t="n">
        <v>0.737980761526421</v>
      </c>
      <c r="C154" s="1" t="n">
        <v>0.67114667173556</v>
      </c>
      <c r="D154" s="33" t="n">
        <f aca="false">C154-B154</f>
        <v>-0.066834089790861</v>
      </c>
      <c r="E154" s="33" t="n">
        <f aca="false">ABS(D154)</f>
        <v>0.066834089790861</v>
      </c>
      <c r="I154" s="2" t="s">
        <v>24</v>
      </c>
      <c r="J154" s="1" t="n">
        <f aca="false">VAR(sims_per_turn_scen4!$B$149:$B$174)</f>
        <v>0.00341577736974905</v>
      </c>
      <c r="K154" s="1" t="n">
        <f aca="false">VAR(sims_per_turn_scen4!$C$149:$C$174)</f>
        <v>0.00297443070943292</v>
      </c>
      <c r="M154" s="35" t="n">
        <v>3</v>
      </c>
      <c r="N154" s="1" t="n">
        <v>0.051369776098606</v>
      </c>
    </row>
    <row r="155" customFormat="false" ht="12.8" hidden="false" customHeight="false" outlineLevel="0" collapsed="false">
      <c r="A155" s="35" t="n">
        <v>6</v>
      </c>
      <c r="B155" s="1" t="n">
        <v>0.69925918619606</v>
      </c>
      <c r="C155" s="1" t="n">
        <v>0.740698706746506</v>
      </c>
      <c r="D155" s="33" t="n">
        <f aca="false">C155-B155</f>
        <v>0.0414395205504461</v>
      </c>
      <c r="E155" s="33" t="n">
        <f aca="false">ABS(D155)</f>
        <v>0.0414395205504461</v>
      </c>
      <c r="I155" s="2" t="s">
        <v>25</v>
      </c>
      <c r="J155" s="1" t="n">
        <f aca="false">COUNT(sims_per_turn_scen4!$B$149:$B$174)</f>
        <v>25</v>
      </c>
      <c r="K155" s="1" t="n">
        <f aca="false">COUNT(sims_per_turn_scen4!$C$149:$C$174)</f>
        <v>25</v>
      </c>
      <c r="M155" s="35" t="n">
        <v>24</v>
      </c>
      <c r="N155" s="1" t="n">
        <v>0.0474847519853909</v>
      </c>
    </row>
    <row r="156" customFormat="false" ht="12.8" hidden="false" customHeight="false" outlineLevel="0" collapsed="false">
      <c r="A156" s="35" t="n">
        <v>7</v>
      </c>
      <c r="B156" s="1" t="n">
        <v>0.735139079782349</v>
      </c>
      <c r="C156" s="1" t="n">
        <v>0.773772436552573</v>
      </c>
      <c r="D156" s="33" t="n">
        <f aca="false">C156-B156</f>
        <v>0.0386333567702234</v>
      </c>
      <c r="E156" s="33" t="n">
        <f aca="false">ABS(D156)</f>
        <v>0.0386333567702234</v>
      </c>
      <c r="I156" s="2" t="s">
        <v>26</v>
      </c>
      <c r="J156" s="1" t="n">
        <f aca="false">CORREL(sims_per_turn_scen4!$B$149:$B$174,sims_per_turn_scen4!$C$149:$C$174)</f>
        <v>0.796593408829711</v>
      </c>
      <c r="M156" s="35" t="n">
        <v>2</v>
      </c>
      <c r="N156" s="1" t="n">
        <v>0.0428720385915504</v>
      </c>
    </row>
    <row r="157" customFormat="false" ht="12.8" hidden="false" customHeight="false" outlineLevel="0" collapsed="false">
      <c r="A157" s="35" t="n">
        <v>8</v>
      </c>
      <c r="B157" s="1" t="n">
        <v>0.694325378562934</v>
      </c>
      <c r="C157" s="1" t="n">
        <v>0.669131289751387</v>
      </c>
      <c r="D157" s="33" t="n">
        <f aca="false">C157-B157</f>
        <v>-0.0251940888115466</v>
      </c>
      <c r="E157" s="33" t="n">
        <f aca="false">ABS(D157)</f>
        <v>0.0251940888115466</v>
      </c>
      <c r="I157" s="2" t="s">
        <v>27</v>
      </c>
      <c r="J157" s="1" t="n">
        <f aca="false" t="array" ref="J157:J157">AVERAGE(IF(ISODD(IF(ISNUMBER(sims_per_turn_scen4!$B$149:$B$174), 1, 0) * IF(ISNUMBER(sims_per_turn_scen4!$C$149:$C$174), 1, 0)), sims_per_turn_scen4!$B$149:$B$174 - sims_per_turn_scen4!$C$149:$C$174, "NA"))</f>
        <v>-0.0147951650523567</v>
      </c>
      <c r="M157" s="35" t="n">
        <v>6</v>
      </c>
      <c r="N157" s="1" t="n">
        <v>0.0414395205504461</v>
      </c>
    </row>
    <row r="158" customFormat="false" ht="12.8" hidden="false" customHeight="false" outlineLevel="0" collapsed="false">
      <c r="A158" s="35" t="n">
        <v>9</v>
      </c>
      <c r="B158" s="1" t="n">
        <v>0.754953984633863</v>
      </c>
      <c r="C158" s="1" t="n">
        <v>0.76936357772334</v>
      </c>
      <c r="D158" s="33" t="n">
        <f aca="false">C158-B158</f>
        <v>0.0144095930894773</v>
      </c>
      <c r="E158" s="33" t="n">
        <f aca="false">ABS(D158)</f>
        <v>0.0144095930894773</v>
      </c>
      <c r="I158" s="2" t="s">
        <v>28</v>
      </c>
      <c r="J158" s="1" t="n">
        <f aca="false" t="array" ref="J158:J158">VAR(IF(ISODD(IF(ISNUMBER(sims_per_turn_scen4!$B$149:$B$174), 1, 0) * IF(ISNUMBER(sims_per_turn_scen4!$C$149:$C$174), 1, 0)), sims_per_turn_scen4!$B$149:$B$174 - sims_per_turn_scen4!$C$149:$C$174, "NA"))</f>
        <v>0.00131196586985175</v>
      </c>
      <c r="M158" s="35" t="n">
        <v>12</v>
      </c>
      <c r="N158" s="1" t="n">
        <v>0.0386815059137154</v>
      </c>
    </row>
    <row r="159" customFormat="false" ht="12.8" hidden="false" customHeight="false" outlineLevel="0" collapsed="false">
      <c r="A159" s="35" t="n">
        <v>10</v>
      </c>
      <c r="B159" s="1" t="n">
        <v>0.780131624434666</v>
      </c>
      <c r="C159" s="1" t="n">
        <v>0.795393600984621</v>
      </c>
      <c r="D159" s="33" t="n">
        <f aca="false">C159-B159</f>
        <v>0.0152619765499559</v>
      </c>
      <c r="E159" s="33" t="n">
        <f aca="false">ABS(D159)</f>
        <v>0.0152619765499559</v>
      </c>
      <c r="I159" s="2" t="s">
        <v>29</v>
      </c>
      <c r="J159" s="1" t="n">
        <f aca="false" t="array" ref="J159:J159">SUM(IF(ISNUMBER(sims_per_turn_scen4!$B$149:$B$174), 1, 0) * IF(ISNUMBER(sims_per_turn_scen4!$C$149:$C$174), 1, 0)) - 1</f>
        <v>24</v>
      </c>
      <c r="M159" s="35" t="n">
        <v>7</v>
      </c>
      <c r="N159" s="1" t="n">
        <v>0.0386333567702234</v>
      </c>
    </row>
    <row r="160" customFormat="false" ht="12.8" hidden="false" customHeight="false" outlineLevel="0" collapsed="false">
      <c r="A160" s="35" t="n">
        <v>11</v>
      </c>
      <c r="B160" s="1" t="n">
        <v>0.741371410255129</v>
      </c>
      <c r="C160" s="1" t="n">
        <v>0.750280009673556</v>
      </c>
      <c r="D160" s="33" t="n">
        <f aca="false">C160-B160</f>
        <v>0.00890859941842659</v>
      </c>
      <c r="E160" s="33" t="n">
        <f aca="false">ABS(D160)</f>
        <v>0.00890859941842659</v>
      </c>
      <c r="I160" s="2" t="s">
        <v>30</v>
      </c>
      <c r="J160" s="1" t="n">
        <f aca="false">(sims_per_turn_scen4!$J$157 - sims_per_turn_scen4!$J$151) / (sims_per_turn_scen4!$J$158 / ( sims_per_turn_scen4!$J$159 + 1)) ^ 0.5</f>
        <v>-2.04234238382535</v>
      </c>
      <c r="M160" s="35" t="n">
        <v>18</v>
      </c>
      <c r="N160" s="1" t="n">
        <v>0.0368210194974498</v>
      </c>
    </row>
    <row r="161" customFormat="false" ht="12.8" hidden="false" customHeight="false" outlineLevel="0" collapsed="false">
      <c r="A161" s="35" t="n">
        <v>12</v>
      </c>
      <c r="B161" s="1" t="n">
        <v>0.752430545440722</v>
      </c>
      <c r="C161" s="1" t="n">
        <v>0.791112051354437</v>
      </c>
      <c r="D161" s="33" t="n">
        <f aca="false">C161-B161</f>
        <v>0.0386815059137154</v>
      </c>
      <c r="E161" s="33" t="n">
        <f aca="false">ABS(D161)</f>
        <v>0.0386815059137154</v>
      </c>
      <c r="I161" s="2" t="s">
        <v>31</v>
      </c>
      <c r="J161" s="1" t="n">
        <f aca="false">TDIST(ABS(sims_per_turn_scen4!$J$160), sims_per_turn_scen4!$J$159, 1)</f>
        <v>0.0261260644309009</v>
      </c>
      <c r="M161" s="35" t="n">
        <v>15</v>
      </c>
      <c r="N161" s="1" t="n">
        <v>0.0344755533350042</v>
      </c>
    </row>
    <row r="162" customFormat="false" ht="12.8" hidden="false" customHeight="false" outlineLevel="0" collapsed="false">
      <c r="A162" s="35" t="n">
        <v>13</v>
      </c>
      <c r="B162" s="1" t="n">
        <v>0.658697413887377</v>
      </c>
      <c r="C162" s="1" t="n">
        <v>0.684900718861709</v>
      </c>
      <c r="D162" s="33" t="n">
        <f aca="false">C162-B162</f>
        <v>0.0262033049743323</v>
      </c>
      <c r="E162" s="33" t="n">
        <f aca="false">ABS(D162)</f>
        <v>0.0262033049743323</v>
      </c>
      <c r="I162" s="2" t="s">
        <v>32</v>
      </c>
      <c r="J162" s="1" t="n">
        <f aca="false">TINV(2*sims_per_turn_scen4!$J$150, sims_per_turn_scen4!$J$159)</f>
        <v>1.71088207990943</v>
      </c>
      <c r="M162" s="37" t="n">
        <v>25</v>
      </c>
      <c r="N162" s="1" t="n">
        <v>0.0325261660064187</v>
      </c>
    </row>
    <row r="163" customFormat="false" ht="12.8" hidden="false" customHeight="false" outlineLevel="0" collapsed="false">
      <c r="A163" s="35" t="n">
        <v>14</v>
      </c>
      <c r="B163" s="1" t="n">
        <v>0.81359317699571</v>
      </c>
      <c r="C163" s="1" t="n">
        <v>0.81196411023973</v>
      </c>
      <c r="D163" s="33" t="n">
        <f aca="false">C163-B163</f>
        <v>-0.00162906675598029</v>
      </c>
      <c r="E163" s="33" t="n">
        <f aca="false">ABS(D163)</f>
        <v>0.00162906675598029</v>
      </c>
      <c r="I163" s="2" t="s">
        <v>33</v>
      </c>
      <c r="J163" s="1" t="n">
        <f aca="false">TDIST(ABS(sims_per_turn_scen4!$J$160), sims_per_turn_scen4!$J$159, 2)</f>
        <v>0.0522521288618017</v>
      </c>
      <c r="M163" s="35" t="n">
        <v>1</v>
      </c>
      <c r="N163" s="1" t="n">
        <v>0.030281140859409</v>
      </c>
    </row>
    <row r="164" customFormat="false" ht="12.8" hidden="false" customHeight="false" outlineLevel="0" collapsed="false">
      <c r="A164" s="35" t="n">
        <v>15</v>
      </c>
      <c r="B164" s="1" t="n">
        <v>0.75883989362582</v>
      </c>
      <c r="C164" s="1" t="n">
        <v>0.793315446960825</v>
      </c>
      <c r="D164" s="33" t="n">
        <f aca="false">C164-B164</f>
        <v>0.0344755533350042</v>
      </c>
      <c r="E164" s="33" t="n">
        <f aca="false">ABS(D164)</f>
        <v>0.0344755533350042</v>
      </c>
      <c r="I164" s="2" t="s">
        <v>34</v>
      </c>
      <c r="J164" s="1" t="n">
        <f aca="false">TINV(sims_per_turn_scen4!$J$150, sims_per_turn_scen4!$J$159)</f>
        <v>2.06389856162803</v>
      </c>
      <c r="M164" s="35" t="n">
        <v>16</v>
      </c>
      <c r="N164" s="1" t="n">
        <v>0.0289803726341441</v>
      </c>
    </row>
    <row r="165" customFormat="false" ht="12.8" hidden="false" customHeight="false" outlineLevel="0" collapsed="false">
      <c r="A165" s="35" t="n">
        <v>16</v>
      </c>
      <c r="B165" s="1" t="n">
        <v>0.648642368618967</v>
      </c>
      <c r="C165" s="1" t="n">
        <v>0.677622741253111</v>
      </c>
      <c r="D165" s="33" t="n">
        <f aca="false">C165-B165</f>
        <v>0.0289803726341441</v>
      </c>
      <c r="E165" s="33" t="n">
        <f aca="false">ABS(D165)</f>
        <v>0.0289803726341441</v>
      </c>
      <c r="M165" s="35" t="n">
        <v>13</v>
      </c>
      <c r="N165" s="1" t="n">
        <v>0.0262033049743323</v>
      </c>
    </row>
    <row r="166" customFormat="false" ht="12.8" hidden="false" customHeight="false" outlineLevel="0" collapsed="false">
      <c r="A166" s="35" t="n">
        <v>17</v>
      </c>
      <c r="B166" s="1" t="n">
        <v>0.779837433316897</v>
      </c>
      <c r="C166" s="1" t="n">
        <v>0.775090547764</v>
      </c>
      <c r="D166" s="33" t="n">
        <f aca="false">C166-B166</f>
        <v>-0.00474688555289693</v>
      </c>
      <c r="E166" s="33" t="n">
        <f aca="false">ABS(D166)</f>
        <v>0.00474688555289693</v>
      </c>
      <c r="M166" s="35" t="n">
        <v>8</v>
      </c>
      <c r="N166" s="1" t="n">
        <v>0.0251940888115466</v>
      </c>
    </row>
    <row r="167" customFormat="false" ht="12.8" hidden="false" customHeight="false" outlineLevel="0" collapsed="false">
      <c r="A167" s="35" t="n">
        <v>18</v>
      </c>
      <c r="B167" s="1" t="n">
        <v>0.572089176041892</v>
      </c>
      <c r="C167" s="1" t="n">
        <v>0.608910195539342</v>
      </c>
      <c r="D167" s="33" t="n">
        <f aca="false">C167-B167</f>
        <v>0.0368210194974498</v>
      </c>
      <c r="E167" s="33" t="n">
        <f aca="false">ABS(D167)</f>
        <v>0.0368210194974498</v>
      </c>
      <c r="M167" s="35" t="n">
        <v>22</v>
      </c>
      <c r="N167" s="1" t="n">
        <v>0.0228596161533384</v>
      </c>
    </row>
    <row r="168" customFormat="false" ht="12.8" hidden="false" customHeight="false" outlineLevel="0" collapsed="false">
      <c r="A168" s="35" t="n">
        <v>19</v>
      </c>
      <c r="B168" s="1" t="n">
        <v>0.763968943789392</v>
      </c>
      <c r="C168" s="1" t="n">
        <v>0.816339008116756</v>
      </c>
      <c r="D168" s="33" t="n">
        <f aca="false">C168-B168</f>
        <v>0.0523700643273642</v>
      </c>
      <c r="E168" s="33" t="n">
        <f aca="false">ABS(D168)</f>
        <v>0.0523700643273642</v>
      </c>
      <c r="M168" s="35" t="n">
        <v>10</v>
      </c>
      <c r="N168" s="1" t="n">
        <v>0.0152619765499559</v>
      </c>
    </row>
    <row r="169" customFormat="false" ht="12.8" hidden="false" customHeight="false" outlineLevel="0" collapsed="false">
      <c r="A169" s="35" t="n">
        <v>20</v>
      </c>
      <c r="B169" s="1" t="n">
        <v>0.624304602360581</v>
      </c>
      <c r="C169" s="1" t="n">
        <v>0.675912922731983</v>
      </c>
      <c r="D169" s="33" t="n">
        <f aca="false">C169-B169</f>
        <v>0.0516083203714017</v>
      </c>
      <c r="E169" s="33" t="n">
        <f aca="false">ABS(D169)</f>
        <v>0.0516083203714017</v>
      </c>
      <c r="M169" s="35" t="n">
        <v>9</v>
      </c>
      <c r="N169" s="1" t="n">
        <v>0.0144095930894773</v>
      </c>
    </row>
    <row r="170" customFormat="false" ht="12.8" hidden="false" customHeight="false" outlineLevel="0" collapsed="false">
      <c r="A170" s="35" t="n">
        <v>21</v>
      </c>
      <c r="B170" s="1" t="n">
        <v>0.659893215109107</v>
      </c>
      <c r="C170" s="1" t="n">
        <v>0.748125732839088</v>
      </c>
      <c r="D170" s="33" t="n">
        <f aca="false">C170-B170</f>
        <v>0.0882325177299805</v>
      </c>
      <c r="E170" s="33" t="n">
        <f aca="false">ABS(D170)</f>
        <v>0.0882325177299805</v>
      </c>
      <c r="M170" s="35" t="n">
        <v>23</v>
      </c>
      <c r="N170" s="1" t="n">
        <v>0.0105323663214711</v>
      </c>
    </row>
    <row r="171" customFormat="false" ht="12.8" hidden="false" customHeight="false" outlineLevel="0" collapsed="false">
      <c r="A171" s="35" t="n">
        <v>22</v>
      </c>
      <c r="B171" s="1" t="n">
        <v>0.689045902907548</v>
      </c>
      <c r="C171" s="1" t="n">
        <v>0.66618628675421</v>
      </c>
      <c r="D171" s="33" t="n">
        <f aca="false">C171-B171</f>
        <v>-0.0228596161533384</v>
      </c>
      <c r="E171" s="33" t="n">
        <f aca="false">ABS(D171)</f>
        <v>0.0228596161533384</v>
      </c>
      <c r="M171" s="35" t="n">
        <v>11</v>
      </c>
      <c r="N171" s="1" t="n">
        <v>0.00890859941842659</v>
      </c>
    </row>
    <row r="172" customFormat="false" ht="12.8" hidden="false" customHeight="false" outlineLevel="0" collapsed="false">
      <c r="A172" s="35" t="n">
        <v>23</v>
      </c>
      <c r="B172" s="1" t="n">
        <v>0.746678659986203</v>
      </c>
      <c r="C172" s="1" t="n">
        <v>0.757211026307674</v>
      </c>
      <c r="D172" s="33" t="n">
        <f aca="false">C172-B172</f>
        <v>0.0105323663214711</v>
      </c>
      <c r="E172" s="33" t="n">
        <f aca="false">ABS(D172)</f>
        <v>0.0105323663214711</v>
      </c>
      <c r="M172" s="35" t="n">
        <v>17</v>
      </c>
      <c r="N172" s="1" t="n">
        <v>0.00474688555289693</v>
      </c>
    </row>
    <row r="173" customFormat="false" ht="12.8" hidden="false" customHeight="false" outlineLevel="0" collapsed="false">
      <c r="A173" s="35" t="n">
        <v>24</v>
      </c>
      <c r="B173" s="1" t="n">
        <v>0.795702405915841</v>
      </c>
      <c r="C173" s="1" t="n">
        <v>0.74821765393045</v>
      </c>
      <c r="D173" s="33" t="n">
        <f aca="false">C173-B173</f>
        <v>-0.0474847519853909</v>
      </c>
      <c r="E173" s="33" t="n">
        <f aca="false">ABS(D173)</f>
        <v>0.0474847519853909</v>
      </c>
      <c r="M173" s="35" t="n">
        <v>4</v>
      </c>
      <c r="N173" s="1" t="n">
        <v>0.00224001548323272</v>
      </c>
    </row>
    <row r="174" customFormat="false" ht="12.8" hidden="false" customHeight="false" outlineLevel="0" collapsed="false">
      <c r="A174" s="37" t="n">
        <v>25</v>
      </c>
      <c r="B174" s="1" t="n">
        <v>0.71620655928944</v>
      </c>
      <c r="C174" s="1" t="n">
        <v>0.748732725295858</v>
      </c>
      <c r="D174" s="33" t="n">
        <f aca="false">C174-B174</f>
        <v>0.0325261660064187</v>
      </c>
      <c r="E174" s="33" t="n">
        <f aca="false">ABS(D174)</f>
        <v>0.0325261660064187</v>
      </c>
      <c r="M174" s="35" t="n">
        <v>14</v>
      </c>
      <c r="N174" s="1" t="n">
        <v>0.00162906675598029</v>
      </c>
    </row>
    <row r="178" customFormat="false" ht="12.8" hidden="false" customHeight="false" outlineLevel="0" collapsed="false">
      <c r="A178" s="31" t="s">
        <v>11</v>
      </c>
      <c r="B178" s="32" t="s">
        <v>36</v>
      </c>
      <c r="C178" s="32" t="s">
        <v>13</v>
      </c>
      <c r="D178" s="33" t="s">
        <v>41</v>
      </c>
      <c r="E178" s="33" t="s">
        <v>15</v>
      </c>
      <c r="F178" s="33" t="s">
        <v>16</v>
      </c>
      <c r="G178" s="33" t="s">
        <v>17</v>
      </c>
      <c r="I178" s="34" t="s">
        <v>18</v>
      </c>
      <c r="M178" s="31" t="s">
        <v>11</v>
      </c>
      <c r="N178" s="39" t="s">
        <v>15</v>
      </c>
    </row>
    <row r="179" customFormat="false" ht="12.8" hidden="false" customHeight="false" outlineLevel="0" collapsed="false">
      <c r="A179" s="35" t="n">
        <v>1</v>
      </c>
      <c r="B179" s="1" t="n">
        <v>0.772576965117032</v>
      </c>
      <c r="C179" s="1" t="n">
        <v>0.796298769133089</v>
      </c>
      <c r="D179" s="33" t="n">
        <f aca="false">C179-B179</f>
        <v>0.0237218040160564</v>
      </c>
      <c r="E179" s="33" t="n">
        <f aca="false">ABS(D179)</f>
        <v>0.0237218040160564</v>
      </c>
      <c r="F179" s="33" t="n">
        <f aca="false">AVERAGE(D179:D203)</f>
        <v>0.00393968500292775</v>
      </c>
      <c r="G179" s="33" t="n">
        <f aca="false">_xlfn.STDEV.S(D179:D203)</f>
        <v>0.0300142958802153</v>
      </c>
      <c r="I179" s="2" t="s">
        <v>19</v>
      </c>
      <c r="J179" s="1" t="n">
        <v>0.05</v>
      </c>
      <c r="M179" s="35" t="n">
        <v>2</v>
      </c>
      <c r="N179" s="1" t="n">
        <v>0.0585998661023318</v>
      </c>
    </row>
    <row r="180" customFormat="false" ht="12.8" hidden="false" customHeight="false" outlineLevel="0" collapsed="false">
      <c r="A180" s="35" t="n">
        <v>2</v>
      </c>
      <c r="B180" s="1" t="n">
        <v>0.680958683894326</v>
      </c>
      <c r="C180" s="1" t="n">
        <v>0.739558549996658</v>
      </c>
      <c r="D180" s="33" t="n">
        <f aca="false">C180-B180</f>
        <v>0.0585998661023318</v>
      </c>
      <c r="E180" s="33" t="n">
        <f aca="false">ABS(D180)</f>
        <v>0.0585998661023318</v>
      </c>
      <c r="I180" s="2" t="s">
        <v>20</v>
      </c>
      <c r="J180" s="1" t="n">
        <v>0</v>
      </c>
      <c r="M180" s="35" t="n">
        <v>11</v>
      </c>
      <c r="N180" s="1" t="n">
        <v>0.0511995188108463</v>
      </c>
    </row>
    <row r="181" customFormat="false" ht="12.8" hidden="false" customHeight="false" outlineLevel="0" collapsed="false">
      <c r="A181" s="35" t="n">
        <v>3</v>
      </c>
      <c r="B181" s="1" t="n">
        <v>0.771466699638375</v>
      </c>
      <c r="C181" s="1" t="n">
        <v>0.739544897773702</v>
      </c>
      <c r="D181" s="33" t="n">
        <f aca="false">C181-B181</f>
        <v>-0.0319218018646731</v>
      </c>
      <c r="E181" s="33" t="n">
        <f aca="false">ABS(D181)</f>
        <v>0.0319218018646731</v>
      </c>
      <c r="J181" s="36" t="s">
        <v>21</v>
      </c>
      <c r="K181" s="36" t="s">
        <v>22</v>
      </c>
      <c r="M181" s="35" t="n">
        <v>6</v>
      </c>
      <c r="N181" s="1" t="n">
        <v>0.0492976647714698</v>
      </c>
    </row>
    <row r="182" customFormat="false" ht="12.8" hidden="false" customHeight="false" outlineLevel="0" collapsed="false">
      <c r="A182" s="35" t="n">
        <v>4</v>
      </c>
      <c r="B182" s="1" t="n">
        <v>0.746803660511214</v>
      </c>
      <c r="C182" s="1" t="n">
        <v>0.743029391601184</v>
      </c>
      <c r="D182" s="33" t="n">
        <f aca="false">C182-B182</f>
        <v>-0.00377426891002974</v>
      </c>
      <c r="E182" s="33" t="n">
        <f aca="false">ABS(D182)</f>
        <v>0.00377426891002974</v>
      </c>
      <c r="I182" s="2" t="s">
        <v>23</v>
      </c>
      <c r="J182" s="1" t="n">
        <f aca="false">AVERAGE(sims_per_turn_scen4!$B$178:$B$203)</f>
        <v>0.723795909273515</v>
      </c>
      <c r="K182" s="1" t="n">
        <f aca="false">AVERAGE(sims_per_turn_scen4!$C$178:$C$203)</f>
        <v>0.727735594276442</v>
      </c>
      <c r="M182" s="35" t="n">
        <v>21</v>
      </c>
      <c r="N182" s="1" t="n">
        <v>0.0464653147210119</v>
      </c>
    </row>
    <row r="183" customFormat="false" ht="12.8" hidden="false" customHeight="false" outlineLevel="0" collapsed="false">
      <c r="A183" s="35" t="n">
        <v>5</v>
      </c>
      <c r="B183" s="1" t="n">
        <v>0.737980761526421</v>
      </c>
      <c r="C183" s="1" t="n">
        <v>0.725502046355756</v>
      </c>
      <c r="D183" s="33" t="n">
        <f aca="false">C183-B183</f>
        <v>-0.0124787151706647</v>
      </c>
      <c r="E183" s="33" t="n">
        <f aca="false">ABS(D183)</f>
        <v>0.0124787151706647</v>
      </c>
      <c r="I183" s="2" t="s">
        <v>24</v>
      </c>
      <c r="J183" s="1" t="n">
        <f aca="false">VAR(sims_per_turn_scen4!$B$178:$B$203)</f>
        <v>0.00341577736974905</v>
      </c>
      <c r="K183" s="1" t="n">
        <f aca="false">VAR(sims_per_turn_scen4!$C$178:$C$203)</f>
        <v>0.00415956848228218</v>
      </c>
      <c r="M183" s="35" t="n">
        <v>15</v>
      </c>
      <c r="N183" s="1" t="n">
        <v>0.0420445165067943</v>
      </c>
    </row>
    <row r="184" customFormat="false" ht="12.8" hidden="false" customHeight="false" outlineLevel="0" collapsed="false">
      <c r="A184" s="35" t="n">
        <v>6</v>
      </c>
      <c r="B184" s="1" t="n">
        <v>0.69925918619606</v>
      </c>
      <c r="C184" s="1" t="n">
        <v>0.74855685096753</v>
      </c>
      <c r="D184" s="33" t="n">
        <f aca="false">C184-B184</f>
        <v>0.0492976647714698</v>
      </c>
      <c r="E184" s="33" t="n">
        <f aca="false">ABS(D184)</f>
        <v>0.0492976647714698</v>
      </c>
      <c r="I184" s="2" t="s">
        <v>25</v>
      </c>
      <c r="J184" s="1" t="n">
        <f aca="false">COUNT(sims_per_turn_scen4!$B$178:$B$203)</f>
        <v>25</v>
      </c>
      <c r="K184" s="1" t="n">
        <f aca="false">COUNT(sims_per_turn_scen4!$C$178:$C$203)</f>
        <v>25</v>
      </c>
      <c r="M184" s="35" t="n">
        <v>23</v>
      </c>
      <c r="N184" s="1" t="n">
        <v>0.0327567298916307</v>
      </c>
    </row>
    <row r="185" customFormat="false" ht="12.8" hidden="false" customHeight="false" outlineLevel="0" collapsed="false">
      <c r="A185" s="35" t="n">
        <v>7</v>
      </c>
      <c r="B185" s="1" t="n">
        <v>0.735139079782349</v>
      </c>
      <c r="C185" s="1" t="n">
        <v>0.734138467252432</v>
      </c>
      <c r="D185" s="33" t="n">
        <f aca="false">C185-B185</f>
        <v>-0.0010006125299169</v>
      </c>
      <c r="E185" s="33" t="n">
        <f aca="false">ABS(D185)</f>
        <v>0.0010006125299169</v>
      </c>
      <c r="I185" s="2" t="s">
        <v>26</v>
      </c>
      <c r="J185" s="1" t="n">
        <f aca="false">CORREL(sims_per_turn_scen4!$B$178:$B$203,sims_per_turn_scen4!$C$178:$C$203)</f>
        <v>0.885358245300843</v>
      </c>
      <c r="M185" s="35" t="n">
        <v>22</v>
      </c>
      <c r="N185" s="1" t="n">
        <v>0.0320464800717414</v>
      </c>
    </row>
    <row r="186" customFormat="false" ht="12.8" hidden="false" customHeight="false" outlineLevel="0" collapsed="false">
      <c r="A186" s="35" t="n">
        <v>8</v>
      </c>
      <c r="B186" s="1" t="n">
        <v>0.694325378562934</v>
      </c>
      <c r="C186" s="1" t="n">
        <v>0.668701341307149</v>
      </c>
      <c r="D186" s="33" t="n">
        <f aca="false">C186-B186</f>
        <v>-0.025624037255785</v>
      </c>
      <c r="E186" s="33" t="n">
        <f aca="false">ABS(D186)</f>
        <v>0.025624037255785</v>
      </c>
      <c r="I186" s="2" t="s">
        <v>27</v>
      </c>
      <c r="J186" s="1" t="n">
        <f aca="false" t="array" ref="J186:J186">AVERAGE(IF(ISODD(IF(ISNUMBER(sims_per_turn_scen4!$B$178:$B$203), 1, 0) * IF(ISNUMBER(sims_per_turn_scen4!$C$178:$C$203), 1, 0)), sims_per_turn_scen4!$B$178:$B$203 - sims_per_turn_scen4!$C$178:$C$203, "NA"))</f>
        <v>-0.00393968500292777</v>
      </c>
      <c r="M186" s="35" t="n">
        <v>9</v>
      </c>
      <c r="N186" s="1" t="n">
        <v>0.0319260523554026</v>
      </c>
    </row>
    <row r="187" customFormat="false" ht="12.8" hidden="false" customHeight="false" outlineLevel="0" collapsed="false">
      <c r="A187" s="35" t="n">
        <v>9</v>
      </c>
      <c r="B187" s="1" t="n">
        <v>0.754953984633863</v>
      </c>
      <c r="C187" s="1" t="n">
        <v>0.786880036989265</v>
      </c>
      <c r="D187" s="33" t="n">
        <f aca="false">C187-B187</f>
        <v>0.0319260523554026</v>
      </c>
      <c r="E187" s="33" t="n">
        <f aca="false">ABS(D187)</f>
        <v>0.0319260523554026</v>
      </c>
      <c r="I187" s="2" t="s">
        <v>28</v>
      </c>
      <c r="J187" s="1" t="n">
        <f aca="false" t="array" ref="J187:J187">VAR(IF(ISODD(IF(ISNUMBER(sims_per_turn_scen4!$B$178:$B$203), 1, 0) * IF(ISNUMBER(sims_per_turn_scen4!$C$178:$C$203), 1, 0)), sims_per_turn_scen4!$B$178:$B$203 - sims_per_turn_scen4!$C$178:$C$203, "NA"))</f>
        <v>0.000900857957185108</v>
      </c>
      <c r="M187" s="35" t="n">
        <v>3</v>
      </c>
      <c r="N187" s="1" t="n">
        <v>0.0319218018646731</v>
      </c>
    </row>
    <row r="188" customFormat="false" ht="12.8" hidden="false" customHeight="false" outlineLevel="0" collapsed="false">
      <c r="A188" s="35" t="n">
        <v>10</v>
      </c>
      <c r="B188" s="1" t="n">
        <v>0.780131624434666</v>
      </c>
      <c r="C188" s="1" t="n">
        <v>0.80994865911664</v>
      </c>
      <c r="D188" s="33" t="n">
        <f aca="false">C188-B188</f>
        <v>0.0298170346819745</v>
      </c>
      <c r="E188" s="33" t="n">
        <f aca="false">ABS(D188)</f>
        <v>0.0298170346819745</v>
      </c>
      <c r="I188" s="2" t="s">
        <v>29</v>
      </c>
      <c r="J188" s="1" t="n">
        <f aca="false" t="array" ref="J188:J188">SUM(IF(ISNUMBER(sims_per_turn_scen4!$B$178:$B$203), 1, 0) * IF(ISNUMBER(sims_per_turn_scen4!$C$178:$C$203), 1, 0)) - 1</f>
        <v>24</v>
      </c>
      <c r="M188" s="35" t="n">
        <v>19</v>
      </c>
      <c r="N188" s="1" t="n">
        <v>0.0315122597958818</v>
      </c>
    </row>
    <row r="189" customFormat="false" ht="12.8" hidden="false" customHeight="false" outlineLevel="0" collapsed="false">
      <c r="A189" s="35" t="n">
        <v>11</v>
      </c>
      <c r="B189" s="1" t="n">
        <v>0.741371410255129</v>
      </c>
      <c r="C189" s="1" t="n">
        <v>0.690171891444283</v>
      </c>
      <c r="D189" s="33" t="n">
        <f aca="false">C189-B189</f>
        <v>-0.0511995188108463</v>
      </c>
      <c r="E189" s="33" t="n">
        <f aca="false">ABS(D189)</f>
        <v>0.0511995188108463</v>
      </c>
      <c r="I189" s="2" t="s">
        <v>30</v>
      </c>
      <c r="J189" s="1" t="n">
        <f aca="false">(sims_per_turn_scen4!$J$186 - sims_per_turn_scen4!$J$180) / (sims_per_turn_scen4!$J$187 / ( sims_per_turn_scen4!$J$188 + 1)) ^ 0.5</f>
        <v>-0.656301420271647</v>
      </c>
      <c r="M189" s="35" t="n">
        <v>10</v>
      </c>
      <c r="N189" s="1" t="n">
        <v>0.0298170346819745</v>
      </c>
    </row>
    <row r="190" customFormat="false" ht="12.8" hidden="false" customHeight="false" outlineLevel="0" collapsed="false">
      <c r="A190" s="35" t="n">
        <v>12</v>
      </c>
      <c r="B190" s="1" t="n">
        <v>0.752430545440722</v>
      </c>
      <c r="C190" s="1" t="n">
        <v>0.749125347769507</v>
      </c>
      <c r="D190" s="33" t="n">
        <f aca="false">C190-B190</f>
        <v>-0.00330519767121484</v>
      </c>
      <c r="E190" s="33" t="n">
        <f aca="false">ABS(D190)</f>
        <v>0.00330519767121484</v>
      </c>
      <c r="I190" s="2" t="s">
        <v>31</v>
      </c>
      <c r="J190" s="1" t="n">
        <f aca="false">TDIST(ABS(sims_per_turn_scen4!$J$189), sims_per_turn_scen4!$J$188, 1)</f>
        <v>0.258936889230108</v>
      </c>
      <c r="M190" s="35" t="n">
        <v>20</v>
      </c>
      <c r="N190" s="1" t="n">
        <v>0.028203165957657</v>
      </c>
    </row>
    <row r="191" customFormat="false" ht="12.8" hidden="false" customHeight="false" outlineLevel="0" collapsed="false">
      <c r="A191" s="35" t="n">
        <v>13</v>
      </c>
      <c r="B191" s="1" t="n">
        <v>0.658697413887377</v>
      </c>
      <c r="C191" s="1" t="n">
        <v>0.677480782400821</v>
      </c>
      <c r="D191" s="33" t="n">
        <f aca="false">C191-B191</f>
        <v>0.0187833685134434</v>
      </c>
      <c r="E191" s="33" t="n">
        <f aca="false">ABS(D191)</f>
        <v>0.0187833685134434</v>
      </c>
      <c r="I191" s="2" t="s">
        <v>32</v>
      </c>
      <c r="J191" s="1" t="n">
        <f aca="false">TINV(2*sims_per_turn_scen4!$J$179, sims_per_turn_scen4!$J$188)</f>
        <v>1.71088207990943</v>
      </c>
      <c r="M191" s="35" t="n">
        <v>8</v>
      </c>
      <c r="N191" s="1" t="n">
        <v>0.025624037255785</v>
      </c>
    </row>
    <row r="192" customFormat="false" ht="12.8" hidden="false" customHeight="false" outlineLevel="0" collapsed="false">
      <c r="A192" s="35" t="n">
        <v>14</v>
      </c>
      <c r="B192" s="1" t="n">
        <v>0.81359317699571</v>
      </c>
      <c r="C192" s="1" t="n">
        <v>0.792919049793641</v>
      </c>
      <c r="D192" s="33" t="n">
        <f aca="false">C192-B192</f>
        <v>-0.0206741272020694</v>
      </c>
      <c r="E192" s="33" t="n">
        <f aca="false">ABS(D192)</f>
        <v>0.0206741272020694</v>
      </c>
      <c r="I192" s="2" t="s">
        <v>33</v>
      </c>
      <c r="J192" s="1" t="n">
        <f aca="false">TDIST(ABS(sims_per_turn_scen4!$J$189), sims_per_turn_scen4!$J$188, 2)</f>
        <v>0.517873778460216</v>
      </c>
      <c r="M192" s="35" t="n">
        <v>1</v>
      </c>
      <c r="N192" s="1" t="n">
        <v>0.0237218040160564</v>
      </c>
    </row>
    <row r="193" customFormat="false" ht="12.8" hidden="false" customHeight="false" outlineLevel="0" collapsed="false">
      <c r="A193" s="35" t="n">
        <v>15</v>
      </c>
      <c r="B193" s="1" t="n">
        <v>0.75883989362582</v>
      </c>
      <c r="C193" s="1" t="n">
        <v>0.800884410132615</v>
      </c>
      <c r="D193" s="33" t="n">
        <f aca="false">C193-B193</f>
        <v>0.0420445165067943</v>
      </c>
      <c r="E193" s="33" t="n">
        <f aca="false">ABS(D193)</f>
        <v>0.0420445165067943</v>
      </c>
      <c r="I193" s="2" t="s">
        <v>34</v>
      </c>
      <c r="J193" s="1" t="n">
        <f aca="false">TINV(sims_per_turn_scen4!$J$179, sims_per_turn_scen4!$J$188)</f>
        <v>2.06389856162803</v>
      </c>
      <c r="M193" s="35" t="n">
        <v>14</v>
      </c>
      <c r="N193" s="1" t="n">
        <v>0.0206741272020694</v>
      </c>
    </row>
    <row r="194" customFormat="false" ht="12.8" hidden="false" customHeight="false" outlineLevel="0" collapsed="false">
      <c r="A194" s="35" t="n">
        <v>16</v>
      </c>
      <c r="B194" s="1" t="n">
        <v>0.648642368618967</v>
      </c>
      <c r="C194" s="1" t="n">
        <v>0.645399166816264</v>
      </c>
      <c r="D194" s="33" t="n">
        <f aca="false">C194-B194</f>
        <v>-0.00324320180270266</v>
      </c>
      <c r="E194" s="33" t="n">
        <f aca="false">ABS(D194)</f>
        <v>0.00324320180270266</v>
      </c>
      <c r="M194" s="37" t="n">
        <v>25</v>
      </c>
      <c r="N194" s="1" t="n">
        <v>0.0205421410453903</v>
      </c>
    </row>
    <row r="195" customFormat="false" ht="12.8" hidden="false" customHeight="false" outlineLevel="0" collapsed="false">
      <c r="A195" s="35" t="n">
        <v>17</v>
      </c>
      <c r="B195" s="1" t="n">
        <v>0.779837433316897</v>
      </c>
      <c r="C195" s="1" t="n">
        <v>0.773016224974695</v>
      </c>
      <c r="D195" s="33" t="n">
        <f aca="false">C195-B195</f>
        <v>-0.00682120834220257</v>
      </c>
      <c r="E195" s="33" t="n">
        <f aca="false">ABS(D195)</f>
        <v>0.00682120834220257</v>
      </c>
      <c r="M195" s="35" t="n">
        <v>13</v>
      </c>
      <c r="N195" s="1" t="n">
        <v>0.0187833685134434</v>
      </c>
    </row>
    <row r="196" customFormat="false" ht="12.8" hidden="false" customHeight="false" outlineLevel="0" collapsed="false">
      <c r="A196" s="35" t="n">
        <v>18</v>
      </c>
      <c r="B196" s="1" t="n">
        <v>0.572089176041892</v>
      </c>
      <c r="C196" s="1" t="n">
        <v>0.583045440245199</v>
      </c>
      <c r="D196" s="33" t="n">
        <f aca="false">C196-B196</f>
        <v>0.0109562642033071</v>
      </c>
      <c r="E196" s="33" t="n">
        <f aca="false">ABS(D196)</f>
        <v>0.0109562642033071</v>
      </c>
      <c r="M196" s="35" t="n">
        <v>5</v>
      </c>
      <c r="N196" s="1" t="n">
        <v>0.0124787151706647</v>
      </c>
    </row>
    <row r="197" customFormat="false" ht="12.8" hidden="false" customHeight="false" outlineLevel="0" collapsed="false">
      <c r="A197" s="35" t="n">
        <v>19</v>
      </c>
      <c r="B197" s="1" t="n">
        <v>0.763968943789392</v>
      </c>
      <c r="C197" s="1" t="n">
        <v>0.795481203585273</v>
      </c>
      <c r="D197" s="33" t="n">
        <f aca="false">C197-B197</f>
        <v>0.0315122597958818</v>
      </c>
      <c r="E197" s="33" t="n">
        <f aca="false">ABS(D197)</f>
        <v>0.0315122597958818</v>
      </c>
      <c r="M197" s="35" t="n">
        <v>18</v>
      </c>
      <c r="N197" s="1" t="n">
        <v>0.0109562642033071</v>
      </c>
    </row>
    <row r="198" customFormat="false" ht="12.8" hidden="false" customHeight="false" outlineLevel="0" collapsed="false">
      <c r="A198" s="35" t="n">
        <v>20</v>
      </c>
      <c r="B198" s="1" t="n">
        <v>0.624304602360581</v>
      </c>
      <c r="C198" s="1" t="n">
        <v>0.652507768318238</v>
      </c>
      <c r="D198" s="33" t="n">
        <f aca="false">C198-B198</f>
        <v>0.028203165957657</v>
      </c>
      <c r="E198" s="33" t="n">
        <f aca="false">ABS(D198)</f>
        <v>0.028203165957657</v>
      </c>
      <c r="M198" s="35" t="n">
        <v>17</v>
      </c>
      <c r="N198" s="1" t="n">
        <v>0.00682120834220257</v>
      </c>
    </row>
    <row r="199" customFormat="false" ht="12.8" hidden="false" customHeight="false" outlineLevel="0" collapsed="false">
      <c r="A199" s="35" t="n">
        <v>21</v>
      </c>
      <c r="B199" s="1" t="n">
        <v>0.659893215109107</v>
      </c>
      <c r="C199" s="1" t="n">
        <v>0.613427900388095</v>
      </c>
      <c r="D199" s="33" t="n">
        <f aca="false">C199-B199</f>
        <v>-0.0464653147210119</v>
      </c>
      <c r="E199" s="33" t="n">
        <f aca="false">ABS(D199)</f>
        <v>0.0464653147210119</v>
      </c>
      <c r="M199" s="35" t="n">
        <v>4</v>
      </c>
      <c r="N199" s="1" t="n">
        <v>0.00377426891002974</v>
      </c>
    </row>
    <row r="200" customFormat="false" ht="12.8" hidden="false" customHeight="false" outlineLevel="0" collapsed="false">
      <c r="A200" s="35" t="n">
        <v>22</v>
      </c>
      <c r="B200" s="1" t="n">
        <v>0.689045902907548</v>
      </c>
      <c r="C200" s="1" t="n">
        <v>0.656999422835807</v>
      </c>
      <c r="D200" s="33" t="n">
        <f aca="false">C200-B200</f>
        <v>-0.0320464800717414</v>
      </c>
      <c r="E200" s="33" t="n">
        <f aca="false">ABS(D200)</f>
        <v>0.0320464800717414</v>
      </c>
      <c r="M200" s="35" t="n">
        <v>12</v>
      </c>
      <c r="N200" s="1" t="n">
        <v>0.00330519767121484</v>
      </c>
    </row>
    <row r="201" customFormat="false" ht="12.8" hidden="false" customHeight="false" outlineLevel="0" collapsed="false">
      <c r="A201" s="35" t="n">
        <v>23</v>
      </c>
      <c r="B201" s="1" t="n">
        <v>0.746678659986203</v>
      </c>
      <c r="C201" s="1" t="n">
        <v>0.779435389877834</v>
      </c>
      <c r="D201" s="33" t="n">
        <f aca="false">C201-B201</f>
        <v>0.0327567298916307</v>
      </c>
      <c r="E201" s="33" t="n">
        <f aca="false">ABS(D201)</f>
        <v>0.0327567298916307</v>
      </c>
      <c r="M201" s="35" t="n">
        <v>16</v>
      </c>
      <c r="N201" s="1" t="n">
        <v>0.00324320180270266</v>
      </c>
    </row>
    <row r="202" customFormat="false" ht="12.8" hidden="false" customHeight="false" outlineLevel="0" collapsed="false">
      <c r="A202" s="35" t="n">
        <v>24</v>
      </c>
      <c r="B202" s="1" t="n">
        <v>0.795702405915841</v>
      </c>
      <c r="C202" s="1" t="n">
        <v>0.795672429591334</v>
      </c>
      <c r="D202" s="33" t="n">
        <f aca="false">C202-B202</f>
        <v>-2.9976324506964E-005</v>
      </c>
      <c r="E202" s="33" t="n">
        <f aca="false">ABS(D202)</f>
        <v>2.9976324506964E-005</v>
      </c>
      <c r="M202" s="35" t="n">
        <v>7</v>
      </c>
      <c r="N202" s="1" t="n">
        <v>0.0010006125299169</v>
      </c>
    </row>
    <row r="203" customFormat="false" ht="12.8" hidden="false" customHeight="false" outlineLevel="0" collapsed="false">
      <c r="A203" s="37" t="n">
        <v>25</v>
      </c>
      <c r="B203" s="1" t="n">
        <v>0.71620655928944</v>
      </c>
      <c r="C203" s="1" t="n">
        <v>0.695664418244049</v>
      </c>
      <c r="D203" s="33" t="n">
        <f aca="false">C203-B203</f>
        <v>-0.0205421410453903</v>
      </c>
      <c r="E203" s="33" t="n">
        <f aca="false">ABS(D203)</f>
        <v>0.0205421410453903</v>
      </c>
      <c r="M203" s="35" t="n">
        <v>24</v>
      </c>
      <c r="N203" s="1" t="n">
        <v>2.9976324506964E-005</v>
      </c>
    </row>
  </sheetData>
  <autoFilter ref="M178:N203"/>
  <mergeCells count="1">
    <mergeCell ref="B31:D3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3:L179"/>
  <sheetViews>
    <sheetView showFormulas="false" showGridLines="true" showRowColHeaders="true" showZeros="true" rightToLeft="false" tabSelected="true" showOutlineSymbols="true" defaultGridColor="true" view="normal" topLeftCell="A38" colorId="64" zoomScale="125" zoomScaleNormal="125" zoomScalePageLayoutView="100" workbookViewId="0">
      <selection pane="topLeft" activeCell="F178" activeCellId="0" sqref="F178"/>
    </sheetView>
  </sheetViews>
  <sheetFormatPr defaultColWidth="12.8046875" defaultRowHeight="12.8" customHeight="false" zeroHeight="false" outlineLevelRow="0" outlineLevelCol="0"/>
  <cols>
    <col collapsed="false" customWidth="false" hidden="false" outlineLevel="0" max="1" min="1" style="40" width="12.8"/>
    <col collapsed="false" customWidth="true" hidden="false" outlineLevel="0" max="2" min="2" style="1" width="18.16"/>
    <col collapsed="false" customWidth="true" hidden="false" outlineLevel="0" max="5" min="5" style="1" width="15.33"/>
  </cols>
  <sheetData>
    <row r="3" customFormat="false" ht="12.8" hidden="false" customHeight="false" outlineLevel="0" collapsed="false">
      <c r="A3" s="41" t="s">
        <v>2</v>
      </c>
      <c r="B3" s="33" t="s">
        <v>1</v>
      </c>
      <c r="C3" s="32" t="s">
        <v>42</v>
      </c>
    </row>
    <row r="4" customFormat="false" ht="12.8" hidden="true" customHeight="false" outlineLevel="0" collapsed="false">
      <c r="A4" s="40" t="n">
        <v>1</v>
      </c>
      <c r="B4" s="1" t="s">
        <v>6</v>
      </c>
      <c r="C4" s="1" t="n">
        <v>0.00655933684335264</v>
      </c>
    </row>
    <row r="5" customFormat="false" ht="12.8" hidden="true" customHeight="false" outlineLevel="0" collapsed="false">
      <c r="A5" s="40" t="n">
        <v>2</v>
      </c>
      <c r="B5" s="1" t="s">
        <v>6</v>
      </c>
      <c r="C5" s="1" t="n">
        <v>0.0157278275107814</v>
      </c>
    </row>
    <row r="6" customFormat="false" ht="12.8" hidden="true" customHeight="false" outlineLevel="0" collapsed="false">
      <c r="A6" s="40" t="n">
        <v>3</v>
      </c>
      <c r="B6" s="1" t="s">
        <v>6</v>
      </c>
      <c r="C6" s="1" t="n">
        <v>0.019447974233933</v>
      </c>
    </row>
    <row r="7" customFormat="false" ht="12.8" hidden="true" customHeight="false" outlineLevel="0" collapsed="false">
      <c r="A7" s="40" t="n">
        <v>4</v>
      </c>
      <c r="B7" s="1" t="s">
        <v>6</v>
      </c>
      <c r="C7" s="1" t="n">
        <v>0.00153425342679703</v>
      </c>
    </row>
    <row r="8" customFormat="false" ht="12.8" hidden="false" customHeight="false" outlineLevel="0" collapsed="false">
      <c r="A8" s="40" t="n">
        <v>5</v>
      </c>
      <c r="B8" s="1" t="s">
        <v>6</v>
      </c>
      <c r="C8" s="1" t="n">
        <v>0.0543553746201964</v>
      </c>
      <c r="E8" s="3" t="s">
        <v>43</v>
      </c>
      <c r="F8" s="4" t="s">
        <v>1</v>
      </c>
      <c r="G8" s="5"/>
      <c r="H8" s="5"/>
      <c r="I8" s="5"/>
      <c r="J8" s="5"/>
      <c r="K8" s="5"/>
      <c r="L8" s="6"/>
    </row>
    <row r="9" customFormat="false" ht="12.8" hidden="true" customHeight="false" outlineLevel="0" collapsed="false">
      <c r="A9" s="40" t="n">
        <v>6</v>
      </c>
      <c r="B9" s="1" t="s">
        <v>6</v>
      </c>
      <c r="C9" s="1" t="n">
        <v>0.00785814422102371</v>
      </c>
      <c r="E9" s="7" t="s">
        <v>2</v>
      </c>
      <c r="F9" s="8" t="s">
        <v>3</v>
      </c>
      <c r="G9" s="9" t="s">
        <v>4</v>
      </c>
      <c r="H9" s="9" t="s">
        <v>5</v>
      </c>
      <c r="I9" s="9" t="s">
        <v>6</v>
      </c>
      <c r="J9" s="9" t="s">
        <v>7</v>
      </c>
      <c r="K9" s="9" t="s">
        <v>8</v>
      </c>
      <c r="L9" s="10" t="s">
        <v>9</v>
      </c>
    </row>
    <row r="10" customFormat="false" ht="12.8" hidden="true" customHeight="false" outlineLevel="0" collapsed="false">
      <c r="A10" s="40" t="n">
        <v>7</v>
      </c>
      <c r="B10" s="1" t="s">
        <v>6</v>
      </c>
      <c r="C10" s="1" t="n">
        <v>0.0396339693001403</v>
      </c>
      <c r="E10" s="11" t="n">
        <v>1</v>
      </c>
      <c r="F10" s="42" t="n">
        <v>1</v>
      </c>
      <c r="G10" s="43" t="n">
        <v>1</v>
      </c>
      <c r="H10" s="43" t="n">
        <v>1</v>
      </c>
      <c r="I10" s="43" t="n">
        <v>1</v>
      </c>
      <c r="J10" s="43" t="n">
        <v>1</v>
      </c>
      <c r="K10" s="44" t="n">
        <v>1</v>
      </c>
      <c r="L10" s="45" t="n">
        <v>6</v>
      </c>
    </row>
    <row r="11" customFormat="false" ht="12.8" hidden="true" customHeight="false" outlineLevel="0" collapsed="false">
      <c r="A11" s="40" t="n">
        <v>8</v>
      </c>
      <c r="B11" s="1" t="s">
        <v>6</v>
      </c>
      <c r="C11" s="1" t="n">
        <v>0.000429948444238382</v>
      </c>
      <c r="E11" s="16" t="n">
        <v>2</v>
      </c>
      <c r="F11" s="46" t="n">
        <v>1</v>
      </c>
      <c r="G11" s="47" t="n">
        <v>1</v>
      </c>
      <c r="H11" s="47" t="n">
        <v>1</v>
      </c>
      <c r="I11" s="47" t="n">
        <v>1</v>
      </c>
      <c r="J11" s="47" t="n">
        <v>1</v>
      </c>
      <c r="K11" s="48" t="n">
        <v>1</v>
      </c>
      <c r="L11" s="49" t="n">
        <v>6</v>
      </c>
    </row>
    <row r="12" customFormat="false" ht="12.8" hidden="true" customHeight="false" outlineLevel="0" collapsed="false">
      <c r="A12" s="40" t="n">
        <v>9</v>
      </c>
      <c r="B12" s="1" t="s">
        <v>6</v>
      </c>
      <c r="C12" s="1" t="n">
        <v>0.0175164592659253</v>
      </c>
      <c r="E12" s="16" t="n">
        <v>3</v>
      </c>
      <c r="F12" s="46" t="n">
        <v>1</v>
      </c>
      <c r="G12" s="47" t="n">
        <v>1</v>
      </c>
      <c r="H12" s="47" t="n">
        <v>1</v>
      </c>
      <c r="I12" s="47" t="n">
        <v>1</v>
      </c>
      <c r="J12" s="47" t="n">
        <v>1</v>
      </c>
      <c r="K12" s="48" t="n">
        <v>1</v>
      </c>
      <c r="L12" s="49" t="n">
        <v>6</v>
      </c>
    </row>
    <row r="13" customFormat="false" ht="12.8" hidden="true" customHeight="false" outlineLevel="0" collapsed="false">
      <c r="A13" s="40" t="n">
        <v>10</v>
      </c>
      <c r="B13" s="1" t="s">
        <v>6</v>
      </c>
      <c r="C13" s="1" t="n">
        <v>0.0145550581320186</v>
      </c>
      <c r="E13" s="16" t="n">
        <v>4</v>
      </c>
      <c r="F13" s="46" t="n">
        <v>1</v>
      </c>
      <c r="G13" s="47" t="n">
        <v>1</v>
      </c>
      <c r="H13" s="47" t="n">
        <v>1</v>
      </c>
      <c r="I13" s="47" t="n">
        <v>1</v>
      </c>
      <c r="J13" s="47" t="n">
        <v>1</v>
      </c>
      <c r="K13" s="48" t="n">
        <v>1</v>
      </c>
      <c r="L13" s="49" t="n">
        <v>6</v>
      </c>
    </row>
    <row r="14" customFormat="false" ht="12.8" hidden="false" customHeight="false" outlineLevel="0" collapsed="false">
      <c r="A14" s="40" t="n">
        <v>11</v>
      </c>
      <c r="B14" s="1" t="s">
        <v>6</v>
      </c>
      <c r="C14" s="1" t="n">
        <v>0.0601081182292729</v>
      </c>
      <c r="E14" s="16" t="n">
        <v>5</v>
      </c>
      <c r="F14" s="46" t="n">
        <v>1</v>
      </c>
      <c r="G14" s="47" t="n">
        <v>1</v>
      </c>
      <c r="H14" s="47" t="n">
        <v>1</v>
      </c>
      <c r="I14" s="47" t="n">
        <v>1</v>
      </c>
      <c r="J14" s="47" t="n">
        <v>1</v>
      </c>
      <c r="K14" s="48" t="n">
        <v>1</v>
      </c>
      <c r="L14" s="49" t="n">
        <v>6</v>
      </c>
    </row>
    <row r="15" customFormat="false" ht="12.8" hidden="true" customHeight="false" outlineLevel="0" collapsed="false">
      <c r="A15" s="40" t="n">
        <v>12</v>
      </c>
      <c r="B15" s="1" t="s">
        <v>6</v>
      </c>
      <c r="C15" s="1" t="n">
        <v>0.0419867035849303</v>
      </c>
      <c r="E15" s="16" t="n">
        <v>6</v>
      </c>
      <c r="F15" s="46" t="n">
        <v>1</v>
      </c>
      <c r="G15" s="47" t="n">
        <v>1</v>
      </c>
      <c r="H15" s="47" t="n">
        <v>1</v>
      </c>
      <c r="I15" s="47" t="n">
        <v>1</v>
      </c>
      <c r="J15" s="47" t="n">
        <v>1</v>
      </c>
      <c r="K15" s="48" t="n">
        <v>1</v>
      </c>
      <c r="L15" s="49" t="n">
        <v>6</v>
      </c>
    </row>
    <row r="16" customFormat="false" ht="12.8" hidden="true" customHeight="false" outlineLevel="0" collapsed="false">
      <c r="A16" s="40" t="n">
        <v>13</v>
      </c>
      <c r="B16" s="1" t="s">
        <v>6</v>
      </c>
      <c r="C16" s="1" t="n">
        <v>0.0074199364608889</v>
      </c>
      <c r="E16" s="16" t="n">
        <v>7</v>
      </c>
      <c r="F16" s="46" t="n">
        <v>1</v>
      </c>
      <c r="G16" s="47" t="n">
        <v>1</v>
      </c>
      <c r="H16" s="47" t="n">
        <v>1</v>
      </c>
      <c r="I16" s="47" t="n">
        <v>1</v>
      </c>
      <c r="J16" s="47" t="n">
        <v>1</v>
      </c>
      <c r="K16" s="48" t="n">
        <v>1</v>
      </c>
      <c r="L16" s="49" t="n">
        <v>6</v>
      </c>
    </row>
    <row r="17" customFormat="false" ht="12.8" hidden="true" customHeight="false" outlineLevel="0" collapsed="false">
      <c r="A17" s="40" t="n">
        <v>14</v>
      </c>
      <c r="B17" s="1" t="s">
        <v>6</v>
      </c>
      <c r="C17" s="1" t="n">
        <v>0.0190450604460891</v>
      </c>
      <c r="E17" s="16" t="n">
        <v>8</v>
      </c>
      <c r="F17" s="46" t="n">
        <v>1</v>
      </c>
      <c r="G17" s="47" t="n">
        <v>1</v>
      </c>
      <c r="H17" s="47" t="n">
        <v>1</v>
      </c>
      <c r="I17" s="47" t="n">
        <v>1</v>
      </c>
      <c r="J17" s="47" t="n">
        <v>1</v>
      </c>
      <c r="K17" s="48" t="n">
        <v>1</v>
      </c>
      <c r="L17" s="49" t="n">
        <v>6</v>
      </c>
    </row>
    <row r="18" customFormat="false" ht="12.8" hidden="true" customHeight="false" outlineLevel="0" collapsed="false">
      <c r="A18" s="40" t="n">
        <v>15</v>
      </c>
      <c r="B18" s="1" t="s">
        <v>6</v>
      </c>
      <c r="C18" s="1" t="n">
        <v>0.00756896317179012</v>
      </c>
      <c r="E18" s="16" t="n">
        <v>9</v>
      </c>
      <c r="F18" s="46" t="n">
        <v>1</v>
      </c>
      <c r="G18" s="47" t="n">
        <v>1</v>
      </c>
      <c r="H18" s="47" t="n">
        <v>1</v>
      </c>
      <c r="I18" s="47" t="n">
        <v>1</v>
      </c>
      <c r="J18" s="47" t="n">
        <v>1</v>
      </c>
      <c r="K18" s="48" t="n">
        <v>1</v>
      </c>
      <c r="L18" s="49" t="n">
        <v>6</v>
      </c>
    </row>
    <row r="19" customFormat="false" ht="12.8" hidden="true" customHeight="false" outlineLevel="0" collapsed="false">
      <c r="A19" s="40" t="n">
        <v>16</v>
      </c>
      <c r="B19" s="1" t="s">
        <v>6</v>
      </c>
      <c r="C19" s="1" t="n">
        <v>0.0322235744368468</v>
      </c>
      <c r="E19" s="16" t="n">
        <v>10</v>
      </c>
      <c r="F19" s="46" t="n">
        <v>1</v>
      </c>
      <c r="G19" s="47" t="n">
        <v>1</v>
      </c>
      <c r="H19" s="47" t="n">
        <v>1</v>
      </c>
      <c r="I19" s="47" t="n">
        <v>1</v>
      </c>
      <c r="J19" s="47" t="n">
        <v>1</v>
      </c>
      <c r="K19" s="48" t="n">
        <v>1</v>
      </c>
      <c r="L19" s="49" t="n">
        <v>6</v>
      </c>
    </row>
    <row r="20" customFormat="false" ht="12.8" hidden="true" customHeight="false" outlineLevel="0" collapsed="false">
      <c r="A20" s="40" t="n">
        <v>17</v>
      </c>
      <c r="B20" s="1" t="s">
        <v>6</v>
      </c>
      <c r="C20" s="1" t="n">
        <v>0.00207432278930564</v>
      </c>
      <c r="E20" s="16" t="n">
        <v>11</v>
      </c>
      <c r="F20" s="46" t="n">
        <v>1</v>
      </c>
      <c r="G20" s="47" t="n">
        <v>1</v>
      </c>
      <c r="H20" s="47" t="n">
        <v>1</v>
      </c>
      <c r="I20" s="47" t="n">
        <v>1</v>
      </c>
      <c r="J20" s="47" t="n">
        <v>1</v>
      </c>
      <c r="K20" s="48" t="n">
        <v>1</v>
      </c>
      <c r="L20" s="49" t="n">
        <v>6</v>
      </c>
    </row>
    <row r="21" customFormat="false" ht="12.8" hidden="true" customHeight="false" outlineLevel="0" collapsed="false">
      <c r="A21" s="40" t="n">
        <v>18</v>
      </c>
      <c r="B21" s="1" t="s">
        <v>6</v>
      </c>
      <c r="C21" s="1" t="n">
        <v>0.0258647552941427</v>
      </c>
      <c r="E21" s="16" t="n">
        <v>12</v>
      </c>
      <c r="F21" s="46" t="n">
        <v>1</v>
      </c>
      <c r="G21" s="47"/>
      <c r="H21" s="47" t="n">
        <v>1</v>
      </c>
      <c r="I21" s="47" t="n">
        <v>1</v>
      </c>
      <c r="J21" s="47" t="n">
        <v>1</v>
      </c>
      <c r="K21" s="48" t="n">
        <v>1</v>
      </c>
      <c r="L21" s="49" t="n">
        <v>5</v>
      </c>
    </row>
    <row r="22" customFormat="false" ht="12.8" hidden="true" customHeight="false" outlineLevel="0" collapsed="false">
      <c r="A22" s="40" t="n">
        <v>19</v>
      </c>
      <c r="B22" s="1" t="s">
        <v>6</v>
      </c>
      <c r="C22" s="1" t="n">
        <v>0.0208578045314825</v>
      </c>
      <c r="E22" s="16" t="n">
        <v>13</v>
      </c>
      <c r="F22" s="46" t="n">
        <v>1</v>
      </c>
      <c r="G22" s="47"/>
      <c r="H22" s="47" t="n">
        <v>1</v>
      </c>
      <c r="I22" s="47" t="n">
        <v>1</v>
      </c>
      <c r="J22" s="47" t="n">
        <v>1</v>
      </c>
      <c r="K22" s="48" t="n">
        <v>1</v>
      </c>
      <c r="L22" s="49" t="n">
        <v>5</v>
      </c>
    </row>
    <row r="23" customFormat="false" ht="12.8" hidden="true" customHeight="false" outlineLevel="0" collapsed="false">
      <c r="A23" s="40" t="n">
        <v>20</v>
      </c>
      <c r="B23" s="1" t="s">
        <v>6</v>
      </c>
      <c r="C23" s="1" t="n">
        <v>0.0234051544137447</v>
      </c>
      <c r="E23" s="16" t="n">
        <v>14</v>
      </c>
      <c r="F23" s="46" t="n">
        <v>1</v>
      </c>
      <c r="G23" s="47"/>
      <c r="H23" s="47" t="n">
        <v>1</v>
      </c>
      <c r="I23" s="47" t="n">
        <v>1</v>
      </c>
      <c r="J23" s="47" t="n">
        <v>1</v>
      </c>
      <c r="K23" s="48" t="n">
        <v>1</v>
      </c>
      <c r="L23" s="49" t="n">
        <v>5</v>
      </c>
    </row>
    <row r="24" customFormat="false" ht="12.8" hidden="false" customHeight="false" outlineLevel="0" collapsed="false">
      <c r="A24" s="40" t="n">
        <v>21</v>
      </c>
      <c r="B24" s="1" t="s">
        <v>6</v>
      </c>
      <c r="C24" s="1" t="n">
        <v>0.134697832450992</v>
      </c>
      <c r="E24" s="16" t="n">
        <v>15</v>
      </c>
      <c r="F24" s="46" t="n">
        <v>1</v>
      </c>
      <c r="G24" s="47"/>
      <c r="H24" s="47" t="n">
        <v>1</v>
      </c>
      <c r="I24" s="47" t="n">
        <v>1</v>
      </c>
      <c r="J24" s="47" t="n">
        <v>1</v>
      </c>
      <c r="K24" s="48" t="n">
        <v>1</v>
      </c>
      <c r="L24" s="49" t="n">
        <v>5</v>
      </c>
    </row>
    <row r="25" customFormat="false" ht="12.8" hidden="true" customHeight="false" outlineLevel="0" collapsed="false">
      <c r="A25" s="40" t="n">
        <v>22</v>
      </c>
      <c r="B25" s="1" t="s">
        <v>6</v>
      </c>
      <c r="C25" s="1" t="n">
        <v>0.00918686391840295</v>
      </c>
      <c r="E25" s="16" t="n">
        <v>16</v>
      </c>
      <c r="F25" s="46" t="n">
        <v>1</v>
      </c>
      <c r="G25" s="47"/>
      <c r="H25" s="47" t="n">
        <v>1</v>
      </c>
      <c r="I25" s="47" t="n">
        <v>1</v>
      </c>
      <c r="J25" s="47" t="n">
        <v>1</v>
      </c>
      <c r="K25" s="48" t="n">
        <v>1</v>
      </c>
      <c r="L25" s="49" t="n">
        <v>5</v>
      </c>
    </row>
    <row r="26" customFormat="false" ht="12.8" hidden="true" customHeight="false" outlineLevel="0" collapsed="false">
      <c r="A26" s="40" t="n">
        <v>23</v>
      </c>
      <c r="B26" s="1" t="s">
        <v>6</v>
      </c>
      <c r="C26" s="1" t="n">
        <v>0.0222243635701596</v>
      </c>
      <c r="E26" s="16" t="n">
        <v>17</v>
      </c>
      <c r="F26" s="46" t="n">
        <v>1</v>
      </c>
      <c r="G26" s="47"/>
      <c r="H26" s="47" t="n">
        <v>1</v>
      </c>
      <c r="I26" s="47" t="n">
        <v>1</v>
      </c>
      <c r="J26" s="47" t="n">
        <v>1</v>
      </c>
      <c r="K26" s="48" t="n">
        <v>1</v>
      </c>
      <c r="L26" s="49" t="n">
        <v>5</v>
      </c>
    </row>
    <row r="27" customFormat="false" ht="12.8" hidden="true" customHeight="false" outlineLevel="0" collapsed="false">
      <c r="A27" s="40" t="n">
        <v>24</v>
      </c>
      <c r="B27" s="1" t="s">
        <v>6</v>
      </c>
      <c r="C27" s="1" t="n">
        <v>0.047454775660884</v>
      </c>
      <c r="E27" s="16" t="n">
        <v>18</v>
      </c>
      <c r="F27" s="46" t="n">
        <v>1</v>
      </c>
      <c r="G27" s="47"/>
      <c r="H27" s="47" t="n">
        <v>1</v>
      </c>
      <c r="I27" s="47" t="n">
        <v>1</v>
      </c>
      <c r="J27" s="47" t="n">
        <v>1</v>
      </c>
      <c r="K27" s="48" t="n">
        <v>1</v>
      </c>
      <c r="L27" s="49" t="n">
        <v>5</v>
      </c>
    </row>
    <row r="28" customFormat="false" ht="12.8" hidden="false" customHeight="false" outlineLevel="0" collapsed="false">
      <c r="A28" s="40" t="n">
        <v>25</v>
      </c>
      <c r="B28" s="1" t="s">
        <v>6</v>
      </c>
      <c r="C28" s="1" t="n">
        <v>0.053068307051809</v>
      </c>
      <c r="E28" s="16" t="n">
        <v>19</v>
      </c>
      <c r="F28" s="46" t="n">
        <v>1</v>
      </c>
      <c r="G28" s="47"/>
      <c r="H28" s="47" t="n">
        <v>1</v>
      </c>
      <c r="I28" s="47" t="n">
        <v>1</v>
      </c>
      <c r="J28" s="47" t="n">
        <v>1</v>
      </c>
      <c r="K28" s="48" t="n">
        <v>1</v>
      </c>
      <c r="L28" s="49" t="n">
        <v>5</v>
      </c>
    </row>
    <row r="29" customFormat="false" ht="12.8" hidden="true" customHeight="false" outlineLevel="0" collapsed="false">
      <c r="A29" s="40" t="n">
        <v>1</v>
      </c>
      <c r="B29" s="33" t="s">
        <v>3</v>
      </c>
      <c r="C29" s="1" t="n">
        <v>0.0103663761241036</v>
      </c>
      <c r="E29" s="16" t="n">
        <v>20</v>
      </c>
      <c r="F29" s="46" t="n">
        <v>1</v>
      </c>
      <c r="G29" s="47"/>
      <c r="H29" s="47" t="n">
        <v>1</v>
      </c>
      <c r="I29" s="47" t="n">
        <v>1</v>
      </c>
      <c r="J29" s="47" t="n">
        <v>1</v>
      </c>
      <c r="K29" s="48" t="n">
        <v>1</v>
      </c>
      <c r="L29" s="49" t="n">
        <v>5</v>
      </c>
    </row>
    <row r="30" customFormat="false" ht="12.8" hidden="true" customHeight="false" outlineLevel="0" collapsed="false">
      <c r="A30" s="40" t="n">
        <v>2</v>
      </c>
      <c r="B30" s="33" t="s">
        <v>3</v>
      </c>
      <c r="C30" s="1" t="n">
        <v>0.0452091912493637</v>
      </c>
      <c r="E30" s="16" t="n">
        <v>21</v>
      </c>
      <c r="F30" s="46" t="n">
        <v>1</v>
      </c>
      <c r="G30" s="47"/>
      <c r="H30" s="47" t="n">
        <v>1</v>
      </c>
      <c r="I30" s="47" t="n">
        <v>1</v>
      </c>
      <c r="J30" s="47" t="n">
        <v>1</v>
      </c>
      <c r="K30" s="48" t="n">
        <v>1</v>
      </c>
      <c r="L30" s="49" t="n">
        <v>5</v>
      </c>
    </row>
    <row r="31" customFormat="false" ht="12.8" hidden="true" customHeight="false" outlineLevel="0" collapsed="false">
      <c r="A31" s="40" t="n">
        <v>3</v>
      </c>
      <c r="B31" s="33" t="s">
        <v>3</v>
      </c>
      <c r="C31" s="1" t="n">
        <v>0.00908185607431311</v>
      </c>
      <c r="E31" s="16" t="n">
        <v>22</v>
      </c>
      <c r="F31" s="46" t="n">
        <v>1</v>
      </c>
      <c r="G31" s="47"/>
      <c r="H31" s="47" t="n">
        <v>1</v>
      </c>
      <c r="I31" s="47" t="n">
        <v>1</v>
      </c>
      <c r="J31" s="47" t="n">
        <v>1</v>
      </c>
      <c r="K31" s="48" t="n">
        <v>1</v>
      </c>
      <c r="L31" s="49" t="n">
        <v>5</v>
      </c>
    </row>
    <row r="32" customFormat="false" ht="12.8" hidden="true" customHeight="false" outlineLevel="0" collapsed="false">
      <c r="A32" s="40" t="n">
        <v>4</v>
      </c>
      <c r="B32" s="33" t="s">
        <v>3</v>
      </c>
      <c r="C32" s="1" t="n">
        <v>0.0435096973878786</v>
      </c>
      <c r="E32" s="16" t="n">
        <v>23</v>
      </c>
      <c r="F32" s="46" t="n">
        <v>1</v>
      </c>
      <c r="G32" s="47"/>
      <c r="H32" s="47" t="n">
        <v>1</v>
      </c>
      <c r="I32" s="47" t="n">
        <v>1</v>
      </c>
      <c r="J32" s="47" t="n">
        <v>1</v>
      </c>
      <c r="K32" s="48" t="n">
        <v>1</v>
      </c>
      <c r="L32" s="49" t="n">
        <v>5</v>
      </c>
    </row>
    <row r="33" customFormat="false" ht="12.8" hidden="true" customHeight="false" outlineLevel="0" collapsed="false">
      <c r="A33" s="40" t="n">
        <v>5</v>
      </c>
      <c r="B33" s="33" t="s">
        <v>3</v>
      </c>
      <c r="C33" s="1" t="n">
        <v>0.00829005875960809</v>
      </c>
      <c r="E33" s="16" t="n">
        <v>24</v>
      </c>
      <c r="F33" s="46" t="n">
        <v>1</v>
      </c>
      <c r="G33" s="47"/>
      <c r="H33" s="47" t="n">
        <v>1</v>
      </c>
      <c r="I33" s="47" t="n">
        <v>1</v>
      </c>
      <c r="J33" s="47" t="n">
        <v>1</v>
      </c>
      <c r="K33" s="48" t="n">
        <v>1</v>
      </c>
      <c r="L33" s="49" t="n">
        <v>5</v>
      </c>
    </row>
    <row r="34" customFormat="false" ht="12.8" hidden="false" customHeight="false" outlineLevel="0" collapsed="false">
      <c r="A34" s="40" t="n">
        <v>6</v>
      </c>
      <c r="B34" s="33" t="s">
        <v>3</v>
      </c>
      <c r="C34" s="1" t="n">
        <v>0.0528169411349331</v>
      </c>
      <c r="E34" s="16" t="n">
        <v>25</v>
      </c>
      <c r="F34" s="50" t="n">
        <v>1</v>
      </c>
      <c r="G34" s="51"/>
      <c r="H34" s="51" t="n">
        <v>1</v>
      </c>
      <c r="I34" s="51" t="n">
        <v>1</v>
      </c>
      <c r="J34" s="51" t="n">
        <v>1</v>
      </c>
      <c r="K34" s="52" t="n">
        <v>1</v>
      </c>
      <c r="L34" s="53" t="n">
        <v>5</v>
      </c>
    </row>
    <row r="35" customFormat="false" ht="12.8" hidden="false" customHeight="false" outlineLevel="0" collapsed="false">
      <c r="A35" s="40" t="n">
        <v>7</v>
      </c>
      <c r="B35" s="33" t="s">
        <v>3</v>
      </c>
      <c r="C35" s="1" t="n">
        <v>0.0766334795407158</v>
      </c>
      <c r="E35" s="25" t="s">
        <v>9</v>
      </c>
      <c r="F35" s="54" t="n">
        <v>25</v>
      </c>
      <c r="G35" s="55" t="n">
        <v>11</v>
      </c>
      <c r="H35" s="55" t="n">
        <v>25</v>
      </c>
      <c r="I35" s="55" t="n">
        <v>25</v>
      </c>
      <c r="J35" s="55" t="n">
        <v>25</v>
      </c>
      <c r="K35" s="56" t="n">
        <v>25</v>
      </c>
      <c r="L35" s="57" t="n">
        <v>136</v>
      </c>
    </row>
    <row r="36" customFormat="false" ht="12.8" hidden="true" customHeight="false" outlineLevel="0" collapsed="false">
      <c r="A36" s="40" t="n">
        <v>8</v>
      </c>
      <c r="B36" s="33" t="s">
        <v>3</v>
      </c>
      <c r="C36" s="1" t="n">
        <v>0.0240038654198511</v>
      </c>
    </row>
    <row r="37" customFormat="false" ht="12.8" hidden="true" customHeight="false" outlineLevel="0" collapsed="false">
      <c r="A37" s="40" t="n">
        <v>9</v>
      </c>
      <c r="B37" s="33" t="s">
        <v>3</v>
      </c>
      <c r="C37" s="1" t="n">
        <v>0.00405547696060882</v>
      </c>
    </row>
    <row r="38" customFormat="false" ht="12.8" hidden="false" customHeight="false" outlineLevel="0" collapsed="false">
      <c r="A38" s="40" t="n">
        <v>10</v>
      </c>
      <c r="B38" s="33" t="s">
        <v>3</v>
      </c>
      <c r="C38" s="1" t="n">
        <v>0.0677962569399365</v>
      </c>
    </row>
    <row r="39" customFormat="false" ht="12.8" hidden="true" customHeight="false" outlineLevel="0" collapsed="false">
      <c r="A39" s="40" t="n">
        <v>11</v>
      </c>
      <c r="B39" s="33" t="s">
        <v>3</v>
      </c>
      <c r="C39" s="1" t="n">
        <v>0.0347986196752406</v>
      </c>
    </row>
    <row r="40" customFormat="false" ht="12.8" hidden="true" customHeight="false" outlineLevel="0" collapsed="false">
      <c r="A40" s="40" t="n">
        <v>12</v>
      </c>
      <c r="B40" s="33" t="s">
        <v>3</v>
      </c>
      <c r="C40" s="1" t="n">
        <v>0.0179874624653911</v>
      </c>
    </row>
    <row r="41" customFormat="false" ht="12.8" hidden="true" customHeight="false" outlineLevel="0" collapsed="false">
      <c r="A41" s="40" t="n">
        <v>13</v>
      </c>
      <c r="B41" s="33" t="s">
        <v>3</v>
      </c>
      <c r="C41" s="1" t="n">
        <v>0.0284844215549038</v>
      </c>
    </row>
    <row r="42" customFormat="false" ht="12.8" hidden="true" customHeight="false" outlineLevel="0" collapsed="false">
      <c r="A42" s="40" t="n">
        <v>14</v>
      </c>
      <c r="B42" s="33" t="s">
        <v>3</v>
      </c>
      <c r="C42" s="1" t="n">
        <v>0.000220469472459794</v>
      </c>
    </row>
    <row r="43" customFormat="false" ht="12.8" hidden="true" customHeight="false" outlineLevel="0" collapsed="false">
      <c r="A43" s="40" t="n">
        <v>15</v>
      </c>
      <c r="B43" s="33" t="s">
        <v>3</v>
      </c>
      <c r="C43" s="1" t="n">
        <v>0.0227018391713697</v>
      </c>
    </row>
    <row r="44" customFormat="false" ht="12.8" hidden="true" customHeight="false" outlineLevel="0" collapsed="false">
      <c r="A44" s="40" t="n">
        <v>16</v>
      </c>
      <c r="B44" s="33" t="s">
        <v>3</v>
      </c>
      <c r="C44" s="1" t="n">
        <v>0.0313308943781639</v>
      </c>
    </row>
    <row r="45" customFormat="false" ht="12.8" hidden="true" customHeight="false" outlineLevel="0" collapsed="false">
      <c r="A45" s="40" t="n">
        <v>17</v>
      </c>
      <c r="B45" s="33" t="s">
        <v>3</v>
      </c>
      <c r="C45" s="1" t="n">
        <v>0.0247023076480338</v>
      </c>
    </row>
    <row r="46" customFormat="false" ht="12.8" hidden="true" customHeight="false" outlineLevel="0" collapsed="false">
      <c r="A46" s="40" t="n">
        <v>18</v>
      </c>
      <c r="B46" s="33" t="s">
        <v>3</v>
      </c>
      <c r="C46" s="1" t="n">
        <v>0.00369920421079994</v>
      </c>
    </row>
    <row r="47" customFormat="false" ht="12.8" hidden="true" customHeight="false" outlineLevel="0" collapsed="false">
      <c r="A47" s="40" t="n">
        <v>19</v>
      </c>
      <c r="B47" s="33" t="s">
        <v>3</v>
      </c>
      <c r="C47" s="1" t="n">
        <v>0.0443244960472375</v>
      </c>
    </row>
    <row r="48" customFormat="false" ht="12.8" hidden="true" customHeight="false" outlineLevel="0" collapsed="false">
      <c r="A48" s="40" t="n">
        <v>20</v>
      </c>
      <c r="B48" s="33" t="s">
        <v>3</v>
      </c>
      <c r="C48" s="1" t="n">
        <v>0.00679409825535793</v>
      </c>
    </row>
    <row r="49" customFormat="false" ht="12.8" hidden="false" customHeight="false" outlineLevel="0" collapsed="false">
      <c r="A49" s="40" t="n">
        <v>21</v>
      </c>
      <c r="B49" s="33" t="s">
        <v>3</v>
      </c>
      <c r="C49" s="1" t="n">
        <v>0.0636282416352019</v>
      </c>
    </row>
    <row r="50" customFormat="false" ht="12.8" hidden="true" customHeight="false" outlineLevel="0" collapsed="false">
      <c r="A50" s="40" t="n">
        <v>22</v>
      </c>
      <c r="B50" s="33" t="s">
        <v>3</v>
      </c>
      <c r="C50" s="1" t="n">
        <v>0.0214098138870542</v>
      </c>
    </row>
    <row r="51" customFormat="false" ht="12.8" hidden="true" customHeight="false" outlineLevel="0" collapsed="false">
      <c r="A51" s="40" t="n">
        <v>23</v>
      </c>
      <c r="B51" s="33" t="s">
        <v>3</v>
      </c>
      <c r="C51" s="1" t="n">
        <v>0.0175335234094478</v>
      </c>
    </row>
    <row r="52" customFormat="false" ht="12.8" hidden="true" customHeight="false" outlineLevel="0" collapsed="false">
      <c r="A52" s="40" t="n">
        <v>24</v>
      </c>
      <c r="B52" s="33" t="s">
        <v>3</v>
      </c>
      <c r="C52" s="1" t="n">
        <v>0.0267928143558145</v>
      </c>
    </row>
    <row r="53" customFormat="false" ht="12.8" hidden="true" customHeight="false" outlineLevel="0" collapsed="false">
      <c r="A53" s="40" t="n">
        <v>25</v>
      </c>
      <c r="B53" s="33" t="s">
        <v>3</v>
      </c>
      <c r="C53" s="1" t="n">
        <v>0.0218707974307926</v>
      </c>
    </row>
    <row r="54" customFormat="false" ht="12.8" hidden="true" customHeight="false" outlineLevel="0" collapsed="false">
      <c r="A54" s="40" t="n">
        <v>1</v>
      </c>
      <c r="B54" s="39" t="s">
        <v>5</v>
      </c>
      <c r="C54" s="1" t="n">
        <v>0.0133554278919528</v>
      </c>
    </row>
    <row r="55" customFormat="false" ht="12.8" hidden="true" customHeight="false" outlineLevel="0" collapsed="false">
      <c r="A55" s="40" t="n">
        <v>2</v>
      </c>
      <c r="B55" s="39" t="s">
        <v>5</v>
      </c>
      <c r="C55" s="1" t="n">
        <v>0.0133906748529681</v>
      </c>
    </row>
    <row r="56" customFormat="false" ht="12.8" hidden="true" customHeight="false" outlineLevel="0" collapsed="false">
      <c r="A56" s="40" t="n">
        <v>3</v>
      </c>
      <c r="B56" s="39" t="s">
        <v>5</v>
      </c>
      <c r="C56" s="1" t="n">
        <v>0.02283994579036</v>
      </c>
    </row>
    <row r="57" customFormat="false" ht="12.8" hidden="true" customHeight="false" outlineLevel="0" collapsed="false">
      <c r="A57" s="40" t="n">
        <v>4</v>
      </c>
      <c r="B57" s="39" t="s">
        <v>5</v>
      </c>
      <c r="C57" s="1" t="n">
        <v>0.0397354284778488</v>
      </c>
    </row>
    <row r="58" customFormat="false" ht="12.8" hidden="true" customHeight="false" outlineLevel="0" collapsed="false">
      <c r="A58" s="40" t="n">
        <v>5</v>
      </c>
      <c r="B58" s="39" t="s">
        <v>5</v>
      </c>
      <c r="C58" s="1" t="n">
        <v>0.00418865641105659</v>
      </c>
    </row>
    <row r="59" customFormat="false" ht="12.8" hidden="true" customHeight="false" outlineLevel="0" collapsed="false">
      <c r="A59" s="40" t="n">
        <v>6</v>
      </c>
      <c r="B59" s="39" t="s">
        <v>5</v>
      </c>
      <c r="C59" s="1" t="n">
        <v>0.00351927636346328</v>
      </c>
    </row>
    <row r="60" customFormat="false" ht="12.8" hidden="false" customHeight="false" outlineLevel="0" collapsed="false">
      <c r="A60" s="40" t="n">
        <v>7</v>
      </c>
      <c r="B60" s="39" t="s">
        <v>5</v>
      </c>
      <c r="C60" s="1" t="n">
        <v>0.0776340920706327</v>
      </c>
    </row>
    <row r="61" customFormat="false" ht="12.8" hidden="true" customHeight="false" outlineLevel="0" collapsed="false">
      <c r="A61" s="40" t="n">
        <v>8</v>
      </c>
      <c r="B61" s="39" t="s">
        <v>5</v>
      </c>
      <c r="C61" s="1" t="n">
        <v>0.0496279026756361</v>
      </c>
    </row>
    <row r="62" customFormat="false" ht="12.8" hidden="true" customHeight="false" outlineLevel="0" collapsed="false">
      <c r="A62" s="40" t="n">
        <v>9</v>
      </c>
      <c r="B62" s="39" t="s">
        <v>5</v>
      </c>
      <c r="C62" s="1" t="n">
        <v>0.0359815293160114</v>
      </c>
    </row>
    <row r="63" customFormat="false" ht="12.8" hidden="false" customHeight="false" outlineLevel="0" collapsed="false">
      <c r="A63" s="40" t="n">
        <v>10</v>
      </c>
      <c r="B63" s="39" t="s">
        <v>5</v>
      </c>
      <c r="C63" s="1" t="n">
        <v>0.097613291621911</v>
      </c>
    </row>
    <row r="64" customFormat="false" ht="12.8" hidden="false" customHeight="false" outlineLevel="0" collapsed="false">
      <c r="A64" s="40" t="n">
        <v>11</v>
      </c>
      <c r="B64" s="39" t="s">
        <v>5</v>
      </c>
      <c r="C64" s="1" t="n">
        <v>0.0859981384860868</v>
      </c>
    </row>
    <row r="65" customFormat="false" ht="12.8" hidden="true" customHeight="false" outlineLevel="0" collapsed="false">
      <c r="A65" s="40" t="n">
        <v>12</v>
      </c>
      <c r="B65" s="39" t="s">
        <v>5</v>
      </c>
      <c r="C65" s="1" t="n">
        <v>0.0212926601366059</v>
      </c>
    </row>
    <row r="66" customFormat="false" ht="12.8" hidden="true" customHeight="false" outlineLevel="0" collapsed="false">
      <c r="A66" s="40" t="n">
        <v>13</v>
      </c>
      <c r="B66" s="39" t="s">
        <v>5</v>
      </c>
      <c r="C66" s="1" t="n">
        <v>0.00970105304146041</v>
      </c>
    </row>
    <row r="67" customFormat="false" ht="12.8" hidden="true" customHeight="false" outlineLevel="0" collapsed="false">
      <c r="A67" s="40" t="n">
        <v>14</v>
      </c>
      <c r="B67" s="39" t="s">
        <v>5</v>
      </c>
      <c r="C67" s="1" t="n">
        <v>0.0208945966745292</v>
      </c>
    </row>
    <row r="68" customFormat="false" ht="12.8" hidden="true" customHeight="false" outlineLevel="0" collapsed="false">
      <c r="A68" s="40" t="n">
        <v>15</v>
      </c>
      <c r="B68" s="39" t="s">
        <v>5</v>
      </c>
      <c r="C68" s="1" t="n">
        <v>0.0193426773354246</v>
      </c>
    </row>
    <row r="69" customFormat="false" ht="12.8" hidden="true" customHeight="false" outlineLevel="0" collapsed="false">
      <c r="A69" s="40" t="n">
        <v>16</v>
      </c>
      <c r="B69" s="39" t="s">
        <v>5</v>
      </c>
      <c r="C69" s="1" t="n">
        <v>0.0345740961808666</v>
      </c>
    </row>
    <row r="70" customFormat="false" ht="12.8" hidden="true" customHeight="false" outlineLevel="0" collapsed="false">
      <c r="A70" s="40" t="n">
        <v>17</v>
      </c>
      <c r="B70" s="39" t="s">
        <v>5</v>
      </c>
      <c r="C70" s="1" t="n">
        <v>0.0315235159902364</v>
      </c>
    </row>
    <row r="71" customFormat="false" ht="12.8" hidden="true" customHeight="false" outlineLevel="0" collapsed="false">
      <c r="A71" s="40" t="n">
        <v>18</v>
      </c>
      <c r="B71" s="39" t="s">
        <v>5</v>
      </c>
      <c r="C71" s="1" t="n">
        <v>0.00725705999250714</v>
      </c>
    </row>
    <row r="72" customFormat="false" ht="12.8" hidden="true" customHeight="false" outlineLevel="0" collapsed="false">
      <c r="A72" s="40" t="n">
        <v>19</v>
      </c>
      <c r="B72" s="39" t="s">
        <v>5</v>
      </c>
      <c r="C72" s="1" t="n">
        <v>0.0128122362513557</v>
      </c>
    </row>
    <row r="73" customFormat="false" ht="12.8" hidden="true" customHeight="false" outlineLevel="0" collapsed="false">
      <c r="A73" s="40" t="n">
        <v>20</v>
      </c>
      <c r="B73" s="39" t="s">
        <v>5</v>
      </c>
      <c r="C73" s="1" t="n">
        <v>0.0214090677022991</v>
      </c>
    </row>
    <row r="74" customFormat="false" ht="12.8" hidden="false" customHeight="false" outlineLevel="0" collapsed="false">
      <c r="A74" s="40" t="n">
        <v>21</v>
      </c>
      <c r="B74" s="39" t="s">
        <v>5</v>
      </c>
      <c r="C74" s="1" t="n">
        <v>0.110093556356214</v>
      </c>
    </row>
    <row r="75" customFormat="false" ht="12.8" hidden="true" customHeight="false" outlineLevel="0" collapsed="false">
      <c r="A75" s="40" t="n">
        <v>22</v>
      </c>
      <c r="B75" s="39" t="s">
        <v>5</v>
      </c>
      <c r="C75" s="1" t="n">
        <v>0.0106366661846872</v>
      </c>
    </row>
    <row r="76" customFormat="false" ht="12.8" hidden="false" customHeight="false" outlineLevel="0" collapsed="false">
      <c r="A76" s="40" t="n">
        <v>23</v>
      </c>
      <c r="B76" s="39" t="s">
        <v>5</v>
      </c>
      <c r="C76" s="1" t="n">
        <v>0.0502902533010785</v>
      </c>
    </row>
    <row r="77" customFormat="false" ht="12.8" hidden="true" customHeight="false" outlineLevel="0" collapsed="false">
      <c r="A77" s="40" t="n">
        <v>24</v>
      </c>
      <c r="B77" s="39" t="s">
        <v>5</v>
      </c>
      <c r="C77" s="1" t="n">
        <v>0.0267628380313075</v>
      </c>
    </row>
    <row r="78" customFormat="false" ht="12.8" hidden="true" customHeight="false" outlineLevel="0" collapsed="false">
      <c r="A78" s="40" t="n">
        <v>25</v>
      </c>
      <c r="B78" s="39" t="s">
        <v>5</v>
      </c>
      <c r="C78" s="1" t="n">
        <v>0.00132865638540225</v>
      </c>
    </row>
    <row r="79" customFormat="false" ht="12.8" hidden="true" customHeight="false" outlineLevel="0" collapsed="false">
      <c r="A79" s="40" t="n">
        <v>1</v>
      </c>
      <c r="B79" s="39" t="s">
        <v>8</v>
      </c>
      <c r="C79" s="1" t="n">
        <v>0.0199147647353054</v>
      </c>
    </row>
    <row r="80" customFormat="false" ht="12.8" hidden="true" customHeight="false" outlineLevel="0" collapsed="false">
      <c r="A80" s="40" t="n">
        <v>2</v>
      </c>
      <c r="B80" s="39" t="s">
        <v>8</v>
      </c>
      <c r="C80" s="1" t="n">
        <v>0.00233715265781331</v>
      </c>
    </row>
    <row r="81" customFormat="false" ht="12.8" hidden="true" customHeight="false" outlineLevel="0" collapsed="false">
      <c r="A81" s="40" t="n">
        <v>3</v>
      </c>
      <c r="B81" s="39" t="s">
        <v>8</v>
      </c>
      <c r="C81" s="1" t="n">
        <v>0.0422879200242929</v>
      </c>
    </row>
    <row r="82" customFormat="false" ht="12.8" hidden="true" customHeight="false" outlineLevel="0" collapsed="false">
      <c r="A82" s="40" t="n">
        <v>4</v>
      </c>
      <c r="B82" s="39" t="s">
        <v>8</v>
      </c>
      <c r="C82" s="1" t="n">
        <v>0.0412696819046459</v>
      </c>
    </row>
    <row r="83" customFormat="false" ht="12.8" hidden="false" customHeight="false" outlineLevel="0" collapsed="false">
      <c r="A83" s="40" t="n">
        <v>5</v>
      </c>
      <c r="B83" s="39" t="s">
        <v>8</v>
      </c>
      <c r="C83" s="1" t="n">
        <v>0.0585440310312529</v>
      </c>
    </row>
    <row r="84" customFormat="false" ht="12.8" hidden="true" customHeight="false" outlineLevel="0" collapsed="false">
      <c r="A84" s="40" t="n">
        <v>6</v>
      </c>
      <c r="B84" s="39" t="s">
        <v>8</v>
      </c>
      <c r="C84" s="1" t="n">
        <v>0.011377420584487</v>
      </c>
    </row>
    <row r="85" customFormat="false" ht="12.8" hidden="true" customHeight="false" outlineLevel="0" collapsed="false">
      <c r="A85" s="40" t="n">
        <v>7</v>
      </c>
      <c r="B85" s="39" t="s">
        <v>8</v>
      </c>
      <c r="C85" s="1" t="n">
        <v>0.0380001227704924</v>
      </c>
    </row>
    <row r="86" customFormat="false" ht="12.8" hidden="true" customHeight="false" outlineLevel="0" collapsed="false">
      <c r="A86" s="40" t="n">
        <v>8</v>
      </c>
      <c r="B86" s="39" t="s">
        <v>8</v>
      </c>
      <c r="C86" s="1" t="n">
        <v>0.0491979542313977</v>
      </c>
    </row>
    <row r="87" customFormat="false" ht="12.8" hidden="true" customHeight="false" outlineLevel="0" collapsed="false">
      <c r="A87" s="40" t="n">
        <v>9</v>
      </c>
      <c r="B87" s="39" t="s">
        <v>8</v>
      </c>
      <c r="C87" s="1" t="n">
        <v>0.0184650700500861</v>
      </c>
    </row>
    <row r="88" customFormat="false" ht="12.8" hidden="false" customHeight="false" outlineLevel="0" collapsed="false">
      <c r="A88" s="40" t="n">
        <v>10</v>
      </c>
      <c r="B88" s="39" t="s">
        <v>8</v>
      </c>
      <c r="C88" s="1" t="n">
        <v>0.0830582334898924</v>
      </c>
    </row>
    <row r="89" customFormat="false" ht="12.8" hidden="true" customHeight="false" outlineLevel="0" collapsed="false">
      <c r="A89" s="40" t="n">
        <v>11</v>
      </c>
      <c r="B89" s="39" t="s">
        <v>8</v>
      </c>
      <c r="C89" s="1" t="n">
        <v>0.025890020256814</v>
      </c>
    </row>
    <row r="90" customFormat="false" ht="12.8" hidden="true" customHeight="false" outlineLevel="0" collapsed="false">
      <c r="A90" s="40" t="n">
        <v>12</v>
      </c>
      <c r="B90" s="39" t="s">
        <v>8</v>
      </c>
      <c r="C90" s="1" t="n">
        <v>0.0206940434483244</v>
      </c>
    </row>
    <row r="91" customFormat="false" ht="12.8" hidden="true" customHeight="false" outlineLevel="0" collapsed="false">
      <c r="A91" s="40" t="n">
        <v>13</v>
      </c>
      <c r="B91" s="39" t="s">
        <v>8</v>
      </c>
      <c r="C91" s="1" t="n">
        <v>0.00228111658057151</v>
      </c>
    </row>
    <row r="92" customFormat="false" ht="12.8" hidden="true" customHeight="false" outlineLevel="0" collapsed="false">
      <c r="A92" s="40" t="n">
        <v>14</v>
      </c>
      <c r="B92" s="39" t="s">
        <v>8</v>
      </c>
      <c r="C92" s="1" t="n">
        <v>0.00184953622844009</v>
      </c>
    </row>
    <row r="93" customFormat="false" ht="12.8" hidden="true" customHeight="false" outlineLevel="0" collapsed="false">
      <c r="A93" s="40" t="n">
        <v>15</v>
      </c>
      <c r="B93" s="39" t="s">
        <v>8</v>
      </c>
      <c r="C93" s="1" t="n">
        <v>0.0117737141636345</v>
      </c>
    </row>
    <row r="94" customFormat="false" ht="12.8" hidden="true" customHeight="false" outlineLevel="0" collapsed="false">
      <c r="A94" s="40" t="n">
        <v>16</v>
      </c>
      <c r="B94" s="39" t="s">
        <v>8</v>
      </c>
      <c r="C94" s="1" t="n">
        <v>0.00235052174401984</v>
      </c>
    </row>
    <row r="95" customFormat="false" ht="12.8" hidden="true" customHeight="false" outlineLevel="0" collapsed="false">
      <c r="A95" s="40" t="n">
        <v>17</v>
      </c>
      <c r="B95" s="39" t="s">
        <v>8</v>
      </c>
      <c r="C95" s="1" t="n">
        <v>0.0294491932009308</v>
      </c>
    </row>
    <row r="96" customFormat="false" ht="12.8" hidden="true" customHeight="false" outlineLevel="0" collapsed="false">
      <c r="A96" s="40" t="n">
        <v>18</v>
      </c>
      <c r="B96" s="39" t="s">
        <v>8</v>
      </c>
      <c r="C96" s="1" t="n">
        <v>0.0331218152866498</v>
      </c>
    </row>
    <row r="97" customFormat="false" ht="12.8" hidden="true" customHeight="false" outlineLevel="0" collapsed="false">
      <c r="A97" s="40" t="n">
        <v>19</v>
      </c>
      <c r="B97" s="39" t="s">
        <v>8</v>
      </c>
      <c r="C97" s="1" t="n">
        <v>0.0080455682801267</v>
      </c>
    </row>
    <row r="98" customFormat="false" ht="12.8" hidden="true" customHeight="false" outlineLevel="0" collapsed="false">
      <c r="A98" s="40" t="n">
        <v>20</v>
      </c>
      <c r="B98" s="39" t="s">
        <v>8</v>
      </c>
      <c r="C98" s="1" t="n">
        <v>0.0448142221160438</v>
      </c>
    </row>
    <row r="99" customFormat="false" ht="12.8" hidden="true" customHeight="false" outlineLevel="0" collapsed="false">
      <c r="A99" s="40" t="n">
        <v>21</v>
      </c>
      <c r="B99" s="39" t="s">
        <v>8</v>
      </c>
      <c r="C99" s="1" t="n">
        <v>0.0246042760947787</v>
      </c>
    </row>
    <row r="100" customFormat="false" ht="12.8" hidden="true" customHeight="false" outlineLevel="0" collapsed="false">
      <c r="A100" s="40" t="n">
        <v>22</v>
      </c>
      <c r="B100" s="39" t="s">
        <v>8</v>
      </c>
      <c r="C100" s="1" t="n">
        <v>0.00144980226628422</v>
      </c>
    </row>
    <row r="101" customFormat="false" ht="12.8" hidden="true" customHeight="false" outlineLevel="0" collapsed="false">
      <c r="A101" s="40" t="n">
        <v>23</v>
      </c>
      <c r="B101" s="39" t="s">
        <v>8</v>
      </c>
      <c r="C101" s="1" t="n">
        <v>0.0280658897309189</v>
      </c>
    </row>
    <row r="102" customFormat="false" ht="12.8" hidden="true" customHeight="false" outlineLevel="0" collapsed="false">
      <c r="A102" s="40" t="n">
        <v>24</v>
      </c>
      <c r="B102" s="39" t="s">
        <v>8</v>
      </c>
      <c r="C102" s="1" t="n">
        <v>0.0206919376295764</v>
      </c>
    </row>
    <row r="103" customFormat="false" ht="12.8" hidden="false" customHeight="false" outlineLevel="0" collapsed="false">
      <c r="A103" s="40" t="n">
        <v>25</v>
      </c>
      <c r="B103" s="39" t="s">
        <v>8</v>
      </c>
      <c r="C103" s="1" t="n">
        <v>0.0543969634372112</v>
      </c>
    </row>
    <row r="104" customFormat="false" ht="12.8" hidden="true" customHeight="false" outlineLevel="0" collapsed="false">
      <c r="A104" s="40" t="n">
        <v>1</v>
      </c>
      <c r="B104" s="39" t="s">
        <v>7</v>
      </c>
      <c r="C104" s="1" t="n">
        <v>0.030281140859409</v>
      </c>
    </row>
    <row r="105" customFormat="false" ht="12.8" hidden="true" customHeight="false" outlineLevel="0" collapsed="false">
      <c r="A105" s="40" t="n">
        <v>2</v>
      </c>
      <c r="B105" s="39" t="s">
        <v>7</v>
      </c>
      <c r="C105" s="1" t="n">
        <v>0.0428720385915504</v>
      </c>
    </row>
    <row r="106" customFormat="false" ht="12.8" hidden="false" customHeight="false" outlineLevel="0" collapsed="false">
      <c r="A106" s="40" t="n">
        <v>3</v>
      </c>
      <c r="B106" s="39" t="s">
        <v>7</v>
      </c>
      <c r="C106" s="1" t="n">
        <v>0.051369776098606</v>
      </c>
    </row>
    <row r="107" customFormat="false" ht="12.8" hidden="true" customHeight="false" outlineLevel="0" collapsed="false">
      <c r="A107" s="40" t="n">
        <v>4</v>
      </c>
      <c r="B107" s="39" t="s">
        <v>7</v>
      </c>
      <c r="C107" s="1" t="n">
        <v>0.00224001548323272</v>
      </c>
    </row>
    <row r="108" customFormat="false" ht="12.8" hidden="false" customHeight="false" outlineLevel="0" collapsed="false">
      <c r="A108" s="40" t="n">
        <v>5</v>
      </c>
      <c r="B108" s="39" t="s">
        <v>7</v>
      </c>
      <c r="C108" s="1" t="n">
        <v>0.066834089790861</v>
      </c>
    </row>
    <row r="109" customFormat="false" ht="12.8" hidden="true" customHeight="false" outlineLevel="0" collapsed="false">
      <c r="A109" s="40" t="n">
        <v>6</v>
      </c>
      <c r="B109" s="39" t="s">
        <v>7</v>
      </c>
      <c r="C109" s="1" t="n">
        <v>0.0414395205504461</v>
      </c>
    </row>
    <row r="110" customFormat="false" ht="12.8" hidden="true" customHeight="false" outlineLevel="0" collapsed="false">
      <c r="A110" s="40" t="n">
        <v>7</v>
      </c>
      <c r="B110" s="39" t="s">
        <v>7</v>
      </c>
      <c r="C110" s="1" t="n">
        <v>0.0386333567702234</v>
      </c>
    </row>
    <row r="111" customFormat="false" ht="12.8" hidden="true" customHeight="false" outlineLevel="0" collapsed="false">
      <c r="A111" s="40" t="n">
        <v>8</v>
      </c>
      <c r="B111" s="39" t="s">
        <v>7</v>
      </c>
      <c r="C111" s="1" t="n">
        <v>0.0251940888115466</v>
      </c>
    </row>
    <row r="112" customFormat="false" ht="12.8" hidden="true" customHeight="false" outlineLevel="0" collapsed="false">
      <c r="A112" s="40" t="n">
        <v>9</v>
      </c>
      <c r="B112" s="39" t="s">
        <v>7</v>
      </c>
      <c r="C112" s="1" t="n">
        <v>0.0144095930894773</v>
      </c>
    </row>
    <row r="113" customFormat="false" ht="12.8" hidden="true" customHeight="false" outlineLevel="0" collapsed="false">
      <c r="A113" s="40" t="n">
        <v>10</v>
      </c>
      <c r="B113" s="39" t="s">
        <v>7</v>
      </c>
      <c r="C113" s="1" t="n">
        <v>0.0152619765499559</v>
      </c>
    </row>
    <row r="114" customFormat="false" ht="12.8" hidden="true" customHeight="false" outlineLevel="0" collapsed="false">
      <c r="A114" s="40" t="n">
        <v>11</v>
      </c>
      <c r="B114" s="39" t="s">
        <v>7</v>
      </c>
      <c r="C114" s="1" t="n">
        <v>0.00890859941842659</v>
      </c>
    </row>
    <row r="115" customFormat="false" ht="12.8" hidden="true" customHeight="false" outlineLevel="0" collapsed="false">
      <c r="A115" s="40" t="n">
        <v>12</v>
      </c>
      <c r="B115" s="39" t="s">
        <v>7</v>
      </c>
      <c r="C115" s="1" t="n">
        <v>0.0386815059137154</v>
      </c>
    </row>
    <row r="116" customFormat="false" ht="12.8" hidden="true" customHeight="false" outlineLevel="0" collapsed="false">
      <c r="A116" s="40" t="n">
        <v>13</v>
      </c>
      <c r="B116" s="39" t="s">
        <v>7</v>
      </c>
      <c r="C116" s="1" t="n">
        <v>0.0262033049743323</v>
      </c>
    </row>
    <row r="117" customFormat="false" ht="12.8" hidden="true" customHeight="false" outlineLevel="0" collapsed="false">
      <c r="A117" s="40" t="n">
        <v>14</v>
      </c>
      <c r="B117" s="39" t="s">
        <v>7</v>
      </c>
      <c r="C117" s="1" t="n">
        <v>0.00162906675598029</v>
      </c>
    </row>
    <row r="118" customFormat="false" ht="12.8" hidden="true" customHeight="false" outlineLevel="0" collapsed="false">
      <c r="A118" s="40" t="n">
        <v>15</v>
      </c>
      <c r="B118" s="39" t="s">
        <v>7</v>
      </c>
      <c r="C118" s="1" t="n">
        <v>0.0344755533350042</v>
      </c>
    </row>
    <row r="119" customFormat="false" ht="12.8" hidden="true" customHeight="false" outlineLevel="0" collapsed="false">
      <c r="A119" s="40" t="n">
        <v>16</v>
      </c>
      <c r="B119" s="39" t="s">
        <v>7</v>
      </c>
      <c r="C119" s="1" t="n">
        <v>0.0289803726341441</v>
      </c>
    </row>
    <row r="120" customFormat="false" ht="12.8" hidden="true" customHeight="false" outlineLevel="0" collapsed="false">
      <c r="A120" s="40" t="n">
        <v>17</v>
      </c>
      <c r="B120" s="39" t="s">
        <v>7</v>
      </c>
      <c r="C120" s="1" t="n">
        <v>0.00474688555289693</v>
      </c>
    </row>
    <row r="121" customFormat="false" ht="12.8" hidden="true" customHeight="false" outlineLevel="0" collapsed="false">
      <c r="A121" s="40" t="n">
        <v>18</v>
      </c>
      <c r="B121" s="39" t="s">
        <v>7</v>
      </c>
      <c r="C121" s="1" t="n">
        <v>0.0368210194974498</v>
      </c>
    </row>
    <row r="122" customFormat="false" ht="12.8" hidden="false" customHeight="false" outlineLevel="0" collapsed="false">
      <c r="A122" s="40" t="n">
        <v>19</v>
      </c>
      <c r="B122" s="39" t="s">
        <v>7</v>
      </c>
      <c r="C122" s="1" t="n">
        <v>0.0523700643273642</v>
      </c>
    </row>
    <row r="123" customFormat="false" ht="12.8" hidden="false" customHeight="false" outlineLevel="0" collapsed="false">
      <c r="A123" s="40" t="n">
        <v>20</v>
      </c>
      <c r="B123" s="39" t="s">
        <v>7</v>
      </c>
      <c r="C123" s="1" t="n">
        <v>0.0516083203714017</v>
      </c>
    </row>
    <row r="124" customFormat="false" ht="12.8" hidden="false" customHeight="false" outlineLevel="0" collapsed="false">
      <c r="A124" s="40" t="n">
        <v>21</v>
      </c>
      <c r="B124" s="39" t="s">
        <v>7</v>
      </c>
      <c r="C124" s="1" t="n">
        <v>0.0882325177299805</v>
      </c>
    </row>
    <row r="125" customFormat="false" ht="12.8" hidden="true" customHeight="false" outlineLevel="0" collapsed="false">
      <c r="A125" s="40" t="n">
        <v>22</v>
      </c>
      <c r="B125" s="39" t="s">
        <v>7</v>
      </c>
      <c r="C125" s="1" t="n">
        <v>0.0228596161533384</v>
      </c>
    </row>
    <row r="126" customFormat="false" ht="12.8" hidden="true" customHeight="false" outlineLevel="0" collapsed="false">
      <c r="A126" s="40" t="n">
        <v>23</v>
      </c>
      <c r="B126" s="39" t="s">
        <v>7</v>
      </c>
      <c r="C126" s="1" t="n">
        <v>0.0105323663214711</v>
      </c>
    </row>
    <row r="127" customFormat="false" ht="12.8" hidden="true" customHeight="false" outlineLevel="0" collapsed="false">
      <c r="A127" s="40" t="n">
        <v>24</v>
      </c>
      <c r="B127" s="39" t="s">
        <v>7</v>
      </c>
      <c r="C127" s="1" t="n">
        <v>0.0474847519853909</v>
      </c>
    </row>
    <row r="128" customFormat="false" ht="12.8" hidden="true" customHeight="false" outlineLevel="0" collapsed="false">
      <c r="A128" s="40" t="n">
        <v>25</v>
      </c>
      <c r="B128" s="39" t="s">
        <v>7</v>
      </c>
      <c r="C128" s="1" t="n">
        <v>0.0325261660064187</v>
      </c>
    </row>
    <row r="129" customFormat="false" ht="12.8" hidden="true" customHeight="false" outlineLevel="0" collapsed="false">
      <c r="A129" s="40" t="n">
        <v>1</v>
      </c>
      <c r="B129" s="39" t="s">
        <v>4</v>
      </c>
      <c r="C129" s="1" t="n">
        <v>0.0237218040160564</v>
      </c>
    </row>
    <row r="130" customFormat="false" ht="12.8" hidden="false" customHeight="false" outlineLevel="0" collapsed="false">
      <c r="A130" s="40" t="n">
        <v>2</v>
      </c>
      <c r="B130" s="39" t="s">
        <v>4</v>
      </c>
      <c r="C130" s="1" t="n">
        <v>0.0585998661023318</v>
      </c>
    </row>
    <row r="131" customFormat="false" ht="12.8" hidden="true" customHeight="false" outlineLevel="0" collapsed="false">
      <c r="A131" s="40" t="n">
        <v>3</v>
      </c>
      <c r="B131" s="39" t="s">
        <v>4</v>
      </c>
      <c r="C131" s="1" t="n">
        <v>0.0319218018646731</v>
      </c>
    </row>
    <row r="132" customFormat="false" ht="12.8" hidden="true" customHeight="false" outlineLevel="0" collapsed="false">
      <c r="A132" s="40" t="n">
        <v>4</v>
      </c>
      <c r="B132" s="39" t="s">
        <v>4</v>
      </c>
      <c r="C132" s="1" t="n">
        <v>0.00377426891002974</v>
      </c>
    </row>
    <row r="133" customFormat="false" ht="12.8" hidden="true" customHeight="false" outlineLevel="0" collapsed="false">
      <c r="A133" s="40" t="n">
        <v>5</v>
      </c>
      <c r="B133" s="39" t="s">
        <v>4</v>
      </c>
      <c r="C133" s="1" t="n">
        <v>0.0124787151706647</v>
      </c>
    </row>
    <row r="134" customFormat="false" ht="12.8" hidden="true" customHeight="false" outlineLevel="0" collapsed="false">
      <c r="A134" s="40" t="n">
        <v>6</v>
      </c>
      <c r="B134" s="39" t="s">
        <v>4</v>
      </c>
      <c r="C134" s="1" t="n">
        <v>0.0492976647714698</v>
      </c>
    </row>
    <row r="135" customFormat="false" ht="12.8" hidden="true" customHeight="false" outlineLevel="0" collapsed="false">
      <c r="A135" s="40" t="n">
        <v>7</v>
      </c>
      <c r="B135" s="39" t="s">
        <v>4</v>
      </c>
      <c r="C135" s="1" t="n">
        <v>0.0010006125299169</v>
      </c>
    </row>
    <row r="136" customFormat="false" ht="12.8" hidden="true" customHeight="false" outlineLevel="0" collapsed="false">
      <c r="A136" s="40" t="n">
        <v>8</v>
      </c>
      <c r="B136" s="39" t="s">
        <v>4</v>
      </c>
      <c r="C136" s="1" t="n">
        <v>0.025624037255785</v>
      </c>
    </row>
    <row r="137" customFormat="false" ht="12.8" hidden="true" customHeight="false" outlineLevel="0" collapsed="false">
      <c r="A137" s="40" t="n">
        <v>9</v>
      </c>
      <c r="B137" s="39" t="s">
        <v>4</v>
      </c>
      <c r="C137" s="1" t="n">
        <v>0.0319260523554026</v>
      </c>
    </row>
    <row r="138" customFormat="false" ht="12.8" hidden="true" customHeight="false" outlineLevel="0" collapsed="false">
      <c r="A138" s="40" t="n">
        <v>10</v>
      </c>
      <c r="B138" s="39" t="s">
        <v>4</v>
      </c>
      <c r="C138" s="1" t="n">
        <v>0.0298170346819745</v>
      </c>
    </row>
    <row r="139" customFormat="false" ht="12.8" hidden="false" customHeight="false" outlineLevel="0" collapsed="false">
      <c r="A139" s="40" t="n">
        <v>11</v>
      </c>
      <c r="B139" s="39" t="s">
        <v>4</v>
      </c>
      <c r="C139" s="1" t="n">
        <v>0.0511995188108463</v>
      </c>
    </row>
    <row r="140" customFormat="false" ht="12.8" hidden="true" customHeight="false" outlineLevel="0" collapsed="false">
      <c r="A140" s="40" t="n">
        <v>12</v>
      </c>
      <c r="B140" s="39" t="s">
        <v>4</v>
      </c>
      <c r="C140" s="1" t="n">
        <v>0.00330519767121484</v>
      </c>
    </row>
    <row r="141" customFormat="false" ht="12.8" hidden="true" customHeight="false" outlineLevel="0" collapsed="false">
      <c r="A141" s="40" t="n">
        <v>13</v>
      </c>
      <c r="B141" s="39" t="s">
        <v>4</v>
      </c>
      <c r="C141" s="1" t="n">
        <v>0.0187833685134434</v>
      </c>
    </row>
    <row r="142" customFormat="false" ht="12.8" hidden="true" customHeight="false" outlineLevel="0" collapsed="false">
      <c r="A142" s="40" t="n">
        <v>14</v>
      </c>
      <c r="B142" s="39" t="s">
        <v>4</v>
      </c>
      <c r="C142" s="1" t="n">
        <v>0.0206741272020694</v>
      </c>
    </row>
    <row r="143" customFormat="false" ht="12.8" hidden="true" customHeight="false" outlineLevel="0" collapsed="false">
      <c r="A143" s="40" t="n">
        <v>15</v>
      </c>
      <c r="B143" s="39" t="s">
        <v>4</v>
      </c>
      <c r="C143" s="1" t="n">
        <v>0.0420445165067943</v>
      </c>
    </row>
    <row r="144" customFormat="false" ht="12.8" hidden="true" customHeight="false" outlineLevel="0" collapsed="false">
      <c r="A144" s="40" t="n">
        <v>16</v>
      </c>
      <c r="B144" s="39" t="s">
        <v>4</v>
      </c>
      <c r="C144" s="1" t="n">
        <v>0.00324320180270266</v>
      </c>
    </row>
    <row r="145" customFormat="false" ht="12.8" hidden="true" customHeight="false" outlineLevel="0" collapsed="false">
      <c r="A145" s="40" t="n">
        <v>17</v>
      </c>
      <c r="B145" s="39" t="s">
        <v>4</v>
      </c>
      <c r="C145" s="1" t="n">
        <v>0.00682120834220257</v>
      </c>
    </row>
    <row r="146" customFormat="false" ht="12.8" hidden="true" customHeight="false" outlineLevel="0" collapsed="false">
      <c r="A146" s="40" t="n">
        <v>18</v>
      </c>
      <c r="B146" s="39" t="s">
        <v>4</v>
      </c>
      <c r="C146" s="1" t="n">
        <v>0.0109562642033071</v>
      </c>
    </row>
    <row r="147" customFormat="false" ht="12.8" hidden="true" customHeight="false" outlineLevel="0" collapsed="false">
      <c r="A147" s="40" t="n">
        <v>19</v>
      </c>
      <c r="B147" s="39" t="s">
        <v>4</v>
      </c>
      <c r="C147" s="1" t="n">
        <v>0.0315122597958818</v>
      </c>
    </row>
    <row r="148" customFormat="false" ht="12.8" hidden="true" customHeight="false" outlineLevel="0" collapsed="false">
      <c r="A148" s="40" t="n">
        <v>20</v>
      </c>
      <c r="B148" s="39" t="s">
        <v>4</v>
      </c>
      <c r="C148" s="1" t="n">
        <v>0.028203165957657</v>
      </c>
    </row>
    <row r="149" customFormat="false" ht="12.8" hidden="true" customHeight="false" outlineLevel="0" collapsed="false">
      <c r="A149" s="40" t="n">
        <v>21</v>
      </c>
      <c r="B149" s="39" t="s">
        <v>4</v>
      </c>
      <c r="C149" s="1" t="n">
        <v>0.0464653147210119</v>
      </c>
    </row>
    <row r="150" customFormat="false" ht="12.8" hidden="true" customHeight="false" outlineLevel="0" collapsed="false">
      <c r="A150" s="40" t="n">
        <v>22</v>
      </c>
      <c r="B150" s="39" t="s">
        <v>4</v>
      </c>
      <c r="C150" s="1" t="n">
        <v>0.0320464800717414</v>
      </c>
    </row>
    <row r="151" customFormat="false" ht="12.8" hidden="true" customHeight="false" outlineLevel="0" collapsed="false">
      <c r="A151" s="40" t="n">
        <v>23</v>
      </c>
      <c r="B151" s="39" t="s">
        <v>4</v>
      </c>
      <c r="C151" s="1" t="n">
        <v>0.0327567298916307</v>
      </c>
    </row>
    <row r="152" customFormat="false" ht="12.8" hidden="true" customHeight="false" outlineLevel="0" collapsed="false">
      <c r="A152" s="40" t="n">
        <v>24</v>
      </c>
      <c r="B152" s="39" t="s">
        <v>4</v>
      </c>
      <c r="C152" s="1" t="n">
        <v>2.9976324506964E-005</v>
      </c>
    </row>
    <row r="153" customFormat="false" ht="12.8" hidden="true" customHeight="false" outlineLevel="0" collapsed="false">
      <c r="A153" s="40" t="n">
        <v>25</v>
      </c>
      <c r="B153" s="39" t="s">
        <v>4</v>
      </c>
      <c r="C153" s="1" t="n">
        <v>0.0205421410453903</v>
      </c>
    </row>
    <row r="156" customFormat="false" ht="12.8" hidden="false" customHeight="false" outlineLevel="0" collapsed="false">
      <c r="A156" s="41" t="s">
        <v>2</v>
      </c>
      <c r="B156" s="33" t="s">
        <v>1</v>
      </c>
      <c r="C156" s="32" t="s">
        <v>42</v>
      </c>
      <c r="E156" s="3" t="s">
        <v>43</v>
      </c>
      <c r="F156" s="4" t="s">
        <v>1</v>
      </c>
      <c r="G156" s="5"/>
      <c r="H156" s="5"/>
      <c r="I156" s="5"/>
      <c r="J156" s="5"/>
      <c r="K156" s="5"/>
      <c r="L156" s="6"/>
    </row>
    <row r="157" customFormat="false" ht="12.8" hidden="false" customHeight="false" outlineLevel="0" collapsed="false">
      <c r="A157" s="40" t="n">
        <v>5</v>
      </c>
      <c r="B157" s="1" t="s">
        <v>6</v>
      </c>
      <c r="C157" s="1" t="n">
        <v>0.0543553746201964</v>
      </c>
      <c r="E157" s="7" t="s">
        <v>2</v>
      </c>
      <c r="F157" s="8" t="s">
        <v>3</v>
      </c>
      <c r="G157" s="9" t="s">
        <v>4</v>
      </c>
      <c r="H157" s="9" t="s">
        <v>5</v>
      </c>
      <c r="I157" s="9" t="s">
        <v>6</v>
      </c>
      <c r="J157" s="9" t="s">
        <v>7</v>
      </c>
      <c r="K157" s="9" t="s">
        <v>8</v>
      </c>
      <c r="L157" s="10" t="s">
        <v>9</v>
      </c>
    </row>
    <row r="158" customFormat="false" ht="12.8" hidden="false" customHeight="false" outlineLevel="0" collapsed="false">
      <c r="A158" s="40" t="n">
        <v>11</v>
      </c>
      <c r="B158" s="1" t="s">
        <v>6</v>
      </c>
      <c r="C158" s="1" t="n">
        <v>0.0601081182292729</v>
      </c>
      <c r="E158" s="11" t="n">
        <v>2</v>
      </c>
      <c r="F158" s="42"/>
      <c r="G158" s="43" t="n">
        <v>1</v>
      </c>
      <c r="H158" s="43"/>
      <c r="I158" s="43"/>
      <c r="J158" s="43"/>
      <c r="K158" s="44"/>
      <c r="L158" s="45" t="n">
        <v>1</v>
      </c>
    </row>
    <row r="159" customFormat="false" ht="12.8" hidden="false" customHeight="false" outlineLevel="0" collapsed="false">
      <c r="A159" s="40" t="n">
        <v>21</v>
      </c>
      <c r="B159" s="1" t="s">
        <v>6</v>
      </c>
      <c r="C159" s="1" t="n">
        <v>0.134697832450992</v>
      </c>
      <c r="E159" s="16" t="n">
        <v>3</v>
      </c>
      <c r="F159" s="46"/>
      <c r="G159" s="47"/>
      <c r="H159" s="47"/>
      <c r="I159" s="47"/>
      <c r="J159" s="47" t="n">
        <v>1</v>
      </c>
      <c r="K159" s="48"/>
      <c r="L159" s="49" t="n">
        <v>1</v>
      </c>
    </row>
    <row r="160" customFormat="false" ht="12.8" hidden="false" customHeight="false" outlineLevel="0" collapsed="false">
      <c r="A160" s="40" t="n">
        <v>25</v>
      </c>
      <c r="B160" s="1" t="s">
        <v>6</v>
      </c>
      <c r="C160" s="1" t="n">
        <v>0.053068307051809</v>
      </c>
      <c r="E160" s="16" t="n">
        <v>5</v>
      </c>
      <c r="F160" s="46"/>
      <c r="G160" s="47"/>
      <c r="H160" s="47"/>
      <c r="I160" s="47" t="n">
        <v>1</v>
      </c>
      <c r="J160" s="47" t="n">
        <v>1</v>
      </c>
      <c r="K160" s="48" t="n">
        <v>1</v>
      </c>
      <c r="L160" s="49" t="n">
        <v>3</v>
      </c>
    </row>
    <row r="161" customFormat="false" ht="12.8" hidden="false" customHeight="false" outlineLevel="0" collapsed="false">
      <c r="A161" s="40" t="n">
        <v>6</v>
      </c>
      <c r="B161" s="33" t="s">
        <v>3</v>
      </c>
      <c r="C161" s="1" t="n">
        <v>0.0528169411349331</v>
      </c>
      <c r="E161" s="16" t="n">
        <v>6</v>
      </c>
      <c r="F161" s="46" t="n">
        <v>1</v>
      </c>
      <c r="G161" s="47"/>
      <c r="H161" s="47"/>
      <c r="I161" s="47"/>
      <c r="J161" s="47"/>
      <c r="K161" s="48"/>
      <c r="L161" s="49" t="n">
        <v>1</v>
      </c>
    </row>
    <row r="162" customFormat="false" ht="12.8" hidden="false" customHeight="false" outlineLevel="0" collapsed="false">
      <c r="A162" s="40" t="n">
        <v>7</v>
      </c>
      <c r="B162" s="33" t="s">
        <v>3</v>
      </c>
      <c r="C162" s="1" t="n">
        <v>0.0766334795407158</v>
      </c>
      <c r="E162" s="16" t="n">
        <v>7</v>
      </c>
      <c r="F162" s="46" t="n">
        <v>1</v>
      </c>
      <c r="G162" s="47"/>
      <c r="H162" s="47" t="n">
        <v>1</v>
      </c>
      <c r="I162" s="47"/>
      <c r="J162" s="47"/>
      <c r="K162" s="48"/>
      <c r="L162" s="49" t="n">
        <v>2</v>
      </c>
    </row>
    <row r="163" customFormat="false" ht="12.8" hidden="false" customHeight="false" outlineLevel="0" collapsed="false">
      <c r="A163" s="40" t="n">
        <v>10</v>
      </c>
      <c r="B163" s="33" t="s">
        <v>3</v>
      </c>
      <c r="C163" s="1" t="n">
        <v>0.0677962569399365</v>
      </c>
      <c r="E163" s="16" t="n">
        <v>10</v>
      </c>
      <c r="F163" s="46" t="n">
        <v>1</v>
      </c>
      <c r="G163" s="47"/>
      <c r="H163" s="47" t="n">
        <v>1</v>
      </c>
      <c r="I163" s="47"/>
      <c r="J163" s="47"/>
      <c r="K163" s="48" t="n">
        <v>1</v>
      </c>
      <c r="L163" s="49" t="n">
        <v>3</v>
      </c>
    </row>
    <row r="164" customFormat="false" ht="12.8" hidden="false" customHeight="false" outlineLevel="0" collapsed="false">
      <c r="A164" s="40" t="n">
        <v>21</v>
      </c>
      <c r="B164" s="33" t="s">
        <v>3</v>
      </c>
      <c r="C164" s="1" t="n">
        <v>0.0636282416352019</v>
      </c>
      <c r="E164" s="16" t="n">
        <v>11</v>
      </c>
      <c r="F164" s="46"/>
      <c r="G164" s="47" t="n">
        <v>1</v>
      </c>
      <c r="H164" s="47" t="n">
        <v>1</v>
      </c>
      <c r="I164" s="47" t="n">
        <v>1</v>
      </c>
      <c r="J164" s="47"/>
      <c r="K164" s="48"/>
      <c r="L164" s="49" t="n">
        <v>3</v>
      </c>
    </row>
    <row r="165" customFormat="false" ht="12.8" hidden="false" customHeight="false" outlineLevel="0" collapsed="false">
      <c r="A165" s="40" t="n">
        <v>7</v>
      </c>
      <c r="B165" s="39" t="s">
        <v>5</v>
      </c>
      <c r="C165" s="1" t="n">
        <v>0.0776340920706327</v>
      </c>
      <c r="E165" s="16" t="n">
        <v>19</v>
      </c>
      <c r="F165" s="46"/>
      <c r="G165" s="47"/>
      <c r="H165" s="47"/>
      <c r="I165" s="47"/>
      <c r="J165" s="47" t="n">
        <v>1</v>
      </c>
      <c r="K165" s="48"/>
      <c r="L165" s="49" t="n">
        <v>1</v>
      </c>
    </row>
    <row r="166" customFormat="false" ht="12.8" hidden="false" customHeight="false" outlineLevel="0" collapsed="false">
      <c r="A166" s="40" t="n">
        <v>10</v>
      </c>
      <c r="B166" s="39" t="s">
        <v>5</v>
      </c>
      <c r="C166" s="1" t="n">
        <v>0.097613291621911</v>
      </c>
      <c r="E166" s="16" t="n">
        <v>20</v>
      </c>
      <c r="F166" s="46"/>
      <c r="G166" s="47"/>
      <c r="H166" s="47"/>
      <c r="I166" s="47"/>
      <c r="J166" s="47" t="n">
        <v>1</v>
      </c>
      <c r="K166" s="48"/>
      <c r="L166" s="49" t="n">
        <v>1</v>
      </c>
    </row>
    <row r="167" customFormat="false" ht="12.8" hidden="false" customHeight="false" outlineLevel="0" collapsed="false">
      <c r="A167" s="40" t="n">
        <v>11</v>
      </c>
      <c r="B167" s="39" t="s">
        <v>5</v>
      </c>
      <c r="C167" s="1" t="n">
        <v>0.0859981384860868</v>
      </c>
      <c r="E167" s="16" t="n">
        <v>21</v>
      </c>
      <c r="F167" s="46" t="n">
        <v>1</v>
      </c>
      <c r="G167" s="47"/>
      <c r="H167" s="47" t="n">
        <v>1</v>
      </c>
      <c r="I167" s="47" t="n">
        <v>1</v>
      </c>
      <c r="J167" s="47" t="n">
        <v>1</v>
      </c>
      <c r="K167" s="48"/>
      <c r="L167" s="49" t="n">
        <v>4</v>
      </c>
    </row>
    <row r="168" customFormat="false" ht="12.8" hidden="false" customHeight="false" outlineLevel="0" collapsed="false">
      <c r="A168" s="40" t="n">
        <v>21</v>
      </c>
      <c r="B168" s="39" t="s">
        <v>5</v>
      </c>
      <c r="C168" s="1" t="n">
        <v>0.110093556356214</v>
      </c>
      <c r="E168" s="16" t="n">
        <v>23</v>
      </c>
      <c r="F168" s="46"/>
      <c r="G168" s="47"/>
      <c r="H168" s="47" t="n">
        <v>1</v>
      </c>
      <c r="I168" s="47"/>
      <c r="J168" s="47"/>
      <c r="K168" s="48"/>
      <c r="L168" s="49" t="n">
        <v>1</v>
      </c>
    </row>
    <row r="169" customFormat="false" ht="12.8" hidden="false" customHeight="false" outlineLevel="0" collapsed="false">
      <c r="A169" s="40" t="n">
        <v>23</v>
      </c>
      <c r="B169" s="39" t="s">
        <v>5</v>
      </c>
      <c r="C169" s="1" t="n">
        <v>0.0502902533010785</v>
      </c>
      <c r="E169" s="16" t="n">
        <v>25</v>
      </c>
      <c r="F169" s="50"/>
      <c r="G169" s="51"/>
      <c r="H169" s="51"/>
      <c r="I169" s="51" t="n">
        <v>1</v>
      </c>
      <c r="J169" s="51"/>
      <c r="K169" s="52" t="n">
        <v>1</v>
      </c>
      <c r="L169" s="53" t="n">
        <v>2</v>
      </c>
    </row>
    <row r="170" customFormat="false" ht="12.8" hidden="false" customHeight="false" outlineLevel="0" collapsed="false">
      <c r="A170" s="40" t="n">
        <v>5</v>
      </c>
      <c r="B170" s="39" t="s">
        <v>8</v>
      </c>
      <c r="C170" s="1" t="n">
        <v>0.0585440310312529</v>
      </c>
      <c r="E170" s="25" t="s">
        <v>9</v>
      </c>
      <c r="F170" s="54" t="n">
        <v>4</v>
      </c>
      <c r="G170" s="55" t="n">
        <v>2</v>
      </c>
      <c r="H170" s="55" t="n">
        <v>5</v>
      </c>
      <c r="I170" s="55" t="n">
        <v>4</v>
      </c>
      <c r="J170" s="55" t="n">
        <v>5</v>
      </c>
      <c r="K170" s="56" t="n">
        <v>3</v>
      </c>
      <c r="L170" s="57" t="n">
        <v>23</v>
      </c>
    </row>
    <row r="171" customFormat="false" ht="12.8" hidden="false" customHeight="false" outlineLevel="0" collapsed="false">
      <c r="A171" s="40" t="n">
        <v>10</v>
      </c>
      <c r="B171" s="39" t="s">
        <v>8</v>
      </c>
      <c r="C171" s="1" t="n">
        <v>0.0830582334898924</v>
      </c>
    </row>
    <row r="172" customFormat="false" ht="12.8" hidden="false" customHeight="false" outlineLevel="0" collapsed="false">
      <c r="A172" s="40" t="n">
        <v>25</v>
      </c>
      <c r="B172" s="39" t="s">
        <v>8</v>
      </c>
      <c r="C172" s="1" t="n">
        <v>0.0543969634372112</v>
      </c>
    </row>
    <row r="173" customFormat="false" ht="12.8" hidden="false" customHeight="false" outlineLevel="0" collapsed="false">
      <c r="A173" s="40" t="n">
        <v>3</v>
      </c>
      <c r="B173" s="39" t="s">
        <v>7</v>
      </c>
      <c r="C173" s="1" t="n">
        <v>0.051369776098606</v>
      </c>
    </row>
    <row r="174" customFormat="false" ht="12.8" hidden="false" customHeight="false" outlineLevel="0" collapsed="false">
      <c r="A174" s="40" t="n">
        <v>5</v>
      </c>
      <c r="B174" s="39" t="s">
        <v>7</v>
      </c>
      <c r="C174" s="1" t="n">
        <v>0.066834089790861</v>
      </c>
    </row>
    <row r="175" customFormat="false" ht="12.8" hidden="false" customHeight="false" outlineLevel="0" collapsed="false">
      <c r="A175" s="40" t="n">
        <v>19</v>
      </c>
      <c r="B175" s="39" t="s">
        <v>7</v>
      </c>
      <c r="C175" s="1" t="n">
        <v>0.0523700643273642</v>
      </c>
    </row>
    <row r="176" customFormat="false" ht="12.8" hidden="false" customHeight="false" outlineLevel="0" collapsed="false">
      <c r="A176" s="40" t="n">
        <v>20</v>
      </c>
      <c r="B176" s="39" t="s">
        <v>7</v>
      </c>
      <c r="C176" s="1" t="n">
        <v>0.0516083203714017</v>
      </c>
    </row>
    <row r="177" customFormat="false" ht="12.8" hidden="false" customHeight="false" outlineLevel="0" collapsed="false">
      <c r="A177" s="40" t="n">
        <v>21</v>
      </c>
      <c r="B177" s="39" t="s">
        <v>7</v>
      </c>
      <c r="C177" s="1" t="n">
        <v>0.0882325177299805</v>
      </c>
    </row>
    <row r="178" customFormat="false" ht="12.8" hidden="false" customHeight="false" outlineLevel="0" collapsed="false">
      <c r="A178" s="40" t="n">
        <v>2</v>
      </c>
      <c r="B178" s="39" t="s">
        <v>4</v>
      </c>
      <c r="C178" s="1" t="n">
        <v>0.0585998661023318</v>
      </c>
    </row>
    <row r="179" customFormat="false" ht="12.8" hidden="false" customHeight="false" outlineLevel="0" collapsed="false">
      <c r="A179" s="40" t="n">
        <v>11</v>
      </c>
      <c r="B179" s="39" t="s">
        <v>4</v>
      </c>
      <c r="C179" s="1" t="n">
        <v>0.0511995188108463</v>
      </c>
    </row>
  </sheetData>
  <autoFilter ref="A3:C153">
    <filterColumn colId="2">
      <customFilters and="true">
        <customFilter operator="greaterThanOrEqual" val="0.05"/>
      </custom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93"/>
  <sheetViews>
    <sheetView showFormulas="false" showGridLines="true" showRowColHeaders="true" showZeros="true" rightToLeft="false" tabSelected="false" showOutlineSymbols="true" defaultGridColor="true" view="normal" topLeftCell="E374" colorId="64" zoomScale="125" zoomScaleNormal="125" zoomScalePageLayoutView="100" workbookViewId="0">
      <selection pane="topLeft" activeCell="J409" activeCellId="0" sqref="J409"/>
    </sheetView>
  </sheetViews>
  <sheetFormatPr defaultColWidth="12.8046875" defaultRowHeight="12.8" customHeight="false" zeroHeight="false" outlineLevelRow="0" outlineLevelCol="0"/>
  <cols>
    <col collapsed="false" customWidth="false" hidden="false" outlineLevel="0" max="2" min="2" style="40" width="12.8"/>
    <col collapsed="false" customWidth="true" hidden="false" outlineLevel="0" max="3" min="3" style="2" width="45.21"/>
    <col collapsed="false" customWidth="true" hidden="false" outlineLevel="0" max="5" min="5" style="1" width="19.78"/>
    <col collapsed="false" customWidth="true" hidden="false" outlineLevel="0" max="8" min="8" style="1" width="40.64"/>
    <col collapsed="false" customWidth="true" hidden="false" outlineLevel="0" max="9" min="9" style="1" width="38.79"/>
    <col collapsed="false" customWidth="true" hidden="false" outlineLevel="0" max="10" min="10" style="1" width="11.87"/>
    <col collapsed="false" customWidth="true" hidden="false" outlineLevel="0" max="12" min="11" style="1" width="19.78"/>
    <col collapsed="false" customWidth="true" hidden="false" outlineLevel="0" max="13" min="13" style="1" width="12"/>
  </cols>
  <sheetData>
    <row r="1" customFormat="false" ht="12.8" hidden="false" customHeight="false" outlineLevel="0" collapsed="false">
      <c r="B1" s="58" t="s">
        <v>44</v>
      </c>
      <c r="C1" s="59" t="s">
        <v>45</v>
      </c>
      <c r="D1" s="37" t="s">
        <v>46</v>
      </c>
      <c r="E1" s="37" t="s">
        <v>47</v>
      </c>
    </row>
    <row r="2" customFormat="false" ht="12.8" hidden="false" customHeight="false" outlineLevel="0" collapsed="false">
      <c r="B2" s="40" t="n">
        <v>0</v>
      </c>
      <c r="C2" s="60" t="s">
        <v>48</v>
      </c>
      <c r="D2" s="1" t="n">
        <v>0.2051</v>
      </c>
      <c r="E2" s="1" t="s">
        <v>49</v>
      </c>
      <c r="H2" s="3" t="s">
        <v>50</v>
      </c>
      <c r="I2" s="4" t="s">
        <v>47</v>
      </c>
      <c r="J2" s="5"/>
      <c r="K2" s="5"/>
      <c r="L2" s="5"/>
      <c r="M2" s="6"/>
    </row>
    <row r="3" customFormat="false" ht="12.8" hidden="false" customHeight="false" outlineLevel="0" collapsed="false">
      <c r="B3" s="40" t="n">
        <v>0</v>
      </c>
      <c r="C3" s="60" t="s">
        <v>51</v>
      </c>
      <c r="D3" s="1" t="n">
        <v>0.1784</v>
      </c>
      <c r="E3" s="1" t="s">
        <v>49</v>
      </c>
      <c r="H3" s="7" t="s">
        <v>44</v>
      </c>
      <c r="I3" s="8" t="s">
        <v>49</v>
      </c>
      <c r="J3" s="9" t="s">
        <v>52</v>
      </c>
      <c r="K3" s="9" t="s">
        <v>53</v>
      </c>
      <c r="L3" s="9" t="s">
        <v>54</v>
      </c>
      <c r="M3" s="10" t="s">
        <v>9</v>
      </c>
    </row>
    <row r="4" customFormat="false" ht="12.8" hidden="false" customHeight="false" outlineLevel="0" collapsed="false">
      <c r="B4" s="40" t="n">
        <v>0</v>
      </c>
      <c r="C4" s="60" t="s">
        <v>55</v>
      </c>
      <c r="D4" s="1" t="n">
        <v>0.1734</v>
      </c>
      <c r="E4" s="1" t="s">
        <v>49</v>
      </c>
      <c r="H4" s="61" t="n">
        <v>0</v>
      </c>
      <c r="I4" s="42" t="n">
        <v>6</v>
      </c>
      <c r="J4" s="43" t="n">
        <v>6</v>
      </c>
      <c r="K4" s="43" t="n">
        <v>6</v>
      </c>
      <c r="L4" s="44" t="n">
        <v>6</v>
      </c>
      <c r="M4" s="45" t="n">
        <v>24</v>
      </c>
    </row>
    <row r="5" customFormat="false" ht="12.8" hidden="false" customHeight="false" outlineLevel="0" collapsed="false">
      <c r="B5" s="40" t="n">
        <v>0</v>
      </c>
      <c r="C5" s="60" t="s">
        <v>56</v>
      </c>
      <c r="D5" s="1" t="n">
        <v>0.1731</v>
      </c>
      <c r="E5" s="1" t="s">
        <v>49</v>
      </c>
      <c r="H5" s="62" t="n">
        <v>2</v>
      </c>
      <c r="I5" s="46" t="n">
        <v>6</v>
      </c>
      <c r="J5" s="47" t="n">
        <v>6</v>
      </c>
      <c r="K5" s="47" t="n">
        <v>6</v>
      </c>
      <c r="L5" s="48" t="n">
        <v>6</v>
      </c>
      <c r="M5" s="49" t="n">
        <v>24</v>
      </c>
    </row>
    <row r="6" customFormat="false" ht="12.8" hidden="false" customHeight="false" outlineLevel="0" collapsed="false">
      <c r="B6" s="40" t="n">
        <v>0</v>
      </c>
      <c r="C6" s="60" t="s">
        <v>57</v>
      </c>
      <c r="D6" s="1" t="n">
        <v>0.17</v>
      </c>
      <c r="E6" s="1" t="s">
        <v>49</v>
      </c>
      <c r="H6" s="62" t="n">
        <v>4</v>
      </c>
      <c r="I6" s="46" t="n">
        <v>6</v>
      </c>
      <c r="J6" s="47" t="n">
        <v>6</v>
      </c>
      <c r="K6" s="47" t="n">
        <v>6</v>
      </c>
      <c r="L6" s="48" t="n">
        <v>6</v>
      </c>
      <c r="M6" s="49" t="n">
        <v>24</v>
      </c>
    </row>
    <row r="7" customFormat="false" ht="12.8" hidden="false" customHeight="false" outlineLevel="0" collapsed="false">
      <c r="B7" s="40" t="n">
        <v>0</v>
      </c>
      <c r="C7" s="60" t="s">
        <v>58</v>
      </c>
      <c r="D7" s="1" t="n">
        <v>0.1</v>
      </c>
      <c r="E7" s="1" t="s">
        <v>49</v>
      </c>
      <c r="H7" s="62" t="n">
        <v>6</v>
      </c>
      <c r="I7" s="46" t="n">
        <v>6</v>
      </c>
      <c r="J7" s="47" t="n">
        <v>6</v>
      </c>
      <c r="K7" s="47" t="n">
        <v>6</v>
      </c>
      <c r="L7" s="48" t="n">
        <v>6</v>
      </c>
      <c r="M7" s="49" t="n">
        <v>24</v>
      </c>
    </row>
    <row r="8" customFormat="false" ht="12.8" hidden="false" customHeight="false" outlineLevel="0" collapsed="false">
      <c r="B8" s="40" t="n">
        <v>2</v>
      </c>
      <c r="C8" s="60" t="s">
        <v>48</v>
      </c>
      <c r="D8" s="1" t="n">
        <v>0.2205</v>
      </c>
      <c r="E8" s="1" t="s">
        <v>49</v>
      </c>
      <c r="H8" s="62" t="n">
        <v>8</v>
      </c>
      <c r="I8" s="46" t="n">
        <v>6</v>
      </c>
      <c r="J8" s="47" t="n">
        <v>6</v>
      </c>
      <c r="K8" s="47" t="n">
        <v>6</v>
      </c>
      <c r="L8" s="48" t="n">
        <v>6</v>
      </c>
      <c r="M8" s="49" t="n">
        <v>24</v>
      </c>
    </row>
    <row r="9" customFormat="false" ht="12.8" hidden="false" customHeight="false" outlineLevel="0" collapsed="false">
      <c r="B9" s="40" t="n">
        <v>2</v>
      </c>
      <c r="C9" s="60" t="s">
        <v>59</v>
      </c>
      <c r="D9" s="1" t="n">
        <v>0.1768</v>
      </c>
      <c r="E9" s="1" t="s">
        <v>49</v>
      </c>
      <c r="H9" s="62" t="n">
        <v>10</v>
      </c>
      <c r="I9" s="46" t="n">
        <v>6</v>
      </c>
      <c r="J9" s="47" t="n">
        <v>6</v>
      </c>
      <c r="K9" s="47" t="n">
        <v>6</v>
      </c>
      <c r="L9" s="48" t="n">
        <v>6</v>
      </c>
      <c r="M9" s="49" t="n">
        <v>24</v>
      </c>
    </row>
    <row r="10" customFormat="false" ht="12.8" hidden="false" customHeight="false" outlineLevel="0" collapsed="false">
      <c r="B10" s="40" t="n">
        <v>2</v>
      </c>
      <c r="C10" s="60" t="s">
        <v>55</v>
      </c>
      <c r="D10" s="1" t="n">
        <v>0.1714</v>
      </c>
      <c r="E10" s="1" t="s">
        <v>49</v>
      </c>
      <c r="H10" s="62" t="n">
        <v>12</v>
      </c>
      <c r="I10" s="46" t="n">
        <v>6</v>
      </c>
      <c r="J10" s="47" t="n">
        <v>6</v>
      </c>
      <c r="K10" s="47" t="n">
        <v>6</v>
      </c>
      <c r="L10" s="48" t="n">
        <v>6</v>
      </c>
      <c r="M10" s="49" t="n">
        <v>24</v>
      </c>
    </row>
    <row r="11" customFormat="false" ht="12.8" hidden="false" customHeight="false" outlineLevel="0" collapsed="false">
      <c r="B11" s="40" t="n">
        <v>2</v>
      </c>
      <c r="C11" s="60" t="s">
        <v>56</v>
      </c>
      <c r="D11" s="1" t="n">
        <v>0.1692</v>
      </c>
      <c r="E11" s="1" t="s">
        <v>49</v>
      </c>
      <c r="H11" s="62" t="n">
        <v>14</v>
      </c>
      <c r="I11" s="46" t="n">
        <v>6</v>
      </c>
      <c r="J11" s="47" t="n">
        <v>6</v>
      </c>
      <c r="K11" s="47" t="n">
        <v>6</v>
      </c>
      <c r="L11" s="48" t="n">
        <v>6</v>
      </c>
      <c r="M11" s="49" t="n">
        <v>24</v>
      </c>
    </row>
    <row r="12" customFormat="false" ht="12.8" hidden="false" customHeight="false" outlineLevel="0" collapsed="false">
      <c r="B12" s="40" t="n">
        <v>2</v>
      </c>
      <c r="C12" s="60" t="s">
        <v>57</v>
      </c>
      <c r="D12" s="1" t="n">
        <v>0.1621</v>
      </c>
      <c r="E12" s="1" t="s">
        <v>49</v>
      </c>
      <c r="H12" s="62" t="n">
        <v>16</v>
      </c>
      <c r="I12" s="46" t="n">
        <v>6</v>
      </c>
      <c r="J12" s="47" t="n">
        <v>6</v>
      </c>
      <c r="K12" s="47" t="n">
        <v>6</v>
      </c>
      <c r="L12" s="48" t="n">
        <v>6</v>
      </c>
      <c r="M12" s="49" t="n">
        <v>24</v>
      </c>
    </row>
    <row r="13" customFormat="false" ht="12.8" hidden="false" customHeight="false" outlineLevel="0" collapsed="false">
      <c r="B13" s="40" t="n">
        <v>2</v>
      </c>
      <c r="C13" s="60" t="s">
        <v>58</v>
      </c>
      <c r="D13" s="1" t="n">
        <v>0.1</v>
      </c>
      <c r="E13" s="1" t="s">
        <v>49</v>
      </c>
      <c r="H13" s="62" t="n">
        <v>18</v>
      </c>
      <c r="I13" s="46" t="n">
        <v>6</v>
      </c>
      <c r="J13" s="47" t="n">
        <v>6</v>
      </c>
      <c r="K13" s="47" t="n">
        <v>6</v>
      </c>
      <c r="L13" s="48" t="n">
        <v>6</v>
      </c>
      <c r="M13" s="49" t="n">
        <v>24</v>
      </c>
    </row>
    <row r="14" customFormat="false" ht="12.8" hidden="false" customHeight="false" outlineLevel="0" collapsed="false">
      <c r="B14" s="40" t="n">
        <v>4</v>
      </c>
      <c r="C14" s="60" t="s">
        <v>48</v>
      </c>
      <c r="D14" s="1" t="n">
        <v>0.1959</v>
      </c>
      <c r="E14" s="1" t="s">
        <v>49</v>
      </c>
      <c r="H14" s="62" t="n">
        <v>20</v>
      </c>
      <c r="I14" s="46" t="n">
        <v>6</v>
      </c>
      <c r="J14" s="47" t="n">
        <v>6</v>
      </c>
      <c r="K14" s="47" t="n">
        <v>6</v>
      </c>
      <c r="L14" s="48" t="n">
        <v>6</v>
      </c>
      <c r="M14" s="49" t="n">
        <v>24</v>
      </c>
    </row>
    <row r="15" customFormat="false" ht="12.8" hidden="false" customHeight="false" outlineLevel="0" collapsed="false">
      <c r="B15" s="40" t="n">
        <v>4</v>
      </c>
      <c r="C15" s="60" t="s">
        <v>51</v>
      </c>
      <c r="D15" s="1" t="n">
        <v>0.1859</v>
      </c>
      <c r="E15" s="1" t="s">
        <v>49</v>
      </c>
      <c r="H15" s="62" t="n">
        <v>22</v>
      </c>
      <c r="I15" s="46" t="n">
        <v>6</v>
      </c>
      <c r="J15" s="47" t="n">
        <v>6</v>
      </c>
      <c r="K15" s="47" t="n">
        <v>6</v>
      </c>
      <c r="L15" s="48" t="n">
        <v>6</v>
      </c>
      <c r="M15" s="49" t="n">
        <v>24</v>
      </c>
    </row>
    <row r="16" customFormat="false" ht="12.8" hidden="false" customHeight="false" outlineLevel="0" collapsed="false">
      <c r="B16" s="40" t="n">
        <v>4</v>
      </c>
      <c r="C16" s="60" t="s">
        <v>59</v>
      </c>
      <c r="D16" s="1" t="n">
        <v>0.1794</v>
      </c>
      <c r="E16" s="1" t="s">
        <v>49</v>
      </c>
      <c r="H16" s="62" t="n">
        <v>24</v>
      </c>
      <c r="I16" s="46" t="n">
        <v>6</v>
      </c>
      <c r="J16" s="47" t="n">
        <v>6</v>
      </c>
      <c r="K16" s="47" t="n">
        <v>6</v>
      </c>
      <c r="L16" s="48" t="n">
        <v>6</v>
      </c>
      <c r="M16" s="49" t="n">
        <v>24</v>
      </c>
    </row>
    <row r="17" customFormat="false" ht="12.8" hidden="false" customHeight="false" outlineLevel="0" collapsed="false">
      <c r="B17" s="40" t="n">
        <v>4</v>
      </c>
      <c r="C17" s="60" t="s">
        <v>55</v>
      </c>
      <c r="D17" s="1" t="n">
        <v>0.1785</v>
      </c>
      <c r="E17" s="1" t="s">
        <v>49</v>
      </c>
      <c r="H17" s="62" t="n">
        <v>26</v>
      </c>
      <c r="I17" s="46" t="n">
        <v>6</v>
      </c>
      <c r="J17" s="47" t="n">
        <v>4</v>
      </c>
      <c r="K17" s="47" t="n">
        <v>6</v>
      </c>
      <c r="L17" s="48" t="n">
        <v>6</v>
      </c>
      <c r="M17" s="49" t="n">
        <v>22</v>
      </c>
    </row>
    <row r="18" customFormat="false" ht="12.8" hidden="false" customHeight="false" outlineLevel="0" collapsed="false">
      <c r="B18" s="40" t="n">
        <v>4</v>
      </c>
      <c r="C18" s="60" t="s">
        <v>57</v>
      </c>
      <c r="D18" s="1" t="n">
        <v>0.1603</v>
      </c>
      <c r="E18" s="1" t="s">
        <v>49</v>
      </c>
      <c r="H18" s="62" t="n">
        <v>28</v>
      </c>
      <c r="I18" s="46" t="n">
        <v>6</v>
      </c>
      <c r="J18" s="47" t="n">
        <v>6</v>
      </c>
      <c r="K18" s="47" t="n">
        <v>6</v>
      </c>
      <c r="L18" s="48" t="n">
        <v>6</v>
      </c>
      <c r="M18" s="49" t="n">
        <v>24</v>
      </c>
    </row>
    <row r="19" customFormat="false" ht="12.8" hidden="false" customHeight="false" outlineLevel="0" collapsed="false">
      <c r="B19" s="40" t="n">
        <v>4</v>
      </c>
      <c r="C19" s="60" t="s">
        <v>58</v>
      </c>
      <c r="D19" s="1" t="n">
        <v>0.1</v>
      </c>
      <c r="E19" s="1" t="s">
        <v>49</v>
      </c>
      <c r="H19" s="62" t="n">
        <v>30</v>
      </c>
      <c r="I19" s="46" t="n">
        <v>6</v>
      </c>
      <c r="J19" s="47" t="n">
        <v>6</v>
      </c>
      <c r="K19" s="47" t="n">
        <v>6</v>
      </c>
      <c r="L19" s="48" t="n">
        <v>6</v>
      </c>
      <c r="M19" s="49" t="n">
        <v>24</v>
      </c>
    </row>
    <row r="20" customFormat="false" ht="12.8" hidden="false" customHeight="false" outlineLevel="0" collapsed="false">
      <c r="B20" s="40" t="n">
        <v>6</v>
      </c>
      <c r="C20" s="60" t="s">
        <v>48</v>
      </c>
      <c r="D20" s="1" t="n">
        <v>0.1934</v>
      </c>
      <c r="E20" s="1" t="s">
        <v>49</v>
      </c>
      <c r="H20" s="62" t="n">
        <v>32</v>
      </c>
      <c r="I20" s="46" t="n">
        <v>6</v>
      </c>
      <c r="J20" s="47" t="n">
        <v>4</v>
      </c>
      <c r="K20" s="47" t="n">
        <v>6</v>
      </c>
      <c r="L20" s="48" t="n">
        <v>6</v>
      </c>
      <c r="M20" s="49" t="n">
        <v>22</v>
      </c>
    </row>
    <row r="21" customFormat="false" ht="12.8" hidden="false" customHeight="false" outlineLevel="0" collapsed="false">
      <c r="B21" s="40" t="n">
        <v>6</v>
      </c>
      <c r="C21" s="60" t="s">
        <v>51</v>
      </c>
      <c r="D21" s="1" t="n">
        <v>0.189</v>
      </c>
      <c r="E21" s="1" t="s">
        <v>49</v>
      </c>
      <c r="H21" s="62" t="n">
        <v>34</v>
      </c>
      <c r="I21" s="46" t="n">
        <v>6</v>
      </c>
      <c r="J21" s="47" t="n">
        <v>6</v>
      </c>
      <c r="K21" s="47" t="n">
        <v>6</v>
      </c>
      <c r="L21" s="48" t="n">
        <v>6</v>
      </c>
      <c r="M21" s="49" t="n">
        <v>24</v>
      </c>
    </row>
    <row r="22" customFormat="false" ht="12.8" hidden="false" customHeight="false" outlineLevel="0" collapsed="false">
      <c r="B22" s="40" t="n">
        <v>6</v>
      </c>
      <c r="C22" s="60" t="s">
        <v>55</v>
      </c>
      <c r="D22" s="1" t="n">
        <v>0.1805</v>
      </c>
      <c r="E22" s="1" t="s">
        <v>49</v>
      </c>
      <c r="H22" s="62" t="n">
        <v>36</v>
      </c>
      <c r="I22" s="46" t="n">
        <v>6</v>
      </c>
      <c r="J22" s="47" t="n">
        <v>6</v>
      </c>
      <c r="K22" s="47" t="n">
        <v>6</v>
      </c>
      <c r="L22" s="48" t="n">
        <v>6</v>
      </c>
      <c r="M22" s="49" t="n">
        <v>24</v>
      </c>
    </row>
    <row r="23" customFormat="false" ht="12.8" hidden="false" customHeight="false" outlineLevel="0" collapsed="false">
      <c r="B23" s="40" t="n">
        <v>6</v>
      </c>
      <c r="C23" s="60" t="s">
        <v>57</v>
      </c>
      <c r="D23" s="1" t="n">
        <v>0.1707</v>
      </c>
      <c r="E23" s="1" t="s">
        <v>49</v>
      </c>
      <c r="H23" s="62" t="n">
        <v>38</v>
      </c>
      <c r="I23" s="46" t="n">
        <v>6</v>
      </c>
      <c r="J23" s="47" t="n">
        <v>6</v>
      </c>
      <c r="K23" s="47" t="n">
        <v>6</v>
      </c>
      <c r="L23" s="48" t="n">
        <v>6</v>
      </c>
      <c r="M23" s="49" t="n">
        <v>24</v>
      </c>
    </row>
    <row r="24" customFormat="false" ht="12.8" hidden="false" customHeight="false" outlineLevel="0" collapsed="false">
      <c r="B24" s="40" t="n">
        <v>6</v>
      </c>
      <c r="C24" s="60" t="s">
        <v>59</v>
      </c>
      <c r="D24" s="1" t="n">
        <v>0.1664</v>
      </c>
      <c r="E24" s="1" t="s">
        <v>49</v>
      </c>
      <c r="H24" s="62" t="n">
        <v>40</v>
      </c>
      <c r="I24" s="46" t="n">
        <v>6</v>
      </c>
      <c r="J24" s="47" t="n">
        <v>6</v>
      </c>
      <c r="K24" s="47" t="n">
        <v>4</v>
      </c>
      <c r="L24" s="48" t="n">
        <v>6</v>
      </c>
      <c r="M24" s="49" t="n">
        <v>22</v>
      </c>
    </row>
    <row r="25" customFormat="false" ht="12.8" hidden="false" customHeight="false" outlineLevel="0" collapsed="false">
      <c r="B25" s="40" t="n">
        <v>6</v>
      </c>
      <c r="C25" s="60" t="s">
        <v>58</v>
      </c>
      <c r="D25" s="1" t="n">
        <v>0.1</v>
      </c>
      <c r="E25" s="1" t="s">
        <v>49</v>
      </c>
      <c r="H25" s="62" t="n">
        <v>42</v>
      </c>
      <c r="I25" s="46" t="n">
        <v>6</v>
      </c>
      <c r="J25" s="47" t="n">
        <v>6</v>
      </c>
      <c r="K25" s="47" t="n">
        <v>6</v>
      </c>
      <c r="L25" s="48" t="n">
        <v>6</v>
      </c>
      <c r="M25" s="49" t="n">
        <v>24</v>
      </c>
    </row>
    <row r="26" customFormat="false" ht="12.8" hidden="false" customHeight="false" outlineLevel="0" collapsed="false">
      <c r="B26" s="40" t="n">
        <v>8</v>
      </c>
      <c r="C26" s="60" t="s">
        <v>48</v>
      </c>
      <c r="D26" s="1" t="n">
        <v>0.2338</v>
      </c>
      <c r="E26" s="1" t="s">
        <v>49</v>
      </c>
      <c r="H26" s="62" t="n">
        <v>44</v>
      </c>
      <c r="I26" s="46" t="n">
        <v>6</v>
      </c>
      <c r="J26" s="47" t="n">
        <v>6</v>
      </c>
      <c r="K26" s="47" t="n">
        <v>6</v>
      </c>
      <c r="L26" s="48" t="n">
        <v>6</v>
      </c>
      <c r="M26" s="49" t="n">
        <v>24</v>
      </c>
    </row>
    <row r="27" customFormat="false" ht="12.8" hidden="false" customHeight="false" outlineLevel="0" collapsed="false">
      <c r="B27" s="40" t="n">
        <v>8</v>
      </c>
      <c r="C27" s="60" t="s">
        <v>57</v>
      </c>
      <c r="D27" s="1" t="n">
        <v>0.1725</v>
      </c>
      <c r="E27" s="1" t="s">
        <v>49</v>
      </c>
      <c r="H27" s="62" t="n">
        <v>46</v>
      </c>
      <c r="I27" s="46" t="n">
        <v>6</v>
      </c>
      <c r="J27" s="47" t="n">
        <v>5</v>
      </c>
      <c r="K27" s="47" t="n">
        <v>5</v>
      </c>
      <c r="L27" s="48" t="n">
        <v>6</v>
      </c>
      <c r="M27" s="49" t="n">
        <v>22</v>
      </c>
    </row>
    <row r="28" customFormat="false" ht="12.8" hidden="false" customHeight="false" outlineLevel="0" collapsed="false">
      <c r="B28" s="40" t="n">
        <v>8</v>
      </c>
      <c r="C28" s="60" t="s">
        <v>56</v>
      </c>
      <c r="D28" s="1" t="n">
        <v>0.1666</v>
      </c>
      <c r="E28" s="1" t="s">
        <v>49</v>
      </c>
      <c r="H28" s="62" t="n">
        <v>48</v>
      </c>
      <c r="I28" s="50" t="n">
        <v>6</v>
      </c>
      <c r="J28" s="51" t="n">
        <v>6</v>
      </c>
      <c r="K28" s="51" t="n">
        <v>6</v>
      </c>
      <c r="L28" s="52" t="n">
        <v>6</v>
      </c>
      <c r="M28" s="53" t="n">
        <v>24</v>
      </c>
    </row>
    <row r="29" customFormat="false" ht="12.8" hidden="false" customHeight="false" outlineLevel="0" collapsed="false">
      <c r="B29" s="40" t="n">
        <v>8</v>
      </c>
      <c r="C29" s="60" t="s">
        <v>55</v>
      </c>
      <c r="D29" s="1" t="n">
        <v>0.1646</v>
      </c>
      <c r="E29" s="1" t="s">
        <v>49</v>
      </c>
      <c r="H29" s="63" t="s">
        <v>9</v>
      </c>
      <c r="I29" s="54" t="n">
        <v>150</v>
      </c>
      <c r="J29" s="55" t="n">
        <v>145</v>
      </c>
      <c r="K29" s="55" t="n">
        <v>147</v>
      </c>
      <c r="L29" s="56" t="n">
        <v>150</v>
      </c>
      <c r="M29" s="57" t="n">
        <v>592</v>
      </c>
    </row>
    <row r="30" customFormat="false" ht="12.8" hidden="false" customHeight="false" outlineLevel="0" collapsed="false">
      <c r="B30" s="40" t="n">
        <v>8</v>
      </c>
      <c r="C30" s="60" t="s">
        <v>60</v>
      </c>
      <c r="D30" s="1" t="n">
        <v>0.1626</v>
      </c>
      <c r="E30" s="1" t="s">
        <v>49</v>
      </c>
    </row>
    <row r="31" customFormat="false" ht="12.8" hidden="false" customHeight="false" outlineLevel="0" collapsed="false">
      <c r="B31" s="40" t="n">
        <v>8</v>
      </c>
      <c r="C31" s="60" t="s">
        <v>58</v>
      </c>
      <c r="D31" s="1" t="n">
        <v>0.1</v>
      </c>
      <c r="E31" s="1" t="s">
        <v>49</v>
      </c>
    </row>
    <row r="32" customFormat="false" ht="12.8" hidden="false" customHeight="false" outlineLevel="0" collapsed="false">
      <c r="B32" s="40" t="n">
        <v>10</v>
      </c>
      <c r="C32" s="60" t="s">
        <v>48</v>
      </c>
      <c r="D32" s="1" t="n">
        <v>0.2116</v>
      </c>
      <c r="E32" s="1" t="s">
        <v>49</v>
      </c>
      <c r="H32" s="64" t="s">
        <v>61</v>
      </c>
      <c r="I32" s="65"/>
      <c r="J32" s="4" t="s">
        <v>47</v>
      </c>
      <c r="K32" s="5"/>
      <c r="L32" s="5"/>
      <c r="M32" s="5"/>
      <c r="N32" s="6"/>
    </row>
    <row r="33" customFormat="false" ht="12.8" hidden="false" customHeight="false" outlineLevel="0" collapsed="false">
      <c r="B33" s="40" t="n">
        <v>10</v>
      </c>
      <c r="C33" s="60" t="s">
        <v>55</v>
      </c>
      <c r="D33" s="1" t="n">
        <v>0.1821</v>
      </c>
      <c r="E33" s="1" t="s">
        <v>49</v>
      </c>
      <c r="H33" s="7" t="s">
        <v>44</v>
      </c>
      <c r="I33" s="66" t="s">
        <v>45</v>
      </c>
      <c r="J33" s="8" t="s">
        <v>49</v>
      </c>
      <c r="K33" s="9" t="s">
        <v>52</v>
      </c>
      <c r="L33" s="9" t="s">
        <v>53</v>
      </c>
      <c r="M33" s="9" t="s">
        <v>54</v>
      </c>
      <c r="N33" s="10" t="s">
        <v>9</v>
      </c>
    </row>
    <row r="34" customFormat="false" ht="12.8" hidden="false" customHeight="false" outlineLevel="0" collapsed="false">
      <c r="B34" s="40" t="n">
        <v>10</v>
      </c>
      <c r="C34" s="60" t="s">
        <v>56</v>
      </c>
      <c r="D34" s="1" t="n">
        <v>0.1751</v>
      </c>
      <c r="E34" s="1" t="s">
        <v>49</v>
      </c>
      <c r="H34" s="61" t="n">
        <v>0</v>
      </c>
      <c r="I34" s="67" t="s">
        <v>59</v>
      </c>
      <c r="J34" s="42"/>
      <c r="K34" s="43"/>
      <c r="L34" s="13" t="n">
        <v>0.1596</v>
      </c>
      <c r="M34" s="44"/>
      <c r="N34" s="15" t="n">
        <v>0.1596</v>
      </c>
    </row>
    <row r="35" customFormat="false" ht="12.8" hidden="false" customHeight="false" outlineLevel="0" collapsed="false">
      <c r="B35" s="40" t="n">
        <v>10</v>
      </c>
      <c r="C35" s="60" t="s">
        <v>59</v>
      </c>
      <c r="D35" s="1" t="n">
        <v>0.1661</v>
      </c>
      <c r="E35" s="1" t="s">
        <v>49</v>
      </c>
      <c r="H35" s="62"/>
      <c r="I35" s="68" t="s">
        <v>51</v>
      </c>
      <c r="J35" s="17" t="n">
        <v>0.1784</v>
      </c>
      <c r="K35" s="18" t="n">
        <v>0.192</v>
      </c>
      <c r="L35" s="18" t="n">
        <v>0.1924</v>
      </c>
      <c r="M35" s="19" t="n">
        <v>0.1622</v>
      </c>
      <c r="N35" s="20" t="n">
        <v>0.725</v>
      </c>
    </row>
    <row r="36" customFormat="false" ht="12.8" hidden="false" customHeight="false" outlineLevel="0" collapsed="false">
      <c r="B36" s="40" t="n">
        <v>10</v>
      </c>
      <c r="C36" s="60" t="s">
        <v>62</v>
      </c>
      <c r="D36" s="1" t="n">
        <v>0.1651</v>
      </c>
      <c r="E36" s="1" t="s">
        <v>49</v>
      </c>
      <c r="H36" s="62"/>
      <c r="I36" s="68" t="s">
        <v>57</v>
      </c>
      <c r="J36" s="17" t="n">
        <v>0.17</v>
      </c>
      <c r="K36" s="18" t="n">
        <v>0.1713</v>
      </c>
      <c r="L36" s="18" t="n">
        <v>0.1764</v>
      </c>
      <c r="M36" s="19" t="n">
        <v>0.1783</v>
      </c>
      <c r="N36" s="20" t="n">
        <v>0.696</v>
      </c>
    </row>
    <row r="37" customFormat="false" ht="12.8" hidden="false" customHeight="false" outlineLevel="0" collapsed="false">
      <c r="B37" s="40" t="n">
        <v>10</v>
      </c>
      <c r="C37" s="60" t="s">
        <v>58</v>
      </c>
      <c r="D37" s="1" t="n">
        <v>0.1</v>
      </c>
      <c r="E37" s="1" t="s">
        <v>49</v>
      </c>
      <c r="H37" s="62"/>
      <c r="I37" s="68" t="s">
        <v>56</v>
      </c>
      <c r="J37" s="17" t="n">
        <v>0.1731</v>
      </c>
      <c r="K37" s="18" t="n">
        <v>0.176</v>
      </c>
      <c r="L37" s="18" t="n">
        <v>0.172</v>
      </c>
      <c r="M37" s="19" t="n">
        <v>0.191</v>
      </c>
      <c r="N37" s="20" t="n">
        <v>0.7121</v>
      </c>
    </row>
    <row r="38" customFormat="false" ht="12.8" hidden="false" customHeight="false" outlineLevel="0" collapsed="false">
      <c r="B38" s="40" t="n">
        <v>12</v>
      </c>
      <c r="C38" s="60" t="s">
        <v>48</v>
      </c>
      <c r="D38" s="1" t="n">
        <v>0.2297</v>
      </c>
      <c r="E38" s="1" t="s">
        <v>49</v>
      </c>
      <c r="H38" s="62"/>
      <c r="I38" s="68" t="s">
        <v>62</v>
      </c>
      <c r="J38" s="46"/>
      <c r="K38" s="18" t="n">
        <v>0.1582</v>
      </c>
      <c r="L38" s="47"/>
      <c r="M38" s="19" t="n">
        <v>0.1553</v>
      </c>
      <c r="N38" s="20" t="n">
        <v>0.3135</v>
      </c>
    </row>
    <row r="39" customFormat="false" ht="12.8" hidden="false" customHeight="false" outlineLevel="0" collapsed="false">
      <c r="B39" s="40" t="n">
        <v>12</v>
      </c>
      <c r="C39" s="60" t="s">
        <v>55</v>
      </c>
      <c r="D39" s="1" t="n">
        <v>0.1882</v>
      </c>
      <c r="E39" s="1" t="s">
        <v>49</v>
      </c>
      <c r="H39" s="62"/>
      <c r="I39" s="68" t="s">
        <v>48</v>
      </c>
      <c r="J39" s="17" t="n">
        <v>0.2051</v>
      </c>
      <c r="K39" s="18" t="n">
        <v>0.2025</v>
      </c>
      <c r="L39" s="18" t="n">
        <v>0.1996</v>
      </c>
      <c r="M39" s="19" t="n">
        <v>0.2132</v>
      </c>
      <c r="N39" s="20" t="n">
        <v>0.8204</v>
      </c>
    </row>
    <row r="40" customFormat="false" ht="12.8" hidden="false" customHeight="false" outlineLevel="0" collapsed="false">
      <c r="B40" s="40" t="n">
        <v>12</v>
      </c>
      <c r="C40" s="60" t="s">
        <v>60</v>
      </c>
      <c r="D40" s="1" t="n">
        <v>0.164</v>
      </c>
      <c r="E40" s="1" t="s">
        <v>49</v>
      </c>
      <c r="H40" s="62"/>
      <c r="I40" s="68" t="s">
        <v>55</v>
      </c>
      <c r="J40" s="17" t="n">
        <v>0.1734</v>
      </c>
      <c r="K40" s="47"/>
      <c r="L40" s="47"/>
      <c r="M40" s="48"/>
      <c r="N40" s="20" t="n">
        <v>0.1734</v>
      </c>
    </row>
    <row r="41" customFormat="false" ht="12.8" hidden="false" customHeight="false" outlineLevel="0" collapsed="false">
      <c r="B41" s="40" t="n">
        <v>12</v>
      </c>
      <c r="C41" s="60" t="s">
        <v>56</v>
      </c>
      <c r="D41" s="1" t="n">
        <v>0.1602</v>
      </c>
      <c r="E41" s="1" t="s">
        <v>49</v>
      </c>
      <c r="H41" s="69"/>
      <c r="I41" s="70" t="s">
        <v>58</v>
      </c>
      <c r="J41" s="21" t="n">
        <v>0.1</v>
      </c>
      <c r="K41" s="22" t="n">
        <v>0.1</v>
      </c>
      <c r="L41" s="22" t="n">
        <v>0.1</v>
      </c>
      <c r="M41" s="23" t="n">
        <v>0.1</v>
      </c>
      <c r="N41" s="24" t="n">
        <v>0.4</v>
      </c>
    </row>
    <row r="42" customFormat="false" ht="12.8" hidden="false" customHeight="false" outlineLevel="0" collapsed="false">
      <c r="B42" s="40" t="n">
        <v>12</v>
      </c>
      <c r="C42" s="60" t="s">
        <v>57</v>
      </c>
      <c r="D42" s="1" t="n">
        <v>0.1579</v>
      </c>
      <c r="E42" s="1" t="s">
        <v>49</v>
      </c>
      <c r="H42" s="61" t="n">
        <v>2</v>
      </c>
      <c r="I42" s="67" t="s">
        <v>59</v>
      </c>
      <c r="J42" s="13" t="n">
        <v>0.1768</v>
      </c>
      <c r="K42" s="13" t="n">
        <v>0.1658</v>
      </c>
      <c r="L42" s="13" t="n">
        <v>0.1775</v>
      </c>
      <c r="M42" s="13" t="n">
        <v>0.165</v>
      </c>
      <c r="N42" s="15" t="n">
        <v>0.6851</v>
      </c>
    </row>
    <row r="43" customFormat="false" ht="12.8" hidden="false" customHeight="false" outlineLevel="0" collapsed="false">
      <c r="B43" s="40" t="n">
        <v>12</v>
      </c>
      <c r="C43" s="60" t="s">
        <v>58</v>
      </c>
      <c r="D43" s="1" t="n">
        <v>0.1</v>
      </c>
      <c r="E43" s="1" t="s">
        <v>49</v>
      </c>
      <c r="H43" s="62"/>
      <c r="I43" s="68" t="s">
        <v>51</v>
      </c>
      <c r="J43" s="47"/>
      <c r="K43" s="18" t="n">
        <v>0.1822</v>
      </c>
      <c r="L43" s="18" t="n">
        <v>0.1824</v>
      </c>
      <c r="M43" s="47"/>
      <c r="N43" s="20" t="n">
        <v>0.3646</v>
      </c>
    </row>
    <row r="44" customFormat="false" ht="12.8" hidden="false" customHeight="false" outlineLevel="0" collapsed="false">
      <c r="B44" s="40" t="n">
        <v>14</v>
      </c>
      <c r="C44" s="60" t="s">
        <v>48</v>
      </c>
      <c r="D44" s="1" t="n">
        <v>0.2059</v>
      </c>
      <c r="E44" s="1" t="s">
        <v>49</v>
      </c>
      <c r="H44" s="62"/>
      <c r="I44" s="68" t="s">
        <v>57</v>
      </c>
      <c r="J44" s="18" t="n">
        <v>0.1621</v>
      </c>
      <c r="K44" s="18" t="n">
        <v>0.1663</v>
      </c>
      <c r="L44" s="18" t="n">
        <v>0.1678</v>
      </c>
      <c r="M44" s="18" t="n">
        <v>0.1767</v>
      </c>
      <c r="N44" s="20" t="n">
        <v>0.6729</v>
      </c>
    </row>
    <row r="45" customFormat="false" ht="12.8" hidden="false" customHeight="false" outlineLevel="0" collapsed="false">
      <c r="B45" s="40" t="n">
        <v>14</v>
      </c>
      <c r="C45" s="60" t="s">
        <v>55</v>
      </c>
      <c r="D45" s="1" t="n">
        <v>0.1897</v>
      </c>
      <c r="E45" s="1" t="s">
        <v>49</v>
      </c>
      <c r="H45" s="62"/>
      <c r="I45" s="68" t="s">
        <v>56</v>
      </c>
      <c r="J45" s="18" t="n">
        <v>0.1692</v>
      </c>
      <c r="K45" s="47"/>
      <c r="L45" s="18" t="n">
        <v>0.1632</v>
      </c>
      <c r="M45" s="18" t="n">
        <v>0.1772</v>
      </c>
      <c r="N45" s="20" t="n">
        <v>0.5096</v>
      </c>
    </row>
    <row r="46" customFormat="false" ht="12.8" hidden="false" customHeight="false" outlineLevel="0" collapsed="false">
      <c r="B46" s="40" t="n">
        <v>14</v>
      </c>
      <c r="C46" s="60" t="s">
        <v>62</v>
      </c>
      <c r="D46" s="1" t="n">
        <v>0.1709</v>
      </c>
      <c r="E46" s="1" t="s">
        <v>49</v>
      </c>
      <c r="H46" s="62"/>
      <c r="I46" s="68" t="s">
        <v>62</v>
      </c>
      <c r="J46" s="47"/>
      <c r="K46" s="18" t="n">
        <v>0.1713</v>
      </c>
      <c r="L46" s="47"/>
      <c r="M46" s="18" t="n">
        <v>0.1647</v>
      </c>
      <c r="N46" s="20" t="n">
        <v>0.336</v>
      </c>
    </row>
    <row r="47" customFormat="false" ht="12.8" hidden="false" customHeight="false" outlineLevel="0" collapsed="false">
      <c r="B47" s="40" t="n">
        <v>14</v>
      </c>
      <c r="C47" s="60" t="s">
        <v>57</v>
      </c>
      <c r="D47" s="1" t="n">
        <v>0.1688</v>
      </c>
      <c r="E47" s="1" t="s">
        <v>49</v>
      </c>
      <c r="H47" s="62"/>
      <c r="I47" s="68" t="s">
        <v>48</v>
      </c>
      <c r="J47" s="18" t="n">
        <v>0.2205</v>
      </c>
      <c r="K47" s="18" t="n">
        <v>0.2144</v>
      </c>
      <c r="L47" s="18" t="n">
        <v>0.2092</v>
      </c>
      <c r="M47" s="18" t="n">
        <v>0.2164</v>
      </c>
      <c r="N47" s="20" t="n">
        <v>0.8605</v>
      </c>
    </row>
    <row r="48" customFormat="false" ht="12.8" hidden="false" customHeight="false" outlineLevel="0" collapsed="false">
      <c r="B48" s="40" t="n">
        <v>14</v>
      </c>
      <c r="C48" s="60" t="s">
        <v>60</v>
      </c>
      <c r="D48" s="1" t="n">
        <v>0.1647</v>
      </c>
      <c r="E48" s="1" t="s">
        <v>49</v>
      </c>
      <c r="H48" s="62"/>
      <c r="I48" s="68" t="s">
        <v>55</v>
      </c>
      <c r="J48" s="18" t="n">
        <v>0.1714</v>
      </c>
      <c r="K48" s="47"/>
      <c r="L48" s="47"/>
      <c r="M48" s="47"/>
      <c r="N48" s="20" t="n">
        <v>0.1714</v>
      </c>
    </row>
    <row r="49" customFormat="false" ht="12.8" hidden="false" customHeight="false" outlineLevel="0" collapsed="false">
      <c r="B49" s="40" t="n">
        <v>14</v>
      </c>
      <c r="C49" s="60" t="s">
        <v>58</v>
      </c>
      <c r="D49" s="1" t="n">
        <v>0.1</v>
      </c>
      <c r="E49" s="1" t="s">
        <v>49</v>
      </c>
      <c r="H49" s="69"/>
      <c r="I49" s="70" t="s">
        <v>58</v>
      </c>
      <c r="J49" s="22" t="n">
        <v>0.1</v>
      </c>
      <c r="K49" s="22" t="n">
        <v>0.1</v>
      </c>
      <c r="L49" s="22" t="n">
        <v>0.1</v>
      </c>
      <c r="M49" s="22" t="n">
        <v>0.1</v>
      </c>
      <c r="N49" s="24" t="n">
        <v>0.4</v>
      </c>
    </row>
    <row r="50" customFormat="false" ht="12.8" hidden="false" customHeight="false" outlineLevel="0" collapsed="false">
      <c r="B50" s="40" t="n">
        <v>16</v>
      </c>
      <c r="C50" s="60" t="s">
        <v>48</v>
      </c>
      <c r="D50" s="1" t="n">
        <v>0.1926</v>
      </c>
      <c r="E50" s="1" t="s">
        <v>49</v>
      </c>
      <c r="H50" s="61" t="n">
        <v>4</v>
      </c>
      <c r="I50" s="67" t="s">
        <v>59</v>
      </c>
      <c r="J50" s="12" t="n">
        <v>0.1794</v>
      </c>
      <c r="K50" s="13" t="n">
        <v>0.1693</v>
      </c>
      <c r="L50" s="13" t="n">
        <v>0.1774</v>
      </c>
      <c r="M50" s="14" t="n">
        <v>0.1705</v>
      </c>
      <c r="N50" s="15" t="n">
        <v>0.6966</v>
      </c>
    </row>
    <row r="51" customFormat="false" ht="12.8" hidden="false" customHeight="false" outlineLevel="0" collapsed="false">
      <c r="B51" s="40" t="n">
        <v>16</v>
      </c>
      <c r="C51" s="60" t="s">
        <v>55</v>
      </c>
      <c r="D51" s="1" t="n">
        <v>0.188</v>
      </c>
      <c r="E51" s="1" t="s">
        <v>49</v>
      </c>
      <c r="H51" s="62"/>
      <c r="I51" s="68" t="s">
        <v>51</v>
      </c>
      <c r="J51" s="17" t="n">
        <v>0.1859</v>
      </c>
      <c r="K51" s="18" t="n">
        <v>0.2066</v>
      </c>
      <c r="L51" s="18" t="n">
        <v>0.1706</v>
      </c>
      <c r="M51" s="48"/>
      <c r="N51" s="20" t="n">
        <v>0.5631</v>
      </c>
    </row>
    <row r="52" customFormat="false" ht="12.8" hidden="false" customHeight="false" outlineLevel="0" collapsed="false">
      <c r="B52" s="40" t="n">
        <v>16</v>
      </c>
      <c r="C52" s="60" t="s">
        <v>59</v>
      </c>
      <c r="D52" s="1" t="n">
        <v>0.1788</v>
      </c>
      <c r="E52" s="1" t="s">
        <v>49</v>
      </c>
      <c r="H52" s="62"/>
      <c r="I52" s="68" t="s">
        <v>57</v>
      </c>
      <c r="J52" s="17" t="n">
        <v>0.1603</v>
      </c>
      <c r="K52" s="18" t="n">
        <v>0.1594</v>
      </c>
      <c r="L52" s="18" t="n">
        <v>0.1743</v>
      </c>
      <c r="M52" s="19" t="n">
        <v>0.1736</v>
      </c>
      <c r="N52" s="20" t="n">
        <v>0.6676</v>
      </c>
    </row>
    <row r="53" customFormat="false" ht="12.8" hidden="false" customHeight="false" outlineLevel="0" collapsed="false">
      <c r="B53" s="40" t="n">
        <v>16</v>
      </c>
      <c r="C53" s="60" t="s">
        <v>51</v>
      </c>
      <c r="D53" s="1" t="n">
        <v>0.1706</v>
      </c>
      <c r="E53" s="1" t="s">
        <v>49</v>
      </c>
      <c r="H53" s="62"/>
      <c r="I53" s="68" t="s">
        <v>56</v>
      </c>
      <c r="J53" s="46"/>
      <c r="K53" s="47"/>
      <c r="L53" s="47"/>
      <c r="M53" s="19" t="n">
        <v>0.1579</v>
      </c>
      <c r="N53" s="20" t="n">
        <v>0.1579</v>
      </c>
    </row>
    <row r="54" customFormat="false" ht="12.8" hidden="false" customHeight="false" outlineLevel="0" collapsed="false">
      <c r="B54" s="40" t="n">
        <v>16</v>
      </c>
      <c r="C54" s="60" t="s">
        <v>60</v>
      </c>
      <c r="D54" s="1" t="n">
        <v>0.17</v>
      </c>
      <c r="E54" s="1" t="s">
        <v>49</v>
      </c>
      <c r="H54" s="62"/>
      <c r="I54" s="68" t="s">
        <v>48</v>
      </c>
      <c r="J54" s="17" t="n">
        <v>0.1959</v>
      </c>
      <c r="K54" s="18" t="n">
        <v>0.1769</v>
      </c>
      <c r="L54" s="18" t="n">
        <v>0.1922</v>
      </c>
      <c r="M54" s="19" t="n">
        <v>0.2034</v>
      </c>
      <c r="N54" s="20" t="n">
        <v>0.7684</v>
      </c>
    </row>
    <row r="55" customFormat="false" ht="12.8" hidden="false" customHeight="false" outlineLevel="0" collapsed="false">
      <c r="B55" s="40" t="n">
        <v>16</v>
      </c>
      <c r="C55" s="60" t="s">
        <v>58</v>
      </c>
      <c r="D55" s="1" t="n">
        <v>0.1</v>
      </c>
      <c r="E55" s="1" t="s">
        <v>49</v>
      </c>
      <c r="H55" s="62"/>
      <c r="I55" s="68" t="s">
        <v>55</v>
      </c>
      <c r="J55" s="17" t="n">
        <v>0.1785</v>
      </c>
      <c r="K55" s="18" t="n">
        <v>0.1879</v>
      </c>
      <c r="L55" s="18" t="n">
        <v>0.1855</v>
      </c>
      <c r="M55" s="19" t="n">
        <v>0.1946</v>
      </c>
      <c r="N55" s="20" t="n">
        <v>0.7465</v>
      </c>
    </row>
    <row r="56" customFormat="false" ht="12.8" hidden="false" customHeight="false" outlineLevel="0" collapsed="false">
      <c r="B56" s="40" t="n">
        <v>18</v>
      </c>
      <c r="C56" s="60" t="s">
        <v>48</v>
      </c>
      <c r="D56" s="1" t="n">
        <v>0.1907</v>
      </c>
      <c r="E56" s="1" t="s">
        <v>49</v>
      </c>
      <c r="H56" s="69"/>
      <c r="I56" s="70" t="s">
        <v>58</v>
      </c>
      <c r="J56" s="21" t="n">
        <v>0.1</v>
      </c>
      <c r="K56" s="22" t="n">
        <v>0.1</v>
      </c>
      <c r="L56" s="22" t="n">
        <v>0.1</v>
      </c>
      <c r="M56" s="23" t="n">
        <v>0.1</v>
      </c>
      <c r="N56" s="24" t="n">
        <v>0.4</v>
      </c>
    </row>
    <row r="57" customFormat="false" ht="12.8" hidden="false" customHeight="false" outlineLevel="0" collapsed="false">
      <c r="B57" s="40" t="n">
        <v>18</v>
      </c>
      <c r="C57" s="60" t="s">
        <v>59</v>
      </c>
      <c r="D57" s="1" t="n">
        <v>0.1832</v>
      </c>
      <c r="E57" s="1" t="s">
        <v>49</v>
      </c>
      <c r="H57" s="61" t="n">
        <v>6</v>
      </c>
      <c r="I57" s="67" t="s">
        <v>59</v>
      </c>
      <c r="J57" s="13" t="n">
        <v>0.1664</v>
      </c>
      <c r="K57" s="43"/>
      <c r="L57" s="13" t="n">
        <v>0.1648</v>
      </c>
      <c r="M57" s="13" t="n">
        <v>0.1729</v>
      </c>
      <c r="N57" s="15" t="n">
        <v>0.5041</v>
      </c>
    </row>
    <row r="58" customFormat="false" ht="12.8" hidden="false" customHeight="false" outlineLevel="0" collapsed="false">
      <c r="B58" s="40" t="n">
        <v>18</v>
      </c>
      <c r="C58" s="60" t="s">
        <v>55</v>
      </c>
      <c r="D58" s="1" t="n">
        <v>0.1773</v>
      </c>
      <c r="E58" s="1" t="s">
        <v>49</v>
      </c>
      <c r="H58" s="62"/>
      <c r="I58" s="68" t="s">
        <v>63</v>
      </c>
      <c r="J58" s="47"/>
      <c r="K58" s="18" t="n">
        <v>0.1654</v>
      </c>
      <c r="L58" s="47"/>
      <c r="M58" s="47"/>
      <c r="N58" s="20" t="n">
        <v>0.1654</v>
      </c>
    </row>
    <row r="59" customFormat="false" ht="12.8" hidden="false" customHeight="false" outlineLevel="0" collapsed="false">
      <c r="B59" s="40" t="n">
        <v>18</v>
      </c>
      <c r="C59" s="60" t="s">
        <v>57</v>
      </c>
      <c r="D59" s="1" t="n">
        <v>0.1763</v>
      </c>
      <c r="E59" s="1" t="s">
        <v>49</v>
      </c>
      <c r="H59" s="62"/>
      <c r="I59" s="68" t="s">
        <v>51</v>
      </c>
      <c r="J59" s="18" t="n">
        <v>0.189</v>
      </c>
      <c r="K59" s="18" t="n">
        <v>0.2022</v>
      </c>
      <c r="L59" s="18" t="n">
        <v>0.2083</v>
      </c>
      <c r="M59" s="18" t="n">
        <v>0.1748</v>
      </c>
      <c r="N59" s="20" t="n">
        <v>0.7743</v>
      </c>
    </row>
    <row r="60" customFormat="false" ht="12.8" hidden="false" customHeight="false" outlineLevel="0" collapsed="false">
      <c r="B60" s="40" t="n">
        <v>18</v>
      </c>
      <c r="C60" s="60" t="s">
        <v>62</v>
      </c>
      <c r="D60" s="1" t="n">
        <v>0.1725</v>
      </c>
      <c r="E60" s="1" t="s">
        <v>49</v>
      </c>
      <c r="H60" s="62"/>
      <c r="I60" s="68" t="s">
        <v>57</v>
      </c>
      <c r="J60" s="18" t="n">
        <v>0.1707</v>
      </c>
      <c r="K60" s="18" t="n">
        <v>0.1713</v>
      </c>
      <c r="L60" s="18" t="n">
        <v>0.1742</v>
      </c>
      <c r="M60" s="18" t="n">
        <v>0.1775</v>
      </c>
      <c r="N60" s="20" t="n">
        <v>0.6937</v>
      </c>
    </row>
    <row r="61" customFormat="false" ht="12.8" hidden="false" customHeight="false" outlineLevel="0" collapsed="false">
      <c r="B61" s="40" t="n">
        <v>18</v>
      </c>
      <c r="C61" s="60" t="s">
        <v>58</v>
      </c>
      <c r="D61" s="1" t="n">
        <v>0.1</v>
      </c>
      <c r="E61" s="1" t="s">
        <v>49</v>
      </c>
      <c r="H61" s="62"/>
      <c r="I61" s="68" t="s">
        <v>56</v>
      </c>
      <c r="J61" s="47"/>
      <c r="K61" s="47"/>
      <c r="L61" s="18" t="n">
        <v>0.165</v>
      </c>
      <c r="M61" s="18" t="n">
        <v>0.1792</v>
      </c>
      <c r="N61" s="20" t="n">
        <v>0.3442</v>
      </c>
    </row>
    <row r="62" customFormat="false" ht="12.8" hidden="false" customHeight="false" outlineLevel="0" collapsed="false">
      <c r="B62" s="40" t="n">
        <v>20</v>
      </c>
      <c r="C62" s="60" t="s">
        <v>48</v>
      </c>
      <c r="D62" s="1" t="n">
        <v>0.2191</v>
      </c>
      <c r="E62" s="1" t="s">
        <v>49</v>
      </c>
      <c r="H62" s="62"/>
      <c r="I62" s="68" t="s">
        <v>48</v>
      </c>
      <c r="J62" s="18" t="n">
        <v>0.1934</v>
      </c>
      <c r="K62" s="18" t="n">
        <v>0.1992</v>
      </c>
      <c r="L62" s="18" t="n">
        <v>0.1877</v>
      </c>
      <c r="M62" s="18" t="n">
        <v>0.1956</v>
      </c>
      <c r="N62" s="20" t="n">
        <v>0.7759</v>
      </c>
    </row>
    <row r="63" customFormat="false" ht="12.8" hidden="false" customHeight="false" outlineLevel="0" collapsed="false">
      <c r="B63" s="40" t="n">
        <v>20</v>
      </c>
      <c r="C63" s="60" t="s">
        <v>55</v>
      </c>
      <c r="D63" s="1" t="n">
        <v>0.1788</v>
      </c>
      <c r="E63" s="1" t="s">
        <v>49</v>
      </c>
      <c r="H63" s="62"/>
      <c r="I63" s="68" t="s">
        <v>55</v>
      </c>
      <c r="J63" s="18" t="n">
        <v>0.1805</v>
      </c>
      <c r="K63" s="18" t="n">
        <v>0.1619</v>
      </c>
      <c r="L63" s="47"/>
      <c r="M63" s="47"/>
      <c r="N63" s="20" t="n">
        <v>0.3424</v>
      </c>
    </row>
    <row r="64" customFormat="false" ht="12.8" hidden="false" customHeight="false" outlineLevel="0" collapsed="false">
      <c r="B64" s="40" t="n">
        <v>20</v>
      </c>
      <c r="C64" s="60" t="s">
        <v>56</v>
      </c>
      <c r="D64" s="1" t="n">
        <v>0.1731</v>
      </c>
      <c r="E64" s="1" t="s">
        <v>49</v>
      </c>
      <c r="H64" s="69"/>
      <c r="I64" s="70" t="s">
        <v>58</v>
      </c>
      <c r="J64" s="22" t="n">
        <v>0.1</v>
      </c>
      <c r="K64" s="22" t="n">
        <v>0.1</v>
      </c>
      <c r="L64" s="22" t="n">
        <v>0.1</v>
      </c>
      <c r="M64" s="22" t="n">
        <v>0.1</v>
      </c>
      <c r="N64" s="24" t="n">
        <v>0.4</v>
      </c>
    </row>
    <row r="65" customFormat="false" ht="12.8" hidden="false" customHeight="false" outlineLevel="0" collapsed="false">
      <c r="B65" s="40" t="n">
        <v>20</v>
      </c>
      <c r="C65" s="60" t="s">
        <v>60</v>
      </c>
      <c r="D65" s="1" t="n">
        <v>0.1714</v>
      </c>
      <c r="E65" s="1" t="s">
        <v>49</v>
      </c>
      <c r="H65" s="61" t="n">
        <v>8</v>
      </c>
      <c r="I65" s="67" t="s">
        <v>60</v>
      </c>
      <c r="J65" s="12" t="n">
        <v>0.1626</v>
      </c>
      <c r="K65" s="13" t="n">
        <v>0.1652</v>
      </c>
      <c r="L65" s="43"/>
      <c r="M65" s="14" t="n">
        <v>0.1645</v>
      </c>
      <c r="N65" s="15" t="n">
        <v>0.4923</v>
      </c>
    </row>
    <row r="66" customFormat="false" ht="12.8" hidden="false" customHeight="false" outlineLevel="0" collapsed="false">
      <c r="B66" s="40" t="n">
        <v>20</v>
      </c>
      <c r="C66" s="60" t="s">
        <v>57</v>
      </c>
      <c r="D66" s="1" t="n">
        <v>0.1576</v>
      </c>
      <c r="E66" s="1" t="s">
        <v>49</v>
      </c>
      <c r="H66" s="62"/>
      <c r="I66" s="68" t="s">
        <v>51</v>
      </c>
      <c r="J66" s="46"/>
      <c r="K66" s="18" t="n">
        <v>0.1653</v>
      </c>
      <c r="L66" s="18" t="n">
        <v>0.1656</v>
      </c>
      <c r="M66" s="48"/>
      <c r="N66" s="20" t="n">
        <v>0.3309</v>
      </c>
    </row>
    <row r="67" customFormat="false" ht="12.8" hidden="false" customHeight="false" outlineLevel="0" collapsed="false">
      <c r="B67" s="40" t="n">
        <v>20</v>
      </c>
      <c r="C67" s="60" t="s">
        <v>58</v>
      </c>
      <c r="D67" s="1" t="n">
        <v>0.1</v>
      </c>
      <c r="E67" s="1" t="s">
        <v>49</v>
      </c>
      <c r="H67" s="62"/>
      <c r="I67" s="68" t="s">
        <v>57</v>
      </c>
      <c r="J67" s="17" t="n">
        <v>0.1725</v>
      </c>
      <c r="K67" s="18" t="n">
        <v>0.1729</v>
      </c>
      <c r="L67" s="18" t="n">
        <v>0.1637</v>
      </c>
      <c r="M67" s="19" t="n">
        <v>0.1708</v>
      </c>
      <c r="N67" s="20" t="n">
        <v>0.6799</v>
      </c>
    </row>
    <row r="68" customFormat="false" ht="12.8" hidden="false" customHeight="false" outlineLevel="0" collapsed="false">
      <c r="B68" s="40" t="n">
        <v>22</v>
      </c>
      <c r="C68" s="60" t="s">
        <v>48</v>
      </c>
      <c r="D68" s="1" t="n">
        <v>0.2395</v>
      </c>
      <c r="E68" s="1" t="s">
        <v>49</v>
      </c>
      <c r="H68" s="62"/>
      <c r="I68" s="68" t="s">
        <v>56</v>
      </c>
      <c r="J68" s="17" t="n">
        <v>0.1666</v>
      </c>
      <c r="K68" s="18" t="n">
        <v>0.1696</v>
      </c>
      <c r="L68" s="18" t="n">
        <v>0.1705</v>
      </c>
      <c r="M68" s="19" t="n">
        <v>0.1777</v>
      </c>
      <c r="N68" s="20" t="n">
        <v>0.6844</v>
      </c>
    </row>
    <row r="69" customFormat="false" ht="12.8" hidden="false" customHeight="false" outlineLevel="0" collapsed="false">
      <c r="B69" s="40" t="n">
        <v>22</v>
      </c>
      <c r="C69" s="60" t="s">
        <v>56</v>
      </c>
      <c r="D69" s="1" t="n">
        <v>0.1824</v>
      </c>
      <c r="E69" s="1" t="s">
        <v>49</v>
      </c>
      <c r="H69" s="62"/>
      <c r="I69" s="68" t="s">
        <v>62</v>
      </c>
      <c r="J69" s="46"/>
      <c r="K69" s="47"/>
      <c r="L69" s="18" t="n">
        <v>0.155</v>
      </c>
      <c r="M69" s="48"/>
      <c r="N69" s="20" t="n">
        <v>0.155</v>
      </c>
    </row>
    <row r="70" customFormat="false" ht="12.8" hidden="false" customHeight="false" outlineLevel="0" collapsed="false">
      <c r="B70" s="40" t="n">
        <v>22</v>
      </c>
      <c r="C70" s="60" t="s">
        <v>55</v>
      </c>
      <c r="D70" s="1" t="n">
        <v>0.1621</v>
      </c>
      <c r="E70" s="1" t="s">
        <v>49</v>
      </c>
      <c r="H70" s="62"/>
      <c r="I70" s="68" t="s">
        <v>48</v>
      </c>
      <c r="J70" s="17" t="n">
        <v>0.2338</v>
      </c>
      <c r="K70" s="18" t="n">
        <v>0.2271</v>
      </c>
      <c r="L70" s="18" t="n">
        <v>0.2452</v>
      </c>
      <c r="M70" s="19" t="n">
        <v>0.2239</v>
      </c>
      <c r="N70" s="20" t="n">
        <v>0.93</v>
      </c>
    </row>
    <row r="71" customFormat="false" ht="12.8" hidden="false" customHeight="false" outlineLevel="0" collapsed="false">
      <c r="B71" s="40" t="n">
        <v>22</v>
      </c>
      <c r="C71" s="60" t="s">
        <v>57</v>
      </c>
      <c r="D71" s="1" t="n">
        <v>0.1617</v>
      </c>
      <c r="E71" s="1" t="s">
        <v>49</v>
      </c>
      <c r="H71" s="62"/>
      <c r="I71" s="68" t="s">
        <v>64</v>
      </c>
      <c r="J71" s="46"/>
      <c r="K71" s="47"/>
      <c r="L71" s="47"/>
      <c r="M71" s="19" t="n">
        <v>0.163</v>
      </c>
      <c r="N71" s="20" t="n">
        <v>0.163</v>
      </c>
    </row>
    <row r="72" customFormat="false" ht="12.8" hidden="false" customHeight="false" outlineLevel="0" collapsed="false">
      <c r="B72" s="40" t="n">
        <v>22</v>
      </c>
      <c r="C72" s="60" t="s">
        <v>65</v>
      </c>
      <c r="D72" s="1" t="n">
        <v>0.1543</v>
      </c>
      <c r="E72" s="1" t="s">
        <v>49</v>
      </c>
      <c r="H72" s="62"/>
      <c r="I72" s="68" t="s">
        <v>55</v>
      </c>
      <c r="J72" s="17" t="n">
        <v>0.1646</v>
      </c>
      <c r="K72" s="47"/>
      <c r="L72" s="47"/>
      <c r="M72" s="48"/>
      <c r="N72" s="20" t="n">
        <v>0.1646</v>
      </c>
    </row>
    <row r="73" customFormat="false" ht="12.8" hidden="false" customHeight="false" outlineLevel="0" collapsed="false">
      <c r="B73" s="40" t="n">
        <v>22</v>
      </c>
      <c r="C73" s="60" t="s">
        <v>58</v>
      </c>
      <c r="D73" s="1" t="n">
        <v>0.1</v>
      </c>
      <c r="E73" s="1" t="s">
        <v>49</v>
      </c>
      <c r="H73" s="69"/>
      <c r="I73" s="70" t="s">
        <v>58</v>
      </c>
      <c r="J73" s="21" t="n">
        <v>0.1</v>
      </c>
      <c r="K73" s="22" t="n">
        <v>0.1</v>
      </c>
      <c r="L73" s="22" t="n">
        <v>0.1</v>
      </c>
      <c r="M73" s="23" t="n">
        <v>0.1</v>
      </c>
      <c r="N73" s="24" t="n">
        <v>0.4</v>
      </c>
    </row>
    <row r="74" customFormat="false" ht="12.8" hidden="false" customHeight="false" outlineLevel="0" collapsed="false">
      <c r="B74" s="40" t="n">
        <v>24</v>
      </c>
      <c r="C74" s="60" t="s">
        <v>48</v>
      </c>
      <c r="D74" s="1" t="n">
        <v>0.2287</v>
      </c>
      <c r="E74" s="1" t="s">
        <v>49</v>
      </c>
      <c r="H74" s="61" t="n">
        <v>10</v>
      </c>
      <c r="I74" s="67" t="s">
        <v>59</v>
      </c>
      <c r="J74" s="13" t="n">
        <v>0.1661</v>
      </c>
      <c r="K74" s="43"/>
      <c r="L74" s="13" t="n">
        <v>0.1747</v>
      </c>
      <c r="M74" s="13" t="n">
        <v>0.1726</v>
      </c>
      <c r="N74" s="15" t="n">
        <v>0.5134</v>
      </c>
    </row>
    <row r="75" customFormat="false" ht="12.8" hidden="false" customHeight="false" outlineLevel="0" collapsed="false">
      <c r="B75" s="40" t="n">
        <v>24</v>
      </c>
      <c r="C75" s="60" t="s">
        <v>55</v>
      </c>
      <c r="D75" s="1" t="n">
        <v>0.1728</v>
      </c>
      <c r="E75" s="1" t="s">
        <v>49</v>
      </c>
      <c r="H75" s="62"/>
      <c r="I75" s="68" t="s">
        <v>51</v>
      </c>
      <c r="J75" s="47"/>
      <c r="K75" s="18" t="n">
        <v>0.1831</v>
      </c>
      <c r="L75" s="18" t="n">
        <v>0.1728</v>
      </c>
      <c r="M75" s="47"/>
      <c r="N75" s="20" t="n">
        <v>0.3559</v>
      </c>
    </row>
    <row r="76" customFormat="false" ht="12.8" hidden="false" customHeight="false" outlineLevel="0" collapsed="false">
      <c r="B76" s="40" t="n">
        <v>24</v>
      </c>
      <c r="C76" s="60" t="s">
        <v>56</v>
      </c>
      <c r="D76" s="1" t="n">
        <v>0.1716</v>
      </c>
      <c r="E76" s="1" t="s">
        <v>49</v>
      </c>
      <c r="H76" s="62"/>
      <c r="I76" s="68" t="s">
        <v>57</v>
      </c>
      <c r="J76" s="47"/>
      <c r="K76" s="18" t="n">
        <v>0.1701</v>
      </c>
      <c r="L76" s="47"/>
      <c r="M76" s="47"/>
      <c r="N76" s="20" t="n">
        <v>0.1701</v>
      </c>
    </row>
    <row r="77" customFormat="false" ht="12.8" hidden="false" customHeight="false" outlineLevel="0" collapsed="false">
      <c r="B77" s="40" t="n">
        <v>24</v>
      </c>
      <c r="C77" s="60" t="s">
        <v>57</v>
      </c>
      <c r="D77" s="1" t="n">
        <v>0.1682</v>
      </c>
      <c r="E77" s="1" t="s">
        <v>49</v>
      </c>
      <c r="H77" s="62"/>
      <c r="I77" s="68" t="s">
        <v>56</v>
      </c>
      <c r="J77" s="18" t="n">
        <v>0.1751</v>
      </c>
      <c r="K77" s="18" t="n">
        <v>0.1684</v>
      </c>
      <c r="L77" s="47"/>
      <c r="M77" s="18" t="n">
        <v>0.1819</v>
      </c>
      <c r="N77" s="20" t="n">
        <v>0.5254</v>
      </c>
    </row>
    <row r="78" customFormat="false" ht="12.8" hidden="false" customHeight="false" outlineLevel="0" collapsed="false">
      <c r="B78" s="40" t="n">
        <v>24</v>
      </c>
      <c r="C78" s="60" t="s">
        <v>62</v>
      </c>
      <c r="D78" s="1" t="n">
        <v>0.1587</v>
      </c>
      <c r="E78" s="1" t="s">
        <v>49</v>
      </c>
      <c r="H78" s="62"/>
      <c r="I78" s="68" t="s">
        <v>62</v>
      </c>
      <c r="J78" s="18" t="n">
        <v>0.1651</v>
      </c>
      <c r="K78" s="47"/>
      <c r="L78" s="18" t="n">
        <v>0.1752</v>
      </c>
      <c r="M78" s="47"/>
      <c r="N78" s="20" t="n">
        <v>0.3403</v>
      </c>
    </row>
    <row r="79" customFormat="false" ht="12.8" hidden="false" customHeight="false" outlineLevel="0" collapsed="false">
      <c r="B79" s="40" t="n">
        <v>24</v>
      </c>
      <c r="C79" s="60" t="s">
        <v>58</v>
      </c>
      <c r="D79" s="1" t="n">
        <v>0.1</v>
      </c>
      <c r="E79" s="1" t="s">
        <v>49</v>
      </c>
      <c r="H79" s="62"/>
      <c r="I79" s="68" t="s">
        <v>48</v>
      </c>
      <c r="J79" s="18" t="n">
        <v>0.2116</v>
      </c>
      <c r="K79" s="18" t="n">
        <v>0.2067</v>
      </c>
      <c r="L79" s="18" t="n">
        <v>0.2052</v>
      </c>
      <c r="M79" s="18" t="n">
        <v>0.2186</v>
      </c>
      <c r="N79" s="20" t="n">
        <v>0.8421</v>
      </c>
    </row>
    <row r="80" customFormat="false" ht="12.8" hidden="false" customHeight="false" outlineLevel="0" collapsed="false">
      <c r="B80" s="40" t="n">
        <v>26</v>
      </c>
      <c r="C80" s="60" t="s">
        <v>48</v>
      </c>
      <c r="D80" s="1" t="n">
        <v>0.219</v>
      </c>
      <c r="E80" s="1" t="s">
        <v>49</v>
      </c>
      <c r="H80" s="62"/>
      <c r="I80" s="68" t="s">
        <v>64</v>
      </c>
      <c r="J80" s="47"/>
      <c r="K80" s="47"/>
      <c r="L80" s="47"/>
      <c r="M80" s="18" t="n">
        <v>0.1673</v>
      </c>
      <c r="N80" s="20" t="n">
        <v>0.1673</v>
      </c>
    </row>
    <row r="81" customFormat="false" ht="12.8" hidden="false" customHeight="false" outlineLevel="0" collapsed="false">
      <c r="B81" s="40" t="n">
        <v>26</v>
      </c>
      <c r="C81" s="60" t="s">
        <v>60</v>
      </c>
      <c r="D81" s="1" t="n">
        <v>0.1764</v>
      </c>
      <c r="E81" s="1" t="s">
        <v>49</v>
      </c>
      <c r="H81" s="62"/>
      <c r="I81" s="68" t="s">
        <v>55</v>
      </c>
      <c r="J81" s="18" t="n">
        <v>0.1821</v>
      </c>
      <c r="K81" s="47"/>
      <c r="L81" s="47"/>
      <c r="M81" s="18" t="n">
        <v>0.1596</v>
      </c>
      <c r="N81" s="20" t="n">
        <v>0.3417</v>
      </c>
    </row>
    <row r="82" customFormat="false" ht="12.8" hidden="false" customHeight="false" outlineLevel="0" collapsed="false">
      <c r="B82" s="40" t="n">
        <v>26</v>
      </c>
      <c r="C82" s="60" t="s">
        <v>65</v>
      </c>
      <c r="D82" s="1" t="n">
        <v>0.1738</v>
      </c>
      <c r="E82" s="1" t="s">
        <v>49</v>
      </c>
      <c r="H82" s="62"/>
      <c r="I82" s="68" t="s">
        <v>65</v>
      </c>
      <c r="J82" s="47"/>
      <c r="K82" s="18" t="n">
        <v>0.1717</v>
      </c>
      <c r="L82" s="18" t="n">
        <v>0.1721</v>
      </c>
      <c r="M82" s="47"/>
      <c r="N82" s="20" t="n">
        <v>0.3438</v>
      </c>
    </row>
    <row r="83" customFormat="false" ht="12.8" hidden="false" customHeight="false" outlineLevel="0" collapsed="false">
      <c r="B83" s="40" t="n">
        <v>26</v>
      </c>
      <c r="C83" s="60" t="s">
        <v>55</v>
      </c>
      <c r="D83" s="1" t="n">
        <v>0.1703</v>
      </c>
      <c r="E83" s="1" t="s">
        <v>49</v>
      </c>
      <c r="H83" s="69"/>
      <c r="I83" s="70" t="s">
        <v>58</v>
      </c>
      <c r="J83" s="22" t="n">
        <v>0.1</v>
      </c>
      <c r="K83" s="22" t="n">
        <v>0.1</v>
      </c>
      <c r="L83" s="22" t="n">
        <v>0.1</v>
      </c>
      <c r="M83" s="22" t="n">
        <v>0.1</v>
      </c>
      <c r="N83" s="24" t="n">
        <v>0.4</v>
      </c>
    </row>
    <row r="84" customFormat="false" ht="12.8" hidden="false" customHeight="false" outlineLevel="0" collapsed="false">
      <c r="B84" s="40" t="n">
        <v>26</v>
      </c>
      <c r="C84" s="60" t="s">
        <v>57</v>
      </c>
      <c r="D84" s="1" t="n">
        <v>0.1605</v>
      </c>
      <c r="E84" s="1" t="s">
        <v>49</v>
      </c>
      <c r="H84" s="61" t="n">
        <v>12</v>
      </c>
      <c r="I84" s="67" t="s">
        <v>59</v>
      </c>
      <c r="J84" s="42"/>
      <c r="K84" s="43"/>
      <c r="L84" s="13" t="n">
        <v>0.1647</v>
      </c>
      <c r="M84" s="14" t="n">
        <v>0.1755</v>
      </c>
      <c r="N84" s="15" t="n">
        <v>0.3402</v>
      </c>
    </row>
    <row r="85" customFormat="false" ht="12.8" hidden="false" customHeight="false" outlineLevel="0" collapsed="false">
      <c r="B85" s="40" t="n">
        <v>26</v>
      </c>
      <c r="C85" s="60" t="s">
        <v>58</v>
      </c>
      <c r="D85" s="1" t="n">
        <v>0.1</v>
      </c>
      <c r="E85" s="1" t="s">
        <v>49</v>
      </c>
      <c r="H85" s="62"/>
      <c r="I85" s="68" t="s">
        <v>60</v>
      </c>
      <c r="J85" s="17" t="n">
        <v>0.164</v>
      </c>
      <c r="K85" s="18" t="n">
        <v>0.1751</v>
      </c>
      <c r="L85" s="47"/>
      <c r="M85" s="48"/>
      <c r="N85" s="20" t="n">
        <v>0.3391</v>
      </c>
    </row>
    <row r="86" customFormat="false" ht="12.8" hidden="false" customHeight="false" outlineLevel="0" collapsed="false">
      <c r="B86" s="40" t="n">
        <v>28</v>
      </c>
      <c r="C86" s="60" t="s">
        <v>48</v>
      </c>
      <c r="D86" s="1" t="n">
        <v>0.215</v>
      </c>
      <c r="E86" s="1" t="s">
        <v>49</v>
      </c>
      <c r="H86" s="62"/>
      <c r="I86" s="68" t="s">
        <v>57</v>
      </c>
      <c r="J86" s="17" t="n">
        <v>0.1579</v>
      </c>
      <c r="K86" s="18" t="n">
        <v>0.1657</v>
      </c>
      <c r="L86" s="47"/>
      <c r="M86" s="19" t="n">
        <v>0.1722</v>
      </c>
      <c r="N86" s="20" t="n">
        <v>0.4958</v>
      </c>
    </row>
    <row r="87" customFormat="false" ht="12.8" hidden="false" customHeight="false" outlineLevel="0" collapsed="false">
      <c r="B87" s="40" t="n">
        <v>28</v>
      </c>
      <c r="C87" s="60" t="s">
        <v>60</v>
      </c>
      <c r="D87" s="1" t="n">
        <v>0.1978</v>
      </c>
      <c r="E87" s="1" t="s">
        <v>49</v>
      </c>
      <c r="H87" s="62"/>
      <c r="I87" s="68" t="s">
        <v>56</v>
      </c>
      <c r="J87" s="17" t="n">
        <v>0.1602</v>
      </c>
      <c r="K87" s="47"/>
      <c r="L87" s="18" t="n">
        <v>0.178</v>
      </c>
      <c r="M87" s="19" t="n">
        <v>0.1755</v>
      </c>
      <c r="N87" s="20" t="n">
        <v>0.5137</v>
      </c>
    </row>
    <row r="88" customFormat="false" ht="12.8" hidden="false" customHeight="false" outlineLevel="0" collapsed="false">
      <c r="B88" s="40" t="n">
        <v>28</v>
      </c>
      <c r="C88" s="60" t="s">
        <v>57</v>
      </c>
      <c r="D88" s="1" t="n">
        <v>0.1679</v>
      </c>
      <c r="E88" s="1" t="s">
        <v>49</v>
      </c>
      <c r="H88" s="62"/>
      <c r="I88" s="68" t="s">
        <v>48</v>
      </c>
      <c r="J88" s="17" t="n">
        <v>0.2297</v>
      </c>
      <c r="K88" s="18" t="n">
        <v>0.222</v>
      </c>
      <c r="L88" s="18" t="n">
        <v>0.21</v>
      </c>
      <c r="M88" s="19" t="n">
        <v>0.2105</v>
      </c>
      <c r="N88" s="20" t="n">
        <v>0.8722</v>
      </c>
    </row>
    <row r="89" customFormat="false" ht="12.8" hidden="false" customHeight="false" outlineLevel="0" collapsed="false">
      <c r="B89" s="40" t="n">
        <v>28</v>
      </c>
      <c r="C89" s="60" t="s">
        <v>55</v>
      </c>
      <c r="D89" s="1" t="n">
        <v>0.167</v>
      </c>
      <c r="E89" s="1" t="s">
        <v>49</v>
      </c>
      <c r="H89" s="62"/>
      <c r="I89" s="68" t="s">
        <v>55</v>
      </c>
      <c r="J89" s="17" t="n">
        <v>0.1882</v>
      </c>
      <c r="K89" s="18" t="n">
        <v>0.1699</v>
      </c>
      <c r="L89" s="18" t="n">
        <v>0.1772</v>
      </c>
      <c r="M89" s="19" t="n">
        <v>0.1663</v>
      </c>
      <c r="N89" s="20" t="n">
        <v>0.7016</v>
      </c>
    </row>
    <row r="90" customFormat="false" ht="12.8" hidden="false" customHeight="false" outlineLevel="0" collapsed="false">
      <c r="B90" s="40" t="n">
        <v>28</v>
      </c>
      <c r="C90" s="60" t="s">
        <v>62</v>
      </c>
      <c r="D90" s="1" t="n">
        <v>0.1523</v>
      </c>
      <c r="E90" s="1" t="s">
        <v>49</v>
      </c>
      <c r="H90" s="62"/>
      <c r="I90" s="68" t="s">
        <v>65</v>
      </c>
      <c r="J90" s="46"/>
      <c r="K90" s="18" t="n">
        <v>0.1673</v>
      </c>
      <c r="L90" s="18" t="n">
        <v>0.1701</v>
      </c>
      <c r="M90" s="48"/>
      <c r="N90" s="20" t="n">
        <v>0.3374</v>
      </c>
    </row>
    <row r="91" customFormat="false" ht="12.8" hidden="false" customHeight="false" outlineLevel="0" collapsed="false">
      <c r="B91" s="40" t="n">
        <v>28</v>
      </c>
      <c r="C91" s="60" t="s">
        <v>58</v>
      </c>
      <c r="D91" s="1" t="n">
        <v>0.1</v>
      </c>
      <c r="E91" s="1" t="s">
        <v>49</v>
      </c>
      <c r="H91" s="69"/>
      <c r="I91" s="70" t="s">
        <v>58</v>
      </c>
      <c r="J91" s="21" t="n">
        <v>0.1</v>
      </c>
      <c r="K91" s="22" t="n">
        <v>0.1</v>
      </c>
      <c r="L91" s="22" t="n">
        <v>0.1</v>
      </c>
      <c r="M91" s="23" t="n">
        <v>0.1</v>
      </c>
      <c r="N91" s="24" t="n">
        <v>0.4</v>
      </c>
    </row>
    <row r="92" customFormat="false" ht="12.8" hidden="false" customHeight="false" outlineLevel="0" collapsed="false">
      <c r="B92" s="40" t="n">
        <v>30</v>
      </c>
      <c r="C92" s="60" t="s">
        <v>48</v>
      </c>
      <c r="D92" s="1" t="n">
        <v>0.2041</v>
      </c>
      <c r="E92" s="1" t="s">
        <v>49</v>
      </c>
      <c r="H92" s="61" t="n">
        <v>14</v>
      </c>
      <c r="I92" s="67" t="s">
        <v>60</v>
      </c>
      <c r="J92" s="13" t="n">
        <v>0.1647</v>
      </c>
      <c r="K92" s="13" t="n">
        <v>0.1741</v>
      </c>
      <c r="L92" s="43"/>
      <c r="M92" s="13" t="n">
        <v>0.1712</v>
      </c>
      <c r="N92" s="15" t="n">
        <v>0.51</v>
      </c>
    </row>
    <row r="93" customFormat="false" ht="12.8" hidden="false" customHeight="false" outlineLevel="0" collapsed="false">
      <c r="B93" s="40" t="n">
        <v>30</v>
      </c>
      <c r="C93" s="60" t="s">
        <v>55</v>
      </c>
      <c r="D93" s="1" t="n">
        <v>0.1848</v>
      </c>
      <c r="E93" s="1" t="s">
        <v>49</v>
      </c>
      <c r="H93" s="62"/>
      <c r="I93" s="68" t="s">
        <v>51</v>
      </c>
      <c r="J93" s="47"/>
      <c r="K93" s="18" t="n">
        <v>0.168</v>
      </c>
      <c r="L93" s="18" t="n">
        <v>0.1789</v>
      </c>
      <c r="M93" s="47"/>
      <c r="N93" s="20" t="n">
        <v>0.3469</v>
      </c>
    </row>
    <row r="94" customFormat="false" ht="12.8" hidden="false" customHeight="false" outlineLevel="0" collapsed="false">
      <c r="B94" s="40" t="n">
        <v>30</v>
      </c>
      <c r="C94" s="60" t="s">
        <v>57</v>
      </c>
      <c r="D94" s="1" t="n">
        <v>0.1806</v>
      </c>
      <c r="E94" s="1" t="s">
        <v>49</v>
      </c>
      <c r="H94" s="62"/>
      <c r="I94" s="68" t="s">
        <v>57</v>
      </c>
      <c r="J94" s="18" t="n">
        <v>0.1688</v>
      </c>
      <c r="K94" s="18" t="n">
        <v>0.1663</v>
      </c>
      <c r="L94" s="18" t="n">
        <v>0.1696</v>
      </c>
      <c r="M94" s="18" t="n">
        <v>0.1772</v>
      </c>
      <c r="N94" s="20" t="n">
        <v>0.6819</v>
      </c>
    </row>
    <row r="95" customFormat="false" ht="12.8" hidden="false" customHeight="false" outlineLevel="0" collapsed="false">
      <c r="B95" s="40" t="n">
        <v>30</v>
      </c>
      <c r="C95" s="60" t="s">
        <v>60</v>
      </c>
      <c r="D95" s="1" t="n">
        <v>0.1702</v>
      </c>
      <c r="E95" s="1" t="s">
        <v>49</v>
      </c>
      <c r="H95" s="62"/>
      <c r="I95" s="68" t="s">
        <v>56</v>
      </c>
      <c r="J95" s="47"/>
      <c r="K95" s="47"/>
      <c r="L95" s="47"/>
      <c r="M95" s="18" t="n">
        <v>0.1808</v>
      </c>
      <c r="N95" s="20" t="n">
        <v>0.1808</v>
      </c>
    </row>
    <row r="96" customFormat="false" ht="12.8" hidden="false" customHeight="false" outlineLevel="0" collapsed="false">
      <c r="B96" s="40" t="n">
        <v>30</v>
      </c>
      <c r="C96" s="60" t="s">
        <v>65</v>
      </c>
      <c r="D96" s="1" t="n">
        <v>0.1602</v>
      </c>
      <c r="E96" s="1" t="s">
        <v>49</v>
      </c>
      <c r="H96" s="62"/>
      <c r="I96" s="68" t="s">
        <v>62</v>
      </c>
      <c r="J96" s="18" t="n">
        <v>0.1709</v>
      </c>
      <c r="K96" s="18" t="n">
        <v>0.1824</v>
      </c>
      <c r="L96" s="18" t="n">
        <v>0.1875</v>
      </c>
      <c r="M96" s="18" t="n">
        <v>0.1726</v>
      </c>
      <c r="N96" s="20" t="n">
        <v>0.7134</v>
      </c>
    </row>
    <row r="97" customFormat="false" ht="12.8" hidden="false" customHeight="false" outlineLevel="0" collapsed="false">
      <c r="B97" s="40" t="n">
        <v>30</v>
      </c>
      <c r="C97" s="60" t="s">
        <v>58</v>
      </c>
      <c r="D97" s="1" t="n">
        <v>0.1</v>
      </c>
      <c r="E97" s="1" t="s">
        <v>49</v>
      </c>
      <c r="H97" s="62"/>
      <c r="I97" s="68" t="s">
        <v>48</v>
      </c>
      <c r="J97" s="18" t="n">
        <v>0.2059</v>
      </c>
      <c r="K97" s="18" t="n">
        <v>0.2092</v>
      </c>
      <c r="L97" s="18" t="n">
        <v>0.194</v>
      </c>
      <c r="M97" s="18" t="n">
        <v>0.1983</v>
      </c>
      <c r="N97" s="20" t="n">
        <v>0.8074</v>
      </c>
    </row>
    <row r="98" customFormat="false" ht="12.8" hidden="false" customHeight="false" outlineLevel="0" collapsed="false">
      <c r="B98" s="40" t="n">
        <v>32</v>
      </c>
      <c r="C98" s="60" t="s">
        <v>48</v>
      </c>
      <c r="D98" s="1" t="n">
        <v>0.2308</v>
      </c>
      <c r="E98" s="1" t="s">
        <v>49</v>
      </c>
      <c r="H98" s="62"/>
      <c r="I98" s="68" t="s">
        <v>55</v>
      </c>
      <c r="J98" s="18" t="n">
        <v>0.1897</v>
      </c>
      <c r="K98" s="47"/>
      <c r="L98" s="18" t="n">
        <v>0.1701</v>
      </c>
      <c r="M98" s="47"/>
      <c r="N98" s="20" t="n">
        <v>0.3598</v>
      </c>
    </row>
    <row r="99" customFormat="false" ht="12.8" hidden="false" customHeight="false" outlineLevel="0" collapsed="false">
      <c r="B99" s="40" t="n">
        <v>32</v>
      </c>
      <c r="C99" s="60" t="s">
        <v>55</v>
      </c>
      <c r="D99" s="1" t="n">
        <v>0.1793</v>
      </c>
      <c r="E99" s="1" t="s">
        <v>49</v>
      </c>
      <c r="H99" s="69"/>
      <c r="I99" s="70" t="s">
        <v>58</v>
      </c>
      <c r="J99" s="22" t="n">
        <v>0.1</v>
      </c>
      <c r="K99" s="22" t="n">
        <v>0.1</v>
      </c>
      <c r="L99" s="22" t="n">
        <v>0.1</v>
      </c>
      <c r="M99" s="22" t="n">
        <v>0.1</v>
      </c>
      <c r="N99" s="24" t="n">
        <v>0.4</v>
      </c>
    </row>
    <row r="100" customFormat="false" ht="12.8" hidden="false" customHeight="false" outlineLevel="0" collapsed="false">
      <c r="B100" s="40" t="n">
        <v>32</v>
      </c>
      <c r="C100" s="60" t="s">
        <v>57</v>
      </c>
      <c r="D100" s="1" t="n">
        <v>0.1703</v>
      </c>
      <c r="E100" s="1" t="s">
        <v>49</v>
      </c>
      <c r="H100" s="61" t="n">
        <v>16</v>
      </c>
      <c r="I100" s="67" t="s">
        <v>59</v>
      </c>
      <c r="J100" s="12" t="n">
        <v>0.1788</v>
      </c>
      <c r="K100" s="13" t="n">
        <v>0.1737</v>
      </c>
      <c r="L100" s="13" t="n">
        <v>0.1796</v>
      </c>
      <c r="M100" s="44"/>
      <c r="N100" s="15" t="n">
        <v>0.5321</v>
      </c>
    </row>
    <row r="101" customFormat="false" ht="12.8" hidden="false" customHeight="false" outlineLevel="0" collapsed="false">
      <c r="B101" s="40" t="n">
        <v>32</v>
      </c>
      <c r="C101" s="60" t="s">
        <v>56</v>
      </c>
      <c r="D101" s="1" t="n">
        <v>0.1604</v>
      </c>
      <c r="E101" s="1" t="s">
        <v>49</v>
      </c>
      <c r="H101" s="62"/>
      <c r="I101" s="68" t="s">
        <v>60</v>
      </c>
      <c r="J101" s="17" t="n">
        <v>0.17</v>
      </c>
      <c r="K101" s="18" t="n">
        <v>0.176</v>
      </c>
      <c r="L101" s="18" t="n">
        <v>0.1692</v>
      </c>
      <c r="M101" s="48"/>
      <c r="N101" s="20" t="n">
        <v>0.5152</v>
      </c>
    </row>
    <row r="102" customFormat="false" ht="12.8" hidden="false" customHeight="false" outlineLevel="0" collapsed="false">
      <c r="B102" s="40" t="n">
        <v>32</v>
      </c>
      <c r="C102" s="60" t="s">
        <v>59</v>
      </c>
      <c r="D102" s="1" t="n">
        <v>0.1592</v>
      </c>
      <c r="E102" s="1" t="s">
        <v>49</v>
      </c>
      <c r="H102" s="62"/>
      <c r="I102" s="68" t="s">
        <v>51</v>
      </c>
      <c r="J102" s="17" t="n">
        <v>0.1706</v>
      </c>
      <c r="K102" s="18" t="n">
        <v>0.193</v>
      </c>
      <c r="L102" s="18" t="n">
        <v>0.1916</v>
      </c>
      <c r="M102" s="19" t="n">
        <v>0.1768</v>
      </c>
      <c r="N102" s="20" t="n">
        <v>0.732</v>
      </c>
    </row>
    <row r="103" customFormat="false" ht="12.8" hidden="false" customHeight="false" outlineLevel="0" collapsed="false">
      <c r="B103" s="40" t="n">
        <v>32</v>
      </c>
      <c r="C103" s="60" t="s">
        <v>58</v>
      </c>
      <c r="D103" s="1" t="n">
        <v>0.1</v>
      </c>
      <c r="E103" s="1" t="s">
        <v>49</v>
      </c>
      <c r="H103" s="62"/>
      <c r="I103" s="68" t="s">
        <v>57</v>
      </c>
      <c r="J103" s="46"/>
      <c r="K103" s="18" t="n">
        <v>0.1759</v>
      </c>
      <c r="L103" s="47"/>
      <c r="M103" s="48"/>
      <c r="N103" s="20" t="n">
        <v>0.1759</v>
      </c>
    </row>
    <row r="104" customFormat="false" ht="12.8" hidden="false" customHeight="false" outlineLevel="0" collapsed="false">
      <c r="B104" s="40" t="n">
        <v>34</v>
      </c>
      <c r="C104" s="60" t="s">
        <v>48</v>
      </c>
      <c r="D104" s="1" t="n">
        <v>0.2101</v>
      </c>
      <c r="E104" s="1" t="s">
        <v>49</v>
      </c>
      <c r="H104" s="62"/>
      <c r="I104" s="68" t="s">
        <v>56</v>
      </c>
      <c r="J104" s="46"/>
      <c r="K104" s="47"/>
      <c r="L104" s="47"/>
      <c r="M104" s="19" t="n">
        <v>0.18</v>
      </c>
      <c r="N104" s="20" t="n">
        <v>0.18</v>
      </c>
    </row>
    <row r="105" customFormat="false" ht="12.8" hidden="false" customHeight="false" outlineLevel="0" collapsed="false">
      <c r="B105" s="40" t="n">
        <v>34</v>
      </c>
      <c r="C105" s="60" t="s">
        <v>55</v>
      </c>
      <c r="D105" s="1" t="n">
        <v>0.1908</v>
      </c>
      <c r="E105" s="1" t="s">
        <v>49</v>
      </c>
      <c r="H105" s="62"/>
      <c r="I105" s="68" t="s">
        <v>48</v>
      </c>
      <c r="J105" s="17" t="n">
        <v>0.1926</v>
      </c>
      <c r="K105" s="18" t="n">
        <v>0.1814</v>
      </c>
      <c r="L105" s="18" t="n">
        <v>0.1782</v>
      </c>
      <c r="M105" s="19" t="n">
        <v>0.1898</v>
      </c>
      <c r="N105" s="20" t="n">
        <v>0.742</v>
      </c>
    </row>
    <row r="106" customFormat="false" ht="12.8" hidden="false" customHeight="false" outlineLevel="0" collapsed="false">
      <c r="B106" s="40" t="n">
        <v>34</v>
      </c>
      <c r="C106" s="60" t="s">
        <v>59</v>
      </c>
      <c r="D106" s="1" t="n">
        <v>0.1724</v>
      </c>
      <c r="E106" s="1" t="s">
        <v>49</v>
      </c>
      <c r="H106" s="62"/>
      <c r="I106" s="68" t="s">
        <v>55</v>
      </c>
      <c r="J106" s="17" t="n">
        <v>0.188</v>
      </c>
      <c r="K106" s="47"/>
      <c r="L106" s="18" t="n">
        <v>0.1814</v>
      </c>
      <c r="M106" s="19" t="n">
        <v>0.1785</v>
      </c>
      <c r="N106" s="20" t="n">
        <v>0.5479</v>
      </c>
    </row>
    <row r="107" customFormat="false" ht="12.8" hidden="false" customHeight="false" outlineLevel="0" collapsed="false">
      <c r="B107" s="40" t="n">
        <v>34</v>
      </c>
      <c r="C107" s="60" t="s">
        <v>57</v>
      </c>
      <c r="D107" s="1" t="n">
        <v>0.1678</v>
      </c>
      <c r="E107" s="1" t="s">
        <v>49</v>
      </c>
      <c r="H107" s="62"/>
      <c r="I107" s="68" t="s">
        <v>65</v>
      </c>
      <c r="J107" s="46"/>
      <c r="K107" s="47"/>
      <c r="L107" s="47"/>
      <c r="M107" s="19" t="n">
        <v>0.1749</v>
      </c>
      <c r="N107" s="20" t="n">
        <v>0.1749</v>
      </c>
    </row>
    <row r="108" customFormat="false" ht="12.8" hidden="false" customHeight="false" outlineLevel="0" collapsed="false">
      <c r="B108" s="40" t="n">
        <v>34</v>
      </c>
      <c r="C108" s="60" t="s">
        <v>65</v>
      </c>
      <c r="D108" s="1" t="n">
        <v>0.159</v>
      </c>
      <c r="E108" s="1" t="s">
        <v>49</v>
      </c>
      <c r="H108" s="69"/>
      <c r="I108" s="70" t="s">
        <v>58</v>
      </c>
      <c r="J108" s="21" t="n">
        <v>0.1</v>
      </c>
      <c r="K108" s="22" t="n">
        <v>0.1</v>
      </c>
      <c r="L108" s="22" t="n">
        <v>0.1</v>
      </c>
      <c r="M108" s="23" t="n">
        <v>0.1</v>
      </c>
      <c r="N108" s="24" t="n">
        <v>0.4</v>
      </c>
    </row>
    <row r="109" customFormat="false" ht="12.8" hidden="false" customHeight="false" outlineLevel="0" collapsed="false">
      <c r="B109" s="40" t="n">
        <v>34</v>
      </c>
      <c r="C109" s="60" t="s">
        <v>58</v>
      </c>
      <c r="D109" s="1" t="n">
        <v>0.1</v>
      </c>
      <c r="E109" s="1" t="s">
        <v>49</v>
      </c>
      <c r="H109" s="61" t="n">
        <v>18</v>
      </c>
      <c r="I109" s="67" t="s">
        <v>59</v>
      </c>
      <c r="J109" s="13" t="n">
        <v>0.1832</v>
      </c>
      <c r="K109" s="43"/>
      <c r="L109" s="13" t="n">
        <v>0.1752</v>
      </c>
      <c r="M109" s="13" t="n">
        <v>0.1743</v>
      </c>
      <c r="N109" s="15" t="n">
        <v>0.5327</v>
      </c>
    </row>
    <row r="110" customFormat="false" ht="12.8" hidden="false" customHeight="false" outlineLevel="0" collapsed="false">
      <c r="B110" s="40" t="n">
        <v>36</v>
      </c>
      <c r="C110" s="60" t="s">
        <v>59</v>
      </c>
      <c r="D110" s="1" t="n">
        <v>0.1911</v>
      </c>
      <c r="E110" s="1" t="s">
        <v>49</v>
      </c>
      <c r="H110" s="62"/>
      <c r="I110" s="68" t="s">
        <v>51</v>
      </c>
      <c r="J110" s="47"/>
      <c r="K110" s="18" t="n">
        <v>0.1871</v>
      </c>
      <c r="L110" s="18" t="n">
        <v>0.1835</v>
      </c>
      <c r="M110" s="18" t="n">
        <v>0.1733</v>
      </c>
      <c r="N110" s="20" t="n">
        <v>0.5439</v>
      </c>
    </row>
    <row r="111" customFormat="false" ht="12.8" hidden="false" customHeight="false" outlineLevel="0" collapsed="false">
      <c r="B111" s="40" t="n">
        <v>36</v>
      </c>
      <c r="C111" s="60" t="s">
        <v>48</v>
      </c>
      <c r="D111" s="1" t="n">
        <v>0.1867</v>
      </c>
      <c r="E111" s="1" t="s">
        <v>49</v>
      </c>
      <c r="H111" s="62"/>
      <c r="I111" s="68" t="s">
        <v>57</v>
      </c>
      <c r="J111" s="18" t="n">
        <v>0.1763</v>
      </c>
      <c r="K111" s="18" t="n">
        <v>0.1808</v>
      </c>
      <c r="L111" s="18" t="n">
        <v>0.1783</v>
      </c>
      <c r="M111" s="18" t="n">
        <v>0.1715</v>
      </c>
      <c r="N111" s="20" t="n">
        <v>0.7069</v>
      </c>
    </row>
    <row r="112" customFormat="false" ht="12.8" hidden="false" customHeight="false" outlineLevel="0" collapsed="false">
      <c r="B112" s="40" t="n">
        <v>36</v>
      </c>
      <c r="C112" s="60" t="s">
        <v>55</v>
      </c>
      <c r="D112" s="1" t="n">
        <v>0.18</v>
      </c>
      <c r="E112" s="1" t="s">
        <v>49</v>
      </c>
      <c r="H112" s="62"/>
      <c r="I112" s="68" t="s">
        <v>56</v>
      </c>
      <c r="J112" s="47"/>
      <c r="K112" s="18" t="n">
        <v>0.1756</v>
      </c>
      <c r="L112" s="18" t="n">
        <v>0.1753</v>
      </c>
      <c r="M112" s="18" t="n">
        <v>0.1834</v>
      </c>
      <c r="N112" s="20" t="n">
        <v>0.5343</v>
      </c>
    </row>
    <row r="113" customFormat="false" ht="12.8" hidden="false" customHeight="false" outlineLevel="0" collapsed="false">
      <c r="B113" s="40" t="n">
        <v>36</v>
      </c>
      <c r="C113" s="60" t="s">
        <v>60</v>
      </c>
      <c r="D113" s="1" t="n">
        <v>0.1758</v>
      </c>
      <c r="E113" s="1" t="s">
        <v>49</v>
      </c>
      <c r="H113" s="62"/>
      <c r="I113" s="68" t="s">
        <v>62</v>
      </c>
      <c r="J113" s="18" t="n">
        <v>0.1725</v>
      </c>
      <c r="K113" s="18" t="n">
        <v>0.172</v>
      </c>
      <c r="L113" s="47"/>
      <c r="M113" s="47"/>
      <c r="N113" s="20" t="n">
        <v>0.3445</v>
      </c>
    </row>
    <row r="114" customFormat="false" ht="12.8" hidden="false" customHeight="false" outlineLevel="0" collapsed="false">
      <c r="B114" s="40" t="n">
        <v>36</v>
      </c>
      <c r="C114" s="60" t="s">
        <v>62</v>
      </c>
      <c r="D114" s="1" t="n">
        <v>0.1664</v>
      </c>
      <c r="E114" s="1" t="s">
        <v>49</v>
      </c>
      <c r="H114" s="62"/>
      <c r="I114" s="68" t="s">
        <v>48</v>
      </c>
      <c r="J114" s="18" t="n">
        <v>0.1907</v>
      </c>
      <c r="K114" s="18" t="n">
        <v>0.1845</v>
      </c>
      <c r="L114" s="18" t="n">
        <v>0.1877</v>
      </c>
      <c r="M114" s="18" t="n">
        <v>0.1975</v>
      </c>
      <c r="N114" s="20" t="n">
        <v>0.7604</v>
      </c>
    </row>
    <row r="115" customFormat="false" ht="12.8" hidden="false" customHeight="false" outlineLevel="0" collapsed="false">
      <c r="B115" s="40" t="n">
        <v>36</v>
      </c>
      <c r="C115" s="60" t="s">
        <v>58</v>
      </c>
      <c r="D115" s="1" t="n">
        <v>0.1</v>
      </c>
      <c r="E115" s="1" t="s">
        <v>49</v>
      </c>
      <c r="H115" s="62"/>
      <c r="I115" s="68" t="s">
        <v>55</v>
      </c>
      <c r="J115" s="18" t="n">
        <v>0.1773</v>
      </c>
      <c r="K115" s="47"/>
      <c r="L115" s="47"/>
      <c r="M115" s="47"/>
      <c r="N115" s="20" t="n">
        <v>0.1773</v>
      </c>
    </row>
    <row r="116" customFormat="false" ht="12.8" hidden="false" customHeight="false" outlineLevel="0" collapsed="false">
      <c r="B116" s="40" t="n">
        <v>38</v>
      </c>
      <c r="C116" s="60" t="s">
        <v>55</v>
      </c>
      <c r="D116" s="1" t="n">
        <v>0.1966</v>
      </c>
      <c r="E116" s="1" t="s">
        <v>49</v>
      </c>
      <c r="H116" s="69"/>
      <c r="I116" s="70" t="s">
        <v>58</v>
      </c>
      <c r="J116" s="22" t="n">
        <v>0.1</v>
      </c>
      <c r="K116" s="22" t="n">
        <v>0.1</v>
      </c>
      <c r="L116" s="22" t="n">
        <v>0.1</v>
      </c>
      <c r="M116" s="22" t="n">
        <v>0.1</v>
      </c>
      <c r="N116" s="24" t="n">
        <v>0.4</v>
      </c>
    </row>
    <row r="117" customFormat="false" ht="12.8" hidden="false" customHeight="false" outlineLevel="0" collapsed="false">
      <c r="B117" s="40" t="n">
        <v>38</v>
      </c>
      <c r="C117" s="60" t="s">
        <v>48</v>
      </c>
      <c r="D117" s="1" t="n">
        <v>0.1851</v>
      </c>
      <c r="E117" s="1" t="s">
        <v>49</v>
      </c>
      <c r="H117" s="61" t="n">
        <v>20</v>
      </c>
      <c r="I117" s="67" t="s">
        <v>60</v>
      </c>
      <c r="J117" s="12" t="n">
        <v>0.1714</v>
      </c>
      <c r="K117" s="13" t="n">
        <v>0.176</v>
      </c>
      <c r="L117" s="13" t="n">
        <v>0.1799</v>
      </c>
      <c r="M117" s="44"/>
      <c r="N117" s="15" t="n">
        <v>0.5273</v>
      </c>
    </row>
    <row r="118" customFormat="false" ht="12.8" hidden="false" customHeight="false" outlineLevel="0" collapsed="false">
      <c r="B118" s="40" t="n">
        <v>38</v>
      </c>
      <c r="C118" s="60" t="s">
        <v>60</v>
      </c>
      <c r="D118" s="1" t="n">
        <v>0.1793</v>
      </c>
      <c r="E118" s="1" t="s">
        <v>49</v>
      </c>
      <c r="H118" s="62"/>
      <c r="I118" s="68" t="s">
        <v>51</v>
      </c>
      <c r="J118" s="46"/>
      <c r="K118" s="18" t="n">
        <v>0.1692</v>
      </c>
      <c r="L118" s="18" t="n">
        <v>0.1732</v>
      </c>
      <c r="M118" s="19" t="n">
        <v>0.1734</v>
      </c>
      <c r="N118" s="20" t="n">
        <v>0.5158</v>
      </c>
    </row>
    <row r="119" customFormat="false" ht="12.8" hidden="false" customHeight="false" outlineLevel="0" collapsed="false">
      <c r="B119" s="40" t="n">
        <v>38</v>
      </c>
      <c r="C119" s="60" t="s">
        <v>59</v>
      </c>
      <c r="D119" s="1" t="n">
        <v>0.1776</v>
      </c>
      <c r="E119" s="1" t="s">
        <v>49</v>
      </c>
      <c r="H119" s="62"/>
      <c r="I119" s="68" t="s">
        <v>57</v>
      </c>
      <c r="J119" s="17" t="n">
        <v>0.1576</v>
      </c>
      <c r="K119" s="18" t="n">
        <v>0.172</v>
      </c>
      <c r="L119" s="47"/>
      <c r="M119" s="19" t="n">
        <v>0.169</v>
      </c>
      <c r="N119" s="20" t="n">
        <v>0.4986</v>
      </c>
    </row>
    <row r="120" customFormat="false" ht="12.8" hidden="false" customHeight="false" outlineLevel="0" collapsed="false">
      <c r="B120" s="40" t="n">
        <v>38</v>
      </c>
      <c r="C120" s="60" t="s">
        <v>65</v>
      </c>
      <c r="D120" s="1" t="n">
        <v>0.1614</v>
      </c>
      <c r="E120" s="1" t="s">
        <v>49</v>
      </c>
      <c r="H120" s="62"/>
      <c r="I120" s="68" t="s">
        <v>56</v>
      </c>
      <c r="J120" s="17" t="n">
        <v>0.1731</v>
      </c>
      <c r="K120" s="18" t="n">
        <v>0.178</v>
      </c>
      <c r="L120" s="18" t="n">
        <v>0.1694</v>
      </c>
      <c r="M120" s="19" t="n">
        <v>0.1805</v>
      </c>
      <c r="N120" s="20" t="n">
        <v>0.701</v>
      </c>
    </row>
    <row r="121" customFormat="false" ht="12.8" hidden="false" customHeight="false" outlineLevel="0" collapsed="false">
      <c r="B121" s="40" t="n">
        <v>38</v>
      </c>
      <c r="C121" s="60" t="s">
        <v>58</v>
      </c>
      <c r="D121" s="1" t="n">
        <v>0.1</v>
      </c>
      <c r="E121" s="1" t="s">
        <v>49</v>
      </c>
      <c r="H121" s="62"/>
      <c r="I121" s="68" t="s">
        <v>62</v>
      </c>
      <c r="J121" s="46"/>
      <c r="K121" s="47"/>
      <c r="L121" s="18" t="n">
        <v>0.1748</v>
      </c>
      <c r="M121" s="48"/>
      <c r="N121" s="20" t="n">
        <v>0.1748</v>
      </c>
    </row>
    <row r="122" customFormat="false" ht="12.8" hidden="false" customHeight="false" outlineLevel="0" collapsed="false">
      <c r="B122" s="40" t="n">
        <v>40</v>
      </c>
      <c r="C122" s="60" t="s">
        <v>48</v>
      </c>
      <c r="D122" s="1" t="n">
        <v>0.2252</v>
      </c>
      <c r="E122" s="1" t="s">
        <v>49</v>
      </c>
      <c r="H122" s="62"/>
      <c r="I122" s="68" t="s">
        <v>48</v>
      </c>
      <c r="J122" s="17" t="n">
        <v>0.2191</v>
      </c>
      <c r="K122" s="18" t="n">
        <v>0.2049</v>
      </c>
      <c r="L122" s="18" t="n">
        <v>0.2026</v>
      </c>
      <c r="M122" s="19" t="n">
        <v>0.2035</v>
      </c>
      <c r="N122" s="20" t="n">
        <v>0.8301</v>
      </c>
    </row>
    <row r="123" customFormat="false" ht="12.8" hidden="false" customHeight="false" outlineLevel="0" collapsed="false">
      <c r="B123" s="40" t="n">
        <v>40</v>
      </c>
      <c r="C123" s="60" t="s">
        <v>55</v>
      </c>
      <c r="D123" s="1" t="n">
        <v>0.189</v>
      </c>
      <c r="E123" s="1" t="s">
        <v>49</v>
      </c>
      <c r="H123" s="62"/>
      <c r="I123" s="68" t="s">
        <v>55</v>
      </c>
      <c r="J123" s="17" t="n">
        <v>0.1788</v>
      </c>
      <c r="K123" s="47"/>
      <c r="L123" s="47"/>
      <c r="M123" s="19" t="n">
        <v>0.1735</v>
      </c>
      <c r="N123" s="20" t="n">
        <v>0.3523</v>
      </c>
    </row>
    <row r="124" customFormat="false" ht="12.8" hidden="false" customHeight="false" outlineLevel="0" collapsed="false">
      <c r="B124" s="40" t="n">
        <v>40</v>
      </c>
      <c r="C124" s="60" t="s">
        <v>57</v>
      </c>
      <c r="D124" s="1" t="n">
        <v>0.1676</v>
      </c>
      <c r="E124" s="1" t="s">
        <v>49</v>
      </c>
      <c r="H124" s="69"/>
      <c r="I124" s="70" t="s">
        <v>58</v>
      </c>
      <c r="J124" s="21" t="n">
        <v>0.1</v>
      </c>
      <c r="K124" s="22" t="n">
        <v>0.1</v>
      </c>
      <c r="L124" s="22" t="n">
        <v>0.1</v>
      </c>
      <c r="M124" s="23" t="n">
        <v>0.1</v>
      </c>
      <c r="N124" s="24" t="n">
        <v>0.4</v>
      </c>
    </row>
    <row r="125" customFormat="false" ht="12.8" hidden="false" customHeight="false" outlineLevel="0" collapsed="false">
      <c r="B125" s="40" t="n">
        <v>40</v>
      </c>
      <c r="C125" s="60" t="s">
        <v>65</v>
      </c>
      <c r="D125" s="1" t="n">
        <v>0.1605</v>
      </c>
      <c r="E125" s="1" t="s">
        <v>49</v>
      </c>
      <c r="H125" s="61" t="n">
        <v>22</v>
      </c>
      <c r="I125" s="67" t="s">
        <v>60</v>
      </c>
      <c r="J125" s="43"/>
      <c r="K125" s="13" t="n">
        <v>0.1752</v>
      </c>
      <c r="L125" s="13" t="n">
        <v>0.1634</v>
      </c>
      <c r="M125" s="13" t="n">
        <v>0.1618</v>
      </c>
      <c r="N125" s="15" t="n">
        <v>0.5004</v>
      </c>
    </row>
    <row r="126" customFormat="false" ht="12.8" hidden="false" customHeight="false" outlineLevel="0" collapsed="false">
      <c r="B126" s="40" t="n">
        <v>40</v>
      </c>
      <c r="C126" s="60" t="s">
        <v>56</v>
      </c>
      <c r="D126" s="1" t="n">
        <v>0.1578</v>
      </c>
      <c r="E126" s="1" t="s">
        <v>49</v>
      </c>
      <c r="H126" s="62"/>
      <c r="I126" s="68" t="s">
        <v>57</v>
      </c>
      <c r="J126" s="18" t="n">
        <v>0.1617</v>
      </c>
      <c r="K126" s="18" t="n">
        <v>0.1711</v>
      </c>
      <c r="L126" s="18" t="n">
        <v>0.1711</v>
      </c>
      <c r="M126" s="18" t="n">
        <v>0.1609</v>
      </c>
      <c r="N126" s="20" t="n">
        <v>0.6648</v>
      </c>
    </row>
    <row r="127" customFormat="false" ht="12.8" hidden="false" customHeight="false" outlineLevel="0" collapsed="false">
      <c r="B127" s="40" t="n">
        <v>40</v>
      </c>
      <c r="C127" s="60" t="s">
        <v>58</v>
      </c>
      <c r="D127" s="1" t="n">
        <v>0.1</v>
      </c>
      <c r="E127" s="1" t="s">
        <v>49</v>
      </c>
      <c r="H127" s="62"/>
      <c r="I127" s="68" t="s">
        <v>56</v>
      </c>
      <c r="J127" s="18" t="n">
        <v>0.1824</v>
      </c>
      <c r="K127" s="18" t="n">
        <v>0.1802</v>
      </c>
      <c r="L127" s="18" t="n">
        <v>0.1752</v>
      </c>
      <c r="M127" s="18" t="n">
        <v>0.1921</v>
      </c>
      <c r="N127" s="20" t="n">
        <v>0.7299</v>
      </c>
    </row>
    <row r="128" customFormat="false" ht="12.8" hidden="false" customHeight="false" outlineLevel="0" collapsed="false">
      <c r="B128" s="40" t="n">
        <v>42</v>
      </c>
      <c r="C128" s="60" t="s">
        <v>48</v>
      </c>
      <c r="D128" s="1" t="n">
        <v>0.209</v>
      </c>
      <c r="E128" s="1" t="s">
        <v>49</v>
      </c>
      <c r="H128" s="62"/>
      <c r="I128" s="68" t="s">
        <v>62</v>
      </c>
      <c r="J128" s="47"/>
      <c r="K128" s="18" t="n">
        <v>0.1511</v>
      </c>
      <c r="L128" s="18" t="n">
        <v>0.1659</v>
      </c>
      <c r="M128" s="47"/>
      <c r="N128" s="20" t="n">
        <v>0.317</v>
      </c>
    </row>
    <row r="129" customFormat="false" ht="12.8" hidden="false" customHeight="false" outlineLevel="0" collapsed="false">
      <c r="B129" s="40" t="n">
        <v>42</v>
      </c>
      <c r="C129" s="60" t="s">
        <v>57</v>
      </c>
      <c r="D129" s="1" t="n">
        <v>0.1873</v>
      </c>
      <c r="E129" s="1" t="s">
        <v>49</v>
      </c>
      <c r="H129" s="62"/>
      <c r="I129" s="68" t="s">
        <v>48</v>
      </c>
      <c r="J129" s="18" t="n">
        <v>0.2395</v>
      </c>
      <c r="K129" s="18" t="n">
        <v>0.2224</v>
      </c>
      <c r="L129" s="18" t="n">
        <v>0.2244</v>
      </c>
      <c r="M129" s="18" t="n">
        <v>0.2187</v>
      </c>
      <c r="N129" s="20" t="n">
        <v>0.905</v>
      </c>
    </row>
    <row r="130" customFormat="false" ht="12.8" hidden="false" customHeight="false" outlineLevel="0" collapsed="false">
      <c r="B130" s="40" t="n">
        <v>42</v>
      </c>
      <c r="C130" s="60" t="s">
        <v>56</v>
      </c>
      <c r="D130" s="1" t="n">
        <v>0.1728</v>
      </c>
      <c r="E130" s="1" t="s">
        <v>49</v>
      </c>
      <c r="H130" s="62"/>
      <c r="I130" s="68" t="s">
        <v>55</v>
      </c>
      <c r="J130" s="18" t="n">
        <v>0.1621</v>
      </c>
      <c r="K130" s="47"/>
      <c r="L130" s="47"/>
      <c r="M130" s="47"/>
      <c r="N130" s="20" t="n">
        <v>0.1621</v>
      </c>
    </row>
    <row r="131" customFormat="false" ht="12.8" hidden="false" customHeight="false" outlineLevel="0" collapsed="false">
      <c r="B131" s="40" t="n">
        <v>42</v>
      </c>
      <c r="C131" s="60" t="s">
        <v>55</v>
      </c>
      <c r="D131" s="1" t="n">
        <v>0.1721</v>
      </c>
      <c r="E131" s="1" t="s">
        <v>49</v>
      </c>
      <c r="H131" s="62"/>
      <c r="I131" s="68" t="s">
        <v>65</v>
      </c>
      <c r="J131" s="18" t="n">
        <v>0.1543</v>
      </c>
      <c r="K131" s="47"/>
      <c r="L131" s="47"/>
      <c r="M131" s="18" t="n">
        <v>0.1665</v>
      </c>
      <c r="N131" s="20" t="n">
        <v>0.3208</v>
      </c>
    </row>
    <row r="132" customFormat="false" ht="12.8" hidden="false" customHeight="false" outlineLevel="0" collapsed="false">
      <c r="B132" s="40" t="n">
        <v>42</v>
      </c>
      <c r="C132" s="60" t="s">
        <v>64</v>
      </c>
      <c r="D132" s="1" t="n">
        <v>0.1587</v>
      </c>
      <c r="E132" s="1" t="s">
        <v>49</v>
      </c>
      <c r="H132" s="69"/>
      <c r="I132" s="70" t="s">
        <v>58</v>
      </c>
      <c r="J132" s="22" t="n">
        <v>0.1</v>
      </c>
      <c r="K132" s="22" t="n">
        <v>0.1</v>
      </c>
      <c r="L132" s="22" t="n">
        <v>0.1</v>
      </c>
      <c r="M132" s="22" t="n">
        <v>0.1</v>
      </c>
      <c r="N132" s="24" t="n">
        <v>0.4</v>
      </c>
    </row>
    <row r="133" customFormat="false" ht="12.8" hidden="false" customHeight="false" outlineLevel="0" collapsed="false">
      <c r="B133" s="40" t="n">
        <v>42</v>
      </c>
      <c r="C133" s="60" t="s">
        <v>58</v>
      </c>
      <c r="D133" s="1" t="n">
        <v>0.1</v>
      </c>
      <c r="E133" s="1" t="s">
        <v>49</v>
      </c>
      <c r="H133" s="61" t="n">
        <v>24</v>
      </c>
      <c r="I133" s="67" t="s">
        <v>60</v>
      </c>
      <c r="J133" s="42"/>
      <c r="K133" s="13" t="n">
        <v>0.1709</v>
      </c>
      <c r="L133" s="13" t="n">
        <v>0.1726</v>
      </c>
      <c r="M133" s="14" t="n">
        <v>0.1654</v>
      </c>
      <c r="N133" s="15" t="n">
        <v>0.5089</v>
      </c>
    </row>
    <row r="134" customFormat="false" ht="12.8" hidden="false" customHeight="false" outlineLevel="0" collapsed="false">
      <c r="B134" s="40" t="n">
        <v>44</v>
      </c>
      <c r="C134" s="60" t="s">
        <v>48</v>
      </c>
      <c r="D134" s="1" t="n">
        <v>0.2042</v>
      </c>
      <c r="E134" s="1" t="s">
        <v>49</v>
      </c>
      <c r="H134" s="62"/>
      <c r="I134" s="68" t="s">
        <v>57</v>
      </c>
      <c r="J134" s="17" t="n">
        <v>0.1682</v>
      </c>
      <c r="K134" s="18" t="n">
        <v>0.1749</v>
      </c>
      <c r="L134" s="18" t="n">
        <v>0.1647</v>
      </c>
      <c r="M134" s="48"/>
      <c r="N134" s="20" t="n">
        <v>0.5078</v>
      </c>
    </row>
    <row r="135" customFormat="false" ht="12.8" hidden="false" customHeight="false" outlineLevel="0" collapsed="false">
      <c r="B135" s="40" t="n">
        <v>44</v>
      </c>
      <c r="C135" s="60" t="s">
        <v>60</v>
      </c>
      <c r="D135" s="1" t="n">
        <v>0.1781</v>
      </c>
      <c r="E135" s="1" t="s">
        <v>49</v>
      </c>
      <c r="H135" s="62"/>
      <c r="I135" s="68" t="s">
        <v>56</v>
      </c>
      <c r="J135" s="17" t="n">
        <v>0.1716</v>
      </c>
      <c r="K135" s="18" t="n">
        <v>0.1782</v>
      </c>
      <c r="L135" s="18" t="n">
        <v>0.1808</v>
      </c>
      <c r="M135" s="19" t="n">
        <v>0.1866</v>
      </c>
      <c r="N135" s="20" t="n">
        <v>0.7172</v>
      </c>
    </row>
    <row r="136" customFormat="false" ht="12.8" hidden="false" customHeight="false" outlineLevel="0" collapsed="false">
      <c r="B136" s="40" t="n">
        <v>44</v>
      </c>
      <c r="C136" s="60" t="s">
        <v>55</v>
      </c>
      <c r="D136" s="1" t="n">
        <v>0.1776</v>
      </c>
      <c r="E136" s="1" t="s">
        <v>49</v>
      </c>
      <c r="H136" s="62"/>
      <c r="I136" s="68" t="s">
        <v>62</v>
      </c>
      <c r="J136" s="17" t="n">
        <v>0.1587</v>
      </c>
      <c r="K136" s="18" t="n">
        <v>0.1603</v>
      </c>
      <c r="L136" s="18" t="n">
        <v>0.1732</v>
      </c>
      <c r="M136" s="48"/>
      <c r="N136" s="20" t="n">
        <v>0.4922</v>
      </c>
    </row>
    <row r="137" customFormat="false" ht="12.8" hidden="false" customHeight="false" outlineLevel="0" collapsed="false">
      <c r="B137" s="40" t="n">
        <v>44</v>
      </c>
      <c r="C137" s="60" t="s">
        <v>57</v>
      </c>
      <c r="D137" s="1" t="n">
        <v>0.17</v>
      </c>
      <c r="E137" s="1" t="s">
        <v>49</v>
      </c>
      <c r="H137" s="62"/>
      <c r="I137" s="68" t="s">
        <v>48</v>
      </c>
      <c r="J137" s="17" t="n">
        <v>0.2287</v>
      </c>
      <c r="K137" s="18" t="n">
        <v>0.2157</v>
      </c>
      <c r="L137" s="18" t="n">
        <v>0.2087</v>
      </c>
      <c r="M137" s="19" t="n">
        <v>0.2145</v>
      </c>
      <c r="N137" s="20" t="n">
        <v>0.8676</v>
      </c>
    </row>
    <row r="138" customFormat="false" ht="12.8" hidden="false" customHeight="false" outlineLevel="0" collapsed="false">
      <c r="B138" s="40" t="n">
        <v>44</v>
      </c>
      <c r="C138" s="60" t="s">
        <v>56</v>
      </c>
      <c r="D138" s="1" t="n">
        <v>0.17</v>
      </c>
      <c r="E138" s="1" t="s">
        <v>49</v>
      </c>
      <c r="H138" s="62"/>
      <c r="I138" s="68" t="s">
        <v>55</v>
      </c>
      <c r="J138" s="17" t="n">
        <v>0.1728</v>
      </c>
      <c r="K138" s="47"/>
      <c r="L138" s="47"/>
      <c r="M138" s="19" t="n">
        <v>0.1739</v>
      </c>
      <c r="N138" s="20" t="n">
        <v>0.3467</v>
      </c>
    </row>
    <row r="139" customFormat="false" ht="12.8" hidden="false" customHeight="false" outlineLevel="0" collapsed="false">
      <c r="B139" s="40" t="n">
        <v>44</v>
      </c>
      <c r="C139" s="60" t="s">
        <v>58</v>
      </c>
      <c r="D139" s="1" t="n">
        <v>0.1</v>
      </c>
      <c r="E139" s="1" t="s">
        <v>49</v>
      </c>
      <c r="H139" s="62"/>
      <c r="I139" s="68" t="s">
        <v>65</v>
      </c>
      <c r="J139" s="46"/>
      <c r="K139" s="47"/>
      <c r="L139" s="47"/>
      <c r="M139" s="19" t="n">
        <v>0.1595</v>
      </c>
      <c r="N139" s="20" t="n">
        <v>0.1595</v>
      </c>
    </row>
    <row r="140" customFormat="false" ht="12.8" hidden="false" customHeight="false" outlineLevel="0" collapsed="false">
      <c r="B140" s="40" t="n">
        <v>46</v>
      </c>
      <c r="C140" s="60" t="s">
        <v>55</v>
      </c>
      <c r="D140" s="1" t="n">
        <v>0.2088</v>
      </c>
      <c r="E140" s="1" t="s">
        <v>49</v>
      </c>
      <c r="H140" s="69"/>
      <c r="I140" s="70" t="s">
        <v>58</v>
      </c>
      <c r="J140" s="21" t="n">
        <v>0.1</v>
      </c>
      <c r="K140" s="22" t="n">
        <v>0.1</v>
      </c>
      <c r="L140" s="22" t="n">
        <v>0.1</v>
      </c>
      <c r="M140" s="23" t="n">
        <v>0.1</v>
      </c>
      <c r="N140" s="24" t="n">
        <v>0.4</v>
      </c>
    </row>
    <row r="141" customFormat="false" ht="12.8" hidden="false" customHeight="false" outlineLevel="0" collapsed="false">
      <c r="B141" s="40" t="n">
        <v>46</v>
      </c>
      <c r="C141" s="60" t="s">
        <v>48</v>
      </c>
      <c r="D141" s="1" t="n">
        <v>0.2005</v>
      </c>
      <c r="E141" s="1" t="s">
        <v>49</v>
      </c>
      <c r="H141" s="61" t="n">
        <v>26</v>
      </c>
      <c r="I141" s="67" t="s">
        <v>60</v>
      </c>
      <c r="J141" s="13" t="n">
        <v>0.1764</v>
      </c>
      <c r="K141" s="13" t="n">
        <v>0.3157</v>
      </c>
      <c r="L141" s="13" t="n">
        <v>0.1986</v>
      </c>
      <c r="M141" s="13" t="n">
        <v>0.1748</v>
      </c>
      <c r="N141" s="15" t="n">
        <v>0.8655</v>
      </c>
    </row>
    <row r="142" customFormat="false" ht="12.8" hidden="false" customHeight="false" outlineLevel="0" collapsed="false">
      <c r="B142" s="40" t="n">
        <v>46</v>
      </c>
      <c r="C142" s="60" t="s">
        <v>56</v>
      </c>
      <c r="D142" s="1" t="n">
        <v>0.1665</v>
      </c>
      <c r="E142" s="1" t="s">
        <v>49</v>
      </c>
      <c r="H142" s="62"/>
      <c r="I142" s="68" t="s">
        <v>57</v>
      </c>
      <c r="J142" s="18" t="n">
        <v>0.1605</v>
      </c>
      <c r="K142" s="47"/>
      <c r="L142" s="18" t="n">
        <v>0.1691</v>
      </c>
      <c r="M142" s="18" t="n">
        <v>0.1585</v>
      </c>
      <c r="N142" s="20" t="n">
        <v>0.4881</v>
      </c>
    </row>
    <row r="143" customFormat="false" ht="12.8" hidden="false" customHeight="false" outlineLevel="0" collapsed="false">
      <c r="B143" s="40" t="n">
        <v>46</v>
      </c>
      <c r="C143" s="60" t="s">
        <v>60</v>
      </c>
      <c r="D143" s="1" t="n">
        <v>0.1659</v>
      </c>
      <c r="E143" s="1" t="s">
        <v>49</v>
      </c>
      <c r="H143" s="62"/>
      <c r="I143" s="68" t="s">
        <v>48</v>
      </c>
      <c r="J143" s="18" t="n">
        <v>0.219</v>
      </c>
      <c r="K143" s="18" t="n">
        <v>0.3131</v>
      </c>
      <c r="L143" s="18" t="n">
        <v>0.2011</v>
      </c>
      <c r="M143" s="18" t="n">
        <v>0.2037</v>
      </c>
      <c r="N143" s="20" t="n">
        <v>0.9369</v>
      </c>
    </row>
    <row r="144" customFormat="false" ht="12.8" hidden="false" customHeight="false" outlineLevel="0" collapsed="false">
      <c r="B144" s="40" t="n">
        <v>46</v>
      </c>
      <c r="C144" s="60" t="s">
        <v>57</v>
      </c>
      <c r="D144" s="1" t="n">
        <v>0.1582</v>
      </c>
      <c r="E144" s="1" t="s">
        <v>49</v>
      </c>
      <c r="H144" s="62"/>
      <c r="I144" s="68" t="s">
        <v>55</v>
      </c>
      <c r="J144" s="18" t="n">
        <v>0.1703</v>
      </c>
      <c r="K144" s="47"/>
      <c r="L144" s="18" t="n">
        <v>0.1641</v>
      </c>
      <c r="M144" s="18" t="n">
        <v>0.1786</v>
      </c>
      <c r="N144" s="20" t="n">
        <v>0.513</v>
      </c>
    </row>
    <row r="145" customFormat="false" ht="12.8" hidden="false" customHeight="false" outlineLevel="0" collapsed="false">
      <c r="B145" s="40" t="n">
        <v>46</v>
      </c>
      <c r="C145" s="60" t="s">
        <v>58</v>
      </c>
      <c r="D145" s="1" t="n">
        <v>0.1</v>
      </c>
      <c r="E145" s="1" t="s">
        <v>49</v>
      </c>
      <c r="H145" s="62"/>
      <c r="I145" s="68" t="s">
        <v>65</v>
      </c>
      <c r="J145" s="18" t="n">
        <v>0.1738</v>
      </c>
      <c r="K145" s="18" t="n">
        <v>0.2712</v>
      </c>
      <c r="L145" s="18" t="n">
        <v>0.1671</v>
      </c>
      <c r="M145" s="18" t="n">
        <v>0.1844</v>
      </c>
      <c r="N145" s="20" t="n">
        <v>0.7965</v>
      </c>
    </row>
    <row r="146" customFormat="false" ht="12.8" hidden="false" customHeight="false" outlineLevel="0" collapsed="false">
      <c r="B146" s="40" t="n">
        <v>48</v>
      </c>
      <c r="C146" s="60" t="s">
        <v>48</v>
      </c>
      <c r="D146" s="1" t="n">
        <v>0.2064</v>
      </c>
      <c r="E146" s="1" t="s">
        <v>49</v>
      </c>
      <c r="H146" s="69"/>
      <c r="I146" s="70" t="s">
        <v>58</v>
      </c>
      <c r="J146" s="22" t="n">
        <v>0.1</v>
      </c>
      <c r="K146" s="22" t="n">
        <v>0.1</v>
      </c>
      <c r="L146" s="22" t="n">
        <v>0.1</v>
      </c>
      <c r="M146" s="22" t="n">
        <v>0.1</v>
      </c>
      <c r="N146" s="24" t="n">
        <v>0.4</v>
      </c>
    </row>
    <row r="147" customFormat="false" ht="12.8" hidden="false" customHeight="false" outlineLevel="0" collapsed="false">
      <c r="B147" s="40" t="n">
        <v>48</v>
      </c>
      <c r="C147" s="60" t="s">
        <v>55</v>
      </c>
      <c r="D147" s="1" t="n">
        <v>0.173</v>
      </c>
      <c r="E147" s="1" t="s">
        <v>49</v>
      </c>
      <c r="H147" s="61" t="n">
        <v>28</v>
      </c>
      <c r="I147" s="67" t="s">
        <v>60</v>
      </c>
      <c r="J147" s="12" t="n">
        <v>0.1978</v>
      </c>
      <c r="K147" s="13" t="n">
        <v>0.2116</v>
      </c>
      <c r="L147" s="13" t="n">
        <v>0.2095</v>
      </c>
      <c r="M147" s="14" t="n">
        <v>0.1866</v>
      </c>
      <c r="N147" s="15" t="n">
        <v>0.8055</v>
      </c>
    </row>
    <row r="148" customFormat="false" ht="12.8" hidden="false" customHeight="false" outlineLevel="0" collapsed="false">
      <c r="B148" s="40" t="n">
        <v>48</v>
      </c>
      <c r="C148" s="60" t="s">
        <v>56</v>
      </c>
      <c r="D148" s="1" t="n">
        <v>0.1671</v>
      </c>
      <c r="E148" s="1" t="s">
        <v>49</v>
      </c>
      <c r="H148" s="62"/>
      <c r="I148" s="68" t="s">
        <v>57</v>
      </c>
      <c r="J148" s="17" t="n">
        <v>0.1679</v>
      </c>
      <c r="K148" s="18" t="n">
        <v>0.1715</v>
      </c>
      <c r="L148" s="18" t="n">
        <v>0.1734</v>
      </c>
      <c r="M148" s="19" t="n">
        <v>0.1715</v>
      </c>
      <c r="N148" s="20" t="n">
        <v>0.6843</v>
      </c>
    </row>
    <row r="149" customFormat="false" ht="12.8" hidden="false" customHeight="false" outlineLevel="0" collapsed="false">
      <c r="B149" s="40" t="n">
        <v>48</v>
      </c>
      <c r="C149" s="60" t="s">
        <v>58</v>
      </c>
      <c r="D149" s="1" t="n">
        <v>0.1543</v>
      </c>
      <c r="E149" s="1" t="s">
        <v>49</v>
      </c>
      <c r="H149" s="62"/>
      <c r="I149" s="68" t="s">
        <v>56</v>
      </c>
      <c r="J149" s="46"/>
      <c r="K149" s="18" t="n">
        <v>0.1614</v>
      </c>
      <c r="L149" s="18" t="n">
        <v>0.1649</v>
      </c>
      <c r="M149" s="48"/>
      <c r="N149" s="20" t="n">
        <v>0.3263</v>
      </c>
    </row>
    <row r="150" customFormat="false" ht="12.8" hidden="false" customHeight="false" outlineLevel="0" collapsed="false">
      <c r="B150" s="40" t="n">
        <v>48</v>
      </c>
      <c r="C150" s="60" t="s">
        <v>57</v>
      </c>
      <c r="D150" s="1" t="n">
        <v>0.1502</v>
      </c>
      <c r="E150" s="1" t="s">
        <v>49</v>
      </c>
      <c r="H150" s="62"/>
      <c r="I150" s="68" t="s">
        <v>62</v>
      </c>
      <c r="J150" s="17" t="n">
        <v>0.1523</v>
      </c>
      <c r="K150" s="47"/>
      <c r="L150" s="47"/>
      <c r="M150" s="48"/>
      <c r="N150" s="20" t="n">
        <v>0.1523</v>
      </c>
    </row>
    <row r="151" customFormat="false" ht="12.8" hidden="false" customHeight="false" outlineLevel="0" collapsed="false">
      <c r="B151" s="40" t="n">
        <v>48</v>
      </c>
      <c r="C151" s="60" t="s">
        <v>64</v>
      </c>
      <c r="D151" s="1" t="n">
        <v>0.149</v>
      </c>
      <c r="E151" s="1" t="s">
        <v>49</v>
      </c>
      <c r="H151" s="62"/>
      <c r="I151" s="68" t="s">
        <v>48</v>
      </c>
      <c r="J151" s="17" t="n">
        <v>0.215</v>
      </c>
      <c r="K151" s="18" t="n">
        <v>0.1935</v>
      </c>
      <c r="L151" s="18" t="n">
        <v>0.1963</v>
      </c>
      <c r="M151" s="19" t="n">
        <v>0.2</v>
      </c>
      <c r="N151" s="20" t="n">
        <v>0.8048</v>
      </c>
    </row>
    <row r="152" customFormat="false" ht="12.8" hidden="false" customHeight="false" outlineLevel="0" collapsed="false">
      <c r="B152" s="71" t="n">
        <v>0</v>
      </c>
      <c r="C152" s="60" t="s">
        <v>48</v>
      </c>
      <c r="D152" s="1" t="n">
        <v>0.2025</v>
      </c>
      <c r="E152" s="1" t="s">
        <v>52</v>
      </c>
      <c r="H152" s="62"/>
      <c r="I152" s="68" t="s">
        <v>55</v>
      </c>
      <c r="J152" s="17" t="n">
        <v>0.167</v>
      </c>
      <c r="K152" s="47"/>
      <c r="L152" s="18" t="n">
        <v>0.156</v>
      </c>
      <c r="M152" s="19" t="n">
        <v>0.1717</v>
      </c>
      <c r="N152" s="20" t="n">
        <v>0.4947</v>
      </c>
    </row>
    <row r="153" customFormat="false" ht="12.8" hidden="false" customHeight="false" outlineLevel="0" collapsed="false">
      <c r="B153" s="71" t="n">
        <v>0</v>
      </c>
      <c r="C153" s="60" t="s">
        <v>51</v>
      </c>
      <c r="D153" s="1" t="n">
        <v>0.192</v>
      </c>
      <c r="E153" s="1" t="s">
        <v>52</v>
      </c>
      <c r="H153" s="62"/>
      <c r="I153" s="68" t="s">
        <v>65</v>
      </c>
      <c r="J153" s="46"/>
      <c r="K153" s="18" t="n">
        <v>0.162</v>
      </c>
      <c r="L153" s="47"/>
      <c r="M153" s="19" t="n">
        <v>0.1703</v>
      </c>
      <c r="N153" s="20" t="n">
        <v>0.3323</v>
      </c>
    </row>
    <row r="154" customFormat="false" ht="12.8" hidden="false" customHeight="false" outlineLevel="0" collapsed="false">
      <c r="B154" s="71" t="n">
        <v>0</v>
      </c>
      <c r="C154" s="60" t="s">
        <v>56</v>
      </c>
      <c r="D154" s="1" t="n">
        <v>0.176</v>
      </c>
      <c r="E154" s="1" t="s">
        <v>52</v>
      </c>
      <c r="H154" s="69"/>
      <c r="I154" s="70" t="s">
        <v>58</v>
      </c>
      <c r="J154" s="21" t="n">
        <v>0.1</v>
      </c>
      <c r="K154" s="22" t="n">
        <v>0.1</v>
      </c>
      <c r="L154" s="22" t="n">
        <v>0.1</v>
      </c>
      <c r="M154" s="23" t="n">
        <v>0.1</v>
      </c>
      <c r="N154" s="24" t="n">
        <v>0.4</v>
      </c>
    </row>
    <row r="155" customFormat="false" ht="12.8" hidden="false" customHeight="false" outlineLevel="0" collapsed="false">
      <c r="B155" s="71" t="n">
        <v>0</v>
      </c>
      <c r="C155" s="60" t="s">
        <v>57</v>
      </c>
      <c r="D155" s="1" t="n">
        <v>0.1713</v>
      </c>
      <c r="E155" s="1" t="s">
        <v>52</v>
      </c>
      <c r="H155" s="61" t="n">
        <v>30</v>
      </c>
      <c r="I155" s="67" t="s">
        <v>59</v>
      </c>
      <c r="J155" s="43"/>
      <c r="K155" s="43"/>
      <c r="L155" s="13" t="n">
        <v>0.1663</v>
      </c>
      <c r="M155" s="43"/>
      <c r="N155" s="15" t="n">
        <v>0.1663</v>
      </c>
    </row>
    <row r="156" customFormat="false" ht="12.8" hidden="false" customHeight="false" outlineLevel="0" collapsed="false">
      <c r="B156" s="71" t="n">
        <v>0</v>
      </c>
      <c r="C156" s="60" t="s">
        <v>62</v>
      </c>
      <c r="D156" s="1" t="n">
        <v>0.1582</v>
      </c>
      <c r="E156" s="1" t="s">
        <v>52</v>
      </c>
      <c r="H156" s="62"/>
      <c r="I156" s="68" t="s">
        <v>60</v>
      </c>
      <c r="J156" s="18" t="n">
        <v>0.1702</v>
      </c>
      <c r="K156" s="18" t="n">
        <v>0.1847</v>
      </c>
      <c r="L156" s="18" t="n">
        <v>0.1742</v>
      </c>
      <c r="M156" s="18" t="n">
        <v>0.1724</v>
      </c>
      <c r="N156" s="20" t="n">
        <v>0.7015</v>
      </c>
    </row>
    <row r="157" customFormat="false" ht="12.8" hidden="false" customHeight="false" outlineLevel="0" collapsed="false">
      <c r="B157" s="71" t="n">
        <v>0</v>
      </c>
      <c r="C157" s="60" t="s">
        <v>58</v>
      </c>
      <c r="D157" s="1" t="n">
        <v>0.1</v>
      </c>
      <c r="E157" s="1" t="s">
        <v>52</v>
      </c>
      <c r="H157" s="62"/>
      <c r="I157" s="68" t="s">
        <v>57</v>
      </c>
      <c r="J157" s="18" t="n">
        <v>0.1806</v>
      </c>
      <c r="K157" s="18" t="n">
        <v>0.1797</v>
      </c>
      <c r="L157" s="18" t="n">
        <v>0.1904</v>
      </c>
      <c r="M157" s="18" t="n">
        <v>0.1935</v>
      </c>
      <c r="N157" s="20" t="n">
        <v>0.7442</v>
      </c>
    </row>
    <row r="158" customFormat="false" ht="12.8" hidden="false" customHeight="false" outlineLevel="0" collapsed="false">
      <c r="B158" s="71" t="n">
        <v>2</v>
      </c>
      <c r="C158" s="60" t="s">
        <v>48</v>
      </c>
      <c r="D158" s="1" t="n">
        <v>0.2144</v>
      </c>
      <c r="E158" s="1" t="s">
        <v>52</v>
      </c>
      <c r="H158" s="62"/>
      <c r="I158" s="68" t="s">
        <v>56</v>
      </c>
      <c r="J158" s="47"/>
      <c r="K158" s="18" t="n">
        <v>0.1683</v>
      </c>
      <c r="L158" s="18" t="n">
        <v>0.1738</v>
      </c>
      <c r="M158" s="18" t="n">
        <v>0.1634</v>
      </c>
      <c r="N158" s="20" t="n">
        <v>0.5055</v>
      </c>
    </row>
    <row r="159" customFormat="false" ht="12.8" hidden="false" customHeight="false" outlineLevel="0" collapsed="false">
      <c r="B159" s="71" t="n">
        <v>2</v>
      </c>
      <c r="C159" s="60" t="s">
        <v>51</v>
      </c>
      <c r="D159" s="1" t="n">
        <v>0.1822</v>
      </c>
      <c r="E159" s="1" t="s">
        <v>52</v>
      </c>
      <c r="H159" s="62"/>
      <c r="I159" s="68" t="s">
        <v>48</v>
      </c>
      <c r="J159" s="18" t="n">
        <v>0.2041</v>
      </c>
      <c r="K159" s="18" t="n">
        <v>0.1902</v>
      </c>
      <c r="L159" s="18" t="n">
        <v>0.1952</v>
      </c>
      <c r="M159" s="18" t="n">
        <v>0.1938</v>
      </c>
      <c r="N159" s="20" t="n">
        <v>0.7833</v>
      </c>
    </row>
    <row r="160" customFormat="false" ht="12.8" hidden="false" customHeight="false" outlineLevel="0" collapsed="false">
      <c r="B160" s="71" t="n">
        <v>2</v>
      </c>
      <c r="C160" s="60" t="s">
        <v>62</v>
      </c>
      <c r="D160" s="1" t="n">
        <v>0.1713</v>
      </c>
      <c r="E160" s="1" t="s">
        <v>52</v>
      </c>
      <c r="H160" s="62"/>
      <c r="I160" s="68" t="s">
        <v>55</v>
      </c>
      <c r="J160" s="18" t="n">
        <v>0.1848</v>
      </c>
      <c r="K160" s="47"/>
      <c r="L160" s="47"/>
      <c r="M160" s="47"/>
      <c r="N160" s="20" t="n">
        <v>0.1848</v>
      </c>
    </row>
    <row r="161" customFormat="false" ht="12.8" hidden="false" customHeight="false" outlineLevel="0" collapsed="false">
      <c r="B161" s="71" t="n">
        <v>2</v>
      </c>
      <c r="C161" s="60" t="s">
        <v>57</v>
      </c>
      <c r="D161" s="1" t="n">
        <v>0.1663</v>
      </c>
      <c r="E161" s="1" t="s">
        <v>52</v>
      </c>
      <c r="H161" s="62"/>
      <c r="I161" s="68" t="s">
        <v>65</v>
      </c>
      <c r="J161" s="18" t="n">
        <v>0.1602</v>
      </c>
      <c r="K161" s="18" t="n">
        <v>0.1771</v>
      </c>
      <c r="L161" s="47"/>
      <c r="M161" s="18" t="n">
        <v>0.1768</v>
      </c>
      <c r="N161" s="20" t="n">
        <v>0.5141</v>
      </c>
    </row>
    <row r="162" customFormat="false" ht="12.8" hidden="false" customHeight="false" outlineLevel="0" collapsed="false">
      <c r="B162" s="71" t="n">
        <v>2</v>
      </c>
      <c r="C162" s="60" t="s">
        <v>59</v>
      </c>
      <c r="D162" s="1" t="n">
        <v>0.1658</v>
      </c>
      <c r="E162" s="1" t="s">
        <v>52</v>
      </c>
      <c r="H162" s="69"/>
      <c r="I162" s="70" t="s">
        <v>58</v>
      </c>
      <c r="J162" s="22" t="n">
        <v>0.1</v>
      </c>
      <c r="K162" s="22" t="n">
        <v>0.1</v>
      </c>
      <c r="L162" s="22" t="n">
        <v>0.1</v>
      </c>
      <c r="M162" s="22" t="n">
        <v>0.1</v>
      </c>
      <c r="N162" s="24" t="n">
        <v>0.4</v>
      </c>
    </row>
    <row r="163" customFormat="false" ht="12.8" hidden="false" customHeight="false" outlineLevel="0" collapsed="false">
      <c r="B163" s="71" t="n">
        <v>2</v>
      </c>
      <c r="C163" s="60" t="s">
        <v>58</v>
      </c>
      <c r="D163" s="1" t="n">
        <v>0.1</v>
      </c>
      <c r="E163" s="1" t="s">
        <v>52</v>
      </c>
      <c r="H163" s="61" t="n">
        <v>32</v>
      </c>
      <c r="I163" s="67" t="s">
        <v>59</v>
      </c>
      <c r="J163" s="12" t="n">
        <v>0.1592</v>
      </c>
      <c r="K163" s="13" t="n">
        <v>0.262</v>
      </c>
      <c r="L163" s="13" t="n">
        <v>0.1682</v>
      </c>
      <c r="M163" s="44"/>
      <c r="N163" s="15" t="n">
        <v>0.5894</v>
      </c>
    </row>
    <row r="164" customFormat="false" ht="12.8" hidden="false" customHeight="false" outlineLevel="0" collapsed="false">
      <c r="B164" s="71" t="n">
        <v>4</v>
      </c>
      <c r="C164" s="60" t="s">
        <v>51</v>
      </c>
      <c r="D164" s="1" t="n">
        <v>0.2066</v>
      </c>
      <c r="E164" s="1" t="s">
        <v>52</v>
      </c>
      <c r="H164" s="62"/>
      <c r="I164" s="68" t="s">
        <v>57</v>
      </c>
      <c r="J164" s="17" t="n">
        <v>0.1703</v>
      </c>
      <c r="K164" s="47"/>
      <c r="L164" s="18" t="n">
        <v>0.167</v>
      </c>
      <c r="M164" s="19" t="n">
        <v>0.1667</v>
      </c>
      <c r="N164" s="20" t="n">
        <v>0.504</v>
      </c>
    </row>
    <row r="165" customFormat="false" ht="12.8" hidden="false" customHeight="false" outlineLevel="0" collapsed="false">
      <c r="B165" s="71" t="n">
        <v>4</v>
      </c>
      <c r="C165" s="60" t="s">
        <v>55</v>
      </c>
      <c r="D165" s="1" t="n">
        <v>0.1879</v>
      </c>
      <c r="E165" s="1" t="s">
        <v>52</v>
      </c>
      <c r="H165" s="62"/>
      <c r="I165" s="68" t="s">
        <v>56</v>
      </c>
      <c r="J165" s="17" t="n">
        <v>0.1604</v>
      </c>
      <c r="K165" s="18" t="n">
        <v>0.2955</v>
      </c>
      <c r="L165" s="18" t="n">
        <v>0.1897</v>
      </c>
      <c r="M165" s="19" t="n">
        <v>0.1797</v>
      </c>
      <c r="N165" s="20" t="n">
        <v>0.8253</v>
      </c>
    </row>
    <row r="166" customFormat="false" ht="12.8" hidden="false" customHeight="false" outlineLevel="0" collapsed="false">
      <c r="B166" s="71" t="n">
        <v>4</v>
      </c>
      <c r="C166" s="60" t="s">
        <v>48</v>
      </c>
      <c r="D166" s="1" t="n">
        <v>0.1769</v>
      </c>
      <c r="E166" s="1" t="s">
        <v>52</v>
      </c>
      <c r="H166" s="62"/>
      <c r="I166" s="68" t="s">
        <v>62</v>
      </c>
      <c r="J166" s="46"/>
      <c r="K166" s="47"/>
      <c r="L166" s="18" t="n">
        <v>0.17</v>
      </c>
      <c r="M166" s="48"/>
      <c r="N166" s="20" t="n">
        <v>0.17</v>
      </c>
    </row>
    <row r="167" customFormat="false" ht="12.8" hidden="false" customHeight="false" outlineLevel="0" collapsed="false">
      <c r="B167" s="71" t="n">
        <v>4</v>
      </c>
      <c r="C167" s="60" t="s">
        <v>59</v>
      </c>
      <c r="D167" s="1" t="n">
        <v>0.1693</v>
      </c>
      <c r="E167" s="1" t="s">
        <v>52</v>
      </c>
      <c r="H167" s="62"/>
      <c r="I167" s="68" t="s">
        <v>48</v>
      </c>
      <c r="J167" s="17" t="n">
        <v>0.2308</v>
      </c>
      <c r="K167" s="18" t="n">
        <v>0.3425</v>
      </c>
      <c r="L167" s="18" t="n">
        <v>0.205</v>
      </c>
      <c r="M167" s="19" t="n">
        <v>0.2136</v>
      </c>
      <c r="N167" s="20" t="n">
        <v>0.9919</v>
      </c>
    </row>
    <row r="168" customFormat="false" ht="12.8" hidden="false" customHeight="false" outlineLevel="0" collapsed="false">
      <c r="B168" s="71" t="n">
        <v>4</v>
      </c>
      <c r="C168" s="60" t="s">
        <v>57</v>
      </c>
      <c r="D168" s="1" t="n">
        <v>0.1594</v>
      </c>
      <c r="E168" s="1" t="s">
        <v>52</v>
      </c>
      <c r="H168" s="62"/>
      <c r="I168" s="68" t="s">
        <v>55</v>
      </c>
      <c r="J168" s="17" t="n">
        <v>0.1793</v>
      </c>
      <c r="K168" s="47"/>
      <c r="L168" s="47"/>
      <c r="M168" s="19" t="n">
        <v>0.1667</v>
      </c>
      <c r="N168" s="20" t="n">
        <v>0.346</v>
      </c>
    </row>
    <row r="169" customFormat="false" ht="12.8" hidden="false" customHeight="false" outlineLevel="0" collapsed="false">
      <c r="B169" s="71" t="n">
        <v>4</v>
      </c>
      <c r="C169" s="60" t="s">
        <v>58</v>
      </c>
      <c r="D169" s="1" t="n">
        <v>0.1</v>
      </c>
      <c r="E169" s="1" t="s">
        <v>52</v>
      </c>
      <c r="H169" s="62"/>
      <c r="I169" s="68" t="s">
        <v>65</v>
      </c>
      <c r="J169" s="46"/>
      <c r="K169" s="47"/>
      <c r="L169" s="47"/>
      <c r="M169" s="19" t="n">
        <v>0.1732</v>
      </c>
      <c r="N169" s="20" t="n">
        <v>0.1732</v>
      </c>
    </row>
    <row r="170" customFormat="false" ht="12.8" hidden="false" customHeight="false" outlineLevel="0" collapsed="false">
      <c r="B170" s="71" t="n">
        <v>6</v>
      </c>
      <c r="C170" s="60" t="s">
        <v>51</v>
      </c>
      <c r="D170" s="1" t="n">
        <v>0.2022</v>
      </c>
      <c r="E170" s="1" t="s">
        <v>52</v>
      </c>
      <c r="H170" s="69"/>
      <c r="I170" s="70" t="s">
        <v>58</v>
      </c>
      <c r="J170" s="21" t="n">
        <v>0.1</v>
      </c>
      <c r="K170" s="22" t="n">
        <v>0.1</v>
      </c>
      <c r="L170" s="22" t="n">
        <v>0.1</v>
      </c>
      <c r="M170" s="23" t="n">
        <v>0.1</v>
      </c>
      <c r="N170" s="24" t="n">
        <v>0.4</v>
      </c>
    </row>
    <row r="171" customFormat="false" ht="12.8" hidden="false" customHeight="false" outlineLevel="0" collapsed="false">
      <c r="B171" s="71" t="n">
        <v>6</v>
      </c>
      <c r="C171" s="60" t="s">
        <v>48</v>
      </c>
      <c r="D171" s="1" t="n">
        <v>0.1992</v>
      </c>
      <c r="E171" s="1" t="s">
        <v>52</v>
      </c>
      <c r="H171" s="61" t="n">
        <v>34</v>
      </c>
      <c r="I171" s="67" t="s">
        <v>59</v>
      </c>
      <c r="J171" s="13" t="n">
        <v>0.1724</v>
      </c>
      <c r="K171" s="13" t="n">
        <v>0.1665</v>
      </c>
      <c r="L171" s="13" t="n">
        <v>0.1796</v>
      </c>
      <c r="M171" s="13" t="n">
        <v>0.1722</v>
      </c>
      <c r="N171" s="15" t="n">
        <v>0.6907</v>
      </c>
    </row>
    <row r="172" customFormat="false" ht="12.8" hidden="false" customHeight="false" outlineLevel="0" collapsed="false">
      <c r="B172" s="71" t="n">
        <v>6</v>
      </c>
      <c r="C172" s="60" t="s">
        <v>57</v>
      </c>
      <c r="D172" s="1" t="n">
        <v>0.1713</v>
      </c>
      <c r="E172" s="1" t="s">
        <v>52</v>
      </c>
      <c r="H172" s="62"/>
      <c r="I172" s="68" t="s">
        <v>60</v>
      </c>
      <c r="J172" s="47"/>
      <c r="K172" s="18" t="n">
        <v>0.1681</v>
      </c>
      <c r="L172" s="47"/>
      <c r="M172" s="47"/>
      <c r="N172" s="20" t="n">
        <v>0.1681</v>
      </c>
    </row>
    <row r="173" customFormat="false" ht="12.8" hidden="false" customHeight="false" outlineLevel="0" collapsed="false">
      <c r="B173" s="71" t="n">
        <v>6</v>
      </c>
      <c r="C173" s="60" t="s">
        <v>63</v>
      </c>
      <c r="D173" s="1" t="n">
        <v>0.1654</v>
      </c>
      <c r="E173" s="1" t="s">
        <v>52</v>
      </c>
      <c r="H173" s="62"/>
      <c r="I173" s="68" t="s">
        <v>57</v>
      </c>
      <c r="J173" s="18" t="n">
        <v>0.1678</v>
      </c>
      <c r="K173" s="18" t="n">
        <v>0.1768</v>
      </c>
      <c r="L173" s="18" t="n">
        <v>0.1669</v>
      </c>
      <c r="M173" s="18" t="n">
        <v>0.1838</v>
      </c>
      <c r="N173" s="20" t="n">
        <v>0.6953</v>
      </c>
    </row>
    <row r="174" customFormat="false" ht="12.8" hidden="false" customHeight="false" outlineLevel="0" collapsed="false">
      <c r="B174" s="71" t="n">
        <v>6</v>
      </c>
      <c r="C174" s="60" t="s">
        <v>55</v>
      </c>
      <c r="D174" s="1" t="n">
        <v>0.1619</v>
      </c>
      <c r="E174" s="1" t="s">
        <v>52</v>
      </c>
      <c r="H174" s="62"/>
      <c r="I174" s="68" t="s">
        <v>56</v>
      </c>
      <c r="J174" s="47"/>
      <c r="K174" s="18" t="n">
        <v>0.1818</v>
      </c>
      <c r="L174" s="18" t="n">
        <v>0.1794</v>
      </c>
      <c r="M174" s="18" t="n">
        <v>0.1715</v>
      </c>
      <c r="N174" s="20" t="n">
        <v>0.5327</v>
      </c>
    </row>
    <row r="175" customFormat="false" ht="12.8" hidden="false" customHeight="false" outlineLevel="0" collapsed="false">
      <c r="B175" s="71" t="n">
        <v>6</v>
      </c>
      <c r="C175" s="60" t="s">
        <v>58</v>
      </c>
      <c r="D175" s="1" t="n">
        <v>0.1</v>
      </c>
      <c r="E175" s="1" t="s">
        <v>52</v>
      </c>
      <c r="H175" s="62"/>
      <c r="I175" s="68" t="s">
        <v>48</v>
      </c>
      <c r="J175" s="18" t="n">
        <v>0.2101</v>
      </c>
      <c r="K175" s="18" t="n">
        <v>0.2068</v>
      </c>
      <c r="L175" s="18" t="n">
        <v>0.2047</v>
      </c>
      <c r="M175" s="18" t="n">
        <v>0.2058</v>
      </c>
      <c r="N175" s="20" t="n">
        <v>0.8274</v>
      </c>
    </row>
    <row r="176" customFormat="false" ht="12.8" hidden="false" customHeight="false" outlineLevel="0" collapsed="false">
      <c r="B176" s="71" t="n">
        <v>8</v>
      </c>
      <c r="C176" s="60" t="s">
        <v>48</v>
      </c>
      <c r="D176" s="1" t="n">
        <v>0.2271</v>
      </c>
      <c r="E176" s="1" t="s">
        <v>52</v>
      </c>
      <c r="H176" s="62"/>
      <c r="I176" s="68" t="s">
        <v>55</v>
      </c>
      <c r="J176" s="18" t="n">
        <v>0.1908</v>
      </c>
      <c r="K176" s="47"/>
      <c r="L176" s="47"/>
      <c r="M176" s="47"/>
      <c r="N176" s="20" t="n">
        <v>0.1908</v>
      </c>
    </row>
    <row r="177" customFormat="false" ht="12.8" hidden="false" customHeight="false" outlineLevel="0" collapsed="false">
      <c r="B177" s="71" t="n">
        <v>8</v>
      </c>
      <c r="C177" s="60" t="s">
        <v>57</v>
      </c>
      <c r="D177" s="1" t="n">
        <v>0.1729</v>
      </c>
      <c r="E177" s="1" t="s">
        <v>52</v>
      </c>
      <c r="H177" s="62"/>
      <c r="I177" s="68" t="s">
        <v>65</v>
      </c>
      <c r="J177" s="18" t="n">
        <v>0.159</v>
      </c>
      <c r="K177" s="47"/>
      <c r="L177" s="18" t="n">
        <v>0.1693</v>
      </c>
      <c r="M177" s="18" t="n">
        <v>0.1667</v>
      </c>
      <c r="N177" s="20" t="n">
        <v>0.495</v>
      </c>
    </row>
    <row r="178" customFormat="false" ht="12.8" hidden="false" customHeight="false" outlineLevel="0" collapsed="false">
      <c r="B178" s="71" t="n">
        <v>8</v>
      </c>
      <c r="C178" s="60" t="s">
        <v>56</v>
      </c>
      <c r="D178" s="1" t="n">
        <v>0.1696</v>
      </c>
      <c r="E178" s="1" t="s">
        <v>52</v>
      </c>
      <c r="H178" s="69"/>
      <c r="I178" s="70" t="s">
        <v>58</v>
      </c>
      <c r="J178" s="22" t="n">
        <v>0.1</v>
      </c>
      <c r="K178" s="22" t="n">
        <v>0.1</v>
      </c>
      <c r="L178" s="22" t="n">
        <v>0.1</v>
      </c>
      <c r="M178" s="22" t="n">
        <v>0.1</v>
      </c>
      <c r="N178" s="24" t="n">
        <v>0.4</v>
      </c>
    </row>
    <row r="179" customFormat="false" ht="12.8" hidden="false" customHeight="false" outlineLevel="0" collapsed="false">
      <c r="B179" s="71" t="n">
        <v>8</v>
      </c>
      <c r="C179" s="60" t="s">
        <v>51</v>
      </c>
      <c r="D179" s="1" t="n">
        <v>0.1653</v>
      </c>
      <c r="E179" s="1" t="s">
        <v>52</v>
      </c>
      <c r="H179" s="61" t="n">
        <v>36</v>
      </c>
      <c r="I179" s="67" t="s">
        <v>59</v>
      </c>
      <c r="J179" s="12" t="n">
        <v>0.1911</v>
      </c>
      <c r="K179" s="43"/>
      <c r="L179" s="43"/>
      <c r="M179" s="14" t="n">
        <v>0.1817</v>
      </c>
      <c r="N179" s="15" t="n">
        <v>0.3728</v>
      </c>
    </row>
    <row r="180" customFormat="false" ht="12.8" hidden="false" customHeight="false" outlineLevel="0" collapsed="false">
      <c r="B180" s="71" t="n">
        <v>8</v>
      </c>
      <c r="C180" s="60" t="s">
        <v>60</v>
      </c>
      <c r="D180" s="1" t="n">
        <v>0.1652</v>
      </c>
      <c r="E180" s="1" t="s">
        <v>52</v>
      </c>
      <c r="H180" s="62"/>
      <c r="I180" s="68" t="s">
        <v>63</v>
      </c>
      <c r="J180" s="46"/>
      <c r="K180" s="18" t="n">
        <v>0.1607</v>
      </c>
      <c r="L180" s="47"/>
      <c r="M180" s="48"/>
      <c r="N180" s="20" t="n">
        <v>0.1607</v>
      </c>
    </row>
    <row r="181" customFormat="false" ht="12.8" hidden="false" customHeight="false" outlineLevel="0" collapsed="false">
      <c r="B181" s="71" t="n">
        <v>8</v>
      </c>
      <c r="C181" s="60" t="s">
        <v>58</v>
      </c>
      <c r="D181" s="1" t="n">
        <v>0.1</v>
      </c>
      <c r="E181" s="1" t="s">
        <v>52</v>
      </c>
      <c r="H181" s="62"/>
      <c r="I181" s="68" t="s">
        <v>60</v>
      </c>
      <c r="J181" s="17" t="n">
        <v>0.1758</v>
      </c>
      <c r="K181" s="47"/>
      <c r="L181" s="47"/>
      <c r="M181" s="19" t="n">
        <v>0.1766</v>
      </c>
      <c r="N181" s="20" t="n">
        <v>0.3524</v>
      </c>
    </row>
    <row r="182" customFormat="false" ht="12.8" hidden="false" customHeight="false" outlineLevel="0" collapsed="false">
      <c r="B182" s="71" t="n">
        <v>10</v>
      </c>
      <c r="C182" s="60" t="s">
        <v>48</v>
      </c>
      <c r="D182" s="1" t="n">
        <v>0.2067</v>
      </c>
      <c r="E182" s="1" t="s">
        <v>52</v>
      </c>
      <c r="H182" s="62"/>
      <c r="I182" s="68" t="s">
        <v>57</v>
      </c>
      <c r="J182" s="46"/>
      <c r="K182" s="47"/>
      <c r="L182" s="47"/>
      <c r="M182" s="19" t="n">
        <v>0.1717</v>
      </c>
      <c r="N182" s="20" t="n">
        <v>0.1717</v>
      </c>
    </row>
    <row r="183" customFormat="false" ht="12.8" hidden="false" customHeight="false" outlineLevel="0" collapsed="false">
      <c r="B183" s="71" t="n">
        <v>10</v>
      </c>
      <c r="C183" s="60" t="s">
        <v>51</v>
      </c>
      <c r="D183" s="1" t="n">
        <v>0.1831</v>
      </c>
      <c r="E183" s="1" t="s">
        <v>52</v>
      </c>
      <c r="H183" s="62"/>
      <c r="I183" s="68" t="s">
        <v>56</v>
      </c>
      <c r="J183" s="46"/>
      <c r="K183" s="18" t="n">
        <v>0.1725</v>
      </c>
      <c r="L183" s="18" t="n">
        <v>0.182</v>
      </c>
      <c r="M183" s="48"/>
      <c r="N183" s="20" t="n">
        <v>0.3545</v>
      </c>
    </row>
    <row r="184" customFormat="false" ht="12.8" hidden="false" customHeight="false" outlineLevel="0" collapsed="false">
      <c r="B184" s="71" t="n">
        <v>10</v>
      </c>
      <c r="C184" s="60" t="s">
        <v>65</v>
      </c>
      <c r="D184" s="1" t="n">
        <v>0.1717</v>
      </c>
      <c r="E184" s="1" t="s">
        <v>52</v>
      </c>
      <c r="H184" s="62"/>
      <c r="I184" s="68" t="s">
        <v>62</v>
      </c>
      <c r="J184" s="17" t="n">
        <v>0.1664</v>
      </c>
      <c r="K184" s="18" t="n">
        <v>0.1866</v>
      </c>
      <c r="L184" s="18" t="n">
        <v>0.1752</v>
      </c>
      <c r="M184" s="48"/>
      <c r="N184" s="20" t="n">
        <v>0.5282</v>
      </c>
    </row>
    <row r="185" customFormat="false" ht="12.8" hidden="false" customHeight="false" outlineLevel="0" collapsed="false">
      <c r="B185" s="71" t="n">
        <v>10</v>
      </c>
      <c r="C185" s="60" t="s">
        <v>57</v>
      </c>
      <c r="D185" s="1" t="n">
        <v>0.1701</v>
      </c>
      <c r="E185" s="1" t="s">
        <v>52</v>
      </c>
      <c r="H185" s="62"/>
      <c r="I185" s="68" t="s">
        <v>48</v>
      </c>
      <c r="J185" s="17" t="n">
        <v>0.1867</v>
      </c>
      <c r="K185" s="18" t="n">
        <v>0.1907</v>
      </c>
      <c r="L185" s="18" t="n">
        <v>0.1869</v>
      </c>
      <c r="M185" s="19" t="n">
        <v>0.1899</v>
      </c>
      <c r="N185" s="20" t="n">
        <v>0.7542</v>
      </c>
    </row>
    <row r="186" customFormat="false" ht="12.8" hidden="false" customHeight="false" outlineLevel="0" collapsed="false">
      <c r="B186" s="71" t="n">
        <v>10</v>
      </c>
      <c r="C186" s="60" t="s">
        <v>56</v>
      </c>
      <c r="D186" s="1" t="n">
        <v>0.1684</v>
      </c>
      <c r="E186" s="1" t="s">
        <v>52</v>
      </c>
      <c r="H186" s="62"/>
      <c r="I186" s="68" t="s">
        <v>55</v>
      </c>
      <c r="J186" s="17" t="n">
        <v>0.18</v>
      </c>
      <c r="K186" s="47"/>
      <c r="L186" s="18" t="n">
        <v>0.1671</v>
      </c>
      <c r="M186" s="48"/>
      <c r="N186" s="20" t="n">
        <v>0.3471</v>
      </c>
    </row>
    <row r="187" customFormat="false" ht="12.8" hidden="false" customHeight="false" outlineLevel="0" collapsed="false">
      <c r="B187" s="71" t="n">
        <v>10</v>
      </c>
      <c r="C187" s="60" t="s">
        <v>58</v>
      </c>
      <c r="D187" s="1" t="n">
        <v>0.1</v>
      </c>
      <c r="E187" s="1" t="s">
        <v>52</v>
      </c>
      <c r="H187" s="62"/>
      <c r="I187" s="68" t="s">
        <v>65</v>
      </c>
      <c r="J187" s="46"/>
      <c r="K187" s="18" t="n">
        <v>0.1895</v>
      </c>
      <c r="L187" s="18" t="n">
        <v>0.1888</v>
      </c>
      <c r="M187" s="19" t="n">
        <v>0.1801</v>
      </c>
      <c r="N187" s="20" t="n">
        <v>0.5584</v>
      </c>
    </row>
    <row r="188" customFormat="false" ht="12.8" hidden="false" customHeight="false" outlineLevel="0" collapsed="false">
      <c r="B188" s="71" t="n">
        <v>12</v>
      </c>
      <c r="C188" s="60" t="s">
        <v>48</v>
      </c>
      <c r="D188" s="1" t="n">
        <v>0.222</v>
      </c>
      <c r="E188" s="1" t="s">
        <v>52</v>
      </c>
      <c r="H188" s="69"/>
      <c r="I188" s="70" t="s">
        <v>58</v>
      </c>
      <c r="J188" s="21" t="n">
        <v>0.1</v>
      </c>
      <c r="K188" s="22" t="n">
        <v>0.1</v>
      </c>
      <c r="L188" s="22" t="n">
        <v>0.1</v>
      </c>
      <c r="M188" s="23" t="n">
        <v>0.1</v>
      </c>
      <c r="N188" s="24" t="n">
        <v>0.4</v>
      </c>
    </row>
    <row r="189" customFormat="false" ht="12.8" hidden="false" customHeight="false" outlineLevel="0" collapsed="false">
      <c r="B189" s="71" t="n">
        <v>12</v>
      </c>
      <c r="C189" s="60" t="s">
        <v>60</v>
      </c>
      <c r="D189" s="1" t="n">
        <v>0.1751</v>
      </c>
      <c r="E189" s="1" t="s">
        <v>52</v>
      </c>
      <c r="H189" s="61" t="n">
        <v>38</v>
      </c>
      <c r="I189" s="67" t="s">
        <v>59</v>
      </c>
      <c r="J189" s="13" t="n">
        <v>0.1776</v>
      </c>
      <c r="K189" s="43"/>
      <c r="L189" s="43"/>
      <c r="M189" s="13" t="n">
        <v>0.1733</v>
      </c>
      <c r="N189" s="15" t="n">
        <v>0.3509</v>
      </c>
    </row>
    <row r="190" customFormat="false" ht="12.8" hidden="false" customHeight="false" outlineLevel="0" collapsed="false">
      <c r="B190" s="71" t="n">
        <v>12</v>
      </c>
      <c r="C190" s="60" t="s">
        <v>55</v>
      </c>
      <c r="D190" s="1" t="n">
        <v>0.1699</v>
      </c>
      <c r="E190" s="1" t="s">
        <v>52</v>
      </c>
      <c r="H190" s="62"/>
      <c r="I190" s="68" t="s">
        <v>60</v>
      </c>
      <c r="J190" s="18" t="n">
        <v>0.1793</v>
      </c>
      <c r="K190" s="18" t="n">
        <v>0.1642</v>
      </c>
      <c r="L190" s="18" t="n">
        <v>0.1719</v>
      </c>
      <c r="M190" s="18" t="n">
        <v>0.1906</v>
      </c>
      <c r="N190" s="20" t="n">
        <v>0.706</v>
      </c>
    </row>
    <row r="191" customFormat="false" ht="12.8" hidden="false" customHeight="false" outlineLevel="0" collapsed="false">
      <c r="B191" s="71" t="n">
        <v>12</v>
      </c>
      <c r="C191" s="60" t="s">
        <v>65</v>
      </c>
      <c r="D191" s="1" t="n">
        <v>0.1673</v>
      </c>
      <c r="E191" s="1" t="s">
        <v>52</v>
      </c>
      <c r="H191" s="62"/>
      <c r="I191" s="68" t="s">
        <v>57</v>
      </c>
      <c r="J191" s="47"/>
      <c r="K191" s="18" t="n">
        <v>0.1637</v>
      </c>
      <c r="L191" s="18" t="n">
        <v>0.1744</v>
      </c>
      <c r="M191" s="18" t="n">
        <v>0.171</v>
      </c>
      <c r="N191" s="20" t="n">
        <v>0.5091</v>
      </c>
    </row>
    <row r="192" customFormat="false" ht="12.8" hidden="false" customHeight="false" outlineLevel="0" collapsed="false">
      <c r="B192" s="71" t="n">
        <v>12</v>
      </c>
      <c r="C192" s="60" t="s">
        <v>57</v>
      </c>
      <c r="D192" s="1" t="n">
        <v>0.1657</v>
      </c>
      <c r="E192" s="1" t="s">
        <v>52</v>
      </c>
      <c r="H192" s="62"/>
      <c r="I192" s="68" t="s">
        <v>56</v>
      </c>
      <c r="J192" s="47"/>
      <c r="K192" s="18" t="n">
        <v>0.189</v>
      </c>
      <c r="L192" s="18" t="n">
        <v>0.1895</v>
      </c>
      <c r="M192" s="18" t="n">
        <v>0.1737</v>
      </c>
      <c r="N192" s="20" t="n">
        <v>0.5522</v>
      </c>
    </row>
    <row r="193" customFormat="false" ht="12.8" hidden="false" customHeight="false" outlineLevel="0" collapsed="false">
      <c r="B193" s="71" t="n">
        <v>12</v>
      </c>
      <c r="C193" s="60" t="s">
        <v>58</v>
      </c>
      <c r="D193" s="1" t="n">
        <v>0.1</v>
      </c>
      <c r="E193" s="1" t="s">
        <v>52</v>
      </c>
      <c r="H193" s="62"/>
      <c r="I193" s="68" t="s">
        <v>48</v>
      </c>
      <c r="J193" s="18" t="n">
        <v>0.1851</v>
      </c>
      <c r="K193" s="18" t="n">
        <v>0.1886</v>
      </c>
      <c r="L193" s="18" t="n">
        <v>0.1921</v>
      </c>
      <c r="M193" s="18" t="n">
        <v>0.1914</v>
      </c>
      <c r="N193" s="20" t="n">
        <v>0.7572</v>
      </c>
    </row>
    <row r="194" customFormat="false" ht="12.8" hidden="false" customHeight="false" outlineLevel="0" collapsed="false">
      <c r="B194" s="71" t="n">
        <v>14</v>
      </c>
      <c r="C194" s="60" t="s">
        <v>48</v>
      </c>
      <c r="D194" s="1" t="n">
        <v>0.2092</v>
      </c>
      <c r="E194" s="1" t="s">
        <v>52</v>
      </c>
      <c r="H194" s="62"/>
      <c r="I194" s="68" t="s">
        <v>55</v>
      </c>
      <c r="J194" s="18" t="n">
        <v>0.1966</v>
      </c>
      <c r="K194" s="18" t="n">
        <v>0.1945</v>
      </c>
      <c r="L194" s="18" t="n">
        <v>0.172</v>
      </c>
      <c r="M194" s="47"/>
      <c r="N194" s="20" t="n">
        <v>0.5631</v>
      </c>
    </row>
    <row r="195" customFormat="false" ht="12.8" hidden="false" customHeight="false" outlineLevel="0" collapsed="false">
      <c r="B195" s="71" t="n">
        <v>14</v>
      </c>
      <c r="C195" s="60" t="s">
        <v>62</v>
      </c>
      <c r="D195" s="1" t="n">
        <v>0.1824</v>
      </c>
      <c r="E195" s="1" t="s">
        <v>52</v>
      </c>
      <c r="H195" s="62"/>
      <c r="I195" s="68" t="s">
        <v>65</v>
      </c>
      <c r="J195" s="18" t="n">
        <v>0.1614</v>
      </c>
      <c r="K195" s="47"/>
      <c r="L195" s="47"/>
      <c r="M195" s="47"/>
      <c r="N195" s="20" t="n">
        <v>0.1614</v>
      </c>
    </row>
    <row r="196" customFormat="false" ht="12.8" hidden="false" customHeight="false" outlineLevel="0" collapsed="false">
      <c r="B196" s="71" t="n">
        <v>14</v>
      </c>
      <c r="C196" s="60" t="s">
        <v>60</v>
      </c>
      <c r="D196" s="1" t="n">
        <v>0.1741</v>
      </c>
      <c r="E196" s="1" t="s">
        <v>52</v>
      </c>
      <c r="H196" s="69"/>
      <c r="I196" s="70" t="s">
        <v>58</v>
      </c>
      <c r="J196" s="22" t="n">
        <v>0.1</v>
      </c>
      <c r="K196" s="22" t="n">
        <v>0.1</v>
      </c>
      <c r="L196" s="22" t="n">
        <v>0.1</v>
      </c>
      <c r="M196" s="22" t="n">
        <v>0.1</v>
      </c>
      <c r="N196" s="24" t="n">
        <v>0.4</v>
      </c>
    </row>
    <row r="197" customFormat="false" ht="12.8" hidden="false" customHeight="false" outlineLevel="0" collapsed="false">
      <c r="B197" s="71" t="n">
        <v>14</v>
      </c>
      <c r="C197" s="60" t="s">
        <v>51</v>
      </c>
      <c r="D197" s="1" t="n">
        <v>0.168</v>
      </c>
      <c r="E197" s="1" t="s">
        <v>52</v>
      </c>
      <c r="H197" s="61" t="n">
        <v>40</v>
      </c>
      <c r="I197" s="67" t="s">
        <v>60</v>
      </c>
      <c r="J197" s="42"/>
      <c r="K197" s="13" t="n">
        <v>0.1738</v>
      </c>
      <c r="L197" s="43"/>
      <c r="M197" s="44"/>
      <c r="N197" s="15" t="n">
        <v>0.1738</v>
      </c>
    </row>
    <row r="198" customFormat="false" ht="12.8" hidden="false" customHeight="false" outlineLevel="0" collapsed="false">
      <c r="B198" s="71" t="n">
        <v>14</v>
      </c>
      <c r="C198" s="60" t="s">
        <v>57</v>
      </c>
      <c r="D198" s="1" t="n">
        <v>0.1663</v>
      </c>
      <c r="E198" s="1" t="s">
        <v>52</v>
      </c>
      <c r="H198" s="62"/>
      <c r="I198" s="68" t="s">
        <v>57</v>
      </c>
      <c r="J198" s="17" t="n">
        <v>0.1676</v>
      </c>
      <c r="K198" s="18" t="n">
        <v>0.1784</v>
      </c>
      <c r="L198" s="18" t="n">
        <v>0.2985</v>
      </c>
      <c r="M198" s="19" t="n">
        <v>0.1753</v>
      </c>
      <c r="N198" s="20" t="n">
        <v>0.8198</v>
      </c>
    </row>
    <row r="199" customFormat="false" ht="12.8" hidden="false" customHeight="false" outlineLevel="0" collapsed="false">
      <c r="B199" s="71" t="n">
        <v>14</v>
      </c>
      <c r="C199" s="60" t="s">
        <v>58</v>
      </c>
      <c r="D199" s="1" t="n">
        <v>0.1</v>
      </c>
      <c r="E199" s="1" t="s">
        <v>52</v>
      </c>
      <c r="H199" s="62"/>
      <c r="I199" s="68" t="s">
        <v>56</v>
      </c>
      <c r="J199" s="17" t="n">
        <v>0.1578</v>
      </c>
      <c r="K199" s="18" t="n">
        <v>0.1688</v>
      </c>
      <c r="L199" s="47"/>
      <c r="M199" s="19" t="n">
        <v>0.1588</v>
      </c>
      <c r="N199" s="20" t="n">
        <v>0.4854</v>
      </c>
    </row>
    <row r="200" customFormat="false" ht="12.8" hidden="false" customHeight="false" outlineLevel="0" collapsed="false">
      <c r="B200" s="71" t="n">
        <v>16</v>
      </c>
      <c r="C200" s="60" t="s">
        <v>51</v>
      </c>
      <c r="D200" s="1" t="n">
        <v>0.193</v>
      </c>
      <c r="E200" s="1" t="s">
        <v>52</v>
      </c>
      <c r="H200" s="62"/>
      <c r="I200" s="68" t="s">
        <v>48</v>
      </c>
      <c r="J200" s="17" t="n">
        <v>0.2252</v>
      </c>
      <c r="K200" s="18" t="n">
        <v>0.1937</v>
      </c>
      <c r="L200" s="18" t="n">
        <v>0.327</v>
      </c>
      <c r="M200" s="19" t="n">
        <v>0.2092</v>
      </c>
      <c r="N200" s="20" t="n">
        <v>0.9551</v>
      </c>
    </row>
    <row r="201" customFormat="false" ht="12.8" hidden="false" customHeight="false" outlineLevel="0" collapsed="false">
      <c r="B201" s="71" t="n">
        <v>16</v>
      </c>
      <c r="C201" s="60" t="s">
        <v>48</v>
      </c>
      <c r="D201" s="1" t="n">
        <v>0.1814</v>
      </c>
      <c r="E201" s="1" t="s">
        <v>52</v>
      </c>
      <c r="H201" s="62"/>
      <c r="I201" s="68" t="s">
        <v>55</v>
      </c>
      <c r="J201" s="17" t="n">
        <v>0.189</v>
      </c>
      <c r="K201" s="18" t="n">
        <v>0.1853</v>
      </c>
      <c r="L201" s="18" t="n">
        <v>0.2745</v>
      </c>
      <c r="M201" s="19" t="n">
        <v>0.1942</v>
      </c>
      <c r="N201" s="20" t="n">
        <v>0.843</v>
      </c>
    </row>
    <row r="202" customFormat="false" ht="12.8" hidden="false" customHeight="false" outlineLevel="0" collapsed="false">
      <c r="B202" s="71" t="n">
        <v>16</v>
      </c>
      <c r="C202" s="60" t="s">
        <v>60</v>
      </c>
      <c r="D202" s="1" t="n">
        <v>0.176</v>
      </c>
      <c r="E202" s="1" t="s">
        <v>52</v>
      </c>
      <c r="H202" s="62"/>
      <c r="I202" s="68" t="s">
        <v>65</v>
      </c>
      <c r="J202" s="17" t="n">
        <v>0.1605</v>
      </c>
      <c r="K202" s="47"/>
      <c r="L202" s="47"/>
      <c r="M202" s="19" t="n">
        <v>0.1625</v>
      </c>
      <c r="N202" s="20" t="n">
        <v>0.323</v>
      </c>
    </row>
    <row r="203" customFormat="false" ht="12.8" hidden="false" customHeight="false" outlineLevel="0" collapsed="false">
      <c r="B203" s="71" t="n">
        <v>16</v>
      </c>
      <c r="C203" s="60" t="s">
        <v>57</v>
      </c>
      <c r="D203" s="1" t="n">
        <v>0.1759</v>
      </c>
      <c r="E203" s="1" t="s">
        <v>52</v>
      </c>
      <c r="H203" s="69"/>
      <c r="I203" s="70" t="s">
        <v>58</v>
      </c>
      <c r="J203" s="21" t="n">
        <v>0.1</v>
      </c>
      <c r="K203" s="22" t="n">
        <v>0.1</v>
      </c>
      <c r="L203" s="22" t="n">
        <v>0.1</v>
      </c>
      <c r="M203" s="23" t="n">
        <v>0.1</v>
      </c>
      <c r="N203" s="24" t="n">
        <v>0.4</v>
      </c>
    </row>
    <row r="204" customFormat="false" ht="12.8" hidden="false" customHeight="false" outlineLevel="0" collapsed="false">
      <c r="B204" s="71" t="n">
        <v>16</v>
      </c>
      <c r="C204" s="60" t="s">
        <v>59</v>
      </c>
      <c r="D204" s="1" t="n">
        <v>0.1737</v>
      </c>
      <c r="E204" s="1" t="s">
        <v>52</v>
      </c>
      <c r="H204" s="61" t="n">
        <v>42</v>
      </c>
      <c r="I204" s="67" t="s">
        <v>60</v>
      </c>
      <c r="J204" s="43"/>
      <c r="K204" s="13" t="n">
        <v>0.178</v>
      </c>
      <c r="L204" s="13" t="n">
        <v>0.1946</v>
      </c>
      <c r="M204" s="43"/>
      <c r="N204" s="15" t="n">
        <v>0.3726</v>
      </c>
    </row>
    <row r="205" customFormat="false" ht="12.8" hidden="false" customHeight="false" outlineLevel="0" collapsed="false">
      <c r="B205" s="71" t="n">
        <v>16</v>
      </c>
      <c r="C205" s="60" t="s">
        <v>58</v>
      </c>
      <c r="D205" s="1" t="n">
        <v>0.1</v>
      </c>
      <c r="E205" s="1" t="s">
        <v>52</v>
      </c>
      <c r="H205" s="62"/>
      <c r="I205" s="68" t="s">
        <v>51</v>
      </c>
      <c r="J205" s="47"/>
      <c r="K205" s="18" t="n">
        <v>0.1672</v>
      </c>
      <c r="L205" s="47"/>
      <c r="M205" s="47"/>
      <c r="N205" s="20" t="n">
        <v>0.1672</v>
      </c>
    </row>
    <row r="206" customFormat="false" ht="12.8" hidden="false" customHeight="false" outlineLevel="0" collapsed="false">
      <c r="B206" s="71" t="n">
        <v>18</v>
      </c>
      <c r="C206" s="60" t="s">
        <v>51</v>
      </c>
      <c r="D206" s="1" t="n">
        <v>0.1871</v>
      </c>
      <c r="E206" s="1" t="s">
        <v>52</v>
      </c>
      <c r="H206" s="62"/>
      <c r="I206" s="68" t="s">
        <v>57</v>
      </c>
      <c r="J206" s="18" t="n">
        <v>0.1873</v>
      </c>
      <c r="K206" s="18" t="n">
        <v>0.1794</v>
      </c>
      <c r="L206" s="18" t="n">
        <v>0.1788</v>
      </c>
      <c r="M206" s="18" t="n">
        <v>0.1858</v>
      </c>
      <c r="N206" s="20" t="n">
        <v>0.7313</v>
      </c>
    </row>
    <row r="207" customFormat="false" ht="12.8" hidden="false" customHeight="false" outlineLevel="0" collapsed="false">
      <c r="B207" s="71" t="n">
        <v>18</v>
      </c>
      <c r="C207" s="60" t="s">
        <v>48</v>
      </c>
      <c r="D207" s="1" t="n">
        <v>0.1845</v>
      </c>
      <c r="E207" s="1" t="s">
        <v>52</v>
      </c>
      <c r="H207" s="62"/>
      <c r="I207" s="68" t="s">
        <v>56</v>
      </c>
      <c r="J207" s="18" t="n">
        <v>0.1728</v>
      </c>
      <c r="K207" s="18" t="n">
        <v>0.1844</v>
      </c>
      <c r="L207" s="18" t="n">
        <v>0.1764</v>
      </c>
      <c r="M207" s="18" t="n">
        <v>0.1743</v>
      </c>
      <c r="N207" s="20" t="n">
        <v>0.7079</v>
      </c>
    </row>
    <row r="208" customFormat="false" ht="12.8" hidden="false" customHeight="false" outlineLevel="0" collapsed="false">
      <c r="B208" s="71" t="n">
        <v>18</v>
      </c>
      <c r="C208" s="60" t="s">
        <v>57</v>
      </c>
      <c r="D208" s="1" t="n">
        <v>0.1808</v>
      </c>
      <c r="E208" s="1" t="s">
        <v>52</v>
      </c>
      <c r="H208" s="62"/>
      <c r="I208" s="68" t="s">
        <v>48</v>
      </c>
      <c r="J208" s="18" t="n">
        <v>0.209</v>
      </c>
      <c r="K208" s="18" t="n">
        <v>0.191</v>
      </c>
      <c r="L208" s="18" t="n">
        <v>0.1878</v>
      </c>
      <c r="M208" s="18" t="n">
        <v>0.2124</v>
      </c>
      <c r="N208" s="20" t="n">
        <v>0.8002</v>
      </c>
    </row>
    <row r="209" customFormat="false" ht="12.8" hidden="false" customHeight="false" outlineLevel="0" collapsed="false">
      <c r="B209" s="71" t="n">
        <v>18</v>
      </c>
      <c r="C209" s="60" t="s">
        <v>56</v>
      </c>
      <c r="D209" s="1" t="n">
        <v>0.1756</v>
      </c>
      <c r="E209" s="1" t="s">
        <v>52</v>
      </c>
      <c r="H209" s="62"/>
      <c r="I209" s="68" t="s">
        <v>64</v>
      </c>
      <c r="J209" s="18" t="n">
        <v>0.1587</v>
      </c>
      <c r="K209" s="47"/>
      <c r="L209" s="47"/>
      <c r="M209" s="18" t="n">
        <v>0.1639</v>
      </c>
      <c r="N209" s="20" t="n">
        <v>0.3226</v>
      </c>
    </row>
    <row r="210" customFormat="false" ht="12.8" hidden="false" customHeight="false" outlineLevel="0" collapsed="false">
      <c r="B210" s="71" t="n">
        <v>18</v>
      </c>
      <c r="C210" s="60" t="s">
        <v>62</v>
      </c>
      <c r="D210" s="1" t="n">
        <v>0.172</v>
      </c>
      <c r="E210" s="1" t="s">
        <v>52</v>
      </c>
      <c r="H210" s="62"/>
      <c r="I210" s="68" t="s">
        <v>55</v>
      </c>
      <c r="J210" s="18" t="n">
        <v>0.1721</v>
      </c>
      <c r="K210" s="47"/>
      <c r="L210" s="18" t="n">
        <v>0.1624</v>
      </c>
      <c r="M210" s="18" t="n">
        <v>0.1636</v>
      </c>
      <c r="N210" s="20" t="n">
        <v>0.4981</v>
      </c>
    </row>
    <row r="211" customFormat="false" ht="12.8" hidden="false" customHeight="false" outlineLevel="0" collapsed="false">
      <c r="B211" s="71" t="n">
        <v>18</v>
      </c>
      <c r="C211" s="60" t="s">
        <v>58</v>
      </c>
      <c r="D211" s="1" t="n">
        <v>0.1</v>
      </c>
      <c r="E211" s="1" t="s">
        <v>52</v>
      </c>
      <c r="H211" s="69"/>
      <c r="I211" s="70" t="s">
        <v>58</v>
      </c>
      <c r="J211" s="22" t="n">
        <v>0.1</v>
      </c>
      <c r="K211" s="22" t="n">
        <v>0.1</v>
      </c>
      <c r="L211" s="22" t="n">
        <v>0.1</v>
      </c>
      <c r="M211" s="22" t="n">
        <v>0.1</v>
      </c>
      <c r="N211" s="24" t="n">
        <v>0.4</v>
      </c>
    </row>
    <row r="212" customFormat="false" ht="12.8" hidden="false" customHeight="false" outlineLevel="0" collapsed="false">
      <c r="B212" s="71" t="n">
        <v>20</v>
      </c>
      <c r="C212" s="60" t="s">
        <v>48</v>
      </c>
      <c r="D212" s="1" t="n">
        <v>0.2049</v>
      </c>
      <c r="E212" s="1" t="s">
        <v>52</v>
      </c>
      <c r="H212" s="61" t="n">
        <v>44</v>
      </c>
      <c r="I212" s="67" t="s">
        <v>59</v>
      </c>
      <c r="J212" s="42"/>
      <c r="K212" s="43"/>
      <c r="L212" s="13" t="n">
        <v>0.1828</v>
      </c>
      <c r="M212" s="44"/>
      <c r="N212" s="15" t="n">
        <v>0.1828</v>
      </c>
    </row>
    <row r="213" customFormat="false" ht="12.8" hidden="false" customHeight="false" outlineLevel="0" collapsed="false">
      <c r="B213" s="71" t="n">
        <v>20</v>
      </c>
      <c r="C213" s="60" t="s">
        <v>56</v>
      </c>
      <c r="D213" s="1" t="n">
        <v>0.178</v>
      </c>
      <c r="E213" s="1" t="s">
        <v>52</v>
      </c>
      <c r="H213" s="62"/>
      <c r="I213" s="68" t="s">
        <v>60</v>
      </c>
      <c r="J213" s="17" t="n">
        <v>0.1781</v>
      </c>
      <c r="K213" s="18" t="n">
        <v>0.1966</v>
      </c>
      <c r="L213" s="18" t="n">
        <v>0.1879</v>
      </c>
      <c r="M213" s="19" t="n">
        <v>0.1693</v>
      </c>
      <c r="N213" s="20" t="n">
        <v>0.7319</v>
      </c>
    </row>
    <row r="214" customFormat="false" ht="12.8" hidden="false" customHeight="false" outlineLevel="0" collapsed="false">
      <c r="B214" s="71" t="n">
        <v>20</v>
      </c>
      <c r="C214" s="60" t="s">
        <v>60</v>
      </c>
      <c r="D214" s="1" t="n">
        <v>0.176</v>
      </c>
      <c r="E214" s="1" t="s">
        <v>52</v>
      </c>
      <c r="H214" s="62"/>
      <c r="I214" s="68" t="s">
        <v>51</v>
      </c>
      <c r="J214" s="46"/>
      <c r="K214" s="47"/>
      <c r="L214" s="47"/>
      <c r="M214" s="19" t="n">
        <v>0.17</v>
      </c>
      <c r="N214" s="20" t="n">
        <v>0.17</v>
      </c>
    </row>
    <row r="215" customFormat="false" ht="12.8" hidden="false" customHeight="false" outlineLevel="0" collapsed="false">
      <c r="B215" s="71" t="n">
        <v>20</v>
      </c>
      <c r="C215" s="60" t="s">
        <v>57</v>
      </c>
      <c r="D215" s="1" t="n">
        <v>0.172</v>
      </c>
      <c r="E215" s="1" t="s">
        <v>52</v>
      </c>
      <c r="H215" s="62"/>
      <c r="I215" s="68" t="s">
        <v>57</v>
      </c>
      <c r="J215" s="17" t="n">
        <v>0.17</v>
      </c>
      <c r="K215" s="18" t="n">
        <v>0.1743</v>
      </c>
      <c r="L215" s="47"/>
      <c r="M215" s="48"/>
      <c r="N215" s="20" t="n">
        <v>0.3443</v>
      </c>
    </row>
    <row r="216" customFormat="false" ht="12.8" hidden="false" customHeight="false" outlineLevel="0" collapsed="false">
      <c r="B216" s="71" t="n">
        <v>20</v>
      </c>
      <c r="C216" s="60" t="s">
        <v>51</v>
      </c>
      <c r="D216" s="1" t="n">
        <v>0.1692</v>
      </c>
      <c r="E216" s="1" t="s">
        <v>52</v>
      </c>
      <c r="H216" s="62"/>
      <c r="I216" s="68" t="s">
        <v>56</v>
      </c>
      <c r="J216" s="17" t="n">
        <v>0.17</v>
      </c>
      <c r="K216" s="18" t="n">
        <v>0.1745</v>
      </c>
      <c r="L216" s="18" t="n">
        <v>0.1758</v>
      </c>
      <c r="M216" s="19" t="n">
        <v>0.1808</v>
      </c>
      <c r="N216" s="20" t="n">
        <v>0.7011</v>
      </c>
    </row>
    <row r="217" customFormat="false" ht="12.8" hidden="false" customHeight="false" outlineLevel="0" collapsed="false">
      <c r="B217" s="71" t="n">
        <v>20</v>
      </c>
      <c r="C217" s="60" t="s">
        <v>58</v>
      </c>
      <c r="D217" s="1" t="n">
        <v>0.1</v>
      </c>
      <c r="E217" s="1" t="s">
        <v>52</v>
      </c>
      <c r="H217" s="62"/>
      <c r="I217" s="68" t="s">
        <v>62</v>
      </c>
      <c r="J217" s="46"/>
      <c r="K217" s="47"/>
      <c r="L217" s="18" t="n">
        <v>0.1712</v>
      </c>
      <c r="M217" s="48"/>
      <c r="N217" s="20" t="n">
        <v>0.1712</v>
      </c>
    </row>
    <row r="218" customFormat="false" ht="12.8" hidden="false" customHeight="false" outlineLevel="0" collapsed="false">
      <c r="B218" s="71" t="n">
        <v>22</v>
      </c>
      <c r="C218" s="60" t="s">
        <v>48</v>
      </c>
      <c r="D218" s="1" t="n">
        <v>0.2224</v>
      </c>
      <c r="E218" s="1" t="s">
        <v>52</v>
      </c>
      <c r="H218" s="62"/>
      <c r="I218" s="68" t="s">
        <v>48</v>
      </c>
      <c r="J218" s="17" t="n">
        <v>0.2042</v>
      </c>
      <c r="K218" s="18" t="n">
        <v>0.189</v>
      </c>
      <c r="L218" s="18" t="n">
        <v>0.1823</v>
      </c>
      <c r="M218" s="19" t="n">
        <v>0.1939</v>
      </c>
      <c r="N218" s="20" t="n">
        <v>0.7694</v>
      </c>
    </row>
    <row r="219" customFormat="false" ht="12.8" hidden="false" customHeight="false" outlineLevel="0" collapsed="false">
      <c r="B219" s="71" t="n">
        <v>22</v>
      </c>
      <c r="C219" s="60" t="s">
        <v>56</v>
      </c>
      <c r="D219" s="1" t="n">
        <v>0.1802</v>
      </c>
      <c r="E219" s="1" t="s">
        <v>52</v>
      </c>
      <c r="H219" s="62"/>
      <c r="I219" s="68" t="s">
        <v>55</v>
      </c>
      <c r="J219" s="17" t="n">
        <v>0.1776</v>
      </c>
      <c r="K219" s="18" t="n">
        <v>0.1656</v>
      </c>
      <c r="L219" s="47"/>
      <c r="M219" s="19" t="n">
        <v>0.1859</v>
      </c>
      <c r="N219" s="20" t="n">
        <v>0.5291</v>
      </c>
    </row>
    <row r="220" customFormat="false" ht="12.8" hidden="false" customHeight="false" outlineLevel="0" collapsed="false">
      <c r="B220" s="71" t="n">
        <v>22</v>
      </c>
      <c r="C220" s="60" t="s">
        <v>60</v>
      </c>
      <c r="D220" s="1" t="n">
        <v>0.1752</v>
      </c>
      <c r="E220" s="1" t="s">
        <v>52</v>
      </c>
      <c r="H220" s="69"/>
      <c r="I220" s="70" t="s">
        <v>58</v>
      </c>
      <c r="J220" s="21" t="n">
        <v>0.1</v>
      </c>
      <c r="K220" s="22" t="n">
        <v>0.1</v>
      </c>
      <c r="L220" s="22" t="n">
        <v>0.1</v>
      </c>
      <c r="M220" s="23" t="n">
        <v>0.1</v>
      </c>
      <c r="N220" s="24" t="n">
        <v>0.4</v>
      </c>
    </row>
    <row r="221" customFormat="false" ht="12.8" hidden="false" customHeight="false" outlineLevel="0" collapsed="false">
      <c r="B221" s="71" t="n">
        <v>22</v>
      </c>
      <c r="C221" s="60" t="s">
        <v>57</v>
      </c>
      <c r="D221" s="1" t="n">
        <v>0.1711</v>
      </c>
      <c r="E221" s="1" t="s">
        <v>52</v>
      </c>
      <c r="H221" s="61" t="n">
        <v>46</v>
      </c>
      <c r="I221" s="67" t="s">
        <v>59</v>
      </c>
      <c r="J221" s="43"/>
      <c r="K221" s="43"/>
      <c r="L221" s="13" t="n">
        <v>0.2267</v>
      </c>
      <c r="M221" s="43"/>
      <c r="N221" s="15" t="n">
        <v>0.2267</v>
      </c>
    </row>
    <row r="222" customFormat="false" ht="12.8" hidden="false" customHeight="false" outlineLevel="0" collapsed="false">
      <c r="B222" s="71" t="n">
        <v>22</v>
      </c>
      <c r="C222" s="60" t="s">
        <v>62</v>
      </c>
      <c r="D222" s="1" t="n">
        <v>0.1511</v>
      </c>
      <c r="E222" s="1" t="s">
        <v>52</v>
      </c>
      <c r="H222" s="62"/>
      <c r="I222" s="68" t="s">
        <v>60</v>
      </c>
      <c r="J222" s="18" t="n">
        <v>0.1659</v>
      </c>
      <c r="K222" s="47"/>
      <c r="L222" s="18" t="n">
        <v>0.2163</v>
      </c>
      <c r="M222" s="47"/>
      <c r="N222" s="20" t="n">
        <v>0.3822</v>
      </c>
    </row>
    <row r="223" customFormat="false" ht="12.8" hidden="false" customHeight="false" outlineLevel="0" collapsed="false">
      <c r="B223" s="71" t="n">
        <v>22</v>
      </c>
      <c r="C223" s="60" t="s">
        <v>58</v>
      </c>
      <c r="D223" s="1" t="n">
        <v>0.1</v>
      </c>
      <c r="E223" s="1" t="s">
        <v>52</v>
      </c>
      <c r="H223" s="62"/>
      <c r="I223" s="68" t="s">
        <v>51</v>
      </c>
      <c r="J223" s="47"/>
      <c r="K223" s="18" t="n">
        <v>0.2147</v>
      </c>
      <c r="L223" s="47"/>
      <c r="M223" s="18" t="n">
        <v>0.1797</v>
      </c>
      <c r="N223" s="20" t="n">
        <v>0.3944</v>
      </c>
    </row>
    <row r="224" customFormat="false" ht="12.8" hidden="false" customHeight="false" outlineLevel="0" collapsed="false">
      <c r="B224" s="71" t="n">
        <v>24</v>
      </c>
      <c r="C224" s="60" t="s">
        <v>48</v>
      </c>
      <c r="D224" s="1" t="n">
        <v>0.2157</v>
      </c>
      <c r="E224" s="1" t="s">
        <v>52</v>
      </c>
      <c r="H224" s="62"/>
      <c r="I224" s="68" t="s">
        <v>57</v>
      </c>
      <c r="J224" s="18" t="n">
        <v>0.1582</v>
      </c>
      <c r="K224" s="47"/>
      <c r="L224" s="47"/>
      <c r="M224" s="18" t="n">
        <v>0.1651</v>
      </c>
      <c r="N224" s="20" t="n">
        <v>0.3233</v>
      </c>
    </row>
    <row r="225" customFormat="false" ht="12.8" hidden="false" customHeight="false" outlineLevel="0" collapsed="false">
      <c r="B225" s="71" t="n">
        <v>24</v>
      </c>
      <c r="C225" s="60" t="s">
        <v>56</v>
      </c>
      <c r="D225" s="1" t="n">
        <v>0.1782</v>
      </c>
      <c r="E225" s="1" t="s">
        <v>52</v>
      </c>
      <c r="H225" s="62"/>
      <c r="I225" s="68" t="s">
        <v>56</v>
      </c>
      <c r="J225" s="18" t="n">
        <v>0.1665</v>
      </c>
      <c r="K225" s="18" t="n">
        <v>0.2255</v>
      </c>
      <c r="L225" s="47"/>
      <c r="M225" s="18" t="n">
        <v>0.1761</v>
      </c>
      <c r="N225" s="20" t="n">
        <v>0.5681</v>
      </c>
    </row>
    <row r="226" customFormat="false" ht="12.8" hidden="false" customHeight="false" outlineLevel="0" collapsed="false">
      <c r="B226" s="71" t="n">
        <v>24</v>
      </c>
      <c r="C226" s="60" t="s">
        <v>57</v>
      </c>
      <c r="D226" s="1" t="n">
        <v>0.1749</v>
      </c>
      <c r="E226" s="1" t="s">
        <v>52</v>
      </c>
      <c r="H226" s="62"/>
      <c r="I226" s="68" t="s">
        <v>48</v>
      </c>
      <c r="J226" s="18" t="n">
        <v>0.2005</v>
      </c>
      <c r="K226" s="18" t="n">
        <v>0.2363</v>
      </c>
      <c r="L226" s="18" t="n">
        <v>0.241</v>
      </c>
      <c r="M226" s="18" t="n">
        <v>0.196</v>
      </c>
      <c r="N226" s="20" t="n">
        <v>0.8738</v>
      </c>
    </row>
    <row r="227" customFormat="false" ht="12.8" hidden="false" customHeight="false" outlineLevel="0" collapsed="false">
      <c r="B227" s="71" t="n">
        <v>24</v>
      </c>
      <c r="C227" s="60" t="s">
        <v>60</v>
      </c>
      <c r="D227" s="1" t="n">
        <v>0.1709</v>
      </c>
      <c r="E227" s="1" t="s">
        <v>52</v>
      </c>
      <c r="H227" s="62"/>
      <c r="I227" s="68" t="s">
        <v>55</v>
      </c>
      <c r="J227" s="18" t="n">
        <v>0.2088</v>
      </c>
      <c r="K227" s="18" t="n">
        <v>0.2236</v>
      </c>
      <c r="L227" s="18" t="n">
        <v>0.2161</v>
      </c>
      <c r="M227" s="18" t="n">
        <v>0.1831</v>
      </c>
      <c r="N227" s="20" t="n">
        <v>0.8316</v>
      </c>
    </row>
    <row r="228" customFormat="false" ht="12.8" hidden="false" customHeight="false" outlineLevel="0" collapsed="false">
      <c r="B228" s="71" t="n">
        <v>24</v>
      </c>
      <c r="C228" s="60" t="s">
        <v>62</v>
      </c>
      <c r="D228" s="1" t="n">
        <v>0.1603</v>
      </c>
      <c r="E228" s="1" t="s">
        <v>52</v>
      </c>
      <c r="H228" s="69"/>
      <c r="I228" s="70" t="s">
        <v>58</v>
      </c>
      <c r="J228" s="22" t="n">
        <v>0.1</v>
      </c>
      <c r="K228" s="22" t="n">
        <v>0.1</v>
      </c>
      <c r="L228" s="22" t="n">
        <v>0.1</v>
      </c>
      <c r="M228" s="22" t="n">
        <v>0.1</v>
      </c>
      <c r="N228" s="24" t="n">
        <v>0.4</v>
      </c>
    </row>
    <row r="229" customFormat="false" ht="12.8" hidden="false" customHeight="false" outlineLevel="0" collapsed="false">
      <c r="B229" s="71" t="n">
        <v>24</v>
      </c>
      <c r="C229" s="60" t="s">
        <v>58</v>
      </c>
      <c r="D229" s="1" t="n">
        <v>0.1</v>
      </c>
      <c r="E229" s="1" t="s">
        <v>52</v>
      </c>
      <c r="H229" s="61" t="n">
        <v>48</v>
      </c>
      <c r="I229" s="67" t="s">
        <v>59</v>
      </c>
      <c r="J229" s="42"/>
      <c r="K229" s="43"/>
      <c r="L229" s="13" t="n">
        <v>0.1616</v>
      </c>
      <c r="M229" s="44"/>
      <c r="N229" s="15" t="n">
        <v>0.1616</v>
      </c>
    </row>
    <row r="230" customFormat="false" ht="12.8" hidden="false" customHeight="false" outlineLevel="0" collapsed="false">
      <c r="B230" s="71" t="n">
        <v>26</v>
      </c>
      <c r="C230" s="60" t="s">
        <v>60</v>
      </c>
      <c r="D230" s="1" t="n">
        <v>0.3157</v>
      </c>
      <c r="E230" s="1" t="s">
        <v>52</v>
      </c>
      <c r="H230" s="62"/>
      <c r="I230" s="68" t="s">
        <v>60</v>
      </c>
      <c r="J230" s="46"/>
      <c r="K230" s="18" t="n">
        <v>0.1528</v>
      </c>
      <c r="L230" s="18" t="n">
        <v>0.167</v>
      </c>
      <c r="M230" s="19" t="n">
        <v>0.1615</v>
      </c>
      <c r="N230" s="20" t="n">
        <v>0.4813</v>
      </c>
    </row>
    <row r="231" customFormat="false" ht="12.8" hidden="false" customHeight="false" outlineLevel="0" collapsed="false">
      <c r="B231" s="71" t="n">
        <v>26</v>
      </c>
      <c r="C231" s="60" t="s">
        <v>48</v>
      </c>
      <c r="D231" s="1" t="n">
        <v>0.3131</v>
      </c>
      <c r="E231" s="1" t="s">
        <v>52</v>
      </c>
      <c r="H231" s="62"/>
      <c r="I231" s="68" t="s">
        <v>51</v>
      </c>
      <c r="J231" s="46"/>
      <c r="K231" s="18" t="n">
        <v>0.1543</v>
      </c>
      <c r="L231" s="47"/>
      <c r="M231" s="48"/>
      <c r="N231" s="20" t="n">
        <v>0.1543</v>
      </c>
    </row>
    <row r="232" customFormat="false" ht="12.8" hidden="false" customHeight="false" outlineLevel="0" collapsed="false">
      <c r="B232" s="71" t="n">
        <v>26</v>
      </c>
      <c r="C232" s="60" t="s">
        <v>65</v>
      </c>
      <c r="D232" s="1" t="n">
        <v>0.2712</v>
      </c>
      <c r="E232" s="1" t="s">
        <v>52</v>
      </c>
      <c r="H232" s="62"/>
      <c r="I232" s="68" t="s">
        <v>57</v>
      </c>
      <c r="J232" s="17" t="n">
        <v>0.1502</v>
      </c>
      <c r="K232" s="47"/>
      <c r="L232" s="18" t="n">
        <v>0.1605</v>
      </c>
      <c r="M232" s="19" t="n">
        <v>0.1624</v>
      </c>
      <c r="N232" s="20" t="n">
        <v>0.4731</v>
      </c>
    </row>
    <row r="233" customFormat="false" ht="12.8" hidden="false" customHeight="false" outlineLevel="0" collapsed="false">
      <c r="B233" s="71" t="n">
        <v>26</v>
      </c>
      <c r="C233" s="60" t="s">
        <v>58</v>
      </c>
      <c r="D233" s="1" t="n">
        <v>0.1</v>
      </c>
      <c r="E233" s="1" t="s">
        <v>52</v>
      </c>
      <c r="H233" s="62"/>
      <c r="I233" s="68" t="s">
        <v>56</v>
      </c>
      <c r="J233" s="17" t="n">
        <v>0.1671</v>
      </c>
      <c r="K233" s="18" t="n">
        <v>0.1859</v>
      </c>
      <c r="L233" s="18" t="n">
        <v>0.1814</v>
      </c>
      <c r="M233" s="19" t="n">
        <v>0.1889</v>
      </c>
      <c r="N233" s="20" t="n">
        <v>0.7233</v>
      </c>
    </row>
    <row r="234" customFormat="false" ht="12.8" hidden="false" customHeight="false" outlineLevel="0" collapsed="false">
      <c r="B234" s="71" t="n">
        <v>28</v>
      </c>
      <c r="C234" s="60" t="s">
        <v>60</v>
      </c>
      <c r="D234" s="1" t="n">
        <v>0.2116</v>
      </c>
      <c r="E234" s="1" t="s">
        <v>52</v>
      </c>
      <c r="H234" s="62"/>
      <c r="I234" s="68" t="s">
        <v>48</v>
      </c>
      <c r="J234" s="17" t="n">
        <v>0.2064</v>
      </c>
      <c r="K234" s="18" t="n">
        <v>0.213</v>
      </c>
      <c r="L234" s="18" t="n">
        <v>0.2295</v>
      </c>
      <c r="M234" s="19" t="n">
        <v>0.209</v>
      </c>
      <c r="N234" s="20" t="n">
        <v>0.8579</v>
      </c>
    </row>
    <row r="235" customFormat="false" ht="12.8" hidden="false" customHeight="false" outlineLevel="0" collapsed="false">
      <c r="B235" s="71" t="n">
        <v>28</v>
      </c>
      <c r="C235" s="60" t="s">
        <v>48</v>
      </c>
      <c r="D235" s="1" t="n">
        <v>0.1935</v>
      </c>
      <c r="E235" s="1" t="s">
        <v>52</v>
      </c>
      <c r="H235" s="62"/>
      <c r="I235" s="68" t="s">
        <v>64</v>
      </c>
      <c r="J235" s="17" t="n">
        <v>0.149</v>
      </c>
      <c r="K235" s="47"/>
      <c r="L235" s="47"/>
      <c r="M235" s="48"/>
      <c r="N235" s="20" t="n">
        <v>0.149</v>
      </c>
    </row>
    <row r="236" customFormat="false" ht="12.8" hidden="false" customHeight="false" outlineLevel="0" collapsed="false">
      <c r="B236" s="71" t="n">
        <v>28</v>
      </c>
      <c r="C236" s="60" t="s">
        <v>57</v>
      </c>
      <c r="D236" s="1" t="n">
        <v>0.1715</v>
      </c>
      <c r="E236" s="1" t="s">
        <v>52</v>
      </c>
      <c r="H236" s="62"/>
      <c r="I236" s="68" t="s">
        <v>55</v>
      </c>
      <c r="J236" s="17" t="n">
        <v>0.173</v>
      </c>
      <c r="K236" s="18" t="n">
        <v>0.1507</v>
      </c>
      <c r="L236" s="47"/>
      <c r="M236" s="19" t="n">
        <v>0.1782</v>
      </c>
      <c r="N236" s="20" t="n">
        <v>0.5019</v>
      </c>
    </row>
    <row r="237" customFormat="false" ht="12.8" hidden="false" customHeight="false" outlineLevel="0" collapsed="false">
      <c r="B237" s="71" t="n">
        <v>28</v>
      </c>
      <c r="C237" s="60" t="s">
        <v>65</v>
      </c>
      <c r="D237" s="1" t="n">
        <v>0.162</v>
      </c>
      <c r="E237" s="1" t="s">
        <v>52</v>
      </c>
      <c r="H237" s="69"/>
      <c r="I237" s="70" t="s">
        <v>58</v>
      </c>
      <c r="J237" s="21" t="n">
        <v>0.1543</v>
      </c>
      <c r="K237" s="22" t="n">
        <v>0.1433</v>
      </c>
      <c r="L237" s="22" t="n">
        <v>0.1</v>
      </c>
      <c r="M237" s="23" t="n">
        <v>0.1</v>
      </c>
      <c r="N237" s="24" t="n">
        <v>0.4976</v>
      </c>
    </row>
    <row r="238" customFormat="false" ht="12.8" hidden="false" customHeight="false" outlineLevel="0" collapsed="false">
      <c r="B238" s="71" t="n">
        <v>28</v>
      </c>
      <c r="C238" s="60" t="s">
        <v>56</v>
      </c>
      <c r="D238" s="1" t="n">
        <v>0.1614</v>
      </c>
      <c r="E238" s="1" t="s">
        <v>52</v>
      </c>
      <c r="H238" s="72" t="s">
        <v>9</v>
      </c>
      <c r="I238" s="73"/>
      <c r="J238" s="26" t="n">
        <v>24.9999</v>
      </c>
      <c r="K238" s="27" t="n">
        <v>25.0004</v>
      </c>
      <c r="L238" s="27" t="n">
        <v>24.9999</v>
      </c>
      <c r="M238" s="28" t="n">
        <v>24.9996</v>
      </c>
      <c r="N238" s="29" t="n">
        <v>99.9997999999998</v>
      </c>
    </row>
    <row r="239" customFormat="false" ht="12.8" hidden="false" customHeight="false" outlineLevel="0" collapsed="false">
      <c r="B239" s="71" t="n">
        <v>28</v>
      </c>
      <c r="C239" s="60" t="s">
        <v>58</v>
      </c>
      <c r="D239" s="1" t="n">
        <v>0.1</v>
      </c>
      <c r="E239" s="1" t="s">
        <v>52</v>
      </c>
    </row>
    <row r="240" customFormat="false" ht="12.8" hidden="false" customHeight="false" outlineLevel="0" collapsed="false">
      <c r="B240" s="71" t="n">
        <v>30</v>
      </c>
      <c r="C240" s="60" t="s">
        <v>48</v>
      </c>
      <c r="D240" s="1" t="n">
        <v>0.1902</v>
      </c>
      <c r="E240" s="1" t="s">
        <v>52</v>
      </c>
    </row>
    <row r="241" customFormat="false" ht="12.8" hidden="false" customHeight="false" outlineLevel="0" collapsed="false">
      <c r="B241" s="71" t="n">
        <v>30</v>
      </c>
      <c r="C241" s="60" t="s">
        <v>60</v>
      </c>
      <c r="D241" s="1" t="n">
        <v>0.1847</v>
      </c>
      <c r="E241" s="1" t="s">
        <v>52</v>
      </c>
      <c r="H241" s="3" t="s">
        <v>66</v>
      </c>
      <c r="I241" s="4" t="s">
        <v>47</v>
      </c>
      <c r="J241" s="5"/>
      <c r="K241" s="5"/>
      <c r="L241" s="5"/>
      <c r="M241" s="6"/>
    </row>
    <row r="242" customFormat="false" ht="12.8" hidden="false" customHeight="false" outlineLevel="0" collapsed="false">
      <c r="B242" s="71" t="n">
        <v>30</v>
      </c>
      <c r="C242" s="60" t="s">
        <v>57</v>
      </c>
      <c r="D242" s="1" t="n">
        <v>0.1797</v>
      </c>
      <c r="E242" s="1" t="s">
        <v>52</v>
      </c>
      <c r="H242" s="7" t="s">
        <v>45</v>
      </c>
      <c r="I242" s="8" t="s">
        <v>49</v>
      </c>
      <c r="J242" s="9" t="s">
        <v>52</v>
      </c>
      <c r="K242" s="9" t="s">
        <v>53</v>
      </c>
      <c r="L242" s="9" t="s">
        <v>54</v>
      </c>
      <c r="M242" s="10" t="s">
        <v>9</v>
      </c>
    </row>
    <row r="243" customFormat="false" ht="12.8" hidden="false" customHeight="false" outlineLevel="0" collapsed="false">
      <c r="B243" s="71" t="n">
        <v>30</v>
      </c>
      <c r="C243" s="60" t="s">
        <v>65</v>
      </c>
      <c r="D243" s="1" t="n">
        <v>0.1771</v>
      </c>
      <c r="E243" s="1" t="s">
        <v>52</v>
      </c>
      <c r="H243" s="74" t="s">
        <v>59</v>
      </c>
      <c r="I243" s="42" t="n">
        <v>10</v>
      </c>
      <c r="J243" s="43" t="n">
        <v>5</v>
      </c>
      <c r="K243" s="43" t="n">
        <v>14</v>
      </c>
      <c r="L243" s="44" t="n">
        <v>9</v>
      </c>
      <c r="M243" s="45" t="n">
        <v>38</v>
      </c>
    </row>
    <row r="244" customFormat="false" ht="12.8" hidden="false" customHeight="false" outlineLevel="0" collapsed="false">
      <c r="B244" s="71" t="n">
        <v>30</v>
      </c>
      <c r="C244" s="60" t="s">
        <v>56</v>
      </c>
      <c r="D244" s="1" t="n">
        <v>0.1683</v>
      </c>
      <c r="E244" s="1" t="s">
        <v>52</v>
      </c>
      <c r="H244" s="75" t="s">
        <v>63</v>
      </c>
      <c r="I244" s="46"/>
      <c r="J244" s="47" t="n">
        <v>2</v>
      </c>
      <c r="K244" s="47"/>
      <c r="L244" s="48"/>
      <c r="M244" s="49" t="n">
        <v>2</v>
      </c>
    </row>
    <row r="245" customFormat="false" ht="12.8" hidden="false" customHeight="false" outlineLevel="0" collapsed="false">
      <c r="B245" s="71" t="n">
        <v>30</v>
      </c>
      <c r="C245" s="60" t="s">
        <v>58</v>
      </c>
      <c r="D245" s="1" t="n">
        <v>0.1</v>
      </c>
      <c r="E245" s="1" t="s">
        <v>52</v>
      </c>
      <c r="H245" s="75" t="s">
        <v>60</v>
      </c>
      <c r="I245" s="46" t="n">
        <v>12</v>
      </c>
      <c r="J245" s="47" t="n">
        <v>16</v>
      </c>
      <c r="K245" s="47" t="n">
        <v>12</v>
      </c>
      <c r="L245" s="48" t="n">
        <v>11</v>
      </c>
      <c r="M245" s="49" t="n">
        <v>51</v>
      </c>
    </row>
    <row r="246" customFormat="false" ht="12.8" hidden="false" customHeight="false" outlineLevel="0" collapsed="false">
      <c r="B246" s="71" t="n">
        <v>32</v>
      </c>
      <c r="C246" s="60" t="s">
        <v>48</v>
      </c>
      <c r="D246" s="1" t="n">
        <v>0.3425</v>
      </c>
      <c r="E246" s="1" t="s">
        <v>52</v>
      </c>
      <c r="H246" s="75" t="s">
        <v>51</v>
      </c>
      <c r="I246" s="46" t="n">
        <v>4</v>
      </c>
      <c r="J246" s="47" t="n">
        <v>13</v>
      </c>
      <c r="K246" s="47" t="n">
        <v>10</v>
      </c>
      <c r="L246" s="48" t="n">
        <v>7</v>
      </c>
      <c r="M246" s="49" t="n">
        <v>34</v>
      </c>
    </row>
    <row r="247" customFormat="false" ht="12.8" hidden="false" customHeight="false" outlineLevel="0" collapsed="false">
      <c r="B247" s="71" t="n">
        <v>32</v>
      </c>
      <c r="C247" s="60" t="s">
        <v>56</v>
      </c>
      <c r="D247" s="1" t="n">
        <v>0.2955</v>
      </c>
      <c r="E247" s="1" t="s">
        <v>52</v>
      </c>
      <c r="H247" s="75" t="s">
        <v>57</v>
      </c>
      <c r="I247" s="46" t="n">
        <v>21</v>
      </c>
      <c r="J247" s="47" t="n">
        <v>20</v>
      </c>
      <c r="K247" s="47" t="n">
        <v>18</v>
      </c>
      <c r="L247" s="48" t="n">
        <v>21</v>
      </c>
      <c r="M247" s="49" t="n">
        <v>80</v>
      </c>
    </row>
    <row r="248" customFormat="false" ht="12.8" hidden="false" customHeight="false" outlineLevel="0" collapsed="false">
      <c r="B248" s="71" t="n">
        <v>32</v>
      </c>
      <c r="C248" s="60" t="s">
        <v>59</v>
      </c>
      <c r="D248" s="1" t="n">
        <v>0.262</v>
      </c>
      <c r="E248" s="1" t="s">
        <v>52</v>
      </c>
      <c r="H248" s="75" t="s">
        <v>56</v>
      </c>
      <c r="I248" s="46" t="n">
        <v>14</v>
      </c>
      <c r="J248" s="47" t="n">
        <v>18</v>
      </c>
      <c r="K248" s="47" t="n">
        <v>18</v>
      </c>
      <c r="L248" s="48" t="n">
        <v>22</v>
      </c>
      <c r="M248" s="49" t="n">
        <v>72</v>
      </c>
    </row>
    <row r="249" customFormat="false" ht="12.8" hidden="false" customHeight="false" outlineLevel="0" collapsed="false">
      <c r="B249" s="71" t="n">
        <v>32</v>
      </c>
      <c r="C249" s="60" t="s">
        <v>58</v>
      </c>
      <c r="D249" s="1" t="n">
        <v>0.1</v>
      </c>
      <c r="E249" s="1" t="s">
        <v>52</v>
      </c>
      <c r="H249" s="75" t="s">
        <v>62</v>
      </c>
      <c r="I249" s="46" t="n">
        <v>6</v>
      </c>
      <c r="J249" s="47" t="n">
        <v>7</v>
      </c>
      <c r="K249" s="47" t="n">
        <v>9</v>
      </c>
      <c r="L249" s="48" t="n">
        <v>3</v>
      </c>
      <c r="M249" s="49" t="n">
        <v>25</v>
      </c>
    </row>
    <row r="250" customFormat="false" ht="12.8" hidden="false" customHeight="false" outlineLevel="0" collapsed="false">
      <c r="B250" s="71" t="n">
        <v>34</v>
      </c>
      <c r="C250" s="60" t="s">
        <v>48</v>
      </c>
      <c r="D250" s="1" t="n">
        <v>0.2068</v>
      </c>
      <c r="E250" s="1" t="s">
        <v>52</v>
      </c>
      <c r="H250" s="75" t="s">
        <v>48</v>
      </c>
      <c r="I250" s="46" t="n">
        <v>25</v>
      </c>
      <c r="J250" s="47" t="n">
        <v>25</v>
      </c>
      <c r="K250" s="47" t="n">
        <v>25</v>
      </c>
      <c r="L250" s="48" t="n">
        <v>25</v>
      </c>
      <c r="M250" s="49" t="n">
        <v>100</v>
      </c>
    </row>
    <row r="251" customFormat="false" ht="12.8" hidden="false" customHeight="false" outlineLevel="0" collapsed="false">
      <c r="B251" s="71" t="n">
        <v>34</v>
      </c>
      <c r="C251" s="60" t="s">
        <v>56</v>
      </c>
      <c r="D251" s="1" t="n">
        <v>0.1818</v>
      </c>
      <c r="E251" s="1" t="s">
        <v>52</v>
      </c>
      <c r="H251" s="75" t="s">
        <v>64</v>
      </c>
      <c r="I251" s="46" t="n">
        <v>2</v>
      </c>
      <c r="J251" s="47"/>
      <c r="K251" s="47"/>
      <c r="L251" s="48" t="n">
        <v>3</v>
      </c>
      <c r="M251" s="49" t="n">
        <v>5</v>
      </c>
    </row>
    <row r="252" customFormat="false" ht="12.8" hidden="false" customHeight="false" outlineLevel="0" collapsed="false">
      <c r="B252" s="71" t="n">
        <v>34</v>
      </c>
      <c r="C252" s="60" t="s">
        <v>57</v>
      </c>
      <c r="D252" s="1" t="n">
        <v>0.1768</v>
      </c>
      <c r="E252" s="1" t="s">
        <v>52</v>
      </c>
      <c r="H252" s="75" t="s">
        <v>55</v>
      </c>
      <c r="I252" s="46" t="n">
        <v>25</v>
      </c>
      <c r="J252" s="47" t="n">
        <v>8</v>
      </c>
      <c r="K252" s="47" t="n">
        <v>11</v>
      </c>
      <c r="L252" s="48" t="n">
        <v>14</v>
      </c>
      <c r="M252" s="49" t="n">
        <v>58</v>
      </c>
    </row>
    <row r="253" customFormat="false" ht="12.8" hidden="false" customHeight="false" outlineLevel="0" collapsed="false">
      <c r="B253" s="71" t="n">
        <v>34</v>
      </c>
      <c r="C253" s="60" t="s">
        <v>60</v>
      </c>
      <c r="D253" s="1" t="n">
        <v>0.1681</v>
      </c>
      <c r="E253" s="1" t="s">
        <v>52</v>
      </c>
      <c r="H253" s="75" t="s">
        <v>65</v>
      </c>
      <c r="I253" s="46" t="n">
        <v>6</v>
      </c>
      <c r="J253" s="47" t="n">
        <v>6</v>
      </c>
      <c r="K253" s="47" t="n">
        <v>5</v>
      </c>
      <c r="L253" s="48" t="n">
        <v>10</v>
      </c>
      <c r="M253" s="49" t="n">
        <v>27</v>
      </c>
    </row>
    <row r="254" customFormat="false" ht="12.8" hidden="false" customHeight="false" outlineLevel="0" collapsed="false">
      <c r="B254" s="71" t="n">
        <v>34</v>
      </c>
      <c r="C254" s="60" t="s">
        <v>59</v>
      </c>
      <c r="D254" s="1" t="n">
        <v>0.1665</v>
      </c>
      <c r="E254" s="1" t="s">
        <v>52</v>
      </c>
      <c r="H254" s="75" t="s">
        <v>58</v>
      </c>
      <c r="I254" s="50" t="n">
        <v>25</v>
      </c>
      <c r="J254" s="51" t="n">
        <v>25</v>
      </c>
      <c r="K254" s="51" t="n">
        <v>25</v>
      </c>
      <c r="L254" s="52" t="n">
        <v>25</v>
      </c>
      <c r="M254" s="53" t="n">
        <v>100</v>
      </c>
    </row>
    <row r="255" customFormat="false" ht="12.8" hidden="false" customHeight="false" outlineLevel="0" collapsed="false">
      <c r="B255" s="71" t="n">
        <v>34</v>
      </c>
      <c r="C255" s="60" t="s">
        <v>58</v>
      </c>
      <c r="D255" s="1" t="n">
        <v>0.1</v>
      </c>
      <c r="E255" s="1" t="s">
        <v>52</v>
      </c>
      <c r="H255" s="76" t="s">
        <v>9</v>
      </c>
      <c r="I255" s="54" t="n">
        <v>150</v>
      </c>
      <c r="J255" s="55" t="n">
        <v>145</v>
      </c>
      <c r="K255" s="55" t="n">
        <v>147</v>
      </c>
      <c r="L255" s="56" t="n">
        <v>150</v>
      </c>
      <c r="M255" s="57" t="n">
        <v>592</v>
      </c>
    </row>
    <row r="256" customFormat="false" ht="12.8" hidden="false" customHeight="false" outlineLevel="0" collapsed="false">
      <c r="B256" s="71" t="n">
        <v>36</v>
      </c>
      <c r="C256" s="60" t="s">
        <v>48</v>
      </c>
      <c r="D256" s="1" t="n">
        <v>0.1907</v>
      </c>
      <c r="E256" s="1" t="s">
        <v>52</v>
      </c>
    </row>
    <row r="257" customFormat="false" ht="12.8" hidden="false" customHeight="false" outlineLevel="0" collapsed="false">
      <c r="B257" s="71" t="n">
        <v>36</v>
      </c>
      <c r="C257" s="60" t="s">
        <v>65</v>
      </c>
      <c r="D257" s="1" t="n">
        <v>0.1895</v>
      </c>
      <c r="E257" s="1" t="s">
        <v>52</v>
      </c>
    </row>
    <row r="258" customFormat="false" ht="12.8" hidden="false" customHeight="false" outlineLevel="0" collapsed="false">
      <c r="B258" s="71" t="n">
        <v>36</v>
      </c>
      <c r="C258" s="60" t="s">
        <v>62</v>
      </c>
      <c r="D258" s="1" t="n">
        <v>0.1866</v>
      </c>
      <c r="E258" s="1" t="s">
        <v>52</v>
      </c>
      <c r="H258" s="77" t="s">
        <v>67</v>
      </c>
    </row>
    <row r="259" customFormat="false" ht="12.8" hidden="false" customHeight="false" outlineLevel="0" collapsed="false">
      <c r="B259" s="71" t="n">
        <v>36</v>
      </c>
      <c r="C259" s="60" t="s">
        <v>56</v>
      </c>
      <c r="D259" s="1" t="n">
        <v>0.1725</v>
      </c>
      <c r="E259" s="1" t="s">
        <v>52</v>
      </c>
    </row>
    <row r="260" customFormat="false" ht="12.8" hidden="false" customHeight="false" outlineLevel="0" collapsed="false">
      <c r="B260" s="71" t="n">
        <v>36</v>
      </c>
      <c r="C260" s="60" t="s">
        <v>63</v>
      </c>
      <c r="D260" s="1" t="n">
        <v>0.1607</v>
      </c>
      <c r="E260" s="1" t="s">
        <v>52</v>
      </c>
      <c r="H260" s="78" t="s">
        <v>66</v>
      </c>
      <c r="I260" s="79" t="s">
        <v>47</v>
      </c>
      <c r="J260" s="80"/>
      <c r="K260" s="80"/>
      <c r="L260" s="80"/>
      <c r="M260" s="81"/>
    </row>
    <row r="261" customFormat="false" ht="12.8" hidden="false" customHeight="false" outlineLevel="0" collapsed="false">
      <c r="B261" s="71" t="n">
        <v>36</v>
      </c>
      <c r="C261" s="60" t="s">
        <v>58</v>
      </c>
      <c r="D261" s="1" t="n">
        <v>0.1</v>
      </c>
      <c r="E261" s="1" t="s">
        <v>52</v>
      </c>
      <c r="H261" s="82" t="s">
        <v>45</v>
      </c>
      <c r="I261" s="83" t="s">
        <v>49</v>
      </c>
      <c r="J261" s="84" t="s">
        <v>52</v>
      </c>
      <c r="K261" s="84" t="s">
        <v>53</v>
      </c>
      <c r="L261" s="84" t="s">
        <v>54</v>
      </c>
      <c r="M261" s="85" t="s">
        <v>9</v>
      </c>
    </row>
    <row r="262" customFormat="false" ht="12.8" hidden="false" customHeight="false" outlineLevel="0" collapsed="false">
      <c r="B262" s="71" t="n">
        <v>38</v>
      </c>
      <c r="C262" s="60" t="s">
        <v>55</v>
      </c>
      <c r="D262" s="1" t="n">
        <v>0.1945</v>
      </c>
      <c r="E262" s="1" t="s">
        <v>52</v>
      </c>
      <c r="H262" s="86" t="s">
        <v>59</v>
      </c>
      <c r="I262" s="87" t="n">
        <v>10</v>
      </c>
      <c r="J262" s="88" t="n">
        <v>5</v>
      </c>
      <c r="K262" s="88" t="n">
        <v>14</v>
      </c>
      <c r="L262" s="89" t="n">
        <v>9</v>
      </c>
      <c r="M262" s="90" t="n">
        <v>38</v>
      </c>
    </row>
    <row r="263" customFormat="false" ht="12.8" hidden="false" customHeight="false" outlineLevel="0" collapsed="false">
      <c r="B263" s="71" t="n">
        <v>38</v>
      </c>
      <c r="C263" s="60" t="s">
        <v>56</v>
      </c>
      <c r="D263" s="1" t="n">
        <v>0.189</v>
      </c>
      <c r="E263" s="1" t="s">
        <v>52</v>
      </c>
      <c r="H263" s="91" t="s">
        <v>63</v>
      </c>
      <c r="I263" s="92" t="n">
        <v>0</v>
      </c>
      <c r="J263" s="93" t="n">
        <v>2</v>
      </c>
      <c r="K263" s="93" t="n">
        <v>0</v>
      </c>
      <c r="L263" s="94" t="n">
        <v>0</v>
      </c>
      <c r="M263" s="95" t="n">
        <v>2</v>
      </c>
    </row>
    <row r="264" customFormat="false" ht="12.8" hidden="false" customHeight="false" outlineLevel="0" collapsed="false">
      <c r="B264" s="71" t="n">
        <v>38</v>
      </c>
      <c r="C264" s="60" t="s">
        <v>48</v>
      </c>
      <c r="D264" s="1" t="n">
        <v>0.1886</v>
      </c>
      <c r="E264" s="1" t="s">
        <v>52</v>
      </c>
      <c r="H264" s="91" t="s">
        <v>60</v>
      </c>
      <c r="I264" s="92" t="n">
        <v>12</v>
      </c>
      <c r="J264" s="93" t="n">
        <v>16</v>
      </c>
      <c r="K264" s="93" t="n">
        <v>12</v>
      </c>
      <c r="L264" s="94" t="n">
        <v>11</v>
      </c>
      <c r="M264" s="95" t="n">
        <v>51</v>
      </c>
    </row>
    <row r="265" customFormat="false" ht="12.8" hidden="false" customHeight="false" outlineLevel="0" collapsed="false">
      <c r="B265" s="71" t="n">
        <v>38</v>
      </c>
      <c r="C265" s="60" t="s">
        <v>60</v>
      </c>
      <c r="D265" s="1" t="n">
        <v>0.1642</v>
      </c>
      <c r="E265" s="1" t="s">
        <v>52</v>
      </c>
      <c r="H265" s="91" t="s">
        <v>51</v>
      </c>
      <c r="I265" s="92" t="n">
        <v>4</v>
      </c>
      <c r="J265" s="93" t="n">
        <v>13</v>
      </c>
      <c r="K265" s="93" t="n">
        <v>10</v>
      </c>
      <c r="L265" s="94" t="n">
        <v>7</v>
      </c>
      <c r="M265" s="95" t="n">
        <v>34</v>
      </c>
    </row>
    <row r="266" customFormat="false" ht="12.8" hidden="false" customHeight="false" outlineLevel="0" collapsed="false">
      <c r="B266" s="71" t="n">
        <v>38</v>
      </c>
      <c r="C266" s="60" t="s">
        <v>57</v>
      </c>
      <c r="D266" s="1" t="n">
        <v>0.1637</v>
      </c>
      <c r="E266" s="1" t="s">
        <v>52</v>
      </c>
      <c r="H266" s="91" t="s">
        <v>57</v>
      </c>
      <c r="I266" s="92" t="n">
        <v>21</v>
      </c>
      <c r="J266" s="93" t="n">
        <v>20</v>
      </c>
      <c r="K266" s="93" t="n">
        <v>18</v>
      </c>
      <c r="L266" s="94" t="n">
        <v>21</v>
      </c>
      <c r="M266" s="95" t="n">
        <v>80</v>
      </c>
    </row>
    <row r="267" customFormat="false" ht="12.8" hidden="false" customHeight="false" outlineLevel="0" collapsed="false">
      <c r="B267" s="71" t="n">
        <v>38</v>
      </c>
      <c r="C267" s="60" t="s">
        <v>58</v>
      </c>
      <c r="D267" s="1" t="n">
        <v>0.1</v>
      </c>
      <c r="E267" s="1" t="s">
        <v>52</v>
      </c>
      <c r="H267" s="91" t="s">
        <v>56</v>
      </c>
      <c r="I267" s="92" t="n">
        <v>14</v>
      </c>
      <c r="J267" s="93" t="n">
        <v>18</v>
      </c>
      <c r="K267" s="93" t="n">
        <v>18</v>
      </c>
      <c r="L267" s="94" t="n">
        <v>22</v>
      </c>
      <c r="M267" s="95" t="n">
        <v>72</v>
      </c>
    </row>
    <row r="268" customFormat="false" ht="12.8" hidden="false" customHeight="false" outlineLevel="0" collapsed="false">
      <c r="B268" s="71" t="n">
        <v>40</v>
      </c>
      <c r="C268" s="60" t="s">
        <v>48</v>
      </c>
      <c r="D268" s="1" t="n">
        <v>0.1937</v>
      </c>
      <c r="E268" s="1" t="s">
        <v>52</v>
      </c>
      <c r="H268" s="91" t="s">
        <v>62</v>
      </c>
      <c r="I268" s="92" t="n">
        <v>6</v>
      </c>
      <c r="J268" s="93" t="n">
        <v>7</v>
      </c>
      <c r="K268" s="93" t="n">
        <v>9</v>
      </c>
      <c r="L268" s="94" t="n">
        <v>3</v>
      </c>
      <c r="M268" s="95" t="n">
        <v>25</v>
      </c>
    </row>
    <row r="269" customFormat="false" ht="12.8" hidden="false" customHeight="false" outlineLevel="0" collapsed="false">
      <c r="B269" s="71" t="n">
        <v>40</v>
      </c>
      <c r="C269" s="60" t="s">
        <v>55</v>
      </c>
      <c r="D269" s="1" t="n">
        <v>0.1853</v>
      </c>
      <c r="E269" s="1" t="s">
        <v>52</v>
      </c>
      <c r="H269" s="91" t="s">
        <v>48</v>
      </c>
      <c r="I269" s="92" t="n">
        <v>25</v>
      </c>
      <c r="J269" s="93" t="n">
        <v>25</v>
      </c>
      <c r="K269" s="93" t="n">
        <v>25</v>
      </c>
      <c r="L269" s="94" t="n">
        <v>25</v>
      </c>
      <c r="M269" s="95" t="n">
        <v>100</v>
      </c>
    </row>
    <row r="270" customFormat="false" ht="12.8" hidden="false" customHeight="false" outlineLevel="0" collapsed="false">
      <c r="B270" s="71" t="n">
        <v>40</v>
      </c>
      <c r="C270" s="60" t="s">
        <v>57</v>
      </c>
      <c r="D270" s="1" t="n">
        <v>0.1784</v>
      </c>
      <c r="E270" s="1" t="s">
        <v>52</v>
      </c>
      <c r="H270" s="91" t="s">
        <v>64</v>
      </c>
      <c r="I270" s="92" t="n">
        <v>2</v>
      </c>
      <c r="J270" s="93" t="n">
        <v>0</v>
      </c>
      <c r="K270" s="93" t="n">
        <v>0</v>
      </c>
      <c r="L270" s="94" t="n">
        <v>3</v>
      </c>
      <c r="M270" s="95" t="n">
        <v>5</v>
      </c>
    </row>
    <row r="271" customFormat="false" ht="12.8" hidden="false" customHeight="false" outlineLevel="0" collapsed="false">
      <c r="B271" s="71" t="n">
        <v>40</v>
      </c>
      <c r="C271" s="60" t="s">
        <v>60</v>
      </c>
      <c r="D271" s="1" t="n">
        <v>0.1738</v>
      </c>
      <c r="E271" s="1" t="s">
        <v>52</v>
      </c>
      <c r="H271" s="91" t="s">
        <v>55</v>
      </c>
      <c r="I271" s="92" t="n">
        <v>25</v>
      </c>
      <c r="J271" s="93" t="n">
        <v>8</v>
      </c>
      <c r="K271" s="93" t="n">
        <v>11</v>
      </c>
      <c r="L271" s="94" t="n">
        <v>14</v>
      </c>
      <c r="M271" s="95" t="n">
        <v>58</v>
      </c>
    </row>
    <row r="272" customFormat="false" ht="12.8" hidden="false" customHeight="false" outlineLevel="0" collapsed="false">
      <c r="B272" s="71" t="n">
        <v>40</v>
      </c>
      <c r="C272" s="60" t="s">
        <v>56</v>
      </c>
      <c r="D272" s="1" t="n">
        <v>0.1688</v>
      </c>
      <c r="E272" s="1" t="s">
        <v>52</v>
      </c>
      <c r="H272" s="91" t="s">
        <v>65</v>
      </c>
      <c r="I272" s="92" t="n">
        <v>6</v>
      </c>
      <c r="J272" s="93" t="n">
        <v>6</v>
      </c>
      <c r="K272" s="93" t="n">
        <v>5</v>
      </c>
      <c r="L272" s="94" t="n">
        <v>10</v>
      </c>
      <c r="M272" s="95" t="n">
        <v>27</v>
      </c>
    </row>
    <row r="273" customFormat="false" ht="12.8" hidden="false" customHeight="false" outlineLevel="0" collapsed="false">
      <c r="B273" s="71" t="n">
        <v>40</v>
      </c>
      <c r="C273" s="60" t="s">
        <v>58</v>
      </c>
      <c r="D273" s="1" t="n">
        <v>0.1</v>
      </c>
      <c r="E273" s="1" t="s">
        <v>52</v>
      </c>
      <c r="H273" s="91" t="s">
        <v>58</v>
      </c>
      <c r="I273" s="96" t="n">
        <v>25</v>
      </c>
      <c r="J273" s="97" t="n">
        <v>25</v>
      </c>
      <c r="K273" s="97" t="n">
        <v>25</v>
      </c>
      <c r="L273" s="98" t="n">
        <v>25</v>
      </c>
      <c r="M273" s="99" t="n">
        <v>100</v>
      </c>
    </row>
    <row r="274" customFormat="false" ht="12.8" hidden="false" customHeight="false" outlineLevel="0" collapsed="false">
      <c r="B274" s="71" t="n">
        <v>42</v>
      </c>
      <c r="C274" s="60" t="s">
        <v>48</v>
      </c>
      <c r="D274" s="1" t="n">
        <v>0.191</v>
      </c>
      <c r="E274" s="1" t="s">
        <v>52</v>
      </c>
      <c r="H274" s="100" t="s">
        <v>9</v>
      </c>
      <c r="I274" s="101" t="n">
        <v>150</v>
      </c>
      <c r="J274" s="102" t="n">
        <v>145</v>
      </c>
      <c r="K274" s="102" t="n">
        <v>147</v>
      </c>
      <c r="L274" s="103" t="n">
        <v>150</v>
      </c>
      <c r="M274" s="104" t="n">
        <v>592</v>
      </c>
    </row>
    <row r="275" customFormat="false" ht="12.8" hidden="false" customHeight="false" outlineLevel="0" collapsed="false">
      <c r="B275" s="71" t="n">
        <v>42</v>
      </c>
      <c r="C275" s="60" t="s">
        <v>56</v>
      </c>
      <c r="D275" s="1" t="n">
        <v>0.1844</v>
      </c>
      <c r="E275" s="1" t="s">
        <v>52</v>
      </c>
    </row>
    <row r="276" customFormat="false" ht="12.8" hidden="false" customHeight="false" outlineLevel="0" collapsed="false">
      <c r="B276" s="71" t="n">
        <v>42</v>
      </c>
      <c r="C276" s="60" t="s">
        <v>57</v>
      </c>
      <c r="D276" s="1" t="n">
        <v>0.1794</v>
      </c>
      <c r="E276" s="1" t="s">
        <v>52</v>
      </c>
      <c r="H276" s="36" t="s">
        <v>68</v>
      </c>
    </row>
    <row r="277" customFormat="false" ht="12.8" hidden="false" customHeight="false" outlineLevel="0" collapsed="false">
      <c r="B277" s="71" t="n">
        <v>42</v>
      </c>
      <c r="C277" s="60" t="s">
        <v>60</v>
      </c>
      <c r="D277" s="1" t="n">
        <v>0.178</v>
      </c>
      <c r="E277" s="1" t="s">
        <v>52</v>
      </c>
      <c r="H277" s="1" t="s">
        <v>19</v>
      </c>
      <c r="I277" s="1" t="n">
        <v>0.05</v>
      </c>
    </row>
    <row r="278" customFormat="false" ht="12.8" hidden="false" customHeight="false" outlineLevel="0" collapsed="false">
      <c r="B278" s="71" t="n">
        <v>42</v>
      </c>
      <c r="C278" s="60" t="s">
        <v>51</v>
      </c>
      <c r="D278" s="1" t="n">
        <v>0.1672</v>
      </c>
      <c r="E278" s="1" t="s">
        <v>52</v>
      </c>
      <c r="H278" s="1" t="s">
        <v>29</v>
      </c>
      <c r="I278" s="1" t="n">
        <f aca="false">(COLUMNS(anchors_raw_information!$I$262:$L$273) - 1) * (ROWS(anchors_raw_information!$I$262:$L$273) - 1)</f>
        <v>33</v>
      </c>
    </row>
    <row r="279" customFormat="false" ht="12.8" hidden="false" customHeight="false" outlineLevel="0" collapsed="false">
      <c r="B279" s="71" t="n">
        <v>42</v>
      </c>
      <c r="C279" s="60" t="s">
        <v>58</v>
      </c>
      <c r="D279" s="1" t="n">
        <v>0.1</v>
      </c>
      <c r="E279" s="1" t="s">
        <v>52</v>
      </c>
      <c r="H279" s="1" t="s">
        <v>69</v>
      </c>
      <c r="I279" s="1" t="n">
        <f aca="false">CHITEST(anchors_raw_information!$I$262:$L$273, MMULT(MMULT(anchors_raw_information!$I$262:$L$273,TRANSPOSE(IF(COLUMN(anchors_raw_information!$I$262:$L$273),TRUE()))),MMULT(TRANSPOSE(IF(ROW(anchors_raw_information!$I$262:$L$273),TRUE())),anchors_raw_information!$I$262:$L$273)) / SUM(anchors_raw_information!$I$262:$L$273))</f>
        <v>0.165953078749592</v>
      </c>
    </row>
    <row r="280" customFormat="false" ht="12.8" hidden="false" customHeight="false" outlineLevel="0" collapsed="false">
      <c r="B280" s="71" t="n">
        <v>44</v>
      </c>
      <c r="C280" s="60" t="s">
        <v>60</v>
      </c>
      <c r="D280" s="1" t="n">
        <v>0.1966</v>
      </c>
      <c r="E280" s="1" t="s">
        <v>52</v>
      </c>
      <c r="H280" s="1" t="s">
        <v>70</v>
      </c>
      <c r="I280" s="1" t="n">
        <f aca="false">CHIINV(anchors_raw_information!$I$279, anchors_raw_information!$I$278)</f>
        <v>40.7640634988306</v>
      </c>
    </row>
    <row r="281" customFormat="false" ht="12.8" hidden="false" customHeight="false" outlineLevel="0" collapsed="false">
      <c r="B281" s="71" t="n">
        <v>44</v>
      </c>
      <c r="C281" s="60" t="s">
        <v>48</v>
      </c>
      <c r="D281" s="1" t="n">
        <v>0.189</v>
      </c>
      <c r="E281" s="1" t="s">
        <v>52</v>
      </c>
      <c r="H281" s="1" t="s">
        <v>71</v>
      </c>
      <c r="I281" s="1" t="n">
        <f aca="false">CHIINV(anchors_raw_information!$I$277, anchors_raw_information!$I$278)</f>
        <v>47.3998839190809</v>
      </c>
    </row>
    <row r="282" customFormat="false" ht="12.8" hidden="false" customHeight="false" outlineLevel="0" collapsed="false">
      <c r="B282" s="71" t="n">
        <v>44</v>
      </c>
      <c r="C282" s="60" t="s">
        <v>56</v>
      </c>
      <c r="D282" s="1" t="n">
        <v>0.1745</v>
      </c>
      <c r="E282" s="1" t="s">
        <v>52</v>
      </c>
    </row>
    <row r="283" customFormat="false" ht="12.8" hidden="false" customHeight="false" outlineLevel="0" collapsed="false">
      <c r="B283" s="71" t="n">
        <v>44</v>
      </c>
      <c r="C283" s="60" t="s">
        <v>57</v>
      </c>
      <c r="D283" s="1" t="n">
        <v>0.1743</v>
      </c>
      <c r="E283" s="1" t="s">
        <v>52</v>
      </c>
    </row>
    <row r="284" customFormat="false" ht="12.8" hidden="false" customHeight="false" outlineLevel="0" collapsed="false">
      <c r="B284" s="71" t="n">
        <v>44</v>
      </c>
      <c r="C284" s="60" t="s">
        <v>55</v>
      </c>
      <c r="D284" s="1" t="n">
        <v>0.1656</v>
      </c>
      <c r="E284" s="1" t="s">
        <v>52</v>
      </c>
      <c r="H284" s="77" t="s">
        <v>72</v>
      </c>
    </row>
    <row r="285" customFormat="false" ht="12.8" hidden="false" customHeight="false" outlineLevel="0" collapsed="false">
      <c r="B285" s="71" t="n">
        <v>44</v>
      </c>
      <c r="C285" s="60" t="s">
        <v>58</v>
      </c>
      <c r="D285" s="1" t="n">
        <v>0.1</v>
      </c>
      <c r="E285" s="1" t="s">
        <v>52</v>
      </c>
    </row>
    <row r="286" customFormat="false" ht="12.8" hidden="false" customHeight="false" outlineLevel="0" collapsed="false">
      <c r="B286" s="71" t="n">
        <v>46</v>
      </c>
      <c r="C286" s="60" t="s">
        <v>48</v>
      </c>
      <c r="D286" s="1" t="n">
        <v>0.2363</v>
      </c>
      <c r="E286" s="1" t="s">
        <v>52</v>
      </c>
      <c r="H286" s="78" t="s">
        <v>66</v>
      </c>
      <c r="I286" s="79" t="s">
        <v>47</v>
      </c>
      <c r="J286" s="80"/>
      <c r="K286" s="80"/>
      <c r="L286" s="80"/>
      <c r="M286" s="81"/>
    </row>
    <row r="287" customFormat="false" ht="12.8" hidden="false" customHeight="false" outlineLevel="0" collapsed="false">
      <c r="B287" s="71" t="n">
        <v>46</v>
      </c>
      <c r="C287" s="60" t="s">
        <v>56</v>
      </c>
      <c r="D287" s="1" t="n">
        <v>0.2255</v>
      </c>
      <c r="E287" s="1" t="s">
        <v>52</v>
      </c>
      <c r="H287" s="82" t="s">
        <v>45</v>
      </c>
      <c r="I287" s="83" t="s">
        <v>49</v>
      </c>
      <c r="J287" s="84" t="s">
        <v>52</v>
      </c>
      <c r="K287" s="84" t="s">
        <v>53</v>
      </c>
      <c r="L287" s="84" t="s">
        <v>54</v>
      </c>
      <c r="M287" s="85" t="s">
        <v>9</v>
      </c>
    </row>
    <row r="288" customFormat="false" ht="12.8" hidden="false" customHeight="false" outlineLevel="0" collapsed="false">
      <c r="B288" s="71" t="n">
        <v>46</v>
      </c>
      <c r="C288" s="60" t="s">
        <v>55</v>
      </c>
      <c r="D288" s="1" t="n">
        <v>0.2236</v>
      </c>
      <c r="E288" s="1" t="s">
        <v>52</v>
      </c>
      <c r="H288" s="86" t="s">
        <v>59</v>
      </c>
      <c r="I288" s="87" t="n">
        <v>10</v>
      </c>
      <c r="J288" s="88" t="n">
        <v>5</v>
      </c>
      <c r="K288" s="88" t="n">
        <v>14</v>
      </c>
      <c r="L288" s="89" t="n">
        <v>9</v>
      </c>
      <c r="M288" s="90" t="n">
        <v>38</v>
      </c>
    </row>
    <row r="289" customFormat="false" ht="12.8" hidden="false" customHeight="false" outlineLevel="0" collapsed="false">
      <c r="B289" s="71" t="n">
        <v>46</v>
      </c>
      <c r="C289" s="60" t="s">
        <v>51</v>
      </c>
      <c r="D289" s="1" t="n">
        <v>0.2147</v>
      </c>
      <c r="E289" s="1" t="s">
        <v>52</v>
      </c>
      <c r="H289" s="91" t="s">
        <v>60</v>
      </c>
      <c r="I289" s="92" t="n">
        <v>12</v>
      </c>
      <c r="J289" s="93" t="n">
        <v>16</v>
      </c>
      <c r="K289" s="93" t="n">
        <v>12</v>
      </c>
      <c r="L289" s="94" t="n">
        <v>11</v>
      </c>
      <c r="M289" s="95" t="n">
        <v>51</v>
      </c>
    </row>
    <row r="290" customFormat="false" ht="12.8" hidden="false" customHeight="false" outlineLevel="0" collapsed="false">
      <c r="B290" s="71" t="n">
        <v>46</v>
      </c>
      <c r="C290" s="60" t="s">
        <v>58</v>
      </c>
      <c r="D290" s="1" t="n">
        <v>0.1</v>
      </c>
      <c r="E290" s="1" t="s">
        <v>52</v>
      </c>
      <c r="H290" s="91" t="s">
        <v>51</v>
      </c>
      <c r="I290" s="92" t="n">
        <v>4</v>
      </c>
      <c r="J290" s="93" t="n">
        <v>13</v>
      </c>
      <c r="K290" s="93" t="n">
        <v>10</v>
      </c>
      <c r="L290" s="94" t="n">
        <v>7</v>
      </c>
      <c r="M290" s="95" t="n">
        <v>34</v>
      </c>
    </row>
    <row r="291" customFormat="false" ht="12.8" hidden="false" customHeight="false" outlineLevel="0" collapsed="false">
      <c r="B291" s="71" t="n">
        <v>48</v>
      </c>
      <c r="C291" s="60" t="s">
        <v>48</v>
      </c>
      <c r="D291" s="1" t="n">
        <v>0.213</v>
      </c>
      <c r="E291" s="1" t="s">
        <v>52</v>
      </c>
      <c r="H291" s="91" t="s">
        <v>57</v>
      </c>
      <c r="I291" s="92" t="n">
        <v>21</v>
      </c>
      <c r="J291" s="93" t="n">
        <v>20</v>
      </c>
      <c r="K291" s="93" t="n">
        <v>18</v>
      </c>
      <c r="L291" s="94" t="n">
        <v>21</v>
      </c>
      <c r="M291" s="95" t="n">
        <v>80</v>
      </c>
    </row>
    <row r="292" customFormat="false" ht="12.8" hidden="false" customHeight="false" outlineLevel="0" collapsed="false">
      <c r="B292" s="71" t="n">
        <v>48</v>
      </c>
      <c r="C292" s="60" t="s">
        <v>56</v>
      </c>
      <c r="D292" s="1" t="n">
        <v>0.1859</v>
      </c>
      <c r="E292" s="1" t="s">
        <v>52</v>
      </c>
      <c r="H292" s="91" t="s">
        <v>56</v>
      </c>
      <c r="I292" s="92" t="n">
        <v>14</v>
      </c>
      <c r="J292" s="93" t="n">
        <v>18</v>
      </c>
      <c r="K292" s="93" t="n">
        <v>18</v>
      </c>
      <c r="L292" s="94" t="n">
        <v>22</v>
      </c>
      <c r="M292" s="95" t="n">
        <v>72</v>
      </c>
    </row>
    <row r="293" customFormat="false" ht="12.8" hidden="false" customHeight="false" outlineLevel="0" collapsed="false">
      <c r="B293" s="71" t="n">
        <v>48</v>
      </c>
      <c r="C293" s="60" t="s">
        <v>51</v>
      </c>
      <c r="D293" s="1" t="n">
        <v>0.1543</v>
      </c>
      <c r="E293" s="1" t="s">
        <v>52</v>
      </c>
      <c r="H293" s="91" t="s">
        <v>62</v>
      </c>
      <c r="I293" s="92" t="n">
        <v>6</v>
      </c>
      <c r="J293" s="93" t="n">
        <v>7</v>
      </c>
      <c r="K293" s="93" t="n">
        <v>9</v>
      </c>
      <c r="L293" s="94" t="n">
        <v>3</v>
      </c>
      <c r="M293" s="95" t="n">
        <v>25</v>
      </c>
    </row>
    <row r="294" customFormat="false" ht="12.8" hidden="false" customHeight="false" outlineLevel="0" collapsed="false">
      <c r="B294" s="71" t="n">
        <v>48</v>
      </c>
      <c r="C294" s="60" t="s">
        <v>60</v>
      </c>
      <c r="D294" s="1" t="n">
        <v>0.1528</v>
      </c>
      <c r="E294" s="1" t="s">
        <v>52</v>
      </c>
      <c r="H294" s="91" t="s">
        <v>48</v>
      </c>
      <c r="I294" s="92" t="n">
        <v>25</v>
      </c>
      <c r="J294" s="93" t="n">
        <v>25</v>
      </c>
      <c r="K294" s="93" t="n">
        <v>25</v>
      </c>
      <c r="L294" s="94" t="n">
        <v>25</v>
      </c>
      <c r="M294" s="95" t="n">
        <v>100</v>
      </c>
    </row>
    <row r="295" customFormat="false" ht="12.8" hidden="false" customHeight="false" outlineLevel="0" collapsed="false">
      <c r="B295" s="71" t="n">
        <v>48</v>
      </c>
      <c r="C295" s="60" t="s">
        <v>55</v>
      </c>
      <c r="D295" s="1" t="n">
        <v>0.1507</v>
      </c>
      <c r="E295" s="1" t="s">
        <v>52</v>
      </c>
      <c r="H295" s="91" t="s">
        <v>64</v>
      </c>
      <c r="I295" s="92" t="n">
        <v>2</v>
      </c>
      <c r="J295" s="93" t="n">
        <v>0</v>
      </c>
      <c r="K295" s="93" t="n">
        <v>0</v>
      </c>
      <c r="L295" s="94" t="n">
        <v>3</v>
      </c>
      <c r="M295" s="95" t="n">
        <v>5</v>
      </c>
    </row>
    <row r="296" customFormat="false" ht="12.8" hidden="false" customHeight="false" outlineLevel="0" collapsed="false">
      <c r="B296" s="71" t="n">
        <v>48</v>
      </c>
      <c r="C296" s="60" t="s">
        <v>58</v>
      </c>
      <c r="D296" s="1" t="n">
        <v>0.1433</v>
      </c>
      <c r="E296" s="1" t="s">
        <v>52</v>
      </c>
      <c r="H296" s="91" t="s">
        <v>55</v>
      </c>
      <c r="I296" s="92" t="n">
        <v>25</v>
      </c>
      <c r="J296" s="93" t="n">
        <v>8</v>
      </c>
      <c r="K296" s="93" t="n">
        <v>11</v>
      </c>
      <c r="L296" s="94" t="n">
        <v>14</v>
      </c>
      <c r="M296" s="95" t="n">
        <v>58</v>
      </c>
    </row>
    <row r="297" customFormat="false" ht="12.8" hidden="false" customHeight="false" outlineLevel="0" collapsed="false">
      <c r="B297" s="71" t="n">
        <v>0</v>
      </c>
      <c r="C297" s="60" t="s">
        <v>48</v>
      </c>
      <c r="D297" s="1" t="n">
        <v>0.1996</v>
      </c>
      <c r="E297" s="1" t="s">
        <v>53</v>
      </c>
      <c r="H297" s="91" t="s">
        <v>65</v>
      </c>
      <c r="I297" s="92" t="n">
        <v>6</v>
      </c>
      <c r="J297" s="93" t="n">
        <v>6</v>
      </c>
      <c r="K297" s="93" t="n">
        <v>5</v>
      </c>
      <c r="L297" s="94" t="n">
        <v>10</v>
      </c>
      <c r="M297" s="95" t="n">
        <v>27</v>
      </c>
    </row>
    <row r="298" customFormat="false" ht="12.8" hidden="false" customHeight="false" outlineLevel="0" collapsed="false">
      <c r="B298" s="71" t="n">
        <v>0</v>
      </c>
      <c r="C298" s="60" t="s">
        <v>51</v>
      </c>
      <c r="D298" s="1" t="n">
        <v>0.1924</v>
      </c>
      <c r="E298" s="1" t="s">
        <v>53</v>
      </c>
      <c r="H298" s="91" t="s">
        <v>58</v>
      </c>
      <c r="I298" s="96" t="n">
        <v>25</v>
      </c>
      <c r="J298" s="97" t="n">
        <v>25</v>
      </c>
      <c r="K298" s="97" t="n">
        <v>25</v>
      </c>
      <c r="L298" s="98" t="n">
        <v>25</v>
      </c>
      <c r="M298" s="99" t="n">
        <v>100</v>
      </c>
    </row>
    <row r="299" customFormat="false" ht="12.8" hidden="false" customHeight="false" outlineLevel="0" collapsed="false">
      <c r="B299" s="71" t="n">
        <v>0</v>
      </c>
      <c r="C299" s="60" t="s">
        <v>57</v>
      </c>
      <c r="D299" s="1" t="n">
        <v>0.1764</v>
      </c>
      <c r="E299" s="1" t="s">
        <v>53</v>
      </c>
      <c r="H299" s="100" t="s">
        <v>9</v>
      </c>
      <c r="I299" s="101" t="n">
        <v>150</v>
      </c>
      <c r="J299" s="102" t="n">
        <v>145</v>
      </c>
      <c r="K299" s="102" t="n">
        <v>147</v>
      </c>
      <c r="L299" s="103" t="n">
        <v>150</v>
      </c>
      <c r="M299" s="104" t="n">
        <v>592</v>
      </c>
    </row>
    <row r="300" customFormat="false" ht="12.8" hidden="false" customHeight="false" outlineLevel="0" collapsed="false">
      <c r="B300" s="71" t="n">
        <v>0</v>
      </c>
      <c r="C300" s="60" t="s">
        <v>56</v>
      </c>
      <c r="D300" s="1" t="n">
        <v>0.172</v>
      </c>
      <c r="E300" s="1" t="s">
        <v>53</v>
      </c>
    </row>
    <row r="301" customFormat="false" ht="12.8" hidden="false" customHeight="false" outlineLevel="0" collapsed="false">
      <c r="B301" s="71" t="n">
        <v>0</v>
      </c>
      <c r="C301" s="60" t="s">
        <v>59</v>
      </c>
      <c r="D301" s="1" t="n">
        <v>0.1596</v>
      </c>
      <c r="E301" s="1" t="s">
        <v>53</v>
      </c>
    </row>
    <row r="302" customFormat="false" ht="12.8" hidden="false" customHeight="false" outlineLevel="0" collapsed="false">
      <c r="B302" s="71" t="n">
        <v>0</v>
      </c>
      <c r="C302" s="60" t="s">
        <v>58</v>
      </c>
      <c r="D302" s="1" t="n">
        <v>0.1</v>
      </c>
      <c r="E302" s="1" t="s">
        <v>53</v>
      </c>
      <c r="H302" s="36" t="s">
        <v>68</v>
      </c>
    </row>
    <row r="303" customFormat="false" ht="12.8" hidden="false" customHeight="false" outlineLevel="0" collapsed="false">
      <c r="B303" s="71" t="n">
        <v>2</v>
      </c>
      <c r="C303" s="60" t="s">
        <v>48</v>
      </c>
      <c r="D303" s="1" t="n">
        <v>0.2092</v>
      </c>
      <c r="E303" s="1" t="s">
        <v>53</v>
      </c>
      <c r="H303" s="1" t="s">
        <v>19</v>
      </c>
      <c r="I303" s="1" t="n">
        <v>0.05</v>
      </c>
    </row>
    <row r="304" customFormat="false" ht="12.8" hidden="false" customHeight="false" outlineLevel="0" collapsed="false">
      <c r="B304" s="71" t="n">
        <v>2</v>
      </c>
      <c r="C304" s="60" t="s">
        <v>51</v>
      </c>
      <c r="D304" s="1" t="n">
        <v>0.1824</v>
      </c>
      <c r="E304" s="1" t="s">
        <v>53</v>
      </c>
      <c r="H304" s="1" t="s">
        <v>29</v>
      </c>
      <c r="I304" s="1" t="n">
        <f aca="false">(COLUMNS(anchors_raw_information!$I$288:$L$298) - 1) * (ROWS(anchors_raw_information!$I$288:$L$298) - 1)</f>
        <v>30</v>
      </c>
    </row>
    <row r="305" customFormat="false" ht="12.8" hidden="false" customHeight="false" outlineLevel="0" collapsed="false">
      <c r="B305" s="71" t="n">
        <v>2</v>
      </c>
      <c r="C305" s="60" t="s">
        <v>59</v>
      </c>
      <c r="D305" s="1" t="n">
        <v>0.1775</v>
      </c>
      <c r="E305" s="1" t="s">
        <v>53</v>
      </c>
      <c r="H305" s="1" t="s">
        <v>69</v>
      </c>
      <c r="I305" s="1" t="n">
        <f aca="false">CHITEST(anchors_raw_information!$I$288:$L$298, MMULT(MMULT(anchors_raw_information!$I$288:$L$298,TRANSPOSE(IF(COLUMN(anchors_raw_information!$I$288:$L$298),TRUE()))),MMULT(TRANSPOSE(IF(ROW(anchors_raw_information!$I$288:$L$298),TRUE())),anchors_raw_information!$I$288:$L$298)) / SUM(anchors_raw_information!$I$288:$L$298))</f>
        <v>0.257614587617223</v>
      </c>
    </row>
    <row r="306" customFormat="false" ht="12.8" hidden="false" customHeight="false" outlineLevel="0" collapsed="false">
      <c r="B306" s="71" t="n">
        <v>2</v>
      </c>
      <c r="C306" s="60" t="s">
        <v>57</v>
      </c>
      <c r="D306" s="1" t="n">
        <v>0.1678</v>
      </c>
      <c r="E306" s="1" t="s">
        <v>53</v>
      </c>
      <c r="H306" s="1" t="s">
        <v>70</v>
      </c>
      <c r="I306" s="1" t="n">
        <f aca="false">CHIINV(anchors_raw_information!$I$305, anchors_raw_information!$I$304)</f>
        <v>34.5965881802627</v>
      </c>
    </row>
    <row r="307" customFormat="false" ht="12.8" hidden="false" customHeight="false" outlineLevel="0" collapsed="false">
      <c r="B307" s="71" t="n">
        <v>2</v>
      </c>
      <c r="C307" s="60" t="s">
        <v>56</v>
      </c>
      <c r="D307" s="1" t="n">
        <v>0.1632</v>
      </c>
      <c r="E307" s="1" t="s">
        <v>53</v>
      </c>
      <c r="H307" s="1" t="s">
        <v>71</v>
      </c>
      <c r="I307" s="1" t="n">
        <f aca="false">CHIINV(anchors_raw_information!$I$303, anchors_raw_information!$I$304)</f>
        <v>43.7729718257422</v>
      </c>
    </row>
    <row r="308" customFormat="false" ht="12.8" hidden="false" customHeight="false" outlineLevel="0" collapsed="false">
      <c r="B308" s="71" t="n">
        <v>2</v>
      </c>
      <c r="C308" s="60" t="s">
        <v>58</v>
      </c>
      <c r="D308" s="1" t="n">
        <v>0.1</v>
      </c>
      <c r="E308" s="1" t="s">
        <v>53</v>
      </c>
    </row>
    <row r="309" customFormat="false" ht="12.8" hidden="false" customHeight="false" outlineLevel="0" collapsed="false">
      <c r="B309" s="71" t="n">
        <v>4</v>
      </c>
      <c r="C309" s="60" t="s">
        <v>48</v>
      </c>
      <c r="D309" s="1" t="n">
        <v>0.1922</v>
      </c>
      <c r="E309" s="1" t="s">
        <v>53</v>
      </c>
      <c r="H309" s="77" t="s">
        <v>73</v>
      </c>
    </row>
    <row r="310" customFormat="false" ht="12.8" hidden="false" customHeight="false" outlineLevel="0" collapsed="false">
      <c r="B310" s="71" t="n">
        <v>4</v>
      </c>
      <c r="C310" s="60" t="s">
        <v>55</v>
      </c>
      <c r="D310" s="1" t="n">
        <v>0.1855</v>
      </c>
      <c r="E310" s="1" t="s">
        <v>53</v>
      </c>
    </row>
    <row r="311" customFormat="false" ht="12.8" hidden="false" customHeight="false" outlineLevel="0" collapsed="false">
      <c r="B311" s="71" t="n">
        <v>4</v>
      </c>
      <c r="C311" s="60" t="s">
        <v>59</v>
      </c>
      <c r="D311" s="1" t="n">
        <v>0.1774</v>
      </c>
      <c r="E311" s="1" t="s">
        <v>53</v>
      </c>
      <c r="H311" s="78" t="s">
        <v>66</v>
      </c>
      <c r="I311" s="79" t="s">
        <v>47</v>
      </c>
      <c r="J311" s="80"/>
      <c r="K311" s="80"/>
      <c r="L311" s="80"/>
      <c r="M311" s="81"/>
    </row>
    <row r="312" customFormat="false" ht="12.8" hidden="false" customHeight="false" outlineLevel="0" collapsed="false">
      <c r="B312" s="71" t="n">
        <v>4</v>
      </c>
      <c r="C312" s="60" t="s">
        <v>57</v>
      </c>
      <c r="D312" s="1" t="n">
        <v>0.1743</v>
      </c>
      <c r="E312" s="1" t="s">
        <v>53</v>
      </c>
      <c r="H312" s="82" t="s">
        <v>45</v>
      </c>
      <c r="I312" s="83" t="s">
        <v>49</v>
      </c>
      <c r="J312" s="84" t="s">
        <v>52</v>
      </c>
      <c r="K312" s="84" t="s">
        <v>53</v>
      </c>
      <c r="L312" s="84" t="s">
        <v>54</v>
      </c>
      <c r="M312" s="85" t="s">
        <v>9</v>
      </c>
    </row>
    <row r="313" customFormat="false" ht="12.8" hidden="false" customHeight="false" outlineLevel="0" collapsed="false">
      <c r="B313" s="71" t="n">
        <v>4</v>
      </c>
      <c r="C313" s="60" t="s">
        <v>51</v>
      </c>
      <c r="D313" s="1" t="n">
        <v>0.1706</v>
      </c>
      <c r="E313" s="1" t="s">
        <v>53</v>
      </c>
      <c r="H313" s="86" t="s">
        <v>59</v>
      </c>
      <c r="I313" s="87" t="n">
        <v>10</v>
      </c>
      <c r="J313" s="88" t="n">
        <v>5</v>
      </c>
      <c r="K313" s="88" t="n">
        <v>14</v>
      </c>
      <c r="L313" s="89" t="n">
        <v>9</v>
      </c>
      <c r="M313" s="90" t="n">
        <v>38</v>
      </c>
    </row>
    <row r="314" customFormat="false" ht="12.8" hidden="false" customHeight="false" outlineLevel="0" collapsed="false">
      <c r="B314" s="71" t="n">
        <v>4</v>
      </c>
      <c r="C314" s="60" t="s">
        <v>58</v>
      </c>
      <c r="D314" s="1" t="n">
        <v>0.1</v>
      </c>
      <c r="E314" s="1" t="s">
        <v>53</v>
      </c>
      <c r="H314" s="91" t="s">
        <v>60</v>
      </c>
      <c r="I314" s="92" t="n">
        <v>12</v>
      </c>
      <c r="J314" s="93" t="n">
        <v>16</v>
      </c>
      <c r="K314" s="93" t="n">
        <v>12</v>
      </c>
      <c r="L314" s="94" t="n">
        <v>11</v>
      </c>
      <c r="M314" s="95" t="n">
        <v>51</v>
      </c>
    </row>
    <row r="315" customFormat="false" ht="12.8" hidden="false" customHeight="false" outlineLevel="0" collapsed="false">
      <c r="B315" s="71" t="n">
        <v>6</v>
      </c>
      <c r="C315" s="60" t="s">
        <v>51</v>
      </c>
      <c r="D315" s="1" t="n">
        <v>0.2083</v>
      </c>
      <c r="E315" s="1" t="s">
        <v>53</v>
      </c>
      <c r="H315" s="91" t="s">
        <v>51</v>
      </c>
      <c r="I315" s="92" t="n">
        <v>4</v>
      </c>
      <c r="J315" s="93" t="n">
        <v>13</v>
      </c>
      <c r="K315" s="93" t="n">
        <v>10</v>
      </c>
      <c r="L315" s="94" t="n">
        <v>7</v>
      </c>
      <c r="M315" s="95" t="n">
        <v>34</v>
      </c>
    </row>
    <row r="316" customFormat="false" ht="12.8" hidden="false" customHeight="false" outlineLevel="0" collapsed="false">
      <c r="B316" s="71" t="n">
        <v>6</v>
      </c>
      <c r="C316" s="60" t="s">
        <v>48</v>
      </c>
      <c r="D316" s="1" t="n">
        <v>0.1877</v>
      </c>
      <c r="E316" s="1" t="s">
        <v>53</v>
      </c>
      <c r="H316" s="91" t="s">
        <v>57</v>
      </c>
      <c r="I316" s="92" t="n">
        <v>21</v>
      </c>
      <c r="J316" s="93" t="n">
        <v>20</v>
      </c>
      <c r="K316" s="93" t="n">
        <v>18</v>
      </c>
      <c r="L316" s="94" t="n">
        <v>21</v>
      </c>
      <c r="M316" s="95" t="n">
        <v>80</v>
      </c>
    </row>
    <row r="317" customFormat="false" ht="12.8" hidden="false" customHeight="false" outlineLevel="0" collapsed="false">
      <c r="B317" s="71" t="n">
        <v>6</v>
      </c>
      <c r="C317" s="60" t="s">
        <v>57</v>
      </c>
      <c r="D317" s="1" t="n">
        <v>0.1742</v>
      </c>
      <c r="E317" s="1" t="s">
        <v>53</v>
      </c>
      <c r="H317" s="91" t="s">
        <v>56</v>
      </c>
      <c r="I317" s="92" t="n">
        <v>14</v>
      </c>
      <c r="J317" s="93" t="n">
        <v>18</v>
      </c>
      <c r="K317" s="93" t="n">
        <v>18</v>
      </c>
      <c r="L317" s="94" t="n">
        <v>22</v>
      </c>
      <c r="M317" s="95" t="n">
        <v>72</v>
      </c>
    </row>
    <row r="318" customFormat="false" ht="12.8" hidden="false" customHeight="false" outlineLevel="0" collapsed="false">
      <c r="B318" s="71" t="n">
        <v>6</v>
      </c>
      <c r="C318" s="60" t="s">
        <v>56</v>
      </c>
      <c r="D318" s="1" t="n">
        <v>0.165</v>
      </c>
      <c r="E318" s="1" t="s">
        <v>53</v>
      </c>
      <c r="H318" s="91" t="s">
        <v>62</v>
      </c>
      <c r="I318" s="92" t="n">
        <v>6</v>
      </c>
      <c r="J318" s="93" t="n">
        <v>7</v>
      </c>
      <c r="K318" s="93" t="n">
        <v>9</v>
      </c>
      <c r="L318" s="94" t="n">
        <v>3</v>
      </c>
      <c r="M318" s="95" t="n">
        <v>25</v>
      </c>
    </row>
    <row r="319" customFormat="false" ht="12.8" hidden="false" customHeight="false" outlineLevel="0" collapsed="false">
      <c r="B319" s="71" t="n">
        <v>6</v>
      </c>
      <c r="C319" s="60" t="s">
        <v>59</v>
      </c>
      <c r="D319" s="1" t="n">
        <v>0.1648</v>
      </c>
      <c r="E319" s="1" t="s">
        <v>53</v>
      </c>
      <c r="H319" s="91" t="s">
        <v>48</v>
      </c>
      <c r="I319" s="92" t="n">
        <v>25</v>
      </c>
      <c r="J319" s="93" t="n">
        <v>25</v>
      </c>
      <c r="K319" s="93" t="n">
        <v>25</v>
      </c>
      <c r="L319" s="94" t="n">
        <v>25</v>
      </c>
      <c r="M319" s="95" t="n">
        <v>100</v>
      </c>
    </row>
    <row r="320" customFormat="false" ht="12.8" hidden="false" customHeight="false" outlineLevel="0" collapsed="false">
      <c r="B320" s="71" t="n">
        <v>6</v>
      </c>
      <c r="C320" s="60" t="s">
        <v>58</v>
      </c>
      <c r="D320" s="1" t="n">
        <v>0.1</v>
      </c>
      <c r="E320" s="1" t="s">
        <v>53</v>
      </c>
      <c r="H320" s="91" t="s">
        <v>55</v>
      </c>
      <c r="I320" s="92" t="n">
        <v>25</v>
      </c>
      <c r="J320" s="93" t="n">
        <v>8</v>
      </c>
      <c r="K320" s="93" t="n">
        <v>11</v>
      </c>
      <c r="L320" s="94" t="n">
        <v>14</v>
      </c>
      <c r="M320" s="95" t="n">
        <v>58</v>
      </c>
    </row>
    <row r="321" customFormat="false" ht="12.8" hidden="false" customHeight="false" outlineLevel="0" collapsed="false">
      <c r="B321" s="71" t="n">
        <v>8</v>
      </c>
      <c r="C321" s="60" t="s">
        <v>48</v>
      </c>
      <c r="D321" s="1" t="n">
        <v>0.2452</v>
      </c>
      <c r="E321" s="1" t="s">
        <v>53</v>
      </c>
      <c r="H321" s="91" t="s">
        <v>65</v>
      </c>
      <c r="I321" s="92" t="n">
        <v>6</v>
      </c>
      <c r="J321" s="93" t="n">
        <v>6</v>
      </c>
      <c r="K321" s="93" t="n">
        <v>5</v>
      </c>
      <c r="L321" s="94" t="n">
        <v>10</v>
      </c>
      <c r="M321" s="95" t="n">
        <v>27</v>
      </c>
    </row>
    <row r="322" customFormat="false" ht="12.8" hidden="false" customHeight="false" outlineLevel="0" collapsed="false">
      <c r="B322" s="71" t="n">
        <v>8</v>
      </c>
      <c r="C322" s="60" t="s">
        <v>56</v>
      </c>
      <c r="D322" s="1" t="n">
        <v>0.1705</v>
      </c>
      <c r="E322" s="1" t="s">
        <v>53</v>
      </c>
      <c r="H322" s="91" t="s">
        <v>58</v>
      </c>
      <c r="I322" s="96" t="n">
        <v>25</v>
      </c>
      <c r="J322" s="97" t="n">
        <v>25</v>
      </c>
      <c r="K322" s="97" t="n">
        <v>25</v>
      </c>
      <c r="L322" s="98" t="n">
        <v>25</v>
      </c>
      <c r="M322" s="99" t="n">
        <v>100</v>
      </c>
    </row>
    <row r="323" customFormat="false" ht="12.8" hidden="false" customHeight="false" outlineLevel="0" collapsed="false">
      <c r="B323" s="71" t="n">
        <v>8</v>
      </c>
      <c r="C323" s="60" t="s">
        <v>51</v>
      </c>
      <c r="D323" s="1" t="n">
        <v>0.1656</v>
      </c>
      <c r="E323" s="1" t="s">
        <v>53</v>
      </c>
      <c r="H323" s="100" t="s">
        <v>9</v>
      </c>
      <c r="I323" s="101" t="n">
        <v>150</v>
      </c>
      <c r="J323" s="102" t="n">
        <v>145</v>
      </c>
      <c r="K323" s="102" t="n">
        <v>147</v>
      </c>
      <c r="L323" s="103" t="n">
        <v>150</v>
      </c>
      <c r="M323" s="104" t="n">
        <v>592</v>
      </c>
    </row>
    <row r="324" customFormat="false" ht="12.8" hidden="false" customHeight="false" outlineLevel="0" collapsed="false">
      <c r="B324" s="71" t="n">
        <v>8</v>
      </c>
      <c r="C324" s="60" t="s">
        <v>57</v>
      </c>
      <c r="D324" s="1" t="n">
        <v>0.1637</v>
      </c>
      <c r="E324" s="1" t="s">
        <v>53</v>
      </c>
    </row>
    <row r="325" customFormat="false" ht="12.8" hidden="false" customHeight="false" outlineLevel="0" collapsed="false">
      <c r="B325" s="71" t="n">
        <v>8</v>
      </c>
      <c r="C325" s="60" t="s">
        <v>62</v>
      </c>
      <c r="D325" s="1" t="n">
        <v>0.155</v>
      </c>
      <c r="E325" s="1" t="s">
        <v>53</v>
      </c>
      <c r="H325" s="36" t="s">
        <v>68</v>
      </c>
    </row>
    <row r="326" customFormat="false" ht="12.8" hidden="false" customHeight="false" outlineLevel="0" collapsed="false">
      <c r="B326" s="71" t="n">
        <v>8</v>
      </c>
      <c r="C326" s="60" t="s">
        <v>58</v>
      </c>
      <c r="D326" s="1" t="n">
        <v>0.1</v>
      </c>
      <c r="E326" s="1" t="s">
        <v>53</v>
      </c>
      <c r="H326" s="1" t="s">
        <v>19</v>
      </c>
      <c r="I326" s="1" t="n">
        <v>0.05</v>
      </c>
    </row>
    <row r="327" customFormat="false" ht="12.8" hidden="false" customHeight="false" outlineLevel="0" collapsed="false">
      <c r="B327" s="71" t="n">
        <v>10</v>
      </c>
      <c r="C327" s="60" t="s">
        <v>48</v>
      </c>
      <c r="D327" s="1" t="n">
        <v>0.2052</v>
      </c>
      <c r="E327" s="1" t="s">
        <v>53</v>
      </c>
      <c r="H327" s="1" t="s">
        <v>29</v>
      </c>
      <c r="I327" s="1" t="n">
        <f aca="false">(COLUMNS(anchors_raw_information!$I$313:$L$322) - 1) * (ROWS(anchors_raw_information!$I$313:$L$322) - 1)</f>
        <v>27</v>
      </c>
    </row>
    <row r="328" customFormat="false" ht="12.8" hidden="false" customHeight="false" outlineLevel="0" collapsed="false">
      <c r="B328" s="71" t="n">
        <v>10</v>
      </c>
      <c r="C328" s="60" t="s">
        <v>62</v>
      </c>
      <c r="D328" s="1" t="n">
        <v>0.1752</v>
      </c>
      <c r="E328" s="1" t="s">
        <v>53</v>
      </c>
      <c r="H328" s="1" t="s">
        <v>69</v>
      </c>
      <c r="I328" s="1" t="n">
        <f aca="false">CHITEST(anchors_raw_information!$I$313:$L$322, MMULT(MMULT(anchors_raw_information!$I$313:$L$322,TRANSPOSE(IF(COLUMN(anchors_raw_information!$I$313:$L$322),TRUE()))),MMULT(TRANSPOSE(IF(ROW(anchors_raw_information!$I$313:$L$322),TRUE())),anchors_raw_information!$I$313:$L$322)) / SUM(anchors_raw_information!$I$313:$L$322))</f>
        <v>0.345705707173542</v>
      </c>
    </row>
    <row r="329" customFormat="false" ht="12.8" hidden="false" customHeight="false" outlineLevel="0" collapsed="false">
      <c r="B329" s="71" t="n">
        <v>10</v>
      </c>
      <c r="C329" s="60" t="s">
        <v>59</v>
      </c>
      <c r="D329" s="1" t="n">
        <v>0.1747</v>
      </c>
      <c r="E329" s="1" t="s">
        <v>53</v>
      </c>
      <c r="H329" s="1" t="s">
        <v>70</v>
      </c>
      <c r="I329" s="1" t="n">
        <f aca="false">CHIINV(anchors_raw_information!$I$328, anchors_raw_information!$I$327)</f>
        <v>29.3168349308643</v>
      </c>
    </row>
    <row r="330" customFormat="false" ht="12.8" hidden="false" customHeight="false" outlineLevel="0" collapsed="false">
      <c r="B330" s="71" t="n">
        <v>10</v>
      </c>
      <c r="C330" s="60" t="s">
        <v>51</v>
      </c>
      <c r="D330" s="1" t="n">
        <v>0.1728</v>
      </c>
      <c r="E330" s="1" t="s">
        <v>53</v>
      </c>
      <c r="H330" s="1" t="s">
        <v>71</v>
      </c>
      <c r="I330" s="1" t="n">
        <f aca="false">CHIINV(anchors_raw_information!$I$326, anchors_raw_information!$I$327)</f>
        <v>40.1132720694136</v>
      </c>
    </row>
    <row r="331" customFormat="false" ht="12.8" hidden="false" customHeight="false" outlineLevel="0" collapsed="false">
      <c r="B331" s="71" t="n">
        <v>10</v>
      </c>
      <c r="C331" s="60" t="s">
        <v>65</v>
      </c>
      <c r="D331" s="1" t="n">
        <v>0.1721</v>
      </c>
      <c r="E331" s="1" t="s">
        <v>53</v>
      </c>
    </row>
    <row r="332" customFormat="false" ht="12.8" hidden="false" customHeight="false" outlineLevel="0" collapsed="false">
      <c r="B332" s="71" t="n">
        <v>10</v>
      </c>
      <c r="C332" s="60" t="s">
        <v>58</v>
      </c>
      <c r="D332" s="1" t="n">
        <v>0.1</v>
      </c>
      <c r="E332" s="1" t="s">
        <v>53</v>
      </c>
      <c r="H332" s="77" t="s">
        <v>74</v>
      </c>
    </row>
    <row r="333" customFormat="false" ht="12.8" hidden="false" customHeight="false" outlineLevel="0" collapsed="false">
      <c r="B333" s="71" t="n">
        <v>12</v>
      </c>
      <c r="C333" s="60" t="s">
        <v>48</v>
      </c>
      <c r="D333" s="1" t="n">
        <v>0.21</v>
      </c>
      <c r="E333" s="1" t="s">
        <v>53</v>
      </c>
    </row>
    <row r="334" customFormat="false" ht="12.8" hidden="false" customHeight="false" outlineLevel="0" collapsed="false">
      <c r="B334" s="71" t="n">
        <v>12</v>
      </c>
      <c r="C334" s="60" t="s">
        <v>56</v>
      </c>
      <c r="D334" s="1" t="n">
        <v>0.178</v>
      </c>
      <c r="E334" s="1" t="s">
        <v>53</v>
      </c>
      <c r="H334" s="78" t="s">
        <v>66</v>
      </c>
      <c r="I334" s="79" t="s">
        <v>47</v>
      </c>
      <c r="J334" s="80"/>
      <c r="K334" s="80"/>
      <c r="L334" s="80"/>
      <c r="M334" s="81"/>
    </row>
    <row r="335" customFormat="false" ht="12.8" hidden="false" customHeight="false" outlineLevel="0" collapsed="false">
      <c r="B335" s="71" t="n">
        <v>12</v>
      </c>
      <c r="C335" s="60" t="s">
        <v>55</v>
      </c>
      <c r="D335" s="1" t="n">
        <v>0.1772</v>
      </c>
      <c r="E335" s="1" t="s">
        <v>53</v>
      </c>
      <c r="H335" s="82" t="s">
        <v>45</v>
      </c>
      <c r="I335" s="83" t="s">
        <v>49</v>
      </c>
      <c r="J335" s="84" t="s">
        <v>52</v>
      </c>
      <c r="K335" s="84" t="s">
        <v>53</v>
      </c>
      <c r="L335" s="84" t="s">
        <v>54</v>
      </c>
      <c r="M335" s="85" t="s">
        <v>9</v>
      </c>
    </row>
    <row r="336" customFormat="false" ht="12.8" hidden="false" customHeight="false" outlineLevel="0" collapsed="false">
      <c r="B336" s="71" t="n">
        <v>12</v>
      </c>
      <c r="C336" s="60" t="s">
        <v>65</v>
      </c>
      <c r="D336" s="1" t="n">
        <v>0.1701</v>
      </c>
      <c r="E336" s="1" t="s">
        <v>53</v>
      </c>
      <c r="H336" s="86" t="s">
        <v>59</v>
      </c>
      <c r="I336" s="87" t="n">
        <v>10</v>
      </c>
      <c r="J336" s="88" t="n">
        <v>5</v>
      </c>
      <c r="K336" s="88" t="n">
        <v>14</v>
      </c>
      <c r="L336" s="89" t="n">
        <v>9</v>
      </c>
      <c r="M336" s="90" t="n">
        <v>38</v>
      </c>
    </row>
    <row r="337" customFormat="false" ht="12.8" hidden="false" customHeight="false" outlineLevel="0" collapsed="false">
      <c r="B337" s="71" t="n">
        <v>12</v>
      </c>
      <c r="C337" s="60" t="s">
        <v>59</v>
      </c>
      <c r="D337" s="1" t="n">
        <v>0.1647</v>
      </c>
      <c r="E337" s="1" t="s">
        <v>53</v>
      </c>
      <c r="H337" s="91" t="s">
        <v>60</v>
      </c>
      <c r="I337" s="92" t="n">
        <v>12</v>
      </c>
      <c r="J337" s="93" t="n">
        <v>16</v>
      </c>
      <c r="K337" s="93" t="n">
        <v>12</v>
      </c>
      <c r="L337" s="94" t="n">
        <v>11</v>
      </c>
      <c r="M337" s="95" t="n">
        <v>51</v>
      </c>
    </row>
    <row r="338" customFormat="false" ht="12.8" hidden="false" customHeight="false" outlineLevel="0" collapsed="false">
      <c r="B338" s="71" t="n">
        <v>12</v>
      </c>
      <c r="C338" s="60" t="s">
        <v>58</v>
      </c>
      <c r="D338" s="1" t="n">
        <v>0.1</v>
      </c>
      <c r="E338" s="1" t="s">
        <v>53</v>
      </c>
      <c r="H338" s="91" t="s">
        <v>51</v>
      </c>
      <c r="I338" s="92" t="n">
        <v>4</v>
      </c>
      <c r="J338" s="93" t="n">
        <v>13</v>
      </c>
      <c r="K338" s="93" t="n">
        <v>10</v>
      </c>
      <c r="L338" s="94" t="n">
        <v>7</v>
      </c>
      <c r="M338" s="95" t="n">
        <v>34</v>
      </c>
    </row>
    <row r="339" customFormat="false" ht="12.8" hidden="false" customHeight="false" outlineLevel="0" collapsed="false">
      <c r="B339" s="71" t="n">
        <v>14</v>
      </c>
      <c r="C339" s="60" t="s">
        <v>48</v>
      </c>
      <c r="D339" s="1" t="n">
        <v>0.194</v>
      </c>
      <c r="E339" s="1" t="s">
        <v>53</v>
      </c>
      <c r="H339" s="91" t="s">
        <v>57</v>
      </c>
      <c r="I339" s="92" t="n">
        <v>21</v>
      </c>
      <c r="J339" s="93" t="n">
        <v>20</v>
      </c>
      <c r="K339" s="93" t="n">
        <v>18</v>
      </c>
      <c r="L339" s="94" t="n">
        <v>21</v>
      </c>
      <c r="M339" s="95" t="n">
        <v>80</v>
      </c>
    </row>
    <row r="340" customFormat="false" ht="12.8" hidden="false" customHeight="false" outlineLevel="0" collapsed="false">
      <c r="B340" s="71" t="n">
        <v>14</v>
      </c>
      <c r="C340" s="60" t="s">
        <v>62</v>
      </c>
      <c r="D340" s="1" t="n">
        <v>0.1875</v>
      </c>
      <c r="E340" s="1" t="s">
        <v>53</v>
      </c>
      <c r="H340" s="91" t="s">
        <v>56</v>
      </c>
      <c r="I340" s="92" t="n">
        <v>14</v>
      </c>
      <c r="J340" s="93" t="n">
        <v>18</v>
      </c>
      <c r="K340" s="93" t="n">
        <v>18</v>
      </c>
      <c r="L340" s="94" t="n">
        <v>22</v>
      </c>
      <c r="M340" s="95" t="n">
        <v>72</v>
      </c>
    </row>
    <row r="341" customFormat="false" ht="12.8" hidden="false" customHeight="false" outlineLevel="0" collapsed="false">
      <c r="B341" s="71" t="n">
        <v>14</v>
      </c>
      <c r="C341" s="60" t="s">
        <v>51</v>
      </c>
      <c r="D341" s="1" t="n">
        <v>0.1789</v>
      </c>
      <c r="E341" s="1" t="s">
        <v>53</v>
      </c>
      <c r="H341" s="91" t="s">
        <v>62</v>
      </c>
      <c r="I341" s="92" t="n">
        <v>6</v>
      </c>
      <c r="J341" s="93" t="n">
        <v>7</v>
      </c>
      <c r="K341" s="93" t="n">
        <v>9</v>
      </c>
      <c r="L341" s="94" t="n">
        <v>3</v>
      </c>
      <c r="M341" s="95" t="n">
        <v>25</v>
      </c>
    </row>
    <row r="342" customFormat="false" ht="12.8" hidden="false" customHeight="false" outlineLevel="0" collapsed="false">
      <c r="B342" s="71" t="n">
        <v>14</v>
      </c>
      <c r="C342" s="60" t="s">
        <v>55</v>
      </c>
      <c r="D342" s="1" t="n">
        <v>0.1701</v>
      </c>
      <c r="E342" s="1" t="s">
        <v>53</v>
      </c>
      <c r="H342" s="91" t="s">
        <v>48</v>
      </c>
      <c r="I342" s="92" t="n">
        <v>25</v>
      </c>
      <c r="J342" s="93" t="n">
        <v>25</v>
      </c>
      <c r="K342" s="93" t="n">
        <v>25</v>
      </c>
      <c r="L342" s="94" t="n">
        <v>25</v>
      </c>
      <c r="M342" s="95" t="n">
        <v>100</v>
      </c>
    </row>
    <row r="343" customFormat="false" ht="12.8" hidden="false" customHeight="false" outlineLevel="0" collapsed="false">
      <c r="B343" s="71" t="n">
        <v>14</v>
      </c>
      <c r="C343" s="60" t="s">
        <v>57</v>
      </c>
      <c r="D343" s="1" t="n">
        <v>0.1696</v>
      </c>
      <c r="E343" s="1" t="s">
        <v>53</v>
      </c>
      <c r="H343" s="91" t="s">
        <v>55</v>
      </c>
      <c r="I343" s="92" t="n">
        <v>25</v>
      </c>
      <c r="J343" s="93" t="n">
        <v>8</v>
      </c>
      <c r="K343" s="93" t="n">
        <v>11</v>
      </c>
      <c r="L343" s="94" t="n">
        <v>14</v>
      </c>
      <c r="M343" s="95" t="n">
        <v>58</v>
      </c>
    </row>
    <row r="344" customFormat="false" ht="12.8" hidden="false" customHeight="false" outlineLevel="0" collapsed="false">
      <c r="B344" s="71" t="n">
        <v>14</v>
      </c>
      <c r="C344" s="60" t="s">
        <v>58</v>
      </c>
      <c r="D344" s="1" t="n">
        <v>0.1</v>
      </c>
      <c r="E344" s="1" t="s">
        <v>53</v>
      </c>
      <c r="H344" s="91" t="s">
        <v>65</v>
      </c>
      <c r="I344" s="92" t="n">
        <v>6</v>
      </c>
      <c r="J344" s="93" t="n">
        <v>6</v>
      </c>
      <c r="K344" s="93" t="n">
        <v>5</v>
      </c>
      <c r="L344" s="94" t="n">
        <v>10</v>
      </c>
      <c r="M344" s="95" t="n">
        <v>27</v>
      </c>
    </row>
    <row r="345" customFormat="false" ht="12.8" hidden="false" customHeight="false" outlineLevel="0" collapsed="false">
      <c r="B345" s="71" t="n">
        <v>16</v>
      </c>
      <c r="C345" s="60" t="s">
        <v>51</v>
      </c>
      <c r="D345" s="1" t="n">
        <v>0.1916</v>
      </c>
      <c r="E345" s="1" t="s">
        <v>53</v>
      </c>
      <c r="H345" s="100" t="s">
        <v>9</v>
      </c>
      <c r="I345" s="101" t="n">
        <v>150</v>
      </c>
      <c r="J345" s="102" t="n">
        <v>145</v>
      </c>
      <c r="K345" s="102" t="n">
        <v>147</v>
      </c>
      <c r="L345" s="103" t="n">
        <v>150</v>
      </c>
      <c r="M345" s="104" t="n">
        <v>592</v>
      </c>
    </row>
    <row r="346" customFormat="false" ht="12.8" hidden="false" customHeight="false" outlineLevel="0" collapsed="false">
      <c r="B346" s="71" t="n">
        <v>16</v>
      </c>
      <c r="C346" s="60" t="s">
        <v>55</v>
      </c>
      <c r="D346" s="1" t="n">
        <v>0.1814</v>
      </c>
      <c r="E346" s="1" t="s">
        <v>53</v>
      </c>
    </row>
    <row r="347" customFormat="false" ht="12.8" hidden="false" customHeight="false" outlineLevel="0" collapsed="false">
      <c r="B347" s="71" t="n">
        <v>16</v>
      </c>
      <c r="C347" s="60" t="s">
        <v>59</v>
      </c>
      <c r="D347" s="1" t="n">
        <v>0.1796</v>
      </c>
      <c r="E347" s="1" t="s">
        <v>53</v>
      </c>
      <c r="H347" s="36" t="s">
        <v>68</v>
      </c>
    </row>
    <row r="348" customFormat="false" ht="12.8" hidden="false" customHeight="false" outlineLevel="0" collapsed="false">
      <c r="B348" s="71" t="n">
        <v>16</v>
      </c>
      <c r="C348" s="60" t="s">
        <v>48</v>
      </c>
      <c r="D348" s="1" t="n">
        <v>0.1782</v>
      </c>
      <c r="E348" s="1" t="s">
        <v>53</v>
      </c>
      <c r="H348" s="1" t="s">
        <v>19</v>
      </c>
      <c r="I348" s="1" t="n">
        <v>0.05</v>
      </c>
    </row>
    <row r="349" customFormat="false" ht="12.8" hidden="false" customHeight="false" outlineLevel="0" collapsed="false">
      <c r="B349" s="71" t="n">
        <v>16</v>
      </c>
      <c r="C349" s="60" t="s">
        <v>60</v>
      </c>
      <c r="D349" s="1" t="n">
        <v>0.1692</v>
      </c>
      <c r="E349" s="1" t="s">
        <v>53</v>
      </c>
      <c r="H349" s="1" t="s">
        <v>29</v>
      </c>
      <c r="I349" s="1" t="n">
        <f aca="false">(COLUMNS(anchors_raw_information!$I$336:$L$344) - 1) * (ROWS(anchors_raw_information!$I$336:$L$344) - 1)</f>
        <v>24</v>
      </c>
    </row>
    <row r="350" customFormat="false" ht="12.8" hidden="false" customHeight="false" outlineLevel="0" collapsed="false">
      <c r="B350" s="71" t="n">
        <v>16</v>
      </c>
      <c r="C350" s="60" t="s">
        <v>58</v>
      </c>
      <c r="D350" s="1" t="n">
        <v>0.1</v>
      </c>
      <c r="E350" s="1" t="s">
        <v>53</v>
      </c>
      <c r="H350" s="1" t="s">
        <v>69</v>
      </c>
      <c r="I350" s="1" t="n">
        <f aca="false">CHITEST(anchors_raw_information!$I$336:$L$344, MMULT(MMULT(anchors_raw_information!$I$336:$L$344,TRANSPOSE(IF(COLUMN(anchors_raw_information!$I$336:$L$344),TRUE()))),MMULT(TRANSPOSE(IF(ROW(anchors_raw_information!$I$336:$L$344),TRUE())),anchors_raw_information!$I$336:$L$344)) / SUM(anchors_raw_information!$I$336:$L$344))</f>
        <v>0.209080350610495</v>
      </c>
    </row>
    <row r="351" customFormat="false" ht="12.8" hidden="false" customHeight="false" outlineLevel="0" collapsed="false">
      <c r="B351" s="71" t="n">
        <v>18</v>
      </c>
      <c r="C351" s="60" t="s">
        <v>48</v>
      </c>
      <c r="D351" s="1" t="n">
        <v>0.1877</v>
      </c>
      <c r="E351" s="1" t="s">
        <v>53</v>
      </c>
      <c r="H351" s="1" t="s">
        <v>70</v>
      </c>
      <c r="I351" s="1" t="n">
        <f aca="false">CHIINV(anchors_raw_information!$I$350, anchors_raw_information!$I$349)</f>
        <v>29.2990104052191</v>
      </c>
    </row>
    <row r="352" customFormat="false" ht="12.8" hidden="false" customHeight="false" outlineLevel="0" collapsed="false">
      <c r="B352" s="71" t="n">
        <v>18</v>
      </c>
      <c r="C352" s="60" t="s">
        <v>51</v>
      </c>
      <c r="D352" s="1" t="n">
        <v>0.1835</v>
      </c>
      <c r="E352" s="1" t="s">
        <v>53</v>
      </c>
      <c r="H352" s="1" t="s">
        <v>71</v>
      </c>
      <c r="I352" s="1" t="n">
        <f aca="false">CHIINV(anchors_raw_information!$I$348, anchors_raw_information!$I$349)</f>
        <v>36.4150285018073</v>
      </c>
    </row>
    <row r="353" customFormat="false" ht="12.8" hidden="false" customHeight="false" outlineLevel="0" collapsed="false">
      <c r="B353" s="71" t="n">
        <v>18</v>
      </c>
      <c r="C353" s="60" t="s">
        <v>57</v>
      </c>
      <c r="D353" s="1" t="n">
        <v>0.1783</v>
      </c>
      <c r="E353" s="1" t="s">
        <v>53</v>
      </c>
    </row>
    <row r="354" customFormat="false" ht="12.8" hidden="false" customHeight="false" outlineLevel="0" collapsed="false">
      <c r="B354" s="71" t="n">
        <v>18</v>
      </c>
      <c r="C354" s="60" t="s">
        <v>56</v>
      </c>
      <c r="D354" s="1" t="n">
        <v>0.1753</v>
      </c>
      <c r="E354" s="1" t="s">
        <v>53</v>
      </c>
    </row>
    <row r="355" customFormat="false" ht="12.8" hidden="false" customHeight="false" outlineLevel="0" collapsed="false">
      <c r="B355" s="71" t="n">
        <v>18</v>
      </c>
      <c r="C355" s="60" t="s">
        <v>59</v>
      </c>
      <c r="D355" s="1" t="n">
        <v>0.1752</v>
      </c>
      <c r="E355" s="1" t="s">
        <v>53</v>
      </c>
      <c r="H355" s="36" t="s">
        <v>75</v>
      </c>
    </row>
    <row r="356" customFormat="false" ht="12.8" hidden="false" customHeight="false" outlineLevel="0" collapsed="false">
      <c r="B356" s="71" t="n">
        <v>18</v>
      </c>
      <c r="C356" s="60" t="s">
        <v>58</v>
      </c>
      <c r="D356" s="1" t="n">
        <v>0.1</v>
      </c>
      <c r="E356" s="1" t="s">
        <v>53</v>
      </c>
    </row>
    <row r="357" customFormat="false" ht="12.8" hidden="false" customHeight="false" outlineLevel="0" collapsed="false">
      <c r="B357" s="71" t="n">
        <v>20</v>
      </c>
      <c r="C357" s="60" t="s">
        <v>48</v>
      </c>
      <c r="D357" s="1" t="n">
        <v>0.2026</v>
      </c>
      <c r="E357" s="1" t="s">
        <v>53</v>
      </c>
      <c r="H357" s="3" t="s">
        <v>76</v>
      </c>
      <c r="I357" s="4" t="s">
        <v>47</v>
      </c>
      <c r="J357" s="5"/>
      <c r="K357" s="5"/>
      <c r="L357" s="5"/>
      <c r="M357" s="6"/>
    </row>
    <row r="358" customFormat="false" ht="12.8" hidden="false" customHeight="false" outlineLevel="0" collapsed="false">
      <c r="B358" s="71" t="n">
        <v>20</v>
      </c>
      <c r="C358" s="60" t="s">
        <v>60</v>
      </c>
      <c r="D358" s="1" t="n">
        <v>0.1799</v>
      </c>
      <c r="E358" s="1" t="s">
        <v>53</v>
      </c>
      <c r="H358" s="7" t="s">
        <v>45</v>
      </c>
      <c r="I358" s="8" t="s">
        <v>49</v>
      </c>
      <c r="J358" s="9" t="s">
        <v>52</v>
      </c>
      <c r="K358" s="9" t="s">
        <v>53</v>
      </c>
      <c r="L358" s="9" t="s">
        <v>54</v>
      </c>
      <c r="M358" s="10" t="s">
        <v>9</v>
      </c>
    </row>
    <row r="359" customFormat="false" ht="12.8" hidden="false" customHeight="false" outlineLevel="0" collapsed="false">
      <c r="B359" s="71" t="n">
        <v>20</v>
      </c>
      <c r="C359" s="60" t="s">
        <v>62</v>
      </c>
      <c r="D359" s="1" t="n">
        <v>0.1748</v>
      </c>
      <c r="E359" s="1" t="s">
        <v>53</v>
      </c>
      <c r="H359" s="74" t="s">
        <v>59</v>
      </c>
      <c r="I359" s="12" t="n">
        <v>0.1751</v>
      </c>
      <c r="J359" s="13" t="n">
        <v>0.18746</v>
      </c>
      <c r="K359" s="13" t="n">
        <v>0.175621428571429</v>
      </c>
      <c r="L359" s="14" t="n">
        <v>0.173111111111111</v>
      </c>
      <c r="M359" s="15" t="n">
        <v>0.176447368421053</v>
      </c>
    </row>
    <row r="360" customFormat="false" ht="12.8" hidden="false" customHeight="false" outlineLevel="0" collapsed="false">
      <c r="B360" s="71" t="n">
        <v>20</v>
      </c>
      <c r="C360" s="60" t="s">
        <v>51</v>
      </c>
      <c r="D360" s="1" t="n">
        <v>0.1732</v>
      </c>
      <c r="E360" s="1" t="s">
        <v>53</v>
      </c>
      <c r="H360" s="75" t="s">
        <v>63</v>
      </c>
      <c r="I360" s="46"/>
      <c r="J360" s="18" t="n">
        <v>0.16305</v>
      </c>
      <c r="K360" s="47"/>
      <c r="L360" s="48"/>
      <c r="M360" s="20" t="n">
        <v>0.16305</v>
      </c>
    </row>
    <row r="361" customFormat="false" ht="12.8" hidden="false" customHeight="false" outlineLevel="0" collapsed="false">
      <c r="B361" s="71" t="n">
        <v>20</v>
      </c>
      <c r="C361" s="60" t="s">
        <v>56</v>
      </c>
      <c r="D361" s="1" t="n">
        <v>0.1694</v>
      </c>
      <c r="E361" s="1" t="s">
        <v>53</v>
      </c>
      <c r="H361" s="75" t="s">
        <v>60</v>
      </c>
      <c r="I361" s="17" t="n">
        <v>0.173016666666667</v>
      </c>
      <c r="J361" s="18" t="n">
        <v>0.184875</v>
      </c>
      <c r="K361" s="18" t="n">
        <v>0.183758333333333</v>
      </c>
      <c r="L361" s="19" t="n">
        <v>0.172245454545455</v>
      </c>
      <c r="M361" s="20" t="n">
        <v>0.179098039215686</v>
      </c>
    </row>
    <row r="362" customFormat="false" ht="12.8" hidden="false" customHeight="false" outlineLevel="0" collapsed="false">
      <c r="B362" s="71" t="n">
        <v>20</v>
      </c>
      <c r="C362" s="60" t="s">
        <v>58</v>
      </c>
      <c r="D362" s="1" t="n">
        <v>0.1</v>
      </c>
      <c r="E362" s="1" t="s">
        <v>53</v>
      </c>
      <c r="H362" s="75" t="s">
        <v>51</v>
      </c>
      <c r="I362" s="17" t="n">
        <v>0.180975</v>
      </c>
      <c r="J362" s="18" t="n">
        <v>0.183453846153846</v>
      </c>
      <c r="K362" s="18" t="n">
        <v>0.18193</v>
      </c>
      <c r="L362" s="19" t="n">
        <v>0.172885714285714</v>
      </c>
      <c r="M362" s="20" t="n">
        <v>0.180538235294118</v>
      </c>
    </row>
    <row r="363" customFormat="false" ht="12.8" hidden="false" customHeight="false" outlineLevel="0" collapsed="false">
      <c r="B363" s="71" t="n">
        <v>22</v>
      </c>
      <c r="C363" s="60" t="s">
        <v>48</v>
      </c>
      <c r="D363" s="1" t="n">
        <v>0.2244</v>
      </c>
      <c r="E363" s="1" t="s">
        <v>53</v>
      </c>
      <c r="H363" s="75" t="s">
        <v>57</v>
      </c>
      <c r="I363" s="17" t="n">
        <v>0.166976190476191</v>
      </c>
      <c r="J363" s="18" t="n">
        <v>0.17209</v>
      </c>
      <c r="K363" s="18" t="n">
        <v>0.178838888888889</v>
      </c>
      <c r="L363" s="19" t="n">
        <v>0.173</v>
      </c>
      <c r="M363" s="20" t="n">
        <v>0.172505</v>
      </c>
    </row>
    <row r="364" customFormat="false" ht="12.8" hidden="false" customHeight="false" outlineLevel="0" collapsed="false">
      <c r="B364" s="71" t="n">
        <v>22</v>
      </c>
      <c r="C364" s="60" t="s">
        <v>56</v>
      </c>
      <c r="D364" s="1" t="n">
        <v>0.1752</v>
      </c>
      <c r="E364" s="1" t="s">
        <v>53</v>
      </c>
      <c r="H364" s="75" t="s">
        <v>56</v>
      </c>
      <c r="I364" s="17" t="n">
        <v>0.168992857142857</v>
      </c>
      <c r="J364" s="18" t="n">
        <v>0.1852</v>
      </c>
      <c r="K364" s="18" t="n">
        <v>0.175683333333333</v>
      </c>
      <c r="L364" s="19" t="n">
        <v>0.177772727272727</v>
      </c>
      <c r="M364" s="20" t="n">
        <v>0.1774</v>
      </c>
    </row>
    <row r="365" customFormat="false" ht="12.8" hidden="false" customHeight="false" outlineLevel="0" collapsed="false">
      <c r="B365" s="71" t="n">
        <v>22</v>
      </c>
      <c r="C365" s="60" t="s">
        <v>57</v>
      </c>
      <c r="D365" s="1" t="n">
        <v>0.1711</v>
      </c>
      <c r="E365" s="1" t="s">
        <v>53</v>
      </c>
      <c r="H365" s="75" t="s">
        <v>62</v>
      </c>
      <c r="I365" s="17" t="n">
        <v>0.164316666666667</v>
      </c>
      <c r="J365" s="18" t="n">
        <v>0.168842857142857</v>
      </c>
      <c r="K365" s="18" t="n">
        <v>0.172</v>
      </c>
      <c r="L365" s="19" t="n">
        <v>0.1642</v>
      </c>
      <c r="M365" s="20" t="n">
        <v>0.168336</v>
      </c>
    </row>
    <row r="366" customFormat="false" ht="12.8" hidden="false" customHeight="false" outlineLevel="0" collapsed="false">
      <c r="B366" s="71" t="n">
        <v>22</v>
      </c>
      <c r="C366" s="60" t="s">
        <v>62</v>
      </c>
      <c r="D366" s="1" t="n">
        <v>0.1659</v>
      </c>
      <c r="E366" s="1" t="s">
        <v>53</v>
      </c>
      <c r="H366" s="75" t="s">
        <v>48</v>
      </c>
      <c r="I366" s="17" t="n">
        <v>0.210504</v>
      </c>
      <c r="J366" s="18" t="n">
        <v>0.212612</v>
      </c>
      <c r="K366" s="18" t="n">
        <v>0.207744</v>
      </c>
      <c r="L366" s="19" t="n">
        <v>0.204904</v>
      </c>
      <c r="M366" s="20" t="n">
        <v>0.208941</v>
      </c>
    </row>
    <row r="367" customFormat="false" ht="12.8" hidden="false" customHeight="false" outlineLevel="0" collapsed="false">
      <c r="B367" s="71" t="n">
        <v>22</v>
      </c>
      <c r="C367" s="60" t="s">
        <v>60</v>
      </c>
      <c r="D367" s="1" t="n">
        <v>0.1634</v>
      </c>
      <c r="E367" s="1" t="s">
        <v>53</v>
      </c>
      <c r="H367" s="75" t="s">
        <v>64</v>
      </c>
      <c r="I367" s="17" t="n">
        <v>0.15385</v>
      </c>
      <c r="J367" s="47"/>
      <c r="K367" s="47"/>
      <c r="L367" s="19" t="n">
        <v>0.164733333333333</v>
      </c>
      <c r="M367" s="20" t="n">
        <v>0.16038</v>
      </c>
    </row>
    <row r="368" customFormat="false" ht="12.8" hidden="false" customHeight="false" outlineLevel="0" collapsed="false">
      <c r="B368" s="71" t="n">
        <v>22</v>
      </c>
      <c r="C368" s="60" t="s">
        <v>58</v>
      </c>
      <c r="D368" s="1" t="n">
        <v>0.1</v>
      </c>
      <c r="E368" s="1" t="s">
        <v>53</v>
      </c>
      <c r="H368" s="75" t="s">
        <v>55</v>
      </c>
      <c r="I368" s="17" t="n">
        <v>0.179868</v>
      </c>
      <c r="J368" s="18" t="n">
        <v>0.179925</v>
      </c>
      <c r="K368" s="18" t="n">
        <v>0.184218181818182</v>
      </c>
      <c r="L368" s="19" t="n">
        <v>0.176314285714286</v>
      </c>
      <c r="M368" s="20" t="n">
        <v>0.179843103448276</v>
      </c>
    </row>
    <row r="369" customFormat="false" ht="12.8" hidden="false" customHeight="false" outlineLevel="0" collapsed="false">
      <c r="B369" s="71" t="n">
        <v>24</v>
      </c>
      <c r="C369" s="60" t="s">
        <v>48</v>
      </c>
      <c r="D369" s="1" t="n">
        <v>0.2087</v>
      </c>
      <c r="E369" s="1" t="s">
        <v>53</v>
      </c>
      <c r="H369" s="75" t="s">
        <v>65</v>
      </c>
      <c r="I369" s="17" t="n">
        <v>0.161533333333333</v>
      </c>
      <c r="J369" s="18" t="n">
        <v>0.1898</v>
      </c>
      <c r="K369" s="18" t="n">
        <v>0.17348</v>
      </c>
      <c r="L369" s="19" t="n">
        <v>0.17149</v>
      </c>
      <c r="M369" s="20" t="n">
        <v>0.173714814814815</v>
      </c>
    </row>
    <row r="370" customFormat="false" ht="12.8" hidden="false" customHeight="false" outlineLevel="0" collapsed="false">
      <c r="B370" s="71" t="n">
        <v>24</v>
      </c>
      <c r="C370" s="60" t="s">
        <v>56</v>
      </c>
      <c r="D370" s="1" t="n">
        <v>0.1808</v>
      </c>
      <c r="E370" s="1" t="s">
        <v>53</v>
      </c>
      <c r="H370" s="75" t="s">
        <v>58</v>
      </c>
      <c r="I370" s="21" t="n">
        <v>0.102172</v>
      </c>
      <c r="J370" s="22" t="n">
        <v>0.101732</v>
      </c>
      <c r="K370" s="22" t="n">
        <v>0.1</v>
      </c>
      <c r="L370" s="23" t="n">
        <v>0.1</v>
      </c>
      <c r="M370" s="24" t="n">
        <v>0.100976</v>
      </c>
    </row>
    <row r="371" customFormat="false" ht="12.8" hidden="false" customHeight="false" outlineLevel="0" collapsed="false">
      <c r="B371" s="71" t="n">
        <v>24</v>
      </c>
      <c r="C371" s="60" t="s">
        <v>62</v>
      </c>
      <c r="D371" s="1" t="n">
        <v>0.1732</v>
      </c>
      <c r="E371" s="1" t="s">
        <v>53</v>
      </c>
      <c r="H371" s="76" t="s">
        <v>9</v>
      </c>
      <c r="I371" s="26" t="n">
        <v>0.166666</v>
      </c>
      <c r="J371" s="27" t="n">
        <v>0.172416551724138</v>
      </c>
      <c r="K371" s="27" t="n">
        <v>0.170067346938776</v>
      </c>
      <c r="L371" s="28" t="n">
        <v>0.166664</v>
      </c>
      <c r="M371" s="29" t="n">
        <v>0.168918581081081</v>
      </c>
    </row>
    <row r="372" customFormat="false" ht="12.8" hidden="false" customHeight="false" outlineLevel="0" collapsed="false">
      <c r="B372" s="71" t="n">
        <v>24</v>
      </c>
      <c r="C372" s="60" t="s">
        <v>60</v>
      </c>
      <c r="D372" s="1" t="n">
        <v>0.1726</v>
      </c>
      <c r="E372" s="1" t="s">
        <v>53</v>
      </c>
    </row>
    <row r="373" customFormat="false" ht="12.8" hidden="false" customHeight="false" outlineLevel="0" collapsed="false">
      <c r="B373" s="71" t="n">
        <v>24</v>
      </c>
      <c r="C373" s="60" t="s">
        <v>57</v>
      </c>
      <c r="D373" s="1" t="n">
        <v>0.1647</v>
      </c>
      <c r="E373" s="1" t="s">
        <v>53</v>
      </c>
    </row>
    <row r="374" customFormat="false" ht="12.8" hidden="false" customHeight="false" outlineLevel="0" collapsed="false">
      <c r="B374" s="71" t="n">
        <v>24</v>
      </c>
      <c r="C374" s="60" t="s">
        <v>58</v>
      </c>
      <c r="D374" s="1" t="n">
        <v>0.1</v>
      </c>
      <c r="E374" s="1" t="s">
        <v>53</v>
      </c>
      <c r="H374" s="64"/>
      <c r="I374" s="65"/>
      <c r="J374" s="4" t="s">
        <v>47</v>
      </c>
      <c r="K374" s="5"/>
      <c r="L374" s="5"/>
      <c r="M374" s="5"/>
      <c r="N374" s="6"/>
    </row>
    <row r="375" customFormat="false" ht="12.8" hidden="false" customHeight="false" outlineLevel="0" collapsed="false">
      <c r="B375" s="71" t="n">
        <v>26</v>
      </c>
      <c r="C375" s="60" t="s">
        <v>48</v>
      </c>
      <c r="D375" s="1" t="n">
        <v>0.2011</v>
      </c>
      <c r="E375" s="1" t="s">
        <v>53</v>
      </c>
      <c r="H375" s="7" t="s">
        <v>45</v>
      </c>
      <c r="I375" s="66" t="s">
        <v>77</v>
      </c>
      <c r="J375" s="8" t="s">
        <v>49</v>
      </c>
      <c r="K375" s="9" t="s">
        <v>52</v>
      </c>
      <c r="L375" s="9" t="s">
        <v>53</v>
      </c>
      <c r="M375" s="9" t="s">
        <v>54</v>
      </c>
      <c r="N375" s="10" t="s">
        <v>9</v>
      </c>
    </row>
    <row r="376" customFormat="false" ht="12.8" hidden="false" customHeight="false" outlineLevel="0" collapsed="false">
      <c r="B376" s="71" t="n">
        <v>26</v>
      </c>
      <c r="C376" s="60" t="s">
        <v>60</v>
      </c>
      <c r="D376" s="1" t="n">
        <v>0.1986</v>
      </c>
      <c r="E376" s="1" t="s">
        <v>53</v>
      </c>
      <c r="H376" s="74" t="s">
        <v>59</v>
      </c>
      <c r="I376" s="67" t="s">
        <v>66</v>
      </c>
      <c r="J376" s="105" t="n">
        <v>10</v>
      </c>
      <c r="K376" s="106" t="n">
        <v>5</v>
      </c>
      <c r="L376" s="106" t="n">
        <v>14</v>
      </c>
      <c r="M376" s="107" t="n">
        <v>9</v>
      </c>
      <c r="N376" s="108" t="n">
        <v>38</v>
      </c>
    </row>
    <row r="377" customFormat="false" ht="12.8" hidden="false" customHeight="false" outlineLevel="0" collapsed="false">
      <c r="B377" s="71" t="n">
        <v>26</v>
      </c>
      <c r="C377" s="60" t="s">
        <v>57</v>
      </c>
      <c r="D377" s="1" t="n">
        <v>0.1691</v>
      </c>
      <c r="E377" s="1" t="s">
        <v>53</v>
      </c>
      <c r="H377" s="109"/>
      <c r="I377" s="70" t="s">
        <v>78</v>
      </c>
      <c r="J377" s="21" t="n">
        <v>0.1751</v>
      </c>
      <c r="K377" s="22" t="n">
        <v>0.18746</v>
      </c>
      <c r="L377" s="22" t="n">
        <v>0.175621428571429</v>
      </c>
      <c r="M377" s="23" t="n">
        <v>0.173111111111111</v>
      </c>
      <c r="N377" s="24" t="n">
        <v>0.176447368421053</v>
      </c>
    </row>
    <row r="378" customFormat="false" ht="12.8" hidden="false" customHeight="false" outlineLevel="0" collapsed="false">
      <c r="B378" s="71" t="n">
        <v>26</v>
      </c>
      <c r="C378" s="60" t="s">
        <v>65</v>
      </c>
      <c r="D378" s="1" t="n">
        <v>0.1671</v>
      </c>
      <c r="E378" s="1" t="s">
        <v>53</v>
      </c>
      <c r="H378" s="74" t="s">
        <v>63</v>
      </c>
      <c r="I378" s="67" t="s">
        <v>66</v>
      </c>
      <c r="J378" s="43"/>
      <c r="K378" s="106" t="n">
        <v>2</v>
      </c>
      <c r="L378" s="43"/>
      <c r="M378" s="43"/>
      <c r="N378" s="108" t="n">
        <v>2</v>
      </c>
    </row>
    <row r="379" customFormat="false" ht="12.8" hidden="false" customHeight="false" outlineLevel="0" collapsed="false">
      <c r="B379" s="71" t="n">
        <v>26</v>
      </c>
      <c r="C379" s="60" t="s">
        <v>55</v>
      </c>
      <c r="D379" s="1" t="n">
        <v>0.1641</v>
      </c>
      <c r="E379" s="1" t="s">
        <v>53</v>
      </c>
      <c r="H379" s="109"/>
      <c r="I379" s="70" t="s">
        <v>78</v>
      </c>
      <c r="J379" s="51"/>
      <c r="K379" s="22" t="n">
        <v>0.16305</v>
      </c>
      <c r="L379" s="51"/>
      <c r="M379" s="51"/>
      <c r="N379" s="24" t="n">
        <v>0.16305</v>
      </c>
    </row>
    <row r="380" customFormat="false" ht="12.8" hidden="false" customHeight="false" outlineLevel="0" collapsed="false">
      <c r="B380" s="71" t="n">
        <v>26</v>
      </c>
      <c r="C380" s="60" t="s">
        <v>58</v>
      </c>
      <c r="D380" s="1" t="n">
        <v>0.1</v>
      </c>
      <c r="E380" s="1" t="s">
        <v>53</v>
      </c>
      <c r="H380" s="74" t="s">
        <v>60</v>
      </c>
      <c r="I380" s="67" t="s">
        <v>66</v>
      </c>
      <c r="J380" s="105" t="n">
        <v>12</v>
      </c>
      <c r="K380" s="106" t="n">
        <v>16</v>
      </c>
      <c r="L380" s="106" t="n">
        <v>12</v>
      </c>
      <c r="M380" s="107" t="n">
        <v>11</v>
      </c>
      <c r="N380" s="108" t="n">
        <v>51</v>
      </c>
    </row>
    <row r="381" customFormat="false" ht="12.8" hidden="false" customHeight="false" outlineLevel="0" collapsed="false">
      <c r="B381" s="71" t="n">
        <v>28</v>
      </c>
      <c r="C381" s="60" t="s">
        <v>60</v>
      </c>
      <c r="D381" s="1" t="n">
        <v>0.2095</v>
      </c>
      <c r="E381" s="1" t="s">
        <v>53</v>
      </c>
      <c r="H381" s="109"/>
      <c r="I381" s="70" t="s">
        <v>78</v>
      </c>
      <c r="J381" s="21" t="n">
        <v>0.173016666666667</v>
      </c>
      <c r="K381" s="22" t="n">
        <v>0.184875</v>
      </c>
      <c r="L381" s="22" t="n">
        <v>0.183758333333333</v>
      </c>
      <c r="M381" s="23" t="n">
        <v>0.172245454545455</v>
      </c>
      <c r="N381" s="24" t="n">
        <v>0.179098039215686</v>
      </c>
    </row>
    <row r="382" customFormat="false" ht="12.8" hidden="false" customHeight="false" outlineLevel="0" collapsed="false">
      <c r="B382" s="71" t="n">
        <v>28</v>
      </c>
      <c r="C382" s="60" t="s">
        <v>48</v>
      </c>
      <c r="D382" s="1" t="n">
        <v>0.1963</v>
      </c>
      <c r="E382" s="1" t="s">
        <v>53</v>
      </c>
      <c r="H382" s="74" t="s">
        <v>51</v>
      </c>
      <c r="I382" s="67" t="s">
        <v>66</v>
      </c>
      <c r="J382" s="106" t="n">
        <v>4</v>
      </c>
      <c r="K382" s="106" t="n">
        <v>13</v>
      </c>
      <c r="L382" s="106" t="n">
        <v>10</v>
      </c>
      <c r="M382" s="106" t="n">
        <v>7</v>
      </c>
      <c r="N382" s="108" t="n">
        <v>34</v>
      </c>
    </row>
    <row r="383" customFormat="false" ht="12.8" hidden="false" customHeight="false" outlineLevel="0" collapsed="false">
      <c r="B383" s="71" t="n">
        <v>28</v>
      </c>
      <c r="C383" s="60" t="s">
        <v>57</v>
      </c>
      <c r="D383" s="1" t="n">
        <v>0.1734</v>
      </c>
      <c r="E383" s="1" t="s">
        <v>53</v>
      </c>
      <c r="H383" s="109"/>
      <c r="I383" s="70" t="s">
        <v>78</v>
      </c>
      <c r="J383" s="22" t="n">
        <v>0.180975</v>
      </c>
      <c r="K383" s="22" t="n">
        <v>0.183453846153846</v>
      </c>
      <c r="L383" s="22" t="n">
        <v>0.18193</v>
      </c>
      <c r="M383" s="22" t="n">
        <v>0.172885714285714</v>
      </c>
      <c r="N383" s="24" t="n">
        <v>0.180538235294118</v>
      </c>
    </row>
    <row r="384" customFormat="false" ht="12.8" hidden="false" customHeight="false" outlineLevel="0" collapsed="false">
      <c r="B384" s="71" t="n">
        <v>28</v>
      </c>
      <c r="C384" s="60" t="s">
        <v>56</v>
      </c>
      <c r="D384" s="1" t="n">
        <v>0.1649</v>
      </c>
      <c r="E384" s="1" t="s">
        <v>53</v>
      </c>
      <c r="H384" s="74" t="s">
        <v>57</v>
      </c>
      <c r="I384" s="67" t="s">
        <v>66</v>
      </c>
      <c r="J384" s="105" t="n">
        <v>21</v>
      </c>
      <c r="K384" s="106" t="n">
        <v>20</v>
      </c>
      <c r="L384" s="106" t="n">
        <v>18</v>
      </c>
      <c r="M384" s="107" t="n">
        <v>21</v>
      </c>
      <c r="N384" s="108" t="n">
        <v>80</v>
      </c>
    </row>
    <row r="385" customFormat="false" ht="12.8" hidden="false" customHeight="false" outlineLevel="0" collapsed="false">
      <c r="B385" s="71" t="n">
        <v>28</v>
      </c>
      <c r="C385" s="60" t="s">
        <v>55</v>
      </c>
      <c r="D385" s="1" t="n">
        <v>0.156</v>
      </c>
      <c r="E385" s="1" t="s">
        <v>53</v>
      </c>
      <c r="H385" s="109"/>
      <c r="I385" s="70" t="s">
        <v>78</v>
      </c>
      <c r="J385" s="21" t="n">
        <v>0.166976190476191</v>
      </c>
      <c r="K385" s="22" t="n">
        <v>0.17209</v>
      </c>
      <c r="L385" s="22" t="n">
        <v>0.178838888888889</v>
      </c>
      <c r="M385" s="23" t="n">
        <v>0.173</v>
      </c>
      <c r="N385" s="24" t="n">
        <v>0.172505</v>
      </c>
    </row>
    <row r="386" customFormat="false" ht="12.8" hidden="false" customHeight="false" outlineLevel="0" collapsed="false">
      <c r="B386" s="71" t="n">
        <v>28</v>
      </c>
      <c r="C386" s="60" t="s">
        <v>58</v>
      </c>
      <c r="D386" s="1" t="n">
        <v>0.1</v>
      </c>
      <c r="E386" s="1" t="s">
        <v>53</v>
      </c>
      <c r="H386" s="74" t="s">
        <v>56</v>
      </c>
      <c r="I386" s="67" t="s">
        <v>66</v>
      </c>
      <c r="J386" s="106" t="n">
        <v>14</v>
      </c>
      <c r="K386" s="106" t="n">
        <v>18</v>
      </c>
      <c r="L386" s="106" t="n">
        <v>18</v>
      </c>
      <c r="M386" s="106" t="n">
        <v>22</v>
      </c>
      <c r="N386" s="108" t="n">
        <v>72</v>
      </c>
    </row>
    <row r="387" customFormat="false" ht="12.8" hidden="false" customHeight="false" outlineLevel="0" collapsed="false">
      <c r="B387" s="71" t="n">
        <v>30</v>
      </c>
      <c r="C387" s="60" t="s">
        <v>48</v>
      </c>
      <c r="D387" s="1" t="n">
        <v>0.1952</v>
      </c>
      <c r="E387" s="1" t="s">
        <v>53</v>
      </c>
      <c r="H387" s="109"/>
      <c r="I387" s="70" t="s">
        <v>78</v>
      </c>
      <c r="J387" s="22" t="n">
        <v>0.168992857142857</v>
      </c>
      <c r="K387" s="22" t="n">
        <v>0.1852</v>
      </c>
      <c r="L387" s="22" t="n">
        <v>0.175683333333333</v>
      </c>
      <c r="M387" s="22" t="n">
        <v>0.177772727272727</v>
      </c>
      <c r="N387" s="24" t="n">
        <v>0.1774</v>
      </c>
    </row>
    <row r="388" customFormat="false" ht="12.8" hidden="false" customHeight="false" outlineLevel="0" collapsed="false">
      <c r="B388" s="71" t="n">
        <v>30</v>
      </c>
      <c r="C388" s="60" t="s">
        <v>57</v>
      </c>
      <c r="D388" s="1" t="n">
        <v>0.1904</v>
      </c>
      <c r="E388" s="1" t="s">
        <v>53</v>
      </c>
      <c r="H388" s="74" t="s">
        <v>62</v>
      </c>
      <c r="I388" s="67" t="s">
        <v>66</v>
      </c>
      <c r="J388" s="105" t="n">
        <v>6</v>
      </c>
      <c r="K388" s="106" t="n">
        <v>7</v>
      </c>
      <c r="L388" s="106" t="n">
        <v>9</v>
      </c>
      <c r="M388" s="107" t="n">
        <v>3</v>
      </c>
      <c r="N388" s="108" t="n">
        <v>25</v>
      </c>
    </row>
    <row r="389" customFormat="false" ht="12.8" hidden="false" customHeight="false" outlineLevel="0" collapsed="false">
      <c r="B389" s="71" t="n">
        <v>30</v>
      </c>
      <c r="C389" s="60" t="s">
        <v>60</v>
      </c>
      <c r="D389" s="1" t="n">
        <v>0.1742</v>
      </c>
      <c r="E389" s="1" t="s">
        <v>53</v>
      </c>
      <c r="H389" s="109"/>
      <c r="I389" s="70" t="s">
        <v>78</v>
      </c>
      <c r="J389" s="21" t="n">
        <v>0.164316666666667</v>
      </c>
      <c r="K389" s="22" t="n">
        <v>0.168842857142857</v>
      </c>
      <c r="L389" s="22" t="n">
        <v>0.172</v>
      </c>
      <c r="M389" s="23" t="n">
        <v>0.1642</v>
      </c>
      <c r="N389" s="24" t="n">
        <v>0.168336</v>
      </c>
    </row>
    <row r="390" customFormat="false" ht="12.8" hidden="false" customHeight="false" outlineLevel="0" collapsed="false">
      <c r="B390" s="71" t="n">
        <v>30</v>
      </c>
      <c r="C390" s="60" t="s">
        <v>56</v>
      </c>
      <c r="D390" s="1" t="n">
        <v>0.1738</v>
      </c>
      <c r="E390" s="1" t="s">
        <v>53</v>
      </c>
      <c r="H390" s="74" t="s">
        <v>48</v>
      </c>
      <c r="I390" s="67" t="s">
        <v>66</v>
      </c>
      <c r="J390" s="106" t="n">
        <v>25</v>
      </c>
      <c r="K390" s="106" t="n">
        <v>25</v>
      </c>
      <c r="L390" s="106" t="n">
        <v>25</v>
      </c>
      <c r="M390" s="106" t="n">
        <v>25</v>
      </c>
      <c r="N390" s="108" t="n">
        <v>100</v>
      </c>
    </row>
    <row r="391" customFormat="false" ht="12.8" hidden="false" customHeight="false" outlineLevel="0" collapsed="false">
      <c r="B391" s="71" t="n">
        <v>30</v>
      </c>
      <c r="C391" s="60" t="s">
        <v>59</v>
      </c>
      <c r="D391" s="1" t="n">
        <v>0.1663</v>
      </c>
      <c r="E391" s="1" t="s">
        <v>53</v>
      </c>
      <c r="H391" s="109"/>
      <c r="I391" s="70" t="s">
        <v>78</v>
      </c>
      <c r="J391" s="22" t="n">
        <v>0.210504</v>
      </c>
      <c r="K391" s="22" t="n">
        <v>0.212612</v>
      </c>
      <c r="L391" s="22" t="n">
        <v>0.207744</v>
      </c>
      <c r="M391" s="22" t="n">
        <v>0.204904</v>
      </c>
      <c r="N391" s="24" t="n">
        <v>0.208941</v>
      </c>
    </row>
    <row r="392" customFormat="false" ht="12.8" hidden="false" customHeight="false" outlineLevel="0" collapsed="false">
      <c r="B392" s="71" t="n">
        <v>30</v>
      </c>
      <c r="C392" s="60" t="s">
        <v>58</v>
      </c>
      <c r="D392" s="1" t="n">
        <v>0.1</v>
      </c>
      <c r="E392" s="1" t="s">
        <v>53</v>
      </c>
      <c r="H392" s="74" t="s">
        <v>64</v>
      </c>
      <c r="I392" s="67" t="s">
        <v>66</v>
      </c>
      <c r="J392" s="105" t="n">
        <v>2</v>
      </c>
      <c r="K392" s="43"/>
      <c r="L392" s="43"/>
      <c r="M392" s="107" t="n">
        <v>3</v>
      </c>
      <c r="N392" s="108" t="n">
        <v>5</v>
      </c>
    </row>
    <row r="393" customFormat="false" ht="12.8" hidden="false" customHeight="false" outlineLevel="0" collapsed="false">
      <c r="B393" s="71" t="n">
        <v>32</v>
      </c>
      <c r="C393" s="60" t="s">
        <v>48</v>
      </c>
      <c r="D393" s="1" t="n">
        <v>0.205</v>
      </c>
      <c r="E393" s="1" t="s">
        <v>53</v>
      </c>
      <c r="H393" s="109"/>
      <c r="I393" s="70" t="s">
        <v>78</v>
      </c>
      <c r="J393" s="21" t="n">
        <v>0.15385</v>
      </c>
      <c r="K393" s="51"/>
      <c r="L393" s="51"/>
      <c r="M393" s="23" t="n">
        <v>0.164733333333333</v>
      </c>
      <c r="N393" s="24" t="n">
        <v>0.16038</v>
      </c>
    </row>
    <row r="394" customFormat="false" ht="12.8" hidden="false" customHeight="false" outlineLevel="0" collapsed="false">
      <c r="B394" s="71" t="n">
        <v>32</v>
      </c>
      <c r="C394" s="60" t="s">
        <v>56</v>
      </c>
      <c r="D394" s="1" t="n">
        <v>0.1897</v>
      </c>
      <c r="E394" s="1" t="s">
        <v>53</v>
      </c>
      <c r="H394" s="74" t="s">
        <v>55</v>
      </c>
      <c r="I394" s="67" t="s">
        <v>66</v>
      </c>
      <c r="J394" s="106" t="n">
        <v>25</v>
      </c>
      <c r="K394" s="106" t="n">
        <v>8</v>
      </c>
      <c r="L394" s="106" t="n">
        <v>11</v>
      </c>
      <c r="M394" s="106" t="n">
        <v>14</v>
      </c>
      <c r="N394" s="108" t="n">
        <v>58</v>
      </c>
    </row>
    <row r="395" customFormat="false" ht="12.8" hidden="false" customHeight="false" outlineLevel="0" collapsed="false">
      <c r="B395" s="71" t="n">
        <v>32</v>
      </c>
      <c r="C395" s="60" t="s">
        <v>62</v>
      </c>
      <c r="D395" s="1" t="n">
        <v>0.17</v>
      </c>
      <c r="E395" s="1" t="s">
        <v>53</v>
      </c>
      <c r="H395" s="109"/>
      <c r="I395" s="70" t="s">
        <v>78</v>
      </c>
      <c r="J395" s="22" t="n">
        <v>0.179868</v>
      </c>
      <c r="K395" s="22" t="n">
        <v>0.179925</v>
      </c>
      <c r="L395" s="22" t="n">
        <v>0.184218181818182</v>
      </c>
      <c r="M395" s="22" t="n">
        <v>0.176314285714286</v>
      </c>
      <c r="N395" s="24" t="n">
        <v>0.179843103448276</v>
      </c>
    </row>
    <row r="396" customFormat="false" ht="12.8" hidden="false" customHeight="false" outlineLevel="0" collapsed="false">
      <c r="B396" s="71" t="n">
        <v>32</v>
      </c>
      <c r="C396" s="60" t="s">
        <v>59</v>
      </c>
      <c r="D396" s="1" t="n">
        <v>0.1682</v>
      </c>
      <c r="E396" s="1" t="s">
        <v>53</v>
      </c>
      <c r="H396" s="74" t="s">
        <v>65</v>
      </c>
      <c r="I396" s="67" t="s">
        <v>66</v>
      </c>
      <c r="J396" s="105" t="n">
        <v>6</v>
      </c>
      <c r="K396" s="106" t="n">
        <v>6</v>
      </c>
      <c r="L396" s="106" t="n">
        <v>5</v>
      </c>
      <c r="M396" s="107" t="n">
        <v>10</v>
      </c>
      <c r="N396" s="108" t="n">
        <v>27</v>
      </c>
    </row>
    <row r="397" customFormat="false" ht="12.8" hidden="false" customHeight="false" outlineLevel="0" collapsed="false">
      <c r="B397" s="71" t="n">
        <v>32</v>
      </c>
      <c r="C397" s="60" t="s">
        <v>57</v>
      </c>
      <c r="D397" s="1" t="n">
        <v>0.167</v>
      </c>
      <c r="E397" s="1" t="s">
        <v>53</v>
      </c>
      <c r="H397" s="109"/>
      <c r="I397" s="70" t="s">
        <v>78</v>
      </c>
      <c r="J397" s="21" t="n">
        <v>0.161533333333333</v>
      </c>
      <c r="K397" s="22" t="n">
        <v>0.1898</v>
      </c>
      <c r="L397" s="22" t="n">
        <v>0.17348</v>
      </c>
      <c r="M397" s="23" t="n">
        <v>0.17149</v>
      </c>
      <c r="N397" s="24" t="n">
        <v>0.173714814814815</v>
      </c>
    </row>
    <row r="398" customFormat="false" ht="12.8" hidden="false" customHeight="false" outlineLevel="0" collapsed="false">
      <c r="B398" s="71" t="n">
        <v>32</v>
      </c>
      <c r="C398" s="60" t="s">
        <v>58</v>
      </c>
      <c r="D398" s="1" t="n">
        <v>0.1</v>
      </c>
      <c r="E398" s="1" t="s">
        <v>53</v>
      </c>
      <c r="H398" s="74" t="s">
        <v>58</v>
      </c>
      <c r="I398" s="67" t="s">
        <v>66</v>
      </c>
      <c r="J398" s="106" t="n">
        <v>25</v>
      </c>
      <c r="K398" s="106" t="n">
        <v>25</v>
      </c>
      <c r="L398" s="106" t="n">
        <v>25</v>
      </c>
      <c r="M398" s="106" t="n">
        <v>25</v>
      </c>
      <c r="N398" s="108" t="n">
        <v>100</v>
      </c>
    </row>
    <row r="399" customFormat="false" ht="12.8" hidden="false" customHeight="false" outlineLevel="0" collapsed="false">
      <c r="B399" s="71" t="n">
        <v>34</v>
      </c>
      <c r="C399" s="60" t="s">
        <v>48</v>
      </c>
      <c r="D399" s="1" t="n">
        <v>0.2047</v>
      </c>
      <c r="E399" s="1" t="s">
        <v>53</v>
      </c>
      <c r="H399" s="109"/>
      <c r="I399" s="70" t="s">
        <v>78</v>
      </c>
      <c r="J399" s="22" t="n">
        <v>0.102172</v>
      </c>
      <c r="K399" s="22" t="n">
        <v>0.101732</v>
      </c>
      <c r="L399" s="22" t="n">
        <v>0.1</v>
      </c>
      <c r="M399" s="22" t="n">
        <v>0.1</v>
      </c>
      <c r="N399" s="24" t="n">
        <v>0.100976</v>
      </c>
    </row>
    <row r="400" customFormat="false" ht="12.8" hidden="false" customHeight="false" outlineLevel="0" collapsed="false">
      <c r="B400" s="71" t="n">
        <v>34</v>
      </c>
      <c r="C400" s="60" t="s">
        <v>59</v>
      </c>
      <c r="D400" s="1" t="n">
        <v>0.1796</v>
      </c>
      <c r="E400" s="1" t="s">
        <v>53</v>
      </c>
      <c r="H400" s="110" t="s">
        <v>79</v>
      </c>
      <c r="I400" s="111"/>
      <c r="J400" s="112" t="n">
        <v>150</v>
      </c>
      <c r="K400" s="113" t="n">
        <v>145</v>
      </c>
      <c r="L400" s="113" t="n">
        <v>147</v>
      </c>
      <c r="M400" s="114" t="n">
        <v>150</v>
      </c>
      <c r="N400" s="115" t="n">
        <v>592</v>
      </c>
    </row>
    <row r="401" customFormat="false" ht="12.8" hidden="false" customHeight="false" outlineLevel="0" collapsed="false">
      <c r="B401" s="71" t="n">
        <v>34</v>
      </c>
      <c r="C401" s="60" t="s">
        <v>56</v>
      </c>
      <c r="D401" s="1" t="n">
        <v>0.1794</v>
      </c>
      <c r="E401" s="1" t="s">
        <v>53</v>
      </c>
      <c r="H401" s="116" t="s">
        <v>80</v>
      </c>
      <c r="I401" s="73"/>
      <c r="J401" s="26" t="n">
        <v>0.166666</v>
      </c>
      <c r="K401" s="27" t="n">
        <v>0.172416551724138</v>
      </c>
      <c r="L401" s="27" t="n">
        <v>0.170067346938776</v>
      </c>
      <c r="M401" s="28" t="n">
        <v>0.166664</v>
      </c>
      <c r="N401" s="29" t="n">
        <v>0.168918581081081</v>
      </c>
    </row>
    <row r="402" customFormat="false" ht="12.8" hidden="false" customHeight="false" outlineLevel="0" collapsed="false">
      <c r="B402" s="71" t="n">
        <v>34</v>
      </c>
      <c r="C402" s="60" t="s">
        <v>65</v>
      </c>
      <c r="D402" s="1" t="n">
        <v>0.1693</v>
      </c>
      <c r="E402" s="1" t="s">
        <v>53</v>
      </c>
    </row>
    <row r="403" customFormat="false" ht="12.8" hidden="false" customHeight="false" outlineLevel="0" collapsed="false">
      <c r="B403" s="71" t="n">
        <v>34</v>
      </c>
      <c r="C403" s="60" t="s">
        <v>57</v>
      </c>
      <c r="D403" s="1" t="n">
        <v>0.1669</v>
      </c>
      <c r="E403" s="1" t="s">
        <v>53</v>
      </c>
    </row>
    <row r="404" customFormat="false" ht="12.8" hidden="false" customHeight="false" outlineLevel="0" collapsed="false">
      <c r="B404" s="71" t="n">
        <v>34</v>
      </c>
      <c r="C404" s="60" t="s">
        <v>58</v>
      </c>
      <c r="D404" s="1" t="n">
        <v>0.1</v>
      </c>
      <c r="E404" s="1" t="s">
        <v>53</v>
      </c>
    </row>
    <row r="405" customFormat="false" ht="12.8" hidden="false" customHeight="false" outlineLevel="0" collapsed="false">
      <c r="B405" s="71" t="n">
        <v>36</v>
      </c>
      <c r="C405" s="60" t="s">
        <v>65</v>
      </c>
      <c r="D405" s="1" t="n">
        <v>0.1888</v>
      </c>
      <c r="E405" s="1" t="s">
        <v>53</v>
      </c>
    </row>
    <row r="406" customFormat="false" ht="12.8" hidden="false" customHeight="false" outlineLevel="0" collapsed="false">
      <c r="B406" s="71" t="n">
        <v>36</v>
      </c>
      <c r="C406" s="60" t="s">
        <v>48</v>
      </c>
      <c r="D406" s="1" t="n">
        <v>0.1869</v>
      </c>
      <c r="E406" s="1" t="s">
        <v>53</v>
      </c>
    </row>
    <row r="407" customFormat="false" ht="12.8" hidden="false" customHeight="false" outlineLevel="0" collapsed="false">
      <c r="B407" s="71" t="n">
        <v>36</v>
      </c>
      <c r="C407" s="60" t="s">
        <v>56</v>
      </c>
      <c r="D407" s="1" t="n">
        <v>0.182</v>
      </c>
      <c r="E407" s="1" t="s">
        <v>53</v>
      </c>
    </row>
    <row r="408" customFormat="false" ht="12.8" hidden="false" customHeight="false" outlineLevel="0" collapsed="false">
      <c r="B408" s="71" t="n">
        <v>36</v>
      </c>
      <c r="C408" s="60" t="s">
        <v>62</v>
      </c>
      <c r="D408" s="1" t="n">
        <v>0.1752</v>
      </c>
      <c r="E408" s="1" t="s">
        <v>53</v>
      </c>
    </row>
    <row r="409" customFormat="false" ht="12.8" hidden="false" customHeight="false" outlineLevel="0" collapsed="false">
      <c r="B409" s="71" t="n">
        <v>36</v>
      </c>
      <c r="C409" s="60" t="s">
        <v>55</v>
      </c>
      <c r="D409" s="1" t="n">
        <v>0.1671</v>
      </c>
      <c r="E409" s="1" t="s">
        <v>53</v>
      </c>
    </row>
    <row r="410" customFormat="false" ht="12.8" hidden="false" customHeight="false" outlineLevel="0" collapsed="false">
      <c r="B410" s="71" t="n">
        <v>36</v>
      </c>
      <c r="C410" s="60" t="s">
        <v>58</v>
      </c>
      <c r="D410" s="1" t="n">
        <v>0.1</v>
      </c>
      <c r="E410" s="1" t="s">
        <v>53</v>
      </c>
    </row>
    <row r="411" customFormat="false" ht="12.8" hidden="false" customHeight="false" outlineLevel="0" collapsed="false">
      <c r="B411" s="71" t="n">
        <v>38</v>
      </c>
      <c r="C411" s="60" t="s">
        <v>48</v>
      </c>
      <c r="D411" s="1" t="n">
        <v>0.1921</v>
      </c>
      <c r="E411" s="1" t="s">
        <v>53</v>
      </c>
    </row>
    <row r="412" customFormat="false" ht="12.8" hidden="false" customHeight="false" outlineLevel="0" collapsed="false">
      <c r="B412" s="71" t="n">
        <v>38</v>
      </c>
      <c r="C412" s="60" t="s">
        <v>56</v>
      </c>
      <c r="D412" s="1" t="n">
        <v>0.1895</v>
      </c>
      <c r="E412" s="1" t="s">
        <v>53</v>
      </c>
    </row>
    <row r="413" customFormat="false" ht="12.8" hidden="false" customHeight="false" outlineLevel="0" collapsed="false">
      <c r="B413" s="71" t="n">
        <v>38</v>
      </c>
      <c r="C413" s="60" t="s">
        <v>57</v>
      </c>
      <c r="D413" s="1" t="n">
        <v>0.1744</v>
      </c>
      <c r="E413" s="1" t="s">
        <v>53</v>
      </c>
    </row>
    <row r="414" customFormat="false" ht="12.8" hidden="false" customHeight="false" outlineLevel="0" collapsed="false">
      <c r="B414" s="71" t="n">
        <v>38</v>
      </c>
      <c r="C414" s="60" t="s">
        <v>55</v>
      </c>
      <c r="D414" s="1" t="n">
        <v>0.172</v>
      </c>
      <c r="E414" s="1" t="s">
        <v>53</v>
      </c>
    </row>
    <row r="415" customFormat="false" ht="12.8" hidden="false" customHeight="false" outlineLevel="0" collapsed="false">
      <c r="B415" s="71" t="n">
        <v>38</v>
      </c>
      <c r="C415" s="60" t="s">
        <v>60</v>
      </c>
      <c r="D415" s="1" t="n">
        <v>0.1719</v>
      </c>
      <c r="E415" s="1" t="s">
        <v>53</v>
      </c>
    </row>
    <row r="416" customFormat="false" ht="12.8" hidden="false" customHeight="false" outlineLevel="0" collapsed="false">
      <c r="B416" s="71" t="n">
        <v>38</v>
      </c>
      <c r="C416" s="60" t="s">
        <v>58</v>
      </c>
      <c r="D416" s="1" t="n">
        <v>0.1</v>
      </c>
      <c r="E416" s="1" t="s">
        <v>53</v>
      </c>
    </row>
    <row r="417" customFormat="false" ht="12.8" hidden="false" customHeight="false" outlineLevel="0" collapsed="false">
      <c r="B417" s="71" t="n">
        <v>40</v>
      </c>
      <c r="C417" s="60" t="s">
        <v>48</v>
      </c>
      <c r="D417" s="1" t="n">
        <v>0.327</v>
      </c>
      <c r="E417" s="1" t="s">
        <v>53</v>
      </c>
    </row>
    <row r="418" customFormat="false" ht="12.8" hidden="false" customHeight="false" outlineLevel="0" collapsed="false">
      <c r="B418" s="71" t="n">
        <v>40</v>
      </c>
      <c r="C418" s="60" t="s">
        <v>57</v>
      </c>
      <c r="D418" s="1" t="n">
        <v>0.2985</v>
      </c>
      <c r="E418" s="1" t="s">
        <v>53</v>
      </c>
    </row>
    <row r="419" customFormat="false" ht="12.8" hidden="false" customHeight="false" outlineLevel="0" collapsed="false">
      <c r="B419" s="71" t="n">
        <v>40</v>
      </c>
      <c r="C419" s="60" t="s">
        <v>55</v>
      </c>
      <c r="D419" s="1" t="n">
        <v>0.2745</v>
      </c>
      <c r="E419" s="1" t="s">
        <v>53</v>
      </c>
    </row>
    <row r="420" customFormat="false" ht="12.8" hidden="false" customHeight="false" outlineLevel="0" collapsed="false">
      <c r="B420" s="71" t="n">
        <v>40</v>
      </c>
      <c r="C420" s="60" t="s">
        <v>58</v>
      </c>
      <c r="D420" s="1" t="n">
        <v>0.1</v>
      </c>
      <c r="E420" s="1" t="s">
        <v>53</v>
      </c>
    </row>
    <row r="421" customFormat="false" ht="12.8" hidden="false" customHeight="false" outlineLevel="0" collapsed="false">
      <c r="B421" s="71" t="n">
        <v>42</v>
      </c>
      <c r="C421" s="60" t="s">
        <v>60</v>
      </c>
      <c r="D421" s="1" t="n">
        <v>0.1946</v>
      </c>
      <c r="E421" s="1" t="s">
        <v>53</v>
      </c>
    </row>
    <row r="422" customFormat="false" ht="12.8" hidden="false" customHeight="false" outlineLevel="0" collapsed="false">
      <c r="B422" s="71" t="n">
        <v>42</v>
      </c>
      <c r="C422" s="60" t="s">
        <v>48</v>
      </c>
      <c r="D422" s="1" t="n">
        <v>0.1878</v>
      </c>
      <c r="E422" s="1" t="s">
        <v>53</v>
      </c>
    </row>
    <row r="423" customFormat="false" ht="12.8" hidden="false" customHeight="false" outlineLevel="0" collapsed="false">
      <c r="B423" s="71" t="n">
        <v>42</v>
      </c>
      <c r="C423" s="60" t="s">
        <v>57</v>
      </c>
      <c r="D423" s="1" t="n">
        <v>0.1788</v>
      </c>
      <c r="E423" s="1" t="s">
        <v>53</v>
      </c>
    </row>
    <row r="424" customFormat="false" ht="12.8" hidden="false" customHeight="false" outlineLevel="0" collapsed="false">
      <c r="B424" s="71" t="n">
        <v>42</v>
      </c>
      <c r="C424" s="60" t="s">
        <v>56</v>
      </c>
      <c r="D424" s="1" t="n">
        <v>0.1764</v>
      </c>
      <c r="E424" s="1" t="s">
        <v>53</v>
      </c>
    </row>
    <row r="425" customFormat="false" ht="12.8" hidden="false" customHeight="false" outlineLevel="0" collapsed="false">
      <c r="B425" s="71" t="n">
        <v>42</v>
      </c>
      <c r="C425" s="60" t="s">
        <v>55</v>
      </c>
      <c r="D425" s="1" t="n">
        <v>0.1624</v>
      </c>
      <c r="E425" s="1" t="s">
        <v>53</v>
      </c>
    </row>
    <row r="426" customFormat="false" ht="12.8" hidden="false" customHeight="false" outlineLevel="0" collapsed="false">
      <c r="B426" s="71" t="n">
        <v>42</v>
      </c>
      <c r="C426" s="60" t="s">
        <v>58</v>
      </c>
      <c r="D426" s="1" t="n">
        <v>0.1</v>
      </c>
      <c r="E426" s="1" t="s">
        <v>53</v>
      </c>
    </row>
    <row r="427" customFormat="false" ht="12.8" hidden="false" customHeight="false" outlineLevel="0" collapsed="false">
      <c r="B427" s="71" t="n">
        <v>44</v>
      </c>
      <c r="C427" s="60" t="s">
        <v>60</v>
      </c>
      <c r="D427" s="1" t="n">
        <v>0.1879</v>
      </c>
      <c r="E427" s="1" t="s">
        <v>53</v>
      </c>
    </row>
    <row r="428" customFormat="false" ht="12.8" hidden="false" customHeight="false" outlineLevel="0" collapsed="false">
      <c r="B428" s="71" t="n">
        <v>44</v>
      </c>
      <c r="C428" s="60" t="s">
        <v>59</v>
      </c>
      <c r="D428" s="1" t="n">
        <v>0.1828</v>
      </c>
      <c r="E428" s="1" t="s">
        <v>53</v>
      </c>
    </row>
    <row r="429" customFormat="false" ht="12.8" hidden="false" customHeight="false" outlineLevel="0" collapsed="false">
      <c r="B429" s="71" t="n">
        <v>44</v>
      </c>
      <c r="C429" s="60" t="s">
        <v>48</v>
      </c>
      <c r="D429" s="1" t="n">
        <v>0.1823</v>
      </c>
      <c r="E429" s="1" t="s">
        <v>53</v>
      </c>
    </row>
    <row r="430" customFormat="false" ht="12.8" hidden="false" customHeight="false" outlineLevel="0" collapsed="false">
      <c r="B430" s="71" t="n">
        <v>44</v>
      </c>
      <c r="C430" s="60" t="s">
        <v>56</v>
      </c>
      <c r="D430" s="1" t="n">
        <v>0.1758</v>
      </c>
      <c r="E430" s="1" t="s">
        <v>53</v>
      </c>
    </row>
    <row r="431" customFormat="false" ht="12.8" hidden="false" customHeight="false" outlineLevel="0" collapsed="false">
      <c r="B431" s="71" t="n">
        <v>44</v>
      </c>
      <c r="C431" s="60" t="s">
        <v>62</v>
      </c>
      <c r="D431" s="1" t="n">
        <v>0.1712</v>
      </c>
      <c r="E431" s="1" t="s">
        <v>53</v>
      </c>
    </row>
    <row r="432" customFormat="false" ht="12.8" hidden="false" customHeight="false" outlineLevel="0" collapsed="false">
      <c r="B432" s="71" t="n">
        <v>44</v>
      </c>
      <c r="C432" s="60" t="s">
        <v>58</v>
      </c>
      <c r="D432" s="1" t="n">
        <v>0.1</v>
      </c>
      <c r="E432" s="1" t="s">
        <v>53</v>
      </c>
    </row>
    <row r="433" customFormat="false" ht="12.8" hidden="false" customHeight="false" outlineLevel="0" collapsed="false">
      <c r="B433" s="71" t="n">
        <v>46</v>
      </c>
      <c r="C433" s="60" t="s">
        <v>48</v>
      </c>
      <c r="D433" s="1" t="n">
        <v>0.241</v>
      </c>
      <c r="E433" s="1" t="s">
        <v>53</v>
      </c>
    </row>
    <row r="434" customFormat="false" ht="12.8" hidden="false" customHeight="false" outlineLevel="0" collapsed="false">
      <c r="B434" s="71" t="n">
        <v>46</v>
      </c>
      <c r="C434" s="60" t="s">
        <v>59</v>
      </c>
      <c r="D434" s="1" t="n">
        <v>0.2267</v>
      </c>
      <c r="E434" s="1" t="s">
        <v>53</v>
      </c>
    </row>
    <row r="435" customFormat="false" ht="12.8" hidden="false" customHeight="false" outlineLevel="0" collapsed="false">
      <c r="B435" s="71" t="n">
        <v>46</v>
      </c>
      <c r="C435" s="60" t="s">
        <v>60</v>
      </c>
      <c r="D435" s="1" t="n">
        <v>0.2163</v>
      </c>
      <c r="E435" s="1" t="s">
        <v>53</v>
      </c>
    </row>
    <row r="436" customFormat="false" ht="12.8" hidden="false" customHeight="false" outlineLevel="0" collapsed="false">
      <c r="B436" s="71" t="n">
        <v>46</v>
      </c>
      <c r="C436" s="60" t="s">
        <v>55</v>
      </c>
      <c r="D436" s="1" t="n">
        <v>0.2161</v>
      </c>
      <c r="E436" s="1" t="s">
        <v>53</v>
      </c>
    </row>
    <row r="437" customFormat="false" ht="12.8" hidden="false" customHeight="false" outlineLevel="0" collapsed="false">
      <c r="B437" s="71" t="n">
        <v>46</v>
      </c>
      <c r="C437" s="60" t="s">
        <v>58</v>
      </c>
      <c r="D437" s="1" t="n">
        <v>0.1</v>
      </c>
      <c r="E437" s="1" t="s">
        <v>53</v>
      </c>
    </row>
    <row r="438" customFormat="false" ht="12.8" hidden="false" customHeight="false" outlineLevel="0" collapsed="false">
      <c r="B438" s="71" t="n">
        <v>48</v>
      </c>
      <c r="C438" s="60" t="s">
        <v>48</v>
      </c>
      <c r="D438" s="1" t="n">
        <v>0.2295</v>
      </c>
      <c r="E438" s="1" t="s">
        <v>53</v>
      </c>
    </row>
    <row r="439" customFormat="false" ht="12.8" hidden="false" customHeight="false" outlineLevel="0" collapsed="false">
      <c r="B439" s="71" t="n">
        <v>48</v>
      </c>
      <c r="C439" s="60" t="s">
        <v>56</v>
      </c>
      <c r="D439" s="1" t="n">
        <v>0.1814</v>
      </c>
      <c r="E439" s="1" t="s">
        <v>53</v>
      </c>
    </row>
    <row r="440" customFormat="false" ht="12.8" hidden="false" customHeight="false" outlineLevel="0" collapsed="false">
      <c r="B440" s="71" t="n">
        <v>48</v>
      </c>
      <c r="C440" s="60" t="s">
        <v>60</v>
      </c>
      <c r="D440" s="1" t="n">
        <v>0.167</v>
      </c>
      <c r="E440" s="1" t="s">
        <v>53</v>
      </c>
    </row>
    <row r="441" customFormat="false" ht="12.8" hidden="false" customHeight="false" outlineLevel="0" collapsed="false">
      <c r="B441" s="71" t="n">
        <v>48</v>
      </c>
      <c r="C441" s="60" t="s">
        <v>59</v>
      </c>
      <c r="D441" s="1" t="n">
        <v>0.1616</v>
      </c>
      <c r="E441" s="1" t="s">
        <v>53</v>
      </c>
    </row>
    <row r="442" customFormat="false" ht="12.8" hidden="false" customHeight="false" outlineLevel="0" collapsed="false">
      <c r="B442" s="71" t="n">
        <v>48</v>
      </c>
      <c r="C442" s="60" t="s">
        <v>57</v>
      </c>
      <c r="D442" s="1" t="n">
        <v>0.1605</v>
      </c>
      <c r="E442" s="1" t="s">
        <v>53</v>
      </c>
    </row>
    <row r="443" customFormat="false" ht="12.8" hidden="false" customHeight="false" outlineLevel="0" collapsed="false">
      <c r="B443" s="71" t="n">
        <v>48</v>
      </c>
      <c r="C443" s="60" t="s">
        <v>58</v>
      </c>
      <c r="D443" s="1" t="n">
        <v>0.1</v>
      </c>
      <c r="E443" s="1" t="s">
        <v>53</v>
      </c>
    </row>
    <row r="444" customFormat="false" ht="12.8" hidden="false" customHeight="false" outlineLevel="0" collapsed="false">
      <c r="B444" s="71" t="n">
        <v>0</v>
      </c>
      <c r="C444" s="60" t="s">
        <v>48</v>
      </c>
      <c r="D444" s="1" t="n">
        <v>0.2132</v>
      </c>
      <c r="E444" s="1" t="s">
        <v>54</v>
      </c>
    </row>
    <row r="445" customFormat="false" ht="12.8" hidden="false" customHeight="false" outlineLevel="0" collapsed="false">
      <c r="B445" s="71" t="n">
        <v>0</v>
      </c>
      <c r="C445" s="60" t="s">
        <v>56</v>
      </c>
      <c r="D445" s="1" t="n">
        <v>0.191</v>
      </c>
      <c r="E445" s="1" t="s">
        <v>54</v>
      </c>
    </row>
    <row r="446" customFormat="false" ht="12.8" hidden="false" customHeight="false" outlineLevel="0" collapsed="false">
      <c r="B446" s="71" t="n">
        <v>0</v>
      </c>
      <c r="C446" s="60" t="s">
        <v>57</v>
      </c>
      <c r="D446" s="1" t="n">
        <v>0.1783</v>
      </c>
      <c r="E446" s="1" t="s">
        <v>54</v>
      </c>
    </row>
    <row r="447" customFormat="false" ht="12.8" hidden="false" customHeight="false" outlineLevel="0" collapsed="false">
      <c r="B447" s="71" t="n">
        <v>0</v>
      </c>
      <c r="C447" s="60" t="s">
        <v>51</v>
      </c>
      <c r="D447" s="1" t="n">
        <v>0.1622</v>
      </c>
      <c r="E447" s="1" t="s">
        <v>54</v>
      </c>
    </row>
    <row r="448" customFormat="false" ht="12.8" hidden="false" customHeight="false" outlineLevel="0" collapsed="false">
      <c r="B448" s="71" t="n">
        <v>0</v>
      </c>
      <c r="C448" s="60" t="s">
        <v>62</v>
      </c>
      <c r="D448" s="1" t="n">
        <v>0.1553</v>
      </c>
      <c r="E448" s="1" t="s">
        <v>54</v>
      </c>
    </row>
    <row r="449" customFormat="false" ht="12.8" hidden="false" customHeight="false" outlineLevel="0" collapsed="false">
      <c r="B449" s="71" t="n">
        <v>0</v>
      </c>
      <c r="C449" s="60" t="s">
        <v>58</v>
      </c>
      <c r="D449" s="1" t="n">
        <v>0.1</v>
      </c>
      <c r="E449" s="1" t="s">
        <v>54</v>
      </c>
    </row>
    <row r="450" customFormat="false" ht="12.8" hidden="false" customHeight="false" outlineLevel="0" collapsed="false">
      <c r="B450" s="71" t="n">
        <v>2</v>
      </c>
      <c r="C450" s="60" t="s">
        <v>48</v>
      </c>
      <c r="D450" s="1" t="n">
        <v>0.2164</v>
      </c>
      <c r="E450" s="1" t="s">
        <v>54</v>
      </c>
    </row>
    <row r="451" customFormat="false" ht="12.8" hidden="false" customHeight="false" outlineLevel="0" collapsed="false">
      <c r="B451" s="71" t="n">
        <v>2</v>
      </c>
      <c r="C451" s="60" t="s">
        <v>56</v>
      </c>
      <c r="D451" s="1" t="n">
        <v>0.1772</v>
      </c>
      <c r="E451" s="1" t="s">
        <v>54</v>
      </c>
    </row>
    <row r="452" customFormat="false" ht="12.8" hidden="false" customHeight="false" outlineLevel="0" collapsed="false">
      <c r="B452" s="71" t="n">
        <v>2</v>
      </c>
      <c r="C452" s="60" t="s">
        <v>57</v>
      </c>
      <c r="D452" s="1" t="n">
        <v>0.1767</v>
      </c>
      <c r="E452" s="1" t="s">
        <v>54</v>
      </c>
    </row>
    <row r="453" customFormat="false" ht="12.8" hidden="false" customHeight="false" outlineLevel="0" collapsed="false">
      <c r="B453" s="71" t="n">
        <v>2</v>
      </c>
      <c r="C453" s="60" t="s">
        <v>59</v>
      </c>
      <c r="D453" s="1" t="n">
        <v>0.165</v>
      </c>
      <c r="E453" s="1" t="s">
        <v>54</v>
      </c>
    </row>
    <row r="454" customFormat="false" ht="12.8" hidden="false" customHeight="false" outlineLevel="0" collapsed="false">
      <c r="B454" s="71" t="n">
        <v>2</v>
      </c>
      <c r="C454" s="60" t="s">
        <v>62</v>
      </c>
      <c r="D454" s="1" t="n">
        <v>0.1647</v>
      </c>
      <c r="E454" s="1" t="s">
        <v>54</v>
      </c>
    </row>
    <row r="455" customFormat="false" ht="12.8" hidden="false" customHeight="false" outlineLevel="0" collapsed="false">
      <c r="B455" s="71" t="n">
        <v>2</v>
      </c>
      <c r="C455" s="60" t="s">
        <v>58</v>
      </c>
      <c r="D455" s="1" t="n">
        <v>0.1</v>
      </c>
      <c r="E455" s="1" t="s">
        <v>54</v>
      </c>
    </row>
    <row r="456" customFormat="false" ht="12.8" hidden="false" customHeight="false" outlineLevel="0" collapsed="false">
      <c r="B456" s="71" t="n">
        <v>4</v>
      </c>
      <c r="C456" s="60" t="s">
        <v>48</v>
      </c>
      <c r="D456" s="1" t="n">
        <v>0.2034</v>
      </c>
      <c r="E456" s="1" t="s">
        <v>54</v>
      </c>
    </row>
    <row r="457" customFormat="false" ht="12.8" hidden="false" customHeight="false" outlineLevel="0" collapsed="false">
      <c r="B457" s="71" t="n">
        <v>4</v>
      </c>
      <c r="C457" s="60" t="s">
        <v>55</v>
      </c>
      <c r="D457" s="1" t="n">
        <v>0.1946</v>
      </c>
      <c r="E457" s="1" t="s">
        <v>54</v>
      </c>
    </row>
    <row r="458" customFormat="false" ht="12.8" hidden="false" customHeight="false" outlineLevel="0" collapsed="false">
      <c r="B458" s="71" t="n">
        <v>4</v>
      </c>
      <c r="C458" s="60" t="s">
        <v>57</v>
      </c>
      <c r="D458" s="1" t="n">
        <v>0.1736</v>
      </c>
      <c r="E458" s="1" t="s">
        <v>54</v>
      </c>
    </row>
    <row r="459" customFormat="false" ht="12.8" hidden="false" customHeight="false" outlineLevel="0" collapsed="false">
      <c r="B459" s="71" t="n">
        <v>4</v>
      </c>
      <c r="C459" s="60" t="s">
        <v>59</v>
      </c>
      <c r="D459" s="1" t="n">
        <v>0.1705</v>
      </c>
      <c r="E459" s="1" t="s">
        <v>54</v>
      </c>
    </row>
    <row r="460" customFormat="false" ht="12.8" hidden="false" customHeight="false" outlineLevel="0" collapsed="false">
      <c r="B460" s="71" t="n">
        <v>4</v>
      </c>
      <c r="C460" s="60" t="s">
        <v>56</v>
      </c>
      <c r="D460" s="1" t="n">
        <v>0.1579</v>
      </c>
      <c r="E460" s="1" t="s">
        <v>54</v>
      </c>
    </row>
    <row r="461" customFormat="false" ht="12.8" hidden="false" customHeight="false" outlineLevel="0" collapsed="false">
      <c r="B461" s="71" t="n">
        <v>4</v>
      </c>
      <c r="C461" s="60" t="s">
        <v>58</v>
      </c>
      <c r="D461" s="1" t="n">
        <v>0.1</v>
      </c>
      <c r="E461" s="1" t="s">
        <v>54</v>
      </c>
    </row>
    <row r="462" customFormat="false" ht="12.8" hidden="false" customHeight="false" outlineLevel="0" collapsed="false">
      <c r="B462" s="71" t="n">
        <v>6</v>
      </c>
      <c r="C462" s="60" t="s">
        <v>48</v>
      </c>
      <c r="D462" s="1" t="n">
        <v>0.1956</v>
      </c>
      <c r="E462" s="1" t="s">
        <v>54</v>
      </c>
    </row>
    <row r="463" customFormat="false" ht="12.8" hidden="false" customHeight="false" outlineLevel="0" collapsed="false">
      <c r="B463" s="71" t="n">
        <v>6</v>
      </c>
      <c r="C463" s="60" t="s">
        <v>56</v>
      </c>
      <c r="D463" s="1" t="n">
        <v>0.1792</v>
      </c>
      <c r="E463" s="1" t="s">
        <v>54</v>
      </c>
    </row>
    <row r="464" customFormat="false" ht="12.8" hidden="false" customHeight="false" outlineLevel="0" collapsed="false">
      <c r="B464" s="71" t="n">
        <v>6</v>
      </c>
      <c r="C464" s="60" t="s">
        <v>57</v>
      </c>
      <c r="D464" s="1" t="n">
        <v>0.1775</v>
      </c>
      <c r="E464" s="1" t="s">
        <v>54</v>
      </c>
    </row>
    <row r="465" customFormat="false" ht="12.8" hidden="false" customHeight="false" outlineLevel="0" collapsed="false">
      <c r="B465" s="71" t="n">
        <v>6</v>
      </c>
      <c r="C465" s="60" t="s">
        <v>51</v>
      </c>
      <c r="D465" s="1" t="n">
        <v>0.1748</v>
      </c>
      <c r="E465" s="1" t="s">
        <v>54</v>
      </c>
    </row>
    <row r="466" customFormat="false" ht="12.8" hidden="false" customHeight="false" outlineLevel="0" collapsed="false">
      <c r="B466" s="71" t="n">
        <v>6</v>
      </c>
      <c r="C466" s="60" t="s">
        <v>59</v>
      </c>
      <c r="D466" s="1" t="n">
        <v>0.1729</v>
      </c>
      <c r="E466" s="1" t="s">
        <v>54</v>
      </c>
    </row>
    <row r="467" customFormat="false" ht="12.8" hidden="false" customHeight="false" outlineLevel="0" collapsed="false">
      <c r="B467" s="71" t="n">
        <v>6</v>
      </c>
      <c r="C467" s="60" t="s">
        <v>58</v>
      </c>
      <c r="D467" s="1" t="n">
        <v>0.1</v>
      </c>
      <c r="E467" s="1" t="s">
        <v>54</v>
      </c>
    </row>
    <row r="468" customFormat="false" ht="12.8" hidden="false" customHeight="false" outlineLevel="0" collapsed="false">
      <c r="B468" s="71" t="n">
        <v>8</v>
      </c>
      <c r="C468" s="60" t="s">
        <v>48</v>
      </c>
      <c r="D468" s="1" t="n">
        <v>0.2239</v>
      </c>
      <c r="E468" s="1" t="s">
        <v>54</v>
      </c>
    </row>
    <row r="469" customFormat="false" ht="12.8" hidden="false" customHeight="false" outlineLevel="0" collapsed="false">
      <c r="B469" s="71" t="n">
        <v>8</v>
      </c>
      <c r="C469" s="60" t="s">
        <v>56</v>
      </c>
      <c r="D469" s="1" t="n">
        <v>0.1777</v>
      </c>
      <c r="E469" s="1" t="s">
        <v>54</v>
      </c>
    </row>
    <row r="470" customFormat="false" ht="12.8" hidden="false" customHeight="false" outlineLevel="0" collapsed="false">
      <c r="B470" s="71" t="n">
        <v>8</v>
      </c>
      <c r="C470" s="60" t="s">
        <v>57</v>
      </c>
      <c r="D470" s="1" t="n">
        <v>0.1708</v>
      </c>
      <c r="E470" s="1" t="s">
        <v>54</v>
      </c>
    </row>
    <row r="471" customFormat="false" ht="12.8" hidden="false" customHeight="false" outlineLevel="0" collapsed="false">
      <c r="B471" s="71" t="n">
        <v>8</v>
      </c>
      <c r="C471" s="60" t="s">
        <v>60</v>
      </c>
      <c r="D471" s="1" t="n">
        <v>0.1645</v>
      </c>
      <c r="E471" s="1" t="s">
        <v>54</v>
      </c>
    </row>
    <row r="472" customFormat="false" ht="12.8" hidden="false" customHeight="false" outlineLevel="0" collapsed="false">
      <c r="B472" s="71" t="n">
        <v>8</v>
      </c>
      <c r="C472" s="60" t="s">
        <v>64</v>
      </c>
      <c r="D472" s="1" t="n">
        <v>0.163</v>
      </c>
      <c r="E472" s="1" t="s">
        <v>54</v>
      </c>
    </row>
    <row r="473" customFormat="false" ht="12.8" hidden="false" customHeight="false" outlineLevel="0" collapsed="false">
      <c r="B473" s="71" t="n">
        <v>8</v>
      </c>
      <c r="C473" s="60" t="s">
        <v>58</v>
      </c>
      <c r="D473" s="1" t="n">
        <v>0.1</v>
      </c>
      <c r="E473" s="1" t="s">
        <v>54</v>
      </c>
    </row>
    <row r="474" customFormat="false" ht="12.8" hidden="false" customHeight="false" outlineLevel="0" collapsed="false">
      <c r="B474" s="71" t="n">
        <v>10</v>
      </c>
      <c r="C474" s="60" t="s">
        <v>48</v>
      </c>
      <c r="D474" s="1" t="n">
        <v>0.2186</v>
      </c>
      <c r="E474" s="1" t="s">
        <v>54</v>
      </c>
    </row>
    <row r="475" customFormat="false" ht="12.8" hidden="false" customHeight="false" outlineLevel="0" collapsed="false">
      <c r="B475" s="71" t="n">
        <v>10</v>
      </c>
      <c r="C475" s="60" t="s">
        <v>56</v>
      </c>
      <c r="D475" s="1" t="n">
        <v>0.1819</v>
      </c>
      <c r="E475" s="1" t="s">
        <v>54</v>
      </c>
    </row>
    <row r="476" customFormat="false" ht="12.8" hidden="false" customHeight="false" outlineLevel="0" collapsed="false">
      <c r="B476" s="71" t="n">
        <v>10</v>
      </c>
      <c r="C476" s="60" t="s">
        <v>59</v>
      </c>
      <c r="D476" s="1" t="n">
        <v>0.1726</v>
      </c>
      <c r="E476" s="1" t="s">
        <v>54</v>
      </c>
    </row>
    <row r="477" customFormat="false" ht="12.8" hidden="false" customHeight="false" outlineLevel="0" collapsed="false">
      <c r="B477" s="71" t="n">
        <v>10</v>
      </c>
      <c r="C477" s="60" t="s">
        <v>64</v>
      </c>
      <c r="D477" s="1" t="n">
        <v>0.1673</v>
      </c>
      <c r="E477" s="1" t="s">
        <v>54</v>
      </c>
    </row>
    <row r="478" customFormat="false" ht="12.8" hidden="false" customHeight="false" outlineLevel="0" collapsed="false">
      <c r="B478" s="71" t="n">
        <v>10</v>
      </c>
      <c r="C478" s="60" t="s">
        <v>55</v>
      </c>
      <c r="D478" s="1" t="n">
        <v>0.1596</v>
      </c>
      <c r="E478" s="1" t="s">
        <v>54</v>
      </c>
    </row>
    <row r="479" customFormat="false" ht="12.8" hidden="false" customHeight="false" outlineLevel="0" collapsed="false">
      <c r="B479" s="71" t="n">
        <v>10</v>
      </c>
      <c r="C479" s="60" t="s">
        <v>58</v>
      </c>
      <c r="D479" s="1" t="n">
        <v>0.1</v>
      </c>
      <c r="E479" s="1" t="s">
        <v>54</v>
      </c>
    </row>
    <row r="480" customFormat="false" ht="12.8" hidden="false" customHeight="false" outlineLevel="0" collapsed="false">
      <c r="B480" s="71" t="n">
        <v>12</v>
      </c>
      <c r="C480" s="60" t="s">
        <v>48</v>
      </c>
      <c r="D480" s="1" t="n">
        <v>0.2105</v>
      </c>
      <c r="E480" s="1" t="s">
        <v>54</v>
      </c>
    </row>
    <row r="481" customFormat="false" ht="12.8" hidden="false" customHeight="false" outlineLevel="0" collapsed="false">
      <c r="B481" s="71" t="n">
        <v>12</v>
      </c>
      <c r="C481" s="60" t="s">
        <v>59</v>
      </c>
      <c r="D481" s="1" t="n">
        <v>0.1755</v>
      </c>
      <c r="E481" s="1" t="s">
        <v>54</v>
      </c>
    </row>
    <row r="482" customFormat="false" ht="12.8" hidden="false" customHeight="false" outlineLevel="0" collapsed="false">
      <c r="B482" s="71" t="n">
        <v>12</v>
      </c>
      <c r="C482" s="60" t="s">
        <v>56</v>
      </c>
      <c r="D482" s="1" t="n">
        <v>0.1755</v>
      </c>
      <c r="E482" s="1" t="s">
        <v>54</v>
      </c>
    </row>
    <row r="483" customFormat="false" ht="12.8" hidden="false" customHeight="false" outlineLevel="0" collapsed="false">
      <c r="B483" s="71" t="n">
        <v>12</v>
      </c>
      <c r="C483" s="60" t="s">
        <v>57</v>
      </c>
      <c r="D483" s="1" t="n">
        <v>0.1722</v>
      </c>
      <c r="E483" s="1" t="s">
        <v>54</v>
      </c>
    </row>
    <row r="484" customFormat="false" ht="12.8" hidden="false" customHeight="false" outlineLevel="0" collapsed="false">
      <c r="B484" s="71" t="n">
        <v>12</v>
      </c>
      <c r="C484" s="60" t="s">
        <v>55</v>
      </c>
      <c r="D484" s="1" t="n">
        <v>0.1663</v>
      </c>
      <c r="E484" s="1" t="s">
        <v>54</v>
      </c>
    </row>
    <row r="485" customFormat="false" ht="12.8" hidden="false" customHeight="false" outlineLevel="0" collapsed="false">
      <c r="B485" s="71" t="n">
        <v>12</v>
      </c>
      <c r="C485" s="60" t="s">
        <v>58</v>
      </c>
      <c r="D485" s="1" t="n">
        <v>0.1</v>
      </c>
      <c r="E485" s="1" t="s">
        <v>54</v>
      </c>
    </row>
    <row r="486" customFormat="false" ht="12.8" hidden="false" customHeight="false" outlineLevel="0" collapsed="false">
      <c r="B486" s="71" t="n">
        <v>14</v>
      </c>
      <c r="C486" s="60" t="s">
        <v>48</v>
      </c>
      <c r="D486" s="1" t="n">
        <v>0.1983</v>
      </c>
      <c r="E486" s="1" t="s">
        <v>54</v>
      </c>
    </row>
    <row r="487" customFormat="false" ht="12.8" hidden="false" customHeight="false" outlineLevel="0" collapsed="false">
      <c r="B487" s="71" t="n">
        <v>14</v>
      </c>
      <c r="C487" s="60" t="s">
        <v>56</v>
      </c>
      <c r="D487" s="1" t="n">
        <v>0.1808</v>
      </c>
      <c r="E487" s="1" t="s">
        <v>54</v>
      </c>
    </row>
    <row r="488" customFormat="false" ht="12.8" hidden="false" customHeight="false" outlineLevel="0" collapsed="false">
      <c r="B488" s="71" t="n">
        <v>14</v>
      </c>
      <c r="C488" s="60" t="s">
        <v>57</v>
      </c>
      <c r="D488" s="1" t="n">
        <v>0.1772</v>
      </c>
      <c r="E488" s="1" t="s">
        <v>54</v>
      </c>
    </row>
    <row r="489" customFormat="false" ht="12.8" hidden="false" customHeight="false" outlineLevel="0" collapsed="false">
      <c r="B489" s="71" t="n">
        <v>14</v>
      </c>
      <c r="C489" s="60" t="s">
        <v>62</v>
      </c>
      <c r="D489" s="1" t="n">
        <v>0.1726</v>
      </c>
      <c r="E489" s="1" t="s">
        <v>54</v>
      </c>
    </row>
    <row r="490" customFormat="false" ht="12.8" hidden="false" customHeight="false" outlineLevel="0" collapsed="false">
      <c r="B490" s="71" t="n">
        <v>14</v>
      </c>
      <c r="C490" s="60" t="s">
        <v>60</v>
      </c>
      <c r="D490" s="1" t="n">
        <v>0.1712</v>
      </c>
      <c r="E490" s="1" t="s">
        <v>54</v>
      </c>
    </row>
    <row r="491" customFormat="false" ht="12.8" hidden="false" customHeight="false" outlineLevel="0" collapsed="false">
      <c r="B491" s="71" t="n">
        <v>14</v>
      </c>
      <c r="C491" s="60" t="s">
        <v>58</v>
      </c>
      <c r="D491" s="1" t="n">
        <v>0.1</v>
      </c>
      <c r="E491" s="1" t="s">
        <v>54</v>
      </c>
    </row>
    <row r="492" customFormat="false" ht="12.8" hidden="false" customHeight="false" outlineLevel="0" collapsed="false">
      <c r="B492" s="71" t="n">
        <v>16</v>
      </c>
      <c r="C492" s="60" t="s">
        <v>48</v>
      </c>
      <c r="D492" s="1" t="n">
        <v>0.1898</v>
      </c>
      <c r="E492" s="1" t="s">
        <v>54</v>
      </c>
    </row>
    <row r="493" customFormat="false" ht="12.8" hidden="false" customHeight="false" outlineLevel="0" collapsed="false">
      <c r="B493" s="71" t="n">
        <v>16</v>
      </c>
      <c r="C493" s="60" t="s">
        <v>56</v>
      </c>
      <c r="D493" s="1" t="n">
        <v>0.18</v>
      </c>
      <c r="E493" s="1" t="s">
        <v>54</v>
      </c>
    </row>
    <row r="494" customFormat="false" ht="12.8" hidden="false" customHeight="false" outlineLevel="0" collapsed="false">
      <c r="B494" s="71" t="n">
        <v>16</v>
      </c>
      <c r="C494" s="60" t="s">
        <v>55</v>
      </c>
      <c r="D494" s="1" t="n">
        <v>0.1785</v>
      </c>
      <c r="E494" s="1" t="s">
        <v>54</v>
      </c>
    </row>
    <row r="495" customFormat="false" ht="12.8" hidden="false" customHeight="false" outlineLevel="0" collapsed="false">
      <c r="B495" s="71" t="n">
        <v>16</v>
      </c>
      <c r="C495" s="60" t="s">
        <v>51</v>
      </c>
      <c r="D495" s="1" t="n">
        <v>0.1768</v>
      </c>
      <c r="E495" s="1" t="s">
        <v>54</v>
      </c>
    </row>
    <row r="496" customFormat="false" ht="12.8" hidden="false" customHeight="false" outlineLevel="0" collapsed="false">
      <c r="B496" s="71" t="n">
        <v>16</v>
      </c>
      <c r="C496" s="60" t="s">
        <v>65</v>
      </c>
      <c r="D496" s="1" t="n">
        <v>0.1749</v>
      </c>
      <c r="E496" s="1" t="s">
        <v>54</v>
      </c>
    </row>
    <row r="497" customFormat="false" ht="12.8" hidden="false" customHeight="false" outlineLevel="0" collapsed="false">
      <c r="B497" s="71" t="n">
        <v>16</v>
      </c>
      <c r="C497" s="60" t="s">
        <v>58</v>
      </c>
      <c r="D497" s="1" t="n">
        <v>0.1</v>
      </c>
      <c r="E497" s="1" t="s">
        <v>54</v>
      </c>
    </row>
    <row r="498" customFormat="false" ht="12.8" hidden="false" customHeight="false" outlineLevel="0" collapsed="false">
      <c r="B498" s="71" t="n">
        <v>18</v>
      </c>
      <c r="C498" s="60" t="s">
        <v>48</v>
      </c>
      <c r="D498" s="1" t="n">
        <v>0.1975</v>
      </c>
      <c r="E498" s="1" t="s">
        <v>54</v>
      </c>
    </row>
    <row r="499" customFormat="false" ht="12.8" hidden="false" customHeight="false" outlineLevel="0" collapsed="false">
      <c r="B499" s="71" t="n">
        <v>18</v>
      </c>
      <c r="C499" s="60" t="s">
        <v>56</v>
      </c>
      <c r="D499" s="1" t="n">
        <v>0.1834</v>
      </c>
      <c r="E499" s="1" t="s">
        <v>54</v>
      </c>
    </row>
    <row r="500" customFormat="false" ht="12.8" hidden="false" customHeight="false" outlineLevel="0" collapsed="false">
      <c r="B500" s="71" t="n">
        <v>18</v>
      </c>
      <c r="C500" s="60" t="s">
        <v>59</v>
      </c>
      <c r="D500" s="1" t="n">
        <v>0.1743</v>
      </c>
      <c r="E500" s="1" t="s">
        <v>54</v>
      </c>
    </row>
    <row r="501" customFormat="false" ht="12.8" hidden="false" customHeight="false" outlineLevel="0" collapsed="false">
      <c r="B501" s="71" t="n">
        <v>18</v>
      </c>
      <c r="C501" s="60" t="s">
        <v>51</v>
      </c>
      <c r="D501" s="1" t="n">
        <v>0.1733</v>
      </c>
      <c r="E501" s="1" t="s">
        <v>54</v>
      </c>
    </row>
    <row r="502" customFormat="false" ht="12.8" hidden="false" customHeight="false" outlineLevel="0" collapsed="false">
      <c r="B502" s="71" t="n">
        <v>18</v>
      </c>
      <c r="C502" s="60" t="s">
        <v>57</v>
      </c>
      <c r="D502" s="1" t="n">
        <v>0.1715</v>
      </c>
      <c r="E502" s="1" t="s">
        <v>54</v>
      </c>
    </row>
    <row r="503" customFormat="false" ht="12.8" hidden="false" customHeight="false" outlineLevel="0" collapsed="false">
      <c r="B503" s="71" t="n">
        <v>18</v>
      </c>
      <c r="C503" s="60" t="s">
        <v>58</v>
      </c>
      <c r="D503" s="1" t="n">
        <v>0.1</v>
      </c>
      <c r="E503" s="1" t="s">
        <v>54</v>
      </c>
    </row>
    <row r="504" customFormat="false" ht="12.8" hidden="false" customHeight="false" outlineLevel="0" collapsed="false">
      <c r="B504" s="71" t="n">
        <v>20</v>
      </c>
      <c r="C504" s="60" t="s">
        <v>48</v>
      </c>
      <c r="D504" s="1" t="n">
        <v>0.2035</v>
      </c>
      <c r="E504" s="1" t="s">
        <v>54</v>
      </c>
    </row>
    <row r="505" customFormat="false" ht="12.8" hidden="false" customHeight="false" outlineLevel="0" collapsed="false">
      <c r="B505" s="71" t="n">
        <v>20</v>
      </c>
      <c r="C505" s="60" t="s">
        <v>56</v>
      </c>
      <c r="D505" s="1" t="n">
        <v>0.1805</v>
      </c>
      <c r="E505" s="1" t="s">
        <v>54</v>
      </c>
    </row>
    <row r="506" customFormat="false" ht="12.8" hidden="false" customHeight="false" outlineLevel="0" collapsed="false">
      <c r="B506" s="71" t="n">
        <v>20</v>
      </c>
      <c r="C506" s="60" t="s">
        <v>55</v>
      </c>
      <c r="D506" s="1" t="n">
        <v>0.1735</v>
      </c>
      <c r="E506" s="1" t="s">
        <v>54</v>
      </c>
    </row>
    <row r="507" customFormat="false" ht="12.8" hidden="false" customHeight="false" outlineLevel="0" collapsed="false">
      <c r="B507" s="71" t="n">
        <v>20</v>
      </c>
      <c r="C507" s="60" t="s">
        <v>51</v>
      </c>
      <c r="D507" s="1" t="n">
        <v>0.1734</v>
      </c>
      <c r="E507" s="1" t="s">
        <v>54</v>
      </c>
    </row>
    <row r="508" customFormat="false" ht="12.8" hidden="false" customHeight="false" outlineLevel="0" collapsed="false">
      <c r="B508" s="71" t="n">
        <v>20</v>
      </c>
      <c r="C508" s="60" t="s">
        <v>57</v>
      </c>
      <c r="D508" s="1" t="n">
        <v>0.169</v>
      </c>
      <c r="E508" s="1" t="s">
        <v>54</v>
      </c>
    </row>
    <row r="509" customFormat="false" ht="12.8" hidden="false" customHeight="false" outlineLevel="0" collapsed="false">
      <c r="B509" s="71" t="n">
        <v>20</v>
      </c>
      <c r="C509" s="60" t="s">
        <v>58</v>
      </c>
      <c r="D509" s="1" t="n">
        <v>0.1</v>
      </c>
      <c r="E509" s="1" t="s">
        <v>54</v>
      </c>
    </row>
    <row r="510" customFormat="false" ht="12.8" hidden="false" customHeight="false" outlineLevel="0" collapsed="false">
      <c r="B510" s="71" t="n">
        <v>22</v>
      </c>
      <c r="C510" s="60" t="s">
        <v>48</v>
      </c>
      <c r="D510" s="1" t="n">
        <v>0.2187</v>
      </c>
      <c r="E510" s="1" t="s">
        <v>54</v>
      </c>
    </row>
    <row r="511" customFormat="false" ht="12.8" hidden="false" customHeight="false" outlineLevel="0" collapsed="false">
      <c r="B511" s="71" t="n">
        <v>22</v>
      </c>
      <c r="C511" s="60" t="s">
        <v>56</v>
      </c>
      <c r="D511" s="1" t="n">
        <v>0.1921</v>
      </c>
      <c r="E511" s="1" t="s">
        <v>54</v>
      </c>
    </row>
    <row r="512" customFormat="false" ht="12.8" hidden="false" customHeight="false" outlineLevel="0" collapsed="false">
      <c r="B512" s="71" t="n">
        <v>22</v>
      </c>
      <c r="C512" s="60" t="s">
        <v>65</v>
      </c>
      <c r="D512" s="1" t="n">
        <v>0.1665</v>
      </c>
      <c r="E512" s="1" t="s">
        <v>54</v>
      </c>
    </row>
    <row r="513" customFormat="false" ht="12.8" hidden="false" customHeight="false" outlineLevel="0" collapsed="false">
      <c r="B513" s="71" t="n">
        <v>22</v>
      </c>
      <c r="C513" s="60" t="s">
        <v>60</v>
      </c>
      <c r="D513" s="1" t="n">
        <v>0.1618</v>
      </c>
      <c r="E513" s="1" t="s">
        <v>54</v>
      </c>
    </row>
    <row r="514" customFormat="false" ht="12.8" hidden="false" customHeight="false" outlineLevel="0" collapsed="false">
      <c r="B514" s="71" t="n">
        <v>22</v>
      </c>
      <c r="C514" s="60" t="s">
        <v>57</v>
      </c>
      <c r="D514" s="1" t="n">
        <v>0.1609</v>
      </c>
      <c r="E514" s="1" t="s">
        <v>54</v>
      </c>
    </row>
    <row r="515" customFormat="false" ht="12.8" hidden="false" customHeight="false" outlineLevel="0" collapsed="false">
      <c r="B515" s="71" t="n">
        <v>22</v>
      </c>
      <c r="C515" s="60" t="s">
        <v>58</v>
      </c>
      <c r="D515" s="1" t="n">
        <v>0.1</v>
      </c>
      <c r="E515" s="1" t="s">
        <v>54</v>
      </c>
    </row>
    <row r="516" customFormat="false" ht="12.8" hidden="false" customHeight="false" outlineLevel="0" collapsed="false">
      <c r="B516" s="71" t="n">
        <v>24</v>
      </c>
      <c r="C516" s="60" t="s">
        <v>48</v>
      </c>
      <c r="D516" s="1" t="n">
        <v>0.2145</v>
      </c>
      <c r="E516" s="1" t="s">
        <v>54</v>
      </c>
    </row>
    <row r="517" customFormat="false" ht="12.8" hidden="false" customHeight="false" outlineLevel="0" collapsed="false">
      <c r="B517" s="71" t="n">
        <v>24</v>
      </c>
      <c r="C517" s="60" t="s">
        <v>56</v>
      </c>
      <c r="D517" s="1" t="n">
        <v>0.1866</v>
      </c>
      <c r="E517" s="1" t="s">
        <v>54</v>
      </c>
    </row>
    <row r="518" customFormat="false" ht="12.8" hidden="false" customHeight="false" outlineLevel="0" collapsed="false">
      <c r="B518" s="71" t="n">
        <v>24</v>
      </c>
      <c r="C518" s="60" t="s">
        <v>55</v>
      </c>
      <c r="D518" s="1" t="n">
        <v>0.1739</v>
      </c>
      <c r="E518" s="1" t="s">
        <v>54</v>
      </c>
    </row>
    <row r="519" customFormat="false" ht="12.8" hidden="false" customHeight="false" outlineLevel="0" collapsed="false">
      <c r="B519" s="71" t="n">
        <v>24</v>
      </c>
      <c r="C519" s="60" t="s">
        <v>60</v>
      </c>
      <c r="D519" s="1" t="n">
        <v>0.1654</v>
      </c>
      <c r="E519" s="1" t="s">
        <v>54</v>
      </c>
    </row>
    <row r="520" customFormat="false" ht="12.8" hidden="false" customHeight="false" outlineLevel="0" collapsed="false">
      <c r="B520" s="71" t="n">
        <v>24</v>
      </c>
      <c r="C520" s="60" t="s">
        <v>65</v>
      </c>
      <c r="D520" s="1" t="n">
        <v>0.1595</v>
      </c>
      <c r="E520" s="1" t="s">
        <v>54</v>
      </c>
    </row>
    <row r="521" customFormat="false" ht="12.8" hidden="false" customHeight="false" outlineLevel="0" collapsed="false">
      <c r="B521" s="71" t="n">
        <v>24</v>
      </c>
      <c r="C521" s="60" t="s">
        <v>58</v>
      </c>
      <c r="D521" s="1" t="n">
        <v>0.1</v>
      </c>
      <c r="E521" s="1" t="s">
        <v>54</v>
      </c>
    </row>
    <row r="522" customFormat="false" ht="12.8" hidden="false" customHeight="false" outlineLevel="0" collapsed="false">
      <c r="B522" s="71" t="n">
        <v>26</v>
      </c>
      <c r="C522" s="60" t="s">
        <v>48</v>
      </c>
      <c r="D522" s="1" t="n">
        <v>0.2037</v>
      </c>
      <c r="E522" s="1" t="s">
        <v>54</v>
      </c>
    </row>
    <row r="523" customFormat="false" ht="12.8" hidden="false" customHeight="false" outlineLevel="0" collapsed="false">
      <c r="B523" s="71" t="n">
        <v>26</v>
      </c>
      <c r="C523" s="60" t="s">
        <v>65</v>
      </c>
      <c r="D523" s="1" t="n">
        <v>0.1844</v>
      </c>
      <c r="E523" s="1" t="s">
        <v>54</v>
      </c>
    </row>
    <row r="524" customFormat="false" ht="12.8" hidden="false" customHeight="false" outlineLevel="0" collapsed="false">
      <c r="B524" s="71" t="n">
        <v>26</v>
      </c>
      <c r="C524" s="60" t="s">
        <v>55</v>
      </c>
      <c r="D524" s="1" t="n">
        <v>0.1786</v>
      </c>
      <c r="E524" s="1" t="s">
        <v>54</v>
      </c>
    </row>
    <row r="525" customFormat="false" ht="12.8" hidden="false" customHeight="false" outlineLevel="0" collapsed="false">
      <c r="B525" s="71" t="n">
        <v>26</v>
      </c>
      <c r="C525" s="60" t="s">
        <v>60</v>
      </c>
      <c r="D525" s="1" t="n">
        <v>0.1748</v>
      </c>
      <c r="E525" s="1" t="s">
        <v>54</v>
      </c>
    </row>
    <row r="526" customFormat="false" ht="12.8" hidden="false" customHeight="false" outlineLevel="0" collapsed="false">
      <c r="B526" s="71" t="n">
        <v>26</v>
      </c>
      <c r="C526" s="60" t="s">
        <v>57</v>
      </c>
      <c r="D526" s="1" t="n">
        <v>0.1585</v>
      </c>
      <c r="E526" s="1" t="s">
        <v>54</v>
      </c>
    </row>
    <row r="527" customFormat="false" ht="12.8" hidden="false" customHeight="false" outlineLevel="0" collapsed="false">
      <c r="B527" s="71" t="n">
        <v>26</v>
      </c>
      <c r="C527" s="60" t="s">
        <v>58</v>
      </c>
      <c r="D527" s="1" t="n">
        <v>0.1</v>
      </c>
      <c r="E527" s="1" t="s">
        <v>54</v>
      </c>
    </row>
    <row r="528" customFormat="false" ht="12.8" hidden="false" customHeight="false" outlineLevel="0" collapsed="false">
      <c r="B528" s="71" t="n">
        <v>28</v>
      </c>
      <c r="C528" s="60" t="s">
        <v>48</v>
      </c>
      <c r="D528" s="1" t="n">
        <v>0.2</v>
      </c>
      <c r="E528" s="1" t="s">
        <v>54</v>
      </c>
    </row>
    <row r="529" customFormat="false" ht="12.8" hidden="false" customHeight="false" outlineLevel="0" collapsed="false">
      <c r="B529" s="71" t="n">
        <v>28</v>
      </c>
      <c r="C529" s="60" t="s">
        <v>60</v>
      </c>
      <c r="D529" s="1" t="n">
        <v>0.1866</v>
      </c>
      <c r="E529" s="1" t="s">
        <v>54</v>
      </c>
    </row>
    <row r="530" customFormat="false" ht="12.8" hidden="false" customHeight="false" outlineLevel="0" collapsed="false">
      <c r="B530" s="71" t="n">
        <v>28</v>
      </c>
      <c r="C530" s="60" t="s">
        <v>55</v>
      </c>
      <c r="D530" s="1" t="n">
        <v>0.1717</v>
      </c>
      <c r="E530" s="1" t="s">
        <v>54</v>
      </c>
    </row>
    <row r="531" customFormat="false" ht="12.8" hidden="false" customHeight="false" outlineLevel="0" collapsed="false">
      <c r="B531" s="71" t="n">
        <v>28</v>
      </c>
      <c r="C531" s="60" t="s">
        <v>57</v>
      </c>
      <c r="D531" s="1" t="n">
        <v>0.1715</v>
      </c>
      <c r="E531" s="1" t="s">
        <v>54</v>
      </c>
    </row>
    <row r="532" customFormat="false" ht="12.8" hidden="false" customHeight="false" outlineLevel="0" collapsed="false">
      <c r="B532" s="71" t="n">
        <v>28</v>
      </c>
      <c r="C532" s="60" t="s">
        <v>65</v>
      </c>
      <c r="D532" s="1" t="n">
        <v>0.1703</v>
      </c>
      <c r="E532" s="1" t="s">
        <v>54</v>
      </c>
    </row>
    <row r="533" customFormat="false" ht="12.8" hidden="false" customHeight="false" outlineLevel="0" collapsed="false">
      <c r="B533" s="71" t="n">
        <v>28</v>
      </c>
      <c r="C533" s="60" t="s">
        <v>58</v>
      </c>
      <c r="D533" s="1" t="n">
        <v>0.1</v>
      </c>
      <c r="E533" s="1" t="s">
        <v>54</v>
      </c>
    </row>
    <row r="534" customFormat="false" ht="12.8" hidden="false" customHeight="false" outlineLevel="0" collapsed="false">
      <c r="B534" s="71" t="n">
        <v>30</v>
      </c>
      <c r="C534" s="60" t="s">
        <v>48</v>
      </c>
      <c r="D534" s="1" t="n">
        <v>0.1938</v>
      </c>
      <c r="E534" s="1" t="s">
        <v>54</v>
      </c>
    </row>
    <row r="535" customFormat="false" ht="12.8" hidden="false" customHeight="false" outlineLevel="0" collapsed="false">
      <c r="B535" s="71" t="n">
        <v>30</v>
      </c>
      <c r="C535" s="60" t="s">
        <v>57</v>
      </c>
      <c r="D535" s="1" t="n">
        <v>0.1935</v>
      </c>
      <c r="E535" s="1" t="s">
        <v>54</v>
      </c>
    </row>
    <row r="536" customFormat="false" ht="12.8" hidden="false" customHeight="false" outlineLevel="0" collapsed="false">
      <c r="B536" s="71" t="n">
        <v>30</v>
      </c>
      <c r="C536" s="60" t="s">
        <v>65</v>
      </c>
      <c r="D536" s="1" t="n">
        <v>0.1768</v>
      </c>
      <c r="E536" s="1" t="s">
        <v>54</v>
      </c>
    </row>
    <row r="537" customFormat="false" ht="12.8" hidden="false" customHeight="false" outlineLevel="0" collapsed="false">
      <c r="B537" s="71" t="n">
        <v>30</v>
      </c>
      <c r="C537" s="60" t="s">
        <v>60</v>
      </c>
      <c r="D537" s="1" t="n">
        <v>0.1724</v>
      </c>
      <c r="E537" s="1" t="s">
        <v>54</v>
      </c>
    </row>
    <row r="538" customFormat="false" ht="12.8" hidden="false" customHeight="false" outlineLevel="0" collapsed="false">
      <c r="B538" s="71" t="n">
        <v>30</v>
      </c>
      <c r="C538" s="60" t="s">
        <v>56</v>
      </c>
      <c r="D538" s="1" t="n">
        <v>0.1634</v>
      </c>
      <c r="E538" s="1" t="s">
        <v>54</v>
      </c>
    </row>
    <row r="539" customFormat="false" ht="12.8" hidden="false" customHeight="false" outlineLevel="0" collapsed="false">
      <c r="B539" s="71" t="n">
        <v>30</v>
      </c>
      <c r="C539" s="60" t="s">
        <v>58</v>
      </c>
      <c r="D539" s="1" t="n">
        <v>0.1</v>
      </c>
      <c r="E539" s="1" t="s">
        <v>54</v>
      </c>
    </row>
    <row r="540" customFormat="false" ht="12.8" hidden="false" customHeight="false" outlineLevel="0" collapsed="false">
      <c r="B540" s="71" t="n">
        <v>32</v>
      </c>
      <c r="C540" s="60" t="s">
        <v>48</v>
      </c>
      <c r="D540" s="1" t="n">
        <v>0.2136</v>
      </c>
      <c r="E540" s="1" t="s">
        <v>54</v>
      </c>
    </row>
    <row r="541" customFormat="false" ht="12.8" hidden="false" customHeight="false" outlineLevel="0" collapsed="false">
      <c r="B541" s="71" t="n">
        <v>32</v>
      </c>
      <c r="C541" s="60" t="s">
        <v>56</v>
      </c>
      <c r="D541" s="1" t="n">
        <v>0.1797</v>
      </c>
      <c r="E541" s="1" t="s">
        <v>54</v>
      </c>
    </row>
    <row r="542" customFormat="false" ht="12.8" hidden="false" customHeight="false" outlineLevel="0" collapsed="false">
      <c r="B542" s="71" t="n">
        <v>32</v>
      </c>
      <c r="C542" s="60" t="s">
        <v>65</v>
      </c>
      <c r="D542" s="1" t="n">
        <v>0.1732</v>
      </c>
      <c r="E542" s="1" t="s">
        <v>54</v>
      </c>
    </row>
    <row r="543" customFormat="false" ht="12.8" hidden="false" customHeight="false" outlineLevel="0" collapsed="false">
      <c r="B543" s="71" t="n">
        <v>32</v>
      </c>
      <c r="C543" s="60" t="s">
        <v>57</v>
      </c>
      <c r="D543" s="1" t="n">
        <v>0.1667</v>
      </c>
      <c r="E543" s="1" t="s">
        <v>54</v>
      </c>
    </row>
    <row r="544" customFormat="false" ht="12.8" hidden="false" customHeight="false" outlineLevel="0" collapsed="false">
      <c r="B544" s="71" t="n">
        <v>32</v>
      </c>
      <c r="C544" s="60" t="s">
        <v>55</v>
      </c>
      <c r="D544" s="1" t="n">
        <v>0.1667</v>
      </c>
      <c r="E544" s="1" t="s">
        <v>54</v>
      </c>
    </row>
    <row r="545" customFormat="false" ht="12.8" hidden="false" customHeight="false" outlineLevel="0" collapsed="false">
      <c r="B545" s="71" t="n">
        <v>32</v>
      </c>
      <c r="C545" s="60" t="s">
        <v>58</v>
      </c>
      <c r="D545" s="1" t="n">
        <v>0.1</v>
      </c>
      <c r="E545" s="1" t="s">
        <v>54</v>
      </c>
    </row>
    <row r="546" customFormat="false" ht="12.8" hidden="false" customHeight="false" outlineLevel="0" collapsed="false">
      <c r="B546" s="71" t="n">
        <v>34</v>
      </c>
      <c r="C546" s="60" t="s">
        <v>48</v>
      </c>
      <c r="D546" s="1" t="n">
        <v>0.2058</v>
      </c>
      <c r="E546" s="1" t="s">
        <v>54</v>
      </c>
    </row>
    <row r="547" customFormat="false" ht="12.8" hidden="false" customHeight="false" outlineLevel="0" collapsed="false">
      <c r="B547" s="71" t="n">
        <v>34</v>
      </c>
      <c r="C547" s="60" t="s">
        <v>57</v>
      </c>
      <c r="D547" s="1" t="n">
        <v>0.1838</v>
      </c>
      <c r="E547" s="1" t="s">
        <v>54</v>
      </c>
    </row>
    <row r="548" customFormat="false" ht="12.8" hidden="false" customHeight="false" outlineLevel="0" collapsed="false">
      <c r="B548" s="71" t="n">
        <v>34</v>
      </c>
      <c r="C548" s="60" t="s">
        <v>59</v>
      </c>
      <c r="D548" s="1" t="n">
        <v>0.1722</v>
      </c>
      <c r="E548" s="1" t="s">
        <v>54</v>
      </c>
    </row>
    <row r="549" customFormat="false" ht="12.8" hidden="false" customHeight="false" outlineLevel="0" collapsed="false">
      <c r="B549" s="71" t="n">
        <v>34</v>
      </c>
      <c r="C549" s="60" t="s">
        <v>56</v>
      </c>
      <c r="D549" s="1" t="n">
        <v>0.1715</v>
      </c>
      <c r="E549" s="1" t="s">
        <v>54</v>
      </c>
    </row>
    <row r="550" customFormat="false" ht="12.8" hidden="false" customHeight="false" outlineLevel="0" collapsed="false">
      <c r="B550" s="71" t="n">
        <v>34</v>
      </c>
      <c r="C550" s="60" t="s">
        <v>65</v>
      </c>
      <c r="D550" s="1" t="n">
        <v>0.1667</v>
      </c>
      <c r="E550" s="1" t="s">
        <v>54</v>
      </c>
    </row>
    <row r="551" customFormat="false" ht="12.8" hidden="false" customHeight="false" outlineLevel="0" collapsed="false">
      <c r="B551" s="71" t="n">
        <v>34</v>
      </c>
      <c r="C551" s="60" t="s">
        <v>58</v>
      </c>
      <c r="D551" s="1" t="n">
        <v>0.1</v>
      </c>
      <c r="E551" s="1" t="s">
        <v>54</v>
      </c>
    </row>
    <row r="552" customFormat="false" ht="12.8" hidden="false" customHeight="false" outlineLevel="0" collapsed="false">
      <c r="B552" s="71" t="n">
        <v>36</v>
      </c>
      <c r="C552" s="60" t="s">
        <v>48</v>
      </c>
      <c r="D552" s="1" t="n">
        <v>0.1899</v>
      </c>
      <c r="E552" s="1" t="s">
        <v>54</v>
      </c>
    </row>
    <row r="553" customFormat="false" ht="12.8" hidden="false" customHeight="false" outlineLevel="0" collapsed="false">
      <c r="B553" s="71" t="n">
        <v>36</v>
      </c>
      <c r="C553" s="60" t="s">
        <v>59</v>
      </c>
      <c r="D553" s="1" t="n">
        <v>0.1817</v>
      </c>
      <c r="E553" s="1" t="s">
        <v>54</v>
      </c>
    </row>
    <row r="554" customFormat="false" ht="12.8" hidden="false" customHeight="false" outlineLevel="0" collapsed="false">
      <c r="B554" s="71" t="n">
        <v>36</v>
      </c>
      <c r="C554" s="60" t="s">
        <v>65</v>
      </c>
      <c r="D554" s="1" t="n">
        <v>0.1801</v>
      </c>
      <c r="E554" s="1" t="s">
        <v>54</v>
      </c>
    </row>
    <row r="555" customFormat="false" ht="12.8" hidden="false" customHeight="false" outlineLevel="0" collapsed="false">
      <c r="B555" s="71" t="n">
        <v>36</v>
      </c>
      <c r="C555" s="60" t="s">
        <v>60</v>
      </c>
      <c r="D555" s="1" t="n">
        <v>0.1766</v>
      </c>
      <c r="E555" s="1" t="s">
        <v>54</v>
      </c>
    </row>
    <row r="556" customFormat="false" ht="12.8" hidden="false" customHeight="false" outlineLevel="0" collapsed="false">
      <c r="B556" s="71" t="n">
        <v>36</v>
      </c>
      <c r="C556" s="60" t="s">
        <v>57</v>
      </c>
      <c r="D556" s="1" t="n">
        <v>0.1717</v>
      </c>
      <c r="E556" s="1" t="s">
        <v>54</v>
      </c>
    </row>
    <row r="557" customFormat="false" ht="12.8" hidden="false" customHeight="false" outlineLevel="0" collapsed="false">
      <c r="B557" s="71" t="n">
        <v>36</v>
      </c>
      <c r="C557" s="60" t="s">
        <v>58</v>
      </c>
      <c r="D557" s="1" t="n">
        <v>0.1</v>
      </c>
      <c r="E557" s="1" t="s">
        <v>54</v>
      </c>
    </row>
    <row r="558" customFormat="false" ht="12.8" hidden="false" customHeight="false" outlineLevel="0" collapsed="false">
      <c r="B558" s="71" t="n">
        <v>38</v>
      </c>
      <c r="C558" s="60" t="s">
        <v>48</v>
      </c>
      <c r="D558" s="1" t="n">
        <v>0.1914</v>
      </c>
      <c r="E558" s="1" t="s">
        <v>54</v>
      </c>
    </row>
    <row r="559" customFormat="false" ht="12.8" hidden="false" customHeight="false" outlineLevel="0" collapsed="false">
      <c r="B559" s="71" t="n">
        <v>38</v>
      </c>
      <c r="C559" s="60" t="s">
        <v>60</v>
      </c>
      <c r="D559" s="1" t="n">
        <v>0.1906</v>
      </c>
      <c r="E559" s="1" t="s">
        <v>54</v>
      </c>
    </row>
    <row r="560" customFormat="false" ht="12.8" hidden="false" customHeight="false" outlineLevel="0" collapsed="false">
      <c r="B560" s="71" t="n">
        <v>38</v>
      </c>
      <c r="C560" s="60" t="s">
        <v>56</v>
      </c>
      <c r="D560" s="1" t="n">
        <v>0.1737</v>
      </c>
      <c r="E560" s="1" t="s">
        <v>54</v>
      </c>
    </row>
    <row r="561" customFormat="false" ht="12.8" hidden="false" customHeight="false" outlineLevel="0" collapsed="false">
      <c r="B561" s="71" t="n">
        <v>38</v>
      </c>
      <c r="C561" s="60" t="s">
        <v>59</v>
      </c>
      <c r="D561" s="1" t="n">
        <v>0.1733</v>
      </c>
      <c r="E561" s="1" t="s">
        <v>54</v>
      </c>
    </row>
    <row r="562" customFormat="false" ht="12.8" hidden="false" customHeight="false" outlineLevel="0" collapsed="false">
      <c r="B562" s="71" t="n">
        <v>38</v>
      </c>
      <c r="C562" s="60" t="s">
        <v>57</v>
      </c>
      <c r="D562" s="1" t="n">
        <v>0.171</v>
      </c>
      <c r="E562" s="1" t="s">
        <v>54</v>
      </c>
    </row>
    <row r="563" customFormat="false" ht="12.8" hidden="false" customHeight="false" outlineLevel="0" collapsed="false">
      <c r="B563" s="71" t="n">
        <v>38</v>
      </c>
      <c r="C563" s="60" t="s">
        <v>58</v>
      </c>
      <c r="D563" s="1" t="n">
        <v>0.1</v>
      </c>
      <c r="E563" s="1" t="s">
        <v>54</v>
      </c>
    </row>
    <row r="564" customFormat="false" ht="12.8" hidden="false" customHeight="false" outlineLevel="0" collapsed="false">
      <c r="B564" s="71" t="n">
        <v>40</v>
      </c>
      <c r="C564" s="60" t="s">
        <v>48</v>
      </c>
      <c r="D564" s="1" t="n">
        <v>0.2092</v>
      </c>
      <c r="E564" s="1" t="s">
        <v>54</v>
      </c>
    </row>
    <row r="565" customFormat="false" ht="12.8" hidden="false" customHeight="false" outlineLevel="0" collapsed="false">
      <c r="B565" s="71" t="n">
        <v>40</v>
      </c>
      <c r="C565" s="60" t="s">
        <v>55</v>
      </c>
      <c r="D565" s="1" t="n">
        <v>0.1942</v>
      </c>
      <c r="E565" s="1" t="s">
        <v>54</v>
      </c>
    </row>
    <row r="566" customFormat="false" ht="12.8" hidden="false" customHeight="false" outlineLevel="0" collapsed="false">
      <c r="B566" s="71" t="n">
        <v>40</v>
      </c>
      <c r="C566" s="60" t="s">
        <v>57</v>
      </c>
      <c r="D566" s="1" t="n">
        <v>0.1753</v>
      </c>
      <c r="E566" s="1" t="s">
        <v>54</v>
      </c>
    </row>
    <row r="567" customFormat="false" ht="12.8" hidden="false" customHeight="false" outlineLevel="0" collapsed="false">
      <c r="B567" s="71" t="n">
        <v>40</v>
      </c>
      <c r="C567" s="60" t="s">
        <v>65</v>
      </c>
      <c r="D567" s="1" t="n">
        <v>0.1625</v>
      </c>
      <c r="E567" s="1" t="s">
        <v>54</v>
      </c>
    </row>
    <row r="568" customFormat="false" ht="12.8" hidden="false" customHeight="false" outlineLevel="0" collapsed="false">
      <c r="B568" s="71" t="n">
        <v>40</v>
      </c>
      <c r="C568" s="60" t="s">
        <v>56</v>
      </c>
      <c r="D568" s="1" t="n">
        <v>0.1588</v>
      </c>
      <c r="E568" s="1" t="s">
        <v>54</v>
      </c>
    </row>
    <row r="569" customFormat="false" ht="12.8" hidden="false" customHeight="false" outlineLevel="0" collapsed="false">
      <c r="B569" s="71" t="n">
        <v>40</v>
      </c>
      <c r="C569" s="60" t="s">
        <v>58</v>
      </c>
      <c r="D569" s="1" t="n">
        <v>0.1</v>
      </c>
      <c r="E569" s="1" t="s">
        <v>54</v>
      </c>
    </row>
    <row r="570" customFormat="false" ht="12.8" hidden="false" customHeight="false" outlineLevel="0" collapsed="false">
      <c r="B570" s="71" t="n">
        <v>42</v>
      </c>
      <c r="C570" s="60" t="s">
        <v>48</v>
      </c>
      <c r="D570" s="1" t="n">
        <v>0.2124</v>
      </c>
      <c r="E570" s="1" t="s">
        <v>54</v>
      </c>
    </row>
    <row r="571" customFormat="false" ht="12.8" hidden="false" customHeight="false" outlineLevel="0" collapsed="false">
      <c r="B571" s="71" t="n">
        <v>42</v>
      </c>
      <c r="C571" s="60" t="s">
        <v>57</v>
      </c>
      <c r="D571" s="1" t="n">
        <v>0.1858</v>
      </c>
      <c r="E571" s="1" t="s">
        <v>54</v>
      </c>
    </row>
    <row r="572" customFormat="false" ht="12.8" hidden="false" customHeight="false" outlineLevel="0" collapsed="false">
      <c r="B572" s="71" t="n">
        <v>42</v>
      </c>
      <c r="C572" s="60" t="s">
        <v>56</v>
      </c>
      <c r="D572" s="1" t="n">
        <v>0.1743</v>
      </c>
      <c r="E572" s="1" t="s">
        <v>54</v>
      </c>
    </row>
    <row r="573" customFormat="false" ht="12.8" hidden="false" customHeight="false" outlineLevel="0" collapsed="false">
      <c r="B573" s="71" t="n">
        <v>42</v>
      </c>
      <c r="C573" s="60" t="s">
        <v>64</v>
      </c>
      <c r="D573" s="1" t="n">
        <v>0.1639</v>
      </c>
      <c r="E573" s="1" t="s">
        <v>54</v>
      </c>
    </row>
    <row r="574" customFormat="false" ht="12.8" hidden="false" customHeight="false" outlineLevel="0" collapsed="false">
      <c r="B574" s="71" t="n">
        <v>42</v>
      </c>
      <c r="C574" s="60" t="s">
        <v>55</v>
      </c>
      <c r="D574" s="1" t="n">
        <v>0.1636</v>
      </c>
      <c r="E574" s="1" t="s">
        <v>54</v>
      </c>
    </row>
    <row r="575" customFormat="false" ht="12.8" hidden="false" customHeight="false" outlineLevel="0" collapsed="false">
      <c r="B575" s="71" t="n">
        <v>42</v>
      </c>
      <c r="C575" s="60" t="s">
        <v>58</v>
      </c>
      <c r="D575" s="1" t="n">
        <v>0.1</v>
      </c>
      <c r="E575" s="1" t="s">
        <v>54</v>
      </c>
    </row>
    <row r="576" customFormat="false" ht="12.8" hidden="false" customHeight="false" outlineLevel="0" collapsed="false">
      <c r="B576" s="71" t="n">
        <v>44</v>
      </c>
      <c r="C576" s="60" t="s">
        <v>48</v>
      </c>
      <c r="D576" s="1" t="n">
        <v>0.1939</v>
      </c>
      <c r="E576" s="1" t="s">
        <v>54</v>
      </c>
    </row>
    <row r="577" customFormat="false" ht="12.8" hidden="false" customHeight="false" outlineLevel="0" collapsed="false">
      <c r="B577" s="71" t="n">
        <v>44</v>
      </c>
      <c r="C577" s="60" t="s">
        <v>55</v>
      </c>
      <c r="D577" s="1" t="n">
        <v>0.1859</v>
      </c>
      <c r="E577" s="1" t="s">
        <v>54</v>
      </c>
    </row>
    <row r="578" customFormat="false" ht="12.8" hidden="false" customHeight="false" outlineLevel="0" collapsed="false">
      <c r="B578" s="71" t="n">
        <v>44</v>
      </c>
      <c r="C578" s="60" t="s">
        <v>56</v>
      </c>
      <c r="D578" s="1" t="n">
        <v>0.1808</v>
      </c>
      <c r="E578" s="1" t="s">
        <v>54</v>
      </c>
    </row>
    <row r="579" customFormat="false" ht="12.8" hidden="false" customHeight="false" outlineLevel="0" collapsed="false">
      <c r="B579" s="71" t="n">
        <v>44</v>
      </c>
      <c r="C579" s="60" t="s">
        <v>51</v>
      </c>
      <c r="D579" s="1" t="n">
        <v>0.17</v>
      </c>
      <c r="E579" s="1" t="s">
        <v>54</v>
      </c>
    </row>
    <row r="580" customFormat="false" ht="12.8" hidden="false" customHeight="false" outlineLevel="0" collapsed="false">
      <c r="B580" s="71" t="n">
        <v>44</v>
      </c>
      <c r="C580" s="60" t="s">
        <v>60</v>
      </c>
      <c r="D580" s="1" t="n">
        <v>0.1693</v>
      </c>
      <c r="E580" s="1" t="s">
        <v>54</v>
      </c>
    </row>
    <row r="581" customFormat="false" ht="12.8" hidden="false" customHeight="false" outlineLevel="0" collapsed="false">
      <c r="B581" s="71" t="n">
        <v>44</v>
      </c>
      <c r="C581" s="60" t="s">
        <v>58</v>
      </c>
      <c r="D581" s="1" t="n">
        <v>0.1</v>
      </c>
      <c r="E581" s="1" t="s">
        <v>54</v>
      </c>
    </row>
    <row r="582" customFormat="false" ht="12.8" hidden="false" customHeight="false" outlineLevel="0" collapsed="false">
      <c r="B582" s="71" t="n">
        <v>46</v>
      </c>
      <c r="C582" s="60" t="s">
        <v>48</v>
      </c>
      <c r="D582" s="1" t="n">
        <v>0.196</v>
      </c>
      <c r="E582" s="1" t="s">
        <v>54</v>
      </c>
    </row>
    <row r="583" customFormat="false" ht="12.8" hidden="false" customHeight="false" outlineLevel="0" collapsed="false">
      <c r="B583" s="71" t="n">
        <v>46</v>
      </c>
      <c r="C583" s="60" t="s">
        <v>55</v>
      </c>
      <c r="D583" s="1" t="n">
        <v>0.1831</v>
      </c>
      <c r="E583" s="1" t="s">
        <v>54</v>
      </c>
    </row>
    <row r="584" customFormat="false" ht="12.8" hidden="false" customHeight="false" outlineLevel="0" collapsed="false">
      <c r="B584" s="71" t="n">
        <v>46</v>
      </c>
      <c r="C584" s="60" t="s">
        <v>51</v>
      </c>
      <c r="D584" s="1" t="n">
        <v>0.1797</v>
      </c>
      <c r="E584" s="1" t="s">
        <v>54</v>
      </c>
    </row>
    <row r="585" customFormat="false" ht="12.8" hidden="false" customHeight="false" outlineLevel="0" collapsed="false">
      <c r="B585" s="71" t="n">
        <v>46</v>
      </c>
      <c r="C585" s="60" t="s">
        <v>56</v>
      </c>
      <c r="D585" s="1" t="n">
        <v>0.1761</v>
      </c>
      <c r="E585" s="1" t="s">
        <v>54</v>
      </c>
    </row>
    <row r="586" customFormat="false" ht="12.8" hidden="false" customHeight="false" outlineLevel="0" collapsed="false">
      <c r="B586" s="71" t="n">
        <v>46</v>
      </c>
      <c r="C586" s="60" t="s">
        <v>57</v>
      </c>
      <c r="D586" s="1" t="n">
        <v>0.1651</v>
      </c>
      <c r="E586" s="1" t="s">
        <v>54</v>
      </c>
    </row>
    <row r="587" customFormat="false" ht="12.8" hidden="false" customHeight="false" outlineLevel="0" collapsed="false">
      <c r="B587" s="71" t="n">
        <v>46</v>
      </c>
      <c r="C587" s="60" t="s">
        <v>58</v>
      </c>
      <c r="D587" s="1" t="n">
        <v>0.1</v>
      </c>
      <c r="E587" s="1" t="s">
        <v>54</v>
      </c>
    </row>
    <row r="588" customFormat="false" ht="12.8" hidden="false" customHeight="false" outlineLevel="0" collapsed="false">
      <c r="B588" s="71" t="n">
        <v>48</v>
      </c>
      <c r="C588" s="60" t="s">
        <v>48</v>
      </c>
      <c r="D588" s="1" t="n">
        <v>0.209</v>
      </c>
      <c r="E588" s="1" t="s">
        <v>54</v>
      </c>
    </row>
    <row r="589" customFormat="false" ht="12.8" hidden="false" customHeight="false" outlineLevel="0" collapsed="false">
      <c r="B589" s="71" t="n">
        <v>48</v>
      </c>
      <c r="C589" s="60" t="s">
        <v>56</v>
      </c>
      <c r="D589" s="1" t="n">
        <v>0.1889</v>
      </c>
      <c r="E589" s="1" t="s">
        <v>54</v>
      </c>
    </row>
    <row r="590" customFormat="false" ht="12.8" hidden="false" customHeight="false" outlineLevel="0" collapsed="false">
      <c r="B590" s="71" t="n">
        <v>48</v>
      </c>
      <c r="C590" s="60" t="s">
        <v>55</v>
      </c>
      <c r="D590" s="1" t="n">
        <v>0.1782</v>
      </c>
      <c r="E590" s="1" t="s">
        <v>54</v>
      </c>
    </row>
    <row r="591" customFormat="false" ht="12.8" hidden="false" customHeight="false" outlineLevel="0" collapsed="false">
      <c r="B591" s="71" t="n">
        <v>48</v>
      </c>
      <c r="C591" s="60" t="s">
        <v>57</v>
      </c>
      <c r="D591" s="1" t="n">
        <v>0.1624</v>
      </c>
      <c r="E591" s="1" t="s">
        <v>54</v>
      </c>
    </row>
    <row r="592" customFormat="false" ht="12.8" hidden="false" customHeight="false" outlineLevel="0" collapsed="false">
      <c r="B592" s="71" t="n">
        <v>48</v>
      </c>
      <c r="C592" s="60" t="s">
        <v>60</v>
      </c>
      <c r="D592" s="1" t="n">
        <v>0.1615</v>
      </c>
      <c r="E592" s="1" t="s">
        <v>54</v>
      </c>
    </row>
    <row r="593" customFormat="false" ht="12.8" hidden="false" customHeight="false" outlineLevel="0" collapsed="false">
      <c r="B593" s="71" t="n">
        <v>48</v>
      </c>
      <c r="C593" s="60" t="s">
        <v>58</v>
      </c>
      <c r="D593" s="1" t="n">
        <v>0.1</v>
      </c>
      <c r="E593" s="1" t="s">
        <v>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2026-02-16T21:57:04Z</dcterms:created>
  <dc:creator/>
  <dc:description/>
  <dc:language>en-US</dc:language>
  <cp:lastModifiedBy/>
  <dcterms:modified xsi:type="dcterms:W3CDTF">2026-02-17T17:57:59Z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
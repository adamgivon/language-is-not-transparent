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5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ims_per_turn_scen7" sheetId="1" state="visible" r:id="rId3"/>
    <sheet name="pivot_sim_per_turn" sheetId="2" state="visible" r:id="rId4"/>
    <sheet name="anchor_raw_information" sheetId="3" state="visible" r:id="rId5"/>
  </sheets>
  <definedNames>
    <definedName function="false" hidden="true" localSheetId="0" name="_xlnm._FilterDatabase" vbProcedure="false">sims_per_turn_scen7!$A$208:$C$358</definedName>
  </definedNames>
  <calcPr iterateCount="100" refMode="A1" iterate="false" iterateDelta="0.001"/>
  <pivotCaches>
    <pivotCache cacheId="1" r:id="rId7"/>
    <pivotCache cacheId="2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<sst xmlns="http://schemas.openxmlformats.org/spreadsheetml/2006/main" count="1729" uniqueCount="77">
  <si>
    <t xml:space="preserve">Turn</t>
  </si>
  <si>
    <t xml:space="preserve">ac15p</t>
  </si>
  <si>
    <t xml:space="preserve">Hybrid</t>
  </si>
  <si>
    <t xml:space="preserve">Hybsem</t>
  </si>
  <si>
    <t xml:space="preserve">ac15</t>
  </si>
  <si>
    <t xml:space="preserve">control</t>
  </si>
  <si>
    <t xml:space="preserve">per turn, prompt-response deltas</t>
  </si>
  <si>
    <t xml:space="preserve">Delta=hybrid-hybsem</t>
  </si>
  <si>
    <t xml:space="preserve">ABS delta</t>
  </si>
  <si>
    <t xml:space="preserve">Mean difference</t>
  </si>
  <si>
    <t xml:space="preserve">std delta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</si>
  <si>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</si>
  <si>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</si>
  <si>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</si>
  <si>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</si>
  <si>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</si>
  <si>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</si>
  <si>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</si>
  <si>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</si>
  <si>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</si>
  <si>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</si>
  <si>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</si>
  <si>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</si>
  <si>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</si>
  <si>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</si>
  <si>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</si>
  <si>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</si>
  <si>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</si>
  <si>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Delta=ac15-ac15p</t>
  </si>
  <si>
    <t xml:space="preserve">Delta=hybrid-ac15p</t>
  </si>
  <si>
    <t xml:space="preserve">Delta=hybsem-ac15p</t>
  </si>
  <si>
    <t xml:space="preserve">Delta=hybsem-ac15</t>
  </si>
  <si>
    <t xml:space="preserve">Delta=hybrid-ac15</t>
  </si>
  <si>
    <t xml:space="preserve">### Comparison of critical turns</t>
  </si>
  <si>
    <t xml:space="preserve">Turns</t>
  </si>
  <si>
    <t xml:space="preserve">ABS Delta</t>
  </si>
  <si>
    <t xml:space="preserve">Comparison</t>
  </si>
  <si>
    <t xml:space="preserve">Hybrid-hybsem</t>
  </si>
  <si>
    <t xml:space="preserve">Hybrid-ac15p</t>
  </si>
  <si>
    <t xml:space="preserve">ac15-ac15p</t>
  </si>
  <si>
    <t xml:space="preserve">Hybsem-ac15p</t>
  </si>
  <si>
    <t xml:space="preserve">Hybsem-ac15</t>
  </si>
  <si>
    <t xml:space="preserve">Hybrid-ac15</t>
  </si>
  <si>
    <t xml:space="preserve">Count - ABS Delta</t>
  </si>
  <si>
    <t xml:space="preserve">Total Result</t>
  </si>
  <si>
    <t xml:space="preserve">seq</t>
  </si>
  <si>
    <t xml:space="preserve">anchorName</t>
  </si>
  <si>
    <t xml:space="preserve">weight</t>
  </si>
  <si>
    <t xml:space="preserve">projectName</t>
  </si>
  <si>
    <t xml:space="preserve">temporal_dynamics</t>
  </si>
  <si>
    <t xml:space="preserve">ac15-plain</t>
  </si>
  <si>
    <t xml:space="preserve">Count - weight</t>
  </si>
  <si>
    <t xml:space="preserve">imagination_and_possibility</t>
  </si>
  <si>
    <t xml:space="preserve">hybrid_v3_5</t>
  </si>
  <si>
    <t xml:space="preserve">hybrid_v3_5_semantic</t>
  </si>
  <si>
    <t xml:space="preserve">test_ac15</t>
  </si>
  <si>
    <t xml:space="preserve">practicality_and_feasibility</t>
  </si>
  <si>
    <t xml:space="preserve">truth_and_fact</t>
  </si>
  <si>
    <t xml:space="preserve">affective_interface</t>
  </si>
  <si>
    <t xml:space="preserve">electricity</t>
  </si>
  <si>
    <t xml:space="preserve">context_dependent_expression</t>
  </si>
  <si>
    <t xml:space="preserve">sovereignty</t>
  </si>
  <si>
    <t xml:space="preserve">science</t>
  </si>
  <si>
    <t xml:space="preserve">Sum - weight</t>
  </si>
  <si>
    <t xml:space="preserve">freedom_and_limitations</t>
  </si>
  <si>
    <t xml:space="preserve">identity</t>
  </si>
  <si>
    <t xml:space="preserve">mathematics_computer_science_engineering</t>
  </si>
  <si>
    <t xml:space="preserve">Chi Square test</t>
  </si>
  <si>
    <t xml:space="preserve">Test of Independence (Chi-Square)</t>
  </si>
  <si>
    <t xml:space="preserve">P-value</t>
  </si>
  <si>
    <t xml:space="preserve">Test Statistic</t>
  </si>
  <si>
    <t xml:space="preserve">Critical Value</t>
  </si>
  <si>
    <t xml:space="preserve">Chi Square – truth – electricity</t>
  </si>
  <si>
    <t xml:space="preserve">Data</t>
  </si>
  <si>
    <t xml:space="preserve">Average - weight*</t>
  </si>
  <si>
    <t xml:space="preserve">Total Count - weight</t>
  </si>
  <si>
    <t xml:space="preserve">Total Average - weight*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</si>
</sst>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;[RED]\-0.000000"/>
    <numFmt numFmtId="166" formatCode="0.000000"/>
    <numFmt numFmtId="167" formatCode="0"/>
  </numFmts>
  <fonts count="9">
    <font>
      <sz val="9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11"/>
      <name val="Arial"/>
      <family val="2"/>
      <charset val="1"/>
    </font>
    <font>
      <b val="true"/>
      <u val="single"/>
      <sz val="13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center" vertical="center" textRotation="0" wrapText="tru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5" fillId="0" borderId="0" applyFont="true" applyBorder="false" applyAlignment="true" applyProtection="false">
      <alignment horizontal="center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</cellStyleXfs>
  <cellXfs count="95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8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0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5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26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7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7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8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9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0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21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5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6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7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8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9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30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31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2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23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9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0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5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7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0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1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7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8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9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33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4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5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36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34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8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1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5" createdVersion="3">
  <cacheSource type="worksheet">
    <worksheetSource ref="A3:C28" sheet="pivot_sim_per_turn"/>
  </cacheSource>
  <cacheFields count="3">
    <cacheField name="Turns" numFmtId="0">
      <sharedItems containsSemiMixedTypes="0" containsString="0" containsNumber="1" containsInteger="1" minValue="3" maxValue="23" count="13">
        <n v="3"/>
        <n v="4"/>
        <n v="5"/>
        <n v="6"/>
        <n v="7"/>
        <n v="9"/>
        <n v="10"/>
        <n v="12"/>
        <n v="13"/>
        <n v="16"/>
        <n v="17"/>
        <n v="19"/>
        <n v="23"/>
      </sharedItems>
    </cacheField>
    <cacheField name="ABS Delta" numFmtId="0">
      <sharedItems containsSemiMixedTypes="0" containsString="0" containsNumber="1" minValue="0.0504745135557132" maxValue="0.108074679304883" count="25">
        <n v="0.0504745135557132"/>
        <n v="0.0512861687496833"/>
        <n v="0.0518202439772685"/>
        <n v="0.0522700581818611"/>
        <n v="0.0524931295608075"/>
        <n v="0.0530304221510914"/>
        <n v="0.0531443716772636"/>
        <n v="0.0537033077346305"/>
        <n v="0.0553920240121757"/>
        <n v="0.0566355891199228"/>
        <n v="0.0566916199593441"/>
        <n v="0.0585994233230669"/>
        <n v="0.0588750426660455"/>
        <n v="0.0610162023557078"/>
        <n v="0.0620620320176963"/>
        <n v="0.0644812139228626"/>
        <n v="0.0667629881192248"/>
        <n v="0.0686279409164734"/>
        <n v="0.0689424728600291"/>
        <n v="0.0762611820826588"/>
        <n v="0.0778787507599474"/>
        <n v="0.0999013792505343"/>
        <n v="0.103204528977868"/>
        <n v="0.105523551711899"/>
        <n v="0.108074679304883"/>
      </sharedItems>
    </cacheField>
    <cacheField name="Comparison" numFmtId="0">
      <sharedItems count="6">
        <s v="ac15-ac15p"/>
        <s v="Hybrid-ac15"/>
        <s v="Hybrid-ac15p"/>
        <s v="Hybrid-hybsem"/>
        <s v="Hybsem-ac15"/>
        <s v="Hybsem-ac15p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536" createdVersion="3">
  <cacheSource type="worksheet">
    <worksheetSource ref="A1:D537" sheet="anchor_raw_information"/>
  </cacheSource>
  <cacheFields count="4">
    <cacheField name="seq" numFmtId="0">
      <sharedItems containsSemiMixedTypes="0" containsString="0" containsNumber="1" containsInteger="1" minValue="0" maxValue="48" count="25">
        <n v="0"/>
        <n v="2"/>
        <n v="4"/>
        <n v="6"/>
        <n v="8"/>
        <n v="10"/>
        <n v="12"/>
        <n v="14"/>
        <n v="16"/>
        <n v="18"/>
        <n v="20"/>
        <n v="22"/>
        <n v="24"/>
        <n v="26"/>
        <n v="28"/>
        <n v="30"/>
        <n v="32"/>
        <n v="34"/>
        <n v="36"/>
        <n v="38"/>
        <n v="40"/>
        <n v="42"/>
        <n v="44"/>
        <n v="46"/>
        <n v="48"/>
      </sharedItems>
    </cacheField>
    <cacheField name="anchorName" numFmtId="0">
      <sharedItems count="12">
        <s v="affective_interface"/>
        <s v="context_dependent_expression"/>
        <s v="electricity"/>
        <s v="freedom_and_limitations"/>
        <s v="identity"/>
        <s v="imagination_and_possibility"/>
        <s v="mathematics_computer_science_engineering"/>
        <s v="practicality_and_feasibility"/>
        <s v="science"/>
        <s v="sovereignty"/>
        <s v="temporal_dynamics"/>
        <s v="truth_and_fact"/>
      </sharedItems>
    </cacheField>
    <cacheField name="weight" numFmtId="0">
      <sharedItems containsSemiMixedTypes="0" containsString="0" containsNumber="1" minValue="0.1" maxValue="0.9" count="347">
        <n v="0.1"/>
        <n v="0.1365"/>
        <n v="0.1378"/>
        <n v="0.1391"/>
        <n v="0.1392"/>
        <n v="0.1409"/>
        <n v="0.141"/>
        <n v="0.1415"/>
        <n v="0.1416"/>
        <n v="0.1417"/>
        <n v="0.1418"/>
        <n v="0.1431"/>
        <n v="0.1433"/>
        <n v="0.1441"/>
        <n v="0.1447"/>
        <n v="0.1448"/>
        <n v="0.1455"/>
        <n v="0.1457"/>
        <n v="0.1459"/>
        <n v="0.146"/>
        <n v="0.1464"/>
        <n v="0.1466"/>
        <n v="0.1468"/>
        <n v="0.1477"/>
        <n v="0.1478"/>
        <n v="0.148"/>
        <n v="0.1481"/>
        <n v="0.1487"/>
        <n v="0.1488"/>
        <n v="0.1491"/>
        <n v="0.1495"/>
        <n v="0.1498"/>
        <n v="0.1501"/>
        <n v="0.1502"/>
        <n v="0.1506"/>
        <n v="0.151"/>
        <n v="0.1516"/>
        <n v="0.1518"/>
        <n v="0.152"/>
        <n v="0.1521"/>
        <n v="0.1522"/>
        <n v="0.1526"/>
        <n v="0.1528"/>
        <n v="0.153"/>
        <n v="0.1531"/>
        <n v="0.1532"/>
        <n v="0.1535"/>
        <n v="0.1536"/>
        <n v="0.154"/>
        <n v="0.1543"/>
        <n v="0.1545"/>
        <n v="0.1546"/>
        <n v="0.1548"/>
        <n v="0.1549"/>
        <n v="0.1552"/>
        <n v="0.1558"/>
        <n v="0.1559"/>
        <n v="0.156"/>
        <n v="0.1562"/>
        <n v="0.1563"/>
        <n v="0.1565"/>
        <n v="0.1567"/>
        <n v="0.1568"/>
        <n v="0.1569"/>
        <n v="0.1572"/>
        <n v="0.1574"/>
        <n v="0.1575"/>
        <n v="0.1577"/>
        <n v="0.1582"/>
        <n v="0.1583"/>
        <n v="0.1584"/>
        <n v="0.1585"/>
        <n v="0.1586"/>
        <n v="0.1593"/>
        <n v="0.1595"/>
        <n v="0.1596"/>
        <n v="0.1597"/>
        <n v="0.1598"/>
        <n v="0.1601"/>
        <n v="0.1602"/>
        <n v="0.1604"/>
        <n v="0.1606"/>
        <n v="0.1607"/>
        <n v="0.161"/>
        <n v="0.1612"/>
        <n v="0.1614"/>
        <n v="0.1615"/>
        <n v="0.1617"/>
        <n v="0.1622"/>
        <n v="0.1625"/>
        <n v="0.1626"/>
        <n v="0.1628"/>
        <n v="0.1629"/>
        <n v="0.163"/>
        <n v="0.1631"/>
        <n v="0.1633"/>
        <n v="0.1634"/>
        <n v="0.1635"/>
        <n v="0.1636"/>
        <n v="0.1639"/>
        <n v="0.1641"/>
        <n v="0.1642"/>
        <n v="0.1644"/>
        <n v="0.1646"/>
        <n v="0.1647"/>
        <n v="0.1648"/>
        <n v="0.1649"/>
        <n v="0.165"/>
        <n v="0.1652"/>
        <n v="0.1653"/>
        <n v="0.1654"/>
        <n v="0.1655"/>
        <n v="0.1657"/>
        <n v="0.1658"/>
        <n v="0.166"/>
        <n v="0.1662"/>
        <n v="0.1665"/>
        <n v="0.1666"/>
        <n v="0.1667"/>
        <n v="0.1668"/>
        <n v="0.1669"/>
        <n v="0.1671"/>
        <n v="0.1674"/>
        <n v="0.1675"/>
        <n v="0.1676"/>
        <n v="0.1677"/>
        <n v="0.1679"/>
        <n v="0.1682"/>
        <n v="0.1683"/>
        <n v="0.1684"/>
        <n v="0.1685"/>
        <n v="0.1687"/>
        <n v="0.1688"/>
        <n v="0.1694"/>
        <n v="0.1695"/>
        <n v="0.1696"/>
        <n v="0.1697"/>
        <n v="0.1699"/>
        <n v="0.1702"/>
        <n v="0.1703"/>
        <n v="0.1704"/>
        <n v="0.1705"/>
        <n v="0.1707"/>
        <n v="0.1709"/>
        <n v="0.171"/>
        <n v="0.1712"/>
        <n v="0.1713"/>
        <n v="0.1715"/>
        <n v="0.1716"/>
        <n v="0.1717"/>
        <n v="0.1718"/>
        <n v="0.1719"/>
        <n v="0.1724"/>
        <n v="0.1727"/>
        <n v="0.1728"/>
        <n v="0.1729"/>
        <n v="0.173"/>
        <n v="0.1732"/>
        <n v="0.1736"/>
        <n v="0.1737"/>
        <n v="0.1738"/>
        <n v="0.1739"/>
        <n v="0.1741"/>
        <n v="0.1742"/>
        <n v="0.1744"/>
        <n v="0.1746"/>
        <n v="0.1747"/>
        <n v="0.1749"/>
        <n v="0.175"/>
        <n v="0.1751"/>
        <n v="0.1752"/>
        <n v="0.1753"/>
        <n v="0.1754"/>
        <n v="0.1755"/>
        <n v="0.1757"/>
        <n v="0.1758"/>
        <n v="0.1759"/>
        <n v="0.1763"/>
        <n v="0.1765"/>
        <n v="0.1766"/>
        <n v="0.1767"/>
        <n v="0.1768"/>
        <n v="0.177"/>
        <n v="0.1772"/>
        <n v="0.1774"/>
        <n v="0.1777"/>
        <n v="0.1778"/>
        <n v="0.1781"/>
        <n v="0.1784"/>
        <n v="0.1786"/>
        <n v="0.1787"/>
        <n v="0.1788"/>
        <n v="0.1791"/>
        <n v="0.1792"/>
        <n v="0.1796"/>
        <n v="0.1797"/>
        <n v="0.1798"/>
        <n v="0.1799"/>
        <n v="0.1801"/>
        <n v="0.1802"/>
        <n v="0.1803"/>
        <n v="0.1804"/>
        <n v="0.1805"/>
        <n v="0.1806"/>
        <n v="0.1809"/>
        <n v="0.1811"/>
        <n v="0.1812"/>
        <n v="0.1813"/>
        <n v="0.1814"/>
        <n v="0.1815"/>
        <n v="0.1816"/>
        <n v="0.1817"/>
        <n v="0.1818"/>
        <n v="0.1819"/>
        <n v="0.182"/>
        <n v="0.1821"/>
        <n v="0.1826"/>
        <n v="0.1827"/>
        <n v="0.1829"/>
        <n v="0.183"/>
        <n v="0.1835"/>
        <n v="0.1836"/>
        <n v="0.1837"/>
        <n v="0.1839"/>
        <n v="0.184"/>
        <n v="0.1841"/>
        <n v="0.1845"/>
        <n v="0.1846"/>
        <n v="0.1849"/>
        <n v="0.185"/>
        <n v="0.1851"/>
        <n v="0.1853"/>
        <n v="0.186"/>
        <n v="0.1863"/>
        <n v="0.1864"/>
        <n v="0.1865"/>
        <n v="0.1866"/>
        <n v="0.1868"/>
        <n v="0.1869"/>
        <n v="0.1871"/>
        <n v="0.1873"/>
        <n v="0.1874"/>
        <n v="0.1876"/>
        <n v="0.1879"/>
        <n v="0.1881"/>
        <n v="0.1885"/>
        <n v="0.1886"/>
        <n v="0.1889"/>
        <n v="0.1891"/>
        <n v="0.1901"/>
        <n v="0.1902"/>
        <n v="0.1904"/>
        <n v="0.1913"/>
        <n v="0.1914"/>
        <n v="0.1918"/>
        <n v="0.1921"/>
        <n v="0.1922"/>
        <n v="0.1923"/>
        <n v="0.1927"/>
        <n v="0.1929"/>
        <n v="0.1933"/>
        <n v="0.1935"/>
        <n v="0.1937"/>
        <n v="0.194"/>
        <n v="0.1941"/>
        <n v="0.1943"/>
        <n v="0.1944"/>
        <n v="0.1946"/>
        <n v="0.1947"/>
        <n v="0.1952"/>
        <n v="0.1955"/>
        <n v="0.1957"/>
        <n v="0.196"/>
        <n v="0.1964"/>
        <n v="0.1967"/>
        <n v="0.197"/>
        <n v="0.1972"/>
        <n v="0.1979"/>
        <n v="0.1985"/>
        <n v="0.1987"/>
        <n v="0.1998"/>
        <n v="0.2001"/>
        <n v="0.2002"/>
        <n v="0.2005"/>
        <n v="0.201"/>
        <n v="0.2012"/>
        <n v="0.2017"/>
        <n v="0.2018"/>
        <n v="0.2032"/>
        <n v="0.2051"/>
        <n v="0.2074"/>
        <n v="0.2078"/>
        <n v="0.2091"/>
        <n v="0.2118"/>
        <n v="0.212"/>
        <n v="0.2162"/>
        <n v="0.2183"/>
        <n v="0.2187"/>
        <n v="0.2202"/>
        <n v="0.2217"/>
        <n v="0.2228"/>
        <n v="0.2268"/>
        <n v="0.2312"/>
        <n v="0.2333"/>
        <n v="0.2353"/>
        <n v="0.241"/>
        <n v="0.242"/>
        <n v="0.2456"/>
        <n v="0.2466"/>
        <n v="0.2489"/>
        <n v="0.2607"/>
        <n v="0.2635"/>
        <n v="0.2763"/>
        <n v="0.2784"/>
        <n v="0.2828"/>
        <n v="0.2876"/>
        <n v="0.288"/>
        <n v="0.2925"/>
        <n v="0.2954"/>
        <n v="0.2967"/>
        <n v="0.2971"/>
        <n v="0.2977"/>
        <n v="0.298"/>
        <n v="0.2991"/>
        <n v="0.2993"/>
        <n v="0.3003"/>
        <n v="0.303"/>
        <n v="0.3038"/>
        <n v="0.3045"/>
        <n v="0.3145"/>
        <n v="0.3195"/>
        <n v="0.3218"/>
        <n v="0.3239"/>
        <n v="0.3244"/>
        <n v="0.3261"/>
        <n v="0.3265"/>
        <n v="0.3348"/>
        <n v="0.3474"/>
        <n v="0.409"/>
        <n v="0.4149"/>
        <n v="0.4205"/>
        <n v="0.4269"/>
        <n v="0.4731"/>
        <n v="0.4795"/>
        <n v="0.4851"/>
        <n v="0.491"/>
        <n v="0.9"/>
      </sharedItems>
    </cacheField>
    <cacheField name="projectName" numFmtId="0">
      <sharedItems count="4">
        <s v="ac15-plain"/>
        <s v="hybrid_v3_5"/>
        <s v="hybrid_v3_5_semantic"/>
        <s v="test_ac1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24"/>
    <x v="3"/>
  </r>
  <r>
    <x v="11"/>
    <x v="23"/>
    <x v="3"/>
  </r>
  <r>
    <x v="7"/>
    <x v="22"/>
    <x v="2"/>
  </r>
  <r>
    <x v="0"/>
    <x v="21"/>
    <x v="2"/>
  </r>
  <r>
    <x v="7"/>
    <x v="20"/>
    <x v="0"/>
  </r>
  <r>
    <x v="4"/>
    <x v="19"/>
    <x v="5"/>
  </r>
  <r>
    <x v="7"/>
    <x v="18"/>
    <x v="3"/>
  </r>
  <r>
    <x v="10"/>
    <x v="17"/>
    <x v="4"/>
  </r>
  <r>
    <x v="10"/>
    <x v="16"/>
    <x v="1"/>
  </r>
  <r>
    <x v="1"/>
    <x v="15"/>
    <x v="2"/>
  </r>
  <r>
    <x v="2"/>
    <x v="14"/>
    <x v="0"/>
  </r>
  <r>
    <x v="12"/>
    <x v="13"/>
    <x v="4"/>
  </r>
  <r>
    <x v="0"/>
    <x v="12"/>
    <x v="1"/>
  </r>
  <r>
    <x v="3"/>
    <x v="11"/>
    <x v="4"/>
  </r>
  <r>
    <x v="12"/>
    <x v="10"/>
    <x v="0"/>
  </r>
  <r>
    <x v="9"/>
    <x v="9"/>
    <x v="3"/>
  </r>
  <r>
    <x v="1"/>
    <x v="8"/>
    <x v="5"/>
  </r>
  <r>
    <x v="11"/>
    <x v="7"/>
    <x v="2"/>
  </r>
  <r>
    <x v="6"/>
    <x v="6"/>
    <x v="4"/>
  </r>
  <r>
    <x v="11"/>
    <x v="5"/>
    <x v="1"/>
  </r>
  <r>
    <x v="11"/>
    <x v="4"/>
    <x v="4"/>
  </r>
  <r>
    <x v="5"/>
    <x v="3"/>
    <x v="0"/>
  </r>
  <r>
    <x v="11"/>
    <x v="2"/>
    <x v="5"/>
  </r>
  <r>
    <x v="8"/>
    <x v="1"/>
    <x v="3"/>
  </r>
  <r>
    <x v="4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6">
  <r>
    <x v="0"/>
    <x v="10"/>
    <x v="330"/>
    <x v="0"/>
  </r>
  <r>
    <x v="0"/>
    <x v="5"/>
    <x v="317"/>
    <x v="0"/>
  </r>
  <r>
    <x v="0"/>
    <x v="7"/>
    <x v="316"/>
    <x v="0"/>
  </r>
  <r>
    <x v="0"/>
    <x v="11"/>
    <x v="0"/>
    <x v="0"/>
  </r>
  <r>
    <x v="1"/>
    <x v="7"/>
    <x v="346"/>
    <x v="0"/>
  </r>
  <r>
    <x v="1"/>
    <x v="11"/>
    <x v="0"/>
    <x v="0"/>
  </r>
  <r>
    <x v="2"/>
    <x v="0"/>
    <x v="305"/>
    <x v="0"/>
  </r>
  <r>
    <x v="2"/>
    <x v="7"/>
    <x v="302"/>
    <x v="0"/>
  </r>
  <r>
    <x v="2"/>
    <x v="2"/>
    <x v="297"/>
    <x v="0"/>
  </r>
  <r>
    <x v="2"/>
    <x v="1"/>
    <x v="292"/>
    <x v="0"/>
  </r>
  <r>
    <x v="2"/>
    <x v="11"/>
    <x v="0"/>
    <x v="0"/>
  </r>
  <r>
    <x v="3"/>
    <x v="0"/>
    <x v="191"/>
    <x v="0"/>
  </r>
  <r>
    <x v="3"/>
    <x v="1"/>
    <x v="150"/>
    <x v="0"/>
  </r>
  <r>
    <x v="3"/>
    <x v="9"/>
    <x v="105"/>
    <x v="0"/>
  </r>
  <r>
    <x v="3"/>
    <x v="7"/>
    <x v="102"/>
    <x v="0"/>
  </r>
  <r>
    <x v="3"/>
    <x v="5"/>
    <x v="87"/>
    <x v="0"/>
  </r>
  <r>
    <x v="3"/>
    <x v="11"/>
    <x v="71"/>
    <x v="0"/>
  </r>
  <r>
    <x v="4"/>
    <x v="5"/>
    <x v="187"/>
    <x v="0"/>
  </r>
  <r>
    <x v="4"/>
    <x v="0"/>
    <x v="131"/>
    <x v="0"/>
  </r>
  <r>
    <x v="4"/>
    <x v="10"/>
    <x v="126"/>
    <x v="0"/>
  </r>
  <r>
    <x v="4"/>
    <x v="7"/>
    <x v="125"/>
    <x v="0"/>
  </r>
  <r>
    <x v="4"/>
    <x v="11"/>
    <x v="86"/>
    <x v="0"/>
  </r>
  <r>
    <x v="4"/>
    <x v="8"/>
    <x v="59"/>
    <x v="0"/>
  </r>
  <r>
    <x v="5"/>
    <x v="10"/>
    <x v="300"/>
    <x v="0"/>
  </r>
  <r>
    <x v="5"/>
    <x v="7"/>
    <x v="186"/>
    <x v="0"/>
  </r>
  <r>
    <x v="5"/>
    <x v="5"/>
    <x v="157"/>
    <x v="0"/>
  </r>
  <r>
    <x v="5"/>
    <x v="0"/>
    <x v="100"/>
    <x v="0"/>
  </r>
  <r>
    <x v="5"/>
    <x v="8"/>
    <x v="88"/>
    <x v="0"/>
  </r>
  <r>
    <x v="5"/>
    <x v="11"/>
    <x v="0"/>
    <x v="0"/>
  </r>
  <r>
    <x v="6"/>
    <x v="10"/>
    <x v="336"/>
    <x v="0"/>
  </r>
  <r>
    <x v="6"/>
    <x v="7"/>
    <x v="328"/>
    <x v="0"/>
  </r>
  <r>
    <x v="6"/>
    <x v="5"/>
    <x v="310"/>
    <x v="0"/>
  </r>
  <r>
    <x v="6"/>
    <x v="11"/>
    <x v="0"/>
    <x v="0"/>
  </r>
  <r>
    <x v="7"/>
    <x v="9"/>
    <x v="344"/>
    <x v="0"/>
  </r>
  <r>
    <x v="7"/>
    <x v="7"/>
    <x v="339"/>
    <x v="0"/>
  </r>
  <r>
    <x v="7"/>
    <x v="11"/>
    <x v="0"/>
    <x v="0"/>
  </r>
  <r>
    <x v="8"/>
    <x v="7"/>
    <x v="346"/>
    <x v="0"/>
  </r>
  <r>
    <x v="8"/>
    <x v="11"/>
    <x v="0"/>
    <x v="0"/>
  </r>
  <r>
    <x v="9"/>
    <x v="7"/>
    <x v="301"/>
    <x v="0"/>
  </r>
  <r>
    <x v="9"/>
    <x v="5"/>
    <x v="255"/>
    <x v="0"/>
  </r>
  <r>
    <x v="9"/>
    <x v="10"/>
    <x v="145"/>
    <x v="0"/>
  </r>
  <r>
    <x v="9"/>
    <x v="3"/>
    <x v="117"/>
    <x v="0"/>
  </r>
  <r>
    <x v="9"/>
    <x v="1"/>
    <x v="12"/>
    <x v="0"/>
  </r>
  <r>
    <x v="9"/>
    <x v="11"/>
    <x v="0"/>
    <x v="0"/>
  </r>
  <r>
    <x v="10"/>
    <x v="7"/>
    <x v="178"/>
    <x v="0"/>
  </r>
  <r>
    <x v="10"/>
    <x v="5"/>
    <x v="159"/>
    <x v="0"/>
  </r>
  <r>
    <x v="10"/>
    <x v="9"/>
    <x v="114"/>
    <x v="0"/>
  </r>
  <r>
    <x v="10"/>
    <x v="11"/>
    <x v="108"/>
    <x v="0"/>
  </r>
  <r>
    <x v="10"/>
    <x v="8"/>
    <x v="104"/>
    <x v="0"/>
  </r>
  <r>
    <x v="10"/>
    <x v="10"/>
    <x v="48"/>
    <x v="0"/>
  </r>
  <r>
    <x v="11"/>
    <x v="0"/>
    <x v="201"/>
    <x v="0"/>
  </r>
  <r>
    <x v="11"/>
    <x v="9"/>
    <x v="178"/>
    <x v="0"/>
  </r>
  <r>
    <x v="11"/>
    <x v="10"/>
    <x v="110"/>
    <x v="0"/>
  </r>
  <r>
    <x v="11"/>
    <x v="11"/>
    <x v="110"/>
    <x v="0"/>
  </r>
  <r>
    <x v="11"/>
    <x v="4"/>
    <x v="65"/>
    <x v="0"/>
  </r>
  <r>
    <x v="11"/>
    <x v="1"/>
    <x v="53"/>
    <x v="0"/>
  </r>
  <r>
    <x v="12"/>
    <x v="5"/>
    <x v="263"/>
    <x v="0"/>
  </r>
  <r>
    <x v="12"/>
    <x v="10"/>
    <x v="226"/>
    <x v="0"/>
  </r>
  <r>
    <x v="12"/>
    <x v="7"/>
    <x v="208"/>
    <x v="0"/>
  </r>
  <r>
    <x v="12"/>
    <x v="0"/>
    <x v="180"/>
    <x v="0"/>
  </r>
  <r>
    <x v="12"/>
    <x v="9"/>
    <x v="96"/>
    <x v="0"/>
  </r>
  <r>
    <x v="12"/>
    <x v="11"/>
    <x v="0"/>
    <x v="0"/>
  </r>
  <r>
    <x v="13"/>
    <x v="10"/>
    <x v="267"/>
    <x v="0"/>
  </r>
  <r>
    <x v="13"/>
    <x v="7"/>
    <x v="176"/>
    <x v="0"/>
  </r>
  <r>
    <x v="13"/>
    <x v="5"/>
    <x v="167"/>
    <x v="0"/>
  </r>
  <r>
    <x v="13"/>
    <x v="3"/>
    <x v="75"/>
    <x v="0"/>
  </r>
  <r>
    <x v="13"/>
    <x v="11"/>
    <x v="55"/>
    <x v="0"/>
  </r>
  <r>
    <x v="13"/>
    <x v="9"/>
    <x v="4"/>
    <x v="0"/>
  </r>
  <r>
    <x v="14"/>
    <x v="7"/>
    <x v="257"/>
    <x v="0"/>
  </r>
  <r>
    <x v="14"/>
    <x v="5"/>
    <x v="216"/>
    <x v="0"/>
  </r>
  <r>
    <x v="14"/>
    <x v="3"/>
    <x v="149"/>
    <x v="0"/>
  </r>
  <r>
    <x v="14"/>
    <x v="10"/>
    <x v="118"/>
    <x v="0"/>
  </r>
  <r>
    <x v="14"/>
    <x v="11"/>
    <x v="17"/>
    <x v="0"/>
  </r>
  <r>
    <x v="14"/>
    <x v="6"/>
    <x v="6"/>
    <x v="0"/>
  </r>
  <r>
    <x v="15"/>
    <x v="0"/>
    <x v="298"/>
    <x v="0"/>
  </r>
  <r>
    <x v="15"/>
    <x v="10"/>
    <x v="291"/>
    <x v="0"/>
  </r>
  <r>
    <x v="15"/>
    <x v="7"/>
    <x v="278"/>
    <x v="0"/>
  </r>
  <r>
    <x v="15"/>
    <x v="9"/>
    <x v="245"/>
    <x v="0"/>
  </r>
  <r>
    <x v="15"/>
    <x v="11"/>
    <x v="228"/>
    <x v="0"/>
  </r>
  <r>
    <x v="16"/>
    <x v="0"/>
    <x v="288"/>
    <x v="0"/>
  </r>
  <r>
    <x v="16"/>
    <x v="11"/>
    <x v="217"/>
    <x v="0"/>
  </r>
  <r>
    <x v="16"/>
    <x v="7"/>
    <x v="112"/>
    <x v="0"/>
  </r>
  <r>
    <x v="16"/>
    <x v="8"/>
    <x v="63"/>
    <x v="0"/>
  </r>
  <r>
    <x v="16"/>
    <x v="5"/>
    <x v="19"/>
    <x v="0"/>
  </r>
  <r>
    <x v="16"/>
    <x v="9"/>
    <x v="16"/>
    <x v="0"/>
  </r>
  <r>
    <x v="17"/>
    <x v="9"/>
    <x v="191"/>
    <x v="0"/>
  </r>
  <r>
    <x v="17"/>
    <x v="0"/>
    <x v="165"/>
    <x v="0"/>
  </r>
  <r>
    <x v="17"/>
    <x v="11"/>
    <x v="140"/>
    <x v="0"/>
  </r>
  <r>
    <x v="17"/>
    <x v="7"/>
    <x v="135"/>
    <x v="0"/>
  </r>
  <r>
    <x v="17"/>
    <x v="5"/>
    <x v="47"/>
    <x v="0"/>
  </r>
  <r>
    <x v="17"/>
    <x v="10"/>
    <x v="43"/>
    <x v="0"/>
  </r>
  <r>
    <x v="18"/>
    <x v="9"/>
    <x v="195"/>
    <x v="0"/>
  </r>
  <r>
    <x v="18"/>
    <x v="0"/>
    <x v="158"/>
    <x v="0"/>
  </r>
  <r>
    <x v="18"/>
    <x v="7"/>
    <x v="145"/>
    <x v="0"/>
  </r>
  <r>
    <x v="18"/>
    <x v="5"/>
    <x v="104"/>
    <x v="0"/>
  </r>
  <r>
    <x v="18"/>
    <x v="10"/>
    <x v="72"/>
    <x v="0"/>
  </r>
  <r>
    <x v="18"/>
    <x v="11"/>
    <x v="40"/>
    <x v="0"/>
  </r>
  <r>
    <x v="19"/>
    <x v="7"/>
    <x v="279"/>
    <x v="0"/>
  </r>
  <r>
    <x v="19"/>
    <x v="9"/>
    <x v="238"/>
    <x v="0"/>
  </r>
  <r>
    <x v="19"/>
    <x v="5"/>
    <x v="166"/>
    <x v="0"/>
  </r>
  <r>
    <x v="19"/>
    <x v="10"/>
    <x v="163"/>
    <x v="0"/>
  </r>
  <r>
    <x v="19"/>
    <x v="3"/>
    <x v="111"/>
    <x v="0"/>
  </r>
  <r>
    <x v="19"/>
    <x v="11"/>
    <x v="0"/>
    <x v="0"/>
  </r>
  <r>
    <x v="20"/>
    <x v="7"/>
    <x v="283"/>
    <x v="0"/>
  </r>
  <r>
    <x v="20"/>
    <x v="10"/>
    <x v="207"/>
    <x v="0"/>
  </r>
  <r>
    <x v="20"/>
    <x v="5"/>
    <x v="112"/>
    <x v="0"/>
  </r>
  <r>
    <x v="20"/>
    <x v="3"/>
    <x v="77"/>
    <x v="0"/>
  </r>
  <r>
    <x v="20"/>
    <x v="9"/>
    <x v="22"/>
    <x v="0"/>
  </r>
  <r>
    <x v="20"/>
    <x v="11"/>
    <x v="18"/>
    <x v="0"/>
  </r>
  <r>
    <x v="21"/>
    <x v="7"/>
    <x v="288"/>
    <x v="0"/>
  </r>
  <r>
    <x v="21"/>
    <x v="5"/>
    <x v="233"/>
    <x v="0"/>
  </r>
  <r>
    <x v="21"/>
    <x v="10"/>
    <x v="165"/>
    <x v="0"/>
  </r>
  <r>
    <x v="21"/>
    <x v="9"/>
    <x v="143"/>
    <x v="0"/>
  </r>
  <r>
    <x v="21"/>
    <x v="3"/>
    <x v="107"/>
    <x v="0"/>
  </r>
  <r>
    <x v="21"/>
    <x v="11"/>
    <x v="0"/>
    <x v="0"/>
  </r>
  <r>
    <x v="22"/>
    <x v="7"/>
    <x v="230"/>
    <x v="0"/>
  </r>
  <r>
    <x v="22"/>
    <x v="5"/>
    <x v="219"/>
    <x v="0"/>
  </r>
  <r>
    <x v="22"/>
    <x v="10"/>
    <x v="188"/>
    <x v="0"/>
  </r>
  <r>
    <x v="22"/>
    <x v="0"/>
    <x v="182"/>
    <x v="0"/>
  </r>
  <r>
    <x v="22"/>
    <x v="3"/>
    <x v="178"/>
    <x v="0"/>
  </r>
  <r>
    <x v="22"/>
    <x v="11"/>
    <x v="0"/>
    <x v="0"/>
  </r>
  <r>
    <x v="23"/>
    <x v="7"/>
    <x v="282"/>
    <x v="0"/>
  </r>
  <r>
    <x v="23"/>
    <x v="5"/>
    <x v="206"/>
    <x v="0"/>
  </r>
  <r>
    <x v="23"/>
    <x v="10"/>
    <x v="184"/>
    <x v="0"/>
  </r>
  <r>
    <x v="23"/>
    <x v="9"/>
    <x v="173"/>
    <x v="0"/>
  </r>
  <r>
    <x v="23"/>
    <x v="3"/>
    <x v="112"/>
    <x v="0"/>
  </r>
  <r>
    <x v="23"/>
    <x v="11"/>
    <x v="0"/>
    <x v="0"/>
  </r>
  <r>
    <x v="24"/>
    <x v="7"/>
    <x v="235"/>
    <x v="0"/>
  </r>
  <r>
    <x v="24"/>
    <x v="11"/>
    <x v="130"/>
    <x v="0"/>
  </r>
  <r>
    <x v="24"/>
    <x v="8"/>
    <x v="125"/>
    <x v="0"/>
  </r>
  <r>
    <x v="24"/>
    <x v="10"/>
    <x v="95"/>
    <x v="0"/>
  </r>
  <r>
    <x v="24"/>
    <x v="6"/>
    <x v="78"/>
    <x v="0"/>
  </r>
  <r>
    <x v="24"/>
    <x v="9"/>
    <x v="48"/>
    <x v="0"/>
  </r>
  <r>
    <x v="0"/>
    <x v="10"/>
    <x v="331"/>
    <x v="1"/>
  </r>
  <r>
    <x v="0"/>
    <x v="5"/>
    <x v="318"/>
    <x v="1"/>
  </r>
  <r>
    <x v="0"/>
    <x v="0"/>
    <x v="314"/>
    <x v="1"/>
  </r>
  <r>
    <x v="0"/>
    <x v="11"/>
    <x v="0"/>
    <x v="1"/>
  </r>
  <r>
    <x v="1"/>
    <x v="5"/>
    <x v="346"/>
    <x v="1"/>
  </r>
  <r>
    <x v="1"/>
    <x v="11"/>
    <x v="0"/>
    <x v="1"/>
  </r>
  <r>
    <x v="2"/>
    <x v="0"/>
    <x v="326"/>
    <x v="1"/>
  </r>
  <r>
    <x v="2"/>
    <x v="4"/>
    <x v="325"/>
    <x v="1"/>
  </r>
  <r>
    <x v="2"/>
    <x v="2"/>
    <x v="319"/>
    <x v="1"/>
  </r>
  <r>
    <x v="2"/>
    <x v="11"/>
    <x v="0"/>
    <x v="1"/>
  </r>
  <r>
    <x v="3"/>
    <x v="0"/>
    <x v="244"/>
    <x v="1"/>
  </r>
  <r>
    <x v="3"/>
    <x v="5"/>
    <x v="116"/>
    <x v="1"/>
  </r>
  <r>
    <x v="3"/>
    <x v="11"/>
    <x v="106"/>
    <x v="1"/>
  </r>
  <r>
    <x v="3"/>
    <x v="10"/>
    <x v="97"/>
    <x v="1"/>
  </r>
  <r>
    <x v="3"/>
    <x v="1"/>
    <x v="79"/>
    <x v="1"/>
  </r>
  <r>
    <x v="3"/>
    <x v="7"/>
    <x v="62"/>
    <x v="1"/>
  </r>
  <r>
    <x v="4"/>
    <x v="0"/>
    <x v="218"/>
    <x v="1"/>
  </r>
  <r>
    <x v="4"/>
    <x v="10"/>
    <x v="150"/>
    <x v="1"/>
  </r>
  <r>
    <x v="4"/>
    <x v="5"/>
    <x v="109"/>
    <x v="1"/>
  </r>
  <r>
    <x v="4"/>
    <x v="11"/>
    <x v="93"/>
    <x v="1"/>
  </r>
  <r>
    <x v="4"/>
    <x v="1"/>
    <x v="77"/>
    <x v="1"/>
  </r>
  <r>
    <x v="4"/>
    <x v="4"/>
    <x v="64"/>
    <x v="1"/>
  </r>
  <r>
    <x v="5"/>
    <x v="10"/>
    <x v="299"/>
    <x v="1"/>
  </r>
  <r>
    <x v="5"/>
    <x v="5"/>
    <x v="198"/>
    <x v="1"/>
  </r>
  <r>
    <x v="5"/>
    <x v="1"/>
    <x v="141"/>
    <x v="1"/>
  </r>
  <r>
    <x v="5"/>
    <x v="7"/>
    <x v="100"/>
    <x v="1"/>
  </r>
  <r>
    <x v="5"/>
    <x v="0"/>
    <x v="97"/>
    <x v="1"/>
  </r>
  <r>
    <x v="5"/>
    <x v="11"/>
    <x v="0"/>
    <x v="1"/>
  </r>
  <r>
    <x v="6"/>
    <x v="10"/>
    <x v="346"/>
    <x v="1"/>
  </r>
  <r>
    <x v="6"/>
    <x v="11"/>
    <x v="0"/>
    <x v="1"/>
  </r>
  <r>
    <x v="7"/>
    <x v="9"/>
    <x v="332"/>
    <x v="1"/>
  </r>
  <r>
    <x v="7"/>
    <x v="0"/>
    <x v="321"/>
    <x v="1"/>
  </r>
  <r>
    <x v="7"/>
    <x v="1"/>
    <x v="313"/>
    <x v="1"/>
  </r>
  <r>
    <x v="7"/>
    <x v="11"/>
    <x v="0"/>
    <x v="1"/>
  </r>
  <r>
    <x v="8"/>
    <x v="7"/>
    <x v="346"/>
    <x v="1"/>
  </r>
  <r>
    <x v="8"/>
    <x v="11"/>
    <x v="0"/>
    <x v="1"/>
  </r>
  <r>
    <x v="9"/>
    <x v="7"/>
    <x v="294"/>
    <x v="1"/>
  </r>
  <r>
    <x v="9"/>
    <x v="5"/>
    <x v="240"/>
    <x v="1"/>
  </r>
  <r>
    <x v="9"/>
    <x v="3"/>
    <x v="159"/>
    <x v="1"/>
  </r>
  <r>
    <x v="9"/>
    <x v="10"/>
    <x v="139"/>
    <x v="1"/>
  </r>
  <r>
    <x v="9"/>
    <x v="6"/>
    <x v="61"/>
    <x v="1"/>
  </r>
  <r>
    <x v="9"/>
    <x v="11"/>
    <x v="0"/>
    <x v="1"/>
  </r>
  <r>
    <x v="10"/>
    <x v="11"/>
    <x v="190"/>
    <x v="1"/>
  </r>
  <r>
    <x v="10"/>
    <x v="8"/>
    <x v="179"/>
    <x v="1"/>
  </r>
  <r>
    <x v="10"/>
    <x v="5"/>
    <x v="129"/>
    <x v="1"/>
  </r>
  <r>
    <x v="10"/>
    <x v="7"/>
    <x v="81"/>
    <x v="1"/>
  </r>
  <r>
    <x v="10"/>
    <x v="6"/>
    <x v="68"/>
    <x v="1"/>
  </r>
  <r>
    <x v="10"/>
    <x v="0"/>
    <x v="66"/>
    <x v="1"/>
  </r>
  <r>
    <x v="11"/>
    <x v="0"/>
    <x v="311"/>
    <x v="1"/>
  </r>
  <r>
    <x v="11"/>
    <x v="11"/>
    <x v="309"/>
    <x v="1"/>
  </r>
  <r>
    <x v="11"/>
    <x v="5"/>
    <x v="307"/>
    <x v="1"/>
  </r>
  <r>
    <x v="11"/>
    <x v="4"/>
    <x v="306"/>
    <x v="1"/>
  </r>
  <r>
    <x v="12"/>
    <x v="5"/>
    <x v="286"/>
    <x v="1"/>
  </r>
  <r>
    <x v="12"/>
    <x v="7"/>
    <x v="239"/>
    <x v="1"/>
  </r>
  <r>
    <x v="12"/>
    <x v="10"/>
    <x v="232"/>
    <x v="1"/>
  </r>
  <r>
    <x v="12"/>
    <x v="3"/>
    <x v="91"/>
    <x v="1"/>
  </r>
  <r>
    <x v="12"/>
    <x v="0"/>
    <x v="89"/>
    <x v="1"/>
  </r>
  <r>
    <x v="12"/>
    <x v="11"/>
    <x v="0"/>
    <x v="1"/>
  </r>
  <r>
    <x v="13"/>
    <x v="5"/>
    <x v="251"/>
    <x v="1"/>
  </r>
  <r>
    <x v="13"/>
    <x v="10"/>
    <x v="209"/>
    <x v="1"/>
  </r>
  <r>
    <x v="13"/>
    <x v="3"/>
    <x v="202"/>
    <x v="1"/>
  </r>
  <r>
    <x v="13"/>
    <x v="7"/>
    <x v="94"/>
    <x v="1"/>
  </r>
  <r>
    <x v="13"/>
    <x v="11"/>
    <x v="25"/>
    <x v="1"/>
  </r>
  <r>
    <x v="13"/>
    <x v="6"/>
    <x v="1"/>
    <x v="1"/>
  </r>
  <r>
    <x v="14"/>
    <x v="5"/>
    <x v="222"/>
    <x v="1"/>
  </r>
  <r>
    <x v="14"/>
    <x v="7"/>
    <x v="193"/>
    <x v="1"/>
  </r>
  <r>
    <x v="14"/>
    <x v="10"/>
    <x v="193"/>
    <x v="1"/>
  </r>
  <r>
    <x v="14"/>
    <x v="3"/>
    <x v="164"/>
    <x v="1"/>
  </r>
  <r>
    <x v="14"/>
    <x v="6"/>
    <x v="10"/>
    <x v="1"/>
  </r>
  <r>
    <x v="14"/>
    <x v="11"/>
    <x v="9"/>
    <x v="1"/>
  </r>
  <r>
    <x v="15"/>
    <x v="10"/>
    <x v="210"/>
    <x v="1"/>
  </r>
  <r>
    <x v="15"/>
    <x v="7"/>
    <x v="170"/>
    <x v="1"/>
  </r>
  <r>
    <x v="15"/>
    <x v="0"/>
    <x v="133"/>
    <x v="1"/>
  </r>
  <r>
    <x v="15"/>
    <x v="5"/>
    <x v="81"/>
    <x v="1"/>
  </r>
  <r>
    <x v="15"/>
    <x v="11"/>
    <x v="64"/>
    <x v="1"/>
  </r>
  <r>
    <x v="15"/>
    <x v="6"/>
    <x v="57"/>
    <x v="1"/>
  </r>
  <r>
    <x v="16"/>
    <x v="0"/>
    <x v="256"/>
    <x v="1"/>
  </r>
  <r>
    <x v="16"/>
    <x v="11"/>
    <x v="148"/>
    <x v="1"/>
  </r>
  <r>
    <x v="16"/>
    <x v="7"/>
    <x v="121"/>
    <x v="1"/>
  </r>
  <r>
    <x v="16"/>
    <x v="5"/>
    <x v="112"/>
    <x v="1"/>
  </r>
  <r>
    <x v="16"/>
    <x v="6"/>
    <x v="51"/>
    <x v="1"/>
  </r>
  <r>
    <x v="16"/>
    <x v="4"/>
    <x v="27"/>
    <x v="1"/>
  </r>
  <r>
    <x v="17"/>
    <x v="0"/>
    <x v="337"/>
    <x v="1"/>
  </r>
  <r>
    <x v="17"/>
    <x v="5"/>
    <x v="335"/>
    <x v="1"/>
  </r>
  <r>
    <x v="17"/>
    <x v="11"/>
    <x v="334"/>
    <x v="1"/>
  </r>
  <r>
    <x v="18"/>
    <x v="0"/>
    <x v="250"/>
    <x v="1"/>
  </r>
  <r>
    <x v="18"/>
    <x v="7"/>
    <x v="173"/>
    <x v="1"/>
  </r>
  <r>
    <x v="18"/>
    <x v="10"/>
    <x v="99"/>
    <x v="1"/>
  </r>
  <r>
    <x v="18"/>
    <x v="11"/>
    <x v="87"/>
    <x v="1"/>
  </r>
  <r>
    <x v="18"/>
    <x v="5"/>
    <x v="73"/>
    <x v="1"/>
  </r>
  <r>
    <x v="18"/>
    <x v="9"/>
    <x v="30"/>
    <x v="1"/>
  </r>
  <r>
    <x v="19"/>
    <x v="7"/>
    <x v="259"/>
    <x v="1"/>
  </r>
  <r>
    <x v="19"/>
    <x v="10"/>
    <x v="147"/>
    <x v="1"/>
  </r>
  <r>
    <x v="19"/>
    <x v="0"/>
    <x v="113"/>
    <x v="1"/>
  </r>
  <r>
    <x v="19"/>
    <x v="5"/>
    <x v="108"/>
    <x v="1"/>
  </r>
  <r>
    <x v="19"/>
    <x v="3"/>
    <x v="48"/>
    <x v="1"/>
  </r>
  <r>
    <x v="19"/>
    <x v="11"/>
    <x v="34"/>
    <x v="1"/>
  </r>
  <r>
    <x v="20"/>
    <x v="7"/>
    <x v="270"/>
    <x v="1"/>
  </r>
  <r>
    <x v="20"/>
    <x v="5"/>
    <x v="227"/>
    <x v="1"/>
  </r>
  <r>
    <x v="20"/>
    <x v="3"/>
    <x v="143"/>
    <x v="1"/>
  </r>
  <r>
    <x v="20"/>
    <x v="10"/>
    <x v="116"/>
    <x v="1"/>
  </r>
  <r>
    <x v="20"/>
    <x v="6"/>
    <x v="8"/>
    <x v="1"/>
  </r>
  <r>
    <x v="20"/>
    <x v="11"/>
    <x v="5"/>
    <x v="1"/>
  </r>
  <r>
    <x v="21"/>
    <x v="5"/>
    <x v="206"/>
    <x v="1"/>
  </r>
  <r>
    <x v="21"/>
    <x v="7"/>
    <x v="167"/>
    <x v="1"/>
  </r>
  <r>
    <x v="21"/>
    <x v="3"/>
    <x v="161"/>
    <x v="1"/>
  </r>
  <r>
    <x v="21"/>
    <x v="10"/>
    <x v="123"/>
    <x v="1"/>
  </r>
  <r>
    <x v="21"/>
    <x v="11"/>
    <x v="40"/>
    <x v="1"/>
  </r>
  <r>
    <x v="21"/>
    <x v="6"/>
    <x v="33"/>
    <x v="1"/>
  </r>
  <r>
    <x v="22"/>
    <x v="7"/>
    <x v="207"/>
    <x v="1"/>
  </r>
  <r>
    <x v="22"/>
    <x v="10"/>
    <x v="171"/>
    <x v="1"/>
  </r>
  <r>
    <x v="22"/>
    <x v="5"/>
    <x v="165"/>
    <x v="1"/>
  </r>
  <r>
    <x v="22"/>
    <x v="3"/>
    <x v="92"/>
    <x v="1"/>
  </r>
  <r>
    <x v="22"/>
    <x v="11"/>
    <x v="45"/>
    <x v="1"/>
  </r>
  <r>
    <x v="22"/>
    <x v="0"/>
    <x v="41"/>
    <x v="1"/>
  </r>
  <r>
    <x v="23"/>
    <x v="5"/>
    <x v="250"/>
    <x v="1"/>
  </r>
  <r>
    <x v="23"/>
    <x v="7"/>
    <x v="230"/>
    <x v="1"/>
  </r>
  <r>
    <x v="23"/>
    <x v="3"/>
    <x v="174"/>
    <x v="1"/>
  </r>
  <r>
    <x v="23"/>
    <x v="10"/>
    <x v="169"/>
    <x v="1"/>
  </r>
  <r>
    <x v="23"/>
    <x v="6"/>
    <x v="160"/>
    <x v="1"/>
  </r>
  <r>
    <x v="23"/>
    <x v="11"/>
    <x v="0"/>
    <x v="1"/>
  </r>
  <r>
    <x v="24"/>
    <x v="7"/>
    <x v="191"/>
    <x v="1"/>
  </r>
  <r>
    <x v="24"/>
    <x v="3"/>
    <x v="152"/>
    <x v="1"/>
  </r>
  <r>
    <x v="24"/>
    <x v="5"/>
    <x v="144"/>
    <x v="1"/>
  </r>
  <r>
    <x v="24"/>
    <x v="11"/>
    <x v="100"/>
    <x v="1"/>
  </r>
  <r>
    <x v="24"/>
    <x v="10"/>
    <x v="98"/>
    <x v="1"/>
  </r>
  <r>
    <x v="24"/>
    <x v="6"/>
    <x v="32"/>
    <x v="1"/>
  </r>
  <r>
    <x v="0"/>
    <x v="5"/>
    <x v="329"/>
    <x v="2"/>
  </r>
  <r>
    <x v="0"/>
    <x v="10"/>
    <x v="322"/>
    <x v="2"/>
  </r>
  <r>
    <x v="0"/>
    <x v="0"/>
    <x v="315"/>
    <x v="2"/>
  </r>
  <r>
    <x v="0"/>
    <x v="11"/>
    <x v="0"/>
    <x v="2"/>
  </r>
  <r>
    <x v="1"/>
    <x v="5"/>
    <x v="243"/>
    <x v="2"/>
  </r>
  <r>
    <x v="1"/>
    <x v="7"/>
    <x v="236"/>
    <x v="2"/>
  </r>
  <r>
    <x v="1"/>
    <x v="0"/>
    <x v="194"/>
    <x v="2"/>
  </r>
  <r>
    <x v="1"/>
    <x v="10"/>
    <x v="165"/>
    <x v="2"/>
  </r>
  <r>
    <x v="1"/>
    <x v="1"/>
    <x v="145"/>
    <x v="2"/>
  </r>
  <r>
    <x v="1"/>
    <x v="11"/>
    <x v="0"/>
    <x v="2"/>
  </r>
  <r>
    <x v="2"/>
    <x v="4"/>
    <x v="271"/>
    <x v="2"/>
  </r>
  <r>
    <x v="2"/>
    <x v="0"/>
    <x v="260"/>
    <x v="2"/>
  </r>
  <r>
    <x v="2"/>
    <x v="2"/>
    <x v="204"/>
    <x v="2"/>
  </r>
  <r>
    <x v="2"/>
    <x v="1"/>
    <x v="122"/>
    <x v="2"/>
  </r>
  <r>
    <x v="2"/>
    <x v="5"/>
    <x v="90"/>
    <x v="2"/>
  </r>
  <r>
    <x v="2"/>
    <x v="11"/>
    <x v="0"/>
    <x v="2"/>
  </r>
  <r>
    <x v="3"/>
    <x v="0"/>
    <x v="280"/>
    <x v="2"/>
  </r>
  <r>
    <x v="3"/>
    <x v="1"/>
    <x v="177"/>
    <x v="2"/>
  </r>
  <r>
    <x v="3"/>
    <x v="5"/>
    <x v="97"/>
    <x v="2"/>
  </r>
  <r>
    <x v="3"/>
    <x v="11"/>
    <x v="82"/>
    <x v="2"/>
  </r>
  <r>
    <x v="3"/>
    <x v="7"/>
    <x v="38"/>
    <x v="2"/>
  </r>
  <r>
    <x v="3"/>
    <x v="10"/>
    <x v="23"/>
    <x v="2"/>
  </r>
  <r>
    <x v="4"/>
    <x v="0"/>
    <x v="284"/>
    <x v="2"/>
  </r>
  <r>
    <x v="4"/>
    <x v="5"/>
    <x v="187"/>
    <x v="2"/>
  </r>
  <r>
    <x v="4"/>
    <x v="11"/>
    <x v="132"/>
    <x v="2"/>
  </r>
  <r>
    <x v="4"/>
    <x v="3"/>
    <x v="45"/>
    <x v="2"/>
  </r>
  <r>
    <x v="4"/>
    <x v="10"/>
    <x v="35"/>
    <x v="2"/>
  </r>
  <r>
    <x v="4"/>
    <x v="1"/>
    <x v="24"/>
    <x v="2"/>
  </r>
  <r>
    <x v="5"/>
    <x v="10"/>
    <x v="289"/>
    <x v="2"/>
  </r>
  <r>
    <x v="5"/>
    <x v="0"/>
    <x v="213"/>
    <x v="2"/>
  </r>
  <r>
    <x v="5"/>
    <x v="5"/>
    <x v="199"/>
    <x v="2"/>
  </r>
  <r>
    <x v="5"/>
    <x v="3"/>
    <x v="140"/>
    <x v="2"/>
  </r>
  <r>
    <x v="5"/>
    <x v="1"/>
    <x v="89"/>
    <x v="2"/>
  </r>
  <r>
    <x v="5"/>
    <x v="11"/>
    <x v="0"/>
    <x v="2"/>
  </r>
  <r>
    <x v="6"/>
    <x v="7"/>
    <x v="327"/>
    <x v="2"/>
  </r>
  <r>
    <x v="6"/>
    <x v="10"/>
    <x v="323"/>
    <x v="2"/>
  </r>
  <r>
    <x v="6"/>
    <x v="0"/>
    <x v="320"/>
    <x v="2"/>
  </r>
  <r>
    <x v="6"/>
    <x v="11"/>
    <x v="0"/>
    <x v="2"/>
  </r>
  <r>
    <x v="7"/>
    <x v="9"/>
    <x v="308"/>
    <x v="2"/>
  </r>
  <r>
    <x v="7"/>
    <x v="0"/>
    <x v="303"/>
    <x v="2"/>
  </r>
  <r>
    <x v="7"/>
    <x v="7"/>
    <x v="296"/>
    <x v="2"/>
  </r>
  <r>
    <x v="7"/>
    <x v="3"/>
    <x v="287"/>
    <x v="2"/>
  </r>
  <r>
    <x v="7"/>
    <x v="11"/>
    <x v="0"/>
    <x v="2"/>
  </r>
  <r>
    <x v="8"/>
    <x v="7"/>
    <x v="346"/>
    <x v="2"/>
  </r>
  <r>
    <x v="8"/>
    <x v="11"/>
    <x v="0"/>
    <x v="2"/>
  </r>
  <r>
    <x v="9"/>
    <x v="7"/>
    <x v="295"/>
    <x v="2"/>
  </r>
  <r>
    <x v="9"/>
    <x v="5"/>
    <x v="241"/>
    <x v="2"/>
  </r>
  <r>
    <x v="9"/>
    <x v="3"/>
    <x v="191"/>
    <x v="2"/>
  </r>
  <r>
    <x v="9"/>
    <x v="10"/>
    <x v="100"/>
    <x v="2"/>
  </r>
  <r>
    <x v="9"/>
    <x v="0"/>
    <x v="46"/>
    <x v="2"/>
  </r>
  <r>
    <x v="9"/>
    <x v="11"/>
    <x v="0"/>
    <x v="2"/>
  </r>
  <r>
    <x v="10"/>
    <x v="11"/>
    <x v="205"/>
    <x v="2"/>
  </r>
  <r>
    <x v="10"/>
    <x v="0"/>
    <x v="174"/>
    <x v="2"/>
  </r>
  <r>
    <x v="10"/>
    <x v="5"/>
    <x v="120"/>
    <x v="2"/>
  </r>
  <r>
    <x v="10"/>
    <x v="10"/>
    <x v="84"/>
    <x v="2"/>
  </r>
  <r>
    <x v="10"/>
    <x v="7"/>
    <x v="83"/>
    <x v="2"/>
  </r>
  <r>
    <x v="10"/>
    <x v="4"/>
    <x v="48"/>
    <x v="2"/>
  </r>
  <r>
    <x v="11"/>
    <x v="0"/>
    <x v="220"/>
    <x v="2"/>
  </r>
  <r>
    <x v="11"/>
    <x v="11"/>
    <x v="197"/>
    <x v="2"/>
  </r>
  <r>
    <x v="11"/>
    <x v="5"/>
    <x v="151"/>
    <x v="2"/>
  </r>
  <r>
    <x v="11"/>
    <x v="4"/>
    <x v="101"/>
    <x v="2"/>
  </r>
  <r>
    <x v="11"/>
    <x v="9"/>
    <x v="37"/>
    <x v="2"/>
  </r>
  <r>
    <x v="11"/>
    <x v="7"/>
    <x v="28"/>
    <x v="2"/>
  </r>
  <r>
    <x v="12"/>
    <x v="5"/>
    <x v="270"/>
    <x v="2"/>
  </r>
  <r>
    <x v="12"/>
    <x v="7"/>
    <x v="248"/>
    <x v="2"/>
  </r>
  <r>
    <x v="12"/>
    <x v="6"/>
    <x v="197"/>
    <x v="2"/>
  </r>
  <r>
    <x v="12"/>
    <x v="1"/>
    <x v="126"/>
    <x v="2"/>
  </r>
  <r>
    <x v="12"/>
    <x v="4"/>
    <x v="123"/>
    <x v="2"/>
  </r>
  <r>
    <x v="12"/>
    <x v="11"/>
    <x v="0"/>
    <x v="2"/>
  </r>
  <r>
    <x v="13"/>
    <x v="3"/>
    <x v="238"/>
    <x v="2"/>
  </r>
  <r>
    <x v="13"/>
    <x v="5"/>
    <x v="224"/>
    <x v="2"/>
  </r>
  <r>
    <x v="13"/>
    <x v="7"/>
    <x v="168"/>
    <x v="2"/>
  </r>
  <r>
    <x v="13"/>
    <x v="10"/>
    <x v="115"/>
    <x v="2"/>
  </r>
  <r>
    <x v="13"/>
    <x v="11"/>
    <x v="14"/>
    <x v="2"/>
  </r>
  <r>
    <x v="13"/>
    <x v="0"/>
    <x v="11"/>
    <x v="2"/>
  </r>
  <r>
    <x v="14"/>
    <x v="3"/>
    <x v="218"/>
    <x v="2"/>
  </r>
  <r>
    <x v="14"/>
    <x v="5"/>
    <x v="198"/>
    <x v="2"/>
  </r>
  <r>
    <x v="14"/>
    <x v="7"/>
    <x v="170"/>
    <x v="2"/>
  </r>
  <r>
    <x v="14"/>
    <x v="10"/>
    <x v="56"/>
    <x v="2"/>
  </r>
  <r>
    <x v="14"/>
    <x v="6"/>
    <x v="44"/>
    <x v="2"/>
  </r>
  <r>
    <x v="14"/>
    <x v="11"/>
    <x v="42"/>
    <x v="2"/>
  </r>
  <r>
    <x v="15"/>
    <x v="0"/>
    <x v="304"/>
    <x v="2"/>
  </r>
  <r>
    <x v="15"/>
    <x v="5"/>
    <x v="156"/>
    <x v="2"/>
  </r>
  <r>
    <x v="15"/>
    <x v="7"/>
    <x v="135"/>
    <x v="2"/>
  </r>
  <r>
    <x v="15"/>
    <x v="3"/>
    <x v="114"/>
    <x v="2"/>
  </r>
  <r>
    <x v="15"/>
    <x v="6"/>
    <x v="58"/>
    <x v="2"/>
  </r>
  <r>
    <x v="15"/>
    <x v="11"/>
    <x v="0"/>
    <x v="2"/>
  </r>
  <r>
    <x v="16"/>
    <x v="0"/>
    <x v="229"/>
    <x v="2"/>
  </r>
  <r>
    <x v="16"/>
    <x v="7"/>
    <x v="203"/>
    <x v="2"/>
  </r>
  <r>
    <x v="16"/>
    <x v="11"/>
    <x v="136"/>
    <x v="2"/>
  </r>
  <r>
    <x v="16"/>
    <x v="5"/>
    <x v="91"/>
    <x v="2"/>
  </r>
  <r>
    <x v="16"/>
    <x v="6"/>
    <x v="78"/>
    <x v="2"/>
  </r>
  <r>
    <x v="16"/>
    <x v="8"/>
    <x v="10"/>
    <x v="2"/>
  </r>
  <r>
    <x v="17"/>
    <x v="0"/>
    <x v="225"/>
    <x v="2"/>
  </r>
  <r>
    <x v="17"/>
    <x v="5"/>
    <x v="153"/>
    <x v="2"/>
  </r>
  <r>
    <x v="17"/>
    <x v="7"/>
    <x v="119"/>
    <x v="2"/>
  </r>
  <r>
    <x v="17"/>
    <x v="11"/>
    <x v="81"/>
    <x v="2"/>
  </r>
  <r>
    <x v="17"/>
    <x v="3"/>
    <x v="70"/>
    <x v="2"/>
  </r>
  <r>
    <x v="17"/>
    <x v="10"/>
    <x v="65"/>
    <x v="2"/>
  </r>
  <r>
    <x v="18"/>
    <x v="0"/>
    <x v="276"/>
    <x v="2"/>
  </r>
  <r>
    <x v="18"/>
    <x v="7"/>
    <x v="110"/>
    <x v="2"/>
  </r>
  <r>
    <x v="18"/>
    <x v="5"/>
    <x v="101"/>
    <x v="2"/>
  </r>
  <r>
    <x v="18"/>
    <x v="11"/>
    <x v="85"/>
    <x v="2"/>
  </r>
  <r>
    <x v="18"/>
    <x v="3"/>
    <x v="61"/>
    <x v="2"/>
  </r>
  <r>
    <x v="18"/>
    <x v="10"/>
    <x v="54"/>
    <x v="2"/>
  </r>
  <r>
    <x v="19"/>
    <x v="7"/>
    <x v="269"/>
    <x v="2"/>
  </r>
  <r>
    <x v="19"/>
    <x v="0"/>
    <x v="231"/>
    <x v="2"/>
  </r>
  <r>
    <x v="19"/>
    <x v="10"/>
    <x v="223"/>
    <x v="2"/>
  </r>
  <r>
    <x v="19"/>
    <x v="5"/>
    <x v="183"/>
    <x v="2"/>
  </r>
  <r>
    <x v="19"/>
    <x v="3"/>
    <x v="70"/>
    <x v="2"/>
  </r>
  <r>
    <x v="19"/>
    <x v="11"/>
    <x v="0"/>
    <x v="2"/>
  </r>
  <r>
    <x v="20"/>
    <x v="5"/>
    <x v="268"/>
    <x v="2"/>
  </r>
  <r>
    <x v="20"/>
    <x v="7"/>
    <x v="236"/>
    <x v="2"/>
  </r>
  <r>
    <x v="20"/>
    <x v="3"/>
    <x v="200"/>
    <x v="2"/>
  </r>
  <r>
    <x v="20"/>
    <x v="10"/>
    <x v="176"/>
    <x v="2"/>
  </r>
  <r>
    <x v="20"/>
    <x v="0"/>
    <x v="89"/>
    <x v="2"/>
  </r>
  <r>
    <x v="20"/>
    <x v="11"/>
    <x v="0"/>
    <x v="2"/>
  </r>
  <r>
    <x v="21"/>
    <x v="5"/>
    <x v="275"/>
    <x v="2"/>
  </r>
  <r>
    <x v="21"/>
    <x v="3"/>
    <x v="248"/>
    <x v="2"/>
  </r>
  <r>
    <x v="21"/>
    <x v="10"/>
    <x v="162"/>
    <x v="2"/>
  </r>
  <r>
    <x v="21"/>
    <x v="0"/>
    <x v="144"/>
    <x v="2"/>
  </r>
  <r>
    <x v="21"/>
    <x v="1"/>
    <x v="131"/>
    <x v="2"/>
  </r>
  <r>
    <x v="21"/>
    <x v="11"/>
    <x v="0"/>
    <x v="2"/>
  </r>
  <r>
    <x v="22"/>
    <x v="5"/>
    <x v="223"/>
    <x v="2"/>
  </r>
  <r>
    <x v="22"/>
    <x v="3"/>
    <x v="214"/>
    <x v="2"/>
  </r>
  <r>
    <x v="22"/>
    <x v="0"/>
    <x v="155"/>
    <x v="2"/>
  </r>
  <r>
    <x v="22"/>
    <x v="7"/>
    <x v="111"/>
    <x v="2"/>
  </r>
  <r>
    <x v="22"/>
    <x v="10"/>
    <x v="29"/>
    <x v="2"/>
  </r>
  <r>
    <x v="22"/>
    <x v="11"/>
    <x v="21"/>
    <x v="2"/>
  </r>
  <r>
    <x v="23"/>
    <x v="7"/>
    <x v="253"/>
    <x v="2"/>
  </r>
  <r>
    <x v="23"/>
    <x v="5"/>
    <x v="252"/>
    <x v="2"/>
  </r>
  <r>
    <x v="23"/>
    <x v="0"/>
    <x v="221"/>
    <x v="2"/>
  </r>
  <r>
    <x v="23"/>
    <x v="3"/>
    <x v="176"/>
    <x v="2"/>
  </r>
  <r>
    <x v="23"/>
    <x v="6"/>
    <x v="67"/>
    <x v="2"/>
  </r>
  <r>
    <x v="23"/>
    <x v="11"/>
    <x v="0"/>
    <x v="2"/>
  </r>
  <r>
    <x v="24"/>
    <x v="7"/>
    <x v="283"/>
    <x v="2"/>
  </r>
  <r>
    <x v="24"/>
    <x v="5"/>
    <x v="226"/>
    <x v="2"/>
  </r>
  <r>
    <x v="24"/>
    <x v="3"/>
    <x v="199"/>
    <x v="2"/>
  </r>
  <r>
    <x v="24"/>
    <x v="0"/>
    <x v="140"/>
    <x v="2"/>
  </r>
  <r>
    <x v="24"/>
    <x v="6"/>
    <x v="102"/>
    <x v="2"/>
  </r>
  <r>
    <x v="24"/>
    <x v="11"/>
    <x v="0"/>
    <x v="2"/>
  </r>
  <r>
    <x v="0"/>
    <x v="10"/>
    <x v="333"/>
    <x v="3"/>
  </r>
  <r>
    <x v="0"/>
    <x v="5"/>
    <x v="324"/>
    <x v="3"/>
  </r>
  <r>
    <x v="0"/>
    <x v="7"/>
    <x v="312"/>
    <x v="3"/>
  </r>
  <r>
    <x v="0"/>
    <x v="11"/>
    <x v="0"/>
    <x v="3"/>
  </r>
  <r>
    <x v="1"/>
    <x v="5"/>
    <x v="290"/>
    <x v="3"/>
  </r>
  <r>
    <x v="1"/>
    <x v="10"/>
    <x v="266"/>
    <x v="3"/>
  </r>
  <r>
    <x v="1"/>
    <x v="2"/>
    <x v="137"/>
    <x v="3"/>
  </r>
  <r>
    <x v="1"/>
    <x v="7"/>
    <x v="109"/>
    <x v="3"/>
  </r>
  <r>
    <x v="1"/>
    <x v="3"/>
    <x v="93"/>
    <x v="3"/>
  </r>
  <r>
    <x v="1"/>
    <x v="11"/>
    <x v="0"/>
    <x v="3"/>
  </r>
  <r>
    <x v="2"/>
    <x v="5"/>
    <x v="346"/>
    <x v="3"/>
  </r>
  <r>
    <x v="2"/>
    <x v="11"/>
    <x v="0"/>
    <x v="3"/>
  </r>
  <r>
    <x v="3"/>
    <x v="5"/>
    <x v="254"/>
    <x v="3"/>
  </r>
  <r>
    <x v="3"/>
    <x v="7"/>
    <x v="138"/>
    <x v="3"/>
  </r>
  <r>
    <x v="3"/>
    <x v="0"/>
    <x v="128"/>
    <x v="3"/>
  </r>
  <r>
    <x v="3"/>
    <x v="10"/>
    <x v="113"/>
    <x v="3"/>
  </r>
  <r>
    <x v="3"/>
    <x v="3"/>
    <x v="39"/>
    <x v="3"/>
  </r>
  <r>
    <x v="3"/>
    <x v="11"/>
    <x v="37"/>
    <x v="3"/>
  </r>
  <r>
    <x v="4"/>
    <x v="10"/>
    <x v="215"/>
    <x v="3"/>
  </r>
  <r>
    <x v="4"/>
    <x v="5"/>
    <x v="175"/>
    <x v="3"/>
  </r>
  <r>
    <x v="4"/>
    <x v="0"/>
    <x v="134"/>
    <x v="3"/>
  </r>
  <r>
    <x v="4"/>
    <x v="7"/>
    <x v="108"/>
    <x v="3"/>
  </r>
  <r>
    <x v="4"/>
    <x v="11"/>
    <x v="49"/>
    <x v="3"/>
  </r>
  <r>
    <x v="4"/>
    <x v="8"/>
    <x v="43"/>
    <x v="3"/>
  </r>
  <r>
    <x v="5"/>
    <x v="10"/>
    <x v="296"/>
    <x v="3"/>
  </r>
  <r>
    <x v="5"/>
    <x v="5"/>
    <x v="242"/>
    <x v="3"/>
  </r>
  <r>
    <x v="5"/>
    <x v="7"/>
    <x v="154"/>
    <x v="3"/>
  </r>
  <r>
    <x v="5"/>
    <x v="0"/>
    <x v="120"/>
    <x v="3"/>
  </r>
  <r>
    <x v="5"/>
    <x v="8"/>
    <x v="50"/>
    <x v="3"/>
  </r>
  <r>
    <x v="5"/>
    <x v="11"/>
    <x v="0"/>
    <x v="3"/>
  </r>
  <r>
    <x v="6"/>
    <x v="10"/>
    <x v="345"/>
    <x v="3"/>
  </r>
  <r>
    <x v="6"/>
    <x v="7"/>
    <x v="338"/>
    <x v="3"/>
  </r>
  <r>
    <x v="6"/>
    <x v="11"/>
    <x v="0"/>
    <x v="3"/>
  </r>
  <r>
    <x v="7"/>
    <x v="9"/>
    <x v="343"/>
    <x v="3"/>
  </r>
  <r>
    <x v="7"/>
    <x v="3"/>
    <x v="340"/>
    <x v="3"/>
  </r>
  <r>
    <x v="7"/>
    <x v="11"/>
    <x v="0"/>
    <x v="3"/>
  </r>
  <r>
    <x v="8"/>
    <x v="7"/>
    <x v="342"/>
    <x v="3"/>
  </r>
  <r>
    <x v="8"/>
    <x v="5"/>
    <x v="341"/>
    <x v="3"/>
  </r>
  <r>
    <x v="8"/>
    <x v="11"/>
    <x v="0"/>
    <x v="3"/>
  </r>
  <r>
    <x v="9"/>
    <x v="7"/>
    <x v="293"/>
    <x v="3"/>
  </r>
  <r>
    <x v="9"/>
    <x v="5"/>
    <x v="262"/>
    <x v="3"/>
  </r>
  <r>
    <x v="9"/>
    <x v="10"/>
    <x v="196"/>
    <x v="3"/>
  </r>
  <r>
    <x v="9"/>
    <x v="3"/>
    <x v="142"/>
    <x v="3"/>
  </r>
  <r>
    <x v="9"/>
    <x v="6"/>
    <x v="13"/>
    <x v="3"/>
  </r>
  <r>
    <x v="9"/>
    <x v="11"/>
    <x v="0"/>
    <x v="3"/>
  </r>
  <r>
    <x v="10"/>
    <x v="5"/>
    <x v="217"/>
    <x v="3"/>
  </r>
  <r>
    <x v="10"/>
    <x v="7"/>
    <x v="168"/>
    <x v="3"/>
  </r>
  <r>
    <x v="10"/>
    <x v="10"/>
    <x v="166"/>
    <x v="3"/>
  </r>
  <r>
    <x v="10"/>
    <x v="11"/>
    <x v="74"/>
    <x v="3"/>
  </r>
  <r>
    <x v="10"/>
    <x v="9"/>
    <x v="60"/>
    <x v="3"/>
  </r>
  <r>
    <x v="10"/>
    <x v="0"/>
    <x v="36"/>
    <x v="3"/>
  </r>
  <r>
    <x v="11"/>
    <x v="5"/>
    <x v="247"/>
    <x v="3"/>
  </r>
  <r>
    <x v="11"/>
    <x v="7"/>
    <x v="234"/>
    <x v="3"/>
  </r>
  <r>
    <x v="11"/>
    <x v="0"/>
    <x v="195"/>
    <x v="3"/>
  </r>
  <r>
    <x v="11"/>
    <x v="4"/>
    <x v="181"/>
    <x v="3"/>
  </r>
  <r>
    <x v="11"/>
    <x v="10"/>
    <x v="127"/>
    <x v="3"/>
  </r>
  <r>
    <x v="11"/>
    <x v="11"/>
    <x v="0"/>
    <x v="3"/>
  </r>
  <r>
    <x v="12"/>
    <x v="5"/>
    <x v="272"/>
    <x v="3"/>
  </r>
  <r>
    <x v="12"/>
    <x v="7"/>
    <x v="261"/>
    <x v="3"/>
  </r>
  <r>
    <x v="12"/>
    <x v="10"/>
    <x v="200"/>
    <x v="3"/>
  </r>
  <r>
    <x v="12"/>
    <x v="0"/>
    <x v="118"/>
    <x v="3"/>
  </r>
  <r>
    <x v="12"/>
    <x v="3"/>
    <x v="97"/>
    <x v="3"/>
  </r>
  <r>
    <x v="12"/>
    <x v="11"/>
    <x v="0"/>
    <x v="3"/>
  </r>
  <r>
    <x v="13"/>
    <x v="10"/>
    <x v="257"/>
    <x v="3"/>
  </r>
  <r>
    <x v="13"/>
    <x v="7"/>
    <x v="172"/>
    <x v="3"/>
  </r>
  <r>
    <x v="13"/>
    <x v="5"/>
    <x v="133"/>
    <x v="3"/>
  </r>
  <r>
    <x v="13"/>
    <x v="3"/>
    <x v="127"/>
    <x v="3"/>
  </r>
  <r>
    <x v="13"/>
    <x v="11"/>
    <x v="31"/>
    <x v="3"/>
  </r>
  <r>
    <x v="13"/>
    <x v="8"/>
    <x v="15"/>
    <x v="3"/>
  </r>
  <r>
    <x v="14"/>
    <x v="10"/>
    <x v="260"/>
    <x v="3"/>
  </r>
  <r>
    <x v="14"/>
    <x v="7"/>
    <x v="239"/>
    <x v="3"/>
  </r>
  <r>
    <x v="14"/>
    <x v="5"/>
    <x v="192"/>
    <x v="3"/>
  </r>
  <r>
    <x v="14"/>
    <x v="3"/>
    <x v="175"/>
    <x v="3"/>
  </r>
  <r>
    <x v="14"/>
    <x v="8"/>
    <x v="103"/>
    <x v="3"/>
  </r>
  <r>
    <x v="14"/>
    <x v="11"/>
    <x v="0"/>
    <x v="3"/>
  </r>
  <r>
    <x v="15"/>
    <x v="10"/>
    <x v="273"/>
    <x v="3"/>
  </r>
  <r>
    <x v="15"/>
    <x v="7"/>
    <x v="249"/>
    <x v="3"/>
  </r>
  <r>
    <x v="15"/>
    <x v="5"/>
    <x v="189"/>
    <x v="3"/>
  </r>
  <r>
    <x v="15"/>
    <x v="0"/>
    <x v="169"/>
    <x v="3"/>
  </r>
  <r>
    <x v="15"/>
    <x v="3"/>
    <x v="76"/>
    <x v="3"/>
  </r>
  <r>
    <x v="15"/>
    <x v="11"/>
    <x v="0"/>
    <x v="3"/>
  </r>
  <r>
    <x v="16"/>
    <x v="0"/>
    <x v="258"/>
    <x v="3"/>
  </r>
  <r>
    <x v="16"/>
    <x v="7"/>
    <x v="202"/>
    <x v="3"/>
  </r>
  <r>
    <x v="16"/>
    <x v="5"/>
    <x v="130"/>
    <x v="3"/>
  </r>
  <r>
    <x v="16"/>
    <x v="11"/>
    <x v="79"/>
    <x v="3"/>
  </r>
  <r>
    <x v="16"/>
    <x v="6"/>
    <x v="37"/>
    <x v="3"/>
  </r>
  <r>
    <x v="16"/>
    <x v="10"/>
    <x v="20"/>
    <x v="3"/>
  </r>
  <r>
    <x v="17"/>
    <x v="7"/>
    <x v="170"/>
    <x v="3"/>
  </r>
  <r>
    <x v="17"/>
    <x v="10"/>
    <x v="147"/>
    <x v="3"/>
  </r>
  <r>
    <x v="17"/>
    <x v="5"/>
    <x v="140"/>
    <x v="3"/>
  </r>
  <r>
    <x v="17"/>
    <x v="0"/>
    <x v="124"/>
    <x v="3"/>
  </r>
  <r>
    <x v="17"/>
    <x v="11"/>
    <x v="80"/>
    <x v="3"/>
  </r>
  <r>
    <x v="17"/>
    <x v="9"/>
    <x v="53"/>
    <x v="3"/>
  </r>
  <r>
    <x v="18"/>
    <x v="10"/>
    <x v="281"/>
    <x v="3"/>
  </r>
  <r>
    <x v="18"/>
    <x v="0"/>
    <x v="201"/>
    <x v="3"/>
  </r>
  <r>
    <x v="18"/>
    <x v="5"/>
    <x v="178"/>
    <x v="3"/>
  </r>
  <r>
    <x v="18"/>
    <x v="7"/>
    <x v="151"/>
    <x v="3"/>
  </r>
  <r>
    <x v="18"/>
    <x v="3"/>
    <x v="144"/>
    <x v="3"/>
  </r>
  <r>
    <x v="18"/>
    <x v="11"/>
    <x v="0"/>
    <x v="3"/>
  </r>
  <r>
    <x v="19"/>
    <x v="10"/>
    <x v="285"/>
    <x v="3"/>
  </r>
  <r>
    <x v="19"/>
    <x v="7"/>
    <x v="224"/>
    <x v="3"/>
  </r>
  <r>
    <x v="19"/>
    <x v="5"/>
    <x v="212"/>
    <x v="3"/>
  </r>
  <r>
    <x v="19"/>
    <x v="3"/>
    <x v="166"/>
    <x v="3"/>
  </r>
  <r>
    <x v="19"/>
    <x v="9"/>
    <x v="69"/>
    <x v="3"/>
  </r>
  <r>
    <x v="19"/>
    <x v="11"/>
    <x v="0"/>
    <x v="3"/>
  </r>
  <r>
    <x v="20"/>
    <x v="7"/>
    <x v="274"/>
    <x v="3"/>
  </r>
  <r>
    <x v="20"/>
    <x v="10"/>
    <x v="201"/>
    <x v="3"/>
  </r>
  <r>
    <x v="20"/>
    <x v="5"/>
    <x v="185"/>
    <x v="3"/>
  </r>
  <r>
    <x v="20"/>
    <x v="3"/>
    <x v="128"/>
    <x v="3"/>
  </r>
  <r>
    <x v="20"/>
    <x v="11"/>
    <x v="3"/>
    <x v="3"/>
  </r>
  <r>
    <x v="20"/>
    <x v="1"/>
    <x v="2"/>
    <x v="3"/>
  </r>
  <r>
    <x v="21"/>
    <x v="5"/>
    <x v="277"/>
    <x v="3"/>
  </r>
  <r>
    <x v="21"/>
    <x v="10"/>
    <x v="242"/>
    <x v="3"/>
  </r>
  <r>
    <x v="21"/>
    <x v="7"/>
    <x v="237"/>
    <x v="3"/>
  </r>
  <r>
    <x v="21"/>
    <x v="3"/>
    <x v="211"/>
    <x v="3"/>
  </r>
  <r>
    <x v="21"/>
    <x v="0"/>
    <x v="19"/>
    <x v="3"/>
  </r>
  <r>
    <x v="21"/>
    <x v="11"/>
    <x v="0"/>
    <x v="3"/>
  </r>
  <r>
    <x v="22"/>
    <x v="10"/>
    <x v="264"/>
    <x v="3"/>
  </r>
  <r>
    <x v="22"/>
    <x v="7"/>
    <x v="185"/>
    <x v="3"/>
  </r>
  <r>
    <x v="22"/>
    <x v="5"/>
    <x v="183"/>
    <x v="3"/>
  </r>
  <r>
    <x v="22"/>
    <x v="0"/>
    <x v="52"/>
    <x v="3"/>
  </r>
  <r>
    <x v="22"/>
    <x v="3"/>
    <x v="52"/>
    <x v="3"/>
  </r>
  <r>
    <x v="22"/>
    <x v="11"/>
    <x v="7"/>
    <x v="3"/>
  </r>
  <r>
    <x v="23"/>
    <x v="7"/>
    <x v="246"/>
    <x v="3"/>
  </r>
  <r>
    <x v="23"/>
    <x v="5"/>
    <x v="171"/>
    <x v="3"/>
  </r>
  <r>
    <x v="23"/>
    <x v="10"/>
    <x v="146"/>
    <x v="3"/>
  </r>
  <r>
    <x v="23"/>
    <x v="8"/>
    <x v="70"/>
    <x v="3"/>
  </r>
  <r>
    <x v="23"/>
    <x v="3"/>
    <x v="69"/>
    <x v="3"/>
  </r>
  <r>
    <x v="23"/>
    <x v="11"/>
    <x v="26"/>
    <x v="3"/>
  </r>
  <r>
    <x v="24"/>
    <x v="7"/>
    <x v="265"/>
    <x v="3"/>
  </r>
  <r>
    <x v="24"/>
    <x v="10"/>
    <x v="262"/>
    <x v="3"/>
  </r>
  <r>
    <x v="24"/>
    <x v="8"/>
    <x v="145"/>
    <x v="3"/>
  </r>
  <r>
    <x v="24"/>
    <x v="5"/>
    <x v="141"/>
    <x v="3"/>
  </r>
  <r>
    <x v="24"/>
    <x v="3"/>
    <x v="139"/>
    <x v="3"/>
  </r>
  <r>
    <x v="24"/>
    <x v="11"/>
    <x v="0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E3:L18" firstHeaderRow="1" firstDataRow="2" firstDataCol="1"/>
  <pivotFields count="3"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compact="0" outline="0" showAll="0"/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- ABS Delta" fld="1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2:K29" firstHeaderRow="1" firstDataRow="2" firstDataCol="1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compact="0" showAll="0"/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weight" fld="2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32:L224" firstHeaderRow="1" firstDataRow="2" firstDataCol="2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2">
    <field x="0"/>
    <field x="1"/>
  </rowFields>
  <rowItems count="191">
    <i>
      <x/>
      <x/>
    </i>
    <i r="1">
      <x v="5"/>
    </i>
    <i r="1">
      <x v="7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5"/>
    </i>
    <i r="1">
      <x v="7"/>
    </i>
    <i r="1">
      <x v="10"/>
    </i>
    <i r="1">
      <x v="11"/>
    </i>
    <i>
      <x v="2"/>
      <x/>
    </i>
    <i r="1">
      <x v="1"/>
    </i>
    <i r="1">
      <x v="2"/>
    </i>
    <i r="1">
      <x v="4"/>
    </i>
    <i r="1">
      <x v="5"/>
    </i>
    <i r="1">
      <x v="7"/>
    </i>
    <i r="1">
      <x v="11"/>
    </i>
    <i>
      <x v="3"/>
      <x/>
    </i>
    <i r="1">
      <x v="1"/>
    </i>
    <i r="1">
      <x v="3"/>
    </i>
    <i r="1">
      <x v="5"/>
    </i>
    <i r="1">
      <x v="7"/>
    </i>
    <i r="1">
      <x v="9"/>
    </i>
    <i r="1">
      <x v="10"/>
    </i>
    <i r="1">
      <x v="11"/>
    </i>
    <i>
      <x v="4"/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1"/>
    </i>
    <i>
      <x v="5"/>
      <x/>
    </i>
    <i r="1">
      <x v="1"/>
    </i>
    <i r="1">
      <x v="3"/>
    </i>
    <i r="1">
      <x v="5"/>
    </i>
    <i r="1">
      <x v="7"/>
    </i>
    <i r="1">
      <x v="8"/>
    </i>
    <i r="1">
      <x v="10"/>
    </i>
    <i r="1">
      <x v="11"/>
    </i>
    <i>
      <x v="6"/>
      <x/>
    </i>
    <i r="1">
      <x v="5"/>
    </i>
    <i r="1">
      <x v="7"/>
    </i>
    <i r="1">
      <x v="10"/>
    </i>
    <i r="1">
      <x v="11"/>
    </i>
    <i>
      <x v="7"/>
      <x/>
    </i>
    <i r="1">
      <x v="1"/>
    </i>
    <i r="1">
      <x v="3"/>
    </i>
    <i r="1">
      <x v="7"/>
    </i>
    <i r="1">
      <x v="9"/>
    </i>
    <i r="1">
      <x v="11"/>
    </i>
    <i>
      <x v="8"/>
      <x v="5"/>
    </i>
    <i r="1">
      <x v="7"/>
    </i>
    <i r="1">
      <x v="11"/>
    </i>
    <i>
      <x v="9"/>
      <x/>
    </i>
    <i r="1">
      <x v="1"/>
    </i>
    <i r="1">
      <x v="3"/>
    </i>
    <i r="1">
      <x v="5"/>
    </i>
    <i r="1">
      <x v="6"/>
    </i>
    <i r="1">
      <x v="7"/>
    </i>
    <i r="1">
      <x v="10"/>
    </i>
    <i r="1">
      <x v="11"/>
    </i>
    <i>
      <x v="10"/>
      <x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4"/>
    </i>
    <i r="1">
      <x v="5"/>
    </i>
    <i r="1">
      <x v="7"/>
    </i>
    <i r="1">
      <x v="9"/>
    </i>
    <i r="1">
      <x v="10"/>
    </i>
    <i r="1">
      <x v="11"/>
    </i>
    <i>
      <x v="12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13"/>
      <x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  <x v="3"/>
    </i>
    <i r="1">
      <x v="5"/>
    </i>
    <i r="1">
      <x v="6"/>
    </i>
    <i r="1">
      <x v="7"/>
    </i>
    <i r="1">
      <x v="8"/>
    </i>
    <i r="1">
      <x v="10"/>
    </i>
    <i r="1">
      <x v="11"/>
    </i>
    <i>
      <x v="15"/>
      <x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>
      <x v="16"/>
      <x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  <x/>
    </i>
    <i r="1">
      <x v="3"/>
    </i>
    <i r="1">
      <x v="5"/>
    </i>
    <i r="1">
      <x v="7"/>
    </i>
    <i r="1">
      <x v="9"/>
    </i>
    <i r="1">
      <x v="10"/>
    </i>
    <i r="1">
      <x v="11"/>
    </i>
    <i>
      <x v="18"/>
      <x/>
    </i>
    <i r="1">
      <x v="3"/>
    </i>
    <i r="1">
      <x v="5"/>
    </i>
    <i r="1">
      <x v="7"/>
    </i>
    <i r="1">
      <x v="9"/>
    </i>
    <i r="1">
      <x v="10"/>
    </i>
    <i r="1">
      <x v="11"/>
    </i>
    <i>
      <x v="19"/>
      <x/>
    </i>
    <i r="1">
      <x v="3"/>
    </i>
    <i r="1">
      <x v="5"/>
    </i>
    <i r="1">
      <x v="7"/>
    </i>
    <i r="1">
      <x v="9"/>
    </i>
    <i r="1">
      <x v="10"/>
    </i>
    <i r="1">
      <x v="11"/>
    </i>
    <i>
      <x v="20"/>
      <x/>
    </i>
    <i r="1">
      <x v="1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>
      <x v="21"/>
      <x/>
    </i>
    <i r="1">
      <x v="1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>
      <x v="22"/>
      <x/>
    </i>
    <i r="1">
      <x v="3"/>
    </i>
    <i r="1">
      <x v="5"/>
    </i>
    <i r="1">
      <x v="7"/>
    </i>
    <i r="1">
      <x v="10"/>
    </i>
    <i r="1">
      <x v="11"/>
    </i>
    <i>
      <x v="23"/>
      <x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  <x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- weight" fld="2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227:K241" firstHeaderRow="1" firstDataRow="2" firstDataCol="1"/>
  <pivotFields count="4">
    <pivotField compact="0" showAl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weight" fld="2" subtotal="count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277:L304" firstHeaderRow="1" firstDataRow="2" firstDataCol="2"/>
  <pivotFields count="4">
    <pivotField compact="0" showAl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26">
    <i>
      <x/>
    </i>
    <i r="1"/>
    <i>
      <x v="1"/>
    </i>
    <i r="1"/>
    <i>
      <x v="2"/>
    </i>
    <i r="1"/>
    <i>
      <x v="3"/>
    </i>
    <i r="1"/>
    <i>
      <x v="4"/>
    </i>
    <i r="1"/>
    <i>
      <x v="5"/>
    </i>
    <i r="1"/>
    <i>
      <x v="6"/>
    </i>
    <i r="1"/>
    <i>
      <x v="7"/>
    </i>
    <i r="1"/>
    <i>
      <x v="8"/>
    </i>
    <i r="1"/>
    <i>
      <x v="9"/>
    </i>
    <i r="1"/>
    <i>
      <x v="10"/>
    </i>
    <i r="1"/>
    <i>
      <x v="11"/>
    </i>
    <i r="1"/>
    <i t="default">
      <x/>
    </i>
    <i t="default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2">
    <dataField name="Count - weight" fld="2" subtotal="count" numFmtId="164"/>
    <dataField name="Average - weight*" fld="2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2:K358"/>
  <sheetViews>
    <sheetView showFormulas="false" showGridLines="true" showRowColHeaders="true" showZeros="true" rightToLeft="false" tabSelected="false" showOutlineSymbols="true" defaultGridColor="true" view="normal" topLeftCell="A199" colorId="64" zoomScale="125" zoomScaleNormal="125" zoomScalePageLayoutView="100" workbookViewId="0">
      <selection pane="topLeft" activeCell="A206" activeCellId="0" sqref="A206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2" min="2" style="1" width="20.89"/>
    <col collapsed="false" customWidth="true" hidden="false" outlineLevel="0" max="3" min="3" style="1" width="17.93"/>
    <col collapsed="false" customWidth="true" hidden="false" outlineLevel="0" max="5" min="4" style="1" width="25.57"/>
    <col collapsed="false" customWidth="true" hidden="false" outlineLevel="0" max="6" min="6" style="1" width="17.93"/>
    <col collapsed="false" customWidth="true" hidden="false" outlineLevel="0" max="9" min="9" style="2" width="30.14"/>
    <col collapsed="false" customWidth="true" hidden="false" outlineLevel="0" max="10" min="10" style="1" width="20.52"/>
    <col collapsed="false" customWidth="true" hidden="false" outlineLevel="0" max="11" min="11" style="1" width="18.92"/>
  </cols>
  <sheetData>
    <row r="2" customFormat="false" ht="12.8" hidden="false" customHeight="false" outlineLevel="0" collapsed="false">
      <c r="A2" s="3" t="s">
        <v>0</v>
      </c>
      <c r="B2" s="4" t="s">
        <v>1</v>
      </c>
      <c r="C2" s="4" t="s">
        <v>2</v>
      </c>
      <c r="D2" s="4" t="s">
        <v>3</v>
      </c>
      <c r="E2" s="1" t="s">
        <v>4</v>
      </c>
      <c r="F2" s="1" t="s">
        <v>5</v>
      </c>
    </row>
    <row r="3" customFormat="false" ht="12.8" hidden="false" customHeight="false" outlineLevel="0" collapsed="false">
      <c r="A3" s="5" t="n">
        <v>1</v>
      </c>
      <c r="B3" s="1" t="n">
        <v>0.726604447396414</v>
      </c>
      <c r="C3" s="1" t="n">
        <v>0.745618221992126</v>
      </c>
      <c r="D3" s="1" t="n">
        <v>0.724099533668665</v>
      </c>
      <c r="E3" s="1" t="n">
        <v>0.726072655509358</v>
      </c>
      <c r="F3" s="1" t="n">
        <v>0.780357842803317</v>
      </c>
    </row>
    <row r="4" customFormat="false" ht="12.8" hidden="false" customHeight="false" outlineLevel="0" collapsed="false">
      <c r="A4" s="5" t="n">
        <v>2</v>
      </c>
      <c r="B4" s="1" t="n">
        <v>0.708959829151642</v>
      </c>
      <c r="C4" s="1" t="n">
        <v>0.731965622484604</v>
      </c>
      <c r="D4" s="1" t="n">
        <v>0.690405786547539</v>
      </c>
      <c r="E4" s="1" t="n">
        <v>0.682663698456168</v>
      </c>
      <c r="F4" s="1" t="n">
        <v>0.416207094658953</v>
      </c>
    </row>
    <row r="5" customFormat="false" ht="12.8" hidden="false" customHeight="false" outlineLevel="0" collapsed="false">
      <c r="A5" s="5" t="n">
        <v>3</v>
      </c>
      <c r="B5" s="1" t="n">
        <v>0.656250791088745</v>
      </c>
      <c r="C5" s="1" t="n">
        <v>0.556349411838211</v>
      </c>
      <c r="D5" s="1" t="n">
        <v>0.664424091143094</v>
      </c>
      <c r="E5" s="1" t="n">
        <v>0.615224454504257</v>
      </c>
      <c r="F5" s="1" t="n">
        <v>0.440694734258005</v>
      </c>
    </row>
    <row r="6" customFormat="false" ht="12.8" hidden="false" customHeight="false" outlineLevel="0" collapsed="false">
      <c r="A6" s="5" t="n">
        <v>4</v>
      </c>
      <c r="B6" s="1" t="n">
        <v>0.682480064346605</v>
      </c>
      <c r="C6" s="1" t="n">
        <v>0.746961278269468</v>
      </c>
      <c r="D6" s="1" t="n">
        <v>0.737872088358781</v>
      </c>
      <c r="E6" s="1" t="n">
        <v>0.728618275572537</v>
      </c>
      <c r="F6" s="1" t="n">
        <v>0.50298342709053</v>
      </c>
    </row>
    <row r="7" customFormat="false" ht="12.8" hidden="false" customHeight="false" outlineLevel="0" collapsed="false">
      <c r="A7" s="5" t="n">
        <v>5</v>
      </c>
      <c r="B7" s="1" t="n">
        <v>0.750666088952323</v>
      </c>
      <c r="C7" s="1" t="n">
        <v>0.736303129517049</v>
      </c>
      <c r="D7" s="1" t="n">
        <v>0.731664951542418</v>
      </c>
      <c r="E7" s="1" t="n">
        <v>0.688604056934627</v>
      </c>
      <c r="F7" s="1" t="n">
        <v>0.648378238204048</v>
      </c>
    </row>
    <row r="8" customFormat="false" ht="12.8" hidden="false" customHeight="false" outlineLevel="0" collapsed="false">
      <c r="A8" s="5" t="n">
        <v>6</v>
      </c>
      <c r="B8" s="1" t="n">
        <v>0.690037613967929</v>
      </c>
      <c r="C8" s="1" t="n">
        <v>0.693060520928815</v>
      </c>
      <c r="D8" s="1" t="n">
        <v>0.72767431707301</v>
      </c>
      <c r="E8" s="1" t="n">
        <v>0.669074893749943</v>
      </c>
      <c r="F8" s="1" t="n">
        <v>0.556905413484638</v>
      </c>
    </row>
    <row r="9" customFormat="false" ht="12.8" hidden="false" customHeight="false" outlineLevel="0" collapsed="false">
      <c r="A9" s="5" t="n">
        <v>7</v>
      </c>
      <c r="B9" s="1" t="n">
        <v>0.70889799084929</v>
      </c>
      <c r="C9" s="1" t="n">
        <v>0.748597564255249</v>
      </c>
      <c r="D9" s="1" t="n">
        <v>0.785159172931949</v>
      </c>
      <c r="E9" s="1" t="n">
        <v>0.759372504405003</v>
      </c>
      <c r="F9" s="1" t="n">
        <v>0.676587781456039</v>
      </c>
    </row>
    <row r="10" customFormat="false" ht="12.8" hidden="false" customHeight="false" outlineLevel="0" collapsed="false">
      <c r="A10" s="5" t="n">
        <v>8</v>
      </c>
      <c r="B10" s="1" t="n">
        <v>0.685546620467512</v>
      </c>
      <c r="C10" s="1" t="n">
        <v>0.705165938537343</v>
      </c>
      <c r="D10" s="1" t="n">
        <v>0.699365933104337</v>
      </c>
      <c r="E10" s="1" t="n">
        <v>0.695828504681874</v>
      </c>
      <c r="F10" s="1" t="n">
        <v>0.537556987618538</v>
      </c>
    </row>
    <row r="11" customFormat="false" ht="12.8" hidden="false" customHeight="false" outlineLevel="0" collapsed="false">
      <c r="A11" s="5" t="n">
        <v>9</v>
      </c>
      <c r="B11" s="1" t="n">
        <v>0.727629515141836</v>
      </c>
      <c r="C11" s="1" t="n">
        <v>0.750368716676119</v>
      </c>
      <c r="D11" s="1" t="n">
        <v>0.74686473255493</v>
      </c>
      <c r="E11" s="1" t="n">
        <v>0.779899573323697</v>
      </c>
      <c r="F11" s="1" t="n">
        <v>0.547450655337536</v>
      </c>
    </row>
    <row r="12" customFormat="false" ht="12.8" hidden="false" customHeight="false" outlineLevel="0" collapsed="false">
      <c r="A12" s="5" t="n">
        <v>10</v>
      </c>
      <c r="B12" s="1" t="n">
        <v>0.637485514971611</v>
      </c>
      <c r="C12" s="1" t="n">
        <v>0.682432996770851</v>
      </c>
      <c r="D12" s="1" t="n">
        <v>0.68571667055349</v>
      </c>
      <c r="E12" s="1" t="n">
        <v>0.632572298876227</v>
      </c>
      <c r="F12" s="1" t="n">
        <v>0.404475709994457</v>
      </c>
    </row>
    <row r="13" customFormat="false" ht="12.8" hidden="false" customHeight="false" outlineLevel="0" collapsed="false">
      <c r="A13" s="5" t="n">
        <v>11</v>
      </c>
      <c r="B13" s="1" t="n">
        <v>0.717989456556699</v>
      </c>
      <c r="C13" s="1" t="n">
        <v>0.72387381443217</v>
      </c>
      <c r="D13" s="1" t="n">
        <v>0.765114909147396</v>
      </c>
      <c r="E13" s="1" t="n">
        <v>0.733064212818954</v>
      </c>
      <c r="F13" s="1" t="n">
        <v>0.573512450710954</v>
      </c>
    </row>
    <row r="14" customFormat="false" ht="12.8" hidden="false" customHeight="false" outlineLevel="0" collapsed="false">
      <c r="A14" s="5" t="n">
        <v>12</v>
      </c>
      <c r="B14" s="1" t="n">
        <v>0.770906292597071</v>
      </c>
      <c r="C14" s="1" t="n">
        <v>0.667701763619203</v>
      </c>
      <c r="D14" s="1" t="n">
        <v>0.736644236479232</v>
      </c>
      <c r="E14" s="1" t="n">
        <v>0.693027541837124</v>
      </c>
      <c r="F14" s="1" t="n">
        <v>0.688426389427952</v>
      </c>
    </row>
    <row r="15" customFormat="false" ht="12.8" hidden="false" customHeight="false" outlineLevel="0" collapsed="false">
      <c r="A15" s="5" t="n">
        <v>13</v>
      </c>
      <c r="B15" s="1" t="n">
        <v>0.709827899363474</v>
      </c>
      <c r="C15" s="1" t="n">
        <v>0.72995268032519</v>
      </c>
      <c r="D15" s="1" t="n">
        <v>0.678666511575506</v>
      </c>
      <c r="E15" s="1" t="n">
        <v>0.704438316359018</v>
      </c>
      <c r="F15" s="1" t="n">
        <v>0.536732539192105</v>
      </c>
    </row>
    <row r="16" customFormat="false" ht="12.8" hidden="false" customHeight="false" outlineLevel="0" collapsed="false">
      <c r="A16" s="5" t="n">
        <v>14</v>
      </c>
      <c r="B16" s="1" t="n">
        <v>0.824775999287701</v>
      </c>
      <c r="C16" s="1" t="n">
        <v>0.79516955513513</v>
      </c>
      <c r="D16" s="1" t="n">
        <v>0.800148648147254</v>
      </c>
      <c r="E16" s="1" t="n">
        <v>0.822923799196468</v>
      </c>
      <c r="F16" s="1" t="n">
        <v>0.706905423359106</v>
      </c>
    </row>
    <row r="17" customFormat="false" ht="12.8" hidden="false" customHeight="false" outlineLevel="0" collapsed="false">
      <c r="A17" s="5" t="n">
        <v>15</v>
      </c>
      <c r="B17" s="1" t="n">
        <v>0.611331502918536</v>
      </c>
      <c r="C17" s="1" t="n">
        <v>0.641361051891741</v>
      </c>
      <c r="D17" s="1" t="n">
        <v>0.613656437383168</v>
      </c>
      <c r="E17" s="1" t="n">
        <v>0.598856826351013</v>
      </c>
      <c r="F17" s="1" t="n">
        <v>0.559275980049327</v>
      </c>
    </row>
    <row r="18" customFormat="false" ht="12.8" hidden="false" customHeight="false" outlineLevel="0" collapsed="false">
      <c r="A18" s="5" t="n">
        <v>16</v>
      </c>
      <c r="B18" s="1" t="n">
        <v>0.743473367956861</v>
      </c>
      <c r="C18" s="1" t="n">
        <v>0.758550116405013</v>
      </c>
      <c r="D18" s="1" t="n">
        <v>0.70191452728509</v>
      </c>
      <c r="E18" s="1" t="n">
        <v>0.745885490309946</v>
      </c>
      <c r="F18" s="1" t="n">
        <v>0.696687598503719</v>
      </c>
    </row>
    <row r="19" customFormat="false" ht="12.8" hidden="false" customHeight="false" outlineLevel="0" collapsed="false">
      <c r="A19" s="5" t="n">
        <v>17</v>
      </c>
      <c r="B19" s="1" t="n">
        <v>0.657769103514598</v>
      </c>
      <c r="C19" s="1" t="n">
        <v>0.694176028461883</v>
      </c>
      <c r="D19" s="1" t="n">
        <v>0.696040981259132</v>
      </c>
      <c r="E19" s="1" t="n">
        <v>0.627413040342658</v>
      </c>
      <c r="F19" s="1" t="n">
        <v>0.48999145280364</v>
      </c>
    </row>
    <row r="20" customFormat="false" ht="12.8" hidden="false" customHeight="false" outlineLevel="0" collapsed="false">
      <c r="A20" s="5" t="n">
        <v>18</v>
      </c>
      <c r="B20" s="1" t="n">
        <v>0.7336678926738</v>
      </c>
      <c r="C20" s="1" t="n">
        <v>0.753547411776315</v>
      </c>
      <c r="D20" s="1" t="n">
        <v>0.764111372525898</v>
      </c>
      <c r="E20" s="1" t="n">
        <v>0.764724151507591</v>
      </c>
      <c r="F20" s="1" t="n">
        <v>0.703777326026319</v>
      </c>
    </row>
    <row r="21" customFormat="false" ht="12.8" hidden="false" customHeight="false" outlineLevel="0" collapsed="false">
      <c r="A21" s="5" t="n">
        <v>19</v>
      </c>
      <c r="B21" s="1" t="n">
        <v>0.664769831999005</v>
      </c>
      <c r="C21" s="1" t="n">
        <v>0.718473139733635</v>
      </c>
      <c r="D21" s="1" t="n">
        <v>0.612949588021736</v>
      </c>
      <c r="E21" s="1" t="n">
        <v>0.665442717582544</v>
      </c>
      <c r="F21" s="1" t="n">
        <v>0.538311826027795</v>
      </c>
    </row>
    <row r="22" customFormat="false" ht="12.8" hidden="false" customHeight="false" outlineLevel="0" collapsed="false">
      <c r="A22" s="5" t="n">
        <v>20</v>
      </c>
      <c r="B22" s="1" t="n">
        <v>0.735511761701567</v>
      </c>
      <c r="C22" s="1" t="n">
        <v>0.754538991520845</v>
      </c>
      <c r="D22" s="1" t="n">
        <v>0.761234455225827</v>
      </c>
      <c r="E22" s="1" t="n">
        <v>0.739120010292957</v>
      </c>
      <c r="F22" s="1" t="n">
        <v>0.658619577213029</v>
      </c>
    </row>
    <row r="23" customFormat="false" ht="12.8" hidden="false" customHeight="false" outlineLevel="0" collapsed="false">
      <c r="A23" s="5" t="n">
        <v>21</v>
      </c>
      <c r="B23" s="1" t="n">
        <v>0.715466613809298</v>
      </c>
      <c r="C23" s="1" t="n">
        <v>0.71601754844973</v>
      </c>
      <c r="D23" s="1" t="n">
        <v>0.708545748319991</v>
      </c>
      <c r="E23" s="1" t="n">
        <v>0.740855593294062</v>
      </c>
      <c r="F23" s="1" t="n">
        <v>0.407653544913038</v>
      </c>
    </row>
    <row r="24" customFormat="false" ht="12.8" hidden="false" customHeight="false" outlineLevel="0" collapsed="false">
      <c r="A24" s="5" t="n">
        <v>22</v>
      </c>
      <c r="B24" s="1" t="n">
        <v>0.70902009513028</v>
      </c>
      <c r="C24" s="1" t="n">
        <v>0.751876513039488</v>
      </c>
      <c r="D24" s="1" t="n">
        <v>0.756069449327172</v>
      </c>
      <c r="E24" s="1" t="n">
        <v>0.724986030339445</v>
      </c>
      <c r="F24" s="1" t="n">
        <v>0.515876791249462</v>
      </c>
    </row>
    <row r="25" customFormat="false" ht="12.8" hidden="false" customHeight="false" outlineLevel="0" collapsed="false">
      <c r="A25" s="5" t="n">
        <v>23</v>
      </c>
      <c r="B25" s="1" t="n">
        <v>0.675856447847683</v>
      </c>
      <c r="C25" s="1" t="n">
        <v>0.717330086490848</v>
      </c>
      <c r="D25" s="1" t="n">
        <v>0.671531865451319</v>
      </c>
      <c r="E25" s="1" t="n">
        <v>0.732548067807027</v>
      </c>
      <c r="F25" s="1" t="n">
        <v>0.47404366030989</v>
      </c>
    </row>
    <row r="26" customFormat="false" ht="12.8" hidden="false" customHeight="false" outlineLevel="0" collapsed="false">
      <c r="A26" s="5" t="n">
        <v>24</v>
      </c>
      <c r="B26" s="1" t="n">
        <v>0.770886115042279</v>
      </c>
      <c r="C26" s="1" t="n">
        <v>0.810165160416988</v>
      </c>
      <c r="D26" s="1" t="n">
        <v>0.793327292068252</v>
      </c>
      <c r="E26" s="1" t="n">
        <v>0.810905330263776</v>
      </c>
      <c r="F26" s="1" t="n">
        <v>0.690137110745753</v>
      </c>
    </row>
    <row r="27" customFormat="false" ht="12.8" hidden="false" customHeight="false" outlineLevel="0" collapsed="false">
      <c r="A27" s="6" t="n">
        <v>25</v>
      </c>
      <c r="B27" s="1" t="n">
        <v>0.769586409524463</v>
      </c>
      <c r="C27" s="1" t="n">
        <v>0.72772399535443</v>
      </c>
      <c r="D27" s="1" t="n">
        <v>0.762254565867078</v>
      </c>
      <c r="E27" s="1" t="n">
        <v>0.7452068576726</v>
      </c>
      <c r="F27" s="1" t="n">
        <v>0.454708104680646</v>
      </c>
    </row>
    <row r="33" customFormat="false" ht="13.8" hidden="false" customHeight="true" outlineLevel="0" collapsed="false">
      <c r="B33" s="7" t="s">
        <v>6</v>
      </c>
      <c r="C33" s="7"/>
      <c r="D33" s="7"/>
    </row>
    <row r="35" customFormat="false" ht="12.8" hidden="false" customHeight="false" outlineLevel="0" collapsed="false">
      <c r="A35" s="3" t="s">
        <v>0</v>
      </c>
      <c r="B35" s="4" t="s">
        <v>3</v>
      </c>
      <c r="C35" s="4" t="s">
        <v>2</v>
      </c>
      <c r="D35" s="8" t="s">
        <v>7</v>
      </c>
      <c r="E35" s="8" t="s">
        <v>8</v>
      </c>
      <c r="F35" s="8" t="s">
        <v>9</v>
      </c>
      <c r="G35" s="8" t="s">
        <v>10</v>
      </c>
      <c r="I35" s="9" t="s">
        <v>11</v>
      </c>
    </row>
    <row r="36" customFormat="false" ht="12.8" hidden="false" customHeight="false" outlineLevel="0" collapsed="false">
      <c r="A36" s="5" t="n">
        <v>1</v>
      </c>
      <c r="B36" s="1" t="n">
        <v>0.724099533668665</v>
      </c>
      <c r="C36" s="1" t="n">
        <v>0.745618221992126</v>
      </c>
      <c r="D36" s="8" t="n">
        <f aca="false">C36-B36</f>
        <v>0.0215186883234603</v>
      </c>
      <c r="E36" s="8" t="n">
        <f aca="false">ABS(D36)</f>
        <v>0.0215186883234603</v>
      </c>
      <c r="F36" s="8" t="n">
        <f aca="false">AVERAGE(D36:D60)</f>
        <v>0.00167293571040728</v>
      </c>
      <c r="G36" s="8" t="n">
        <f aca="false">_xlfn.STDEV.S(D36:D60)</f>
        <v>0.0430707314435378</v>
      </c>
      <c r="I36" s="2" t="s">
        <v>12</v>
      </c>
      <c r="J36" s="1" t="n">
        <v>0.05</v>
      </c>
    </row>
    <row r="37" customFormat="false" ht="12.8" hidden="false" customHeight="false" outlineLevel="0" collapsed="false">
      <c r="A37" s="5" t="n">
        <v>2</v>
      </c>
      <c r="B37" s="1" t="n">
        <v>0.690405786547539</v>
      </c>
      <c r="C37" s="1" t="n">
        <v>0.731965622484604</v>
      </c>
      <c r="D37" s="8" t="n">
        <f aca="false">C37-B37</f>
        <v>0.0415598359370648</v>
      </c>
      <c r="E37" s="8" t="n">
        <f aca="false">ABS(D37)</f>
        <v>0.0415598359370648</v>
      </c>
      <c r="F37" s="10"/>
      <c r="G37" s="1"/>
      <c r="I37" s="2" t="s">
        <v>13</v>
      </c>
      <c r="J37" s="1" t="n">
        <v>0</v>
      </c>
    </row>
    <row r="38" customFormat="false" ht="12.8" hidden="false" customHeight="false" outlineLevel="0" collapsed="false">
      <c r="A38" s="5" t="n">
        <v>3</v>
      </c>
      <c r="B38" s="1" t="n">
        <v>0.664424091143094</v>
      </c>
      <c r="C38" s="1" t="n">
        <v>0.556349411838211</v>
      </c>
      <c r="D38" s="8" t="n">
        <f aca="false">C38-B38</f>
        <v>-0.108074679304883</v>
      </c>
      <c r="E38" s="8" t="n">
        <f aca="false">ABS(D38)</f>
        <v>0.108074679304883</v>
      </c>
      <c r="F38" s="10"/>
      <c r="G38" s="1"/>
      <c r="J38" s="11" t="s">
        <v>14</v>
      </c>
      <c r="K38" s="11" t="s">
        <v>15</v>
      </c>
    </row>
    <row r="39" customFormat="false" ht="12.8" hidden="false" customHeight="false" outlineLevel="0" collapsed="false">
      <c r="A39" s="5" t="n">
        <v>4</v>
      </c>
      <c r="B39" s="1" t="n">
        <v>0.737872088358781</v>
      </c>
      <c r="C39" s="1" t="n">
        <v>0.746961278269468</v>
      </c>
      <c r="D39" s="8" t="n">
        <f aca="false">C39-B39</f>
        <v>0.00908918991068686</v>
      </c>
      <c r="E39" s="8" t="n">
        <f aca="false">ABS(D39)</f>
        <v>0.00908918991068686</v>
      </c>
      <c r="F39" s="10"/>
      <c r="G39" s="1"/>
      <c r="I39" s="2" t="s">
        <v>16</v>
      </c>
      <c r="J39" s="1" t="n">
        <f aca="false">AVERAGE(sims_per_turn_scen7!$B$35:$B$60)</f>
        <v>0.720618314622491</v>
      </c>
      <c r="K39" s="1" t="n">
        <f aca="false">AVERAGE(sims_per_turn_scen7!$C$35:$C$60)</f>
        <v>0.722291250332898</v>
      </c>
    </row>
    <row r="40" customFormat="false" ht="12.8" hidden="false" customHeight="false" outlineLevel="0" collapsed="false">
      <c r="A40" s="5" t="n">
        <v>5</v>
      </c>
      <c r="B40" s="1" t="n">
        <v>0.731664951542418</v>
      </c>
      <c r="C40" s="1" t="n">
        <v>0.736303129517049</v>
      </c>
      <c r="D40" s="8" t="n">
        <f aca="false">C40-B40</f>
        <v>0.00463817797463129</v>
      </c>
      <c r="E40" s="8" t="n">
        <f aca="false">ABS(D40)</f>
        <v>0.00463817797463129</v>
      </c>
      <c r="F40" s="10"/>
      <c r="G40" s="1"/>
      <c r="I40" s="2" t="s">
        <v>17</v>
      </c>
      <c r="J40" s="1" t="n">
        <f aca="false">VAR(sims_per_turn_scen7!$B$35:$B$60)</f>
        <v>0.00248995744319226</v>
      </c>
      <c r="K40" s="1" t="n">
        <f aca="false">VAR(sims_per_turn_scen7!$C$35:$C$60)</f>
        <v>0.0025385628043498</v>
      </c>
    </row>
    <row r="41" customFormat="false" ht="12.8" hidden="false" customHeight="false" outlineLevel="0" collapsed="false">
      <c r="A41" s="5" t="n">
        <v>6</v>
      </c>
      <c r="B41" s="1" t="n">
        <v>0.72767431707301</v>
      </c>
      <c r="C41" s="1" t="n">
        <v>0.693060520928815</v>
      </c>
      <c r="D41" s="8" t="n">
        <f aca="false">C41-B41</f>
        <v>-0.0346137961441945</v>
      </c>
      <c r="E41" s="8" t="n">
        <f aca="false">ABS(D41)</f>
        <v>0.0346137961441945</v>
      </c>
      <c r="F41" s="10"/>
      <c r="G41" s="1"/>
      <c r="I41" s="2" t="s">
        <v>18</v>
      </c>
      <c r="J41" s="1" t="n">
        <f aca="false">COUNT(sims_per_turn_scen7!$B$35:$B$60)</f>
        <v>25</v>
      </c>
      <c r="K41" s="1" t="n">
        <f aca="false">COUNT(sims_per_turn_scen7!$C$35:$C$60)</f>
        <v>25</v>
      </c>
    </row>
    <row r="42" customFormat="false" ht="12.8" hidden="false" customHeight="false" outlineLevel="0" collapsed="false">
      <c r="A42" s="5" t="n">
        <v>7</v>
      </c>
      <c r="B42" s="1" t="n">
        <v>0.785159172931949</v>
      </c>
      <c r="C42" s="1" t="n">
        <v>0.748597564255249</v>
      </c>
      <c r="D42" s="8" t="n">
        <f aca="false">C42-B42</f>
        <v>-0.0365616086766998</v>
      </c>
      <c r="E42" s="8" t="n">
        <f aca="false">ABS(D42)</f>
        <v>0.0365616086766998</v>
      </c>
      <c r="F42" s="10"/>
      <c r="G42" s="1"/>
      <c r="I42" s="2" t="s">
        <v>19</v>
      </c>
      <c r="J42" s="1" t="n">
        <f aca="false">CORREL(sims_per_turn_scen7!$B$35:$B$60,sims_per_turn_scen7!$C$35:$C$60)</f>
        <v>0.631116201597611</v>
      </c>
    </row>
    <row r="43" customFormat="false" ht="12.8" hidden="false" customHeight="false" outlineLevel="0" collapsed="false">
      <c r="A43" s="5" t="n">
        <v>8</v>
      </c>
      <c r="B43" s="1" t="n">
        <v>0.699365933104337</v>
      </c>
      <c r="C43" s="1" t="n">
        <v>0.705165938537343</v>
      </c>
      <c r="D43" s="8" t="n">
        <f aca="false">C43-B43</f>
        <v>0.00580000543300685</v>
      </c>
      <c r="E43" s="8" t="n">
        <f aca="false">ABS(D43)</f>
        <v>0.00580000543300685</v>
      </c>
      <c r="F43" s="10"/>
      <c r="G43" s="1"/>
      <c r="I43" s="2" t="s">
        <v>20</v>
      </c>
      <c r="J43" s="1" t="n">
        <f aca="false" t="array" ref="J43:J43">AVERAGE(IF(ISODD(IF(ISNUMBER(sims_per_turn_scen7!$B$35:$B$60), 1, 0) * IF(ISNUMBER(sims_per_turn_scen7!$C$35:$C$60), 1, 0)), sims_per_turn_scen7!$B$35:$B$60 - sims_per_turn_scen7!$C$35:$C$60, "NA"))</f>
        <v>-0.0016729357104072</v>
      </c>
    </row>
    <row r="44" customFormat="false" ht="12.8" hidden="false" customHeight="false" outlineLevel="0" collapsed="false">
      <c r="A44" s="5" t="n">
        <v>9</v>
      </c>
      <c r="B44" s="1" t="n">
        <v>0.74686473255493</v>
      </c>
      <c r="C44" s="1" t="n">
        <v>0.750368716676119</v>
      </c>
      <c r="D44" s="8" t="n">
        <f aca="false">C44-B44</f>
        <v>0.00350398412118946</v>
      </c>
      <c r="E44" s="8" t="n">
        <f aca="false">ABS(D44)</f>
        <v>0.00350398412118946</v>
      </c>
      <c r="F44" s="10"/>
      <c r="G44" s="1"/>
      <c r="I44" s="2" t="s">
        <v>21</v>
      </c>
      <c r="J44" s="1" t="n">
        <f aca="false" t="array" ref="J44:J44">VAR(IF(ISODD(IF(ISNUMBER(sims_per_turn_scen7!$B$35:$B$60), 1, 0) * IF(ISNUMBER(sims_per_turn_scen7!$C$35:$C$60), 1, 0)), sims_per_turn_scen7!$B$35:$B$60 - sims_per_turn_scen7!$C$35:$C$60, "NA"))</f>
        <v>0.00185508790708137</v>
      </c>
    </row>
    <row r="45" customFormat="false" ht="12.8" hidden="false" customHeight="false" outlineLevel="0" collapsed="false">
      <c r="A45" s="5" t="n">
        <v>10</v>
      </c>
      <c r="B45" s="1" t="n">
        <v>0.68571667055349</v>
      </c>
      <c r="C45" s="1" t="n">
        <v>0.682432996770851</v>
      </c>
      <c r="D45" s="8" t="n">
        <f aca="false">C45-B45</f>
        <v>-0.00328367378263883</v>
      </c>
      <c r="E45" s="8" t="n">
        <f aca="false">ABS(D45)</f>
        <v>0.00328367378263883</v>
      </c>
      <c r="F45" s="10"/>
      <c r="G45" s="1"/>
      <c r="I45" s="2" t="s">
        <v>22</v>
      </c>
      <c r="J45" s="1" t="n">
        <f aca="false" t="array" ref="J45:J45">SUM(IF(ISNUMBER(sims_per_turn_scen7!$B$35:$B$60), 1, 0) * IF(ISNUMBER(sims_per_turn_scen7!$C$35:$C$60), 1, 0)) - 1</f>
        <v>24</v>
      </c>
    </row>
    <row r="46" customFormat="false" ht="12.8" hidden="false" customHeight="false" outlineLevel="0" collapsed="false">
      <c r="A46" s="5" t="n">
        <v>11</v>
      </c>
      <c r="B46" s="1" t="n">
        <v>0.765114909147396</v>
      </c>
      <c r="C46" s="1" t="n">
        <v>0.72387381443217</v>
      </c>
      <c r="D46" s="8" t="n">
        <f aca="false">C46-B46</f>
        <v>-0.0412410947152254</v>
      </c>
      <c r="E46" s="8" t="n">
        <f aca="false">ABS(D46)</f>
        <v>0.0412410947152254</v>
      </c>
      <c r="F46" s="10"/>
      <c r="G46" s="1"/>
      <c r="I46" s="2" t="s">
        <v>23</v>
      </c>
      <c r="J46" s="1" t="n">
        <f aca="false">(sims_per_turn_scen7!$J$43 - sims_per_turn_scen7!$J$37) / (sims_per_turn_scen7!$J$44 / ( sims_per_turn_scen7!$J$45 + 1)) ^ 0.5</f>
        <v>-0.194207952168209</v>
      </c>
    </row>
    <row r="47" customFormat="false" ht="12.8" hidden="false" customHeight="false" outlineLevel="0" collapsed="false">
      <c r="A47" s="5" t="n">
        <v>12</v>
      </c>
      <c r="B47" s="1" t="n">
        <v>0.736644236479232</v>
      </c>
      <c r="C47" s="1" t="n">
        <v>0.667701763619203</v>
      </c>
      <c r="D47" s="8" t="n">
        <f aca="false">C47-B47</f>
        <v>-0.0689424728600291</v>
      </c>
      <c r="E47" s="8" t="n">
        <f aca="false">ABS(D47)</f>
        <v>0.0689424728600291</v>
      </c>
      <c r="F47" s="10"/>
      <c r="G47" s="1"/>
      <c r="I47" s="2" t="s">
        <v>24</v>
      </c>
      <c r="J47" s="1" t="n">
        <f aca="false">TDIST(ABS(sims_per_turn_scen7!$J$46), sims_per_turn_scen7!$J$45, 1)</f>
        <v>0.423823770951619</v>
      </c>
    </row>
    <row r="48" customFormat="false" ht="12.8" hidden="false" customHeight="false" outlineLevel="0" collapsed="false">
      <c r="A48" s="5" t="n">
        <v>13</v>
      </c>
      <c r="B48" s="1" t="n">
        <v>0.678666511575506</v>
      </c>
      <c r="C48" s="1" t="n">
        <v>0.72995268032519</v>
      </c>
      <c r="D48" s="8" t="n">
        <f aca="false">C48-B48</f>
        <v>0.0512861687496833</v>
      </c>
      <c r="E48" s="8" t="n">
        <f aca="false">ABS(D48)</f>
        <v>0.0512861687496833</v>
      </c>
      <c r="F48" s="10"/>
      <c r="G48" s="1"/>
      <c r="I48" s="2" t="s">
        <v>25</v>
      </c>
      <c r="J48" s="1" t="n">
        <f aca="false">TINV(2*sims_per_turn_scen7!$J$36, sims_per_turn_scen7!$J$45)</f>
        <v>1.71088207990943</v>
      </c>
    </row>
    <row r="49" customFormat="false" ht="12.8" hidden="false" customHeight="false" outlineLevel="0" collapsed="false">
      <c r="A49" s="5" t="n">
        <v>14</v>
      </c>
      <c r="B49" s="1" t="n">
        <v>0.800148648147254</v>
      </c>
      <c r="C49" s="1" t="n">
        <v>0.79516955513513</v>
      </c>
      <c r="D49" s="8" t="n">
        <f aca="false">C49-B49</f>
        <v>-0.00497909301212418</v>
      </c>
      <c r="E49" s="8" t="n">
        <f aca="false">ABS(D49)</f>
        <v>0.00497909301212418</v>
      </c>
      <c r="F49" s="10"/>
      <c r="G49" s="1"/>
      <c r="I49" s="2" t="s">
        <v>26</v>
      </c>
      <c r="J49" s="1" t="n">
        <f aca="false">TDIST(ABS(sims_per_turn_scen7!$J$46), sims_per_turn_scen7!$J$45, 2)</f>
        <v>0.847647541903237</v>
      </c>
    </row>
    <row r="50" customFormat="false" ht="12.8" hidden="false" customHeight="false" outlineLevel="0" collapsed="false">
      <c r="A50" s="5" t="n">
        <v>15</v>
      </c>
      <c r="B50" s="1" t="n">
        <v>0.613656437383168</v>
      </c>
      <c r="C50" s="1" t="n">
        <v>0.641361051891741</v>
      </c>
      <c r="D50" s="8" t="n">
        <f aca="false">C50-B50</f>
        <v>0.0277046145085729</v>
      </c>
      <c r="E50" s="8" t="n">
        <f aca="false">ABS(D50)</f>
        <v>0.0277046145085729</v>
      </c>
      <c r="F50" s="10"/>
      <c r="G50" s="1"/>
      <c r="I50" s="2" t="s">
        <v>27</v>
      </c>
      <c r="J50" s="1" t="n">
        <f aca="false">TINV(sims_per_turn_scen7!$J$36, sims_per_turn_scen7!$J$45)</f>
        <v>2.06389856162803</v>
      </c>
    </row>
    <row r="51" customFormat="false" ht="12.8" hidden="false" customHeight="false" outlineLevel="0" collapsed="false">
      <c r="A51" s="5" t="n">
        <v>16</v>
      </c>
      <c r="B51" s="1" t="n">
        <v>0.70191452728509</v>
      </c>
      <c r="C51" s="1" t="n">
        <v>0.758550116405013</v>
      </c>
      <c r="D51" s="8" t="n">
        <f aca="false">C51-B51</f>
        <v>0.0566355891199228</v>
      </c>
      <c r="E51" s="8" t="n">
        <f aca="false">ABS(D51)</f>
        <v>0.0566355891199228</v>
      </c>
      <c r="F51" s="10"/>
      <c r="G51" s="1"/>
    </row>
    <row r="52" customFormat="false" ht="12.8" hidden="false" customHeight="false" outlineLevel="0" collapsed="false">
      <c r="A52" s="5" t="n">
        <v>17</v>
      </c>
      <c r="B52" s="1" t="n">
        <v>0.696040981259132</v>
      </c>
      <c r="C52" s="1" t="n">
        <v>0.694176028461883</v>
      </c>
      <c r="D52" s="8" t="n">
        <f aca="false">C52-B52</f>
        <v>-0.00186495279724863</v>
      </c>
      <c r="E52" s="8" t="n">
        <f aca="false">ABS(D52)</f>
        <v>0.00186495279724863</v>
      </c>
      <c r="F52" s="10"/>
      <c r="G52" s="1"/>
    </row>
    <row r="53" customFormat="false" ht="12.8" hidden="false" customHeight="false" outlineLevel="0" collapsed="false">
      <c r="A53" s="5" t="n">
        <v>18</v>
      </c>
      <c r="B53" s="1" t="n">
        <v>0.764111372525898</v>
      </c>
      <c r="C53" s="1" t="n">
        <v>0.753547411776315</v>
      </c>
      <c r="D53" s="8" t="n">
        <f aca="false">C53-B53</f>
        <v>-0.010563960749583</v>
      </c>
      <c r="E53" s="8" t="n">
        <f aca="false">ABS(D53)</f>
        <v>0.010563960749583</v>
      </c>
      <c r="F53" s="10"/>
      <c r="G53" s="1"/>
    </row>
    <row r="54" customFormat="false" ht="12.8" hidden="false" customHeight="false" outlineLevel="0" collapsed="false">
      <c r="A54" s="5" t="n">
        <v>19</v>
      </c>
      <c r="B54" s="1" t="n">
        <v>0.612949588021736</v>
      </c>
      <c r="C54" s="1" t="n">
        <v>0.718473139733635</v>
      </c>
      <c r="D54" s="8" t="n">
        <f aca="false">C54-B54</f>
        <v>0.105523551711899</v>
      </c>
      <c r="E54" s="8" t="n">
        <f aca="false">ABS(D54)</f>
        <v>0.105523551711899</v>
      </c>
      <c r="F54" s="10"/>
      <c r="G54" s="1"/>
    </row>
    <row r="55" customFormat="false" ht="12.8" hidden="false" customHeight="false" outlineLevel="0" collapsed="false">
      <c r="A55" s="5" t="n">
        <v>20</v>
      </c>
      <c r="B55" s="1" t="n">
        <v>0.761234455225827</v>
      </c>
      <c r="C55" s="1" t="n">
        <v>0.754538991520845</v>
      </c>
      <c r="D55" s="8" t="n">
        <f aca="false">C55-B55</f>
        <v>-0.00669546370498186</v>
      </c>
      <c r="E55" s="8" t="n">
        <f aca="false">ABS(D55)</f>
        <v>0.00669546370498186</v>
      </c>
      <c r="F55" s="10"/>
      <c r="G55" s="1"/>
    </row>
    <row r="56" customFormat="false" ht="12.8" hidden="false" customHeight="false" outlineLevel="0" collapsed="false">
      <c r="A56" s="5" t="n">
        <v>21</v>
      </c>
      <c r="B56" s="1" t="n">
        <v>0.708545748319991</v>
      </c>
      <c r="C56" s="1" t="n">
        <v>0.71601754844973</v>
      </c>
      <c r="D56" s="8" t="n">
        <f aca="false">C56-B56</f>
        <v>0.00747180012973892</v>
      </c>
      <c r="E56" s="8" t="n">
        <f aca="false">ABS(D56)</f>
        <v>0.00747180012973892</v>
      </c>
      <c r="F56" s="10"/>
      <c r="G56" s="1"/>
    </row>
    <row r="57" customFormat="false" ht="12.8" hidden="false" customHeight="false" outlineLevel="0" collapsed="false">
      <c r="A57" s="5" t="n">
        <v>22</v>
      </c>
      <c r="B57" s="1" t="n">
        <v>0.756069449327172</v>
      </c>
      <c r="C57" s="1" t="n">
        <v>0.751876513039488</v>
      </c>
      <c r="D57" s="8" t="n">
        <f aca="false">C57-B57</f>
        <v>-0.0041929362876838</v>
      </c>
      <c r="E57" s="8" t="n">
        <f aca="false">ABS(D57)</f>
        <v>0.0041929362876838</v>
      </c>
      <c r="F57" s="10"/>
      <c r="G57" s="1"/>
    </row>
    <row r="58" customFormat="false" ht="12.8" hidden="false" customHeight="false" outlineLevel="0" collapsed="false">
      <c r="A58" s="5" t="n">
        <v>23</v>
      </c>
      <c r="B58" s="1" t="n">
        <v>0.671531865451319</v>
      </c>
      <c r="C58" s="1" t="n">
        <v>0.717330086490848</v>
      </c>
      <c r="D58" s="8" t="n">
        <f aca="false">C58-B58</f>
        <v>0.0457982210395289</v>
      </c>
      <c r="E58" s="8" t="n">
        <f aca="false">ABS(D58)</f>
        <v>0.0457982210395289</v>
      </c>
      <c r="F58" s="10"/>
      <c r="G58" s="1"/>
    </row>
    <row r="59" customFormat="false" ht="12.8" hidden="false" customHeight="false" outlineLevel="0" collapsed="false">
      <c r="A59" s="5" t="n">
        <v>24</v>
      </c>
      <c r="B59" s="1" t="n">
        <v>0.793327292068252</v>
      </c>
      <c r="C59" s="1" t="n">
        <v>0.810165160416988</v>
      </c>
      <c r="D59" s="8" t="n">
        <f aca="false">C59-B59</f>
        <v>0.0168378683487362</v>
      </c>
      <c r="E59" s="8" t="n">
        <f aca="false">ABS(D59)</f>
        <v>0.0168378683487362</v>
      </c>
      <c r="F59" s="10"/>
      <c r="G59" s="1"/>
    </row>
    <row r="60" customFormat="false" ht="12.8" hidden="false" customHeight="false" outlineLevel="0" collapsed="false">
      <c r="A60" s="6" t="n">
        <v>25</v>
      </c>
      <c r="B60" s="1" t="n">
        <v>0.762254565867078</v>
      </c>
      <c r="C60" s="1" t="n">
        <v>0.72772399535443</v>
      </c>
      <c r="D60" s="8" t="n">
        <f aca="false">C60-B60</f>
        <v>-0.0345305705126481</v>
      </c>
      <c r="E60" s="8" t="n">
        <f aca="false">ABS(D60)</f>
        <v>0.0345305705126481</v>
      </c>
      <c r="G60" s="1"/>
    </row>
    <row r="63" customFormat="false" ht="12.8" hidden="false" customHeight="false" outlineLevel="0" collapsed="false">
      <c r="A63" s="3" t="s">
        <v>0</v>
      </c>
      <c r="B63" s="4" t="s">
        <v>1</v>
      </c>
      <c r="C63" s="1" t="s">
        <v>4</v>
      </c>
      <c r="D63" s="8" t="s">
        <v>28</v>
      </c>
      <c r="E63" s="8" t="s">
        <v>8</v>
      </c>
      <c r="F63" s="8" t="s">
        <v>9</v>
      </c>
      <c r="G63" s="8" t="s">
        <v>10</v>
      </c>
      <c r="I63" s="9" t="s">
        <v>11</v>
      </c>
    </row>
    <row r="64" customFormat="false" ht="12.8" hidden="false" customHeight="false" outlineLevel="0" collapsed="false">
      <c r="A64" s="5" t="n">
        <v>1</v>
      </c>
      <c r="B64" s="1" t="n">
        <v>0.726604447396414</v>
      </c>
      <c r="C64" s="1" t="n">
        <v>0.726072655509358</v>
      </c>
      <c r="D64" s="8" t="n">
        <f aca="false">C64-B64</f>
        <v>-0.000531791887055322</v>
      </c>
      <c r="E64" s="8" t="n">
        <f aca="false">ABS(D64)</f>
        <v>0.000531791887055322</v>
      </c>
      <c r="F64" s="8" t="n">
        <f aca="false">AVERAGE(D64:D88)</f>
        <v>0.00167726542926605</v>
      </c>
      <c r="G64" s="8" t="n">
        <f aca="false">_xlfn.STDEV.S(D64:D88)</f>
        <v>0.034658587776513</v>
      </c>
      <c r="I64" s="2" t="s">
        <v>12</v>
      </c>
      <c r="J64" s="1" t="n">
        <v>0.05</v>
      </c>
    </row>
    <row r="65" customFormat="false" ht="12.8" hidden="false" customHeight="false" outlineLevel="0" collapsed="false">
      <c r="A65" s="5" t="n">
        <v>2</v>
      </c>
      <c r="B65" s="1" t="n">
        <v>0.708959829151642</v>
      </c>
      <c r="C65" s="1" t="n">
        <v>0.682663698456168</v>
      </c>
      <c r="D65" s="8" t="n">
        <f aca="false">C65-B65</f>
        <v>-0.0262961306954744</v>
      </c>
      <c r="E65" s="8" t="n">
        <f aca="false">ABS(D65)</f>
        <v>0.0262961306954744</v>
      </c>
      <c r="F65" s="10"/>
      <c r="G65" s="1"/>
      <c r="I65" s="2" t="s">
        <v>13</v>
      </c>
      <c r="J65" s="1" t="n">
        <v>0</v>
      </c>
    </row>
    <row r="66" customFormat="false" ht="12.8" hidden="false" customHeight="false" outlineLevel="0" collapsed="false">
      <c r="A66" s="5" t="n">
        <v>3</v>
      </c>
      <c r="B66" s="1" t="n">
        <v>0.656250791088745</v>
      </c>
      <c r="C66" s="1" t="n">
        <v>0.615224454504257</v>
      </c>
      <c r="D66" s="8" t="n">
        <f aca="false">C66-B66</f>
        <v>-0.0410263365844888</v>
      </c>
      <c r="E66" s="8" t="n">
        <f aca="false">ABS(D66)</f>
        <v>0.0410263365844888</v>
      </c>
      <c r="F66" s="10"/>
      <c r="G66" s="1"/>
      <c r="J66" s="11" t="s">
        <v>14</v>
      </c>
      <c r="K66" s="11" t="s">
        <v>15</v>
      </c>
    </row>
    <row r="67" customFormat="false" ht="12.8" hidden="false" customHeight="false" outlineLevel="0" collapsed="false">
      <c r="A67" s="5" t="n">
        <v>4</v>
      </c>
      <c r="B67" s="1" t="n">
        <v>0.682480064346605</v>
      </c>
      <c r="C67" s="1" t="n">
        <v>0.728618275572537</v>
      </c>
      <c r="D67" s="8" t="n">
        <f aca="false">C67-B67</f>
        <v>0.0461382112259317</v>
      </c>
      <c r="E67" s="8" t="n">
        <f aca="false">ABS(D67)</f>
        <v>0.0461382112259317</v>
      </c>
      <c r="F67" s="10"/>
      <c r="G67" s="1"/>
      <c r="I67" s="2" t="s">
        <v>16</v>
      </c>
      <c r="J67" s="1" t="n">
        <f aca="false">AVERAGE(sims_per_turn_scen7!$B$63:$B$88)</f>
        <v>0.711415890650289</v>
      </c>
      <c r="K67" s="1" t="n">
        <f aca="false">AVERAGE(sims_per_turn_scen7!$C$63:$C$88)</f>
        <v>0.713093156079555</v>
      </c>
    </row>
    <row r="68" customFormat="false" ht="12.8" hidden="false" customHeight="false" outlineLevel="0" collapsed="false">
      <c r="A68" s="5" t="n">
        <v>5</v>
      </c>
      <c r="B68" s="1" t="n">
        <v>0.750666088952323</v>
      </c>
      <c r="C68" s="1" t="n">
        <v>0.688604056934627</v>
      </c>
      <c r="D68" s="8" t="n">
        <f aca="false">C68-B68</f>
        <v>-0.0620620320176963</v>
      </c>
      <c r="E68" s="8" t="n">
        <f aca="false">ABS(D68)</f>
        <v>0.0620620320176963</v>
      </c>
      <c r="F68" s="10"/>
      <c r="G68" s="1"/>
      <c r="I68" s="2" t="s">
        <v>17</v>
      </c>
      <c r="J68" s="1" t="n">
        <f aca="false">VAR(sims_per_turn_scen7!$B$63:$B$88)</f>
        <v>0.0022639833703396</v>
      </c>
      <c r="K68" s="1" t="n">
        <f aca="false">VAR(sims_per_turn_scen7!$C$63:$C$88)</f>
        <v>0.00328108471070565</v>
      </c>
    </row>
    <row r="69" customFormat="false" ht="12.8" hidden="false" customHeight="false" outlineLevel="0" collapsed="false">
      <c r="A69" s="5" t="n">
        <v>6</v>
      </c>
      <c r="B69" s="1" t="n">
        <v>0.690037613967929</v>
      </c>
      <c r="C69" s="1" t="n">
        <v>0.669074893749943</v>
      </c>
      <c r="D69" s="8" t="n">
        <f aca="false">C69-B69</f>
        <v>-0.0209627202179861</v>
      </c>
      <c r="E69" s="8" t="n">
        <f aca="false">ABS(D69)</f>
        <v>0.0209627202179861</v>
      </c>
      <c r="F69" s="10"/>
      <c r="G69" s="1"/>
      <c r="I69" s="2" t="s">
        <v>18</v>
      </c>
      <c r="J69" s="1" t="n">
        <f aca="false">COUNT(sims_per_turn_scen7!$B$63:$B$88)</f>
        <v>25</v>
      </c>
      <c r="K69" s="1" t="n">
        <f aca="false">COUNT(sims_per_turn_scen7!$C$63:$C$88)</f>
        <v>25</v>
      </c>
    </row>
    <row r="70" customFormat="false" ht="12.8" hidden="false" customHeight="false" outlineLevel="0" collapsed="false">
      <c r="A70" s="5" t="n">
        <v>7</v>
      </c>
      <c r="B70" s="1" t="n">
        <v>0.70889799084929</v>
      </c>
      <c r="C70" s="1" t="n">
        <v>0.759372504405003</v>
      </c>
      <c r="D70" s="8" t="n">
        <f aca="false">C70-B70</f>
        <v>0.0504745135557132</v>
      </c>
      <c r="E70" s="8" t="n">
        <f aca="false">ABS(D70)</f>
        <v>0.0504745135557132</v>
      </c>
      <c r="F70" s="10"/>
      <c r="G70" s="1"/>
      <c r="I70" s="2" t="s">
        <v>19</v>
      </c>
      <c r="J70" s="1" t="n">
        <f aca="false">CORREL(sims_per_turn_scen7!$B$63:$B$88,sims_per_turn_scen7!$C$63:$C$88)</f>
        <v>0.796892104529945</v>
      </c>
    </row>
    <row r="71" customFormat="false" ht="12.8" hidden="false" customHeight="false" outlineLevel="0" collapsed="false">
      <c r="A71" s="5" t="n">
        <v>8</v>
      </c>
      <c r="B71" s="1" t="n">
        <v>0.685546620467512</v>
      </c>
      <c r="C71" s="1" t="n">
        <v>0.695828504681874</v>
      </c>
      <c r="D71" s="8" t="n">
        <f aca="false">C71-B71</f>
        <v>0.0102818842143625</v>
      </c>
      <c r="E71" s="8" t="n">
        <f aca="false">ABS(D71)</f>
        <v>0.0102818842143625</v>
      </c>
      <c r="F71" s="10"/>
      <c r="G71" s="1"/>
      <c r="I71" s="2" t="s">
        <v>20</v>
      </c>
      <c r="J71" s="1" t="n">
        <f aca="false" t="array" ref="J71:J71">AVERAGE(IF(ISODD(IF(ISNUMBER(sims_per_turn_scen7!$B$63:$B$88), 1, 0) * IF(ISNUMBER(sims_per_turn_scen7!$C$63:$C$88), 1, 0)), sims_per_turn_scen7!$B$63:$B$88 - sims_per_turn_scen7!$C$63:$C$88, "NA"))</f>
        <v>-0.00167726542926608</v>
      </c>
    </row>
    <row r="72" customFormat="false" ht="12.8" hidden="false" customHeight="false" outlineLevel="0" collapsed="false">
      <c r="A72" s="5" t="n">
        <v>9</v>
      </c>
      <c r="B72" s="1" t="n">
        <v>0.727629515141836</v>
      </c>
      <c r="C72" s="1" t="n">
        <v>0.779899573323697</v>
      </c>
      <c r="D72" s="8" t="n">
        <f aca="false">C72-B72</f>
        <v>0.0522700581818611</v>
      </c>
      <c r="E72" s="8" t="n">
        <f aca="false">ABS(D72)</f>
        <v>0.0522700581818611</v>
      </c>
      <c r="F72" s="10"/>
      <c r="G72" s="1"/>
      <c r="I72" s="2" t="s">
        <v>21</v>
      </c>
      <c r="J72" s="1" t="n">
        <f aca="false" t="array" ref="J72:J72">VAR(IF(ISODD(IF(ISNUMBER(sims_per_turn_scen7!$B$63:$B$88), 1, 0) * IF(ISNUMBER(sims_per_turn_scen7!$C$63:$C$88), 1, 0)), sims_per_turn_scen7!$B$63:$B$88 - sims_per_turn_scen7!$C$63:$C$88, "NA"))</f>
        <v>0.00120121770666225</v>
      </c>
    </row>
    <row r="73" customFormat="false" ht="12.8" hidden="false" customHeight="false" outlineLevel="0" collapsed="false">
      <c r="A73" s="5" t="n">
        <v>10</v>
      </c>
      <c r="B73" s="1" t="n">
        <v>0.637485514971611</v>
      </c>
      <c r="C73" s="1" t="n">
        <v>0.632572298876227</v>
      </c>
      <c r="D73" s="8" t="n">
        <f aca="false">C73-B73</f>
        <v>-0.00491321609538453</v>
      </c>
      <c r="E73" s="8" t="n">
        <f aca="false">ABS(D73)</f>
        <v>0.00491321609538453</v>
      </c>
      <c r="F73" s="10"/>
      <c r="G73" s="1"/>
      <c r="I73" s="2" t="s">
        <v>22</v>
      </c>
      <c r="J73" s="1" t="n">
        <f aca="false" t="array" ref="J73:J73">SUM(IF(ISNUMBER(sims_per_turn_scen7!$B$63:$B$88), 1, 0) * IF(ISNUMBER(sims_per_turn_scen7!$C$63:$C$88), 1, 0)) - 1</f>
        <v>24</v>
      </c>
    </row>
    <row r="74" customFormat="false" ht="12.8" hidden="false" customHeight="false" outlineLevel="0" collapsed="false">
      <c r="A74" s="5" t="n">
        <v>11</v>
      </c>
      <c r="B74" s="1" t="n">
        <v>0.717989456556699</v>
      </c>
      <c r="C74" s="1" t="n">
        <v>0.733064212818954</v>
      </c>
      <c r="D74" s="8" t="n">
        <f aca="false">C74-B74</f>
        <v>0.015074756262255</v>
      </c>
      <c r="E74" s="8" t="n">
        <f aca="false">ABS(D74)</f>
        <v>0.015074756262255</v>
      </c>
      <c r="F74" s="10"/>
      <c r="G74" s="1"/>
      <c r="I74" s="2" t="s">
        <v>23</v>
      </c>
      <c r="J74" s="1" t="n">
        <f aca="false">(sims_per_turn_scen7!$J$71 - sims_per_turn_scen7!$J$65) / (sims_per_turn_scen7!$J$72 / ( sims_per_turn_scen7!$J$73 + 1)) ^ 0.5</f>
        <v>-0.241969672867438</v>
      </c>
    </row>
    <row r="75" customFormat="false" ht="12.8" hidden="false" customHeight="false" outlineLevel="0" collapsed="false">
      <c r="A75" s="5" t="n">
        <v>12</v>
      </c>
      <c r="B75" s="1" t="n">
        <v>0.770906292597071</v>
      </c>
      <c r="C75" s="1" t="n">
        <v>0.693027541837124</v>
      </c>
      <c r="D75" s="8" t="n">
        <f aca="false">C75-B75</f>
        <v>-0.0778787507599474</v>
      </c>
      <c r="E75" s="8" t="n">
        <f aca="false">ABS(D75)</f>
        <v>0.0778787507599474</v>
      </c>
      <c r="F75" s="10"/>
      <c r="G75" s="1"/>
      <c r="I75" s="2" t="s">
        <v>24</v>
      </c>
      <c r="J75" s="1" t="n">
        <f aca="false">TDIST(ABS(sims_per_turn_scen7!$J$74), sims_per_turn_scen7!$J$73, 1)</f>
        <v>0.405429651280072</v>
      </c>
    </row>
    <row r="76" customFormat="false" ht="12.8" hidden="false" customHeight="false" outlineLevel="0" collapsed="false">
      <c r="A76" s="5" t="n">
        <v>13</v>
      </c>
      <c r="B76" s="1" t="n">
        <v>0.709827899363474</v>
      </c>
      <c r="C76" s="1" t="n">
        <v>0.704438316359018</v>
      </c>
      <c r="D76" s="8" t="n">
        <f aca="false">C76-B76</f>
        <v>-0.00538958300445569</v>
      </c>
      <c r="E76" s="8" t="n">
        <f aca="false">ABS(D76)</f>
        <v>0.00538958300445569</v>
      </c>
      <c r="F76" s="10"/>
      <c r="G76" s="1"/>
      <c r="I76" s="2" t="s">
        <v>25</v>
      </c>
      <c r="J76" s="1" t="n">
        <f aca="false">TINV(2*sims_per_turn_scen7!$J$64, sims_per_turn_scen7!$J$73)</f>
        <v>1.71088207990943</v>
      </c>
    </row>
    <row r="77" customFormat="false" ht="12.8" hidden="false" customHeight="false" outlineLevel="0" collapsed="false">
      <c r="A77" s="5" t="n">
        <v>14</v>
      </c>
      <c r="B77" s="1" t="n">
        <v>0.824775999287701</v>
      </c>
      <c r="C77" s="1" t="n">
        <v>0.822923799196468</v>
      </c>
      <c r="D77" s="8" t="n">
        <f aca="false">C77-B77</f>
        <v>-0.00185220009123377</v>
      </c>
      <c r="E77" s="8" t="n">
        <f aca="false">ABS(D77)</f>
        <v>0.00185220009123377</v>
      </c>
      <c r="F77" s="10"/>
      <c r="G77" s="1"/>
      <c r="I77" s="2" t="s">
        <v>26</v>
      </c>
      <c r="J77" s="1" t="n">
        <f aca="false">TDIST(ABS(sims_per_turn_scen7!$J$74), sims_per_turn_scen7!$J$73, 2)</f>
        <v>0.810859302560143</v>
      </c>
    </row>
    <row r="78" customFormat="false" ht="12.8" hidden="false" customHeight="false" outlineLevel="0" collapsed="false">
      <c r="A78" s="5" t="n">
        <v>15</v>
      </c>
      <c r="B78" s="1" t="n">
        <v>0.611331502918536</v>
      </c>
      <c r="C78" s="1" t="n">
        <v>0.598856826351013</v>
      </c>
      <c r="D78" s="8" t="n">
        <f aca="false">C78-B78</f>
        <v>-0.0124746765675225</v>
      </c>
      <c r="E78" s="8" t="n">
        <f aca="false">ABS(D78)</f>
        <v>0.0124746765675225</v>
      </c>
      <c r="F78" s="10"/>
      <c r="G78" s="1"/>
      <c r="I78" s="2" t="s">
        <v>27</v>
      </c>
      <c r="J78" s="1" t="n">
        <f aca="false">TINV(sims_per_turn_scen7!$J$64, sims_per_turn_scen7!$J$73)</f>
        <v>2.06389856162803</v>
      </c>
    </row>
    <row r="79" customFormat="false" ht="12.8" hidden="false" customHeight="false" outlineLevel="0" collapsed="false">
      <c r="A79" s="5" t="n">
        <v>16</v>
      </c>
      <c r="B79" s="1" t="n">
        <v>0.743473367956861</v>
      </c>
      <c r="C79" s="1" t="n">
        <v>0.745885490309946</v>
      </c>
      <c r="D79" s="8" t="n">
        <f aca="false">C79-B79</f>
        <v>0.00241212235308563</v>
      </c>
      <c r="E79" s="8" t="n">
        <f aca="false">ABS(D79)</f>
        <v>0.00241212235308563</v>
      </c>
      <c r="F79" s="10"/>
      <c r="G79" s="1"/>
    </row>
    <row r="80" customFormat="false" ht="12.8" hidden="false" customHeight="false" outlineLevel="0" collapsed="false">
      <c r="A80" s="5" t="n">
        <v>17</v>
      </c>
      <c r="B80" s="1" t="n">
        <v>0.657769103514598</v>
      </c>
      <c r="C80" s="1" t="n">
        <v>0.627413040342658</v>
      </c>
      <c r="D80" s="8" t="n">
        <f aca="false">C80-B80</f>
        <v>-0.0303560631719395</v>
      </c>
      <c r="E80" s="8" t="n">
        <f aca="false">ABS(D80)</f>
        <v>0.0303560631719395</v>
      </c>
      <c r="F80" s="10"/>
      <c r="G80" s="1"/>
    </row>
    <row r="81" customFormat="false" ht="12.8" hidden="false" customHeight="false" outlineLevel="0" collapsed="false">
      <c r="A81" s="5" t="n">
        <v>18</v>
      </c>
      <c r="B81" s="1" t="n">
        <v>0.7336678926738</v>
      </c>
      <c r="C81" s="1" t="n">
        <v>0.764724151507591</v>
      </c>
      <c r="D81" s="8" t="n">
        <f aca="false">C81-B81</f>
        <v>0.031056258833791</v>
      </c>
      <c r="E81" s="8" t="n">
        <f aca="false">ABS(D81)</f>
        <v>0.031056258833791</v>
      </c>
      <c r="F81" s="10"/>
      <c r="G81" s="1"/>
    </row>
    <row r="82" customFormat="false" ht="12.8" hidden="false" customHeight="false" outlineLevel="0" collapsed="false">
      <c r="A82" s="5" t="n">
        <v>19</v>
      </c>
      <c r="B82" s="1" t="n">
        <v>0.664769831999005</v>
      </c>
      <c r="C82" s="1" t="n">
        <v>0.665442717582544</v>
      </c>
      <c r="D82" s="8" t="n">
        <f aca="false">C82-B82</f>
        <v>0.000672885583539062</v>
      </c>
      <c r="E82" s="8" t="n">
        <f aca="false">ABS(D82)</f>
        <v>0.000672885583539062</v>
      </c>
      <c r="F82" s="10"/>
      <c r="G82" s="1"/>
    </row>
    <row r="83" customFormat="false" ht="12.8" hidden="false" customHeight="false" outlineLevel="0" collapsed="false">
      <c r="A83" s="5" t="n">
        <v>20</v>
      </c>
      <c r="B83" s="1" t="n">
        <v>0.735511761701567</v>
      </c>
      <c r="C83" s="1" t="n">
        <v>0.739120010292957</v>
      </c>
      <c r="D83" s="8" t="n">
        <f aca="false">C83-B83</f>
        <v>0.00360824859138986</v>
      </c>
      <c r="E83" s="8" t="n">
        <f aca="false">ABS(D83)</f>
        <v>0.00360824859138986</v>
      </c>
      <c r="F83" s="10"/>
      <c r="G83" s="1"/>
    </row>
    <row r="84" customFormat="false" ht="12.8" hidden="false" customHeight="false" outlineLevel="0" collapsed="false">
      <c r="A84" s="5" t="n">
        <v>21</v>
      </c>
      <c r="B84" s="1" t="n">
        <v>0.715466613809298</v>
      </c>
      <c r="C84" s="1" t="n">
        <v>0.740855593294062</v>
      </c>
      <c r="D84" s="8" t="n">
        <f aca="false">C84-B84</f>
        <v>0.0253889794847637</v>
      </c>
      <c r="E84" s="8" t="n">
        <f aca="false">ABS(D84)</f>
        <v>0.0253889794847637</v>
      </c>
      <c r="F84" s="10"/>
      <c r="G84" s="1"/>
    </row>
    <row r="85" customFormat="false" ht="12.8" hidden="false" customHeight="false" outlineLevel="0" collapsed="false">
      <c r="A85" s="5" t="n">
        <v>22</v>
      </c>
      <c r="B85" s="1" t="n">
        <v>0.70902009513028</v>
      </c>
      <c r="C85" s="1" t="n">
        <v>0.724986030339445</v>
      </c>
      <c r="D85" s="8" t="n">
        <f aca="false">C85-B85</f>
        <v>0.015965935209165</v>
      </c>
      <c r="E85" s="8" t="n">
        <f aca="false">ABS(D85)</f>
        <v>0.015965935209165</v>
      </c>
      <c r="F85" s="10"/>
      <c r="G85" s="1"/>
    </row>
    <row r="86" customFormat="false" ht="12.8" hidden="false" customHeight="false" outlineLevel="0" collapsed="false">
      <c r="A86" s="5" t="n">
        <v>23</v>
      </c>
      <c r="B86" s="1" t="n">
        <v>0.675856447847683</v>
      </c>
      <c r="C86" s="1" t="n">
        <v>0.732548067807027</v>
      </c>
      <c r="D86" s="8" t="n">
        <f aca="false">C86-B86</f>
        <v>0.0566916199593441</v>
      </c>
      <c r="E86" s="8" t="n">
        <f aca="false">ABS(D86)</f>
        <v>0.0566916199593441</v>
      </c>
      <c r="F86" s="10"/>
      <c r="G86" s="1"/>
    </row>
    <row r="87" customFormat="false" ht="12.8" hidden="false" customHeight="false" outlineLevel="0" collapsed="false">
      <c r="A87" s="5" t="n">
        <v>24</v>
      </c>
      <c r="B87" s="1" t="n">
        <v>0.770886115042279</v>
      </c>
      <c r="C87" s="1" t="n">
        <v>0.810905330263776</v>
      </c>
      <c r="D87" s="8" t="n">
        <f aca="false">C87-B87</f>
        <v>0.040019215221497</v>
      </c>
      <c r="E87" s="8" t="n">
        <f aca="false">ABS(D87)</f>
        <v>0.040019215221497</v>
      </c>
      <c r="F87" s="10"/>
      <c r="G87" s="1"/>
    </row>
    <row r="88" customFormat="false" ht="12.8" hidden="false" customHeight="false" outlineLevel="0" collapsed="false">
      <c r="A88" s="6" t="n">
        <v>25</v>
      </c>
      <c r="B88" s="1" t="n">
        <v>0.769586409524463</v>
      </c>
      <c r="C88" s="1" t="n">
        <v>0.7452068576726</v>
      </c>
      <c r="D88" s="8" t="n">
        <f aca="false">C88-B88</f>
        <v>-0.0243795518518631</v>
      </c>
      <c r="E88" s="8" t="n">
        <f aca="false">ABS(D88)</f>
        <v>0.0243795518518631</v>
      </c>
      <c r="F88" s="10"/>
      <c r="G88" s="1"/>
    </row>
    <row r="91" customFormat="false" ht="12.8" hidden="false" customHeight="false" outlineLevel="0" collapsed="false">
      <c r="A91" s="3" t="s">
        <v>0</v>
      </c>
      <c r="B91" s="4" t="s">
        <v>1</v>
      </c>
      <c r="C91" s="4" t="s">
        <v>2</v>
      </c>
      <c r="D91" s="8" t="s">
        <v>29</v>
      </c>
      <c r="E91" s="8" t="s">
        <v>8</v>
      </c>
      <c r="F91" s="8" t="s">
        <v>9</v>
      </c>
      <c r="G91" s="8" t="s">
        <v>10</v>
      </c>
      <c r="I91" s="9" t="s">
        <v>11</v>
      </c>
    </row>
    <row r="92" customFormat="false" ht="12.8" hidden="false" customHeight="false" outlineLevel="0" collapsed="false">
      <c r="A92" s="5" t="n">
        <v>1</v>
      </c>
      <c r="B92" s="1" t="n">
        <v>0.726604447396414</v>
      </c>
      <c r="C92" s="1" t="n">
        <v>0.745618221992126</v>
      </c>
      <c r="D92" s="8" t="n">
        <f aca="false">C92-B92</f>
        <v>0.0190137745957119</v>
      </c>
      <c r="E92" s="8" t="n">
        <f aca="false">ABS(D92)</f>
        <v>0.0190137745957119</v>
      </c>
      <c r="F92" s="8" t="n">
        <f aca="false">AVERAGE(D92:D116)</f>
        <v>0.0108753596826089</v>
      </c>
      <c r="G92" s="8" t="n">
        <f aca="false">_xlfn.STDEV.S(D92:D116)</f>
        <v>0.0416839973787223</v>
      </c>
      <c r="I92" s="2" t="s">
        <v>12</v>
      </c>
      <c r="J92" s="1" t="n">
        <v>0.05</v>
      </c>
    </row>
    <row r="93" customFormat="false" ht="12.8" hidden="false" customHeight="false" outlineLevel="0" collapsed="false">
      <c r="A93" s="5" t="n">
        <v>2</v>
      </c>
      <c r="B93" s="1" t="n">
        <v>0.708959829151642</v>
      </c>
      <c r="C93" s="1" t="n">
        <v>0.731965622484604</v>
      </c>
      <c r="D93" s="8" t="n">
        <f aca="false">C93-B93</f>
        <v>0.0230057933329615</v>
      </c>
      <c r="E93" s="8" t="n">
        <f aca="false">ABS(D93)</f>
        <v>0.0230057933329615</v>
      </c>
      <c r="F93" s="10"/>
      <c r="G93" s="1"/>
      <c r="I93" s="2" t="s">
        <v>13</v>
      </c>
      <c r="J93" s="1" t="n">
        <v>0</v>
      </c>
    </row>
    <row r="94" customFormat="false" ht="12.8" hidden="false" customHeight="false" outlineLevel="0" collapsed="false">
      <c r="A94" s="5" t="n">
        <v>3</v>
      </c>
      <c r="B94" s="1" t="n">
        <v>0.656250791088745</v>
      </c>
      <c r="C94" s="1" t="n">
        <v>0.556349411838211</v>
      </c>
      <c r="D94" s="8" t="n">
        <f aca="false">C94-B94</f>
        <v>-0.0999013792505343</v>
      </c>
      <c r="E94" s="8" t="n">
        <f aca="false">ABS(D94)</f>
        <v>0.0999013792505343</v>
      </c>
      <c r="F94" s="10"/>
      <c r="G94" s="1"/>
      <c r="J94" s="11" t="s">
        <v>14</v>
      </c>
      <c r="K94" s="11" t="s">
        <v>15</v>
      </c>
    </row>
    <row r="95" customFormat="false" ht="12.8" hidden="false" customHeight="false" outlineLevel="0" collapsed="false">
      <c r="A95" s="5" t="n">
        <v>4</v>
      </c>
      <c r="B95" s="1" t="n">
        <v>0.682480064346605</v>
      </c>
      <c r="C95" s="1" t="n">
        <v>0.746961278269468</v>
      </c>
      <c r="D95" s="8" t="n">
        <f aca="false">C95-B95</f>
        <v>0.0644812139228626</v>
      </c>
      <c r="E95" s="8" t="n">
        <f aca="false">ABS(D95)</f>
        <v>0.0644812139228626</v>
      </c>
      <c r="F95" s="10"/>
      <c r="G95" s="1"/>
      <c r="I95" s="2" t="s">
        <v>16</v>
      </c>
      <c r="J95" s="1" t="n">
        <f aca="false">AVERAGE(sims_per_turn_scen7!$B$91:$B$116)</f>
        <v>0.711415890650289</v>
      </c>
      <c r="K95" s="1" t="n">
        <f aca="false">AVERAGE(sims_per_turn_scen7!$C$91:$C$116)</f>
        <v>0.722291250332898</v>
      </c>
    </row>
    <row r="96" customFormat="false" ht="12.8" hidden="false" customHeight="false" outlineLevel="0" collapsed="false">
      <c r="A96" s="5" t="n">
        <v>5</v>
      </c>
      <c r="B96" s="1" t="n">
        <v>0.750666088952323</v>
      </c>
      <c r="C96" s="1" t="n">
        <v>0.736303129517049</v>
      </c>
      <c r="D96" s="8" t="n">
        <f aca="false">C96-B96</f>
        <v>-0.0143629594352738</v>
      </c>
      <c r="E96" s="8" t="n">
        <f aca="false">ABS(D96)</f>
        <v>0.0143629594352738</v>
      </c>
      <c r="F96" s="10"/>
      <c r="G96" s="1"/>
      <c r="I96" s="2" t="s">
        <v>17</v>
      </c>
      <c r="J96" s="1" t="n">
        <f aca="false">VAR(sims_per_turn_scen7!$B$91:$B$116)</f>
        <v>0.0022639833703396</v>
      </c>
      <c r="K96" s="1" t="n">
        <f aca="false">VAR(sims_per_turn_scen7!$C$91:$C$116)</f>
        <v>0.0025385628043498</v>
      </c>
    </row>
    <row r="97" customFormat="false" ht="12.8" hidden="false" customHeight="false" outlineLevel="0" collapsed="false">
      <c r="A97" s="5" t="n">
        <v>6</v>
      </c>
      <c r="B97" s="1" t="n">
        <v>0.690037613967929</v>
      </c>
      <c r="C97" s="1" t="n">
        <v>0.693060520928815</v>
      </c>
      <c r="D97" s="8" t="n">
        <f aca="false">C97-B97</f>
        <v>0.00302290696088636</v>
      </c>
      <c r="E97" s="8" t="n">
        <f aca="false">ABS(D97)</f>
        <v>0.00302290696088636</v>
      </c>
      <c r="F97" s="10"/>
      <c r="G97" s="1"/>
      <c r="I97" s="2" t="s">
        <v>18</v>
      </c>
      <c r="J97" s="1" t="n">
        <f aca="false">COUNT(sims_per_turn_scen7!$B$91:$B$116)</f>
        <v>25</v>
      </c>
      <c r="K97" s="1" t="n">
        <f aca="false">COUNT(sims_per_turn_scen7!$C$91:$C$116)</f>
        <v>25</v>
      </c>
    </row>
    <row r="98" customFormat="false" ht="12.8" hidden="false" customHeight="false" outlineLevel="0" collapsed="false">
      <c r="A98" s="5" t="n">
        <v>7</v>
      </c>
      <c r="B98" s="1" t="n">
        <v>0.70889799084929</v>
      </c>
      <c r="C98" s="1" t="n">
        <v>0.748597564255249</v>
      </c>
      <c r="D98" s="8" t="n">
        <f aca="false">C98-B98</f>
        <v>0.039699573405959</v>
      </c>
      <c r="E98" s="8" t="n">
        <f aca="false">ABS(D98)</f>
        <v>0.039699573405959</v>
      </c>
      <c r="F98" s="10"/>
      <c r="G98" s="1"/>
      <c r="I98" s="2" t="s">
        <v>19</v>
      </c>
      <c r="J98" s="1" t="n">
        <f aca="false">CORREL(sims_per_turn_scen7!$B$91:$B$116,sims_per_turn_scen7!$C$91:$C$116)</f>
        <v>0.639246810676259</v>
      </c>
    </row>
    <row r="99" customFormat="false" ht="12.8" hidden="false" customHeight="false" outlineLevel="0" collapsed="false">
      <c r="A99" s="5" t="n">
        <v>8</v>
      </c>
      <c r="B99" s="1" t="n">
        <v>0.685546620467512</v>
      </c>
      <c r="C99" s="1" t="n">
        <v>0.705165938537343</v>
      </c>
      <c r="D99" s="8" t="n">
        <f aca="false">C99-B99</f>
        <v>0.0196193180698319</v>
      </c>
      <c r="E99" s="8" t="n">
        <f aca="false">ABS(D99)</f>
        <v>0.0196193180698319</v>
      </c>
      <c r="F99" s="10"/>
      <c r="G99" s="1"/>
      <c r="I99" s="2" t="s">
        <v>20</v>
      </c>
      <c r="J99" s="1" t="n">
        <f aca="false" t="array" ref="J99:J99">AVERAGE(IF(ISODD(IF(ISNUMBER(sims_per_turn_scen7!$B$91:$B$116), 1, 0) * IF(ISNUMBER(sims_per_turn_scen7!$C$91:$C$116), 1, 0)), sims_per_turn_scen7!$B$91:$B$116 - sims_per_turn_scen7!$C$91:$C$116, "NA"))</f>
        <v>-0.0108753596826089</v>
      </c>
    </row>
    <row r="100" customFormat="false" ht="12.8" hidden="false" customHeight="false" outlineLevel="0" collapsed="false">
      <c r="A100" s="5" t="n">
        <v>9</v>
      </c>
      <c r="B100" s="1" t="n">
        <v>0.727629515141836</v>
      </c>
      <c r="C100" s="1" t="n">
        <v>0.750368716676119</v>
      </c>
      <c r="D100" s="8" t="n">
        <f aca="false">C100-B100</f>
        <v>0.0227392015342832</v>
      </c>
      <c r="E100" s="8" t="n">
        <f aca="false">ABS(D100)</f>
        <v>0.0227392015342832</v>
      </c>
      <c r="F100" s="10"/>
      <c r="G100" s="1"/>
      <c r="I100" s="2" t="s">
        <v>21</v>
      </c>
      <c r="J100" s="1" t="n">
        <f aca="false" t="array" ref="J100:J100">VAR(IF(ISODD(IF(ISNUMBER(sims_per_turn_scen7!$B$91:$B$116), 1, 0) * IF(ISNUMBER(sims_per_turn_scen7!$C$91:$C$116), 1, 0)), sims_per_turn_scen7!$B$91:$B$116 - sims_per_turn_scen7!$C$91:$C$116, "NA"))</f>
        <v>0.00173755563746932</v>
      </c>
    </row>
    <row r="101" customFormat="false" ht="12.8" hidden="false" customHeight="false" outlineLevel="0" collapsed="false">
      <c r="A101" s="5" t="n">
        <v>10</v>
      </c>
      <c r="B101" s="1" t="n">
        <v>0.637485514971611</v>
      </c>
      <c r="C101" s="1" t="n">
        <v>0.682432996770851</v>
      </c>
      <c r="D101" s="8" t="n">
        <f aca="false">C101-B101</f>
        <v>0.0449474817992402</v>
      </c>
      <c r="E101" s="8" t="n">
        <f aca="false">ABS(D101)</f>
        <v>0.0449474817992402</v>
      </c>
      <c r="F101" s="10"/>
      <c r="G101" s="1"/>
      <c r="I101" s="2" t="s">
        <v>22</v>
      </c>
      <c r="J101" s="1" t="n">
        <f aca="false" t="array" ref="J101:J101">SUM(IF(ISNUMBER(sims_per_turn_scen7!$B$91:$B$116), 1, 0) * IF(ISNUMBER(sims_per_turn_scen7!$C$91:$C$116), 1, 0)) - 1</f>
        <v>24</v>
      </c>
    </row>
    <row r="102" customFormat="false" ht="12.8" hidden="false" customHeight="false" outlineLevel="0" collapsed="false">
      <c r="A102" s="5" t="n">
        <v>11</v>
      </c>
      <c r="B102" s="1" t="n">
        <v>0.717989456556699</v>
      </c>
      <c r="C102" s="1" t="n">
        <v>0.72387381443217</v>
      </c>
      <c r="D102" s="8" t="n">
        <f aca="false">C102-B102</f>
        <v>0.00588435787547148</v>
      </c>
      <c r="E102" s="8" t="n">
        <f aca="false">ABS(D102)</f>
        <v>0.00588435787547148</v>
      </c>
      <c r="F102" s="10"/>
      <c r="G102" s="1"/>
      <c r="I102" s="2" t="s">
        <v>23</v>
      </c>
      <c r="J102" s="1" t="n">
        <f aca="false">(sims_per_turn_scen7!$J$99 - sims_per_turn_scen7!$J$93) / (sims_per_turn_scen7!$J$100 / ( sims_per_turn_scen7!$J$101 + 1)) ^ 0.5</f>
        <v>-1.30450057174222</v>
      </c>
    </row>
    <row r="103" customFormat="false" ht="12.8" hidden="false" customHeight="false" outlineLevel="0" collapsed="false">
      <c r="A103" s="5" t="n">
        <v>12</v>
      </c>
      <c r="B103" s="1" t="n">
        <v>0.770906292597071</v>
      </c>
      <c r="C103" s="1" t="n">
        <v>0.667701763619203</v>
      </c>
      <c r="D103" s="8" t="n">
        <f aca="false">C103-B103</f>
        <v>-0.103204528977868</v>
      </c>
      <c r="E103" s="8" t="n">
        <f aca="false">ABS(D103)</f>
        <v>0.103204528977868</v>
      </c>
      <c r="F103" s="10"/>
      <c r="G103" s="1"/>
      <c r="I103" s="2" t="s">
        <v>24</v>
      </c>
      <c r="J103" s="1" t="n">
        <f aca="false">TDIST(ABS(sims_per_turn_scen7!$J$102), sims_per_turn_scen7!$J$101, 1)</f>
        <v>0.102217303297368</v>
      </c>
    </row>
    <row r="104" customFormat="false" ht="12.8" hidden="false" customHeight="false" outlineLevel="0" collapsed="false">
      <c r="A104" s="5" t="n">
        <v>13</v>
      </c>
      <c r="B104" s="1" t="n">
        <v>0.709827899363474</v>
      </c>
      <c r="C104" s="1" t="n">
        <v>0.72995268032519</v>
      </c>
      <c r="D104" s="8" t="n">
        <f aca="false">C104-B104</f>
        <v>0.0201247809617153</v>
      </c>
      <c r="E104" s="8" t="n">
        <f aca="false">ABS(D104)</f>
        <v>0.0201247809617153</v>
      </c>
      <c r="F104" s="10"/>
      <c r="G104" s="1"/>
      <c r="I104" s="2" t="s">
        <v>25</v>
      </c>
      <c r="J104" s="1" t="n">
        <f aca="false">TINV(2*sims_per_turn_scen7!$J$92, sims_per_turn_scen7!$J$101)</f>
        <v>1.71088207990943</v>
      </c>
    </row>
    <row r="105" customFormat="false" ht="12.8" hidden="false" customHeight="false" outlineLevel="0" collapsed="false">
      <c r="A105" s="5" t="n">
        <v>14</v>
      </c>
      <c r="B105" s="1" t="n">
        <v>0.824775999287701</v>
      </c>
      <c r="C105" s="1" t="n">
        <v>0.79516955513513</v>
      </c>
      <c r="D105" s="8" t="n">
        <f aca="false">C105-B105</f>
        <v>-0.0296064441525714</v>
      </c>
      <c r="E105" s="8" t="n">
        <f aca="false">ABS(D105)</f>
        <v>0.0296064441525714</v>
      </c>
      <c r="F105" s="10"/>
      <c r="G105" s="1"/>
      <c r="I105" s="2" t="s">
        <v>26</v>
      </c>
      <c r="J105" s="1" t="n">
        <f aca="false">TDIST(ABS(sims_per_turn_scen7!$J$102), sims_per_turn_scen7!$J$101, 2)</f>
        <v>0.204434606594736</v>
      </c>
    </row>
    <row r="106" customFormat="false" ht="12.8" hidden="false" customHeight="false" outlineLevel="0" collapsed="false">
      <c r="A106" s="5" t="n">
        <v>15</v>
      </c>
      <c r="B106" s="1" t="n">
        <v>0.611331502918536</v>
      </c>
      <c r="C106" s="1" t="n">
        <v>0.641361051891741</v>
      </c>
      <c r="D106" s="8" t="n">
        <f aca="false">C106-B106</f>
        <v>0.0300295489732049</v>
      </c>
      <c r="E106" s="8" t="n">
        <f aca="false">ABS(D106)</f>
        <v>0.0300295489732049</v>
      </c>
      <c r="F106" s="10"/>
      <c r="G106" s="1"/>
      <c r="I106" s="2" t="s">
        <v>27</v>
      </c>
      <c r="J106" s="1" t="n">
        <f aca="false">TINV(sims_per_turn_scen7!$J$92, sims_per_turn_scen7!$J$101)</f>
        <v>2.06389856162803</v>
      </c>
    </row>
    <row r="107" customFormat="false" ht="12.8" hidden="false" customHeight="false" outlineLevel="0" collapsed="false">
      <c r="A107" s="5" t="n">
        <v>16</v>
      </c>
      <c r="B107" s="1" t="n">
        <v>0.743473367956861</v>
      </c>
      <c r="C107" s="1" t="n">
        <v>0.758550116405013</v>
      </c>
      <c r="D107" s="8" t="n">
        <f aca="false">C107-B107</f>
        <v>0.0150767484481522</v>
      </c>
      <c r="E107" s="8" t="n">
        <f aca="false">ABS(D107)</f>
        <v>0.0150767484481522</v>
      </c>
      <c r="F107" s="10"/>
      <c r="G107" s="1"/>
    </row>
    <row r="108" customFormat="false" ht="12.8" hidden="false" customHeight="false" outlineLevel="0" collapsed="false">
      <c r="A108" s="5" t="n">
        <v>17</v>
      </c>
      <c r="B108" s="1" t="n">
        <v>0.657769103514598</v>
      </c>
      <c r="C108" s="1" t="n">
        <v>0.694176028461883</v>
      </c>
      <c r="D108" s="8" t="n">
        <f aca="false">C108-B108</f>
        <v>0.0364069249472853</v>
      </c>
      <c r="E108" s="8" t="n">
        <f aca="false">ABS(D108)</f>
        <v>0.0364069249472853</v>
      </c>
      <c r="F108" s="10"/>
      <c r="G108" s="1"/>
    </row>
    <row r="109" customFormat="false" ht="12.8" hidden="false" customHeight="false" outlineLevel="0" collapsed="false">
      <c r="A109" s="5" t="n">
        <v>18</v>
      </c>
      <c r="B109" s="1" t="n">
        <v>0.7336678926738</v>
      </c>
      <c r="C109" s="1" t="n">
        <v>0.753547411776315</v>
      </c>
      <c r="D109" s="8" t="n">
        <f aca="false">C109-B109</f>
        <v>0.0198795191025155</v>
      </c>
      <c r="E109" s="8" t="n">
        <f aca="false">ABS(D109)</f>
        <v>0.0198795191025155</v>
      </c>
      <c r="F109" s="10"/>
      <c r="G109" s="1"/>
    </row>
    <row r="110" customFormat="false" ht="12.8" hidden="false" customHeight="false" outlineLevel="0" collapsed="false">
      <c r="A110" s="5" t="n">
        <v>19</v>
      </c>
      <c r="B110" s="1" t="n">
        <v>0.664769831999005</v>
      </c>
      <c r="C110" s="1" t="n">
        <v>0.718473139733635</v>
      </c>
      <c r="D110" s="8" t="n">
        <f aca="false">C110-B110</f>
        <v>0.0537033077346305</v>
      </c>
      <c r="E110" s="8" t="n">
        <f aca="false">ABS(D110)</f>
        <v>0.0537033077346305</v>
      </c>
      <c r="F110" s="10"/>
      <c r="G110" s="1"/>
    </row>
    <row r="111" customFormat="false" ht="12.8" hidden="false" customHeight="false" outlineLevel="0" collapsed="false">
      <c r="A111" s="5" t="n">
        <v>20</v>
      </c>
      <c r="B111" s="1" t="n">
        <v>0.735511761701567</v>
      </c>
      <c r="C111" s="1" t="n">
        <v>0.754538991520845</v>
      </c>
      <c r="D111" s="8" t="n">
        <f aca="false">C111-B111</f>
        <v>0.0190272298192781</v>
      </c>
      <c r="E111" s="8" t="n">
        <f aca="false">ABS(D111)</f>
        <v>0.0190272298192781</v>
      </c>
      <c r="F111" s="10"/>
      <c r="G111" s="1"/>
    </row>
    <row r="112" customFormat="false" ht="12.8" hidden="false" customHeight="false" outlineLevel="0" collapsed="false">
      <c r="A112" s="5" t="n">
        <v>21</v>
      </c>
      <c r="B112" s="1" t="n">
        <v>0.715466613809298</v>
      </c>
      <c r="C112" s="1" t="n">
        <v>0.71601754844973</v>
      </c>
      <c r="D112" s="8" t="n">
        <f aca="false">C112-B112</f>
        <v>0.000550934640431988</v>
      </c>
      <c r="E112" s="8" t="n">
        <f aca="false">ABS(D112)</f>
        <v>0.000550934640431988</v>
      </c>
      <c r="F112" s="10"/>
      <c r="G112" s="1"/>
    </row>
    <row r="113" customFormat="false" ht="12.8" hidden="false" customHeight="false" outlineLevel="0" collapsed="false">
      <c r="A113" s="5" t="n">
        <v>22</v>
      </c>
      <c r="B113" s="1" t="n">
        <v>0.70902009513028</v>
      </c>
      <c r="C113" s="1" t="n">
        <v>0.751876513039488</v>
      </c>
      <c r="D113" s="8" t="n">
        <f aca="false">C113-B113</f>
        <v>0.0428564179092077</v>
      </c>
      <c r="E113" s="8" t="n">
        <f aca="false">ABS(D113)</f>
        <v>0.0428564179092077</v>
      </c>
      <c r="F113" s="10"/>
      <c r="G113" s="1"/>
    </row>
    <row r="114" customFormat="false" ht="12.8" hidden="false" customHeight="false" outlineLevel="0" collapsed="false">
      <c r="A114" s="5" t="n">
        <v>23</v>
      </c>
      <c r="B114" s="1" t="n">
        <v>0.675856447847683</v>
      </c>
      <c r="C114" s="1" t="n">
        <v>0.717330086490848</v>
      </c>
      <c r="D114" s="8" t="n">
        <f aca="false">C114-B114</f>
        <v>0.0414736386431652</v>
      </c>
      <c r="E114" s="8" t="n">
        <f aca="false">ABS(D114)</f>
        <v>0.0414736386431652</v>
      </c>
      <c r="F114" s="10"/>
      <c r="G114" s="1"/>
    </row>
    <row r="115" customFormat="false" ht="12.8" hidden="false" customHeight="false" outlineLevel="0" collapsed="false">
      <c r="A115" s="5" t="n">
        <v>24</v>
      </c>
      <c r="B115" s="1" t="n">
        <v>0.770886115042279</v>
      </c>
      <c r="C115" s="1" t="n">
        <v>0.810165160416988</v>
      </c>
      <c r="D115" s="8" t="n">
        <f aca="false">C115-B115</f>
        <v>0.0392790453747084</v>
      </c>
      <c r="E115" s="8" t="n">
        <f aca="false">ABS(D115)</f>
        <v>0.0392790453747084</v>
      </c>
      <c r="F115" s="10"/>
      <c r="G115" s="1"/>
    </row>
    <row r="116" customFormat="false" ht="12.8" hidden="false" customHeight="false" outlineLevel="0" collapsed="false">
      <c r="A116" s="6" t="n">
        <v>25</v>
      </c>
      <c r="B116" s="1" t="n">
        <v>0.769586409524463</v>
      </c>
      <c r="C116" s="1" t="n">
        <v>0.72772399535443</v>
      </c>
      <c r="D116" s="8" t="n">
        <f aca="false">C116-B116</f>
        <v>-0.0418624141700332</v>
      </c>
      <c r="E116" s="8" t="n">
        <f aca="false">ABS(D116)</f>
        <v>0.0418624141700332</v>
      </c>
      <c r="F116" s="10"/>
      <c r="G116" s="1"/>
    </row>
    <row r="119" customFormat="false" ht="12.8" hidden="false" customHeight="false" outlineLevel="0" collapsed="false">
      <c r="A119" s="3" t="s">
        <v>0</v>
      </c>
      <c r="B119" s="4" t="s">
        <v>1</v>
      </c>
      <c r="C119" s="4" t="s">
        <v>3</v>
      </c>
      <c r="D119" s="8" t="s">
        <v>30</v>
      </c>
      <c r="E119" s="8" t="s">
        <v>8</v>
      </c>
      <c r="F119" s="8" t="s">
        <v>9</v>
      </c>
      <c r="G119" s="8" t="s">
        <v>10</v>
      </c>
      <c r="I119" s="9" t="s">
        <v>11</v>
      </c>
    </row>
    <row r="120" customFormat="false" ht="12.8" hidden="false" customHeight="false" outlineLevel="0" collapsed="false">
      <c r="A120" s="5" t="n">
        <v>1</v>
      </c>
      <c r="B120" s="1" t="n">
        <v>0.726604447396414</v>
      </c>
      <c r="C120" s="1" t="n">
        <v>0.724099533668665</v>
      </c>
      <c r="D120" s="8" t="n">
        <f aca="false">C120-B120</f>
        <v>-0.00250491372774841</v>
      </c>
      <c r="E120" s="8" t="n">
        <f aca="false">ABS(D120)</f>
        <v>0.00250491372774841</v>
      </c>
      <c r="F120" s="8" t="n">
        <f aca="false">AVERAGE(D120:D144)</f>
        <v>0.00920242397220161</v>
      </c>
      <c r="G120" s="8" t="n">
        <f aca="false">_xlfn.STDEV.S(D120:D144)</f>
        <v>0.0336216411156771</v>
      </c>
      <c r="I120" s="2" t="s">
        <v>12</v>
      </c>
      <c r="J120" s="1" t="n">
        <v>0.05</v>
      </c>
    </row>
    <row r="121" customFormat="false" ht="12.8" hidden="false" customHeight="false" outlineLevel="0" collapsed="false">
      <c r="A121" s="5" t="n">
        <v>2</v>
      </c>
      <c r="B121" s="1" t="n">
        <v>0.708959829151642</v>
      </c>
      <c r="C121" s="1" t="n">
        <v>0.690405786547539</v>
      </c>
      <c r="D121" s="8" t="n">
        <f aca="false">C121-B121</f>
        <v>-0.0185540426041033</v>
      </c>
      <c r="E121" s="8" t="n">
        <f aca="false">ABS(D121)</f>
        <v>0.0185540426041033</v>
      </c>
      <c r="F121" s="10"/>
      <c r="G121" s="1"/>
      <c r="I121" s="2" t="s">
        <v>13</v>
      </c>
      <c r="J121" s="1" t="n">
        <v>0</v>
      </c>
    </row>
    <row r="122" customFormat="false" ht="12.8" hidden="false" customHeight="false" outlineLevel="0" collapsed="false">
      <c r="A122" s="5" t="n">
        <v>3</v>
      </c>
      <c r="B122" s="1" t="n">
        <v>0.656250791088745</v>
      </c>
      <c r="C122" s="1" t="n">
        <v>0.664424091143094</v>
      </c>
      <c r="D122" s="8" t="n">
        <f aca="false">C122-B122</f>
        <v>0.00817330005434824</v>
      </c>
      <c r="E122" s="8" t="n">
        <f aca="false">ABS(D122)</f>
        <v>0.00817330005434824</v>
      </c>
      <c r="F122" s="10"/>
      <c r="G122" s="1"/>
      <c r="J122" s="11" t="s">
        <v>14</v>
      </c>
      <c r="K122" s="11" t="s">
        <v>15</v>
      </c>
    </row>
    <row r="123" customFormat="false" ht="12.8" hidden="false" customHeight="false" outlineLevel="0" collapsed="false">
      <c r="A123" s="5" t="n">
        <v>4</v>
      </c>
      <c r="B123" s="1" t="n">
        <v>0.682480064346605</v>
      </c>
      <c r="C123" s="1" t="n">
        <v>0.737872088358781</v>
      </c>
      <c r="D123" s="8" t="n">
        <f aca="false">C123-B123</f>
        <v>0.0553920240121757</v>
      </c>
      <c r="E123" s="8" t="n">
        <f aca="false">ABS(D123)</f>
        <v>0.0553920240121757</v>
      </c>
      <c r="F123" s="10"/>
      <c r="G123" s="1"/>
      <c r="I123" s="2" t="s">
        <v>16</v>
      </c>
      <c r="J123" s="1" t="n">
        <f aca="false">AVERAGE(sims_per_turn_scen7!$B$119:$B$144)</f>
        <v>0.711415890650289</v>
      </c>
      <c r="K123" s="1" t="n">
        <f aca="false">AVERAGE(sims_per_turn_scen7!$C$119:$C$144)</f>
        <v>0.720618314622491</v>
      </c>
    </row>
    <row r="124" customFormat="false" ht="12.8" hidden="false" customHeight="false" outlineLevel="0" collapsed="false">
      <c r="A124" s="5" t="n">
        <v>5</v>
      </c>
      <c r="B124" s="1" t="n">
        <v>0.750666088952323</v>
      </c>
      <c r="C124" s="1" t="n">
        <v>0.731664951542418</v>
      </c>
      <c r="D124" s="8" t="n">
        <f aca="false">C124-B124</f>
        <v>-0.0190011374099051</v>
      </c>
      <c r="E124" s="8" t="n">
        <f aca="false">ABS(D124)</f>
        <v>0.0190011374099051</v>
      </c>
      <c r="F124" s="10"/>
      <c r="G124" s="1"/>
      <c r="I124" s="2" t="s">
        <v>17</v>
      </c>
      <c r="J124" s="1" t="n">
        <f aca="false">VAR(sims_per_turn_scen7!$B$119:$B$144)</f>
        <v>0.0022639833703396</v>
      </c>
      <c r="K124" s="1" t="n">
        <f aca="false">VAR(sims_per_turn_scen7!$C$119:$C$144)</f>
        <v>0.00248995744319226</v>
      </c>
    </row>
    <row r="125" customFormat="false" ht="12.8" hidden="false" customHeight="false" outlineLevel="0" collapsed="false">
      <c r="A125" s="5" t="n">
        <v>6</v>
      </c>
      <c r="B125" s="1" t="n">
        <v>0.690037613967929</v>
      </c>
      <c r="C125" s="1" t="n">
        <v>0.72767431707301</v>
      </c>
      <c r="D125" s="8" t="n">
        <f aca="false">C125-B125</f>
        <v>0.0376367031050808</v>
      </c>
      <c r="E125" s="8" t="n">
        <f aca="false">ABS(D125)</f>
        <v>0.0376367031050808</v>
      </c>
      <c r="F125" s="10"/>
      <c r="G125" s="1"/>
      <c r="I125" s="2" t="s">
        <v>18</v>
      </c>
      <c r="J125" s="1" t="n">
        <f aca="false">COUNT(sims_per_turn_scen7!$B$119:$B$144)</f>
        <v>25</v>
      </c>
      <c r="K125" s="1" t="n">
        <f aca="false">COUNT(sims_per_turn_scen7!$C$119:$C$144)</f>
        <v>25</v>
      </c>
    </row>
    <row r="126" customFormat="false" ht="12.8" hidden="false" customHeight="false" outlineLevel="0" collapsed="false">
      <c r="A126" s="5" t="n">
        <v>7</v>
      </c>
      <c r="B126" s="1" t="n">
        <v>0.70889799084929</v>
      </c>
      <c r="C126" s="1" t="n">
        <v>0.785159172931949</v>
      </c>
      <c r="D126" s="8" t="n">
        <f aca="false">C126-B126</f>
        <v>0.0762611820826588</v>
      </c>
      <c r="E126" s="8" t="n">
        <f aca="false">ABS(D126)</f>
        <v>0.0762611820826588</v>
      </c>
      <c r="F126" s="10"/>
      <c r="G126" s="1"/>
      <c r="I126" s="2" t="s">
        <v>19</v>
      </c>
      <c r="J126" s="1" t="n">
        <f aca="false">CORREL(sims_per_turn_scen7!$B$119:$B$144,sims_per_turn_scen7!$C$119:$C$144)</f>
        <v>0.763077793404861</v>
      </c>
    </row>
    <row r="127" customFormat="false" ht="12.8" hidden="false" customHeight="false" outlineLevel="0" collapsed="false">
      <c r="A127" s="5" t="n">
        <v>8</v>
      </c>
      <c r="B127" s="1" t="n">
        <v>0.685546620467512</v>
      </c>
      <c r="C127" s="1" t="n">
        <v>0.699365933104337</v>
      </c>
      <c r="D127" s="8" t="n">
        <f aca="false">C127-B127</f>
        <v>0.013819312636825</v>
      </c>
      <c r="E127" s="8" t="n">
        <f aca="false">ABS(D127)</f>
        <v>0.013819312636825</v>
      </c>
      <c r="F127" s="10"/>
      <c r="G127" s="1"/>
      <c r="I127" s="2" t="s">
        <v>20</v>
      </c>
      <c r="J127" s="1" t="n">
        <f aca="false" t="array" ref="J127:J127">AVERAGE(IF(ISODD(IF(ISNUMBER(sims_per_turn_scen7!$B$119:$B$144), 1, 0) * IF(ISNUMBER(sims_per_turn_scen7!$C$119:$C$144), 1, 0)), sims_per_turn_scen7!$B$119:$B$144 - sims_per_turn_scen7!$C$119:$C$144, "NA"))</f>
        <v>-0.00920242397220169</v>
      </c>
    </row>
    <row r="128" customFormat="false" ht="12.8" hidden="false" customHeight="false" outlineLevel="0" collapsed="false">
      <c r="A128" s="5" t="n">
        <v>9</v>
      </c>
      <c r="B128" s="1" t="n">
        <v>0.727629515141836</v>
      </c>
      <c r="C128" s="1" t="n">
        <v>0.74686473255493</v>
      </c>
      <c r="D128" s="8" t="n">
        <f aca="false">C128-B128</f>
        <v>0.0192352174130938</v>
      </c>
      <c r="E128" s="8" t="n">
        <f aca="false">ABS(D128)</f>
        <v>0.0192352174130938</v>
      </c>
      <c r="F128" s="10"/>
      <c r="G128" s="1"/>
      <c r="I128" s="2" t="s">
        <v>21</v>
      </c>
      <c r="J128" s="1" t="n">
        <f aca="false" t="array" ref="J128:J128">VAR(IF(ISODD(IF(ISNUMBER(sims_per_turn_scen7!$B$119:$B$144), 1, 0) * IF(ISNUMBER(sims_per_turn_scen7!$C$119:$C$144), 1, 0)), sims_per_turn_scen7!$B$119:$B$144 - sims_per_turn_scen7!$C$119:$C$144, "NA"))</f>
        <v>0.0011304147513114</v>
      </c>
    </row>
    <row r="129" customFormat="false" ht="12.8" hidden="false" customHeight="false" outlineLevel="0" collapsed="false">
      <c r="A129" s="5" t="n">
        <v>10</v>
      </c>
      <c r="B129" s="1" t="n">
        <v>0.637485514971611</v>
      </c>
      <c r="C129" s="1" t="n">
        <v>0.68571667055349</v>
      </c>
      <c r="D129" s="8" t="n">
        <f aca="false">C129-B129</f>
        <v>0.0482311555818791</v>
      </c>
      <c r="E129" s="8" t="n">
        <f aca="false">ABS(D129)</f>
        <v>0.0482311555818791</v>
      </c>
      <c r="F129" s="10"/>
      <c r="G129" s="1"/>
      <c r="I129" s="2" t="s">
        <v>22</v>
      </c>
      <c r="J129" s="1" t="n">
        <f aca="false" t="array" ref="J129:J129">SUM(IF(ISNUMBER(sims_per_turn_scen7!$B$119:$B$144), 1, 0) * IF(ISNUMBER(sims_per_turn_scen7!$C$119:$C$144), 1, 0)) - 1</f>
        <v>24</v>
      </c>
    </row>
    <row r="130" customFormat="false" ht="12.8" hidden="false" customHeight="false" outlineLevel="0" collapsed="false">
      <c r="A130" s="5" t="n">
        <v>11</v>
      </c>
      <c r="B130" s="1" t="n">
        <v>0.717989456556699</v>
      </c>
      <c r="C130" s="1" t="n">
        <v>0.765114909147396</v>
      </c>
      <c r="D130" s="8" t="n">
        <f aca="false">C130-B130</f>
        <v>0.0471254525906969</v>
      </c>
      <c r="E130" s="8" t="n">
        <f aca="false">ABS(D130)</f>
        <v>0.0471254525906969</v>
      </c>
      <c r="F130" s="10"/>
      <c r="G130" s="1"/>
      <c r="I130" s="2" t="s">
        <v>23</v>
      </c>
      <c r="J130" s="1" t="n">
        <f aca="false">(sims_per_turn_scen7!$J$127 - sims_per_turn_scen7!$J$121) / (sims_per_turn_scen7!$J$128 / ( sims_per_turn_scen7!$J$129 + 1)) ^ 0.5</f>
        <v>-1.36852688727183</v>
      </c>
    </row>
    <row r="131" customFormat="false" ht="12.8" hidden="false" customHeight="false" outlineLevel="0" collapsed="false">
      <c r="A131" s="5" t="n">
        <v>12</v>
      </c>
      <c r="B131" s="1" t="n">
        <v>0.770906292597071</v>
      </c>
      <c r="C131" s="1" t="n">
        <v>0.736644236479232</v>
      </c>
      <c r="D131" s="8" t="n">
        <f aca="false">C131-B131</f>
        <v>-0.0342620561178392</v>
      </c>
      <c r="E131" s="8" t="n">
        <f aca="false">ABS(D131)</f>
        <v>0.0342620561178392</v>
      </c>
      <c r="F131" s="10"/>
      <c r="G131" s="1"/>
      <c r="I131" s="2" t="s">
        <v>24</v>
      </c>
      <c r="J131" s="1" t="n">
        <f aca="false">TDIST(ABS(sims_per_turn_scen7!$J$130), sims_per_turn_scen7!$J$129, 1)</f>
        <v>0.0919112419243136</v>
      </c>
    </row>
    <row r="132" customFormat="false" ht="12.8" hidden="false" customHeight="false" outlineLevel="0" collapsed="false">
      <c r="A132" s="5" t="n">
        <v>13</v>
      </c>
      <c r="B132" s="1" t="n">
        <v>0.709827899363474</v>
      </c>
      <c r="C132" s="1" t="n">
        <v>0.678666511575506</v>
      </c>
      <c r="D132" s="8" t="n">
        <f aca="false">C132-B132</f>
        <v>-0.031161387787968</v>
      </c>
      <c r="E132" s="8" t="n">
        <f aca="false">ABS(D132)</f>
        <v>0.031161387787968</v>
      </c>
      <c r="F132" s="10"/>
      <c r="G132" s="1"/>
      <c r="I132" s="2" t="s">
        <v>25</v>
      </c>
      <c r="J132" s="1" t="n">
        <f aca="false">TINV(2*sims_per_turn_scen7!$J$120, sims_per_turn_scen7!$J$129)</f>
        <v>1.71088207990943</v>
      </c>
    </row>
    <row r="133" customFormat="false" ht="12.8" hidden="false" customHeight="false" outlineLevel="0" collapsed="false">
      <c r="A133" s="5" t="n">
        <v>14</v>
      </c>
      <c r="B133" s="1" t="n">
        <v>0.824775999287701</v>
      </c>
      <c r="C133" s="1" t="n">
        <v>0.800148648147254</v>
      </c>
      <c r="D133" s="8" t="n">
        <f aca="false">C133-B133</f>
        <v>-0.0246273511404472</v>
      </c>
      <c r="E133" s="8" t="n">
        <f aca="false">ABS(D133)</f>
        <v>0.0246273511404472</v>
      </c>
      <c r="F133" s="10"/>
      <c r="G133" s="1"/>
      <c r="I133" s="2" t="s">
        <v>26</v>
      </c>
      <c r="J133" s="1" t="n">
        <f aca="false">TDIST(ABS(sims_per_turn_scen7!$J$130), sims_per_turn_scen7!$J$129, 2)</f>
        <v>0.183822483848627</v>
      </c>
    </row>
    <row r="134" customFormat="false" ht="12.8" hidden="false" customHeight="false" outlineLevel="0" collapsed="false">
      <c r="A134" s="5" t="n">
        <v>15</v>
      </c>
      <c r="B134" s="1" t="n">
        <v>0.611331502918536</v>
      </c>
      <c r="C134" s="1" t="n">
        <v>0.613656437383168</v>
      </c>
      <c r="D134" s="8" t="n">
        <f aca="false">C134-B134</f>
        <v>0.002324934464632</v>
      </c>
      <c r="E134" s="8" t="n">
        <f aca="false">ABS(D134)</f>
        <v>0.002324934464632</v>
      </c>
      <c r="F134" s="10"/>
      <c r="G134" s="1"/>
      <c r="I134" s="2" t="s">
        <v>27</v>
      </c>
      <c r="J134" s="1" t="n">
        <f aca="false">TINV(sims_per_turn_scen7!$J$120, sims_per_turn_scen7!$J$129)</f>
        <v>2.06389856162803</v>
      </c>
    </row>
    <row r="135" customFormat="false" ht="12.8" hidden="false" customHeight="false" outlineLevel="0" collapsed="false">
      <c r="A135" s="5" t="n">
        <v>16</v>
      </c>
      <c r="B135" s="1" t="n">
        <v>0.743473367956861</v>
      </c>
      <c r="C135" s="1" t="n">
        <v>0.70191452728509</v>
      </c>
      <c r="D135" s="8" t="n">
        <f aca="false">C135-B135</f>
        <v>-0.0415588406717706</v>
      </c>
      <c r="E135" s="8" t="n">
        <f aca="false">ABS(D135)</f>
        <v>0.0415588406717706</v>
      </c>
      <c r="F135" s="10"/>
      <c r="G135" s="1"/>
    </row>
    <row r="136" customFormat="false" ht="12.8" hidden="false" customHeight="false" outlineLevel="0" collapsed="false">
      <c r="A136" s="5" t="n">
        <v>17</v>
      </c>
      <c r="B136" s="1" t="n">
        <v>0.657769103514598</v>
      </c>
      <c r="C136" s="1" t="n">
        <v>0.696040981259132</v>
      </c>
      <c r="D136" s="8" t="n">
        <f aca="false">C136-B136</f>
        <v>0.0382718777445339</v>
      </c>
      <c r="E136" s="8" t="n">
        <f aca="false">ABS(D136)</f>
        <v>0.0382718777445339</v>
      </c>
      <c r="F136" s="10"/>
      <c r="G136" s="1"/>
    </row>
    <row r="137" customFormat="false" ht="12.8" hidden="false" customHeight="false" outlineLevel="0" collapsed="false">
      <c r="A137" s="5" t="n">
        <v>18</v>
      </c>
      <c r="B137" s="1" t="n">
        <v>0.7336678926738</v>
      </c>
      <c r="C137" s="1" t="n">
        <v>0.764111372525898</v>
      </c>
      <c r="D137" s="8" t="n">
        <f aca="false">C137-B137</f>
        <v>0.0304434798520985</v>
      </c>
      <c r="E137" s="8" t="n">
        <f aca="false">ABS(D137)</f>
        <v>0.0304434798520985</v>
      </c>
      <c r="F137" s="10"/>
      <c r="G137" s="1"/>
    </row>
    <row r="138" customFormat="false" ht="12.8" hidden="false" customHeight="false" outlineLevel="0" collapsed="false">
      <c r="A138" s="5" t="n">
        <v>19</v>
      </c>
      <c r="B138" s="1" t="n">
        <v>0.664769831999005</v>
      </c>
      <c r="C138" s="1" t="n">
        <v>0.612949588021736</v>
      </c>
      <c r="D138" s="8" t="n">
        <f aca="false">C138-B138</f>
        <v>-0.0518202439772685</v>
      </c>
      <c r="E138" s="8" t="n">
        <f aca="false">ABS(D138)</f>
        <v>0.0518202439772685</v>
      </c>
      <c r="F138" s="10"/>
      <c r="G138" s="1"/>
    </row>
    <row r="139" customFormat="false" ht="12.8" hidden="false" customHeight="false" outlineLevel="0" collapsed="false">
      <c r="A139" s="5" t="n">
        <v>20</v>
      </c>
      <c r="B139" s="1" t="n">
        <v>0.735511761701567</v>
      </c>
      <c r="C139" s="1" t="n">
        <v>0.761234455225827</v>
      </c>
      <c r="D139" s="8" t="n">
        <f aca="false">C139-B139</f>
        <v>0.0257226935242599</v>
      </c>
      <c r="E139" s="8" t="n">
        <f aca="false">ABS(D139)</f>
        <v>0.0257226935242599</v>
      </c>
      <c r="F139" s="10"/>
      <c r="G139" s="1"/>
    </row>
    <row r="140" customFormat="false" ht="12.8" hidden="false" customHeight="false" outlineLevel="0" collapsed="false">
      <c r="A140" s="5" t="n">
        <v>21</v>
      </c>
      <c r="B140" s="1" t="n">
        <v>0.715466613809298</v>
      </c>
      <c r="C140" s="1" t="n">
        <v>0.708545748319991</v>
      </c>
      <c r="D140" s="8" t="n">
        <f aca="false">C140-B140</f>
        <v>-0.00692086548930693</v>
      </c>
      <c r="E140" s="8" t="n">
        <f aca="false">ABS(D140)</f>
        <v>0.00692086548930693</v>
      </c>
      <c r="F140" s="10"/>
      <c r="G140" s="1"/>
    </row>
    <row r="141" customFormat="false" ht="12.8" hidden="false" customHeight="false" outlineLevel="0" collapsed="false">
      <c r="A141" s="5" t="n">
        <v>22</v>
      </c>
      <c r="B141" s="1" t="n">
        <v>0.70902009513028</v>
      </c>
      <c r="C141" s="1" t="n">
        <v>0.756069449327172</v>
      </c>
      <c r="D141" s="8" t="n">
        <f aca="false">C141-B141</f>
        <v>0.0470493541968915</v>
      </c>
      <c r="E141" s="8" t="n">
        <f aca="false">ABS(D141)</f>
        <v>0.0470493541968915</v>
      </c>
      <c r="F141" s="10"/>
      <c r="G141" s="1"/>
    </row>
    <row r="142" customFormat="false" ht="12.8" hidden="false" customHeight="false" outlineLevel="0" collapsed="false">
      <c r="A142" s="5" t="n">
        <v>23</v>
      </c>
      <c r="B142" s="1" t="n">
        <v>0.675856447847683</v>
      </c>
      <c r="C142" s="1" t="n">
        <v>0.671531865451319</v>
      </c>
      <c r="D142" s="8" t="n">
        <f aca="false">C142-B142</f>
        <v>-0.00432458239636369</v>
      </c>
      <c r="E142" s="8" t="n">
        <f aca="false">ABS(D142)</f>
        <v>0.00432458239636369</v>
      </c>
      <c r="F142" s="10"/>
      <c r="G142" s="1"/>
    </row>
    <row r="143" customFormat="false" ht="12.8" hidden="false" customHeight="false" outlineLevel="0" collapsed="false">
      <c r="A143" s="5" t="n">
        <v>24</v>
      </c>
      <c r="B143" s="1" t="n">
        <v>0.770886115042279</v>
      </c>
      <c r="C143" s="1" t="n">
        <v>0.793327292068252</v>
      </c>
      <c r="D143" s="8" t="n">
        <f aca="false">C143-B143</f>
        <v>0.0224411770259721</v>
      </c>
      <c r="E143" s="8" t="n">
        <f aca="false">ABS(D143)</f>
        <v>0.0224411770259721</v>
      </c>
      <c r="F143" s="10"/>
      <c r="G143" s="1"/>
    </row>
    <row r="144" customFormat="false" ht="12.8" hidden="false" customHeight="false" outlineLevel="0" collapsed="false">
      <c r="A144" s="6" t="n">
        <v>25</v>
      </c>
      <c r="B144" s="1" t="n">
        <v>0.769586409524463</v>
      </c>
      <c r="C144" s="1" t="n">
        <v>0.762254565867078</v>
      </c>
      <c r="D144" s="8" t="n">
        <f aca="false">C144-B144</f>
        <v>-0.00733184365738515</v>
      </c>
      <c r="E144" s="8" t="n">
        <f aca="false">ABS(D144)</f>
        <v>0.00733184365738515</v>
      </c>
      <c r="F144" s="10"/>
      <c r="G144" s="1"/>
    </row>
    <row r="147" customFormat="false" ht="12.8" hidden="false" customHeight="false" outlineLevel="0" collapsed="false">
      <c r="A147" s="3" t="s">
        <v>0</v>
      </c>
      <c r="B147" s="1" t="s">
        <v>4</v>
      </c>
      <c r="C147" s="4" t="s">
        <v>3</v>
      </c>
      <c r="D147" s="8" t="s">
        <v>31</v>
      </c>
      <c r="E147" s="8" t="s">
        <v>8</v>
      </c>
      <c r="F147" s="8" t="s">
        <v>9</v>
      </c>
      <c r="G147" s="8" t="s">
        <v>10</v>
      </c>
      <c r="I147" s="9" t="s">
        <v>11</v>
      </c>
    </row>
    <row r="148" customFormat="false" ht="12.8" hidden="false" customHeight="false" outlineLevel="0" collapsed="false">
      <c r="A148" s="5" t="n">
        <v>1</v>
      </c>
      <c r="B148" s="1" t="n">
        <v>0.726072655509358</v>
      </c>
      <c r="C148" s="1" t="n">
        <v>0.724099533668665</v>
      </c>
      <c r="D148" s="8" t="n">
        <f aca="false">C148-B148</f>
        <v>-0.00197312184069309</v>
      </c>
      <c r="E148" s="8" t="n">
        <f aca="false">ABS(D148)</f>
        <v>0.00197312184069309</v>
      </c>
      <c r="F148" s="8" t="n">
        <f aca="false">AVERAGE(D148:D172)</f>
        <v>0.00752515854293556</v>
      </c>
      <c r="G148" s="8" t="n">
        <f aca="false">_xlfn.STDEV.S(D148:D172)</f>
        <v>0.0362790489194237</v>
      </c>
      <c r="I148" s="2" t="s">
        <v>12</v>
      </c>
      <c r="J148" s="1" t="n">
        <v>0.05</v>
      </c>
    </row>
    <row r="149" customFormat="false" ht="12.8" hidden="false" customHeight="false" outlineLevel="0" collapsed="false">
      <c r="A149" s="5" t="n">
        <v>2</v>
      </c>
      <c r="B149" s="1" t="n">
        <v>0.682663698456168</v>
      </c>
      <c r="C149" s="1" t="n">
        <v>0.690405786547539</v>
      </c>
      <c r="D149" s="8" t="n">
        <f aca="false">C149-B149</f>
        <v>0.00774208809137111</v>
      </c>
      <c r="E149" s="8" t="n">
        <f aca="false">ABS(D149)</f>
        <v>0.00774208809137111</v>
      </c>
      <c r="F149" s="10"/>
      <c r="G149" s="1"/>
      <c r="I149" s="2" t="s">
        <v>13</v>
      </c>
      <c r="J149" s="1" t="n">
        <v>0</v>
      </c>
    </row>
    <row r="150" customFormat="false" ht="12.8" hidden="false" customHeight="false" outlineLevel="0" collapsed="false">
      <c r="A150" s="5" t="n">
        <v>3</v>
      </c>
      <c r="B150" s="1" t="n">
        <v>0.615224454504257</v>
      </c>
      <c r="C150" s="1" t="n">
        <v>0.664424091143094</v>
      </c>
      <c r="D150" s="8" t="n">
        <f aca="false">C150-B150</f>
        <v>0.0491996366388371</v>
      </c>
      <c r="E150" s="8" t="n">
        <f aca="false">ABS(D150)</f>
        <v>0.0491996366388371</v>
      </c>
      <c r="F150" s="10"/>
      <c r="G150" s="1"/>
      <c r="J150" s="11" t="s">
        <v>14</v>
      </c>
      <c r="K150" s="11" t="s">
        <v>15</v>
      </c>
    </row>
    <row r="151" customFormat="false" ht="12.8" hidden="false" customHeight="false" outlineLevel="0" collapsed="false">
      <c r="A151" s="5" t="n">
        <v>4</v>
      </c>
      <c r="B151" s="1" t="n">
        <v>0.728618275572537</v>
      </c>
      <c r="C151" s="1" t="n">
        <v>0.737872088358781</v>
      </c>
      <c r="D151" s="8" t="n">
        <f aca="false">C151-B151</f>
        <v>0.00925381278624404</v>
      </c>
      <c r="E151" s="8" t="n">
        <f aca="false">ABS(D151)</f>
        <v>0.00925381278624404</v>
      </c>
      <c r="F151" s="10"/>
      <c r="G151" s="1"/>
      <c r="I151" s="2" t="s">
        <v>16</v>
      </c>
      <c r="J151" s="1" t="n">
        <f aca="false">AVERAGE(sims_per_turn_scen7!$B$147:$B$172)</f>
        <v>0.713093156079555</v>
      </c>
      <c r="K151" s="1" t="n">
        <f aca="false">AVERAGE(sims_per_turn_scen7!$C$147:$C$172)</f>
        <v>0.720618314622491</v>
      </c>
    </row>
    <row r="152" customFormat="false" ht="12.8" hidden="false" customHeight="false" outlineLevel="0" collapsed="false">
      <c r="A152" s="5" t="n">
        <v>5</v>
      </c>
      <c r="B152" s="1" t="n">
        <v>0.688604056934627</v>
      </c>
      <c r="C152" s="1" t="n">
        <v>0.731664951542418</v>
      </c>
      <c r="D152" s="8" t="n">
        <f aca="false">C152-B152</f>
        <v>0.0430608946077913</v>
      </c>
      <c r="E152" s="8" t="n">
        <f aca="false">ABS(D152)</f>
        <v>0.0430608946077913</v>
      </c>
      <c r="F152" s="10"/>
      <c r="G152" s="1"/>
      <c r="I152" s="2" t="s">
        <v>17</v>
      </c>
      <c r="J152" s="1" t="n">
        <f aca="false">VAR(sims_per_turn_scen7!$B$147:$B$172)</f>
        <v>0.00328108471070565</v>
      </c>
      <c r="K152" s="1" t="n">
        <f aca="false">VAR(sims_per_turn_scen7!$C$147:$C$172)</f>
        <v>0.00248995744319226</v>
      </c>
    </row>
    <row r="153" customFormat="false" ht="12.8" hidden="false" customHeight="false" outlineLevel="0" collapsed="false">
      <c r="A153" s="5" t="n">
        <v>6</v>
      </c>
      <c r="B153" s="1" t="n">
        <v>0.669074893749943</v>
      </c>
      <c r="C153" s="1" t="n">
        <v>0.72767431707301</v>
      </c>
      <c r="D153" s="8" t="n">
        <f aca="false">C153-B153</f>
        <v>0.0585994233230669</v>
      </c>
      <c r="E153" s="8" t="n">
        <f aca="false">ABS(D153)</f>
        <v>0.0585994233230669</v>
      </c>
      <c r="F153" s="10"/>
      <c r="G153" s="1"/>
      <c r="I153" s="2" t="s">
        <v>18</v>
      </c>
      <c r="J153" s="1" t="n">
        <f aca="false">COUNT(sims_per_turn_scen7!$B$147:$B$172)</f>
        <v>25</v>
      </c>
      <c r="K153" s="1" t="n">
        <f aca="false">COUNT(sims_per_turn_scen7!$C$147:$C$172)</f>
        <v>25</v>
      </c>
    </row>
    <row r="154" customFormat="false" ht="12.8" hidden="false" customHeight="false" outlineLevel="0" collapsed="false">
      <c r="A154" s="5" t="n">
        <v>7</v>
      </c>
      <c r="B154" s="1" t="n">
        <v>0.759372504405003</v>
      </c>
      <c r="C154" s="1" t="n">
        <v>0.785159172931949</v>
      </c>
      <c r="D154" s="8" t="n">
        <f aca="false">C154-B154</f>
        <v>0.0257866685269456</v>
      </c>
      <c r="E154" s="8" t="n">
        <f aca="false">ABS(D154)</f>
        <v>0.0257866685269456</v>
      </c>
      <c r="F154" s="10"/>
      <c r="G154" s="1"/>
      <c r="I154" s="2" t="s">
        <v>19</v>
      </c>
      <c r="J154" s="1" t="n">
        <f aca="false">CORREL(sims_per_turn_scen7!$B$147:$B$172,sims_per_turn_scen7!$C$147:$C$172)</f>
        <v>0.77929273069045</v>
      </c>
    </row>
    <row r="155" customFormat="false" ht="12.8" hidden="false" customHeight="false" outlineLevel="0" collapsed="false">
      <c r="A155" s="5" t="n">
        <v>8</v>
      </c>
      <c r="B155" s="1" t="n">
        <v>0.695828504681874</v>
      </c>
      <c r="C155" s="1" t="n">
        <v>0.699365933104337</v>
      </c>
      <c r="D155" s="8" t="n">
        <f aca="false">C155-B155</f>
        <v>0.00353742842246252</v>
      </c>
      <c r="E155" s="8" t="n">
        <f aca="false">ABS(D155)</f>
        <v>0.00353742842246252</v>
      </c>
      <c r="F155" s="10"/>
      <c r="G155" s="1"/>
      <c r="I155" s="2" t="s">
        <v>20</v>
      </c>
      <c r="J155" s="1" t="n">
        <f aca="false" t="array" ref="J155:J155">AVERAGE(IF(ISODD(IF(ISNUMBER(sims_per_turn_scen7!$B$147:$B$172), 1, 0) * IF(ISNUMBER(sims_per_turn_scen7!$C$147:$C$172), 1, 0)), sims_per_turn_scen7!$B$147:$B$172 - sims_per_turn_scen7!$C$147:$C$172, "NA"))</f>
        <v>-0.00752515854293561</v>
      </c>
    </row>
    <row r="156" customFormat="false" ht="12.8" hidden="false" customHeight="false" outlineLevel="0" collapsed="false">
      <c r="A156" s="5" t="n">
        <v>9</v>
      </c>
      <c r="B156" s="1" t="n">
        <v>0.779899573323697</v>
      </c>
      <c r="C156" s="1" t="n">
        <v>0.74686473255493</v>
      </c>
      <c r="D156" s="8" t="n">
        <f aca="false">C156-B156</f>
        <v>-0.0330348407687674</v>
      </c>
      <c r="E156" s="8" t="n">
        <f aca="false">ABS(D156)</f>
        <v>0.0330348407687674</v>
      </c>
      <c r="F156" s="10"/>
      <c r="G156" s="1"/>
      <c r="I156" s="2" t="s">
        <v>21</v>
      </c>
      <c r="J156" s="1" t="n">
        <f aca="false" t="array" ref="J156:J156">VAR(IF(ISODD(IF(ISNUMBER(sims_per_turn_scen7!$B$147:$B$172), 1, 0) * IF(ISNUMBER(sims_per_turn_scen7!$C$147:$C$172), 1, 0)), sims_per_turn_scen7!$B$147:$B$172 - sims_per_turn_scen7!$C$147:$C$172, "NA"))</f>
        <v>0.00131616939049794</v>
      </c>
    </row>
    <row r="157" customFormat="false" ht="12.8" hidden="false" customHeight="false" outlineLevel="0" collapsed="false">
      <c r="A157" s="5" t="n">
        <v>10</v>
      </c>
      <c r="B157" s="1" t="n">
        <v>0.632572298876227</v>
      </c>
      <c r="C157" s="1" t="n">
        <v>0.68571667055349</v>
      </c>
      <c r="D157" s="8" t="n">
        <f aca="false">C157-B157</f>
        <v>0.0531443716772636</v>
      </c>
      <c r="E157" s="8" t="n">
        <f aca="false">ABS(D157)</f>
        <v>0.0531443716772636</v>
      </c>
      <c r="F157" s="10"/>
      <c r="G157" s="1"/>
      <c r="I157" s="2" t="s">
        <v>22</v>
      </c>
      <c r="J157" s="1" t="n">
        <f aca="false" t="array" ref="J157:J157">SUM(IF(ISNUMBER(sims_per_turn_scen7!$B$147:$B$172), 1, 0) * IF(ISNUMBER(sims_per_turn_scen7!$C$147:$C$172), 1, 0)) - 1</f>
        <v>24</v>
      </c>
    </row>
    <row r="158" customFormat="false" ht="12.8" hidden="false" customHeight="false" outlineLevel="0" collapsed="false">
      <c r="A158" s="5" t="n">
        <v>11</v>
      </c>
      <c r="B158" s="1" t="n">
        <v>0.733064212818954</v>
      </c>
      <c r="C158" s="1" t="n">
        <v>0.765114909147396</v>
      </c>
      <c r="D158" s="8" t="n">
        <f aca="false">C158-B158</f>
        <v>0.0320506963284419</v>
      </c>
      <c r="E158" s="8" t="n">
        <f aca="false">ABS(D158)</f>
        <v>0.0320506963284419</v>
      </c>
      <c r="F158" s="10"/>
      <c r="G158" s="1"/>
      <c r="I158" s="2" t="s">
        <v>23</v>
      </c>
      <c r="J158" s="1" t="n">
        <f aca="false">(sims_per_turn_scen7!$J$155 - sims_per_turn_scen7!$J$149) / (sims_per_turn_scen7!$J$156 / ( sims_per_turn_scen7!$J$157 + 1)) ^ 0.5</f>
        <v>-1.03712180543225</v>
      </c>
    </row>
    <row r="159" customFormat="false" ht="12.8" hidden="false" customHeight="false" outlineLevel="0" collapsed="false">
      <c r="A159" s="5" t="n">
        <v>12</v>
      </c>
      <c r="B159" s="1" t="n">
        <v>0.693027541837124</v>
      </c>
      <c r="C159" s="1" t="n">
        <v>0.736644236479232</v>
      </c>
      <c r="D159" s="8" t="n">
        <f aca="false">C159-B159</f>
        <v>0.0436166946421083</v>
      </c>
      <c r="E159" s="8" t="n">
        <f aca="false">ABS(D159)</f>
        <v>0.0436166946421083</v>
      </c>
      <c r="F159" s="10"/>
      <c r="G159" s="1"/>
      <c r="I159" s="2" t="s">
        <v>24</v>
      </c>
      <c r="J159" s="1" t="n">
        <f aca="false">TDIST(ABS(sims_per_turn_scen7!$J$158), sims_per_turn_scen7!$J$157, 1)</f>
        <v>0.155008083284182</v>
      </c>
    </row>
    <row r="160" customFormat="false" ht="12.8" hidden="false" customHeight="false" outlineLevel="0" collapsed="false">
      <c r="A160" s="5" t="n">
        <v>13</v>
      </c>
      <c r="B160" s="1" t="n">
        <v>0.704438316359018</v>
      </c>
      <c r="C160" s="1" t="n">
        <v>0.678666511575506</v>
      </c>
      <c r="D160" s="8" t="n">
        <f aca="false">C160-B160</f>
        <v>-0.0257718047835123</v>
      </c>
      <c r="E160" s="8" t="n">
        <f aca="false">ABS(D160)</f>
        <v>0.0257718047835123</v>
      </c>
      <c r="F160" s="10"/>
      <c r="G160" s="1"/>
      <c r="I160" s="2" t="s">
        <v>25</v>
      </c>
      <c r="J160" s="1" t="n">
        <f aca="false">TINV(2*sims_per_turn_scen7!$J$148, sims_per_turn_scen7!$J$157)</f>
        <v>1.71088207990943</v>
      </c>
    </row>
    <row r="161" customFormat="false" ht="12.8" hidden="false" customHeight="false" outlineLevel="0" collapsed="false">
      <c r="A161" s="5" t="n">
        <v>14</v>
      </c>
      <c r="B161" s="1" t="n">
        <v>0.822923799196468</v>
      </c>
      <c r="C161" s="1" t="n">
        <v>0.800148648147254</v>
      </c>
      <c r="D161" s="8" t="n">
        <f aca="false">C161-B161</f>
        <v>-0.0227751510492135</v>
      </c>
      <c r="E161" s="8" t="n">
        <f aca="false">ABS(D161)</f>
        <v>0.0227751510492135</v>
      </c>
      <c r="F161" s="10"/>
      <c r="G161" s="1"/>
      <c r="I161" s="2" t="s">
        <v>26</v>
      </c>
      <c r="J161" s="1" t="n">
        <f aca="false">TDIST(ABS(sims_per_turn_scen7!$J$158), sims_per_turn_scen7!$J$157, 2)</f>
        <v>0.310016166568363</v>
      </c>
    </row>
    <row r="162" customFormat="false" ht="12.8" hidden="false" customHeight="false" outlineLevel="0" collapsed="false">
      <c r="A162" s="5" t="n">
        <v>15</v>
      </c>
      <c r="B162" s="1" t="n">
        <v>0.598856826351013</v>
      </c>
      <c r="C162" s="1" t="n">
        <v>0.613656437383168</v>
      </c>
      <c r="D162" s="8" t="n">
        <f aca="false">C162-B162</f>
        <v>0.0147996110321545</v>
      </c>
      <c r="E162" s="8" t="n">
        <f aca="false">ABS(D162)</f>
        <v>0.0147996110321545</v>
      </c>
      <c r="F162" s="10"/>
      <c r="G162" s="1"/>
      <c r="I162" s="2" t="s">
        <v>27</v>
      </c>
      <c r="J162" s="1" t="n">
        <f aca="false">TINV(sims_per_turn_scen7!$J$148, sims_per_turn_scen7!$J$157)</f>
        <v>2.06389856162803</v>
      </c>
    </row>
    <row r="163" customFormat="false" ht="12.8" hidden="false" customHeight="false" outlineLevel="0" collapsed="false">
      <c r="A163" s="5" t="n">
        <v>16</v>
      </c>
      <c r="B163" s="1" t="n">
        <v>0.745885490309946</v>
      </c>
      <c r="C163" s="1" t="n">
        <v>0.70191452728509</v>
      </c>
      <c r="D163" s="8" t="n">
        <f aca="false">C163-B163</f>
        <v>-0.0439709630248563</v>
      </c>
      <c r="E163" s="8" t="n">
        <f aca="false">ABS(D163)</f>
        <v>0.0439709630248563</v>
      </c>
      <c r="F163" s="10"/>
      <c r="G163" s="1"/>
    </row>
    <row r="164" customFormat="false" ht="12.8" hidden="false" customHeight="false" outlineLevel="0" collapsed="false">
      <c r="A164" s="5" t="n">
        <v>17</v>
      </c>
      <c r="B164" s="1" t="n">
        <v>0.627413040342658</v>
      </c>
      <c r="C164" s="1" t="n">
        <v>0.696040981259132</v>
      </c>
      <c r="D164" s="8" t="n">
        <f aca="false">C164-B164</f>
        <v>0.0686279409164734</v>
      </c>
      <c r="E164" s="8" t="n">
        <f aca="false">ABS(D164)</f>
        <v>0.0686279409164734</v>
      </c>
      <c r="F164" s="10"/>
      <c r="G164" s="1"/>
    </row>
    <row r="165" customFormat="false" ht="12.8" hidden="false" customHeight="false" outlineLevel="0" collapsed="false">
      <c r="A165" s="5" t="n">
        <v>18</v>
      </c>
      <c r="B165" s="1" t="n">
        <v>0.764724151507591</v>
      </c>
      <c r="C165" s="1" t="n">
        <v>0.764111372525898</v>
      </c>
      <c r="D165" s="8" t="n">
        <f aca="false">C165-B165</f>
        <v>-0.000612778981692541</v>
      </c>
      <c r="E165" s="8" t="n">
        <f aca="false">ABS(D165)</f>
        <v>0.000612778981692541</v>
      </c>
      <c r="F165" s="10"/>
      <c r="G165" s="1"/>
    </row>
    <row r="166" customFormat="false" ht="12.8" hidden="false" customHeight="false" outlineLevel="0" collapsed="false">
      <c r="A166" s="5" t="n">
        <v>19</v>
      </c>
      <c r="B166" s="1" t="n">
        <v>0.665442717582544</v>
      </c>
      <c r="C166" s="1" t="n">
        <v>0.612949588021736</v>
      </c>
      <c r="D166" s="8" t="n">
        <f aca="false">C166-B166</f>
        <v>-0.0524931295608075</v>
      </c>
      <c r="E166" s="8" t="n">
        <f aca="false">ABS(D166)</f>
        <v>0.0524931295608075</v>
      </c>
      <c r="F166" s="10"/>
      <c r="G166" s="1"/>
    </row>
    <row r="167" customFormat="false" ht="12.8" hidden="false" customHeight="false" outlineLevel="0" collapsed="false">
      <c r="A167" s="5" t="n">
        <v>20</v>
      </c>
      <c r="B167" s="1" t="n">
        <v>0.739120010292957</v>
      </c>
      <c r="C167" s="1" t="n">
        <v>0.761234455225827</v>
      </c>
      <c r="D167" s="8" t="n">
        <f aca="false">C167-B167</f>
        <v>0.0221144449328701</v>
      </c>
      <c r="E167" s="8" t="n">
        <f aca="false">ABS(D167)</f>
        <v>0.0221144449328701</v>
      </c>
      <c r="F167" s="10"/>
      <c r="G167" s="1"/>
    </row>
    <row r="168" customFormat="false" ht="12.8" hidden="false" customHeight="false" outlineLevel="0" collapsed="false">
      <c r="A168" s="5" t="n">
        <v>21</v>
      </c>
      <c r="B168" s="1" t="n">
        <v>0.740855593294062</v>
      </c>
      <c r="C168" s="1" t="n">
        <v>0.708545748319991</v>
      </c>
      <c r="D168" s="8" t="n">
        <f aca="false">C168-B168</f>
        <v>-0.0323098449740706</v>
      </c>
      <c r="E168" s="8" t="n">
        <f aca="false">ABS(D168)</f>
        <v>0.0323098449740706</v>
      </c>
      <c r="F168" s="10"/>
      <c r="G168" s="1"/>
    </row>
    <row r="169" customFormat="false" ht="12.8" hidden="false" customHeight="false" outlineLevel="0" collapsed="false">
      <c r="A169" s="5" t="n">
        <v>22</v>
      </c>
      <c r="B169" s="1" t="n">
        <v>0.724986030339445</v>
      </c>
      <c r="C169" s="1" t="n">
        <v>0.756069449327172</v>
      </c>
      <c r="D169" s="8" t="n">
        <f aca="false">C169-B169</f>
        <v>0.0310834189877265</v>
      </c>
      <c r="E169" s="8" t="n">
        <f aca="false">ABS(D169)</f>
        <v>0.0310834189877265</v>
      </c>
      <c r="F169" s="10"/>
      <c r="G169" s="1"/>
    </row>
    <row r="170" customFormat="false" ht="12.8" hidden="false" customHeight="false" outlineLevel="0" collapsed="false">
      <c r="A170" s="5" t="n">
        <v>23</v>
      </c>
      <c r="B170" s="1" t="n">
        <v>0.732548067807027</v>
      </c>
      <c r="C170" s="1" t="n">
        <v>0.671531865451319</v>
      </c>
      <c r="D170" s="8" t="n">
        <f aca="false">C170-B170</f>
        <v>-0.0610162023557078</v>
      </c>
      <c r="E170" s="8" t="n">
        <f aca="false">ABS(D170)</f>
        <v>0.0610162023557078</v>
      </c>
      <c r="F170" s="10"/>
      <c r="G170" s="1"/>
    </row>
    <row r="171" customFormat="false" ht="12.8" hidden="false" customHeight="false" outlineLevel="0" collapsed="false">
      <c r="A171" s="5" t="n">
        <v>24</v>
      </c>
      <c r="B171" s="1" t="n">
        <v>0.810905330263776</v>
      </c>
      <c r="C171" s="1" t="n">
        <v>0.793327292068252</v>
      </c>
      <c r="D171" s="8" t="n">
        <f aca="false">C171-B171</f>
        <v>-0.0175780381955248</v>
      </c>
      <c r="E171" s="8" t="n">
        <f aca="false">ABS(D171)</f>
        <v>0.0175780381955248</v>
      </c>
      <c r="F171" s="10"/>
      <c r="G171" s="1"/>
    </row>
    <row r="172" customFormat="false" ht="12.8" hidden="false" customHeight="false" outlineLevel="0" collapsed="false">
      <c r="A172" s="6" t="n">
        <v>25</v>
      </c>
      <c r="B172" s="1" t="n">
        <v>0.7452068576726</v>
      </c>
      <c r="C172" s="1" t="n">
        <v>0.762254565867078</v>
      </c>
      <c r="D172" s="8" t="n">
        <f aca="false">C172-B172</f>
        <v>0.017047708194478</v>
      </c>
      <c r="E172" s="8" t="n">
        <f aca="false">ABS(D172)</f>
        <v>0.017047708194478</v>
      </c>
      <c r="F172" s="10"/>
      <c r="G172" s="1"/>
    </row>
    <row r="175" customFormat="false" ht="12.8" hidden="false" customHeight="false" outlineLevel="0" collapsed="false">
      <c r="A175" s="3" t="s">
        <v>0</v>
      </c>
      <c r="B175" s="1" t="s">
        <v>4</v>
      </c>
      <c r="C175" s="4" t="s">
        <v>2</v>
      </c>
      <c r="D175" s="8" t="s">
        <v>32</v>
      </c>
      <c r="E175" s="8" t="s">
        <v>8</v>
      </c>
      <c r="F175" s="8" t="s">
        <v>9</v>
      </c>
      <c r="G175" s="8" t="s">
        <v>10</v>
      </c>
      <c r="I175" s="9" t="s">
        <v>11</v>
      </c>
    </row>
    <row r="176" customFormat="false" ht="12.8" hidden="false" customHeight="false" outlineLevel="0" collapsed="false">
      <c r="A176" s="5" t="n">
        <v>1</v>
      </c>
      <c r="B176" s="1" t="n">
        <v>0.726072655509358</v>
      </c>
      <c r="C176" s="1" t="n">
        <v>0.745618221992126</v>
      </c>
      <c r="D176" s="8" t="n">
        <f aca="false">C176-B176</f>
        <v>0.0195455664827672</v>
      </c>
      <c r="E176" s="8" t="n">
        <f aca="false">ABS(D176)</f>
        <v>0.0195455664827672</v>
      </c>
      <c r="F176" s="8" t="n">
        <f aca="false">AVERAGE(D176:D200)</f>
        <v>0.00919809425334283</v>
      </c>
      <c r="G176" s="8" t="n">
        <f aca="false">_xlfn.STDEV.S(D176:D200)</f>
        <v>0.0319742221466825</v>
      </c>
      <c r="I176" s="2" t="s">
        <v>12</v>
      </c>
      <c r="J176" s="1" t="n">
        <v>0.05</v>
      </c>
    </row>
    <row r="177" customFormat="false" ht="12.8" hidden="false" customHeight="false" outlineLevel="0" collapsed="false">
      <c r="A177" s="5" t="n">
        <v>2</v>
      </c>
      <c r="B177" s="1" t="n">
        <v>0.682663698456168</v>
      </c>
      <c r="C177" s="1" t="n">
        <v>0.731965622484604</v>
      </c>
      <c r="D177" s="8" t="n">
        <f aca="false">C177-B177</f>
        <v>0.0493019240284359</v>
      </c>
      <c r="E177" s="8" t="n">
        <f aca="false">ABS(D177)</f>
        <v>0.0493019240284359</v>
      </c>
      <c r="F177" s="10"/>
      <c r="G177" s="1"/>
      <c r="I177" s="2" t="s">
        <v>13</v>
      </c>
      <c r="J177" s="1" t="n">
        <v>0</v>
      </c>
    </row>
    <row r="178" customFormat="false" ht="12.8" hidden="false" customHeight="false" outlineLevel="0" collapsed="false">
      <c r="A178" s="5" t="n">
        <v>3</v>
      </c>
      <c r="B178" s="1" t="n">
        <v>0.615224454504257</v>
      </c>
      <c r="C178" s="1" t="n">
        <v>0.556349411838211</v>
      </c>
      <c r="D178" s="8" t="n">
        <f aca="false">C178-B178</f>
        <v>-0.0588750426660455</v>
      </c>
      <c r="E178" s="8" t="n">
        <f aca="false">ABS(D178)</f>
        <v>0.0588750426660455</v>
      </c>
      <c r="F178" s="10"/>
      <c r="G178" s="1"/>
      <c r="J178" s="11" t="s">
        <v>14</v>
      </c>
      <c r="K178" s="11" t="s">
        <v>15</v>
      </c>
    </row>
    <row r="179" customFormat="false" ht="12.8" hidden="false" customHeight="false" outlineLevel="0" collapsed="false">
      <c r="A179" s="5" t="n">
        <v>4</v>
      </c>
      <c r="B179" s="1" t="n">
        <v>0.728618275572537</v>
      </c>
      <c r="C179" s="1" t="n">
        <v>0.746961278269468</v>
      </c>
      <c r="D179" s="8" t="n">
        <f aca="false">C179-B179</f>
        <v>0.0183430026969309</v>
      </c>
      <c r="E179" s="8" t="n">
        <f aca="false">ABS(D179)</f>
        <v>0.0183430026969309</v>
      </c>
      <c r="F179" s="10"/>
      <c r="G179" s="1"/>
      <c r="I179" s="2" t="s">
        <v>16</v>
      </c>
      <c r="J179" s="1" t="n">
        <f aca="false">AVERAGE(sims_per_turn_scen7!$B$175:$B$200)</f>
        <v>0.713093156079555</v>
      </c>
      <c r="K179" s="1" t="n">
        <f aca="false">AVERAGE(sims_per_turn_scen7!$C$175:$C$200)</f>
        <v>0.722291250332898</v>
      </c>
    </row>
    <row r="180" customFormat="false" ht="12.8" hidden="false" customHeight="false" outlineLevel="0" collapsed="false">
      <c r="A180" s="5" t="n">
        <v>5</v>
      </c>
      <c r="B180" s="1" t="n">
        <v>0.688604056934627</v>
      </c>
      <c r="C180" s="1" t="n">
        <v>0.736303129517049</v>
      </c>
      <c r="D180" s="8" t="n">
        <f aca="false">C180-B180</f>
        <v>0.0476990725824226</v>
      </c>
      <c r="E180" s="8" t="n">
        <f aca="false">ABS(D180)</f>
        <v>0.0476990725824226</v>
      </c>
      <c r="F180" s="10"/>
      <c r="G180" s="1"/>
      <c r="I180" s="2" t="s">
        <v>17</v>
      </c>
      <c r="J180" s="1" t="n">
        <f aca="false">VAR(sims_per_turn_scen7!$B$175:$B$200)</f>
        <v>0.00328108471070565</v>
      </c>
      <c r="K180" s="1" t="n">
        <f aca="false">VAR(sims_per_turn_scen7!$C$175:$C$200)</f>
        <v>0.0025385628043498</v>
      </c>
    </row>
    <row r="181" customFormat="false" ht="12.8" hidden="false" customHeight="false" outlineLevel="0" collapsed="false">
      <c r="A181" s="5" t="n">
        <v>6</v>
      </c>
      <c r="B181" s="1" t="n">
        <v>0.669074893749943</v>
      </c>
      <c r="C181" s="1" t="n">
        <v>0.693060520928815</v>
      </c>
      <c r="D181" s="8" t="n">
        <f aca="false">C181-B181</f>
        <v>0.0239856271788724</v>
      </c>
      <c r="E181" s="8" t="n">
        <f aca="false">ABS(D181)</f>
        <v>0.0239856271788724</v>
      </c>
      <c r="F181" s="10"/>
      <c r="G181" s="1"/>
      <c r="I181" s="2" t="s">
        <v>18</v>
      </c>
      <c r="J181" s="1" t="n">
        <f aca="false">COUNT(sims_per_turn_scen7!$B$175:$B$200)</f>
        <v>25</v>
      </c>
      <c r="K181" s="1" t="n">
        <f aca="false">COUNT(sims_per_turn_scen7!$C$175:$C$200)</f>
        <v>25</v>
      </c>
    </row>
    <row r="182" customFormat="false" ht="12.8" hidden="false" customHeight="false" outlineLevel="0" collapsed="false">
      <c r="A182" s="5" t="n">
        <v>7</v>
      </c>
      <c r="B182" s="1" t="n">
        <v>0.759372504405003</v>
      </c>
      <c r="C182" s="1" t="n">
        <v>0.748597564255249</v>
      </c>
      <c r="D182" s="8" t="n">
        <f aca="false">C182-B182</f>
        <v>-0.0107749401497542</v>
      </c>
      <c r="E182" s="8" t="n">
        <f aca="false">ABS(D182)</f>
        <v>0.0107749401497542</v>
      </c>
      <c r="F182" s="10"/>
      <c r="G182" s="1"/>
      <c r="I182" s="2" t="s">
        <v>19</v>
      </c>
      <c r="J182" s="1" t="n">
        <f aca="false">CORREL(sims_per_turn_scen7!$B$175:$B$200,sims_per_turn_scen7!$C$175:$C$200)</f>
        <v>0.831120318712144</v>
      </c>
    </row>
    <row r="183" customFormat="false" ht="12.8" hidden="false" customHeight="false" outlineLevel="0" collapsed="false">
      <c r="A183" s="5" t="n">
        <v>8</v>
      </c>
      <c r="B183" s="1" t="n">
        <v>0.695828504681874</v>
      </c>
      <c r="C183" s="1" t="n">
        <v>0.705165938537343</v>
      </c>
      <c r="D183" s="8" t="n">
        <f aca="false">C183-B183</f>
        <v>0.00933743385546937</v>
      </c>
      <c r="E183" s="8" t="n">
        <f aca="false">ABS(D183)</f>
        <v>0.00933743385546937</v>
      </c>
      <c r="F183" s="10"/>
      <c r="G183" s="1"/>
      <c r="I183" s="2" t="s">
        <v>20</v>
      </c>
      <c r="J183" s="1" t="n">
        <f aca="false" t="array" ref="J183:J183">AVERAGE(IF(ISODD(IF(ISNUMBER(sims_per_turn_scen7!$B$175:$B$200), 1, 0) * IF(ISNUMBER(sims_per_turn_scen7!$C$175:$C$200), 1, 0)), sims_per_turn_scen7!$B$175:$B$200 - sims_per_turn_scen7!$C$175:$C$200, "NA"))</f>
        <v>-0.00919809425334281</v>
      </c>
    </row>
    <row r="184" customFormat="false" ht="12.8" hidden="false" customHeight="false" outlineLevel="0" collapsed="false">
      <c r="A184" s="5" t="n">
        <v>9</v>
      </c>
      <c r="B184" s="1" t="n">
        <v>0.779899573323697</v>
      </c>
      <c r="C184" s="1" t="n">
        <v>0.750368716676119</v>
      </c>
      <c r="D184" s="8" t="n">
        <f aca="false">C184-B184</f>
        <v>-0.0295308566475779</v>
      </c>
      <c r="E184" s="8" t="n">
        <f aca="false">ABS(D184)</f>
        <v>0.0295308566475779</v>
      </c>
      <c r="F184" s="10"/>
      <c r="G184" s="1"/>
      <c r="I184" s="2" t="s">
        <v>21</v>
      </c>
      <c r="J184" s="1" t="n">
        <f aca="false" t="array" ref="J184:J184">VAR(IF(ISODD(IF(ISNUMBER(sims_per_turn_scen7!$B$175:$B$200), 1, 0) * IF(ISNUMBER(sims_per_turn_scen7!$C$175:$C$200), 1, 0)), sims_per_turn_scen7!$B$175:$B$200 - sims_per_turn_scen7!$C$175:$C$200, "NA"))</f>
        <v>0.00102235088188541</v>
      </c>
    </row>
    <row r="185" customFormat="false" ht="12.8" hidden="false" customHeight="false" outlineLevel="0" collapsed="false">
      <c r="A185" s="5" t="n">
        <v>10</v>
      </c>
      <c r="B185" s="1" t="n">
        <v>0.632572298876227</v>
      </c>
      <c r="C185" s="1" t="n">
        <v>0.682432996770851</v>
      </c>
      <c r="D185" s="8" t="n">
        <f aca="false">C185-B185</f>
        <v>0.0498606978946248</v>
      </c>
      <c r="E185" s="8" t="n">
        <f aca="false">ABS(D185)</f>
        <v>0.0498606978946248</v>
      </c>
      <c r="F185" s="10"/>
      <c r="G185" s="1"/>
      <c r="I185" s="2" t="s">
        <v>22</v>
      </c>
      <c r="J185" s="1" t="n">
        <f aca="false" t="array" ref="J185:J185">SUM(IF(ISNUMBER(sims_per_turn_scen7!$B$175:$B$200), 1, 0) * IF(ISNUMBER(sims_per_turn_scen7!$C$175:$C$200), 1, 0)) - 1</f>
        <v>24</v>
      </c>
    </row>
    <row r="186" customFormat="false" ht="12.8" hidden="false" customHeight="false" outlineLevel="0" collapsed="false">
      <c r="A186" s="5" t="n">
        <v>11</v>
      </c>
      <c r="B186" s="1" t="n">
        <v>0.733064212818954</v>
      </c>
      <c r="C186" s="1" t="n">
        <v>0.72387381443217</v>
      </c>
      <c r="D186" s="8" t="n">
        <f aca="false">C186-B186</f>
        <v>-0.00919039838678348</v>
      </c>
      <c r="E186" s="8" t="n">
        <f aca="false">ABS(D186)</f>
        <v>0.00919039838678348</v>
      </c>
      <c r="F186" s="10"/>
      <c r="G186" s="1"/>
      <c r="I186" s="2" t="s">
        <v>23</v>
      </c>
      <c r="J186" s="1" t="n">
        <f aca="false">(sims_per_turn_scen7!$J$183 - sims_per_turn_scen7!$J$177) / (sims_per_turn_scen7!$J$184 / ( sims_per_turn_scen7!$J$185 + 1)) ^ 0.5</f>
        <v>-1.43836091010226</v>
      </c>
    </row>
    <row r="187" customFormat="false" ht="12.8" hidden="false" customHeight="false" outlineLevel="0" collapsed="false">
      <c r="A187" s="5" t="n">
        <v>12</v>
      </c>
      <c r="B187" s="1" t="n">
        <v>0.693027541837124</v>
      </c>
      <c r="C187" s="1" t="n">
        <v>0.667701763619203</v>
      </c>
      <c r="D187" s="8" t="n">
        <f aca="false">C187-B187</f>
        <v>-0.0253257782179208</v>
      </c>
      <c r="E187" s="8" t="n">
        <f aca="false">ABS(D187)</f>
        <v>0.0253257782179208</v>
      </c>
      <c r="F187" s="10"/>
      <c r="G187" s="1"/>
      <c r="I187" s="2" t="s">
        <v>24</v>
      </c>
      <c r="J187" s="1" t="n">
        <f aca="false">TDIST(ABS(sims_per_turn_scen7!$J$186), sims_per_turn_scen7!$J$185, 1)</f>
        <v>0.0816226290680903</v>
      </c>
    </row>
    <row r="188" customFormat="false" ht="12.8" hidden="false" customHeight="false" outlineLevel="0" collapsed="false">
      <c r="A188" s="5" t="n">
        <v>13</v>
      </c>
      <c r="B188" s="1" t="n">
        <v>0.704438316359018</v>
      </c>
      <c r="C188" s="1" t="n">
        <v>0.72995268032519</v>
      </c>
      <c r="D188" s="8" t="n">
        <f aca="false">C188-B188</f>
        <v>0.025514363966171</v>
      </c>
      <c r="E188" s="8" t="n">
        <f aca="false">ABS(D188)</f>
        <v>0.025514363966171</v>
      </c>
      <c r="F188" s="10"/>
      <c r="G188" s="1"/>
      <c r="I188" s="2" t="s">
        <v>25</v>
      </c>
      <c r="J188" s="1" t="n">
        <f aca="false">TINV(2*sims_per_turn_scen7!$J$176, sims_per_turn_scen7!$J$185)</f>
        <v>1.71088207990943</v>
      </c>
    </row>
    <row r="189" customFormat="false" ht="12.8" hidden="false" customHeight="false" outlineLevel="0" collapsed="false">
      <c r="A189" s="5" t="n">
        <v>14</v>
      </c>
      <c r="B189" s="1" t="n">
        <v>0.822923799196468</v>
      </c>
      <c r="C189" s="1" t="n">
        <v>0.79516955513513</v>
      </c>
      <c r="D189" s="8" t="n">
        <f aca="false">C189-B189</f>
        <v>-0.0277542440613376</v>
      </c>
      <c r="E189" s="8" t="n">
        <f aca="false">ABS(D189)</f>
        <v>0.0277542440613376</v>
      </c>
      <c r="F189" s="10"/>
      <c r="G189" s="1"/>
      <c r="I189" s="2" t="s">
        <v>26</v>
      </c>
      <c r="J189" s="1" t="n">
        <f aca="false">TDIST(ABS(sims_per_turn_scen7!$J$186), sims_per_turn_scen7!$J$185, 2)</f>
        <v>0.163245258136181</v>
      </c>
    </row>
    <row r="190" customFormat="false" ht="12.8" hidden="false" customHeight="false" outlineLevel="0" collapsed="false">
      <c r="A190" s="5" t="n">
        <v>15</v>
      </c>
      <c r="B190" s="1" t="n">
        <v>0.598856826351013</v>
      </c>
      <c r="C190" s="1" t="n">
        <v>0.641361051891741</v>
      </c>
      <c r="D190" s="8" t="n">
        <f aca="false">C190-B190</f>
        <v>0.0425042255407274</v>
      </c>
      <c r="E190" s="8" t="n">
        <f aca="false">ABS(D190)</f>
        <v>0.0425042255407274</v>
      </c>
      <c r="F190" s="10"/>
      <c r="G190" s="1"/>
      <c r="I190" s="2" t="s">
        <v>27</v>
      </c>
      <c r="J190" s="1" t="n">
        <f aca="false">TINV(sims_per_turn_scen7!$J$176, sims_per_turn_scen7!$J$185)</f>
        <v>2.06389856162803</v>
      </c>
    </row>
    <row r="191" customFormat="false" ht="12.8" hidden="false" customHeight="false" outlineLevel="0" collapsed="false">
      <c r="A191" s="5" t="n">
        <v>16</v>
      </c>
      <c r="B191" s="1" t="n">
        <v>0.745885490309946</v>
      </c>
      <c r="C191" s="1" t="n">
        <v>0.758550116405013</v>
      </c>
      <c r="D191" s="8" t="n">
        <f aca="false">C191-B191</f>
        <v>0.0126646260950666</v>
      </c>
      <c r="E191" s="8" t="n">
        <f aca="false">ABS(D191)</f>
        <v>0.0126646260950666</v>
      </c>
      <c r="F191" s="10"/>
      <c r="G191" s="1"/>
    </row>
    <row r="192" customFormat="false" ht="12.8" hidden="false" customHeight="false" outlineLevel="0" collapsed="false">
      <c r="A192" s="5" t="n">
        <v>17</v>
      </c>
      <c r="B192" s="1" t="n">
        <v>0.627413040342658</v>
      </c>
      <c r="C192" s="1" t="n">
        <v>0.694176028461883</v>
      </c>
      <c r="D192" s="8" t="n">
        <f aca="false">C192-B192</f>
        <v>0.0667629881192248</v>
      </c>
      <c r="E192" s="8" t="n">
        <f aca="false">ABS(D192)</f>
        <v>0.0667629881192248</v>
      </c>
      <c r="F192" s="10"/>
      <c r="G192" s="1"/>
    </row>
    <row r="193" customFormat="false" ht="12.8" hidden="false" customHeight="false" outlineLevel="0" collapsed="false">
      <c r="A193" s="5" t="n">
        <v>18</v>
      </c>
      <c r="B193" s="1" t="n">
        <v>0.764724151507591</v>
      </c>
      <c r="C193" s="1" t="n">
        <v>0.753547411776315</v>
      </c>
      <c r="D193" s="8" t="n">
        <f aca="false">C193-B193</f>
        <v>-0.0111767397312755</v>
      </c>
      <c r="E193" s="8" t="n">
        <f aca="false">ABS(D193)</f>
        <v>0.0111767397312755</v>
      </c>
      <c r="F193" s="10"/>
      <c r="G193" s="1"/>
    </row>
    <row r="194" customFormat="false" ht="12.8" hidden="false" customHeight="false" outlineLevel="0" collapsed="false">
      <c r="A194" s="5" t="n">
        <v>19</v>
      </c>
      <c r="B194" s="1" t="n">
        <v>0.665442717582544</v>
      </c>
      <c r="C194" s="1" t="n">
        <v>0.718473139733635</v>
      </c>
      <c r="D194" s="8" t="n">
        <f aca="false">C194-B194</f>
        <v>0.0530304221510914</v>
      </c>
      <c r="E194" s="8" t="n">
        <f aca="false">ABS(D194)</f>
        <v>0.0530304221510914</v>
      </c>
      <c r="F194" s="10"/>
      <c r="G194" s="1"/>
    </row>
    <row r="195" customFormat="false" ht="12.8" hidden="false" customHeight="false" outlineLevel="0" collapsed="false">
      <c r="A195" s="5" t="n">
        <v>20</v>
      </c>
      <c r="B195" s="1" t="n">
        <v>0.739120010292957</v>
      </c>
      <c r="C195" s="1" t="n">
        <v>0.754538991520845</v>
      </c>
      <c r="D195" s="8" t="n">
        <f aca="false">C195-B195</f>
        <v>0.0154189812278882</v>
      </c>
      <c r="E195" s="8" t="n">
        <f aca="false">ABS(D195)</f>
        <v>0.0154189812278882</v>
      </c>
      <c r="F195" s="10"/>
      <c r="G195" s="1"/>
    </row>
    <row r="196" customFormat="false" ht="12.8" hidden="false" customHeight="false" outlineLevel="0" collapsed="false">
      <c r="A196" s="5" t="n">
        <v>21</v>
      </c>
      <c r="B196" s="1" t="n">
        <v>0.740855593294062</v>
      </c>
      <c r="C196" s="1" t="n">
        <v>0.71601754844973</v>
      </c>
      <c r="D196" s="8" t="n">
        <f aca="false">C196-B196</f>
        <v>-0.0248380448443317</v>
      </c>
      <c r="E196" s="8" t="n">
        <f aca="false">ABS(D196)</f>
        <v>0.0248380448443317</v>
      </c>
      <c r="F196" s="10"/>
      <c r="G196" s="1"/>
    </row>
    <row r="197" customFormat="false" ht="12.8" hidden="false" customHeight="false" outlineLevel="0" collapsed="false">
      <c r="A197" s="5" t="n">
        <v>22</v>
      </c>
      <c r="B197" s="1" t="n">
        <v>0.724986030339445</v>
      </c>
      <c r="C197" s="1" t="n">
        <v>0.751876513039488</v>
      </c>
      <c r="D197" s="8" t="n">
        <f aca="false">C197-B197</f>
        <v>0.0268904827000427</v>
      </c>
      <c r="E197" s="8" t="n">
        <f aca="false">ABS(D197)</f>
        <v>0.0268904827000427</v>
      </c>
      <c r="F197" s="10"/>
      <c r="G197" s="1"/>
    </row>
    <row r="198" customFormat="false" ht="12.8" hidden="false" customHeight="false" outlineLevel="0" collapsed="false">
      <c r="A198" s="5" t="n">
        <v>23</v>
      </c>
      <c r="B198" s="1" t="n">
        <v>0.732548067807027</v>
      </c>
      <c r="C198" s="1" t="n">
        <v>0.717330086490848</v>
      </c>
      <c r="D198" s="8" t="n">
        <f aca="false">C198-B198</f>
        <v>-0.0152179813161789</v>
      </c>
      <c r="E198" s="8" t="n">
        <f aca="false">ABS(D198)</f>
        <v>0.0152179813161789</v>
      </c>
      <c r="F198" s="10"/>
      <c r="G198" s="1"/>
    </row>
    <row r="199" customFormat="false" ht="12.8" hidden="false" customHeight="false" outlineLevel="0" collapsed="false">
      <c r="A199" s="5" t="n">
        <v>24</v>
      </c>
      <c r="B199" s="1" t="n">
        <v>0.810905330263776</v>
      </c>
      <c r="C199" s="1" t="n">
        <v>0.810165160416988</v>
      </c>
      <c r="D199" s="8" t="n">
        <f aca="false">C199-B199</f>
        <v>-0.000740169846788596</v>
      </c>
      <c r="E199" s="8" t="n">
        <f aca="false">ABS(D199)</f>
        <v>0.000740169846788596</v>
      </c>
      <c r="F199" s="10"/>
      <c r="G199" s="1"/>
    </row>
    <row r="200" customFormat="false" ht="12.8" hidden="false" customHeight="false" outlineLevel="0" collapsed="false">
      <c r="A200" s="6" t="n">
        <v>25</v>
      </c>
      <c r="B200" s="1" t="n">
        <v>0.7452068576726</v>
      </c>
      <c r="C200" s="1" t="n">
        <v>0.72772399535443</v>
      </c>
      <c r="D200" s="8" t="n">
        <f aca="false">C200-B200</f>
        <v>-0.0174828623181701</v>
      </c>
      <c r="E200" s="8" t="n">
        <f aca="false">ABS(D200)</f>
        <v>0.0174828623181701</v>
      </c>
      <c r="F200" s="10"/>
      <c r="G200" s="1"/>
    </row>
    <row r="206" customFormat="false" ht="16.15" hidden="false" customHeight="false" outlineLevel="0" collapsed="false">
      <c r="A206" s="12" t="s">
        <v>33</v>
      </c>
    </row>
    <row r="208" customFormat="false" ht="12.8" hidden="false" customHeight="false" outlineLevel="0" collapsed="false">
      <c r="A208" s="13" t="s">
        <v>34</v>
      </c>
      <c r="B208" s="13" t="s">
        <v>35</v>
      </c>
      <c r="C208" s="13" t="s">
        <v>36</v>
      </c>
    </row>
    <row r="209" customFormat="false" ht="12.8" hidden="false" customHeight="false" outlineLevel="0" collapsed="false">
      <c r="A209" s="5" t="n">
        <v>3</v>
      </c>
      <c r="B209" s="1" t="n">
        <v>0.108074679304883</v>
      </c>
      <c r="C209" s="1" t="s">
        <v>37</v>
      </c>
    </row>
    <row r="210" customFormat="false" ht="12.8" hidden="false" customHeight="false" outlineLevel="0" collapsed="false">
      <c r="A210" s="5" t="n">
        <v>19</v>
      </c>
      <c r="B210" s="1" t="n">
        <v>0.105523551711899</v>
      </c>
      <c r="C210" s="1" t="s">
        <v>37</v>
      </c>
    </row>
    <row r="211" customFormat="false" ht="12.8" hidden="false" customHeight="false" outlineLevel="0" collapsed="false">
      <c r="A211" s="5" t="n">
        <v>12</v>
      </c>
      <c r="B211" s="1" t="n">
        <v>0.103204528977868</v>
      </c>
      <c r="C211" s="1" t="s">
        <v>38</v>
      </c>
    </row>
    <row r="212" customFormat="false" ht="12.8" hidden="false" customHeight="false" outlineLevel="0" collapsed="false">
      <c r="A212" s="5" t="n">
        <v>3</v>
      </c>
      <c r="B212" s="1" t="n">
        <v>0.0999013792505343</v>
      </c>
      <c r="C212" s="1" t="s">
        <v>38</v>
      </c>
    </row>
    <row r="213" customFormat="false" ht="12.8" hidden="false" customHeight="false" outlineLevel="0" collapsed="false">
      <c r="A213" s="5" t="n">
        <v>12</v>
      </c>
      <c r="B213" s="1" t="n">
        <v>0.0778787507599474</v>
      </c>
      <c r="C213" s="1" t="s">
        <v>39</v>
      </c>
    </row>
    <row r="214" customFormat="false" ht="12.8" hidden="false" customHeight="false" outlineLevel="0" collapsed="false">
      <c r="A214" s="5" t="n">
        <v>7</v>
      </c>
      <c r="B214" s="1" t="n">
        <v>0.0762611820826588</v>
      </c>
      <c r="C214" s="1" t="s">
        <v>40</v>
      </c>
    </row>
    <row r="215" customFormat="false" ht="12.8" hidden="false" customHeight="false" outlineLevel="0" collapsed="false">
      <c r="A215" s="5" t="n">
        <v>12</v>
      </c>
      <c r="B215" s="1" t="n">
        <v>0.0689424728600291</v>
      </c>
      <c r="C215" s="1" t="s">
        <v>37</v>
      </c>
    </row>
    <row r="216" customFormat="false" ht="12.8" hidden="false" customHeight="false" outlineLevel="0" collapsed="false">
      <c r="A216" s="5" t="n">
        <v>17</v>
      </c>
      <c r="B216" s="1" t="n">
        <v>0.0686279409164734</v>
      </c>
      <c r="C216" s="1" t="s">
        <v>41</v>
      </c>
    </row>
    <row r="217" customFormat="false" ht="12.8" hidden="false" customHeight="false" outlineLevel="0" collapsed="false">
      <c r="A217" s="5" t="n">
        <v>17</v>
      </c>
      <c r="B217" s="1" t="n">
        <v>0.0667629881192248</v>
      </c>
      <c r="C217" s="1" t="s">
        <v>42</v>
      </c>
    </row>
    <row r="218" customFormat="false" ht="12.8" hidden="false" customHeight="false" outlineLevel="0" collapsed="false">
      <c r="A218" s="5" t="n">
        <v>4</v>
      </c>
      <c r="B218" s="1" t="n">
        <v>0.0644812139228626</v>
      </c>
      <c r="C218" s="1" t="s">
        <v>38</v>
      </c>
    </row>
    <row r="219" customFormat="false" ht="12.8" hidden="false" customHeight="false" outlineLevel="0" collapsed="false">
      <c r="A219" s="5" t="n">
        <v>5</v>
      </c>
      <c r="B219" s="1" t="n">
        <v>0.0620620320176963</v>
      </c>
      <c r="C219" s="1" t="s">
        <v>39</v>
      </c>
    </row>
    <row r="220" customFormat="false" ht="12.8" hidden="false" customHeight="false" outlineLevel="0" collapsed="false">
      <c r="A220" s="5" t="n">
        <v>23</v>
      </c>
      <c r="B220" s="1" t="n">
        <v>0.0610162023557078</v>
      </c>
      <c r="C220" s="1" t="s">
        <v>41</v>
      </c>
    </row>
    <row r="221" customFormat="false" ht="12.8" hidden="false" customHeight="false" outlineLevel="0" collapsed="false">
      <c r="A221" s="5" t="n">
        <v>3</v>
      </c>
      <c r="B221" s="1" t="n">
        <v>0.0588750426660455</v>
      </c>
      <c r="C221" s="1" t="s">
        <v>42</v>
      </c>
    </row>
    <row r="222" customFormat="false" ht="12.8" hidden="false" customHeight="false" outlineLevel="0" collapsed="false">
      <c r="A222" s="5" t="n">
        <v>6</v>
      </c>
      <c r="B222" s="1" t="n">
        <v>0.0585994233230669</v>
      </c>
      <c r="C222" s="1" t="s">
        <v>41</v>
      </c>
    </row>
    <row r="223" customFormat="false" ht="12.8" hidden="false" customHeight="false" outlineLevel="0" collapsed="false">
      <c r="A223" s="5" t="n">
        <v>23</v>
      </c>
      <c r="B223" s="1" t="n">
        <v>0.0566916199593441</v>
      </c>
      <c r="C223" s="1" t="s">
        <v>39</v>
      </c>
    </row>
    <row r="224" customFormat="false" ht="12.8" hidden="false" customHeight="false" outlineLevel="0" collapsed="false">
      <c r="A224" s="5" t="n">
        <v>16</v>
      </c>
      <c r="B224" s="1" t="n">
        <v>0.0566355891199228</v>
      </c>
      <c r="C224" s="1" t="s">
        <v>37</v>
      </c>
    </row>
    <row r="225" customFormat="false" ht="12.8" hidden="false" customHeight="false" outlineLevel="0" collapsed="false">
      <c r="A225" s="5" t="n">
        <v>4</v>
      </c>
      <c r="B225" s="1" t="n">
        <v>0.0553920240121757</v>
      </c>
      <c r="C225" s="1" t="s">
        <v>40</v>
      </c>
    </row>
    <row r="226" customFormat="false" ht="12.8" hidden="false" customHeight="false" outlineLevel="0" collapsed="false">
      <c r="A226" s="5" t="n">
        <v>19</v>
      </c>
      <c r="B226" s="1" t="n">
        <v>0.0537033077346305</v>
      </c>
      <c r="C226" s="1" t="s">
        <v>38</v>
      </c>
    </row>
    <row r="227" customFormat="false" ht="12.8" hidden="false" customHeight="false" outlineLevel="0" collapsed="false">
      <c r="A227" s="5" t="n">
        <v>10</v>
      </c>
      <c r="B227" s="1" t="n">
        <v>0.0531443716772636</v>
      </c>
      <c r="C227" s="1" t="s">
        <v>41</v>
      </c>
    </row>
    <row r="228" customFormat="false" ht="12.8" hidden="false" customHeight="false" outlineLevel="0" collapsed="false">
      <c r="A228" s="5" t="n">
        <v>19</v>
      </c>
      <c r="B228" s="1" t="n">
        <v>0.0530304221510914</v>
      </c>
      <c r="C228" s="1" t="s">
        <v>42</v>
      </c>
    </row>
    <row r="229" customFormat="false" ht="12.8" hidden="false" customHeight="false" outlineLevel="0" collapsed="false">
      <c r="A229" s="5" t="n">
        <v>19</v>
      </c>
      <c r="B229" s="1" t="n">
        <v>0.0524931295608075</v>
      </c>
      <c r="C229" s="1" t="s">
        <v>41</v>
      </c>
    </row>
    <row r="230" customFormat="false" ht="12.8" hidden="false" customHeight="false" outlineLevel="0" collapsed="false">
      <c r="A230" s="5" t="n">
        <v>9</v>
      </c>
      <c r="B230" s="1" t="n">
        <v>0.0522700581818611</v>
      </c>
      <c r="C230" s="1" t="s">
        <v>39</v>
      </c>
    </row>
    <row r="231" customFormat="false" ht="12.8" hidden="false" customHeight="false" outlineLevel="0" collapsed="false">
      <c r="A231" s="5" t="n">
        <v>19</v>
      </c>
      <c r="B231" s="1" t="n">
        <v>0.0518202439772685</v>
      </c>
      <c r="C231" s="1" t="s">
        <v>40</v>
      </c>
    </row>
    <row r="232" customFormat="false" ht="12.8" hidden="false" customHeight="false" outlineLevel="0" collapsed="false">
      <c r="A232" s="5" t="n">
        <v>13</v>
      </c>
      <c r="B232" s="1" t="n">
        <v>0.0512861687496833</v>
      </c>
      <c r="C232" s="1" t="s">
        <v>37</v>
      </c>
    </row>
    <row r="233" customFormat="false" ht="12.8" hidden="false" customHeight="false" outlineLevel="0" collapsed="false">
      <c r="A233" s="5" t="n">
        <v>7</v>
      </c>
      <c r="B233" s="1" t="n">
        <v>0.0504745135557132</v>
      </c>
      <c r="C233" s="1" t="s">
        <v>39</v>
      </c>
    </row>
    <row r="234" customFormat="false" ht="12.8" hidden="true" customHeight="false" outlineLevel="0" collapsed="false">
      <c r="A234" s="5" t="n">
        <v>10</v>
      </c>
      <c r="B234" s="1" t="n">
        <v>0.0498606978946248</v>
      </c>
      <c r="C234" s="1" t="s">
        <v>42</v>
      </c>
    </row>
    <row r="235" customFormat="false" ht="12.8" hidden="true" customHeight="false" outlineLevel="0" collapsed="false">
      <c r="A235" s="5" t="n">
        <v>2</v>
      </c>
      <c r="B235" s="1" t="n">
        <v>0.0493019240284359</v>
      </c>
      <c r="C235" s="1" t="s">
        <v>42</v>
      </c>
    </row>
    <row r="236" customFormat="false" ht="12.8" hidden="true" customHeight="false" outlineLevel="0" collapsed="false">
      <c r="A236" s="5" t="n">
        <v>3</v>
      </c>
      <c r="B236" s="1" t="n">
        <v>0.0491996366388371</v>
      </c>
      <c r="C236" s="1" t="s">
        <v>41</v>
      </c>
    </row>
    <row r="237" customFormat="false" ht="12.8" hidden="true" customHeight="false" outlineLevel="0" collapsed="false">
      <c r="A237" s="5" t="n">
        <v>10</v>
      </c>
      <c r="B237" s="1" t="n">
        <v>0.0482311555818791</v>
      </c>
      <c r="C237" s="1" t="s">
        <v>40</v>
      </c>
    </row>
    <row r="238" customFormat="false" ht="12.8" hidden="true" customHeight="false" outlineLevel="0" collapsed="false">
      <c r="A238" s="5" t="n">
        <v>5</v>
      </c>
      <c r="B238" s="1" t="n">
        <v>0.0476990725824226</v>
      </c>
      <c r="C238" s="1" t="s">
        <v>42</v>
      </c>
    </row>
    <row r="239" customFormat="false" ht="12.8" hidden="true" customHeight="false" outlineLevel="0" collapsed="false">
      <c r="A239" s="5" t="n">
        <v>11</v>
      </c>
      <c r="B239" s="1" t="n">
        <v>0.0471254525906969</v>
      </c>
      <c r="C239" s="1" t="s">
        <v>40</v>
      </c>
    </row>
    <row r="240" customFormat="false" ht="12.8" hidden="true" customHeight="false" outlineLevel="0" collapsed="false">
      <c r="A240" s="5" t="n">
        <v>22</v>
      </c>
      <c r="B240" s="1" t="n">
        <v>0.0470493541968915</v>
      </c>
      <c r="C240" s="1" t="s">
        <v>40</v>
      </c>
    </row>
    <row r="241" customFormat="false" ht="12.8" hidden="true" customHeight="false" outlineLevel="0" collapsed="false">
      <c r="A241" s="5" t="n">
        <v>4</v>
      </c>
      <c r="B241" s="1" t="n">
        <v>0.0461382112259317</v>
      </c>
      <c r="C241" s="1" t="s">
        <v>39</v>
      </c>
    </row>
    <row r="242" customFormat="false" ht="12.8" hidden="true" customHeight="false" outlineLevel="0" collapsed="false">
      <c r="A242" s="5" t="n">
        <v>23</v>
      </c>
      <c r="B242" s="1" t="n">
        <v>0.0457982210395289</v>
      </c>
      <c r="C242" s="1" t="s">
        <v>37</v>
      </c>
    </row>
    <row r="243" customFormat="false" ht="12.8" hidden="true" customHeight="false" outlineLevel="0" collapsed="false">
      <c r="A243" s="5" t="n">
        <v>10</v>
      </c>
      <c r="B243" s="1" t="n">
        <v>0.0449474817992402</v>
      </c>
      <c r="C243" s="1" t="s">
        <v>38</v>
      </c>
    </row>
    <row r="244" customFormat="false" ht="12.8" hidden="true" customHeight="false" outlineLevel="0" collapsed="false">
      <c r="A244" s="5" t="n">
        <v>16</v>
      </c>
      <c r="B244" s="1" t="n">
        <v>0.0439709630248563</v>
      </c>
      <c r="C244" s="1" t="s">
        <v>41</v>
      </c>
    </row>
    <row r="245" customFormat="false" ht="12.8" hidden="true" customHeight="false" outlineLevel="0" collapsed="false">
      <c r="A245" s="5" t="n">
        <v>12</v>
      </c>
      <c r="B245" s="1" t="n">
        <v>0.0436166946421083</v>
      </c>
      <c r="C245" s="1" t="s">
        <v>41</v>
      </c>
    </row>
    <row r="246" customFormat="false" ht="12.8" hidden="true" customHeight="false" outlineLevel="0" collapsed="false">
      <c r="A246" s="5" t="n">
        <v>5</v>
      </c>
      <c r="B246" s="1" t="n">
        <v>0.0430608946077913</v>
      </c>
      <c r="C246" s="1" t="s">
        <v>41</v>
      </c>
    </row>
    <row r="247" customFormat="false" ht="12.8" hidden="true" customHeight="false" outlineLevel="0" collapsed="false">
      <c r="A247" s="5" t="n">
        <v>22</v>
      </c>
      <c r="B247" s="1" t="n">
        <v>0.0428564179092077</v>
      </c>
      <c r="C247" s="1" t="s">
        <v>38</v>
      </c>
    </row>
    <row r="248" customFormat="false" ht="12.8" hidden="true" customHeight="false" outlineLevel="0" collapsed="false">
      <c r="A248" s="5" t="n">
        <v>15</v>
      </c>
      <c r="B248" s="1" t="n">
        <v>0.0425042255407274</v>
      </c>
      <c r="C248" s="1" t="s">
        <v>42</v>
      </c>
    </row>
    <row r="249" customFormat="false" ht="12.8" hidden="true" customHeight="false" outlineLevel="0" collapsed="false">
      <c r="A249" s="6" t="n">
        <v>25</v>
      </c>
      <c r="B249" s="1" t="n">
        <v>0.0418624141700332</v>
      </c>
      <c r="C249" s="1" t="s">
        <v>38</v>
      </c>
    </row>
    <row r="250" customFormat="false" ht="12.8" hidden="true" customHeight="false" outlineLevel="0" collapsed="false">
      <c r="A250" s="5" t="n">
        <v>2</v>
      </c>
      <c r="B250" s="1" t="n">
        <v>0.0415598359370648</v>
      </c>
      <c r="C250" s="1" t="s">
        <v>37</v>
      </c>
    </row>
    <row r="251" customFormat="false" ht="12.8" hidden="true" customHeight="false" outlineLevel="0" collapsed="false">
      <c r="A251" s="5" t="n">
        <v>16</v>
      </c>
      <c r="B251" s="1" t="n">
        <v>0.0415588406717706</v>
      </c>
      <c r="C251" s="1" t="s">
        <v>40</v>
      </c>
    </row>
    <row r="252" customFormat="false" ht="12.8" hidden="true" customHeight="false" outlineLevel="0" collapsed="false">
      <c r="A252" s="5" t="n">
        <v>23</v>
      </c>
      <c r="B252" s="1" t="n">
        <v>0.0414736386431652</v>
      </c>
      <c r="C252" s="1" t="s">
        <v>38</v>
      </c>
    </row>
    <row r="253" customFormat="false" ht="12.8" hidden="true" customHeight="false" outlineLevel="0" collapsed="false">
      <c r="A253" s="5" t="n">
        <v>11</v>
      </c>
      <c r="B253" s="1" t="n">
        <v>0.0412410947152254</v>
      </c>
      <c r="C253" s="1" t="s">
        <v>37</v>
      </c>
    </row>
    <row r="254" customFormat="false" ht="12.8" hidden="true" customHeight="false" outlineLevel="0" collapsed="false">
      <c r="A254" s="5" t="n">
        <v>3</v>
      </c>
      <c r="B254" s="1" t="n">
        <v>0.0410263365844888</v>
      </c>
      <c r="C254" s="1" t="s">
        <v>39</v>
      </c>
    </row>
    <row r="255" customFormat="false" ht="12.8" hidden="true" customHeight="false" outlineLevel="0" collapsed="false">
      <c r="A255" s="5" t="n">
        <v>24</v>
      </c>
      <c r="B255" s="1" t="n">
        <v>0.040019215221497</v>
      </c>
      <c r="C255" s="1" t="s">
        <v>39</v>
      </c>
    </row>
    <row r="256" customFormat="false" ht="12.8" hidden="true" customHeight="false" outlineLevel="0" collapsed="false">
      <c r="A256" s="5" t="n">
        <v>7</v>
      </c>
      <c r="B256" s="1" t="n">
        <v>0.039699573405959</v>
      </c>
      <c r="C256" s="1" t="s">
        <v>38</v>
      </c>
    </row>
    <row r="257" customFormat="false" ht="12.8" hidden="true" customHeight="false" outlineLevel="0" collapsed="false">
      <c r="A257" s="5" t="n">
        <v>24</v>
      </c>
      <c r="B257" s="1" t="n">
        <v>0.0392790453747084</v>
      </c>
      <c r="C257" s="1" t="s">
        <v>38</v>
      </c>
    </row>
    <row r="258" customFormat="false" ht="12.8" hidden="true" customHeight="false" outlineLevel="0" collapsed="false">
      <c r="A258" s="5" t="n">
        <v>17</v>
      </c>
      <c r="B258" s="1" t="n">
        <v>0.0382718777445339</v>
      </c>
      <c r="C258" s="1" t="s">
        <v>40</v>
      </c>
    </row>
    <row r="259" customFormat="false" ht="12.8" hidden="true" customHeight="false" outlineLevel="0" collapsed="false">
      <c r="A259" s="5" t="n">
        <v>6</v>
      </c>
      <c r="B259" s="1" t="n">
        <v>0.0376367031050808</v>
      </c>
      <c r="C259" s="1" t="s">
        <v>40</v>
      </c>
    </row>
    <row r="260" customFormat="false" ht="12.8" hidden="true" customHeight="false" outlineLevel="0" collapsed="false">
      <c r="A260" s="5" t="n">
        <v>7</v>
      </c>
      <c r="B260" s="1" t="n">
        <v>0.0365616086766998</v>
      </c>
      <c r="C260" s="1" t="s">
        <v>37</v>
      </c>
    </row>
    <row r="261" customFormat="false" ht="12.8" hidden="true" customHeight="false" outlineLevel="0" collapsed="false">
      <c r="A261" s="5" t="n">
        <v>17</v>
      </c>
      <c r="B261" s="1" t="n">
        <v>0.0364069249472853</v>
      </c>
      <c r="C261" s="1" t="s">
        <v>38</v>
      </c>
    </row>
    <row r="262" customFormat="false" ht="12.8" hidden="true" customHeight="false" outlineLevel="0" collapsed="false">
      <c r="A262" s="5" t="n">
        <v>6</v>
      </c>
      <c r="B262" s="1" t="n">
        <v>0.0346137961441945</v>
      </c>
      <c r="C262" s="1" t="s">
        <v>37</v>
      </c>
    </row>
    <row r="263" customFormat="false" ht="12.8" hidden="true" customHeight="false" outlineLevel="0" collapsed="false">
      <c r="A263" s="6" t="n">
        <v>25</v>
      </c>
      <c r="B263" s="1" t="n">
        <v>0.0345305705126481</v>
      </c>
      <c r="C263" s="1" t="s">
        <v>37</v>
      </c>
    </row>
    <row r="264" customFormat="false" ht="12.8" hidden="true" customHeight="false" outlineLevel="0" collapsed="false">
      <c r="A264" s="5" t="n">
        <v>12</v>
      </c>
      <c r="B264" s="1" t="n">
        <v>0.0342620561178392</v>
      </c>
      <c r="C264" s="1" t="s">
        <v>40</v>
      </c>
    </row>
    <row r="265" customFormat="false" ht="12.8" hidden="true" customHeight="false" outlineLevel="0" collapsed="false">
      <c r="A265" s="5" t="n">
        <v>9</v>
      </c>
      <c r="B265" s="1" t="n">
        <v>0.0330348407687674</v>
      </c>
      <c r="C265" s="1" t="s">
        <v>41</v>
      </c>
    </row>
    <row r="266" customFormat="false" ht="12.8" hidden="true" customHeight="false" outlineLevel="0" collapsed="false">
      <c r="A266" s="5" t="n">
        <v>21</v>
      </c>
      <c r="B266" s="1" t="n">
        <v>0.0323098449740706</v>
      </c>
      <c r="C266" s="1" t="s">
        <v>41</v>
      </c>
    </row>
    <row r="267" customFormat="false" ht="12.8" hidden="true" customHeight="false" outlineLevel="0" collapsed="false">
      <c r="A267" s="5" t="n">
        <v>11</v>
      </c>
      <c r="B267" s="1" t="n">
        <v>0.0320506963284419</v>
      </c>
      <c r="C267" s="1" t="s">
        <v>41</v>
      </c>
    </row>
    <row r="268" customFormat="false" ht="12.8" hidden="true" customHeight="false" outlineLevel="0" collapsed="false">
      <c r="A268" s="5" t="n">
        <v>13</v>
      </c>
      <c r="B268" s="1" t="n">
        <v>0.031161387787968</v>
      </c>
      <c r="C268" s="1" t="s">
        <v>40</v>
      </c>
    </row>
    <row r="269" customFormat="false" ht="12.8" hidden="true" customHeight="false" outlineLevel="0" collapsed="false">
      <c r="A269" s="5" t="n">
        <v>22</v>
      </c>
      <c r="B269" s="1" t="n">
        <v>0.0310834189877265</v>
      </c>
      <c r="C269" s="1" t="s">
        <v>41</v>
      </c>
    </row>
    <row r="270" customFormat="false" ht="12.8" hidden="true" customHeight="false" outlineLevel="0" collapsed="false">
      <c r="A270" s="5" t="n">
        <v>18</v>
      </c>
      <c r="B270" s="1" t="n">
        <v>0.031056258833791</v>
      </c>
      <c r="C270" s="1" t="s">
        <v>39</v>
      </c>
    </row>
    <row r="271" customFormat="false" ht="12.8" hidden="true" customHeight="false" outlineLevel="0" collapsed="false">
      <c r="A271" s="5" t="n">
        <v>18</v>
      </c>
      <c r="B271" s="1" t="n">
        <v>0.0304434798520985</v>
      </c>
      <c r="C271" s="1" t="s">
        <v>40</v>
      </c>
    </row>
    <row r="272" customFormat="false" ht="12.8" hidden="true" customHeight="false" outlineLevel="0" collapsed="false">
      <c r="A272" s="5" t="n">
        <v>17</v>
      </c>
      <c r="B272" s="1" t="n">
        <v>0.0303560631719395</v>
      </c>
      <c r="C272" s="1" t="s">
        <v>39</v>
      </c>
    </row>
    <row r="273" customFormat="false" ht="12.8" hidden="true" customHeight="false" outlineLevel="0" collapsed="false">
      <c r="A273" s="5" t="n">
        <v>15</v>
      </c>
      <c r="B273" s="1" t="n">
        <v>0.0300295489732049</v>
      </c>
      <c r="C273" s="1" t="s">
        <v>38</v>
      </c>
    </row>
    <row r="274" customFormat="false" ht="12.8" hidden="true" customHeight="false" outlineLevel="0" collapsed="false">
      <c r="A274" s="5" t="n">
        <v>14</v>
      </c>
      <c r="B274" s="1" t="n">
        <v>0.0296064441525714</v>
      </c>
      <c r="C274" s="1" t="s">
        <v>38</v>
      </c>
    </row>
    <row r="275" customFormat="false" ht="12.8" hidden="true" customHeight="false" outlineLevel="0" collapsed="false">
      <c r="A275" s="5" t="n">
        <v>9</v>
      </c>
      <c r="B275" s="1" t="n">
        <v>0.0295308566475779</v>
      </c>
      <c r="C275" s="1" t="s">
        <v>42</v>
      </c>
    </row>
    <row r="276" customFormat="false" ht="12.8" hidden="true" customHeight="false" outlineLevel="0" collapsed="false">
      <c r="A276" s="5" t="n">
        <v>14</v>
      </c>
      <c r="B276" s="1" t="n">
        <v>0.0277542440613376</v>
      </c>
      <c r="C276" s="1" t="s">
        <v>42</v>
      </c>
    </row>
    <row r="277" customFormat="false" ht="12.8" hidden="true" customHeight="false" outlineLevel="0" collapsed="false">
      <c r="A277" s="5" t="n">
        <v>15</v>
      </c>
      <c r="B277" s="1" t="n">
        <v>0.0277046145085729</v>
      </c>
      <c r="C277" s="1" t="s">
        <v>37</v>
      </c>
    </row>
    <row r="278" customFormat="false" ht="12.8" hidden="true" customHeight="false" outlineLevel="0" collapsed="false">
      <c r="A278" s="5" t="n">
        <v>22</v>
      </c>
      <c r="B278" s="1" t="n">
        <v>0.0268904827000427</v>
      </c>
      <c r="C278" s="1" t="s">
        <v>42</v>
      </c>
    </row>
    <row r="279" customFormat="false" ht="12.8" hidden="true" customHeight="false" outlineLevel="0" collapsed="false">
      <c r="A279" s="5" t="n">
        <v>2</v>
      </c>
      <c r="B279" s="1" t="n">
        <v>0.0262961306954744</v>
      </c>
      <c r="C279" s="1" t="s">
        <v>39</v>
      </c>
    </row>
    <row r="280" customFormat="false" ht="12.8" hidden="true" customHeight="false" outlineLevel="0" collapsed="false">
      <c r="A280" s="5" t="n">
        <v>7</v>
      </c>
      <c r="B280" s="1" t="n">
        <v>0.0257866685269456</v>
      </c>
      <c r="C280" s="1" t="s">
        <v>41</v>
      </c>
    </row>
    <row r="281" customFormat="false" ht="12.8" hidden="true" customHeight="false" outlineLevel="0" collapsed="false">
      <c r="A281" s="5" t="n">
        <v>13</v>
      </c>
      <c r="B281" s="1" t="n">
        <v>0.0257718047835123</v>
      </c>
      <c r="C281" s="1" t="s">
        <v>41</v>
      </c>
    </row>
    <row r="282" customFormat="false" ht="12.8" hidden="true" customHeight="false" outlineLevel="0" collapsed="false">
      <c r="A282" s="5" t="n">
        <v>20</v>
      </c>
      <c r="B282" s="1" t="n">
        <v>0.0257226935242599</v>
      </c>
      <c r="C282" s="1" t="s">
        <v>40</v>
      </c>
    </row>
    <row r="283" customFormat="false" ht="12.8" hidden="true" customHeight="false" outlineLevel="0" collapsed="false">
      <c r="A283" s="5" t="n">
        <v>13</v>
      </c>
      <c r="B283" s="1" t="n">
        <v>0.025514363966171</v>
      </c>
      <c r="C283" s="1" t="s">
        <v>42</v>
      </c>
    </row>
    <row r="284" customFormat="false" ht="12.8" hidden="true" customHeight="false" outlineLevel="0" collapsed="false">
      <c r="A284" s="5" t="n">
        <v>21</v>
      </c>
      <c r="B284" s="1" t="n">
        <v>0.0253889794847637</v>
      </c>
      <c r="C284" s="1" t="s">
        <v>39</v>
      </c>
    </row>
    <row r="285" customFormat="false" ht="12.8" hidden="true" customHeight="false" outlineLevel="0" collapsed="false">
      <c r="A285" s="5" t="n">
        <v>12</v>
      </c>
      <c r="B285" s="1" t="n">
        <v>0.0253257782179208</v>
      </c>
      <c r="C285" s="1" t="s">
        <v>42</v>
      </c>
    </row>
    <row r="286" customFormat="false" ht="12.8" hidden="true" customHeight="false" outlineLevel="0" collapsed="false">
      <c r="A286" s="5" t="n">
        <v>21</v>
      </c>
      <c r="B286" s="1" t="n">
        <v>0.0248380448443317</v>
      </c>
      <c r="C286" s="1" t="s">
        <v>42</v>
      </c>
    </row>
    <row r="287" customFormat="false" ht="12.8" hidden="true" customHeight="false" outlineLevel="0" collapsed="false">
      <c r="A287" s="5" t="n">
        <v>14</v>
      </c>
      <c r="B287" s="1" t="n">
        <v>0.0246273511404472</v>
      </c>
      <c r="C287" s="1" t="s">
        <v>40</v>
      </c>
    </row>
    <row r="288" customFormat="false" ht="12.8" hidden="true" customHeight="false" outlineLevel="0" collapsed="false">
      <c r="A288" s="6" t="n">
        <v>25</v>
      </c>
      <c r="B288" s="1" t="n">
        <v>0.0243795518518631</v>
      </c>
      <c r="C288" s="1" t="s">
        <v>39</v>
      </c>
    </row>
    <row r="289" customFormat="false" ht="12.8" hidden="true" customHeight="false" outlineLevel="0" collapsed="false">
      <c r="A289" s="5" t="n">
        <v>6</v>
      </c>
      <c r="B289" s="1" t="n">
        <v>0.0239856271788724</v>
      </c>
      <c r="C289" s="1" t="s">
        <v>42</v>
      </c>
    </row>
    <row r="290" customFormat="false" ht="12.8" hidden="true" customHeight="false" outlineLevel="0" collapsed="false">
      <c r="A290" s="5" t="n">
        <v>2</v>
      </c>
      <c r="B290" s="1" t="n">
        <v>0.0230057933329615</v>
      </c>
      <c r="C290" s="1" t="s">
        <v>38</v>
      </c>
    </row>
    <row r="291" customFormat="false" ht="12.8" hidden="true" customHeight="false" outlineLevel="0" collapsed="false">
      <c r="A291" s="5" t="n">
        <v>14</v>
      </c>
      <c r="B291" s="1" t="n">
        <v>0.0227751510492135</v>
      </c>
      <c r="C291" s="1" t="s">
        <v>41</v>
      </c>
    </row>
    <row r="292" customFormat="false" ht="12.8" hidden="true" customHeight="false" outlineLevel="0" collapsed="false">
      <c r="A292" s="5" t="n">
        <v>9</v>
      </c>
      <c r="B292" s="1" t="n">
        <v>0.0227392015342832</v>
      </c>
      <c r="C292" s="1" t="s">
        <v>38</v>
      </c>
    </row>
    <row r="293" customFormat="false" ht="12.8" hidden="true" customHeight="false" outlineLevel="0" collapsed="false">
      <c r="A293" s="5" t="n">
        <v>24</v>
      </c>
      <c r="B293" s="1" t="n">
        <v>0.0224411770259721</v>
      </c>
      <c r="C293" s="1" t="s">
        <v>40</v>
      </c>
    </row>
    <row r="294" customFormat="false" ht="12.8" hidden="true" customHeight="false" outlineLevel="0" collapsed="false">
      <c r="A294" s="5" t="n">
        <v>20</v>
      </c>
      <c r="B294" s="1" t="n">
        <v>0.0221144449328701</v>
      </c>
      <c r="C294" s="1" t="s">
        <v>41</v>
      </c>
    </row>
    <row r="295" customFormat="false" ht="12.8" hidden="true" customHeight="false" outlineLevel="0" collapsed="false">
      <c r="A295" s="5" t="n">
        <v>1</v>
      </c>
      <c r="B295" s="1" t="n">
        <v>0.0215186883234603</v>
      </c>
      <c r="C295" s="1" t="s">
        <v>37</v>
      </c>
    </row>
    <row r="296" customFormat="false" ht="12.8" hidden="true" customHeight="false" outlineLevel="0" collapsed="false">
      <c r="A296" s="5" t="n">
        <v>6</v>
      </c>
      <c r="B296" s="1" t="n">
        <v>0.0209627202179861</v>
      </c>
      <c r="C296" s="1" t="s">
        <v>39</v>
      </c>
    </row>
    <row r="297" customFormat="false" ht="12.8" hidden="true" customHeight="false" outlineLevel="0" collapsed="false">
      <c r="A297" s="5" t="n">
        <v>13</v>
      </c>
      <c r="B297" s="1" t="n">
        <v>0.0201247809617153</v>
      </c>
      <c r="C297" s="1" t="s">
        <v>38</v>
      </c>
    </row>
    <row r="298" customFormat="false" ht="12.8" hidden="true" customHeight="false" outlineLevel="0" collapsed="false">
      <c r="A298" s="5" t="n">
        <v>18</v>
      </c>
      <c r="B298" s="1" t="n">
        <v>0.0198795191025155</v>
      </c>
      <c r="C298" s="1" t="s">
        <v>38</v>
      </c>
    </row>
    <row r="299" customFormat="false" ht="12.8" hidden="true" customHeight="false" outlineLevel="0" collapsed="false">
      <c r="A299" s="5" t="n">
        <v>8</v>
      </c>
      <c r="B299" s="1" t="n">
        <v>0.0196193180698319</v>
      </c>
      <c r="C299" s="1" t="s">
        <v>38</v>
      </c>
    </row>
    <row r="300" customFormat="false" ht="12.8" hidden="true" customHeight="false" outlineLevel="0" collapsed="false">
      <c r="A300" s="5" t="n">
        <v>1</v>
      </c>
      <c r="B300" s="1" t="n">
        <v>0.0195455664827672</v>
      </c>
      <c r="C300" s="1" t="s">
        <v>42</v>
      </c>
    </row>
    <row r="301" customFormat="false" ht="12.8" hidden="true" customHeight="false" outlineLevel="0" collapsed="false">
      <c r="A301" s="5" t="n">
        <v>9</v>
      </c>
      <c r="B301" s="1" t="n">
        <v>0.0192352174130938</v>
      </c>
      <c r="C301" s="1" t="s">
        <v>40</v>
      </c>
    </row>
    <row r="302" customFormat="false" ht="12.8" hidden="true" customHeight="false" outlineLevel="0" collapsed="false">
      <c r="A302" s="5" t="n">
        <v>20</v>
      </c>
      <c r="B302" s="1" t="n">
        <v>0.0190272298192781</v>
      </c>
      <c r="C302" s="1" t="s">
        <v>38</v>
      </c>
    </row>
    <row r="303" customFormat="false" ht="12.8" hidden="true" customHeight="false" outlineLevel="0" collapsed="false">
      <c r="A303" s="5" t="n">
        <v>1</v>
      </c>
      <c r="B303" s="1" t="n">
        <v>0.0190137745957119</v>
      </c>
      <c r="C303" s="1" t="s">
        <v>38</v>
      </c>
    </row>
    <row r="304" customFormat="false" ht="12.8" hidden="true" customHeight="false" outlineLevel="0" collapsed="false">
      <c r="A304" s="5" t="n">
        <v>5</v>
      </c>
      <c r="B304" s="1" t="n">
        <v>0.0190011374099051</v>
      </c>
      <c r="C304" s="1" t="s">
        <v>40</v>
      </c>
    </row>
    <row r="305" customFormat="false" ht="12.8" hidden="true" customHeight="false" outlineLevel="0" collapsed="false">
      <c r="A305" s="5" t="n">
        <v>2</v>
      </c>
      <c r="B305" s="1" t="n">
        <v>0.0185540426041033</v>
      </c>
      <c r="C305" s="1" t="s">
        <v>40</v>
      </c>
    </row>
    <row r="306" customFormat="false" ht="12.8" hidden="true" customHeight="false" outlineLevel="0" collapsed="false">
      <c r="A306" s="5" t="n">
        <v>4</v>
      </c>
      <c r="B306" s="1" t="n">
        <v>0.0183430026969309</v>
      </c>
      <c r="C306" s="1" t="s">
        <v>42</v>
      </c>
    </row>
    <row r="307" customFormat="false" ht="12.8" hidden="true" customHeight="false" outlineLevel="0" collapsed="false">
      <c r="A307" s="5" t="n">
        <v>24</v>
      </c>
      <c r="B307" s="1" t="n">
        <v>0.0175780381955248</v>
      </c>
      <c r="C307" s="1" t="s">
        <v>41</v>
      </c>
    </row>
    <row r="308" customFormat="false" ht="12.8" hidden="true" customHeight="false" outlineLevel="0" collapsed="false">
      <c r="A308" s="6" t="n">
        <v>25</v>
      </c>
      <c r="B308" s="1" t="n">
        <v>0.0174828623181701</v>
      </c>
      <c r="C308" s="1" t="s">
        <v>42</v>
      </c>
    </row>
    <row r="309" customFormat="false" ht="12.8" hidden="true" customHeight="false" outlineLevel="0" collapsed="false">
      <c r="A309" s="6" t="n">
        <v>25</v>
      </c>
      <c r="B309" s="1" t="n">
        <v>0.017047708194478</v>
      </c>
      <c r="C309" s="1" t="s">
        <v>41</v>
      </c>
    </row>
    <row r="310" customFormat="false" ht="12.8" hidden="true" customHeight="false" outlineLevel="0" collapsed="false">
      <c r="A310" s="5" t="n">
        <v>24</v>
      </c>
      <c r="B310" s="1" t="n">
        <v>0.0168378683487362</v>
      </c>
      <c r="C310" s="1" t="s">
        <v>37</v>
      </c>
    </row>
    <row r="311" customFormat="false" ht="12.8" hidden="true" customHeight="false" outlineLevel="0" collapsed="false">
      <c r="A311" s="5" t="n">
        <v>22</v>
      </c>
      <c r="B311" s="1" t="n">
        <v>0.015965935209165</v>
      </c>
      <c r="C311" s="1" t="s">
        <v>39</v>
      </c>
    </row>
    <row r="312" customFormat="false" ht="12.8" hidden="true" customHeight="false" outlineLevel="0" collapsed="false">
      <c r="A312" s="5" t="n">
        <v>20</v>
      </c>
      <c r="B312" s="1" t="n">
        <v>0.0154189812278882</v>
      </c>
      <c r="C312" s="1" t="s">
        <v>42</v>
      </c>
    </row>
    <row r="313" customFormat="false" ht="12.8" hidden="true" customHeight="false" outlineLevel="0" collapsed="false">
      <c r="A313" s="5" t="n">
        <v>23</v>
      </c>
      <c r="B313" s="1" t="n">
        <v>0.0152179813161789</v>
      </c>
      <c r="C313" s="1" t="s">
        <v>42</v>
      </c>
    </row>
    <row r="314" customFormat="false" ht="12.8" hidden="true" customHeight="false" outlineLevel="0" collapsed="false">
      <c r="A314" s="5" t="n">
        <v>16</v>
      </c>
      <c r="B314" s="1" t="n">
        <v>0.0150767484481522</v>
      </c>
      <c r="C314" s="1" t="s">
        <v>38</v>
      </c>
    </row>
    <row r="315" customFormat="false" ht="12.8" hidden="true" customHeight="false" outlineLevel="0" collapsed="false">
      <c r="A315" s="5" t="n">
        <v>11</v>
      </c>
      <c r="B315" s="1" t="n">
        <v>0.015074756262255</v>
      </c>
      <c r="C315" s="1" t="s">
        <v>39</v>
      </c>
    </row>
    <row r="316" customFormat="false" ht="12.8" hidden="true" customHeight="false" outlineLevel="0" collapsed="false">
      <c r="A316" s="5" t="n">
        <v>15</v>
      </c>
      <c r="B316" s="1" t="n">
        <v>0.0147996110321545</v>
      </c>
      <c r="C316" s="1" t="s">
        <v>41</v>
      </c>
    </row>
    <row r="317" customFormat="false" ht="12.8" hidden="true" customHeight="false" outlineLevel="0" collapsed="false">
      <c r="A317" s="5" t="n">
        <v>5</v>
      </c>
      <c r="B317" s="1" t="n">
        <v>0.0143629594352738</v>
      </c>
      <c r="C317" s="1" t="s">
        <v>38</v>
      </c>
    </row>
    <row r="318" customFormat="false" ht="12.8" hidden="true" customHeight="false" outlineLevel="0" collapsed="false">
      <c r="A318" s="5" t="n">
        <v>8</v>
      </c>
      <c r="B318" s="1" t="n">
        <v>0.013819312636825</v>
      </c>
      <c r="C318" s="1" t="s">
        <v>40</v>
      </c>
    </row>
    <row r="319" customFormat="false" ht="12.8" hidden="true" customHeight="false" outlineLevel="0" collapsed="false">
      <c r="A319" s="5" t="n">
        <v>16</v>
      </c>
      <c r="B319" s="1" t="n">
        <v>0.0126646260950666</v>
      </c>
      <c r="C319" s="1" t="s">
        <v>42</v>
      </c>
    </row>
    <row r="320" customFormat="false" ht="12.8" hidden="true" customHeight="false" outlineLevel="0" collapsed="false">
      <c r="A320" s="5" t="n">
        <v>15</v>
      </c>
      <c r="B320" s="1" t="n">
        <v>0.0124746765675225</v>
      </c>
      <c r="C320" s="1" t="s">
        <v>39</v>
      </c>
    </row>
    <row r="321" customFormat="false" ht="12.8" hidden="true" customHeight="false" outlineLevel="0" collapsed="false">
      <c r="A321" s="5" t="n">
        <v>18</v>
      </c>
      <c r="B321" s="1" t="n">
        <v>0.0111767397312755</v>
      </c>
      <c r="C321" s="1" t="s">
        <v>42</v>
      </c>
    </row>
    <row r="322" customFormat="false" ht="12.8" hidden="true" customHeight="false" outlineLevel="0" collapsed="false">
      <c r="A322" s="5" t="n">
        <v>7</v>
      </c>
      <c r="B322" s="1" t="n">
        <v>0.0107749401497542</v>
      </c>
      <c r="C322" s="1" t="s">
        <v>42</v>
      </c>
    </row>
    <row r="323" customFormat="false" ht="12.8" hidden="true" customHeight="false" outlineLevel="0" collapsed="false">
      <c r="A323" s="5" t="n">
        <v>18</v>
      </c>
      <c r="B323" s="1" t="n">
        <v>0.010563960749583</v>
      </c>
      <c r="C323" s="1" t="s">
        <v>37</v>
      </c>
    </row>
    <row r="324" customFormat="false" ht="12.8" hidden="true" customHeight="false" outlineLevel="0" collapsed="false">
      <c r="A324" s="5" t="n">
        <v>8</v>
      </c>
      <c r="B324" s="1" t="n">
        <v>0.0102818842143625</v>
      </c>
      <c r="C324" s="1" t="s">
        <v>39</v>
      </c>
    </row>
    <row r="325" customFormat="false" ht="12.8" hidden="true" customHeight="false" outlineLevel="0" collapsed="false">
      <c r="A325" s="5" t="n">
        <v>8</v>
      </c>
      <c r="B325" s="1" t="n">
        <v>0.00933743385546937</v>
      </c>
      <c r="C325" s="1" t="s">
        <v>42</v>
      </c>
    </row>
    <row r="326" customFormat="false" ht="12.8" hidden="true" customHeight="false" outlineLevel="0" collapsed="false">
      <c r="A326" s="5" t="n">
        <v>4</v>
      </c>
      <c r="B326" s="1" t="n">
        <v>0.00925381278624404</v>
      </c>
      <c r="C326" s="1" t="s">
        <v>41</v>
      </c>
    </row>
    <row r="327" customFormat="false" ht="12.8" hidden="true" customHeight="false" outlineLevel="0" collapsed="false">
      <c r="A327" s="5" t="n">
        <v>11</v>
      </c>
      <c r="B327" s="1" t="n">
        <v>0.00919039838678348</v>
      </c>
      <c r="C327" s="1" t="s">
        <v>42</v>
      </c>
    </row>
    <row r="328" customFormat="false" ht="12.8" hidden="true" customHeight="false" outlineLevel="0" collapsed="false">
      <c r="A328" s="5" t="n">
        <v>4</v>
      </c>
      <c r="B328" s="1" t="n">
        <v>0.00908918991068686</v>
      </c>
      <c r="C328" s="1" t="s">
        <v>37</v>
      </c>
    </row>
    <row r="329" customFormat="false" ht="12.8" hidden="true" customHeight="false" outlineLevel="0" collapsed="false">
      <c r="A329" s="5" t="n">
        <v>3</v>
      </c>
      <c r="B329" s="1" t="n">
        <v>0.00817330005434824</v>
      </c>
      <c r="C329" s="1" t="s">
        <v>40</v>
      </c>
    </row>
    <row r="330" customFormat="false" ht="12.8" hidden="true" customHeight="false" outlineLevel="0" collapsed="false">
      <c r="A330" s="5" t="n">
        <v>2</v>
      </c>
      <c r="B330" s="1" t="n">
        <v>0.00774208809137111</v>
      </c>
      <c r="C330" s="1" t="s">
        <v>41</v>
      </c>
    </row>
    <row r="331" customFormat="false" ht="12.8" hidden="true" customHeight="false" outlineLevel="0" collapsed="false">
      <c r="A331" s="5" t="n">
        <v>21</v>
      </c>
      <c r="B331" s="1" t="n">
        <v>0.00747180012973892</v>
      </c>
      <c r="C331" s="1" t="s">
        <v>37</v>
      </c>
    </row>
    <row r="332" customFormat="false" ht="12.8" hidden="true" customHeight="false" outlineLevel="0" collapsed="false">
      <c r="A332" s="6" t="n">
        <v>25</v>
      </c>
      <c r="B332" s="1" t="n">
        <v>0.00733184365738515</v>
      </c>
      <c r="C332" s="1" t="s">
        <v>40</v>
      </c>
    </row>
    <row r="333" customFormat="false" ht="12.8" hidden="true" customHeight="false" outlineLevel="0" collapsed="false">
      <c r="A333" s="5" t="n">
        <v>21</v>
      </c>
      <c r="B333" s="1" t="n">
        <v>0.00692086548930693</v>
      </c>
      <c r="C333" s="1" t="s">
        <v>40</v>
      </c>
    </row>
    <row r="334" customFormat="false" ht="12.8" hidden="true" customHeight="false" outlineLevel="0" collapsed="false">
      <c r="A334" s="5" t="n">
        <v>20</v>
      </c>
      <c r="B334" s="1" t="n">
        <v>0.00669546370498186</v>
      </c>
      <c r="C334" s="1" t="s">
        <v>37</v>
      </c>
    </row>
    <row r="335" customFormat="false" ht="12.8" hidden="true" customHeight="false" outlineLevel="0" collapsed="false">
      <c r="A335" s="5" t="n">
        <v>11</v>
      </c>
      <c r="B335" s="1" t="n">
        <v>0.00588435787547148</v>
      </c>
      <c r="C335" s="1" t="s">
        <v>38</v>
      </c>
    </row>
    <row r="336" customFormat="false" ht="12.8" hidden="true" customHeight="false" outlineLevel="0" collapsed="false">
      <c r="A336" s="5" t="n">
        <v>8</v>
      </c>
      <c r="B336" s="1" t="n">
        <v>0.00580000543300685</v>
      </c>
      <c r="C336" s="1" t="s">
        <v>37</v>
      </c>
    </row>
    <row r="337" customFormat="false" ht="12.8" hidden="true" customHeight="false" outlineLevel="0" collapsed="false">
      <c r="A337" s="5" t="n">
        <v>13</v>
      </c>
      <c r="B337" s="1" t="n">
        <v>0.00538958300445569</v>
      </c>
      <c r="C337" s="1" t="s">
        <v>39</v>
      </c>
    </row>
    <row r="338" customFormat="false" ht="12.8" hidden="true" customHeight="false" outlineLevel="0" collapsed="false">
      <c r="A338" s="5" t="n">
        <v>14</v>
      </c>
      <c r="B338" s="1" t="n">
        <v>0.00497909301212418</v>
      </c>
      <c r="C338" s="1" t="s">
        <v>37</v>
      </c>
    </row>
    <row r="339" customFormat="false" ht="12.8" hidden="true" customHeight="false" outlineLevel="0" collapsed="false">
      <c r="A339" s="5" t="n">
        <v>10</v>
      </c>
      <c r="B339" s="1" t="n">
        <v>0.00491321609538453</v>
      </c>
      <c r="C339" s="1" t="s">
        <v>39</v>
      </c>
    </row>
    <row r="340" customFormat="false" ht="12.8" hidden="true" customHeight="false" outlineLevel="0" collapsed="false">
      <c r="A340" s="5" t="n">
        <v>5</v>
      </c>
      <c r="B340" s="1" t="n">
        <v>0.00463817797463129</v>
      </c>
      <c r="C340" s="1" t="s">
        <v>37</v>
      </c>
    </row>
    <row r="341" customFormat="false" ht="12.8" hidden="true" customHeight="false" outlineLevel="0" collapsed="false">
      <c r="A341" s="5" t="n">
        <v>23</v>
      </c>
      <c r="B341" s="1" t="n">
        <v>0.00432458239636369</v>
      </c>
      <c r="C341" s="1" t="s">
        <v>40</v>
      </c>
    </row>
    <row r="342" customFormat="false" ht="12.8" hidden="true" customHeight="false" outlineLevel="0" collapsed="false">
      <c r="A342" s="5" t="n">
        <v>22</v>
      </c>
      <c r="B342" s="1" t="n">
        <v>0.0041929362876838</v>
      </c>
      <c r="C342" s="1" t="s">
        <v>37</v>
      </c>
    </row>
    <row r="343" customFormat="false" ht="12.8" hidden="true" customHeight="false" outlineLevel="0" collapsed="false">
      <c r="A343" s="5" t="n">
        <v>20</v>
      </c>
      <c r="B343" s="1" t="n">
        <v>0.00360824859138986</v>
      </c>
      <c r="C343" s="1" t="s">
        <v>39</v>
      </c>
    </row>
    <row r="344" customFormat="false" ht="12.8" hidden="true" customHeight="false" outlineLevel="0" collapsed="false">
      <c r="A344" s="5" t="n">
        <v>8</v>
      </c>
      <c r="B344" s="1" t="n">
        <v>0.00353742842246252</v>
      </c>
      <c r="C344" s="1" t="s">
        <v>41</v>
      </c>
    </row>
    <row r="345" customFormat="false" ht="12.8" hidden="true" customHeight="false" outlineLevel="0" collapsed="false">
      <c r="A345" s="5" t="n">
        <v>9</v>
      </c>
      <c r="B345" s="1" t="n">
        <v>0.00350398412118946</v>
      </c>
      <c r="C345" s="1" t="s">
        <v>37</v>
      </c>
    </row>
    <row r="346" customFormat="false" ht="12.8" hidden="true" customHeight="false" outlineLevel="0" collapsed="false">
      <c r="A346" s="5" t="n">
        <v>10</v>
      </c>
      <c r="B346" s="1" t="n">
        <v>0.00328367378263883</v>
      </c>
      <c r="C346" s="1" t="s">
        <v>37</v>
      </c>
    </row>
    <row r="347" customFormat="false" ht="12.8" hidden="true" customHeight="false" outlineLevel="0" collapsed="false">
      <c r="A347" s="5" t="n">
        <v>6</v>
      </c>
      <c r="B347" s="1" t="n">
        <v>0.00302290696088636</v>
      </c>
      <c r="C347" s="1" t="s">
        <v>38</v>
      </c>
    </row>
    <row r="348" customFormat="false" ht="12.8" hidden="true" customHeight="false" outlineLevel="0" collapsed="false">
      <c r="A348" s="5" t="n">
        <v>1</v>
      </c>
      <c r="B348" s="1" t="n">
        <v>0.00250491372774841</v>
      </c>
      <c r="C348" s="1" t="s">
        <v>40</v>
      </c>
    </row>
    <row r="349" customFormat="false" ht="12.8" hidden="true" customHeight="false" outlineLevel="0" collapsed="false">
      <c r="A349" s="5" t="n">
        <v>16</v>
      </c>
      <c r="B349" s="1" t="n">
        <v>0.00241212235308563</v>
      </c>
      <c r="C349" s="1" t="s">
        <v>39</v>
      </c>
    </row>
    <row r="350" customFormat="false" ht="12.8" hidden="true" customHeight="false" outlineLevel="0" collapsed="false">
      <c r="A350" s="5" t="n">
        <v>15</v>
      </c>
      <c r="B350" s="1" t="n">
        <v>0.002324934464632</v>
      </c>
      <c r="C350" s="1" t="s">
        <v>40</v>
      </c>
    </row>
    <row r="351" customFormat="false" ht="12.8" hidden="true" customHeight="false" outlineLevel="0" collapsed="false">
      <c r="A351" s="5" t="n">
        <v>1</v>
      </c>
      <c r="B351" s="1" t="n">
        <v>0.00197312184069309</v>
      </c>
      <c r="C351" s="1" t="s">
        <v>41</v>
      </c>
    </row>
    <row r="352" customFormat="false" ht="12.8" hidden="true" customHeight="false" outlineLevel="0" collapsed="false">
      <c r="A352" s="5" t="n">
        <v>17</v>
      </c>
      <c r="B352" s="1" t="n">
        <v>0.00186495279724863</v>
      </c>
      <c r="C352" s="1" t="s">
        <v>37</v>
      </c>
    </row>
    <row r="353" customFormat="false" ht="12.8" hidden="true" customHeight="false" outlineLevel="0" collapsed="false">
      <c r="A353" s="5" t="n">
        <v>14</v>
      </c>
      <c r="B353" s="1" t="n">
        <v>0.00185220009123377</v>
      </c>
      <c r="C353" s="1" t="s">
        <v>39</v>
      </c>
    </row>
    <row r="354" customFormat="false" ht="12.8" hidden="true" customHeight="false" outlineLevel="0" collapsed="false">
      <c r="A354" s="5" t="n">
        <v>24</v>
      </c>
      <c r="B354" s="1" t="n">
        <v>0.000740169846788596</v>
      </c>
      <c r="C354" s="1" t="s">
        <v>42</v>
      </c>
    </row>
    <row r="355" customFormat="false" ht="12.8" hidden="true" customHeight="false" outlineLevel="0" collapsed="false">
      <c r="A355" s="5" t="n">
        <v>19</v>
      </c>
      <c r="B355" s="1" t="n">
        <v>0.000672885583539062</v>
      </c>
      <c r="C355" s="1" t="s">
        <v>39</v>
      </c>
    </row>
    <row r="356" customFormat="false" ht="12.8" hidden="true" customHeight="false" outlineLevel="0" collapsed="false">
      <c r="A356" s="5" t="n">
        <v>18</v>
      </c>
      <c r="B356" s="1" t="n">
        <v>0.000612778981692541</v>
      </c>
      <c r="C356" s="1" t="s">
        <v>41</v>
      </c>
    </row>
    <row r="357" customFormat="false" ht="12.8" hidden="true" customHeight="false" outlineLevel="0" collapsed="false">
      <c r="A357" s="5" t="n">
        <v>21</v>
      </c>
      <c r="B357" s="1" t="n">
        <v>0.000550934640431988</v>
      </c>
      <c r="C357" s="1" t="s">
        <v>38</v>
      </c>
    </row>
    <row r="358" customFormat="false" ht="12.8" hidden="true" customHeight="false" outlineLevel="0" collapsed="false">
      <c r="A358" s="5" t="n">
        <v>1</v>
      </c>
      <c r="B358" s="1" t="n">
        <v>0.000531791887055322</v>
      </c>
      <c r="C358" s="1" t="s">
        <v>39</v>
      </c>
    </row>
  </sheetData>
  <autoFilter ref="A208:C358">
    <filterColumn colId="1">
      <customFilters and="true">
        <customFilter operator="greaterThanOrEqual" val="0.05"/>
      </customFilters>
    </filterColumn>
  </autoFilter>
  <mergeCells count="1">
    <mergeCell ref="B33:D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28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F25" activeCellId="0" sqref="F25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1" min="1" style="1" width="6.31"/>
    <col collapsed="false" customWidth="true" hidden="false" outlineLevel="0" max="2" min="2" style="1" width="22.97"/>
    <col collapsed="false" customWidth="true" hidden="false" outlineLevel="0" max="3" min="3" style="1" width="19.14"/>
    <col collapsed="false" customWidth="true" hidden="false" outlineLevel="0" max="5" min="5" style="1" width="19.76"/>
  </cols>
  <sheetData>
    <row r="3" customFormat="false" ht="12.8" hidden="false" customHeight="false" outlineLevel="0" collapsed="false">
      <c r="A3" s="13" t="s">
        <v>34</v>
      </c>
      <c r="B3" s="13" t="s">
        <v>35</v>
      </c>
      <c r="C3" s="13" t="s">
        <v>36</v>
      </c>
      <c r="E3" s="14" t="s">
        <v>43</v>
      </c>
      <c r="F3" s="15" t="s">
        <v>36</v>
      </c>
      <c r="G3" s="16"/>
      <c r="H3" s="16"/>
      <c r="I3" s="16"/>
      <c r="J3" s="16"/>
      <c r="K3" s="16"/>
      <c r="L3" s="17"/>
    </row>
    <row r="4" customFormat="false" ht="12.8" hidden="false" customHeight="false" outlineLevel="0" collapsed="false">
      <c r="A4" s="5" t="n">
        <v>3</v>
      </c>
      <c r="B4" s="1" t="n">
        <v>0.108074679304883</v>
      </c>
      <c r="C4" s="1" t="s">
        <v>37</v>
      </c>
      <c r="E4" s="18" t="s">
        <v>34</v>
      </c>
      <c r="F4" s="19" t="s">
        <v>39</v>
      </c>
      <c r="G4" s="20" t="s">
        <v>42</v>
      </c>
      <c r="H4" s="20" t="s">
        <v>38</v>
      </c>
      <c r="I4" s="20" t="s">
        <v>37</v>
      </c>
      <c r="J4" s="20" t="s">
        <v>41</v>
      </c>
      <c r="K4" s="20" t="s">
        <v>40</v>
      </c>
      <c r="L4" s="21" t="s">
        <v>44</v>
      </c>
    </row>
    <row r="5" customFormat="false" ht="12.8" hidden="false" customHeight="false" outlineLevel="0" collapsed="false">
      <c r="A5" s="5" t="n">
        <v>19</v>
      </c>
      <c r="B5" s="1" t="n">
        <v>0.105523551711899</v>
      </c>
      <c r="C5" s="1" t="s">
        <v>37</v>
      </c>
      <c r="E5" s="22" t="n">
        <v>3</v>
      </c>
      <c r="F5" s="23"/>
      <c r="G5" s="24" t="n">
        <v>1</v>
      </c>
      <c r="H5" s="24" t="n">
        <v>1</v>
      </c>
      <c r="I5" s="24" t="n">
        <v>1</v>
      </c>
      <c r="J5" s="24"/>
      <c r="K5" s="25"/>
      <c r="L5" s="26" t="n">
        <v>3</v>
      </c>
    </row>
    <row r="6" customFormat="false" ht="12.8" hidden="false" customHeight="false" outlineLevel="0" collapsed="false">
      <c r="A6" s="5" t="n">
        <v>12</v>
      </c>
      <c r="B6" s="1" t="n">
        <v>0.103204528977868</v>
      </c>
      <c r="C6" s="1" t="s">
        <v>38</v>
      </c>
      <c r="E6" s="27" t="n">
        <v>4</v>
      </c>
      <c r="F6" s="28"/>
      <c r="G6" s="29"/>
      <c r="H6" s="29" t="n">
        <v>1</v>
      </c>
      <c r="I6" s="29"/>
      <c r="J6" s="29"/>
      <c r="K6" s="30" t="n">
        <v>1</v>
      </c>
      <c r="L6" s="31" t="n">
        <v>2</v>
      </c>
    </row>
    <row r="7" customFormat="false" ht="12.8" hidden="false" customHeight="false" outlineLevel="0" collapsed="false">
      <c r="A7" s="5" t="n">
        <v>3</v>
      </c>
      <c r="B7" s="1" t="n">
        <v>0.0999013792505343</v>
      </c>
      <c r="C7" s="1" t="s">
        <v>38</v>
      </c>
      <c r="E7" s="27" t="n">
        <v>5</v>
      </c>
      <c r="F7" s="28" t="n">
        <v>1</v>
      </c>
      <c r="G7" s="29"/>
      <c r="H7" s="29"/>
      <c r="I7" s="29"/>
      <c r="J7" s="29"/>
      <c r="K7" s="30"/>
      <c r="L7" s="31" t="n">
        <v>1</v>
      </c>
    </row>
    <row r="8" customFormat="false" ht="12.8" hidden="false" customHeight="false" outlineLevel="0" collapsed="false">
      <c r="A8" s="5" t="n">
        <v>12</v>
      </c>
      <c r="B8" s="1" t="n">
        <v>0.0778787507599474</v>
      </c>
      <c r="C8" s="1" t="s">
        <v>39</v>
      </c>
      <c r="E8" s="27" t="n">
        <v>6</v>
      </c>
      <c r="F8" s="28"/>
      <c r="G8" s="29"/>
      <c r="H8" s="29"/>
      <c r="I8" s="29"/>
      <c r="J8" s="29" t="n">
        <v>1</v>
      </c>
      <c r="K8" s="30"/>
      <c r="L8" s="31" t="n">
        <v>1</v>
      </c>
    </row>
    <row r="9" customFormat="false" ht="12.8" hidden="false" customHeight="false" outlineLevel="0" collapsed="false">
      <c r="A9" s="5" t="n">
        <v>7</v>
      </c>
      <c r="B9" s="1" t="n">
        <v>0.0762611820826588</v>
      </c>
      <c r="C9" s="1" t="s">
        <v>40</v>
      </c>
      <c r="E9" s="27" t="n">
        <v>7</v>
      </c>
      <c r="F9" s="28" t="n">
        <v>1</v>
      </c>
      <c r="G9" s="29"/>
      <c r="H9" s="29"/>
      <c r="I9" s="29"/>
      <c r="J9" s="29"/>
      <c r="K9" s="30" t="n">
        <v>1</v>
      </c>
      <c r="L9" s="31" t="n">
        <v>2</v>
      </c>
    </row>
    <row r="10" customFormat="false" ht="12.8" hidden="false" customHeight="false" outlineLevel="0" collapsed="false">
      <c r="A10" s="5" t="n">
        <v>12</v>
      </c>
      <c r="B10" s="1" t="n">
        <v>0.0689424728600291</v>
      </c>
      <c r="C10" s="1" t="s">
        <v>37</v>
      </c>
      <c r="E10" s="27" t="n">
        <v>9</v>
      </c>
      <c r="F10" s="28" t="n">
        <v>1</v>
      </c>
      <c r="G10" s="29"/>
      <c r="H10" s="29"/>
      <c r="I10" s="29"/>
      <c r="J10" s="29"/>
      <c r="K10" s="30"/>
      <c r="L10" s="31" t="n">
        <v>1</v>
      </c>
    </row>
    <row r="11" customFormat="false" ht="12.8" hidden="false" customHeight="false" outlineLevel="0" collapsed="false">
      <c r="A11" s="5" t="n">
        <v>17</v>
      </c>
      <c r="B11" s="1" t="n">
        <v>0.0686279409164734</v>
      </c>
      <c r="C11" s="1" t="s">
        <v>41</v>
      </c>
      <c r="E11" s="27" t="n">
        <v>10</v>
      </c>
      <c r="F11" s="28"/>
      <c r="G11" s="29"/>
      <c r="H11" s="29"/>
      <c r="I11" s="29"/>
      <c r="J11" s="29" t="n">
        <v>1</v>
      </c>
      <c r="K11" s="30"/>
      <c r="L11" s="31" t="n">
        <v>1</v>
      </c>
    </row>
    <row r="12" customFormat="false" ht="12.8" hidden="false" customHeight="false" outlineLevel="0" collapsed="false">
      <c r="A12" s="5" t="n">
        <v>17</v>
      </c>
      <c r="B12" s="1" t="n">
        <v>0.0667629881192248</v>
      </c>
      <c r="C12" s="1" t="s">
        <v>42</v>
      </c>
      <c r="E12" s="27" t="n">
        <v>12</v>
      </c>
      <c r="F12" s="28" t="n">
        <v>1</v>
      </c>
      <c r="G12" s="29"/>
      <c r="H12" s="29" t="n">
        <v>1</v>
      </c>
      <c r="I12" s="29" t="n">
        <v>1</v>
      </c>
      <c r="J12" s="29"/>
      <c r="K12" s="30"/>
      <c r="L12" s="31" t="n">
        <v>3</v>
      </c>
    </row>
    <row r="13" customFormat="false" ht="12.8" hidden="false" customHeight="false" outlineLevel="0" collapsed="false">
      <c r="A13" s="5" t="n">
        <v>4</v>
      </c>
      <c r="B13" s="1" t="n">
        <v>0.0644812139228626</v>
      </c>
      <c r="C13" s="1" t="s">
        <v>38</v>
      </c>
      <c r="E13" s="27" t="n">
        <v>13</v>
      </c>
      <c r="F13" s="28"/>
      <c r="G13" s="29"/>
      <c r="H13" s="29"/>
      <c r="I13" s="29" t="n">
        <v>1</v>
      </c>
      <c r="J13" s="29"/>
      <c r="K13" s="30"/>
      <c r="L13" s="31" t="n">
        <v>1</v>
      </c>
    </row>
    <row r="14" customFormat="false" ht="12.8" hidden="false" customHeight="false" outlineLevel="0" collapsed="false">
      <c r="A14" s="5" t="n">
        <v>5</v>
      </c>
      <c r="B14" s="1" t="n">
        <v>0.0620620320176963</v>
      </c>
      <c r="C14" s="1" t="s">
        <v>39</v>
      </c>
      <c r="E14" s="27" t="n">
        <v>16</v>
      </c>
      <c r="F14" s="28"/>
      <c r="G14" s="29"/>
      <c r="H14" s="29"/>
      <c r="I14" s="29" t="n">
        <v>1</v>
      </c>
      <c r="J14" s="29"/>
      <c r="K14" s="30"/>
      <c r="L14" s="31" t="n">
        <v>1</v>
      </c>
    </row>
    <row r="15" customFormat="false" ht="12.8" hidden="false" customHeight="false" outlineLevel="0" collapsed="false">
      <c r="A15" s="5" t="n">
        <v>23</v>
      </c>
      <c r="B15" s="1" t="n">
        <v>0.0610162023557078</v>
      </c>
      <c r="C15" s="1" t="s">
        <v>41</v>
      </c>
      <c r="E15" s="27" t="n">
        <v>17</v>
      </c>
      <c r="F15" s="28"/>
      <c r="G15" s="29" t="n">
        <v>1</v>
      </c>
      <c r="H15" s="29"/>
      <c r="I15" s="29"/>
      <c r="J15" s="29" t="n">
        <v>1</v>
      </c>
      <c r="K15" s="30"/>
      <c r="L15" s="31" t="n">
        <v>2</v>
      </c>
    </row>
    <row r="16" customFormat="false" ht="12.8" hidden="false" customHeight="false" outlineLevel="0" collapsed="false">
      <c r="A16" s="5" t="n">
        <v>3</v>
      </c>
      <c r="B16" s="1" t="n">
        <v>0.0588750426660455</v>
      </c>
      <c r="C16" s="1" t="s">
        <v>42</v>
      </c>
      <c r="E16" s="27" t="n">
        <v>19</v>
      </c>
      <c r="F16" s="28"/>
      <c r="G16" s="29" t="n">
        <v>1</v>
      </c>
      <c r="H16" s="29" t="n">
        <v>1</v>
      </c>
      <c r="I16" s="29" t="n">
        <v>1</v>
      </c>
      <c r="J16" s="29" t="n">
        <v>1</v>
      </c>
      <c r="K16" s="30" t="n">
        <v>1</v>
      </c>
      <c r="L16" s="31" t="n">
        <v>5</v>
      </c>
    </row>
    <row r="17" customFormat="false" ht="12.8" hidden="false" customHeight="false" outlineLevel="0" collapsed="false">
      <c r="A17" s="5" t="n">
        <v>6</v>
      </c>
      <c r="B17" s="1" t="n">
        <v>0.0585994233230669</v>
      </c>
      <c r="C17" s="1" t="s">
        <v>41</v>
      </c>
      <c r="E17" s="27" t="n">
        <v>23</v>
      </c>
      <c r="F17" s="32" t="n">
        <v>1</v>
      </c>
      <c r="G17" s="33"/>
      <c r="H17" s="33"/>
      <c r="I17" s="33"/>
      <c r="J17" s="33" t="n">
        <v>1</v>
      </c>
      <c r="K17" s="34"/>
      <c r="L17" s="35" t="n">
        <v>2</v>
      </c>
    </row>
    <row r="18" customFormat="false" ht="12.8" hidden="false" customHeight="false" outlineLevel="0" collapsed="false">
      <c r="A18" s="5" t="n">
        <v>23</v>
      </c>
      <c r="B18" s="1" t="n">
        <v>0.0566916199593441</v>
      </c>
      <c r="C18" s="1" t="s">
        <v>39</v>
      </c>
      <c r="E18" s="36" t="s">
        <v>44</v>
      </c>
      <c r="F18" s="37" t="n">
        <v>5</v>
      </c>
      <c r="G18" s="38" t="n">
        <v>3</v>
      </c>
      <c r="H18" s="38" t="n">
        <v>4</v>
      </c>
      <c r="I18" s="38" t="n">
        <v>5</v>
      </c>
      <c r="J18" s="38" t="n">
        <v>5</v>
      </c>
      <c r="K18" s="39" t="n">
        <v>3</v>
      </c>
      <c r="L18" s="40" t="n">
        <v>25</v>
      </c>
    </row>
    <row r="19" customFormat="false" ht="12.8" hidden="false" customHeight="false" outlineLevel="0" collapsed="false">
      <c r="A19" s="5" t="n">
        <v>16</v>
      </c>
      <c r="B19" s="1" t="n">
        <v>0.0566355891199228</v>
      </c>
      <c r="C19" s="1" t="s">
        <v>37</v>
      </c>
    </row>
    <row r="20" customFormat="false" ht="12.8" hidden="false" customHeight="false" outlineLevel="0" collapsed="false">
      <c r="A20" s="5" t="n">
        <v>4</v>
      </c>
      <c r="B20" s="1" t="n">
        <v>0.0553920240121757</v>
      </c>
      <c r="C20" s="1" t="s">
        <v>40</v>
      </c>
    </row>
    <row r="21" customFormat="false" ht="12.8" hidden="false" customHeight="false" outlineLevel="0" collapsed="false">
      <c r="A21" s="5" t="n">
        <v>19</v>
      </c>
      <c r="B21" s="1" t="n">
        <v>0.0537033077346305</v>
      </c>
      <c r="C21" s="1" t="s">
        <v>38</v>
      </c>
    </row>
    <row r="22" customFormat="false" ht="12.8" hidden="false" customHeight="false" outlineLevel="0" collapsed="false">
      <c r="A22" s="5" t="n">
        <v>10</v>
      </c>
      <c r="B22" s="1" t="n">
        <v>0.0531443716772636</v>
      </c>
      <c r="C22" s="1" t="s">
        <v>41</v>
      </c>
    </row>
    <row r="23" customFormat="false" ht="12.8" hidden="false" customHeight="false" outlineLevel="0" collapsed="false">
      <c r="A23" s="5" t="n">
        <v>19</v>
      </c>
      <c r="B23" s="1" t="n">
        <v>0.0530304221510914</v>
      </c>
      <c r="C23" s="1" t="s">
        <v>42</v>
      </c>
    </row>
    <row r="24" customFormat="false" ht="12.8" hidden="false" customHeight="false" outlineLevel="0" collapsed="false">
      <c r="A24" s="5" t="n">
        <v>19</v>
      </c>
      <c r="B24" s="1" t="n">
        <v>0.0524931295608075</v>
      </c>
      <c r="C24" s="1" t="s">
        <v>41</v>
      </c>
    </row>
    <row r="25" customFormat="false" ht="12.8" hidden="false" customHeight="false" outlineLevel="0" collapsed="false">
      <c r="A25" s="5" t="n">
        <v>9</v>
      </c>
      <c r="B25" s="1" t="n">
        <v>0.0522700581818611</v>
      </c>
      <c r="C25" s="1" t="s">
        <v>39</v>
      </c>
    </row>
    <row r="26" customFormat="false" ht="12.8" hidden="false" customHeight="false" outlineLevel="0" collapsed="false">
      <c r="A26" s="5" t="n">
        <v>19</v>
      </c>
      <c r="B26" s="1" t="n">
        <v>0.0518202439772685</v>
      </c>
      <c r="C26" s="1" t="s">
        <v>40</v>
      </c>
    </row>
    <row r="27" customFormat="false" ht="12.8" hidden="false" customHeight="false" outlineLevel="0" collapsed="false">
      <c r="A27" s="5" t="n">
        <v>13</v>
      </c>
      <c r="B27" s="1" t="n">
        <v>0.0512861687496833</v>
      </c>
      <c r="C27" s="1" t="s">
        <v>37</v>
      </c>
    </row>
    <row r="28" customFormat="false" ht="12.8" hidden="false" customHeight="false" outlineLevel="0" collapsed="false">
      <c r="A28" s="5" t="n">
        <v>7</v>
      </c>
      <c r="B28" s="1" t="n">
        <v>0.0504745135557132</v>
      </c>
      <c r="C28" s="1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7"/>
  <sheetViews>
    <sheetView showFormulas="false" showGridLines="true" showRowColHeaders="true" showZeros="true" rightToLeft="false" tabSelected="false" showOutlineSymbols="true" defaultGridColor="true" view="normal" topLeftCell="A296" colorId="64" zoomScale="125" zoomScaleNormal="125" zoomScalePageLayoutView="100" workbookViewId="0">
      <selection pane="topLeft" activeCell="F324" activeCellId="0" sqref="F324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2" min="2" style="1" width="37.94"/>
    <col collapsed="false" customWidth="true" hidden="false" outlineLevel="0" max="4" min="4" style="1" width="19.78"/>
    <col collapsed="false" customWidth="true" hidden="false" outlineLevel="0" max="6" min="6" style="1" width="40.89"/>
    <col collapsed="false" customWidth="true" hidden="false" outlineLevel="0" max="7" min="7" style="1" width="34.22"/>
    <col collapsed="false" customWidth="true" hidden="false" outlineLevel="0" max="10" min="9" style="1" width="19.78"/>
  </cols>
  <sheetData>
    <row r="1" customFormat="false" ht="12.8" hidden="false" customHeight="false" outlineLevel="0" collapsed="false">
      <c r="A1" s="41" t="s">
        <v>45</v>
      </c>
      <c r="B1" s="6" t="s">
        <v>46</v>
      </c>
      <c r="C1" s="6" t="s">
        <v>47</v>
      </c>
      <c r="D1" s="6" t="s">
        <v>48</v>
      </c>
    </row>
    <row r="2" customFormat="false" ht="12.8" hidden="false" customHeight="false" outlineLevel="0" collapsed="false">
      <c r="A2" s="1" t="n">
        <v>0</v>
      </c>
      <c r="B2" s="42" t="s">
        <v>49</v>
      </c>
      <c r="C2" s="1" t="n">
        <v>0.3195</v>
      </c>
      <c r="D2" s="1" t="s">
        <v>50</v>
      </c>
      <c r="F2" s="14" t="s">
        <v>51</v>
      </c>
      <c r="G2" s="15" t="s">
        <v>48</v>
      </c>
      <c r="H2" s="16"/>
      <c r="I2" s="16"/>
      <c r="J2" s="16"/>
      <c r="K2" s="17"/>
    </row>
    <row r="3" customFormat="false" ht="12.8" hidden="false" customHeight="false" outlineLevel="0" collapsed="false">
      <c r="A3" s="1" t="n">
        <v>0</v>
      </c>
      <c r="B3" s="42" t="s">
        <v>52</v>
      </c>
      <c r="C3" s="1" t="n">
        <v>0.2925</v>
      </c>
      <c r="D3" s="1" t="s">
        <v>50</v>
      </c>
      <c r="F3" s="18" t="s">
        <v>45</v>
      </c>
      <c r="G3" s="19" t="s">
        <v>50</v>
      </c>
      <c r="H3" s="20" t="s">
        <v>53</v>
      </c>
      <c r="I3" s="20" t="s">
        <v>54</v>
      </c>
      <c r="J3" s="20" t="s">
        <v>55</v>
      </c>
      <c r="K3" s="21" t="s">
        <v>44</v>
      </c>
    </row>
    <row r="4" customFormat="false" ht="12.8" hidden="false" customHeight="false" outlineLevel="0" collapsed="false">
      <c r="A4" s="1" t="n">
        <v>0</v>
      </c>
      <c r="B4" s="42" t="s">
        <v>56</v>
      </c>
      <c r="C4" s="1" t="n">
        <v>0.288</v>
      </c>
      <c r="D4" s="1" t="s">
        <v>50</v>
      </c>
      <c r="F4" s="22" t="n">
        <v>0</v>
      </c>
      <c r="G4" s="23" t="n">
        <v>4</v>
      </c>
      <c r="H4" s="24" t="n">
        <v>4</v>
      </c>
      <c r="I4" s="24" t="n">
        <v>4</v>
      </c>
      <c r="J4" s="25" t="n">
        <v>4</v>
      </c>
      <c r="K4" s="26" t="n">
        <v>16</v>
      </c>
    </row>
    <row r="5" customFormat="false" ht="12.8" hidden="false" customHeight="false" outlineLevel="0" collapsed="false">
      <c r="A5" s="1" t="n">
        <v>0</v>
      </c>
      <c r="B5" s="42" t="s">
        <v>57</v>
      </c>
      <c r="C5" s="1" t="n">
        <v>0.1</v>
      </c>
      <c r="D5" s="1" t="s">
        <v>50</v>
      </c>
      <c r="F5" s="27" t="n">
        <v>2</v>
      </c>
      <c r="G5" s="28" t="n">
        <v>2</v>
      </c>
      <c r="H5" s="29" t="n">
        <v>2</v>
      </c>
      <c r="I5" s="29" t="n">
        <v>6</v>
      </c>
      <c r="J5" s="30" t="n">
        <v>6</v>
      </c>
      <c r="K5" s="31" t="n">
        <v>16</v>
      </c>
    </row>
    <row r="6" customFormat="false" ht="12.8" hidden="false" customHeight="false" outlineLevel="0" collapsed="false">
      <c r="A6" s="1" t="n">
        <v>2</v>
      </c>
      <c r="B6" s="42" t="s">
        <v>56</v>
      </c>
      <c r="C6" s="1" t="n">
        <v>0.9</v>
      </c>
      <c r="D6" s="1" t="s">
        <v>50</v>
      </c>
      <c r="F6" s="27" t="n">
        <v>4</v>
      </c>
      <c r="G6" s="28" t="n">
        <v>5</v>
      </c>
      <c r="H6" s="29" t="n">
        <v>4</v>
      </c>
      <c r="I6" s="29" t="n">
        <v>6</v>
      </c>
      <c r="J6" s="30" t="n">
        <v>2</v>
      </c>
      <c r="K6" s="31" t="n">
        <v>17</v>
      </c>
    </row>
    <row r="7" customFormat="false" ht="12.8" hidden="false" customHeight="false" outlineLevel="0" collapsed="false">
      <c r="A7" s="1" t="n">
        <v>2</v>
      </c>
      <c r="B7" s="42" t="s">
        <v>57</v>
      </c>
      <c r="C7" s="1" t="n">
        <v>0.1</v>
      </c>
      <c r="D7" s="1" t="s">
        <v>50</v>
      </c>
      <c r="F7" s="27" t="n">
        <v>6</v>
      </c>
      <c r="G7" s="28" t="n">
        <v>6</v>
      </c>
      <c r="H7" s="29" t="n">
        <v>6</v>
      </c>
      <c r="I7" s="29" t="n">
        <v>6</v>
      </c>
      <c r="J7" s="30" t="n">
        <v>6</v>
      </c>
      <c r="K7" s="31" t="n">
        <v>24</v>
      </c>
    </row>
    <row r="8" customFormat="false" ht="12.8" hidden="false" customHeight="false" outlineLevel="0" collapsed="false">
      <c r="A8" s="1" t="n">
        <v>4</v>
      </c>
      <c r="B8" s="42" t="s">
        <v>58</v>
      </c>
      <c r="C8" s="1" t="n">
        <v>0.241</v>
      </c>
      <c r="D8" s="1" t="s">
        <v>50</v>
      </c>
      <c r="F8" s="27" t="n">
        <v>8</v>
      </c>
      <c r="G8" s="28" t="n">
        <v>6</v>
      </c>
      <c r="H8" s="29" t="n">
        <v>6</v>
      </c>
      <c r="I8" s="29" t="n">
        <v>6</v>
      </c>
      <c r="J8" s="30" t="n">
        <v>6</v>
      </c>
      <c r="K8" s="31" t="n">
        <v>24</v>
      </c>
    </row>
    <row r="9" customFormat="false" ht="12.8" hidden="false" customHeight="false" outlineLevel="0" collapsed="false">
      <c r="A9" s="1" t="n">
        <v>4</v>
      </c>
      <c r="B9" s="42" t="s">
        <v>56</v>
      </c>
      <c r="C9" s="1" t="n">
        <v>0.2312</v>
      </c>
      <c r="D9" s="1" t="s">
        <v>50</v>
      </c>
      <c r="F9" s="27" t="n">
        <v>10</v>
      </c>
      <c r="G9" s="28" t="n">
        <v>6</v>
      </c>
      <c r="H9" s="29" t="n">
        <v>6</v>
      </c>
      <c r="I9" s="29" t="n">
        <v>6</v>
      </c>
      <c r="J9" s="30" t="n">
        <v>6</v>
      </c>
      <c r="K9" s="31" t="n">
        <v>24</v>
      </c>
    </row>
    <row r="10" customFormat="false" ht="12.8" hidden="false" customHeight="false" outlineLevel="0" collapsed="false">
      <c r="A10" s="1" t="n">
        <v>4</v>
      </c>
      <c r="B10" s="42" t="s">
        <v>59</v>
      </c>
      <c r="C10" s="1" t="n">
        <v>0.2187</v>
      </c>
      <c r="D10" s="1" t="s">
        <v>50</v>
      </c>
      <c r="F10" s="27" t="n">
        <v>12</v>
      </c>
      <c r="G10" s="28" t="n">
        <v>4</v>
      </c>
      <c r="H10" s="29" t="n">
        <v>2</v>
      </c>
      <c r="I10" s="29" t="n">
        <v>4</v>
      </c>
      <c r="J10" s="30" t="n">
        <v>3</v>
      </c>
      <c r="K10" s="31" t="n">
        <v>13</v>
      </c>
    </row>
    <row r="11" customFormat="false" ht="12.8" hidden="false" customHeight="false" outlineLevel="0" collapsed="false">
      <c r="A11" s="1" t="n">
        <v>4</v>
      </c>
      <c r="B11" s="42" t="s">
        <v>60</v>
      </c>
      <c r="C11" s="1" t="n">
        <v>0.2091</v>
      </c>
      <c r="D11" s="1" t="s">
        <v>50</v>
      </c>
      <c r="F11" s="27" t="n">
        <v>14</v>
      </c>
      <c r="G11" s="28" t="n">
        <v>3</v>
      </c>
      <c r="H11" s="29" t="n">
        <v>4</v>
      </c>
      <c r="I11" s="29" t="n">
        <v>5</v>
      </c>
      <c r="J11" s="30" t="n">
        <v>3</v>
      </c>
      <c r="K11" s="31" t="n">
        <v>15</v>
      </c>
    </row>
    <row r="12" customFormat="false" ht="12.8" hidden="false" customHeight="false" outlineLevel="0" collapsed="false">
      <c r="A12" s="1" t="n">
        <v>4</v>
      </c>
      <c r="B12" s="42" t="s">
        <v>57</v>
      </c>
      <c r="C12" s="1" t="n">
        <v>0.1</v>
      </c>
      <c r="D12" s="1" t="s">
        <v>50</v>
      </c>
      <c r="F12" s="27" t="n">
        <v>16</v>
      </c>
      <c r="G12" s="28" t="n">
        <v>2</v>
      </c>
      <c r="H12" s="29" t="n">
        <v>2</v>
      </c>
      <c r="I12" s="29" t="n">
        <v>2</v>
      </c>
      <c r="J12" s="30" t="n">
        <v>3</v>
      </c>
      <c r="K12" s="31" t="n">
        <v>9</v>
      </c>
    </row>
    <row r="13" customFormat="false" ht="12.8" hidden="false" customHeight="false" outlineLevel="0" collapsed="false">
      <c r="A13" s="1" t="n">
        <v>6</v>
      </c>
      <c r="B13" s="42" t="s">
        <v>58</v>
      </c>
      <c r="C13" s="1" t="n">
        <v>0.1788</v>
      </c>
      <c r="D13" s="1" t="s">
        <v>50</v>
      </c>
      <c r="F13" s="27" t="n">
        <v>18</v>
      </c>
      <c r="G13" s="28" t="n">
        <v>6</v>
      </c>
      <c r="H13" s="29" t="n">
        <v>6</v>
      </c>
      <c r="I13" s="29" t="n">
        <v>6</v>
      </c>
      <c r="J13" s="30" t="n">
        <v>6</v>
      </c>
      <c r="K13" s="31" t="n">
        <v>24</v>
      </c>
    </row>
    <row r="14" customFormat="false" ht="12.8" hidden="false" customHeight="false" outlineLevel="0" collapsed="false">
      <c r="A14" s="1" t="n">
        <v>6</v>
      </c>
      <c r="B14" s="42" t="s">
        <v>60</v>
      </c>
      <c r="C14" s="1" t="n">
        <v>0.1718</v>
      </c>
      <c r="D14" s="1" t="s">
        <v>50</v>
      </c>
      <c r="F14" s="27" t="n">
        <v>20</v>
      </c>
      <c r="G14" s="28" t="n">
        <v>6</v>
      </c>
      <c r="H14" s="29" t="n">
        <v>6</v>
      </c>
      <c r="I14" s="29" t="n">
        <v>6</v>
      </c>
      <c r="J14" s="30" t="n">
        <v>6</v>
      </c>
      <c r="K14" s="31" t="n">
        <v>24</v>
      </c>
    </row>
    <row r="15" customFormat="false" ht="12.8" hidden="false" customHeight="false" outlineLevel="0" collapsed="false">
      <c r="A15" s="1" t="n">
        <v>6</v>
      </c>
      <c r="B15" s="42" t="s">
        <v>61</v>
      </c>
      <c r="C15" s="1" t="n">
        <v>0.1648</v>
      </c>
      <c r="D15" s="1" t="s">
        <v>50</v>
      </c>
      <c r="F15" s="27" t="n">
        <v>22</v>
      </c>
      <c r="G15" s="28" t="n">
        <v>6</v>
      </c>
      <c r="H15" s="29" t="n">
        <v>4</v>
      </c>
      <c r="I15" s="29" t="n">
        <v>6</v>
      </c>
      <c r="J15" s="30" t="n">
        <v>6</v>
      </c>
      <c r="K15" s="31" t="n">
        <v>22</v>
      </c>
    </row>
    <row r="16" customFormat="false" ht="12.8" hidden="false" customHeight="false" outlineLevel="0" collapsed="false">
      <c r="A16" s="1" t="n">
        <v>6</v>
      </c>
      <c r="B16" s="42" t="s">
        <v>56</v>
      </c>
      <c r="C16" s="1" t="n">
        <v>0.1644</v>
      </c>
      <c r="D16" s="1" t="s">
        <v>50</v>
      </c>
      <c r="F16" s="27" t="n">
        <v>24</v>
      </c>
      <c r="G16" s="28" t="n">
        <v>6</v>
      </c>
      <c r="H16" s="29" t="n">
        <v>6</v>
      </c>
      <c r="I16" s="29" t="n">
        <v>6</v>
      </c>
      <c r="J16" s="30" t="n">
        <v>6</v>
      </c>
      <c r="K16" s="31" t="n">
        <v>24</v>
      </c>
    </row>
    <row r="17" customFormat="false" ht="12.8" hidden="false" customHeight="false" outlineLevel="0" collapsed="false">
      <c r="A17" s="1" t="n">
        <v>6</v>
      </c>
      <c r="B17" s="42" t="s">
        <v>52</v>
      </c>
      <c r="C17" s="1" t="n">
        <v>0.1617</v>
      </c>
      <c r="D17" s="1" t="s">
        <v>50</v>
      </c>
      <c r="F17" s="27" t="n">
        <v>26</v>
      </c>
      <c r="G17" s="28" t="n">
        <v>6</v>
      </c>
      <c r="H17" s="29" t="n">
        <v>6</v>
      </c>
      <c r="I17" s="29" t="n">
        <v>6</v>
      </c>
      <c r="J17" s="30" t="n">
        <v>6</v>
      </c>
      <c r="K17" s="31" t="n">
        <v>24</v>
      </c>
    </row>
    <row r="18" customFormat="false" ht="12.8" hidden="false" customHeight="false" outlineLevel="0" collapsed="false">
      <c r="A18" s="1" t="n">
        <v>6</v>
      </c>
      <c r="B18" s="42" t="s">
        <v>57</v>
      </c>
      <c r="C18" s="1" t="n">
        <v>0.1585</v>
      </c>
      <c r="D18" s="1" t="s">
        <v>50</v>
      </c>
      <c r="F18" s="27" t="n">
        <v>28</v>
      </c>
      <c r="G18" s="28" t="n">
        <v>6</v>
      </c>
      <c r="H18" s="29" t="n">
        <v>6</v>
      </c>
      <c r="I18" s="29" t="n">
        <v>6</v>
      </c>
      <c r="J18" s="30" t="n">
        <v>6</v>
      </c>
      <c r="K18" s="31" t="n">
        <v>24</v>
      </c>
    </row>
    <row r="19" customFormat="false" ht="12.8" hidden="false" customHeight="false" outlineLevel="0" collapsed="false">
      <c r="A19" s="1" t="n">
        <v>8</v>
      </c>
      <c r="B19" s="42" t="s">
        <v>52</v>
      </c>
      <c r="C19" s="1" t="n">
        <v>0.1781</v>
      </c>
      <c r="D19" s="1" t="s">
        <v>50</v>
      </c>
      <c r="F19" s="27" t="n">
        <v>30</v>
      </c>
      <c r="G19" s="28" t="n">
        <v>5</v>
      </c>
      <c r="H19" s="29" t="n">
        <v>6</v>
      </c>
      <c r="I19" s="29" t="n">
        <v>6</v>
      </c>
      <c r="J19" s="30" t="n">
        <v>6</v>
      </c>
      <c r="K19" s="31" t="n">
        <v>23</v>
      </c>
    </row>
    <row r="20" customFormat="false" ht="12.8" hidden="false" customHeight="false" outlineLevel="0" collapsed="false">
      <c r="A20" s="1" t="n">
        <v>8</v>
      </c>
      <c r="B20" s="42" t="s">
        <v>58</v>
      </c>
      <c r="C20" s="1" t="n">
        <v>0.1687</v>
      </c>
      <c r="D20" s="1" t="s">
        <v>50</v>
      </c>
      <c r="F20" s="27" t="n">
        <v>32</v>
      </c>
      <c r="G20" s="28" t="n">
        <v>6</v>
      </c>
      <c r="H20" s="29" t="n">
        <v>6</v>
      </c>
      <c r="I20" s="29" t="n">
        <v>6</v>
      </c>
      <c r="J20" s="30" t="n">
        <v>6</v>
      </c>
      <c r="K20" s="31" t="n">
        <v>24</v>
      </c>
    </row>
    <row r="21" customFormat="false" ht="12.8" hidden="false" customHeight="false" outlineLevel="0" collapsed="false">
      <c r="A21" s="1" t="n">
        <v>8</v>
      </c>
      <c r="B21" s="42" t="s">
        <v>49</v>
      </c>
      <c r="C21" s="1" t="n">
        <v>0.1679</v>
      </c>
      <c r="D21" s="1" t="s">
        <v>50</v>
      </c>
      <c r="F21" s="27" t="n">
        <v>34</v>
      </c>
      <c r="G21" s="28" t="n">
        <v>6</v>
      </c>
      <c r="H21" s="29" t="n">
        <v>3</v>
      </c>
      <c r="I21" s="29" t="n">
        <v>6</v>
      </c>
      <c r="J21" s="30" t="n">
        <v>6</v>
      </c>
      <c r="K21" s="31" t="n">
        <v>21</v>
      </c>
    </row>
    <row r="22" customFormat="false" ht="12.8" hidden="false" customHeight="false" outlineLevel="0" collapsed="false">
      <c r="A22" s="1" t="n">
        <v>8</v>
      </c>
      <c r="B22" s="42" t="s">
        <v>56</v>
      </c>
      <c r="C22" s="1" t="n">
        <v>0.1677</v>
      </c>
      <c r="D22" s="1" t="s">
        <v>50</v>
      </c>
      <c r="F22" s="27" t="n">
        <v>36</v>
      </c>
      <c r="G22" s="28" t="n">
        <v>6</v>
      </c>
      <c r="H22" s="29" t="n">
        <v>6</v>
      </c>
      <c r="I22" s="29" t="n">
        <v>6</v>
      </c>
      <c r="J22" s="30" t="n">
        <v>6</v>
      </c>
      <c r="K22" s="31" t="n">
        <v>24</v>
      </c>
    </row>
    <row r="23" customFormat="false" ht="12.8" hidden="false" customHeight="false" outlineLevel="0" collapsed="false">
      <c r="A23" s="1" t="n">
        <v>8</v>
      </c>
      <c r="B23" s="42" t="s">
        <v>57</v>
      </c>
      <c r="C23" s="1" t="n">
        <v>0.1615</v>
      </c>
      <c r="D23" s="1" t="s">
        <v>50</v>
      </c>
      <c r="F23" s="27" t="n">
        <v>38</v>
      </c>
      <c r="G23" s="28" t="n">
        <v>6</v>
      </c>
      <c r="H23" s="29" t="n">
        <v>6</v>
      </c>
      <c r="I23" s="29" t="n">
        <v>6</v>
      </c>
      <c r="J23" s="30" t="n">
        <v>6</v>
      </c>
      <c r="K23" s="31" t="n">
        <v>24</v>
      </c>
    </row>
    <row r="24" customFormat="false" ht="12.8" hidden="false" customHeight="false" outlineLevel="0" collapsed="false">
      <c r="A24" s="1" t="n">
        <v>8</v>
      </c>
      <c r="B24" s="42" t="s">
        <v>62</v>
      </c>
      <c r="C24" s="1" t="n">
        <v>0.1563</v>
      </c>
      <c r="D24" s="1" t="s">
        <v>50</v>
      </c>
      <c r="F24" s="27" t="n">
        <v>40</v>
      </c>
      <c r="G24" s="28" t="n">
        <v>6</v>
      </c>
      <c r="H24" s="29" t="n">
        <v>6</v>
      </c>
      <c r="I24" s="29" t="n">
        <v>6</v>
      </c>
      <c r="J24" s="30" t="n">
        <v>6</v>
      </c>
      <c r="K24" s="31" t="n">
        <v>24</v>
      </c>
    </row>
    <row r="25" customFormat="false" ht="12.8" hidden="false" customHeight="false" outlineLevel="0" collapsed="false">
      <c r="A25" s="1" t="n">
        <v>10</v>
      </c>
      <c r="B25" s="42" t="s">
        <v>49</v>
      </c>
      <c r="C25" s="1" t="n">
        <v>0.2228</v>
      </c>
      <c r="D25" s="1" t="s">
        <v>50</v>
      </c>
      <c r="F25" s="27" t="n">
        <v>42</v>
      </c>
      <c r="G25" s="28" t="n">
        <v>6</v>
      </c>
      <c r="H25" s="29" t="n">
        <v>6</v>
      </c>
      <c r="I25" s="29" t="n">
        <v>6</v>
      </c>
      <c r="J25" s="30" t="n">
        <v>6</v>
      </c>
      <c r="K25" s="31" t="n">
        <v>24</v>
      </c>
    </row>
    <row r="26" customFormat="false" ht="12.8" hidden="false" customHeight="false" outlineLevel="0" collapsed="false">
      <c r="A26" s="1" t="n">
        <v>10</v>
      </c>
      <c r="B26" s="42" t="s">
        <v>56</v>
      </c>
      <c r="C26" s="1" t="n">
        <v>0.1778</v>
      </c>
      <c r="D26" s="1" t="s">
        <v>50</v>
      </c>
      <c r="F26" s="27" t="n">
        <v>44</v>
      </c>
      <c r="G26" s="28" t="n">
        <v>6</v>
      </c>
      <c r="H26" s="29" t="n">
        <v>6</v>
      </c>
      <c r="I26" s="29" t="n">
        <v>6</v>
      </c>
      <c r="J26" s="30" t="n">
        <v>6</v>
      </c>
      <c r="K26" s="31" t="n">
        <v>24</v>
      </c>
    </row>
    <row r="27" customFormat="false" ht="12.8" hidden="false" customHeight="false" outlineLevel="0" collapsed="false">
      <c r="A27" s="1" t="n">
        <v>10</v>
      </c>
      <c r="B27" s="42" t="s">
        <v>52</v>
      </c>
      <c r="C27" s="1" t="n">
        <v>0.1732</v>
      </c>
      <c r="D27" s="1" t="s">
        <v>50</v>
      </c>
      <c r="F27" s="27" t="n">
        <v>46</v>
      </c>
      <c r="G27" s="28" t="n">
        <v>6</v>
      </c>
      <c r="H27" s="29" t="n">
        <v>6</v>
      </c>
      <c r="I27" s="29" t="n">
        <v>6</v>
      </c>
      <c r="J27" s="30" t="n">
        <v>6</v>
      </c>
      <c r="K27" s="31" t="n">
        <v>24</v>
      </c>
    </row>
    <row r="28" customFormat="false" ht="12.8" hidden="false" customHeight="false" outlineLevel="0" collapsed="false">
      <c r="A28" s="1" t="n">
        <v>10</v>
      </c>
      <c r="B28" s="42" t="s">
        <v>58</v>
      </c>
      <c r="C28" s="1" t="n">
        <v>0.1641</v>
      </c>
      <c r="D28" s="1" t="s">
        <v>50</v>
      </c>
      <c r="F28" s="27" t="n">
        <v>48</v>
      </c>
      <c r="G28" s="32" t="n">
        <v>6</v>
      </c>
      <c r="H28" s="33" t="n">
        <v>6</v>
      </c>
      <c r="I28" s="33" t="n">
        <v>6</v>
      </c>
      <c r="J28" s="34" t="n">
        <v>6</v>
      </c>
      <c r="K28" s="35" t="n">
        <v>24</v>
      </c>
    </row>
    <row r="29" customFormat="false" ht="12.8" hidden="false" customHeight="false" outlineLevel="0" collapsed="false">
      <c r="A29" s="1" t="n">
        <v>10</v>
      </c>
      <c r="B29" s="42" t="s">
        <v>62</v>
      </c>
      <c r="C29" s="1" t="n">
        <v>0.1622</v>
      </c>
      <c r="D29" s="1" t="s">
        <v>50</v>
      </c>
      <c r="F29" s="36" t="s">
        <v>44</v>
      </c>
      <c r="G29" s="37" t="n">
        <v>133</v>
      </c>
      <c r="H29" s="38" t="n">
        <v>127</v>
      </c>
      <c r="I29" s="38" t="n">
        <v>141</v>
      </c>
      <c r="J29" s="39" t="n">
        <v>135</v>
      </c>
      <c r="K29" s="40" t="n">
        <v>536</v>
      </c>
    </row>
    <row r="30" customFormat="false" ht="12.8" hidden="false" customHeight="false" outlineLevel="0" collapsed="false">
      <c r="A30" s="1" t="n">
        <v>10</v>
      </c>
      <c r="B30" s="42" t="s">
        <v>57</v>
      </c>
      <c r="C30" s="1" t="n">
        <v>0.1</v>
      </c>
      <c r="D30" s="1" t="s">
        <v>50</v>
      </c>
    </row>
    <row r="31" customFormat="false" ht="12.8" hidden="false" customHeight="false" outlineLevel="0" collapsed="false">
      <c r="A31" s="1" t="n">
        <v>12</v>
      </c>
      <c r="B31" s="42" t="s">
        <v>49</v>
      </c>
      <c r="C31" s="1" t="n">
        <v>0.3348</v>
      </c>
      <c r="D31" s="1" t="s">
        <v>50</v>
      </c>
    </row>
    <row r="32" customFormat="false" ht="12.8" hidden="false" customHeight="false" outlineLevel="0" collapsed="false">
      <c r="A32" s="1" t="n">
        <v>12</v>
      </c>
      <c r="B32" s="42" t="s">
        <v>56</v>
      </c>
      <c r="C32" s="1" t="n">
        <v>0.3045</v>
      </c>
      <c r="D32" s="1" t="s">
        <v>50</v>
      </c>
      <c r="F32" s="43" t="s">
        <v>63</v>
      </c>
      <c r="G32" s="44"/>
      <c r="H32" s="15" t="s">
        <v>48</v>
      </c>
      <c r="I32" s="16"/>
      <c r="J32" s="16"/>
      <c r="K32" s="16"/>
      <c r="L32" s="17"/>
    </row>
    <row r="33" customFormat="false" ht="12.8" hidden="false" customHeight="false" outlineLevel="0" collapsed="false">
      <c r="A33" s="1" t="n">
        <v>12</v>
      </c>
      <c r="B33" s="42" t="s">
        <v>52</v>
      </c>
      <c r="C33" s="1" t="n">
        <v>0.2607</v>
      </c>
      <c r="D33" s="1" t="s">
        <v>50</v>
      </c>
      <c r="F33" s="18" t="s">
        <v>45</v>
      </c>
      <c r="G33" s="45" t="s">
        <v>46</v>
      </c>
      <c r="H33" s="19" t="s">
        <v>50</v>
      </c>
      <c r="I33" s="20" t="s">
        <v>53</v>
      </c>
      <c r="J33" s="20" t="s">
        <v>54</v>
      </c>
      <c r="K33" s="20" t="s">
        <v>55</v>
      </c>
      <c r="L33" s="21" t="s">
        <v>44</v>
      </c>
    </row>
    <row r="34" customFormat="false" ht="12.8" hidden="false" customHeight="false" outlineLevel="0" collapsed="false">
      <c r="A34" s="1" t="n">
        <v>12</v>
      </c>
      <c r="B34" s="42" t="s">
        <v>57</v>
      </c>
      <c r="C34" s="1" t="n">
        <v>0.1</v>
      </c>
      <c r="D34" s="1" t="s">
        <v>50</v>
      </c>
      <c r="F34" s="22" t="n">
        <v>0</v>
      </c>
      <c r="G34" s="46" t="s">
        <v>58</v>
      </c>
      <c r="H34" s="23"/>
      <c r="I34" s="24" t="n">
        <v>0.2828</v>
      </c>
      <c r="J34" s="24" t="n">
        <v>0.2876</v>
      </c>
      <c r="K34" s="25"/>
      <c r="L34" s="26" t="n">
        <v>0.5704</v>
      </c>
    </row>
    <row r="35" customFormat="false" ht="12.8" hidden="false" customHeight="false" outlineLevel="0" collapsed="false">
      <c r="A35" s="1" t="n">
        <v>14</v>
      </c>
      <c r="B35" s="42" t="s">
        <v>61</v>
      </c>
      <c r="C35" s="1" t="n">
        <v>0.4851</v>
      </c>
      <c r="D35" s="1" t="s">
        <v>50</v>
      </c>
      <c r="F35" s="27"/>
      <c r="G35" s="47" t="s">
        <v>52</v>
      </c>
      <c r="H35" s="28" t="n">
        <v>0.2925</v>
      </c>
      <c r="I35" s="29" t="n">
        <v>0.2954</v>
      </c>
      <c r="J35" s="29" t="n">
        <v>0.3145</v>
      </c>
      <c r="K35" s="30" t="n">
        <v>0.2993</v>
      </c>
      <c r="L35" s="31" t="n">
        <v>1.2017</v>
      </c>
    </row>
    <row r="36" customFormat="false" ht="12.8" hidden="false" customHeight="false" outlineLevel="0" collapsed="false">
      <c r="A36" s="1" t="n">
        <v>14</v>
      </c>
      <c r="B36" s="42" t="s">
        <v>56</v>
      </c>
      <c r="C36" s="1" t="n">
        <v>0.4149</v>
      </c>
      <c r="D36" s="1" t="s">
        <v>50</v>
      </c>
      <c r="F36" s="27"/>
      <c r="G36" s="47" t="s">
        <v>56</v>
      </c>
      <c r="H36" s="28" t="n">
        <v>0.288</v>
      </c>
      <c r="I36" s="29"/>
      <c r="J36" s="29"/>
      <c r="K36" s="30" t="n">
        <v>0.2763</v>
      </c>
      <c r="L36" s="31" t="n">
        <v>0.5643</v>
      </c>
    </row>
    <row r="37" customFormat="false" ht="12.8" hidden="false" customHeight="false" outlineLevel="0" collapsed="false">
      <c r="A37" s="1" t="n">
        <v>14</v>
      </c>
      <c r="B37" s="42" t="s">
        <v>57</v>
      </c>
      <c r="C37" s="1" t="n">
        <v>0.1</v>
      </c>
      <c r="D37" s="1" t="s">
        <v>50</v>
      </c>
      <c r="F37" s="27"/>
      <c r="G37" s="47" t="s">
        <v>49</v>
      </c>
      <c r="H37" s="28" t="n">
        <v>0.3195</v>
      </c>
      <c r="I37" s="29" t="n">
        <v>0.3218</v>
      </c>
      <c r="J37" s="29" t="n">
        <v>0.298</v>
      </c>
      <c r="K37" s="30" t="n">
        <v>0.3244</v>
      </c>
      <c r="L37" s="31" t="n">
        <v>1.2637</v>
      </c>
    </row>
    <row r="38" customFormat="false" ht="12.8" hidden="false" customHeight="false" outlineLevel="0" collapsed="false">
      <c r="A38" s="1" t="n">
        <v>16</v>
      </c>
      <c r="B38" s="42" t="s">
        <v>56</v>
      </c>
      <c r="C38" s="1" t="n">
        <v>0.9</v>
      </c>
      <c r="D38" s="1" t="s">
        <v>50</v>
      </c>
      <c r="F38" s="48"/>
      <c r="G38" s="49" t="s">
        <v>57</v>
      </c>
      <c r="H38" s="32" t="n">
        <v>0.1</v>
      </c>
      <c r="I38" s="33" t="n">
        <v>0.1</v>
      </c>
      <c r="J38" s="33" t="n">
        <v>0.1</v>
      </c>
      <c r="K38" s="34" t="n">
        <v>0.1</v>
      </c>
      <c r="L38" s="35" t="n">
        <v>0.4</v>
      </c>
    </row>
    <row r="39" customFormat="false" ht="12.8" hidden="false" customHeight="false" outlineLevel="0" collapsed="false">
      <c r="A39" s="1" t="n">
        <v>16</v>
      </c>
      <c r="B39" s="42" t="s">
        <v>57</v>
      </c>
      <c r="C39" s="1" t="n">
        <v>0.1</v>
      </c>
      <c r="D39" s="1" t="s">
        <v>50</v>
      </c>
      <c r="F39" s="22" t="n">
        <v>2</v>
      </c>
      <c r="G39" s="46" t="s">
        <v>58</v>
      </c>
      <c r="H39" s="24"/>
      <c r="I39" s="24"/>
      <c r="J39" s="24" t="n">
        <v>0.1796</v>
      </c>
      <c r="K39" s="24"/>
      <c r="L39" s="26" t="n">
        <v>0.1796</v>
      </c>
    </row>
    <row r="40" customFormat="false" ht="12.8" hidden="false" customHeight="false" outlineLevel="0" collapsed="false">
      <c r="A40" s="1" t="n">
        <v>18</v>
      </c>
      <c r="B40" s="42" t="s">
        <v>56</v>
      </c>
      <c r="C40" s="1" t="n">
        <v>0.2268</v>
      </c>
      <c r="D40" s="1" t="s">
        <v>50</v>
      </c>
      <c r="F40" s="27"/>
      <c r="G40" s="47" t="s">
        <v>60</v>
      </c>
      <c r="H40" s="29"/>
      <c r="I40" s="29"/>
      <c r="J40" s="29" t="n">
        <v>0.1712</v>
      </c>
      <c r="K40" s="29"/>
      <c r="L40" s="31" t="n">
        <v>0.1712</v>
      </c>
    </row>
    <row r="41" customFormat="false" ht="12.8" hidden="false" customHeight="false" outlineLevel="0" collapsed="false">
      <c r="A41" s="1" t="n">
        <v>18</v>
      </c>
      <c r="B41" s="42" t="s">
        <v>52</v>
      </c>
      <c r="C41" s="1" t="n">
        <v>0.1921</v>
      </c>
      <c r="D41" s="1" t="s">
        <v>50</v>
      </c>
      <c r="F41" s="27"/>
      <c r="G41" s="47" t="s">
        <v>59</v>
      </c>
      <c r="H41" s="29"/>
      <c r="I41" s="29"/>
      <c r="J41" s="29"/>
      <c r="K41" s="29" t="n">
        <v>0.1699</v>
      </c>
      <c r="L41" s="31" t="n">
        <v>0.1699</v>
      </c>
    </row>
    <row r="42" customFormat="false" ht="12.8" hidden="false" customHeight="false" outlineLevel="0" collapsed="false">
      <c r="A42" s="1" t="n">
        <v>18</v>
      </c>
      <c r="B42" s="42" t="s">
        <v>49</v>
      </c>
      <c r="C42" s="1" t="n">
        <v>0.1712</v>
      </c>
      <c r="D42" s="1" t="s">
        <v>50</v>
      </c>
      <c r="F42" s="27"/>
      <c r="G42" s="47" t="s">
        <v>64</v>
      </c>
      <c r="H42" s="29"/>
      <c r="I42" s="29"/>
      <c r="J42" s="29"/>
      <c r="K42" s="29" t="n">
        <v>0.163</v>
      </c>
      <c r="L42" s="31" t="n">
        <v>0.163</v>
      </c>
    </row>
    <row r="43" customFormat="false" ht="12.8" hidden="false" customHeight="false" outlineLevel="0" collapsed="false">
      <c r="A43" s="1" t="n">
        <v>18</v>
      </c>
      <c r="B43" s="42" t="s">
        <v>64</v>
      </c>
      <c r="C43" s="1" t="n">
        <v>0.1666</v>
      </c>
      <c r="D43" s="1" t="s">
        <v>50</v>
      </c>
      <c r="F43" s="27"/>
      <c r="G43" s="47" t="s">
        <v>52</v>
      </c>
      <c r="H43" s="29"/>
      <c r="I43" s="29" t="n">
        <v>0.9</v>
      </c>
      <c r="J43" s="29" t="n">
        <v>0.1879</v>
      </c>
      <c r="K43" s="29" t="n">
        <v>0.2074</v>
      </c>
      <c r="L43" s="31" t="n">
        <v>1.2953</v>
      </c>
    </row>
    <row r="44" customFormat="false" ht="12.8" hidden="false" customHeight="false" outlineLevel="0" collapsed="false">
      <c r="A44" s="1" t="n">
        <v>18</v>
      </c>
      <c r="B44" s="42" t="s">
        <v>60</v>
      </c>
      <c r="C44" s="1" t="n">
        <v>0.1433</v>
      </c>
      <c r="D44" s="1" t="s">
        <v>50</v>
      </c>
      <c r="F44" s="27"/>
      <c r="G44" s="47" t="s">
        <v>56</v>
      </c>
      <c r="H44" s="29" t="n">
        <v>0.9</v>
      </c>
      <c r="I44" s="29"/>
      <c r="J44" s="29" t="n">
        <v>0.1866</v>
      </c>
      <c r="K44" s="29" t="n">
        <v>0.1653</v>
      </c>
      <c r="L44" s="31" t="n">
        <v>1.2519</v>
      </c>
    </row>
    <row r="45" customFormat="false" ht="12.8" hidden="false" customHeight="false" outlineLevel="0" collapsed="false">
      <c r="A45" s="1" t="n">
        <v>18</v>
      </c>
      <c r="B45" s="42" t="s">
        <v>57</v>
      </c>
      <c r="C45" s="1" t="n">
        <v>0.1</v>
      </c>
      <c r="D45" s="1" t="s">
        <v>50</v>
      </c>
      <c r="F45" s="27"/>
      <c r="G45" s="47" t="s">
        <v>49</v>
      </c>
      <c r="H45" s="29"/>
      <c r="I45" s="29"/>
      <c r="J45" s="29" t="n">
        <v>0.1746</v>
      </c>
      <c r="K45" s="29" t="n">
        <v>0.1944</v>
      </c>
      <c r="L45" s="31" t="n">
        <v>0.369</v>
      </c>
    </row>
    <row r="46" customFormat="false" ht="12.8" hidden="false" customHeight="false" outlineLevel="0" collapsed="false">
      <c r="A46" s="1" t="n">
        <v>20</v>
      </c>
      <c r="B46" s="42" t="s">
        <v>56</v>
      </c>
      <c r="C46" s="1" t="n">
        <v>0.1765</v>
      </c>
      <c r="D46" s="1" t="s">
        <v>50</v>
      </c>
      <c r="F46" s="48"/>
      <c r="G46" s="49" t="s">
        <v>57</v>
      </c>
      <c r="H46" s="33" t="n">
        <v>0.1</v>
      </c>
      <c r="I46" s="33" t="n">
        <v>0.1</v>
      </c>
      <c r="J46" s="33" t="n">
        <v>0.1</v>
      </c>
      <c r="K46" s="33" t="n">
        <v>0.1</v>
      </c>
      <c r="L46" s="35" t="n">
        <v>0.4</v>
      </c>
    </row>
    <row r="47" customFormat="false" ht="12.8" hidden="false" customHeight="false" outlineLevel="0" collapsed="false">
      <c r="A47" s="1" t="n">
        <v>20</v>
      </c>
      <c r="B47" s="42" t="s">
        <v>52</v>
      </c>
      <c r="C47" s="1" t="n">
        <v>0.1737</v>
      </c>
      <c r="D47" s="1" t="s">
        <v>50</v>
      </c>
      <c r="F47" s="22" t="n">
        <v>4</v>
      </c>
      <c r="G47" s="46" t="s">
        <v>58</v>
      </c>
      <c r="H47" s="23" t="n">
        <v>0.241</v>
      </c>
      <c r="I47" s="24" t="n">
        <v>0.303</v>
      </c>
      <c r="J47" s="24" t="n">
        <v>0.1933</v>
      </c>
      <c r="K47" s="25"/>
      <c r="L47" s="26" t="n">
        <v>0.7373</v>
      </c>
    </row>
    <row r="48" customFormat="false" ht="12.8" hidden="false" customHeight="false" outlineLevel="0" collapsed="false">
      <c r="A48" s="1" t="n">
        <v>20</v>
      </c>
      <c r="B48" s="42" t="s">
        <v>61</v>
      </c>
      <c r="C48" s="1" t="n">
        <v>0.166</v>
      </c>
      <c r="D48" s="1" t="s">
        <v>50</v>
      </c>
      <c r="F48" s="27"/>
      <c r="G48" s="47" t="s">
        <v>60</v>
      </c>
      <c r="H48" s="28" t="n">
        <v>0.2091</v>
      </c>
      <c r="I48" s="29"/>
      <c r="J48" s="29" t="n">
        <v>0.1674</v>
      </c>
      <c r="K48" s="30"/>
      <c r="L48" s="31" t="n">
        <v>0.3765</v>
      </c>
    </row>
    <row r="49" customFormat="false" ht="12.8" hidden="false" customHeight="false" outlineLevel="0" collapsed="false">
      <c r="A49" s="1" t="n">
        <v>20</v>
      </c>
      <c r="B49" s="42" t="s">
        <v>57</v>
      </c>
      <c r="C49" s="1" t="n">
        <v>0.1652</v>
      </c>
      <c r="D49" s="1" t="s">
        <v>50</v>
      </c>
      <c r="F49" s="27"/>
      <c r="G49" s="47" t="s">
        <v>59</v>
      </c>
      <c r="H49" s="28" t="n">
        <v>0.2187</v>
      </c>
      <c r="I49" s="29" t="n">
        <v>0.2967</v>
      </c>
      <c r="J49" s="29" t="n">
        <v>0.1809</v>
      </c>
      <c r="K49" s="30"/>
      <c r="L49" s="31" t="n">
        <v>0.6963</v>
      </c>
    </row>
    <row r="50" customFormat="false" ht="12.8" hidden="false" customHeight="false" outlineLevel="0" collapsed="false">
      <c r="A50" s="1" t="n">
        <v>20</v>
      </c>
      <c r="B50" s="42" t="s">
        <v>62</v>
      </c>
      <c r="C50" s="1" t="n">
        <v>0.1647</v>
      </c>
      <c r="D50" s="1" t="s">
        <v>50</v>
      </c>
      <c r="F50" s="27"/>
      <c r="G50" s="47" t="s">
        <v>65</v>
      </c>
      <c r="H50" s="28"/>
      <c r="I50" s="29" t="n">
        <v>0.3003</v>
      </c>
      <c r="J50" s="29" t="n">
        <v>0.1957</v>
      </c>
      <c r="K50" s="30"/>
      <c r="L50" s="31" t="n">
        <v>0.496</v>
      </c>
    </row>
    <row r="51" customFormat="false" ht="12.8" hidden="false" customHeight="false" outlineLevel="0" collapsed="false">
      <c r="A51" s="1" t="n">
        <v>20</v>
      </c>
      <c r="B51" s="42" t="s">
        <v>49</v>
      </c>
      <c r="C51" s="1" t="n">
        <v>0.154</v>
      </c>
      <c r="D51" s="1" t="s">
        <v>50</v>
      </c>
      <c r="F51" s="27"/>
      <c r="G51" s="47" t="s">
        <v>52</v>
      </c>
      <c r="H51" s="28"/>
      <c r="I51" s="29"/>
      <c r="J51" s="29" t="n">
        <v>0.1626</v>
      </c>
      <c r="K51" s="30" t="n">
        <v>0.9</v>
      </c>
      <c r="L51" s="31" t="n">
        <v>1.0626</v>
      </c>
    </row>
    <row r="52" customFormat="false" ht="12.8" hidden="false" customHeight="false" outlineLevel="0" collapsed="false">
      <c r="A52" s="1" t="n">
        <v>22</v>
      </c>
      <c r="B52" s="42" t="s">
        <v>58</v>
      </c>
      <c r="C52" s="1" t="n">
        <v>0.1804</v>
      </c>
      <c r="D52" s="1" t="s">
        <v>50</v>
      </c>
      <c r="F52" s="27"/>
      <c r="G52" s="47" t="s">
        <v>56</v>
      </c>
      <c r="H52" s="28" t="n">
        <v>0.2312</v>
      </c>
      <c r="I52" s="29"/>
      <c r="J52" s="29"/>
      <c r="K52" s="30"/>
      <c r="L52" s="31" t="n">
        <v>0.2312</v>
      </c>
    </row>
    <row r="53" customFormat="false" ht="12.8" hidden="false" customHeight="false" outlineLevel="0" collapsed="false">
      <c r="A53" s="1" t="n">
        <v>22</v>
      </c>
      <c r="B53" s="42" t="s">
        <v>61</v>
      </c>
      <c r="C53" s="1" t="n">
        <v>0.1765</v>
      </c>
      <c r="D53" s="1" t="s">
        <v>50</v>
      </c>
      <c r="F53" s="48"/>
      <c r="G53" s="49" t="s">
        <v>57</v>
      </c>
      <c r="H53" s="32" t="n">
        <v>0.1</v>
      </c>
      <c r="I53" s="33" t="n">
        <v>0.1</v>
      </c>
      <c r="J53" s="33" t="n">
        <v>0.1</v>
      </c>
      <c r="K53" s="34" t="n">
        <v>0.1</v>
      </c>
      <c r="L53" s="35" t="n">
        <v>0.4</v>
      </c>
    </row>
    <row r="54" customFormat="false" ht="12.8" hidden="false" customHeight="false" outlineLevel="0" collapsed="false">
      <c r="A54" s="1" t="n">
        <v>22</v>
      </c>
      <c r="B54" s="42" t="s">
        <v>49</v>
      </c>
      <c r="C54" s="1" t="n">
        <v>0.1654</v>
      </c>
      <c r="D54" s="1" t="s">
        <v>50</v>
      </c>
      <c r="F54" s="22" t="n">
        <v>6</v>
      </c>
      <c r="G54" s="46" t="s">
        <v>58</v>
      </c>
      <c r="H54" s="24" t="n">
        <v>0.1788</v>
      </c>
      <c r="I54" s="24" t="n">
        <v>0.1881</v>
      </c>
      <c r="J54" s="24" t="n">
        <v>0.1998</v>
      </c>
      <c r="K54" s="24" t="n">
        <v>0.1683</v>
      </c>
      <c r="L54" s="26" t="n">
        <v>0.735</v>
      </c>
    </row>
    <row r="55" customFormat="false" ht="12.8" hidden="false" customHeight="false" outlineLevel="0" collapsed="false">
      <c r="A55" s="1" t="n">
        <v>22</v>
      </c>
      <c r="B55" s="42" t="s">
        <v>57</v>
      </c>
      <c r="C55" s="1" t="n">
        <v>0.1654</v>
      </c>
      <c r="D55" s="1" t="s">
        <v>50</v>
      </c>
      <c r="F55" s="27"/>
      <c r="G55" s="47" t="s">
        <v>60</v>
      </c>
      <c r="H55" s="29" t="n">
        <v>0.1718</v>
      </c>
      <c r="I55" s="29" t="n">
        <v>0.1602</v>
      </c>
      <c r="J55" s="29" t="n">
        <v>0.1763</v>
      </c>
      <c r="K55" s="29"/>
      <c r="L55" s="31" t="n">
        <v>0.5083</v>
      </c>
    </row>
    <row r="56" customFormat="false" ht="12.8" hidden="false" customHeight="false" outlineLevel="0" collapsed="false">
      <c r="A56" s="1" t="n">
        <v>22</v>
      </c>
      <c r="B56" s="42" t="s">
        <v>65</v>
      </c>
      <c r="C56" s="1" t="n">
        <v>0.1574</v>
      </c>
      <c r="D56" s="1" t="s">
        <v>50</v>
      </c>
      <c r="F56" s="27"/>
      <c r="G56" s="47" t="s">
        <v>64</v>
      </c>
      <c r="H56" s="29"/>
      <c r="I56" s="29"/>
      <c r="J56" s="29"/>
      <c r="K56" s="29" t="n">
        <v>0.1521</v>
      </c>
      <c r="L56" s="31" t="n">
        <v>0.1521</v>
      </c>
    </row>
    <row r="57" customFormat="false" ht="12.8" hidden="false" customHeight="false" outlineLevel="0" collapsed="false">
      <c r="A57" s="1" t="n">
        <v>22</v>
      </c>
      <c r="B57" s="42" t="s">
        <v>60</v>
      </c>
      <c r="C57" s="1" t="n">
        <v>0.1549</v>
      </c>
      <c r="D57" s="1" t="s">
        <v>50</v>
      </c>
      <c r="F57" s="27"/>
      <c r="G57" s="47" t="s">
        <v>52</v>
      </c>
      <c r="H57" s="29" t="n">
        <v>0.1617</v>
      </c>
      <c r="I57" s="29" t="n">
        <v>0.1665</v>
      </c>
      <c r="J57" s="29" t="n">
        <v>0.1635</v>
      </c>
      <c r="K57" s="29" t="n">
        <v>0.1918</v>
      </c>
      <c r="L57" s="31" t="n">
        <v>0.6835</v>
      </c>
    </row>
    <row r="58" customFormat="false" ht="12.8" hidden="false" customHeight="false" outlineLevel="0" collapsed="false">
      <c r="A58" s="1" t="n">
        <v>24</v>
      </c>
      <c r="B58" s="42" t="s">
        <v>52</v>
      </c>
      <c r="C58" s="1" t="n">
        <v>0.194</v>
      </c>
      <c r="D58" s="1" t="s">
        <v>50</v>
      </c>
      <c r="F58" s="27"/>
      <c r="G58" s="47" t="s">
        <v>56</v>
      </c>
      <c r="H58" s="29" t="n">
        <v>0.1644</v>
      </c>
      <c r="I58" s="29" t="n">
        <v>0.1568</v>
      </c>
      <c r="J58" s="29" t="n">
        <v>0.152</v>
      </c>
      <c r="K58" s="29" t="n">
        <v>0.1702</v>
      </c>
      <c r="L58" s="31" t="n">
        <v>0.6434</v>
      </c>
    </row>
    <row r="59" customFormat="false" ht="12.8" hidden="false" customHeight="false" outlineLevel="0" collapsed="false">
      <c r="A59" s="1" t="n">
        <v>24</v>
      </c>
      <c r="B59" s="42" t="s">
        <v>49</v>
      </c>
      <c r="C59" s="1" t="n">
        <v>0.1845</v>
      </c>
      <c r="D59" s="1" t="s">
        <v>50</v>
      </c>
      <c r="F59" s="27"/>
      <c r="G59" s="47" t="s">
        <v>61</v>
      </c>
      <c r="H59" s="29" t="n">
        <v>0.1648</v>
      </c>
      <c r="I59" s="29"/>
      <c r="J59" s="29"/>
      <c r="K59" s="29"/>
      <c r="L59" s="31" t="n">
        <v>0.1648</v>
      </c>
    </row>
    <row r="60" customFormat="false" ht="12.8" hidden="false" customHeight="false" outlineLevel="0" collapsed="false">
      <c r="A60" s="1" t="n">
        <v>24</v>
      </c>
      <c r="B60" s="42" t="s">
        <v>56</v>
      </c>
      <c r="C60" s="1" t="n">
        <v>0.1814</v>
      </c>
      <c r="D60" s="1" t="s">
        <v>50</v>
      </c>
      <c r="F60" s="27"/>
      <c r="G60" s="47" t="s">
        <v>49</v>
      </c>
      <c r="H60" s="29"/>
      <c r="I60" s="29" t="n">
        <v>0.1635</v>
      </c>
      <c r="J60" s="29" t="n">
        <v>0.1477</v>
      </c>
      <c r="K60" s="29" t="n">
        <v>0.1658</v>
      </c>
      <c r="L60" s="31" t="n">
        <v>0.477</v>
      </c>
    </row>
    <row r="61" customFormat="false" ht="12.8" hidden="false" customHeight="false" outlineLevel="0" collapsed="false">
      <c r="A61" s="1" t="n">
        <v>24</v>
      </c>
      <c r="B61" s="42" t="s">
        <v>58</v>
      </c>
      <c r="C61" s="1" t="n">
        <v>0.1767</v>
      </c>
      <c r="D61" s="1" t="s">
        <v>50</v>
      </c>
      <c r="F61" s="48"/>
      <c r="G61" s="49" t="s">
        <v>57</v>
      </c>
      <c r="H61" s="33" t="n">
        <v>0.1585</v>
      </c>
      <c r="I61" s="33" t="n">
        <v>0.1649</v>
      </c>
      <c r="J61" s="33" t="n">
        <v>0.1607</v>
      </c>
      <c r="K61" s="33" t="n">
        <v>0.1518</v>
      </c>
      <c r="L61" s="35" t="n">
        <v>0.6359</v>
      </c>
    </row>
    <row r="62" customFormat="false" ht="12.8" hidden="false" customHeight="false" outlineLevel="0" collapsed="false">
      <c r="A62" s="1" t="n">
        <v>24</v>
      </c>
      <c r="B62" s="42" t="s">
        <v>61</v>
      </c>
      <c r="C62" s="1" t="n">
        <v>0.1634</v>
      </c>
      <c r="D62" s="1" t="s">
        <v>50</v>
      </c>
      <c r="F62" s="22" t="n">
        <v>8</v>
      </c>
      <c r="G62" s="46" t="s">
        <v>58</v>
      </c>
      <c r="H62" s="23" t="n">
        <v>0.1687</v>
      </c>
      <c r="I62" s="24" t="n">
        <v>0.1829</v>
      </c>
      <c r="J62" s="24" t="n">
        <v>0.201</v>
      </c>
      <c r="K62" s="25" t="n">
        <v>0.1695</v>
      </c>
      <c r="L62" s="26" t="n">
        <v>0.7221</v>
      </c>
    </row>
    <row r="63" customFormat="false" ht="12.8" hidden="false" customHeight="false" outlineLevel="0" collapsed="false">
      <c r="A63" s="1" t="n">
        <v>24</v>
      </c>
      <c r="B63" s="42" t="s">
        <v>57</v>
      </c>
      <c r="C63" s="1" t="n">
        <v>0.1</v>
      </c>
      <c r="D63" s="1" t="s">
        <v>50</v>
      </c>
      <c r="F63" s="27"/>
      <c r="G63" s="47" t="s">
        <v>60</v>
      </c>
      <c r="H63" s="28"/>
      <c r="I63" s="29" t="n">
        <v>0.1598</v>
      </c>
      <c r="J63" s="29" t="n">
        <v>0.1478</v>
      </c>
      <c r="K63" s="30"/>
      <c r="L63" s="31" t="n">
        <v>0.3076</v>
      </c>
    </row>
    <row r="64" customFormat="false" ht="12.8" hidden="false" customHeight="false" outlineLevel="0" collapsed="false">
      <c r="A64" s="1" t="n">
        <v>26</v>
      </c>
      <c r="B64" s="42" t="s">
        <v>49</v>
      </c>
      <c r="C64" s="1" t="n">
        <v>0.1946</v>
      </c>
      <c r="D64" s="1" t="s">
        <v>50</v>
      </c>
      <c r="F64" s="27"/>
      <c r="G64" s="47" t="s">
        <v>64</v>
      </c>
      <c r="H64" s="28"/>
      <c r="I64" s="29"/>
      <c r="J64" s="29" t="n">
        <v>0.1532</v>
      </c>
      <c r="K64" s="30"/>
      <c r="L64" s="31" t="n">
        <v>0.1532</v>
      </c>
    </row>
    <row r="65" customFormat="false" ht="12.8" hidden="false" customHeight="false" outlineLevel="0" collapsed="false">
      <c r="A65" s="1" t="n">
        <v>26</v>
      </c>
      <c r="B65" s="42" t="s">
        <v>56</v>
      </c>
      <c r="C65" s="1" t="n">
        <v>0.1759</v>
      </c>
      <c r="D65" s="1" t="s">
        <v>50</v>
      </c>
      <c r="F65" s="27"/>
      <c r="G65" s="47" t="s">
        <v>65</v>
      </c>
      <c r="H65" s="28"/>
      <c r="I65" s="29" t="n">
        <v>0.1572</v>
      </c>
      <c r="J65" s="29"/>
      <c r="K65" s="30"/>
      <c r="L65" s="31" t="n">
        <v>0.1572</v>
      </c>
    </row>
    <row r="66" customFormat="false" ht="12.8" hidden="false" customHeight="false" outlineLevel="0" collapsed="false">
      <c r="A66" s="1" t="n">
        <v>26</v>
      </c>
      <c r="B66" s="42" t="s">
        <v>52</v>
      </c>
      <c r="C66" s="1" t="n">
        <v>0.1749</v>
      </c>
      <c r="D66" s="1" t="s">
        <v>50</v>
      </c>
      <c r="F66" s="27"/>
      <c r="G66" s="47" t="s">
        <v>52</v>
      </c>
      <c r="H66" s="28" t="n">
        <v>0.1781</v>
      </c>
      <c r="I66" s="29" t="n">
        <v>0.1653</v>
      </c>
      <c r="J66" s="29" t="n">
        <v>0.1781</v>
      </c>
      <c r="K66" s="30" t="n">
        <v>0.1758</v>
      </c>
      <c r="L66" s="31" t="n">
        <v>0.6973</v>
      </c>
    </row>
    <row r="67" customFormat="false" ht="12.8" hidden="false" customHeight="false" outlineLevel="0" collapsed="false">
      <c r="A67" s="1" t="n">
        <v>26</v>
      </c>
      <c r="B67" s="42" t="s">
        <v>64</v>
      </c>
      <c r="C67" s="1" t="n">
        <v>0.1596</v>
      </c>
      <c r="D67" s="1" t="s">
        <v>50</v>
      </c>
      <c r="F67" s="27"/>
      <c r="G67" s="47" t="s">
        <v>56</v>
      </c>
      <c r="H67" s="28" t="n">
        <v>0.1677</v>
      </c>
      <c r="I67" s="29"/>
      <c r="J67" s="29"/>
      <c r="K67" s="30" t="n">
        <v>0.1652</v>
      </c>
      <c r="L67" s="31" t="n">
        <v>0.3329</v>
      </c>
    </row>
    <row r="68" customFormat="false" ht="12.8" hidden="false" customHeight="false" outlineLevel="0" collapsed="false">
      <c r="A68" s="1" t="n">
        <v>26</v>
      </c>
      <c r="B68" s="42" t="s">
        <v>57</v>
      </c>
      <c r="C68" s="1" t="n">
        <v>0.1558</v>
      </c>
      <c r="D68" s="1" t="s">
        <v>50</v>
      </c>
      <c r="F68" s="27"/>
      <c r="G68" s="47" t="s">
        <v>62</v>
      </c>
      <c r="H68" s="28" t="n">
        <v>0.1563</v>
      </c>
      <c r="I68" s="29"/>
      <c r="J68" s="29"/>
      <c r="K68" s="30" t="n">
        <v>0.153</v>
      </c>
      <c r="L68" s="31" t="n">
        <v>0.3093</v>
      </c>
    </row>
    <row r="69" customFormat="false" ht="12.8" hidden="false" customHeight="false" outlineLevel="0" collapsed="false">
      <c r="A69" s="1" t="n">
        <v>26</v>
      </c>
      <c r="B69" s="42" t="s">
        <v>61</v>
      </c>
      <c r="C69" s="1" t="n">
        <v>0.1392</v>
      </c>
      <c r="D69" s="1" t="s">
        <v>50</v>
      </c>
      <c r="F69" s="27"/>
      <c r="G69" s="47" t="s">
        <v>49</v>
      </c>
      <c r="H69" s="28" t="n">
        <v>0.1679</v>
      </c>
      <c r="I69" s="29" t="n">
        <v>0.1718</v>
      </c>
      <c r="J69" s="29" t="n">
        <v>0.151</v>
      </c>
      <c r="K69" s="30" t="n">
        <v>0.1821</v>
      </c>
      <c r="L69" s="31" t="n">
        <v>0.6728</v>
      </c>
    </row>
    <row r="70" customFormat="false" ht="12.8" hidden="false" customHeight="false" outlineLevel="0" collapsed="false">
      <c r="A70" s="1" t="n">
        <v>28</v>
      </c>
      <c r="B70" s="42" t="s">
        <v>56</v>
      </c>
      <c r="C70" s="1" t="n">
        <v>0.1923</v>
      </c>
      <c r="D70" s="1" t="s">
        <v>50</v>
      </c>
      <c r="F70" s="48"/>
      <c r="G70" s="49" t="s">
        <v>57</v>
      </c>
      <c r="H70" s="32" t="n">
        <v>0.1615</v>
      </c>
      <c r="I70" s="33" t="n">
        <v>0.163</v>
      </c>
      <c r="J70" s="33" t="n">
        <v>0.1688</v>
      </c>
      <c r="K70" s="34" t="n">
        <v>0.1543</v>
      </c>
      <c r="L70" s="35" t="n">
        <v>0.6476</v>
      </c>
    </row>
    <row r="71" customFormat="false" ht="12.8" hidden="false" customHeight="false" outlineLevel="0" collapsed="false">
      <c r="A71" s="1" t="n">
        <v>28</v>
      </c>
      <c r="B71" s="42" t="s">
        <v>52</v>
      </c>
      <c r="C71" s="1" t="n">
        <v>0.1826</v>
      </c>
      <c r="D71" s="1" t="s">
        <v>50</v>
      </c>
      <c r="F71" s="22" t="n">
        <v>10</v>
      </c>
      <c r="G71" s="46" t="s">
        <v>58</v>
      </c>
      <c r="H71" s="24" t="n">
        <v>0.1641</v>
      </c>
      <c r="I71" s="24" t="n">
        <v>0.1635</v>
      </c>
      <c r="J71" s="24" t="n">
        <v>0.1819</v>
      </c>
      <c r="K71" s="24" t="n">
        <v>0.1669</v>
      </c>
      <c r="L71" s="26" t="n">
        <v>0.6764</v>
      </c>
    </row>
    <row r="72" customFormat="false" ht="12.8" hidden="false" customHeight="false" outlineLevel="0" collapsed="false">
      <c r="A72" s="1" t="n">
        <v>28</v>
      </c>
      <c r="B72" s="42" t="s">
        <v>64</v>
      </c>
      <c r="C72" s="1" t="n">
        <v>0.1717</v>
      </c>
      <c r="D72" s="1" t="s">
        <v>50</v>
      </c>
      <c r="F72" s="27"/>
      <c r="G72" s="47" t="s">
        <v>60</v>
      </c>
      <c r="H72" s="29"/>
      <c r="I72" s="29" t="n">
        <v>0.1705</v>
      </c>
      <c r="J72" s="29" t="n">
        <v>0.1625</v>
      </c>
      <c r="K72" s="29"/>
      <c r="L72" s="31" t="n">
        <v>0.333</v>
      </c>
    </row>
    <row r="73" customFormat="false" ht="12.8" hidden="false" customHeight="false" outlineLevel="0" collapsed="false">
      <c r="A73" s="1" t="n">
        <v>28</v>
      </c>
      <c r="B73" s="42" t="s">
        <v>49</v>
      </c>
      <c r="C73" s="1" t="n">
        <v>0.1667</v>
      </c>
      <c r="D73" s="1" t="s">
        <v>50</v>
      </c>
      <c r="F73" s="27"/>
      <c r="G73" s="47" t="s">
        <v>64</v>
      </c>
      <c r="H73" s="29"/>
      <c r="I73" s="29"/>
      <c r="J73" s="29" t="n">
        <v>0.1704</v>
      </c>
      <c r="K73" s="29"/>
      <c r="L73" s="31" t="n">
        <v>0.1704</v>
      </c>
    </row>
    <row r="74" customFormat="false" ht="12.8" hidden="false" customHeight="false" outlineLevel="0" collapsed="false">
      <c r="A74" s="1" t="n">
        <v>28</v>
      </c>
      <c r="B74" s="42" t="s">
        <v>57</v>
      </c>
      <c r="C74" s="1" t="n">
        <v>0.1457</v>
      </c>
      <c r="D74" s="1" t="s">
        <v>50</v>
      </c>
      <c r="F74" s="27"/>
      <c r="G74" s="47" t="s">
        <v>52</v>
      </c>
      <c r="H74" s="29" t="n">
        <v>0.1732</v>
      </c>
      <c r="I74" s="29" t="n">
        <v>0.1801</v>
      </c>
      <c r="J74" s="29" t="n">
        <v>0.1802</v>
      </c>
      <c r="K74" s="29" t="n">
        <v>0.1876</v>
      </c>
      <c r="L74" s="31" t="n">
        <v>0.7211</v>
      </c>
    </row>
    <row r="75" customFormat="false" ht="12.8" hidden="false" customHeight="false" outlineLevel="0" collapsed="false">
      <c r="A75" s="1" t="n">
        <v>28</v>
      </c>
      <c r="B75" s="42" t="s">
        <v>66</v>
      </c>
      <c r="C75" s="1" t="n">
        <v>0.141</v>
      </c>
      <c r="D75" s="1" t="s">
        <v>50</v>
      </c>
      <c r="F75" s="27"/>
      <c r="G75" s="47" t="s">
        <v>56</v>
      </c>
      <c r="H75" s="29" t="n">
        <v>0.1778</v>
      </c>
      <c r="I75" s="29" t="n">
        <v>0.1641</v>
      </c>
      <c r="J75" s="29"/>
      <c r="K75" s="29" t="n">
        <v>0.1728</v>
      </c>
      <c r="L75" s="31" t="n">
        <v>0.5147</v>
      </c>
    </row>
    <row r="76" customFormat="false" ht="12.8" hidden="false" customHeight="false" outlineLevel="0" collapsed="false">
      <c r="A76" s="1" t="n">
        <v>30</v>
      </c>
      <c r="B76" s="42" t="s">
        <v>58</v>
      </c>
      <c r="C76" s="1" t="n">
        <v>0.2202</v>
      </c>
      <c r="D76" s="1" t="s">
        <v>50</v>
      </c>
      <c r="F76" s="27"/>
      <c r="G76" s="47" t="s">
        <v>62</v>
      </c>
      <c r="H76" s="29" t="n">
        <v>0.1622</v>
      </c>
      <c r="I76" s="29"/>
      <c r="J76" s="29"/>
      <c r="K76" s="29" t="n">
        <v>0.1545</v>
      </c>
      <c r="L76" s="31" t="n">
        <v>0.3167</v>
      </c>
    </row>
    <row r="77" customFormat="false" ht="12.8" hidden="false" customHeight="false" outlineLevel="0" collapsed="false">
      <c r="A77" s="1" t="n">
        <v>30</v>
      </c>
      <c r="B77" s="42" t="s">
        <v>49</v>
      </c>
      <c r="C77" s="1" t="n">
        <v>0.2078</v>
      </c>
      <c r="D77" s="1" t="s">
        <v>50</v>
      </c>
      <c r="F77" s="27"/>
      <c r="G77" s="47" t="s">
        <v>49</v>
      </c>
      <c r="H77" s="29" t="n">
        <v>0.2228</v>
      </c>
      <c r="I77" s="29" t="n">
        <v>0.2217</v>
      </c>
      <c r="J77" s="29" t="n">
        <v>0.2051</v>
      </c>
      <c r="K77" s="29" t="n">
        <v>0.2183</v>
      </c>
      <c r="L77" s="31" t="n">
        <v>0.8679</v>
      </c>
    </row>
    <row r="78" customFormat="false" ht="12.8" hidden="false" customHeight="false" outlineLevel="0" collapsed="false">
      <c r="A78" s="1" t="n">
        <v>30</v>
      </c>
      <c r="B78" s="42" t="s">
        <v>56</v>
      </c>
      <c r="C78" s="1" t="n">
        <v>0.1985</v>
      </c>
      <c r="D78" s="1" t="s">
        <v>50</v>
      </c>
      <c r="F78" s="48"/>
      <c r="G78" s="49" t="s">
        <v>57</v>
      </c>
      <c r="H78" s="33" t="n">
        <v>0.1</v>
      </c>
      <c r="I78" s="33" t="n">
        <v>0.1</v>
      </c>
      <c r="J78" s="33" t="n">
        <v>0.1</v>
      </c>
      <c r="K78" s="33" t="n">
        <v>0.1</v>
      </c>
      <c r="L78" s="35" t="n">
        <v>0.4</v>
      </c>
    </row>
    <row r="79" customFormat="false" ht="12.8" hidden="false" customHeight="false" outlineLevel="0" collapsed="false">
      <c r="A79" s="1" t="n">
        <v>30</v>
      </c>
      <c r="B79" s="42" t="s">
        <v>61</v>
      </c>
      <c r="C79" s="1" t="n">
        <v>0.1885</v>
      </c>
      <c r="D79" s="1" t="s">
        <v>50</v>
      </c>
      <c r="F79" s="22" t="n">
        <v>12</v>
      </c>
      <c r="G79" s="46" t="s">
        <v>58</v>
      </c>
      <c r="H79" s="23"/>
      <c r="I79" s="24"/>
      <c r="J79" s="24" t="n">
        <v>0.2971</v>
      </c>
      <c r="K79" s="25"/>
      <c r="L79" s="26" t="n">
        <v>0.2971</v>
      </c>
    </row>
    <row r="80" customFormat="false" ht="12.8" hidden="false" customHeight="false" outlineLevel="0" collapsed="false">
      <c r="A80" s="1" t="n">
        <v>30</v>
      </c>
      <c r="B80" s="42" t="s">
        <v>57</v>
      </c>
      <c r="C80" s="1" t="n">
        <v>0.1849</v>
      </c>
      <c r="D80" s="1" t="s">
        <v>50</v>
      </c>
      <c r="F80" s="27"/>
      <c r="G80" s="47" t="s">
        <v>52</v>
      </c>
      <c r="H80" s="28" t="n">
        <v>0.2607</v>
      </c>
      <c r="I80" s="29"/>
      <c r="J80" s="29"/>
      <c r="K80" s="30"/>
      <c r="L80" s="31" t="n">
        <v>0.2607</v>
      </c>
    </row>
    <row r="81" customFormat="false" ht="12.8" hidden="false" customHeight="false" outlineLevel="0" collapsed="false">
      <c r="A81" s="1" t="n">
        <v>32</v>
      </c>
      <c r="B81" s="42" t="s">
        <v>58</v>
      </c>
      <c r="C81" s="1" t="n">
        <v>0.2032</v>
      </c>
      <c r="D81" s="1" t="s">
        <v>50</v>
      </c>
      <c r="F81" s="27"/>
      <c r="G81" s="47" t="s">
        <v>56</v>
      </c>
      <c r="H81" s="28" t="n">
        <v>0.3045</v>
      </c>
      <c r="I81" s="29"/>
      <c r="J81" s="29" t="n">
        <v>0.3038</v>
      </c>
      <c r="K81" s="30" t="n">
        <v>0.409</v>
      </c>
      <c r="L81" s="31" t="n">
        <v>1.0173</v>
      </c>
    </row>
    <row r="82" customFormat="false" ht="12.8" hidden="false" customHeight="false" outlineLevel="0" collapsed="false">
      <c r="A82" s="1" t="n">
        <v>32</v>
      </c>
      <c r="B82" s="42" t="s">
        <v>57</v>
      </c>
      <c r="C82" s="1" t="n">
        <v>0.1827</v>
      </c>
      <c r="D82" s="1" t="s">
        <v>50</v>
      </c>
      <c r="F82" s="27"/>
      <c r="G82" s="47" t="s">
        <v>49</v>
      </c>
      <c r="H82" s="28" t="n">
        <v>0.3348</v>
      </c>
      <c r="I82" s="29" t="n">
        <v>0.9</v>
      </c>
      <c r="J82" s="29" t="n">
        <v>0.2991</v>
      </c>
      <c r="K82" s="30" t="n">
        <v>0.491</v>
      </c>
      <c r="L82" s="31" t="n">
        <v>2.0249</v>
      </c>
    </row>
    <row r="83" customFormat="false" ht="12.8" hidden="false" customHeight="false" outlineLevel="0" collapsed="false">
      <c r="A83" s="1" t="n">
        <v>32</v>
      </c>
      <c r="B83" s="42" t="s">
        <v>56</v>
      </c>
      <c r="C83" s="1" t="n">
        <v>0.1657</v>
      </c>
      <c r="D83" s="1" t="s">
        <v>50</v>
      </c>
      <c r="F83" s="48"/>
      <c r="G83" s="49" t="s">
        <v>57</v>
      </c>
      <c r="H83" s="32" t="n">
        <v>0.1</v>
      </c>
      <c r="I83" s="33" t="n">
        <v>0.1</v>
      </c>
      <c r="J83" s="33" t="n">
        <v>0.1</v>
      </c>
      <c r="K83" s="34" t="n">
        <v>0.1</v>
      </c>
      <c r="L83" s="35" t="n">
        <v>0.4</v>
      </c>
    </row>
    <row r="84" customFormat="false" ht="12.8" hidden="false" customHeight="false" outlineLevel="0" collapsed="false">
      <c r="A84" s="1" t="n">
        <v>32</v>
      </c>
      <c r="B84" s="42" t="s">
        <v>62</v>
      </c>
      <c r="C84" s="1" t="n">
        <v>0.1569</v>
      </c>
      <c r="D84" s="1" t="s">
        <v>50</v>
      </c>
      <c r="F84" s="22" t="n">
        <v>14</v>
      </c>
      <c r="G84" s="46" t="s">
        <v>58</v>
      </c>
      <c r="H84" s="24"/>
      <c r="I84" s="24" t="n">
        <v>0.2977</v>
      </c>
      <c r="J84" s="24" t="n">
        <v>0.2333</v>
      </c>
      <c r="K84" s="24"/>
      <c r="L84" s="26" t="n">
        <v>0.531</v>
      </c>
    </row>
    <row r="85" customFormat="false" ht="12.8" hidden="false" customHeight="false" outlineLevel="0" collapsed="false">
      <c r="A85" s="1" t="n">
        <v>32</v>
      </c>
      <c r="B85" s="42" t="s">
        <v>52</v>
      </c>
      <c r="C85" s="1" t="n">
        <v>0.146</v>
      </c>
      <c r="D85" s="1" t="s">
        <v>50</v>
      </c>
      <c r="F85" s="27"/>
      <c r="G85" s="47" t="s">
        <v>60</v>
      </c>
      <c r="H85" s="29"/>
      <c r="I85" s="29" t="n">
        <v>0.2784</v>
      </c>
      <c r="J85" s="29"/>
      <c r="K85" s="29"/>
      <c r="L85" s="31" t="n">
        <v>0.2784</v>
      </c>
    </row>
    <row r="86" customFormat="false" ht="12.8" hidden="false" customHeight="false" outlineLevel="0" collapsed="false">
      <c r="A86" s="1" t="n">
        <v>32</v>
      </c>
      <c r="B86" s="42" t="s">
        <v>61</v>
      </c>
      <c r="C86" s="1" t="n">
        <v>0.1455</v>
      </c>
      <c r="D86" s="1" t="s">
        <v>50</v>
      </c>
      <c r="F86" s="27"/>
      <c r="G86" s="47" t="s">
        <v>64</v>
      </c>
      <c r="H86" s="29"/>
      <c r="I86" s="29"/>
      <c r="J86" s="29" t="n">
        <v>0.2018</v>
      </c>
      <c r="K86" s="29" t="n">
        <v>0.4205</v>
      </c>
      <c r="L86" s="31" t="n">
        <v>0.6223</v>
      </c>
    </row>
    <row r="87" customFormat="false" ht="12.8" hidden="false" customHeight="false" outlineLevel="0" collapsed="false">
      <c r="A87" s="1" t="n">
        <v>34</v>
      </c>
      <c r="B87" s="42" t="s">
        <v>61</v>
      </c>
      <c r="C87" s="1" t="n">
        <v>0.1788</v>
      </c>
      <c r="D87" s="1" t="s">
        <v>50</v>
      </c>
      <c r="F87" s="27"/>
      <c r="G87" s="47" t="s">
        <v>56</v>
      </c>
      <c r="H87" s="29" t="n">
        <v>0.4149</v>
      </c>
      <c r="I87" s="29"/>
      <c r="J87" s="29" t="n">
        <v>0.2183</v>
      </c>
      <c r="K87" s="29"/>
      <c r="L87" s="31" t="n">
        <v>0.6332</v>
      </c>
    </row>
    <row r="88" customFormat="false" ht="12.8" hidden="false" customHeight="false" outlineLevel="0" collapsed="false">
      <c r="A88" s="1" t="n">
        <v>34</v>
      </c>
      <c r="B88" s="42" t="s">
        <v>58</v>
      </c>
      <c r="C88" s="1" t="n">
        <v>0.1746</v>
      </c>
      <c r="D88" s="1" t="s">
        <v>50</v>
      </c>
      <c r="F88" s="27"/>
      <c r="G88" s="47" t="s">
        <v>61</v>
      </c>
      <c r="H88" s="29" t="n">
        <v>0.4851</v>
      </c>
      <c r="I88" s="29" t="n">
        <v>0.3239</v>
      </c>
      <c r="J88" s="29" t="n">
        <v>0.2466</v>
      </c>
      <c r="K88" s="29" t="n">
        <v>0.4795</v>
      </c>
      <c r="L88" s="31" t="n">
        <v>1.5351</v>
      </c>
    </row>
    <row r="89" customFormat="false" ht="12.8" hidden="false" customHeight="false" outlineLevel="0" collapsed="false">
      <c r="A89" s="1" t="n">
        <v>34</v>
      </c>
      <c r="B89" s="42" t="s">
        <v>57</v>
      </c>
      <c r="C89" s="1" t="n">
        <v>0.1704</v>
      </c>
      <c r="D89" s="1" t="s">
        <v>50</v>
      </c>
      <c r="F89" s="48"/>
      <c r="G89" s="49" t="s">
        <v>57</v>
      </c>
      <c r="H89" s="33" t="n">
        <v>0.1</v>
      </c>
      <c r="I89" s="33" t="n">
        <v>0.1</v>
      </c>
      <c r="J89" s="33" t="n">
        <v>0.1</v>
      </c>
      <c r="K89" s="33" t="n">
        <v>0.1</v>
      </c>
      <c r="L89" s="35" t="n">
        <v>0.4</v>
      </c>
    </row>
    <row r="90" customFormat="false" ht="12.8" hidden="false" customHeight="false" outlineLevel="0" collapsed="false">
      <c r="A90" s="1" t="n">
        <v>34</v>
      </c>
      <c r="B90" s="42" t="s">
        <v>56</v>
      </c>
      <c r="C90" s="1" t="n">
        <v>0.1696</v>
      </c>
      <c r="D90" s="1" t="s">
        <v>50</v>
      </c>
      <c r="F90" s="22" t="n">
        <v>16</v>
      </c>
      <c r="G90" s="46" t="s">
        <v>52</v>
      </c>
      <c r="H90" s="23"/>
      <c r="I90" s="24"/>
      <c r="J90" s="24"/>
      <c r="K90" s="25" t="n">
        <v>0.4269</v>
      </c>
      <c r="L90" s="26" t="n">
        <v>0.4269</v>
      </c>
    </row>
    <row r="91" customFormat="false" ht="12.8" hidden="false" customHeight="false" outlineLevel="0" collapsed="false">
      <c r="A91" s="1" t="n">
        <v>34</v>
      </c>
      <c r="B91" s="42" t="s">
        <v>52</v>
      </c>
      <c r="C91" s="1" t="n">
        <v>0.1536</v>
      </c>
      <c r="D91" s="1" t="s">
        <v>50</v>
      </c>
      <c r="F91" s="27"/>
      <c r="G91" s="47" t="s">
        <v>56</v>
      </c>
      <c r="H91" s="28" t="n">
        <v>0.9</v>
      </c>
      <c r="I91" s="29" t="n">
        <v>0.9</v>
      </c>
      <c r="J91" s="29" t="n">
        <v>0.9</v>
      </c>
      <c r="K91" s="30" t="n">
        <v>0.4731</v>
      </c>
      <c r="L91" s="31" t="n">
        <v>3.1731</v>
      </c>
    </row>
    <row r="92" customFormat="false" ht="12.8" hidden="false" customHeight="false" outlineLevel="0" collapsed="false">
      <c r="A92" s="1" t="n">
        <v>34</v>
      </c>
      <c r="B92" s="42" t="s">
        <v>49</v>
      </c>
      <c r="C92" s="1" t="n">
        <v>0.153</v>
      </c>
      <c r="D92" s="1" t="s">
        <v>50</v>
      </c>
      <c r="F92" s="48"/>
      <c r="G92" s="49" t="s">
        <v>57</v>
      </c>
      <c r="H92" s="32" t="n">
        <v>0.1</v>
      </c>
      <c r="I92" s="33" t="n">
        <v>0.1</v>
      </c>
      <c r="J92" s="33" t="n">
        <v>0.1</v>
      </c>
      <c r="K92" s="34" t="n">
        <v>0.1</v>
      </c>
      <c r="L92" s="35" t="n">
        <v>0.4</v>
      </c>
    </row>
    <row r="93" customFormat="false" ht="12.8" hidden="false" customHeight="false" outlineLevel="0" collapsed="false">
      <c r="A93" s="1" t="n">
        <v>36</v>
      </c>
      <c r="B93" s="42" t="s">
        <v>61</v>
      </c>
      <c r="C93" s="1" t="n">
        <v>0.1797</v>
      </c>
      <c r="D93" s="1" t="s">
        <v>50</v>
      </c>
      <c r="F93" s="22" t="n">
        <v>18</v>
      </c>
      <c r="G93" s="46" t="s">
        <v>58</v>
      </c>
      <c r="H93" s="24"/>
      <c r="I93" s="24"/>
      <c r="J93" s="24" t="n">
        <v>0.1535</v>
      </c>
      <c r="K93" s="24"/>
      <c r="L93" s="26" t="n">
        <v>0.1535</v>
      </c>
    </row>
    <row r="94" customFormat="false" ht="12.8" hidden="false" customHeight="false" outlineLevel="0" collapsed="false">
      <c r="A94" s="1" t="n">
        <v>36</v>
      </c>
      <c r="B94" s="42" t="s">
        <v>58</v>
      </c>
      <c r="C94" s="1" t="n">
        <v>0.1736</v>
      </c>
      <c r="D94" s="1" t="s">
        <v>50</v>
      </c>
      <c r="F94" s="27"/>
      <c r="G94" s="47" t="s">
        <v>60</v>
      </c>
      <c r="H94" s="29" t="n">
        <v>0.1433</v>
      </c>
      <c r="I94" s="29"/>
      <c r="J94" s="29"/>
      <c r="K94" s="29"/>
      <c r="L94" s="31" t="n">
        <v>0.1433</v>
      </c>
    </row>
    <row r="95" customFormat="false" ht="12.8" hidden="false" customHeight="false" outlineLevel="0" collapsed="false">
      <c r="A95" s="1" t="n">
        <v>36</v>
      </c>
      <c r="B95" s="42" t="s">
        <v>56</v>
      </c>
      <c r="C95" s="1" t="n">
        <v>0.1712</v>
      </c>
      <c r="D95" s="1" t="s">
        <v>50</v>
      </c>
      <c r="F95" s="27"/>
      <c r="G95" s="47" t="s">
        <v>64</v>
      </c>
      <c r="H95" s="29" t="n">
        <v>0.1666</v>
      </c>
      <c r="I95" s="29" t="n">
        <v>0.1737</v>
      </c>
      <c r="J95" s="29" t="n">
        <v>0.1788</v>
      </c>
      <c r="K95" s="29" t="n">
        <v>0.1707</v>
      </c>
      <c r="L95" s="31" t="n">
        <v>0.6898</v>
      </c>
    </row>
    <row r="96" customFormat="false" ht="12.8" hidden="false" customHeight="false" outlineLevel="0" collapsed="false">
      <c r="A96" s="1" t="n">
        <v>36</v>
      </c>
      <c r="B96" s="42" t="s">
        <v>52</v>
      </c>
      <c r="C96" s="1" t="n">
        <v>0.1647</v>
      </c>
      <c r="D96" s="1" t="s">
        <v>50</v>
      </c>
      <c r="F96" s="27"/>
      <c r="G96" s="47" t="s">
        <v>52</v>
      </c>
      <c r="H96" s="29" t="n">
        <v>0.1921</v>
      </c>
      <c r="I96" s="29" t="n">
        <v>0.1873</v>
      </c>
      <c r="J96" s="29" t="n">
        <v>0.1874</v>
      </c>
      <c r="K96" s="29" t="n">
        <v>0.1937</v>
      </c>
      <c r="L96" s="31" t="n">
        <v>0.7605</v>
      </c>
    </row>
    <row r="97" customFormat="false" ht="12.8" hidden="false" customHeight="false" outlineLevel="0" collapsed="false">
      <c r="A97" s="1" t="n">
        <v>36</v>
      </c>
      <c r="B97" s="42" t="s">
        <v>49</v>
      </c>
      <c r="C97" s="1" t="n">
        <v>0.1586</v>
      </c>
      <c r="D97" s="1" t="s">
        <v>50</v>
      </c>
      <c r="F97" s="27"/>
      <c r="G97" s="47" t="s">
        <v>66</v>
      </c>
      <c r="H97" s="29"/>
      <c r="I97" s="29" t="n">
        <v>0.1567</v>
      </c>
      <c r="J97" s="29"/>
      <c r="K97" s="29" t="n">
        <v>0.1441</v>
      </c>
      <c r="L97" s="31" t="n">
        <v>0.3008</v>
      </c>
    </row>
    <row r="98" customFormat="false" ht="12.8" hidden="false" customHeight="false" outlineLevel="0" collapsed="false">
      <c r="A98" s="1" t="n">
        <v>36</v>
      </c>
      <c r="B98" s="42" t="s">
        <v>57</v>
      </c>
      <c r="C98" s="1" t="n">
        <v>0.1522</v>
      </c>
      <c r="D98" s="1" t="s">
        <v>50</v>
      </c>
      <c r="F98" s="27"/>
      <c r="G98" s="47" t="s">
        <v>56</v>
      </c>
      <c r="H98" s="29" t="n">
        <v>0.2268</v>
      </c>
      <c r="I98" s="29" t="n">
        <v>0.212</v>
      </c>
      <c r="J98" s="29" t="n">
        <v>0.2162</v>
      </c>
      <c r="K98" s="29" t="n">
        <v>0.2118</v>
      </c>
      <c r="L98" s="31" t="n">
        <v>0.8668</v>
      </c>
    </row>
    <row r="99" customFormat="false" ht="12.8" hidden="false" customHeight="false" outlineLevel="0" collapsed="false">
      <c r="A99" s="1" t="n">
        <v>38</v>
      </c>
      <c r="B99" s="42" t="s">
        <v>56</v>
      </c>
      <c r="C99" s="1" t="n">
        <v>0.1987</v>
      </c>
      <c r="D99" s="1" t="s">
        <v>50</v>
      </c>
      <c r="F99" s="27"/>
      <c r="G99" s="47" t="s">
        <v>49</v>
      </c>
      <c r="H99" s="29" t="n">
        <v>0.1712</v>
      </c>
      <c r="I99" s="29" t="n">
        <v>0.1703</v>
      </c>
      <c r="J99" s="29" t="n">
        <v>0.1641</v>
      </c>
      <c r="K99" s="29" t="n">
        <v>0.1798</v>
      </c>
      <c r="L99" s="31" t="n">
        <v>0.6854</v>
      </c>
    </row>
    <row r="100" customFormat="false" ht="12.8" hidden="false" customHeight="false" outlineLevel="0" collapsed="false">
      <c r="A100" s="1" t="n">
        <v>38</v>
      </c>
      <c r="B100" s="42" t="s">
        <v>61</v>
      </c>
      <c r="C100" s="1" t="n">
        <v>0.1869</v>
      </c>
      <c r="D100" s="1" t="s">
        <v>50</v>
      </c>
      <c r="F100" s="48"/>
      <c r="G100" s="49" t="s">
        <v>57</v>
      </c>
      <c r="H100" s="33" t="n">
        <v>0.1</v>
      </c>
      <c r="I100" s="33" t="n">
        <v>0.1</v>
      </c>
      <c r="J100" s="33" t="n">
        <v>0.1</v>
      </c>
      <c r="K100" s="33" t="n">
        <v>0.1</v>
      </c>
      <c r="L100" s="35" t="n">
        <v>0.4</v>
      </c>
    </row>
    <row r="101" customFormat="false" ht="12.8" hidden="false" customHeight="false" outlineLevel="0" collapsed="false">
      <c r="A101" s="1" t="n">
        <v>38</v>
      </c>
      <c r="B101" s="42" t="s">
        <v>52</v>
      </c>
      <c r="C101" s="1" t="n">
        <v>0.1747</v>
      </c>
      <c r="D101" s="1" t="s">
        <v>50</v>
      </c>
      <c r="F101" s="22" t="n">
        <v>20</v>
      </c>
      <c r="G101" s="46" t="s">
        <v>58</v>
      </c>
      <c r="H101" s="23"/>
      <c r="I101" s="24" t="n">
        <v>0.1575</v>
      </c>
      <c r="J101" s="24" t="n">
        <v>0.1757</v>
      </c>
      <c r="K101" s="25" t="n">
        <v>0.1516</v>
      </c>
      <c r="L101" s="26" t="n">
        <v>0.4848</v>
      </c>
    </row>
    <row r="102" customFormat="false" ht="12.8" hidden="false" customHeight="false" outlineLevel="0" collapsed="false">
      <c r="A102" s="1" t="n">
        <v>38</v>
      </c>
      <c r="B102" s="42" t="s">
        <v>49</v>
      </c>
      <c r="C102" s="1" t="n">
        <v>0.1742</v>
      </c>
      <c r="D102" s="1" t="s">
        <v>50</v>
      </c>
      <c r="F102" s="27"/>
      <c r="G102" s="47" t="s">
        <v>65</v>
      </c>
      <c r="H102" s="28"/>
      <c r="I102" s="29"/>
      <c r="J102" s="29" t="n">
        <v>0.154</v>
      </c>
      <c r="K102" s="30"/>
      <c r="L102" s="31" t="n">
        <v>0.154</v>
      </c>
    </row>
    <row r="103" customFormat="false" ht="12.8" hidden="false" customHeight="false" outlineLevel="0" collapsed="false">
      <c r="A103" s="1" t="n">
        <v>38</v>
      </c>
      <c r="B103" s="42" t="s">
        <v>64</v>
      </c>
      <c r="C103" s="1" t="n">
        <v>0.1655</v>
      </c>
      <c r="D103" s="1" t="s">
        <v>50</v>
      </c>
      <c r="F103" s="27"/>
      <c r="G103" s="47" t="s">
        <v>52</v>
      </c>
      <c r="H103" s="28" t="n">
        <v>0.1737</v>
      </c>
      <c r="I103" s="29" t="n">
        <v>0.1684</v>
      </c>
      <c r="J103" s="29" t="n">
        <v>0.1669</v>
      </c>
      <c r="K103" s="30" t="n">
        <v>0.1827</v>
      </c>
      <c r="L103" s="31" t="n">
        <v>0.6917</v>
      </c>
    </row>
    <row r="104" customFormat="false" ht="12.8" hidden="false" customHeight="false" outlineLevel="0" collapsed="false">
      <c r="A104" s="1" t="n">
        <v>38</v>
      </c>
      <c r="B104" s="42" t="s">
        <v>57</v>
      </c>
      <c r="C104" s="1" t="n">
        <v>0.1</v>
      </c>
      <c r="D104" s="1" t="s">
        <v>50</v>
      </c>
      <c r="F104" s="27"/>
      <c r="G104" s="47" t="s">
        <v>66</v>
      </c>
      <c r="H104" s="28"/>
      <c r="I104" s="29" t="n">
        <v>0.1582</v>
      </c>
      <c r="J104" s="29"/>
      <c r="K104" s="30"/>
      <c r="L104" s="31" t="n">
        <v>0.1582</v>
      </c>
    </row>
    <row r="105" customFormat="false" ht="12.8" hidden="false" customHeight="false" outlineLevel="0" collapsed="false">
      <c r="A105" s="1" t="n">
        <v>40</v>
      </c>
      <c r="B105" s="42" t="s">
        <v>56</v>
      </c>
      <c r="C105" s="1" t="n">
        <v>0.2005</v>
      </c>
      <c r="D105" s="1" t="s">
        <v>50</v>
      </c>
      <c r="F105" s="27"/>
      <c r="G105" s="47" t="s">
        <v>56</v>
      </c>
      <c r="H105" s="28" t="n">
        <v>0.1765</v>
      </c>
      <c r="I105" s="29" t="n">
        <v>0.1606</v>
      </c>
      <c r="J105" s="29" t="n">
        <v>0.161</v>
      </c>
      <c r="K105" s="30" t="n">
        <v>0.175</v>
      </c>
      <c r="L105" s="31" t="n">
        <v>0.6731</v>
      </c>
    </row>
    <row r="106" customFormat="false" ht="12.8" hidden="false" customHeight="false" outlineLevel="0" collapsed="false">
      <c r="A106" s="1" t="n">
        <v>40</v>
      </c>
      <c r="B106" s="42" t="s">
        <v>49</v>
      </c>
      <c r="C106" s="1" t="n">
        <v>0.1813</v>
      </c>
      <c r="D106" s="1" t="s">
        <v>50</v>
      </c>
      <c r="F106" s="27"/>
      <c r="G106" s="47" t="s">
        <v>62</v>
      </c>
      <c r="H106" s="28" t="n">
        <v>0.1647</v>
      </c>
      <c r="I106" s="29" t="n">
        <v>0.1766</v>
      </c>
      <c r="J106" s="29"/>
      <c r="K106" s="30"/>
      <c r="L106" s="31" t="n">
        <v>0.3413</v>
      </c>
    </row>
    <row r="107" customFormat="false" ht="12.8" hidden="false" customHeight="false" outlineLevel="0" collapsed="false">
      <c r="A107" s="1" t="n">
        <v>40</v>
      </c>
      <c r="B107" s="42" t="s">
        <v>52</v>
      </c>
      <c r="C107" s="1" t="n">
        <v>0.1657</v>
      </c>
      <c r="D107" s="1" t="s">
        <v>50</v>
      </c>
      <c r="F107" s="27"/>
      <c r="G107" s="47" t="s">
        <v>61</v>
      </c>
      <c r="H107" s="28" t="n">
        <v>0.166</v>
      </c>
      <c r="I107" s="29"/>
      <c r="J107" s="29"/>
      <c r="K107" s="30" t="n">
        <v>0.1565</v>
      </c>
      <c r="L107" s="31" t="n">
        <v>0.3225</v>
      </c>
    </row>
    <row r="108" customFormat="false" ht="12.8" hidden="false" customHeight="false" outlineLevel="0" collapsed="false">
      <c r="A108" s="1" t="n">
        <v>40</v>
      </c>
      <c r="B108" s="42" t="s">
        <v>64</v>
      </c>
      <c r="C108" s="1" t="n">
        <v>0.1598</v>
      </c>
      <c r="D108" s="1" t="s">
        <v>50</v>
      </c>
      <c r="F108" s="27"/>
      <c r="G108" s="47" t="s">
        <v>49</v>
      </c>
      <c r="H108" s="28" t="n">
        <v>0.154</v>
      </c>
      <c r="I108" s="29"/>
      <c r="J108" s="29" t="n">
        <v>0.1612</v>
      </c>
      <c r="K108" s="30" t="n">
        <v>0.1747</v>
      </c>
      <c r="L108" s="31" t="n">
        <v>0.4899</v>
      </c>
    </row>
    <row r="109" customFormat="false" ht="12.8" hidden="false" customHeight="false" outlineLevel="0" collapsed="false">
      <c r="A109" s="1" t="n">
        <v>40</v>
      </c>
      <c r="B109" s="42" t="s">
        <v>61</v>
      </c>
      <c r="C109" s="1" t="n">
        <v>0.1468</v>
      </c>
      <c r="D109" s="1" t="s">
        <v>50</v>
      </c>
      <c r="F109" s="48"/>
      <c r="G109" s="49" t="s">
        <v>57</v>
      </c>
      <c r="H109" s="32" t="n">
        <v>0.1652</v>
      </c>
      <c r="I109" s="33" t="n">
        <v>0.1787</v>
      </c>
      <c r="J109" s="33" t="n">
        <v>0.1811</v>
      </c>
      <c r="K109" s="34" t="n">
        <v>0.1595</v>
      </c>
      <c r="L109" s="35" t="n">
        <v>0.6845</v>
      </c>
    </row>
    <row r="110" customFormat="false" ht="12.8" hidden="false" customHeight="false" outlineLevel="0" collapsed="false">
      <c r="A110" s="1" t="n">
        <v>40</v>
      </c>
      <c r="B110" s="42" t="s">
        <v>57</v>
      </c>
      <c r="C110" s="1" t="n">
        <v>0.1459</v>
      </c>
      <c r="D110" s="1" t="s">
        <v>50</v>
      </c>
      <c r="F110" s="22" t="n">
        <v>22</v>
      </c>
      <c r="G110" s="46" t="s">
        <v>58</v>
      </c>
      <c r="H110" s="24" t="n">
        <v>0.1804</v>
      </c>
      <c r="I110" s="24" t="n">
        <v>0.2635</v>
      </c>
      <c r="J110" s="24" t="n">
        <v>0.1835</v>
      </c>
      <c r="K110" s="24" t="n">
        <v>0.1797</v>
      </c>
      <c r="L110" s="26" t="n">
        <v>0.8071</v>
      </c>
    </row>
    <row r="111" customFormat="false" ht="12.8" hidden="false" customHeight="false" outlineLevel="0" collapsed="false">
      <c r="A111" s="1" t="n">
        <v>42</v>
      </c>
      <c r="B111" s="42" t="s">
        <v>56</v>
      </c>
      <c r="C111" s="1" t="n">
        <v>0.2032</v>
      </c>
      <c r="D111" s="1" t="s">
        <v>50</v>
      </c>
      <c r="F111" s="27"/>
      <c r="G111" s="47" t="s">
        <v>60</v>
      </c>
      <c r="H111" s="29" t="n">
        <v>0.1549</v>
      </c>
      <c r="I111" s="29"/>
      <c r="J111" s="29"/>
      <c r="K111" s="29"/>
      <c r="L111" s="31" t="n">
        <v>0.1549</v>
      </c>
    </row>
    <row r="112" customFormat="false" ht="12.8" hidden="false" customHeight="false" outlineLevel="0" collapsed="false">
      <c r="A112" s="1" t="n">
        <v>42</v>
      </c>
      <c r="B112" s="42" t="s">
        <v>52</v>
      </c>
      <c r="C112" s="1" t="n">
        <v>0.1863</v>
      </c>
      <c r="D112" s="1" t="s">
        <v>50</v>
      </c>
      <c r="F112" s="27"/>
      <c r="G112" s="47" t="s">
        <v>65</v>
      </c>
      <c r="H112" s="29" t="n">
        <v>0.1574</v>
      </c>
      <c r="I112" s="29" t="n">
        <v>0.242</v>
      </c>
      <c r="J112" s="29" t="n">
        <v>0.1642</v>
      </c>
      <c r="K112" s="29" t="n">
        <v>0.1768</v>
      </c>
      <c r="L112" s="31" t="n">
        <v>0.7404</v>
      </c>
    </row>
    <row r="113" customFormat="false" ht="12.8" hidden="false" customHeight="false" outlineLevel="0" collapsed="false">
      <c r="A113" s="1" t="n">
        <v>42</v>
      </c>
      <c r="B113" s="42" t="s">
        <v>49</v>
      </c>
      <c r="C113" s="1" t="n">
        <v>0.1746</v>
      </c>
      <c r="D113" s="1" t="s">
        <v>50</v>
      </c>
      <c r="F113" s="27"/>
      <c r="G113" s="47" t="s">
        <v>52</v>
      </c>
      <c r="H113" s="29"/>
      <c r="I113" s="29" t="n">
        <v>0.2456</v>
      </c>
      <c r="J113" s="29" t="n">
        <v>0.1719</v>
      </c>
      <c r="K113" s="29" t="n">
        <v>0.1889</v>
      </c>
      <c r="L113" s="31" t="n">
        <v>0.6064</v>
      </c>
    </row>
    <row r="114" customFormat="false" ht="12.8" hidden="false" customHeight="false" outlineLevel="0" collapsed="false">
      <c r="A114" s="1" t="n">
        <v>42</v>
      </c>
      <c r="B114" s="42" t="s">
        <v>61</v>
      </c>
      <c r="C114" s="1" t="n">
        <v>0.1709</v>
      </c>
      <c r="D114" s="1" t="s">
        <v>50</v>
      </c>
      <c r="F114" s="27"/>
      <c r="G114" s="47" t="s">
        <v>56</v>
      </c>
      <c r="H114" s="29"/>
      <c r="I114" s="29"/>
      <c r="J114" s="29" t="n">
        <v>0.1488</v>
      </c>
      <c r="K114" s="29" t="n">
        <v>0.1864</v>
      </c>
      <c r="L114" s="31" t="n">
        <v>0.3352</v>
      </c>
    </row>
    <row r="115" customFormat="false" ht="12.8" hidden="false" customHeight="false" outlineLevel="0" collapsed="false">
      <c r="A115" s="1" t="n">
        <v>42</v>
      </c>
      <c r="B115" s="42" t="s">
        <v>64</v>
      </c>
      <c r="C115" s="1" t="n">
        <v>0.165</v>
      </c>
      <c r="D115" s="1" t="s">
        <v>50</v>
      </c>
      <c r="F115" s="27"/>
      <c r="G115" s="47" t="s">
        <v>61</v>
      </c>
      <c r="H115" s="29" t="n">
        <v>0.1765</v>
      </c>
      <c r="I115" s="29"/>
      <c r="J115" s="29" t="n">
        <v>0.1518</v>
      </c>
      <c r="K115" s="29"/>
      <c r="L115" s="31" t="n">
        <v>0.3283</v>
      </c>
    </row>
    <row r="116" customFormat="false" ht="12.8" hidden="false" customHeight="false" outlineLevel="0" collapsed="false">
      <c r="A116" s="1" t="n">
        <v>42</v>
      </c>
      <c r="B116" s="42" t="s">
        <v>57</v>
      </c>
      <c r="C116" s="1" t="n">
        <v>0.1</v>
      </c>
      <c r="D116" s="1" t="s">
        <v>50</v>
      </c>
      <c r="F116" s="27"/>
      <c r="G116" s="47" t="s">
        <v>49</v>
      </c>
      <c r="H116" s="29" t="n">
        <v>0.1654</v>
      </c>
      <c r="I116" s="29"/>
      <c r="J116" s="29"/>
      <c r="K116" s="29" t="n">
        <v>0.1682</v>
      </c>
      <c r="L116" s="31" t="n">
        <v>0.3336</v>
      </c>
    </row>
    <row r="117" customFormat="false" ht="12.8" hidden="false" customHeight="false" outlineLevel="0" collapsed="false">
      <c r="A117" s="1" t="n">
        <v>44</v>
      </c>
      <c r="B117" s="42" t="s">
        <v>56</v>
      </c>
      <c r="C117" s="1" t="n">
        <v>0.1851</v>
      </c>
      <c r="D117" s="1" t="s">
        <v>50</v>
      </c>
      <c r="F117" s="48"/>
      <c r="G117" s="49" t="s">
        <v>57</v>
      </c>
      <c r="H117" s="33" t="n">
        <v>0.1654</v>
      </c>
      <c r="I117" s="33" t="n">
        <v>0.2489</v>
      </c>
      <c r="J117" s="33" t="n">
        <v>0.1799</v>
      </c>
      <c r="K117" s="33" t="n">
        <v>0.1</v>
      </c>
      <c r="L117" s="35" t="n">
        <v>0.6942</v>
      </c>
    </row>
    <row r="118" customFormat="false" ht="12.8" hidden="false" customHeight="false" outlineLevel="0" collapsed="false">
      <c r="A118" s="1" t="n">
        <v>44</v>
      </c>
      <c r="B118" s="42" t="s">
        <v>52</v>
      </c>
      <c r="C118" s="1" t="n">
        <v>0.183</v>
      </c>
      <c r="D118" s="1" t="s">
        <v>50</v>
      </c>
      <c r="F118" s="22" t="n">
        <v>24</v>
      </c>
      <c r="G118" s="46" t="s">
        <v>58</v>
      </c>
      <c r="H118" s="23" t="n">
        <v>0.1767</v>
      </c>
      <c r="I118" s="24" t="n">
        <v>0.1625</v>
      </c>
      <c r="J118" s="24"/>
      <c r="K118" s="25" t="n">
        <v>0.1667</v>
      </c>
      <c r="L118" s="26" t="n">
        <v>0.5059</v>
      </c>
    </row>
    <row r="119" customFormat="false" ht="12.8" hidden="false" customHeight="false" outlineLevel="0" collapsed="false">
      <c r="A119" s="1" t="n">
        <v>44</v>
      </c>
      <c r="B119" s="42" t="s">
        <v>49</v>
      </c>
      <c r="C119" s="1" t="n">
        <v>0.1784</v>
      </c>
      <c r="D119" s="1" t="s">
        <v>50</v>
      </c>
      <c r="F119" s="27"/>
      <c r="G119" s="47" t="s">
        <v>60</v>
      </c>
      <c r="H119" s="28"/>
      <c r="I119" s="29"/>
      <c r="J119" s="29" t="n">
        <v>0.1679</v>
      </c>
      <c r="K119" s="30"/>
      <c r="L119" s="31" t="n">
        <v>0.1679</v>
      </c>
    </row>
    <row r="120" customFormat="false" ht="12.8" hidden="false" customHeight="false" outlineLevel="0" collapsed="false">
      <c r="A120" s="1" t="n">
        <v>44</v>
      </c>
      <c r="B120" s="42" t="s">
        <v>58</v>
      </c>
      <c r="C120" s="1" t="n">
        <v>0.177</v>
      </c>
      <c r="D120" s="1" t="s">
        <v>50</v>
      </c>
      <c r="F120" s="27"/>
      <c r="G120" s="47" t="s">
        <v>64</v>
      </c>
      <c r="H120" s="28"/>
      <c r="I120" s="29" t="n">
        <v>0.1628</v>
      </c>
      <c r="J120" s="29"/>
      <c r="K120" s="30" t="n">
        <v>0.1635</v>
      </c>
      <c r="L120" s="31" t="n">
        <v>0.3263</v>
      </c>
    </row>
    <row r="121" customFormat="false" ht="12.8" hidden="false" customHeight="false" outlineLevel="0" collapsed="false">
      <c r="A121" s="1" t="n">
        <v>44</v>
      </c>
      <c r="B121" s="42" t="s">
        <v>64</v>
      </c>
      <c r="C121" s="1" t="n">
        <v>0.1765</v>
      </c>
      <c r="D121" s="1" t="s">
        <v>50</v>
      </c>
      <c r="F121" s="27"/>
      <c r="G121" s="47" t="s">
        <v>65</v>
      </c>
      <c r="H121" s="28"/>
      <c r="I121" s="29"/>
      <c r="J121" s="29" t="n">
        <v>0.1675</v>
      </c>
      <c r="K121" s="30"/>
      <c r="L121" s="31" t="n">
        <v>0.1675</v>
      </c>
    </row>
    <row r="122" customFormat="false" ht="12.8" hidden="false" customHeight="false" outlineLevel="0" collapsed="false">
      <c r="A122" s="1" t="n">
        <v>44</v>
      </c>
      <c r="B122" s="42" t="s">
        <v>57</v>
      </c>
      <c r="C122" s="1" t="n">
        <v>0.1</v>
      </c>
      <c r="D122" s="1" t="s">
        <v>50</v>
      </c>
      <c r="F122" s="27"/>
      <c r="G122" s="47" t="s">
        <v>52</v>
      </c>
      <c r="H122" s="28" t="n">
        <v>0.194</v>
      </c>
      <c r="I122" s="29" t="n">
        <v>0.2017</v>
      </c>
      <c r="J122" s="29" t="n">
        <v>0.1955</v>
      </c>
      <c r="K122" s="30" t="n">
        <v>0.196</v>
      </c>
      <c r="L122" s="31" t="n">
        <v>0.7872</v>
      </c>
    </row>
    <row r="123" customFormat="false" ht="12.8" hidden="false" customHeight="false" outlineLevel="0" collapsed="false">
      <c r="A123" s="1" t="n">
        <v>46</v>
      </c>
      <c r="B123" s="42" t="s">
        <v>56</v>
      </c>
      <c r="C123" s="1" t="n">
        <v>0.2002</v>
      </c>
      <c r="D123" s="1" t="s">
        <v>50</v>
      </c>
      <c r="F123" s="27"/>
      <c r="G123" s="47" t="s">
        <v>66</v>
      </c>
      <c r="H123" s="28"/>
      <c r="I123" s="29"/>
      <c r="J123" s="29" t="n">
        <v>0.1799</v>
      </c>
      <c r="K123" s="30"/>
      <c r="L123" s="31" t="n">
        <v>0.1799</v>
      </c>
    </row>
    <row r="124" customFormat="false" ht="12.8" hidden="false" customHeight="false" outlineLevel="0" collapsed="false">
      <c r="A124" s="1" t="n">
        <v>46</v>
      </c>
      <c r="B124" s="42" t="s">
        <v>52</v>
      </c>
      <c r="C124" s="1" t="n">
        <v>0.1812</v>
      </c>
      <c r="D124" s="1" t="s">
        <v>50</v>
      </c>
      <c r="F124" s="27"/>
      <c r="G124" s="47" t="s">
        <v>56</v>
      </c>
      <c r="H124" s="28" t="n">
        <v>0.1814</v>
      </c>
      <c r="I124" s="29" t="n">
        <v>0.1871</v>
      </c>
      <c r="J124" s="29" t="n">
        <v>0.1891</v>
      </c>
      <c r="K124" s="30" t="n">
        <v>0.1935</v>
      </c>
      <c r="L124" s="31" t="n">
        <v>0.7511</v>
      </c>
    </row>
    <row r="125" customFormat="false" ht="12.8" hidden="false" customHeight="false" outlineLevel="0" collapsed="false">
      <c r="A125" s="1" t="n">
        <v>46</v>
      </c>
      <c r="B125" s="42" t="s">
        <v>49</v>
      </c>
      <c r="C125" s="1" t="n">
        <v>0.1774</v>
      </c>
      <c r="D125" s="1" t="s">
        <v>50</v>
      </c>
      <c r="F125" s="27"/>
      <c r="G125" s="47" t="s">
        <v>61</v>
      </c>
      <c r="H125" s="28" t="n">
        <v>0.1634</v>
      </c>
      <c r="I125" s="29"/>
      <c r="J125" s="29"/>
      <c r="K125" s="30"/>
      <c r="L125" s="31" t="n">
        <v>0.1634</v>
      </c>
    </row>
    <row r="126" customFormat="false" ht="12.8" hidden="false" customHeight="false" outlineLevel="0" collapsed="false">
      <c r="A126" s="1" t="n">
        <v>46</v>
      </c>
      <c r="B126" s="42" t="s">
        <v>61</v>
      </c>
      <c r="C126" s="1" t="n">
        <v>0.1755</v>
      </c>
      <c r="D126" s="1" t="s">
        <v>50</v>
      </c>
      <c r="F126" s="27"/>
      <c r="G126" s="47" t="s">
        <v>49</v>
      </c>
      <c r="H126" s="28" t="n">
        <v>0.1845</v>
      </c>
      <c r="I126" s="29" t="n">
        <v>0.186</v>
      </c>
      <c r="J126" s="29"/>
      <c r="K126" s="30" t="n">
        <v>0.1803</v>
      </c>
      <c r="L126" s="31" t="n">
        <v>0.5508</v>
      </c>
    </row>
    <row r="127" customFormat="false" ht="12.8" hidden="false" customHeight="false" outlineLevel="0" collapsed="false">
      <c r="A127" s="1" t="n">
        <v>46</v>
      </c>
      <c r="B127" s="42" t="s">
        <v>64</v>
      </c>
      <c r="C127" s="1" t="n">
        <v>0.1657</v>
      </c>
      <c r="D127" s="1" t="s">
        <v>50</v>
      </c>
      <c r="F127" s="48"/>
      <c r="G127" s="49" t="s">
        <v>57</v>
      </c>
      <c r="H127" s="32" t="n">
        <v>0.1</v>
      </c>
      <c r="I127" s="33" t="n">
        <v>0.1</v>
      </c>
      <c r="J127" s="33" t="n">
        <v>0.1</v>
      </c>
      <c r="K127" s="34" t="n">
        <v>0.1</v>
      </c>
      <c r="L127" s="35" t="n">
        <v>0.4</v>
      </c>
    </row>
    <row r="128" customFormat="false" ht="12.8" hidden="false" customHeight="false" outlineLevel="0" collapsed="false">
      <c r="A128" s="1" t="n">
        <v>46</v>
      </c>
      <c r="B128" s="42" t="s">
        <v>57</v>
      </c>
      <c r="C128" s="1" t="n">
        <v>0.1</v>
      </c>
      <c r="D128" s="1" t="s">
        <v>50</v>
      </c>
      <c r="F128" s="22" t="n">
        <v>26</v>
      </c>
      <c r="G128" s="46" t="s">
        <v>58</v>
      </c>
      <c r="H128" s="24"/>
      <c r="I128" s="24"/>
      <c r="J128" s="24" t="n">
        <v>0.1431</v>
      </c>
      <c r="K128" s="24"/>
      <c r="L128" s="26" t="n">
        <v>0.1431</v>
      </c>
    </row>
    <row r="129" customFormat="false" ht="12.8" hidden="false" customHeight="false" outlineLevel="0" collapsed="false">
      <c r="A129" s="1" t="n">
        <v>48</v>
      </c>
      <c r="B129" s="42" t="s">
        <v>56</v>
      </c>
      <c r="C129" s="1" t="n">
        <v>0.1865</v>
      </c>
      <c r="D129" s="1" t="s">
        <v>50</v>
      </c>
      <c r="F129" s="27"/>
      <c r="G129" s="47" t="s">
        <v>64</v>
      </c>
      <c r="H129" s="29" t="n">
        <v>0.1596</v>
      </c>
      <c r="I129" s="29" t="n">
        <v>0.1805</v>
      </c>
      <c r="J129" s="29" t="n">
        <v>0.1869</v>
      </c>
      <c r="K129" s="29" t="n">
        <v>0.1682</v>
      </c>
      <c r="L129" s="31" t="n">
        <v>0.6952</v>
      </c>
    </row>
    <row r="130" customFormat="false" ht="12.8" hidden="false" customHeight="false" outlineLevel="0" collapsed="false">
      <c r="A130" s="1" t="n">
        <v>48</v>
      </c>
      <c r="B130" s="42" t="s">
        <v>57</v>
      </c>
      <c r="C130" s="1" t="n">
        <v>0.1685</v>
      </c>
      <c r="D130" s="1" t="s">
        <v>50</v>
      </c>
      <c r="F130" s="27"/>
      <c r="G130" s="47" t="s">
        <v>52</v>
      </c>
      <c r="H130" s="29" t="n">
        <v>0.1749</v>
      </c>
      <c r="I130" s="29" t="n">
        <v>0.1904</v>
      </c>
      <c r="J130" s="29" t="n">
        <v>0.184</v>
      </c>
      <c r="K130" s="29" t="n">
        <v>0.1694</v>
      </c>
      <c r="L130" s="31" t="n">
        <v>0.7187</v>
      </c>
    </row>
    <row r="131" customFormat="false" ht="12.8" hidden="false" customHeight="false" outlineLevel="0" collapsed="false">
      <c r="A131" s="1" t="n">
        <v>48</v>
      </c>
      <c r="B131" s="42" t="s">
        <v>62</v>
      </c>
      <c r="C131" s="1" t="n">
        <v>0.1677</v>
      </c>
      <c r="D131" s="1" t="s">
        <v>50</v>
      </c>
      <c r="F131" s="27"/>
      <c r="G131" s="47" t="s">
        <v>66</v>
      </c>
      <c r="H131" s="29"/>
      <c r="I131" s="29" t="n">
        <v>0.1365</v>
      </c>
      <c r="J131" s="29"/>
      <c r="K131" s="29"/>
      <c r="L131" s="31" t="n">
        <v>0.1365</v>
      </c>
    </row>
    <row r="132" customFormat="false" ht="12.8" hidden="false" customHeight="false" outlineLevel="0" collapsed="false">
      <c r="A132" s="1" t="n">
        <v>48</v>
      </c>
      <c r="B132" s="42" t="s">
        <v>49</v>
      </c>
      <c r="C132" s="1" t="n">
        <v>0.1633</v>
      </c>
      <c r="D132" s="1" t="s">
        <v>50</v>
      </c>
      <c r="F132" s="27"/>
      <c r="G132" s="47" t="s">
        <v>56</v>
      </c>
      <c r="H132" s="29" t="n">
        <v>0.1759</v>
      </c>
      <c r="I132" s="29" t="n">
        <v>0.1631</v>
      </c>
      <c r="J132" s="29" t="n">
        <v>0.175</v>
      </c>
      <c r="K132" s="29" t="n">
        <v>0.1754</v>
      </c>
      <c r="L132" s="31" t="n">
        <v>0.6894</v>
      </c>
    </row>
    <row r="133" customFormat="false" ht="12.8" hidden="false" customHeight="false" outlineLevel="0" collapsed="false">
      <c r="A133" s="1" t="n">
        <v>48</v>
      </c>
      <c r="B133" s="42" t="s">
        <v>66</v>
      </c>
      <c r="C133" s="1" t="n">
        <v>0.1601</v>
      </c>
      <c r="D133" s="1" t="s">
        <v>50</v>
      </c>
      <c r="F133" s="27"/>
      <c r="G133" s="47" t="s">
        <v>62</v>
      </c>
      <c r="H133" s="29"/>
      <c r="I133" s="29"/>
      <c r="J133" s="29"/>
      <c r="K133" s="29" t="n">
        <v>0.1448</v>
      </c>
      <c r="L133" s="31" t="n">
        <v>0.1448</v>
      </c>
    </row>
    <row r="134" customFormat="false" ht="12.8" hidden="false" customHeight="false" outlineLevel="0" collapsed="false">
      <c r="A134" s="1" t="n">
        <v>48</v>
      </c>
      <c r="B134" s="42" t="s">
        <v>61</v>
      </c>
      <c r="C134" s="1" t="n">
        <v>0.154</v>
      </c>
      <c r="D134" s="1" t="s">
        <v>50</v>
      </c>
      <c r="F134" s="27"/>
      <c r="G134" s="47" t="s">
        <v>61</v>
      </c>
      <c r="H134" s="29" t="n">
        <v>0.1392</v>
      </c>
      <c r="I134" s="29"/>
      <c r="J134" s="29"/>
      <c r="K134" s="29"/>
      <c r="L134" s="31" t="n">
        <v>0.1392</v>
      </c>
    </row>
    <row r="135" customFormat="false" ht="12.8" hidden="false" customHeight="false" outlineLevel="0" collapsed="false">
      <c r="A135" s="1" t="n">
        <v>0</v>
      </c>
      <c r="B135" s="42" t="s">
        <v>49</v>
      </c>
      <c r="C135" s="1" t="n">
        <v>0.3218</v>
      </c>
      <c r="D135" s="1" t="s">
        <v>53</v>
      </c>
      <c r="F135" s="27"/>
      <c r="G135" s="47" t="s">
        <v>49</v>
      </c>
      <c r="H135" s="29" t="n">
        <v>0.1946</v>
      </c>
      <c r="I135" s="29" t="n">
        <v>0.1815</v>
      </c>
      <c r="J135" s="29" t="n">
        <v>0.1662</v>
      </c>
      <c r="K135" s="29" t="n">
        <v>0.1923</v>
      </c>
      <c r="L135" s="31" t="n">
        <v>0.7346</v>
      </c>
    </row>
    <row r="136" customFormat="false" ht="12.8" hidden="false" customHeight="false" outlineLevel="0" collapsed="false">
      <c r="A136" s="1" t="n">
        <v>0</v>
      </c>
      <c r="B136" s="42" t="s">
        <v>52</v>
      </c>
      <c r="C136" s="1" t="n">
        <v>0.2954</v>
      </c>
      <c r="D136" s="1" t="s">
        <v>53</v>
      </c>
      <c r="F136" s="48"/>
      <c r="G136" s="49" t="s">
        <v>57</v>
      </c>
      <c r="H136" s="33" t="n">
        <v>0.1558</v>
      </c>
      <c r="I136" s="33" t="n">
        <v>0.148</v>
      </c>
      <c r="J136" s="33" t="n">
        <v>0.1447</v>
      </c>
      <c r="K136" s="33" t="n">
        <v>0.1498</v>
      </c>
      <c r="L136" s="35" t="n">
        <v>0.5983</v>
      </c>
    </row>
    <row r="137" customFormat="false" ht="12.8" hidden="false" customHeight="false" outlineLevel="0" collapsed="false">
      <c r="A137" s="1" t="n">
        <v>0</v>
      </c>
      <c r="B137" s="42" t="s">
        <v>58</v>
      </c>
      <c r="C137" s="1" t="n">
        <v>0.2828</v>
      </c>
      <c r="D137" s="1" t="s">
        <v>53</v>
      </c>
      <c r="F137" s="22" t="n">
        <v>28</v>
      </c>
      <c r="G137" s="46" t="s">
        <v>64</v>
      </c>
      <c r="H137" s="23" t="n">
        <v>0.1717</v>
      </c>
      <c r="I137" s="24" t="n">
        <v>0.1744</v>
      </c>
      <c r="J137" s="24" t="n">
        <v>0.1829</v>
      </c>
      <c r="K137" s="25" t="n">
        <v>0.1758</v>
      </c>
      <c r="L137" s="26" t="n">
        <v>0.7048</v>
      </c>
    </row>
    <row r="138" customFormat="false" ht="12.8" hidden="false" customHeight="false" outlineLevel="0" collapsed="false">
      <c r="A138" s="1" t="n">
        <v>0</v>
      </c>
      <c r="B138" s="42" t="s">
        <v>57</v>
      </c>
      <c r="C138" s="1" t="n">
        <v>0.1</v>
      </c>
      <c r="D138" s="1" t="s">
        <v>53</v>
      </c>
      <c r="F138" s="27"/>
      <c r="G138" s="47" t="s">
        <v>52</v>
      </c>
      <c r="H138" s="28" t="n">
        <v>0.1826</v>
      </c>
      <c r="I138" s="29" t="n">
        <v>0.1837</v>
      </c>
      <c r="J138" s="29" t="n">
        <v>0.1801</v>
      </c>
      <c r="K138" s="30" t="n">
        <v>0.1791</v>
      </c>
      <c r="L138" s="31" t="n">
        <v>0.7255</v>
      </c>
    </row>
    <row r="139" customFormat="false" ht="12.8" hidden="false" customHeight="false" outlineLevel="0" collapsed="false">
      <c r="A139" s="1" t="n">
        <v>2</v>
      </c>
      <c r="B139" s="42" t="s">
        <v>52</v>
      </c>
      <c r="C139" s="1" t="n">
        <v>0.9</v>
      </c>
      <c r="D139" s="1" t="s">
        <v>53</v>
      </c>
      <c r="F139" s="27"/>
      <c r="G139" s="47" t="s">
        <v>66</v>
      </c>
      <c r="H139" s="28" t="n">
        <v>0.141</v>
      </c>
      <c r="I139" s="29" t="n">
        <v>0.1418</v>
      </c>
      <c r="J139" s="29" t="n">
        <v>0.1531</v>
      </c>
      <c r="K139" s="30"/>
      <c r="L139" s="31" t="n">
        <v>0.4359</v>
      </c>
    </row>
    <row r="140" customFormat="false" ht="12.8" hidden="false" customHeight="false" outlineLevel="0" collapsed="false">
      <c r="A140" s="1" t="n">
        <v>2</v>
      </c>
      <c r="B140" s="42" t="s">
        <v>57</v>
      </c>
      <c r="C140" s="1" t="n">
        <v>0.1</v>
      </c>
      <c r="D140" s="1" t="s">
        <v>53</v>
      </c>
      <c r="F140" s="27"/>
      <c r="G140" s="47" t="s">
        <v>56</v>
      </c>
      <c r="H140" s="28" t="n">
        <v>0.1923</v>
      </c>
      <c r="I140" s="29" t="n">
        <v>0.1792</v>
      </c>
      <c r="J140" s="29" t="n">
        <v>0.1752</v>
      </c>
      <c r="K140" s="30" t="n">
        <v>0.1871</v>
      </c>
      <c r="L140" s="31" t="n">
        <v>0.7338</v>
      </c>
    </row>
    <row r="141" customFormat="false" ht="12.8" hidden="false" customHeight="false" outlineLevel="0" collapsed="false">
      <c r="A141" s="1" t="n">
        <v>4</v>
      </c>
      <c r="B141" s="42" t="s">
        <v>58</v>
      </c>
      <c r="C141" s="1" t="n">
        <v>0.303</v>
      </c>
      <c r="D141" s="1" t="s">
        <v>53</v>
      </c>
      <c r="F141" s="27"/>
      <c r="G141" s="47" t="s">
        <v>62</v>
      </c>
      <c r="H141" s="28"/>
      <c r="I141" s="29"/>
      <c r="J141" s="29"/>
      <c r="K141" s="30" t="n">
        <v>0.1646</v>
      </c>
      <c r="L141" s="31" t="n">
        <v>0.1646</v>
      </c>
    </row>
    <row r="142" customFormat="false" ht="12.8" hidden="false" customHeight="false" outlineLevel="0" collapsed="false">
      <c r="A142" s="1" t="n">
        <v>4</v>
      </c>
      <c r="B142" s="42" t="s">
        <v>65</v>
      </c>
      <c r="C142" s="1" t="n">
        <v>0.3003</v>
      </c>
      <c r="D142" s="1" t="s">
        <v>53</v>
      </c>
      <c r="F142" s="27"/>
      <c r="G142" s="47" t="s">
        <v>49</v>
      </c>
      <c r="H142" s="28" t="n">
        <v>0.1667</v>
      </c>
      <c r="I142" s="29" t="n">
        <v>0.1792</v>
      </c>
      <c r="J142" s="29" t="n">
        <v>0.1559</v>
      </c>
      <c r="K142" s="30" t="n">
        <v>0.1933</v>
      </c>
      <c r="L142" s="31" t="n">
        <v>0.6951</v>
      </c>
    </row>
    <row r="143" customFormat="false" ht="12.8" hidden="false" customHeight="false" outlineLevel="0" collapsed="false">
      <c r="A143" s="1" t="n">
        <v>4</v>
      </c>
      <c r="B143" s="42" t="s">
        <v>59</v>
      </c>
      <c r="C143" s="1" t="n">
        <v>0.2967</v>
      </c>
      <c r="D143" s="1" t="s">
        <v>53</v>
      </c>
      <c r="F143" s="48"/>
      <c r="G143" s="49" t="s">
        <v>57</v>
      </c>
      <c r="H143" s="32" t="n">
        <v>0.1457</v>
      </c>
      <c r="I143" s="33" t="n">
        <v>0.1417</v>
      </c>
      <c r="J143" s="33" t="n">
        <v>0.1528</v>
      </c>
      <c r="K143" s="34" t="n">
        <v>0.1</v>
      </c>
      <c r="L143" s="35" t="n">
        <v>0.5402</v>
      </c>
    </row>
    <row r="144" customFormat="false" ht="12.8" hidden="false" customHeight="false" outlineLevel="0" collapsed="false">
      <c r="A144" s="1" t="n">
        <v>4</v>
      </c>
      <c r="B144" s="42" t="s">
        <v>57</v>
      </c>
      <c r="C144" s="1" t="n">
        <v>0.1</v>
      </c>
      <c r="D144" s="1" t="s">
        <v>53</v>
      </c>
      <c r="F144" s="22" t="n">
        <v>30</v>
      </c>
      <c r="G144" s="46" t="s">
        <v>58</v>
      </c>
      <c r="H144" s="24" t="n">
        <v>0.2202</v>
      </c>
      <c r="I144" s="24" t="n">
        <v>0.1694</v>
      </c>
      <c r="J144" s="24" t="n">
        <v>0.2353</v>
      </c>
      <c r="K144" s="24" t="n">
        <v>0.1751</v>
      </c>
      <c r="L144" s="26" t="n">
        <v>0.8</v>
      </c>
    </row>
    <row r="145" customFormat="false" ht="12.8" hidden="false" customHeight="false" outlineLevel="0" collapsed="false">
      <c r="A145" s="1" t="n">
        <v>6</v>
      </c>
      <c r="B145" s="42" t="s">
        <v>58</v>
      </c>
      <c r="C145" s="1" t="n">
        <v>0.1881</v>
      </c>
      <c r="D145" s="1" t="s">
        <v>53</v>
      </c>
      <c r="F145" s="27"/>
      <c r="G145" s="47" t="s">
        <v>64</v>
      </c>
      <c r="H145" s="29"/>
      <c r="I145" s="29"/>
      <c r="J145" s="29" t="n">
        <v>0.166</v>
      </c>
      <c r="K145" s="29" t="n">
        <v>0.1597</v>
      </c>
      <c r="L145" s="31" t="n">
        <v>0.3257</v>
      </c>
    </row>
    <row r="146" customFormat="false" ht="12.8" hidden="false" customHeight="false" outlineLevel="0" collapsed="false">
      <c r="A146" s="1" t="n">
        <v>6</v>
      </c>
      <c r="B146" s="42" t="s">
        <v>52</v>
      </c>
      <c r="C146" s="1" t="n">
        <v>0.1665</v>
      </c>
      <c r="D146" s="1" t="s">
        <v>53</v>
      </c>
      <c r="F146" s="27"/>
      <c r="G146" s="47" t="s">
        <v>52</v>
      </c>
      <c r="H146" s="29"/>
      <c r="I146" s="29" t="n">
        <v>0.1606</v>
      </c>
      <c r="J146" s="29" t="n">
        <v>0.173</v>
      </c>
      <c r="K146" s="29" t="n">
        <v>0.1786</v>
      </c>
      <c r="L146" s="31" t="n">
        <v>0.5122</v>
      </c>
    </row>
    <row r="147" customFormat="false" ht="12.8" hidden="false" customHeight="false" outlineLevel="0" collapsed="false">
      <c r="A147" s="1" t="n">
        <v>6</v>
      </c>
      <c r="B147" s="42" t="s">
        <v>57</v>
      </c>
      <c r="C147" s="1" t="n">
        <v>0.1649</v>
      </c>
      <c r="D147" s="1" t="s">
        <v>53</v>
      </c>
      <c r="F147" s="27"/>
      <c r="G147" s="47" t="s">
        <v>66</v>
      </c>
      <c r="H147" s="29"/>
      <c r="I147" s="29" t="n">
        <v>0.156</v>
      </c>
      <c r="J147" s="29" t="n">
        <v>0.1562</v>
      </c>
      <c r="K147" s="29"/>
      <c r="L147" s="31" t="n">
        <v>0.3122</v>
      </c>
    </row>
    <row r="148" customFormat="false" ht="12.8" hidden="false" customHeight="false" outlineLevel="0" collapsed="false">
      <c r="A148" s="1" t="n">
        <v>6</v>
      </c>
      <c r="B148" s="42" t="s">
        <v>49</v>
      </c>
      <c r="C148" s="1" t="n">
        <v>0.1635</v>
      </c>
      <c r="D148" s="1" t="s">
        <v>53</v>
      </c>
      <c r="F148" s="27"/>
      <c r="G148" s="47" t="s">
        <v>56</v>
      </c>
      <c r="H148" s="29" t="n">
        <v>0.1985</v>
      </c>
      <c r="I148" s="29" t="n">
        <v>0.1752</v>
      </c>
      <c r="J148" s="29" t="n">
        <v>0.1696</v>
      </c>
      <c r="K148" s="29" t="n">
        <v>0.1901</v>
      </c>
      <c r="L148" s="31" t="n">
        <v>0.7334</v>
      </c>
    </row>
    <row r="149" customFormat="false" ht="12.8" hidden="false" customHeight="false" outlineLevel="0" collapsed="false">
      <c r="A149" s="1" t="n">
        <v>6</v>
      </c>
      <c r="B149" s="42" t="s">
        <v>60</v>
      </c>
      <c r="C149" s="1" t="n">
        <v>0.1602</v>
      </c>
      <c r="D149" s="1" t="s">
        <v>53</v>
      </c>
      <c r="F149" s="27"/>
      <c r="G149" s="47" t="s">
        <v>61</v>
      </c>
      <c r="H149" s="29" t="n">
        <v>0.1885</v>
      </c>
      <c r="I149" s="29"/>
      <c r="J149" s="29"/>
      <c r="K149" s="29"/>
      <c r="L149" s="31" t="n">
        <v>0.1885</v>
      </c>
    </row>
    <row r="150" customFormat="false" ht="12.8" hidden="false" customHeight="false" outlineLevel="0" collapsed="false">
      <c r="A150" s="1" t="n">
        <v>6</v>
      </c>
      <c r="B150" s="42" t="s">
        <v>56</v>
      </c>
      <c r="C150" s="1" t="n">
        <v>0.1568</v>
      </c>
      <c r="D150" s="1" t="s">
        <v>53</v>
      </c>
      <c r="F150" s="27"/>
      <c r="G150" s="47" t="s">
        <v>49</v>
      </c>
      <c r="H150" s="29" t="n">
        <v>0.2078</v>
      </c>
      <c r="I150" s="29" t="n">
        <v>0.1816</v>
      </c>
      <c r="J150" s="29"/>
      <c r="K150" s="29" t="n">
        <v>0.1964</v>
      </c>
      <c r="L150" s="31" t="n">
        <v>0.5858</v>
      </c>
    </row>
    <row r="151" customFormat="false" ht="12.8" hidden="false" customHeight="false" outlineLevel="0" collapsed="false">
      <c r="A151" s="1" t="n">
        <v>8</v>
      </c>
      <c r="B151" s="42" t="s">
        <v>58</v>
      </c>
      <c r="C151" s="1" t="n">
        <v>0.1829</v>
      </c>
      <c r="D151" s="1" t="s">
        <v>53</v>
      </c>
      <c r="F151" s="48"/>
      <c r="G151" s="49" t="s">
        <v>57</v>
      </c>
      <c r="H151" s="33" t="n">
        <v>0.1849</v>
      </c>
      <c r="I151" s="33" t="n">
        <v>0.1572</v>
      </c>
      <c r="J151" s="33" t="n">
        <v>0.1</v>
      </c>
      <c r="K151" s="33" t="n">
        <v>0.1</v>
      </c>
      <c r="L151" s="35" t="n">
        <v>0.5421</v>
      </c>
    </row>
    <row r="152" customFormat="false" ht="12.8" hidden="false" customHeight="false" outlineLevel="0" collapsed="false">
      <c r="A152" s="1" t="n">
        <v>8</v>
      </c>
      <c r="B152" s="42" t="s">
        <v>49</v>
      </c>
      <c r="C152" s="1" t="n">
        <v>0.1718</v>
      </c>
      <c r="D152" s="1" t="s">
        <v>53</v>
      </c>
      <c r="F152" s="22" t="n">
        <v>32</v>
      </c>
      <c r="G152" s="46" t="s">
        <v>58</v>
      </c>
      <c r="H152" s="23" t="n">
        <v>0.2032</v>
      </c>
      <c r="I152" s="24" t="n">
        <v>0.1922</v>
      </c>
      <c r="J152" s="24" t="n">
        <v>0.185</v>
      </c>
      <c r="K152" s="25" t="n">
        <v>0.1927</v>
      </c>
      <c r="L152" s="26" t="n">
        <v>0.7731</v>
      </c>
    </row>
    <row r="153" customFormat="false" ht="12.8" hidden="false" customHeight="false" outlineLevel="0" collapsed="false">
      <c r="A153" s="1" t="n">
        <v>8</v>
      </c>
      <c r="B153" s="42" t="s">
        <v>52</v>
      </c>
      <c r="C153" s="1" t="n">
        <v>0.1653</v>
      </c>
      <c r="D153" s="1" t="s">
        <v>53</v>
      </c>
      <c r="F153" s="27"/>
      <c r="G153" s="47" t="s">
        <v>65</v>
      </c>
      <c r="H153" s="28"/>
      <c r="I153" s="29" t="n">
        <v>0.1487</v>
      </c>
      <c r="J153" s="29"/>
      <c r="K153" s="30"/>
      <c r="L153" s="31" t="n">
        <v>0.1487</v>
      </c>
    </row>
    <row r="154" customFormat="false" ht="12.8" hidden="false" customHeight="false" outlineLevel="0" collapsed="false">
      <c r="A154" s="1" t="n">
        <v>8</v>
      </c>
      <c r="B154" s="42" t="s">
        <v>57</v>
      </c>
      <c r="C154" s="1" t="n">
        <v>0.163</v>
      </c>
      <c r="D154" s="1" t="s">
        <v>53</v>
      </c>
      <c r="F154" s="27"/>
      <c r="G154" s="47" t="s">
        <v>52</v>
      </c>
      <c r="H154" s="28" t="n">
        <v>0.146</v>
      </c>
      <c r="I154" s="29" t="n">
        <v>0.1657</v>
      </c>
      <c r="J154" s="29" t="n">
        <v>0.1628</v>
      </c>
      <c r="K154" s="30" t="n">
        <v>0.1685</v>
      </c>
      <c r="L154" s="31" t="n">
        <v>0.643</v>
      </c>
    </row>
    <row r="155" customFormat="false" ht="12.8" hidden="false" customHeight="false" outlineLevel="0" collapsed="false">
      <c r="A155" s="1" t="n">
        <v>8</v>
      </c>
      <c r="B155" s="42" t="s">
        <v>60</v>
      </c>
      <c r="C155" s="1" t="n">
        <v>0.1598</v>
      </c>
      <c r="D155" s="1" t="s">
        <v>53</v>
      </c>
      <c r="F155" s="27"/>
      <c r="G155" s="47" t="s">
        <v>66</v>
      </c>
      <c r="H155" s="28"/>
      <c r="I155" s="29" t="n">
        <v>0.1546</v>
      </c>
      <c r="J155" s="29" t="n">
        <v>0.1601</v>
      </c>
      <c r="K155" s="30" t="n">
        <v>0.1518</v>
      </c>
      <c r="L155" s="31" t="n">
        <v>0.4665</v>
      </c>
    </row>
    <row r="156" customFormat="false" ht="12.8" hidden="false" customHeight="false" outlineLevel="0" collapsed="false">
      <c r="A156" s="1" t="n">
        <v>8</v>
      </c>
      <c r="B156" s="42" t="s">
        <v>65</v>
      </c>
      <c r="C156" s="1" t="n">
        <v>0.1572</v>
      </c>
      <c r="D156" s="1" t="s">
        <v>53</v>
      </c>
      <c r="F156" s="27"/>
      <c r="G156" s="47" t="s">
        <v>56</v>
      </c>
      <c r="H156" s="28" t="n">
        <v>0.1657</v>
      </c>
      <c r="I156" s="29" t="n">
        <v>0.1671</v>
      </c>
      <c r="J156" s="29" t="n">
        <v>0.1806</v>
      </c>
      <c r="K156" s="30" t="n">
        <v>0.1805</v>
      </c>
      <c r="L156" s="31" t="n">
        <v>0.6939</v>
      </c>
    </row>
    <row r="157" customFormat="false" ht="12.8" hidden="false" customHeight="false" outlineLevel="0" collapsed="false">
      <c r="A157" s="1" t="n">
        <v>10</v>
      </c>
      <c r="B157" s="42" t="s">
        <v>49</v>
      </c>
      <c r="C157" s="1" t="n">
        <v>0.2217</v>
      </c>
      <c r="D157" s="1" t="s">
        <v>53</v>
      </c>
      <c r="F157" s="27"/>
      <c r="G157" s="47" t="s">
        <v>62</v>
      </c>
      <c r="H157" s="28" t="n">
        <v>0.1569</v>
      </c>
      <c r="I157" s="29"/>
      <c r="J157" s="29" t="n">
        <v>0.1418</v>
      </c>
      <c r="K157" s="30"/>
      <c r="L157" s="31" t="n">
        <v>0.2987</v>
      </c>
    </row>
    <row r="158" customFormat="false" ht="12.8" hidden="false" customHeight="false" outlineLevel="0" collapsed="false">
      <c r="A158" s="1" t="n">
        <v>10</v>
      </c>
      <c r="B158" s="42" t="s">
        <v>52</v>
      </c>
      <c r="C158" s="1" t="n">
        <v>0.1801</v>
      </c>
      <c r="D158" s="1" t="s">
        <v>53</v>
      </c>
      <c r="F158" s="27"/>
      <c r="G158" s="47" t="s">
        <v>61</v>
      </c>
      <c r="H158" s="28" t="n">
        <v>0.1455</v>
      </c>
      <c r="I158" s="29"/>
      <c r="J158" s="29"/>
      <c r="K158" s="30"/>
      <c r="L158" s="31" t="n">
        <v>0.1455</v>
      </c>
    </row>
    <row r="159" customFormat="false" ht="12.8" hidden="false" customHeight="false" outlineLevel="0" collapsed="false">
      <c r="A159" s="1" t="n">
        <v>10</v>
      </c>
      <c r="B159" s="42" t="s">
        <v>60</v>
      </c>
      <c r="C159" s="1" t="n">
        <v>0.1705</v>
      </c>
      <c r="D159" s="1" t="s">
        <v>53</v>
      </c>
      <c r="F159" s="27"/>
      <c r="G159" s="47" t="s">
        <v>49</v>
      </c>
      <c r="H159" s="28"/>
      <c r="I159" s="29"/>
      <c r="J159" s="29"/>
      <c r="K159" s="30" t="n">
        <v>0.1464</v>
      </c>
      <c r="L159" s="31" t="n">
        <v>0.1464</v>
      </c>
    </row>
    <row r="160" customFormat="false" ht="12.8" hidden="false" customHeight="false" outlineLevel="0" collapsed="false">
      <c r="A160" s="1" t="n">
        <v>10</v>
      </c>
      <c r="B160" s="42" t="s">
        <v>56</v>
      </c>
      <c r="C160" s="1" t="n">
        <v>0.1641</v>
      </c>
      <c r="D160" s="1" t="s">
        <v>53</v>
      </c>
      <c r="F160" s="48"/>
      <c r="G160" s="49" t="s">
        <v>57</v>
      </c>
      <c r="H160" s="32" t="n">
        <v>0.1827</v>
      </c>
      <c r="I160" s="33" t="n">
        <v>0.1716</v>
      </c>
      <c r="J160" s="33" t="n">
        <v>0.1697</v>
      </c>
      <c r="K160" s="34" t="n">
        <v>0.1602</v>
      </c>
      <c r="L160" s="35" t="n">
        <v>0.6842</v>
      </c>
    </row>
    <row r="161" customFormat="false" ht="12.8" hidden="false" customHeight="false" outlineLevel="0" collapsed="false">
      <c r="A161" s="1" t="n">
        <v>10</v>
      </c>
      <c r="B161" s="42" t="s">
        <v>58</v>
      </c>
      <c r="C161" s="1" t="n">
        <v>0.1635</v>
      </c>
      <c r="D161" s="1" t="s">
        <v>53</v>
      </c>
      <c r="F161" s="22" t="n">
        <v>34</v>
      </c>
      <c r="G161" s="46" t="s">
        <v>58</v>
      </c>
      <c r="H161" s="24" t="n">
        <v>0.1746</v>
      </c>
      <c r="I161" s="24" t="n">
        <v>0.3474</v>
      </c>
      <c r="J161" s="24" t="n">
        <v>0.1841</v>
      </c>
      <c r="K161" s="24" t="n">
        <v>0.1676</v>
      </c>
      <c r="L161" s="26" t="n">
        <v>0.8737</v>
      </c>
    </row>
    <row r="162" customFormat="false" ht="12.8" hidden="false" customHeight="false" outlineLevel="0" collapsed="false">
      <c r="A162" s="1" t="n">
        <v>10</v>
      </c>
      <c r="B162" s="42" t="s">
        <v>57</v>
      </c>
      <c r="C162" s="1" t="n">
        <v>0.1</v>
      </c>
      <c r="D162" s="1" t="s">
        <v>53</v>
      </c>
      <c r="F162" s="27"/>
      <c r="G162" s="47" t="s">
        <v>64</v>
      </c>
      <c r="H162" s="29"/>
      <c r="I162" s="29"/>
      <c r="J162" s="29" t="n">
        <v>0.1584</v>
      </c>
      <c r="K162" s="29"/>
      <c r="L162" s="31" t="n">
        <v>0.1584</v>
      </c>
    </row>
    <row r="163" customFormat="false" ht="12.8" hidden="false" customHeight="false" outlineLevel="0" collapsed="false">
      <c r="A163" s="1" t="n">
        <v>12</v>
      </c>
      <c r="B163" s="42" t="s">
        <v>49</v>
      </c>
      <c r="C163" s="1" t="n">
        <v>0.9</v>
      </c>
      <c r="D163" s="1" t="s">
        <v>53</v>
      </c>
      <c r="F163" s="27"/>
      <c r="G163" s="47" t="s">
        <v>52</v>
      </c>
      <c r="H163" s="29" t="n">
        <v>0.1536</v>
      </c>
      <c r="I163" s="29" t="n">
        <v>0.3265</v>
      </c>
      <c r="J163" s="29" t="n">
        <v>0.1727</v>
      </c>
      <c r="K163" s="29" t="n">
        <v>0.1704</v>
      </c>
      <c r="L163" s="31" t="n">
        <v>0.8232</v>
      </c>
    </row>
    <row r="164" customFormat="false" ht="12.8" hidden="false" customHeight="false" outlineLevel="0" collapsed="false">
      <c r="A164" s="1" t="n">
        <v>12</v>
      </c>
      <c r="B164" s="42" t="s">
        <v>57</v>
      </c>
      <c r="C164" s="1" t="n">
        <v>0.1</v>
      </c>
      <c r="D164" s="1" t="s">
        <v>53</v>
      </c>
      <c r="F164" s="27"/>
      <c r="G164" s="47" t="s">
        <v>56</v>
      </c>
      <c r="H164" s="29" t="n">
        <v>0.1696</v>
      </c>
      <c r="I164" s="29"/>
      <c r="J164" s="29" t="n">
        <v>0.1668</v>
      </c>
      <c r="K164" s="29" t="n">
        <v>0.1752</v>
      </c>
      <c r="L164" s="31" t="n">
        <v>0.5116</v>
      </c>
    </row>
    <row r="165" customFormat="false" ht="12.8" hidden="false" customHeight="false" outlineLevel="0" collapsed="false">
      <c r="A165" s="1" t="n">
        <v>14</v>
      </c>
      <c r="B165" s="42" t="s">
        <v>61</v>
      </c>
      <c r="C165" s="1" t="n">
        <v>0.3239</v>
      </c>
      <c r="D165" s="1" t="s">
        <v>53</v>
      </c>
      <c r="F165" s="27"/>
      <c r="G165" s="47" t="s">
        <v>61</v>
      </c>
      <c r="H165" s="29" t="n">
        <v>0.1788</v>
      </c>
      <c r="I165" s="29"/>
      <c r="J165" s="29"/>
      <c r="K165" s="29" t="n">
        <v>0.1549</v>
      </c>
      <c r="L165" s="31" t="n">
        <v>0.3337</v>
      </c>
    </row>
    <row r="166" customFormat="false" ht="12.8" hidden="false" customHeight="false" outlineLevel="0" collapsed="false">
      <c r="A166" s="1" t="n">
        <v>14</v>
      </c>
      <c r="B166" s="42" t="s">
        <v>58</v>
      </c>
      <c r="C166" s="1" t="n">
        <v>0.2977</v>
      </c>
      <c r="D166" s="1" t="s">
        <v>53</v>
      </c>
      <c r="F166" s="27"/>
      <c r="G166" s="47" t="s">
        <v>49</v>
      </c>
      <c r="H166" s="29" t="n">
        <v>0.153</v>
      </c>
      <c r="I166" s="29"/>
      <c r="J166" s="29" t="n">
        <v>0.1574</v>
      </c>
      <c r="K166" s="29" t="n">
        <v>0.1715</v>
      </c>
      <c r="L166" s="31" t="n">
        <v>0.4819</v>
      </c>
    </row>
    <row r="167" customFormat="false" ht="12.8" hidden="false" customHeight="false" outlineLevel="0" collapsed="false">
      <c r="A167" s="1" t="n">
        <v>14</v>
      </c>
      <c r="B167" s="42" t="s">
        <v>60</v>
      </c>
      <c r="C167" s="1" t="n">
        <v>0.2784</v>
      </c>
      <c r="D167" s="1" t="s">
        <v>53</v>
      </c>
      <c r="F167" s="48"/>
      <c r="G167" s="49" t="s">
        <v>57</v>
      </c>
      <c r="H167" s="33" t="n">
        <v>0.1704</v>
      </c>
      <c r="I167" s="33" t="n">
        <v>0.3261</v>
      </c>
      <c r="J167" s="33" t="n">
        <v>0.1606</v>
      </c>
      <c r="K167" s="33" t="n">
        <v>0.1604</v>
      </c>
      <c r="L167" s="35" t="n">
        <v>0.8175</v>
      </c>
    </row>
    <row r="168" customFormat="false" ht="12.8" hidden="false" customHeight="false" outlineLevel="0" collapsed="false">
      <c r="A168" s="1" t="n">
        <v>14</v>
      </c>
      <c r="B168" s="42" t="s">
        <v>57</v>
      </c>
      <c r="C168" s="1" t="n">
        <v>0.1</v>
      </c>
      <c r="D168" s="1" t="s">
        <v>53</v>
      </c>
      <c r="F168" s="22" t="n">
        <v>36</v>
      </c>
      <c r="G168" s="46" t="s">
        <v>58</v>
      </c>
      <c r="H168" s="23" t="n">
        <v>0.1736</v>
      </c>
      <c r="I168" s="24" t="n">
        <v>0.1902</v>
      </c>
      <c r="J168" s="24" t="n">
        <v>0.1972</v>
      </c>
      <c r="K168" s="25" t="n">
        <v>0.1804</v>
      </c>
      <c r="L168" s="26" t="n">
        <v>0.7414</v>
      </c>
    </row>
    <row r="169" customFormat="false" ht="12.8" hidden="false" customHeight="false" outlineLevel="0" collapsed="false">
      <c r="A169" s="1" t="n">
        <v>16</v>
      </c>
      <c r="B169" s="42" t="s">
        <v>56</v>
      </c>
      <c r="C169" s="1" t="n">
        <v>0.9</v>
      </c>
      <c r="D169" s="1" t="s">
        <v>53</v>
      </c>
      <c r="F169" s="27"/>
      <c r="G169" s="47" t="s">
        <v>64</v>
      </c>
      <c r="H169" s="28"/>
      <c r="I169" s="29"/>
      <c r="J169" s="29" t="n">
        <v>0.1567</v>
      </c>
      <c r="K169" s="30" t="n">
        <v>0.171</v>
      </c>
      <c r="L169" s="31" t="n">
        <v>0.3277</v>
      </c>
    </row>
    <row r="170" customFormat="false" ht="12.8" hidden="false" customHeight="false" outlineLevel="0" collapsed="false">
      <c r="A170" s="1" t="n">
        <v>16</v>
      </c>
      <c r="B170" s="42" t="s">
        <v>57</v>
      </c>
      <c r="C170" s="1" t="n">
        <v>0.1</v>
      </c>
      <c r="D170" s="1" t="s">
        <v>53</v>
      </c>
      <c r="F170" s="27"/>
      <c r="G170" s="47" t="s">
        <v>52</v>
      </c>
      <c r="H170" s="28" t="n">
        <v>0.1647</v>
      </c>
      <c r="I170" s="29" t="n">
        <v>0.1593</v>
      </c>
      <c r="J170" s="29" t="n">
        <v>0.1642</v>
      </c>
      <c r="K170" s="30" t="n">
        <v>0.1765</v>
      </c>
      <c r="L170" s="31" t="n">
        <v>0.6647</v>
      </c>
    </row>
    <row r="171" customFormat="false" ht="12.8" hidden="false" customHeight="false" outlineLevel="0" collapsed="false">
      <c r="A171" s="1" t="n">
        <v>18</v>
      </c>
      <c r="B171" s="42" t="s">
        <v>56</v>
      </c>
      <c r="C171" s="1" t="n">
        <v>0.212</v>
      </c>
      <c r="D171" s="1" t="s">
        <v>53</v>
      </c>
      <c r="F171" s="27"/>
      <c r="G171" s="47" t="s">
        <v>56</v>
      </c>
      <c r="H171" s="28" t="n">
        <v>0.1712</v>
      </c>
      <c r="I171" s="29" t="n">
        <v>0.1755</v>
      </c>
      <c r="J171" s="29" t="n">
        <v>0.1654</v>
      </c>
      <c r="K171" s="30" t="n">
        <v>0.1719</v>
      </c>
      <c r="L171" s="31" t="n">
        <v>0.684</v>
      </c>
    </row>
    <row r="172" customFormat="false" ht="12.8" hidden="false" customHeight="false" outlineLevel="0" collapsed="false">
      <c r="A172" s="1" t="n">
        <v>18</v>
      </c>
      <c r="B172" s="42" t="s">
        <v>52</v>
      </c>
      <c r="C172" s="1" t="n">
        <v>0.1873</v>
      </c>
      <c r="D172" s="1" t="s">
        <v>53</v>
      </c>
      <c r="F172" s="27"/>
      <c r="G172" s="47" t="s">
        <v>61</v>
      </c>
      <c r="H172" s="28" t="n">
        <v>0.1797</v>
      </c>
      <c r="I172" s="29" t="n">
        <v>0.1495</v>
      </c>
      <c r="J172" s="29"/>
      <c r="K172" s="30"/>
      <c r="L172" s="31" t="n">
        <v>0.3292</v>
      </c>
    </row>
    <row r="173" customFormat="false" ht="12.8" hidden="false" customHeight="false" outlineLevel="0" collapsed="false">
      <c r="A173" s="1" t="n">
        <v>18</v>
      </c>
      <c r="B173" s="42" t="s">
        <v>64</v>
      </c>
      <c r="C173" s="1" t="n">
        <v>0.1737</v>
      </c>
      <c r="D173" s="1" t="s">
        <v>53</v>
      </c>
      <c r="F173" s="27"/>
      <c r="G173" s="47" t="s">
        <v>49</v>
      </c>
      <c r="H173" s="28" t="n">
        <v>0.1586</v>
      </c>
      <c r="I173" s="29" t="n">
        <v>0.1639</v>
      </c>
      <c r="J173" s="29" t="n">
        <v>0.1552</v>
      </c>
      <c r="K173" s="30" t="n">
        <v>0.2001</v>
      </c>
      <c r="L173" s="31" t="n">
        <v>0.6778</v>
      </c>
    </row>
    <row r="174" customFormat="false" ht="12.8" hidden="false" customHeight="false" outlineLevel="0" collapsed="false">
      <c r="A174" s="1" t="n">
        <v>18</v>
      </c>
      <c r="B174" s="42" t="s">
        <v>49</v>
      </c>
      <c r="C174" s="1" t="n">
        <v>0.1703</v>
      </c>
      <c r="D174" s="1" t="s">
        <v>53</v>
      </c>
      <c r="F174" s="48"/>
      <c r="G174" s="49" t="s">
        <v>57</v>
      </c>
      <c r="H174" s="32" t="n">
        <v>0.1522</v>
      </c>
      <c r="I174" s="33" t="n">
        <v>0.1617</v>
      </c>
      <c r="J174" s="33" t="n">
        <v>0.1614</v>
      </c>
      <c r="K174" s="34" t="n">
        <v>0.1</v>
      </c>
      <c r="L174" s="35" t="n">
        <v>0.5753</v>
      </c>
    </row>
    <row r="175" customFormat="false" ht="12.8" hidden="false" customHeight="false" outlineLevel="0" collapsed="false">
      <c r="A175" s="1" t="n">
        <v>18</v>
      </c>
      <c r="B175" s="42" t="s">
        <v>66</v>
      </c>
      <c r="C175" s="1" t="n">
        <v>0.1567</v>
      </c>
      <c r="D175" s="1" t="s">
        <v>53</v>
      </c>
      <c r="F175" s="22" t="n">
        <v>38</v>
      </c>
      <c r="G175" s="46" t="s">
        <v>58</v>
      </c>
      <c r="H175" s="24"/>
      <c r="I175" s="24" t="n">
        <v>0.1658</v>
      </c>
      <c r="J175" s="24" t="n">
        <v>0.1853</v>
      </c>
      <c r="K175" s="24"/>
      <c r="L175" s="26" t="n">
        <v>0.3511</v>
      </c>
    </row>
    <row r="176" customFormat="false" ht="12.8" hidden="false" customHeight="false" outlineLevel="0" collapsed="false">
      <c r="A176" s="1" t="n">
        <v>18</v>
      </c>
      <c r="B176" s="42" t="s">
        <v>57</v>
      </c>
      <c r="C176" s="1" t="n">
        <v>0.1</v>
      </c>
      <c r="D176" s="1" t="s">
        <v>53</v>
      </c>
      <c r="F176" s="27"/>
      <c r="G176" s="47" t="s">
        <v>64</v>
      </c>
      <c r="H176" s="29" t="n">
        <v>0.1655</v>
      </c>
      <c r="I176" s="29" t="n">
        <v>0.154</v>
      </c>
      <c r="J176" s="29" t="n">
        <v>0.1584</v>
      </c>
      <c r="K176" s="29" t="n">
        <v>0.1747</v>
      </c>
      <c r="L176" s="31" t="n">
        <v>0.6526</v>
      </c>
    </row>
    <row r="177" customFormat="false" ht="12.8" hidden="false" customHeight="false" outlineLevel="0" collapsed="false">
      <c r="A177" s="1" t="n">
        <v>20</v>
      </c>
      <c r="B177" s="42" t="s">
        <v>57</v>
      </c>
      <c r="C177" s="1" t="n">
        <v>0.1787</v>
      </c>
      <c r="D177" s="1" t="s">
        <v>53</v>
      </c>
      <c r="F177" s="27"/>
      <c r="G177" s="47" t="s">
        <v>52</v>
      </c>
      <c r="H177" s="29" t="n">
        <v>0.1747</v>
      </c>
      <c r="I177" s="29" t="n">
        <v>0.1652</v>
      </c>
      <c r="J177" s="29" t="n">
        <v>0.1772</v>
      </c>
      <c r="K177" s="29" t="n">
        <v>0.1818</v>
      </c>
      <c r="L177" s="31" t="n">
        <v>0.6989</v>
      </c>
    </row>
    <row r="178" customFormat="false" ht="12.8" hidden="false" customHeight="false" outlineLevel="0" collapsed="false">
      <c r="A178" s="1" t="n">
        <v>20</v>
      </c>
      <c r="B178" s="42" t="s">
        <v>62</v>
      </c>
      <c r="C178" s="1" t="n">
        <v>0.1766</v>
      </c>
      <c r="D178" s="1" t="s">
        <v>53</v>
      </c>
      <c r="F178" s="27"/>
      <c r="G178" s="47" t="s">
        <v>56</v>
      </c>
      <c r="H178" s="29" t="n">
        <v>0.1987</v>
      </c>
      <c r="I178" s="29" t="n">
        <v>0.1929</v>
      </c>
      <c r="J178" s="29" t="n">
        <v>0.1952</v>
      </c>
      <c r="K178" s="29" t="n">
        <v>0.184</v>
      </c>
      <c r="L178" s="31" t="n">
        <v>0.7708</v>
      </c>
    </row>
    <row r="179" customFormat="false" ht="12.8" hidden="false" customHeight="false" outlineLevel="0" collapsed="false">
      <c r="A179" s="1" t="n">
        <v>20</v>
      </c>
      <c r="B179" s="42" t="s">
        <v>52</v>
      </c>
      <c r="C179" s="1" t="n">
        <v>0.1684</v>
      </c>
      <c r="D179" s="1" t="s">
        <v>53</v>
      </c>
      <c r="F179" s="27"/>
      <c r="G179" s="47" t="s">
        <v>61</v>
      </c>
      <c r="H179" s="29" t="n">
        <v>0.1869</v>
      </c>
      <c r="I179" s="29"/>
      <c r="J179" s="29"/>
      <c r="K179" s="29" t="n">
        <v>0.1583</v>
      </c>
      <c r="L179" s="31" t="n">
        <v>0.3452</v>
      </c>
    </row>
    <row r="180" customFormat="false" ht="12.8" hidden="false" customHeight="false" outlineLevel="0" collapsed="false">
      <c r="A180" s="1" t="n">
        <v>20</v>
      </c>
      <c r="B180" s="42" t="s">
        <v>56</v>
      </c>
      <c r="C180" s="1" t="n">
        <v>0.1606</v>
      </c>
      <c r="D180" s="1" t="s">
        <v>53</v>
      </c>
      <c r="F180" s="27"/>
      <c r="G180" s="47" t="s">
        <v>49</v>
      </c>
      <c r="H180" s="29" t="n">
        <v>0.1742</v>
      </c>
      <c r="I180" s="29" t="n">
        <v>0.1715</v>
      </c>
      <c r="J180" s="29" t="n">
        <v>0.1839</v>
      </c>
      <c r="K180" s="29" t="n">
        <v>0.2012</v>
      </c>
      <c r="L180" s="31" t="n">
        <v>0.7308</v>
      </c>
    </row>
    <row r="181" customFormat="false" ht="12.8" hidden="false" customHeight="false" outlineLevel="0" collapsed="false">
      <c r="A181" s="1" t="n">
        <v>20</v>
      </c>
      <c r="B181" s="42" t="s">
        <v>66</v>
      </c>
      <c r="C181" s="1" t="n">
        <v>0.1582</v>
      </c>
      <c r="D181" s="1" t="s">
        <v>53</v>
      </c>
      <c r="F181" s="48"/>
      <c r="G181" s="49" t="s">
        <v>57</v>
      </c>
      <c r="H181" s="33" t="n">
        <v>0.1</v>
      </c>
      <c r="I181" s="33" t="n">
        <v>0.1506</v>
      </c>
      <c r="J181" s="33" t="n">
        <v>0.1</v>
      </c>
      <c r="K181" s="33" t="n">
        <v>0.1</v>
      </c>
      <c r="L181" s="35" t="n">
        <v>0.4506</v>
      </c>
    </row>
    <row r="182" customFormat="false" ht="12.8" hidden="false" customHeight="false" outlineLevel="0" collapsed="false">
      <c r="A182" s="1" t="n">
        <v>20</v>
      </c>
      <c r="B182" s="42" t="s">
        <v>58</v>
      </c>
      <c r="C182" s="1" t="n">
        <v>0.1575</v>
      </c>
      <c r="D182" s="1" t="s">
        <v>53</v>
      </c>
      <c r="F182" s="22" t="n">
        <v>40</v>
      </c>
      <c r="G182" s="46" t="s">
        <v>58</v>
      </c>
      <c r="H182" s="23"/>
      <c r="I182" s="24"/>
      <c r="J182" s="24" t="n">
        <v>0.1625</v>
      </c>
      <c r="K182" s="25"/>
      <c r="L182" s="26" t="n">
        <v>0.1625</v>
      </c>
    </row>
    <row r="183" customFormat="false" ht="12.8" hidden="false" customHeight="false" outlineLevel="0" collapsed="false">
      <c r="A183" s="1" t="n">
        <v>22</v>
      </c>
      <c r="B183" s="42" t="s">
        <v>58</v>
      </c>
      <c r="C183" s="1" t="n">
        <v>0.2635</v>
      </c>
      <c r="D183" s="1" t="s">
        <v>53</v>
      </c>
      <c r="F183" s="27"/>
      <c r="G183" s="47" t="s">
        <v>60</v>
      </c>
      <c r="H183" s="28"/>
      <c r="I183" s="29"/>
      <c r="J183" s="29"/>
      <c r="K183" s="30" t="n">
        <v>0.1378</v>
      </c>
      <c r="L183" s="31" t="n">
        <v>0.1378</v>
      </c>
    </row>
    <row r="184" customFormat="false" ht="12.8" hidden="false" customHeight="false" outlineLevel="0" collapsed="false">
      <c r="A184" s="1" t="n">
        <v>22</v>
      </c>
      <c r="B184" s="42" t="s">
        <v>57</v>
      </c>
      <c r="C184" s="1" t="n">
        <v>0.2489</v>
      </c>
      <c r="D184" s="1" t="s">
        <v>53</v>
      </c>
      <c r="F184" s="27"/>
      <c r="G184" s="47" t="s">
        <v>64</v>
      </c>
      <c r="H184" s="28" t="n">
        <v>0.1598</v>
      </c>
      <c r="I184" s="29" t="n">
        <v>0.1709</v>
      </c>
      <c r="J184" s="29" t="n">
        <v>0.1803</v>
      </c>
      <c r="K184" s="30" t="n">
        <v>0.1683</v>
      </c>
      <c r="L184" s="31" t="n">
        <v>0.6793</v>
      </c>
    </row>
    <row r="185" customFormat="false" ht="12.8" hidden="false" customHeight="false" outlineLevel="0" collapsed="false">
      <c r="A185" s="1" t="n">
        <v>22</v>
      </c>
      <c r="B185" s="42" t="s">
        <v>52</v>
      </c>
      <c r="C185" s="1" t="n">
        <v>0.2456</v>
      </c>
      <c r="D185" s="1" t="s">
        <v>53</v>
      </c>
      <c r="F185" s="27"/>
      <c r="G185" s="47" t="s">
        <v>52</v>
      </c>
      <c r="H185" s="28" t="n">
        <v>0.1657</v>
      </c>
      <c r="I185" s="29" t="n">
        <v>0.1846</v>
      </c>
      <c r="J185" s="29" t="n">
        <v>0.1947</v>
      </c>
      <c r="K185" s="30" t="n">
        <v>0.1777</v>
      </c>
      <c r="L185" s="31" t="n">
        <v>0.7227</v>
      </c>
    </row>
    <row r="186" customFormat="false" ht="12.8" hidden="false" customHeight="false" outlineLevel="0" collapsed="false">
      <c r="A186" s="1" t="n">
        <v>22</v>
      </c>
      <c r="B186" s="42" t="s">
        <v>65</v>
      </c>
      <c r="C186" s="1" t="n">
        <v>0.242</v>
      </c>
      <c r="D186" s="1" t="s">
        <v>53</v>
      </c>
      <c r="F186" s="27"/>
      <c r="G186" s="47" t="s">
        <v>66</v>
      </c>
      <c r="H186" s="28"/>
      <c r="I186" s="29" t="n">
        <v>0.1416</v>
      </c>
      <c r="J186" s="29"/>
      <c r="K186" s="30"/>
      <c r="L186" s="31" t="n">
        <v>0.1416</v>
      </c>
    </row>
    <row r="187" customFormat="false" ht="12.8" hidden="false" customHeight="false" outlineLevel="0" collapsed="false">
      <c r="A187" s="1" t="n">
        <v>24</v>
      </c>
      <c r="B187" s="42" t="s">
        <v>52</v>
      </c>
      <c r="C187" s="1" t="n">
        <v>0.2017</v>
      </c>
      <c r="D187" s="1" t="s">
        <v>53</v>
      </c>
      <c r="F187" s="27"/>
      <c r="G187" s="47" t="s">
        <v>56</v>
      </c>
      <c r="H187" s="28" t="n">
        <v>0.2005</v>
      </c>
      <c r="I187" s="29" t="n">
        <v>0.1955</v>
      </c>
      <c r="J187" s="29" t="n">
        <v>0.1866</v>
      </c>
      <c r="K187" s="30" t="n">
        <v>0.1967</v>
      </c>
      <c r="L187" s="31" t="n">
        <v>0.7793</v>
      </c>
    </row>
    <row r="188" customFormat="false" ht="12.8" hidden="false" customHeight="false" outlineLevel="0" collapsed="false">
      <c r="A188" s="1" t="n">
        <v>24</v>
      </c>
      <c r="B188" s="42" t="s">
        <v>56</v>
      </c>
      <c r="C188" s="1" t="n">
        <v>0.1871</v>
      </c>
      <c r="D188" s="1" t="s">
        <v>53</v>
      </c>
      <c r="F188" s="27"/>
      <c r="G188" s="47" t="s">
        <v>61</v>
      </c>
      <c r="H188" s="28" t="n">
        <v>0.1468</v>
      </c>
      <c r="I188" s="29"/>
      <c r="J188" s="29"/>
      <c r="K188" s="30"/>
      <c r="L188" s="31" t="n">
        <v>0.1468</v>
      </c>
    </row>
    <row r="189" customFormat="false" ht="12.8" hidden="false" customHeight="false" outlineLevel="0" collapsed="false">
      <c r="A189" s="1" t="n">
        <v>24</v>
      </c>
      <c r="B189" s="42" t="s">
        <v>49</v>
      </c>
      <c r="C189" s="1" t="n">
        <v>0.186</v>
      </c>
      <c r="D189" s="1" t="s">
        <v>53</v>
      </c>
      <c r="F189" s="27"/>
      <c r="G189" s="47" t="s">
        <v>49</v>
      </c>
      <c r="H189" s="28" t="n">
        <v>0.1813</v>
      </c>
      <c r="I189" s="29" t="n">
        <v>0.1665</v>
      </c>
      <c r="J189" s="29" t="n">
        <v>0.1759</v>
      </c>
      <c r="K189" s="30" t="n">
        <v>0.1804</v>
      </c>
      <c r="L189" s="31" t="n">
        <v>0.7041</v>
      </c>
    </row>
    <row r="190" customFormat="false" ht="12.8" hidden="false" customHeight="false" outlineLevel="0" collapsed="false">
      <c r="A190" s="1" t="n">
        <v>24</v>
      </c>
      <c r="B190" s="42" t="s">
        <v>64</v>
      </c>
      <c r="C190" s="1" t="n">
        <v>0.1628</v>
      </c>
      <c r="D190" s="1" t="s">
        <v>53</v>
      </c>
      <c r="F190" s="48"/>
      <c r="G190" s="49" t="s">
        <v>57</v>
      </c>
      <c r="H190" s="32" t="n">
        <v>0.1459</v>
      </c>
      <c r="I190" s="33" t="n">
        <v>0.1409</v>
      </c>
      <c r="J190" s="33" t="n">
        <v>0.1</v>
      </c>
      <c r="K190" s="34" t="n">
        <v>0.1391</v>
      </c>
      <c r="L190" s="35" t="n">
        <v>0.5259</v>
      </c>
    </row>
    <row r="191" customFormat="false" ht="12.8" hidden="false" customHeight="false" outlineLevel="0" collapsed="false">
      <c r="A191" s="1" t="n">
        <v>24</v>
      </c>
      <c r="B191" s="42" t="s">
        <v>58</v>
      </c>
      <c r="C191" s="1" t="n">
        <v>0.1625</v>
      </c>
      <c r="D191" s="1" t="s">
        <v>53</v>
      </c>
      <c r="F191" s="22" t="n">
        <v>42</v>
      </c>
      <c r="G191" s="46" t="s">
        <v>58</v>
      </c>
      <c r="H191" s="24"/>
      <c r="I191" s="24"/>
      <c r="J191" s="24" t="n">
        <v>0.171</v>
      </c>
      <c r="K191" s="24" t="n">
        <v>0.146</v>
      </c>
      <c r="L191" s="26" t="n">
        <v>0.317</v>
      </c>
    </row>
    <row r="192" customFormat="false" ht="12.8" hidden="false" customHeight="false" outlineLevel="0" collapsed="false">
      <c r="A192" s="1" t="n">
        <v>24</v>
      </c>
      <c r="B192" s="42" t="s">
        <v>57</v>
      </c>
      <c r="C192" s="1" t="n">
        <v>0.1</v>
      </c>
      <c r="D192" s="1" t="s">
        <v>53</v>
      </c>
      <c r="F192" s="27"/>
      <c r="G192" s="47" t="s">
        <v>60</v>
      </c>
      <c r="H192" s="29"/>
      <c r="I192" s="29"/>
      <c r="J192" s="29" t="n">
        <v>0.1687</v>
      </c>
      <c r="K192" s="29"/>
      <c r="L192" s="31" t="n">
        <v>0.1687</v>
      </c>
    </row>
    <row r="193" customFormat="false" ht="12.8" hidden="false" customHeight="false" outlineLevel="0" collapsed="false">
      <c r="A193" s="1" t="n">
        <v>26</v>
      </c>
      <c r="B193" s="42" t="s">
        <v>52</v>
      </c>
      <c r="C193" s="1" t="n">
        <v>0.1904</v>
      </c>
      <c r="D193" s="1" t="s">
        <v>53</v>
      </c>
      <c r="F193" s="27"/>
      <c r="G193" s="47" t="s">
        <v>64</v>
      </c>
      <c r="H193" s="29" t="n">
        <v>0.165</v>
      </c>
      <c r="I193" s="29" t="n">
        <v>0.1739</v>
      </c>
      <c r="J193" s="29" t="n">
        <v>0.1891</v>
      </c>
      <c r="K193" s="29" t="n">
        <v>0.1817</v>
      </c>
      <c r="L193" s="31" t="n">
        <v>0.7097</v>
      </c>
    </row>
    <row r="194" customFormat="false" ht="12.8" hidden="false" customHeight="false" outlineLevel="0" collapsed="false">
      <c r="A194" s="1" t="n">
        <v>26</v>
      </c>
      <c r="B194" s="42" t="s">
        <v>49</v>
      </c>
      <c r="C194" s="1" t="n">
        <v>0.1815</v>
      </c>
      <c r="D194" s="1" t="s">
        <v>53</v>
      </c>
      <c r="F194" s="27"/>
      <c r="G194" s="47" t="s">
        <v>52</v>
      </c>
      <c r="H194" s="29" t="n">
        <v>0.1863</v>
      </c>
      <c r="I194" s="29" t="n">
        <v>0.1812</v>
      </c>
      <c r="J194" s="29" t="n">
        <v>0.197</v>
      </c>
      <c r="K194" s="29" t="n">
        <v>0.1979</v>
      </c>
      <c r="L194" s="31" t="n">
        <v>0.7624</v>
      </c>
    </row>
    <row r="195" customFormat="false" ht="12.8" hidden="false" customHeight="false" outlineLevel="0" collapsed="false">
      <c r="A195" s="1" t="n">
        <v>26</v>
      </c>
      <c r="B195" s="42" t="s">
        <v>64</v>
      </c>
      <c r="C195" s="1" t="n">
        <v>0.1805</v>
      </c>
      <c r="D195" s="1" t="s">
        <v>53</v>
      </c>
      <c r="F195" s="27"/>
      <c r="G195" s="47" t="s">
        <v>66</v>
      </c>
      <c r="H195" s="29"/>
      <c r="I195" s="29" t="n">
        <v>0.1502</v>
      </c>
      <c r="J195" s="29"/>
      <c r="K195" s="29"/>
      <c r="L195" s="31" t="n">
        <v>0.1502</v>
      </c>
    </row>
    <row r="196" customFormat="false" ht="12.8" hidden="false" customHeight="false" outlineLevel="0" collapsed="false">
      <c r="A196" s="1" t="n">
        <v>26</v>
      </c>
      <c r="B196" s="42" t="s">
        <v>56</v>
      </c>
      <c r="C196" s="1" t="n">
        <v>0.1631</v>
      </c>
      <c r="D196" s="1" t="s">
        <v>53</v>
      </c>
      <c r="F196" s="27"/>
      <c r="G196" s="47" t="s">
        <v>56</v>
      </c>
      <c r="H196" s="29" t="n">
        <v>0.2032</v>
      </c>
      <c r="I196" s="29" t="n">
        <v>0.1749</v>
      </c>
      <c r="J196" s="29"/>
      <c r="K196" s="29" t="n">
        <v>0.1868</v>
      </c>
      <c r="L196" s="31" t="n">
        <v>0.5649</v>
      </c>
    </row>
    <row r="197" customFormat="false" ht="12.8" hidden="false" customHeight="false" outlineLevel="0" collapsed="false">
      <c r="A197" s="1" t="n">
        <v>26</v>
      </c>
      <c r="B197" s="42" t="s">
        <v>57</v>
      </c>
      <c r="C197" s="1" t="n">
        <v>0.148</v>
      </c>
      <c r="D197" s="1" t="s">
        <v>53</v>
      </c>
      <c r="F197" s="27"/>
      <c r="G197" s="47" t="s">
        <v>61</v>
      </c>
      <c r="H197" s="29" t="n">
        <v>0.1709</v>
      </c>
      <c r="I197" s="29"/>
      <c r="J197" s="29"/>
      <c r="K197" s="29"/>
      <c r="L197" s="31" t="n">
        <v>0.1709</v>
      </c>
    </row>
    <row r="198" customFormat="false" ht="12.8" hidden="false" customHeight="false" outlineLevel="0" collapsed="false">
      <c r="A198" s="1" t="n">
        <v>26</v>
      </c>
      <c r="B198" s="42" t="s">
        <v>66</v>
      </c>
      <c r="C198" s="1" t="n">
        <v>0.1365</v>
      </c>
      <c r="D198" s="1" t="s">
        <v>53</v>
      </c>
      <c r="F198" s="27"/>
      <c r="G198" s="47" t="s">
        <v>49</v>
      </c>
      <c r="H198" s="29" t="n">
        <v>0.1746</v>
      </c>
      <c r="I198" s="29" t="n">
        <v>0.1675</v>
      </c>
      <c r="J198" s="29" t="n">
        <v>0.1741</v>
      </c>
      <c r="K198" s="29" t="n">
        <v>0.1876</v>
      </c>
      <c r="L198" s="31" t="n">
        <v>0.7038</v>
      </c>
    </row>
    <row r="199" customFormat="false" ht="12.8" hidden="false" customHeight="false" outlineLevel="0" collapsed="false">
      <c r="A199" s="1" t="n">
        <v>28</v>
      </c>
      <c r="B199" s="42" t="s">
        <v>52</v>
      </c>
      <c r="C199" s="1" t="n">
        <v>0.1837</v>
      </c>
      <c r="D199" s="1" t="s">
        <v>53</v>
      </c>
      <c r="F199" s="48"/>
      <c r="G199" s="49" t="s">
        <v>57</v>
      </c>
      <c r="H199" s="33" t="n">
        <v>0.1</v>
      </c>
      <c r="I199" s="33" t="n">
        <v>0.1522</v>
      </c>
      <c r="J199" s="33" t="n">
        <v>0.1</v>
      </c>
      <c r="K199" s="33" t="n">
        <v>0.1</v>
      </c>
      <c r="L199" s="35" t="n">
        <v>0.4522</v>
      </c>
    </row>
    <row r="200" customFormat="false" ht="12.8" hidden="false" customHeight="false" outlineLevel="0" collapsed="false">
      <c r="A200" s="1" t="n">
        <v>28</v>
      </c>
      <c r="B200" s="42" t="s">
        <v>56</v>
      </c>
      <c r="C200" s="1" t="n">
        <v>0.1792</v>
      </c>
      <c r="D200" s="1" t="s">
        <v>53</v>
      </c>
      <c r="F200" s="22" t="n">
        <v>44</v>
      </c>
      <c r="G200" s="46" t="s">
        <v>58</v>
      </c>
      <c r="H200" s="23" t="n">
        <v>0.177</v>
      </c>
      <c r="I200" s="24" t="n">
        <v>0.1526</v>
      </c>
      <c r="J200" s="24" t="n">
        <v>0.1729</v>
      </c>
      <c r="K200" s="25" t="n">
        <v>0.1548</v>
      </c>
      <c r="L200" s="26" t="n">
        <v>0.6573</v>
      </c>
    </row>
    <row r="201" customFormat="false" ht="12.8" hidden="false" customHeight="false" outlineLevel="0" collapsed="false">
      <c r="A201" s="1" t="n">
        <v>28</v>
      </c>
      <c r="B201" s="42" t="s">
        <v>49</v>
      </c>
      <c r="C201" s="1" t="n">
        <v>0.1792</v>
      </c>
      <c r="D201" s="1" t="s">
        <v>53</v>
      </c>
      <c r="F201" s="27"/>
      <c r="G201" s="47" t="s">
        <v>64</v>
      </c>
      <c r="H201" s="28" t="n">
        <v>0.1765</v>
      </c>
      <c r="I201" s="29" t="n">
        <v>0.1629</v>
      </c>
      <c r="J201" s="29" t="n">
        <v>0.182</v>
      </c>
      <c r="K201" s="30" t="n">
        <v>0.1548</v>
      </c>
      <c r="L201" s="31" t="n">
        <v>0.6762</v>
      </c>
    </row>
    <row r="202" customFormat="false" ht="12.8" hidden="false" customHeight="false" outlineLevel="0" collapsed="false">
      <c r="A202" s="1" t="n">
        <v>28</v>
      </c>
      <c r="B202" s="42" t="s">
        <v>64</v>
      </c>
      <c r="C202" s="1" t="n">
        <v>0.1744</v>
      </c>
      <c r="D202" s="1" t="s">
        <v>53</v>
      </c>
      <c r="F202" s="27"/>
      <c r="G202" s="47" t="s">
        <v>52</v>
      </c>
      <c r="H202" s="28" t="n">
        <v>0.183</v>
      </c>
      <c r="I202" s="29" t="n">
        <v>0.1746</v>
      </c>
      <c r="J202" s="29" t="n">
        <v>0.1839</v>
      </c>
      <c r="K202" s="30" t="n">
        <v>0.1772</v>
      </c>
      <c r="L202" s="31" t="n">
        <v>0.7187</v>
      </c>
    </row>
    <row r="203" customFormat="false" ht="12.8" hidden="false" customHeight="false" outlineLevel="0" collapsed="false">
      <c r="A203" s="1" t="n">
        <v>28</v>
      </c>
      <c r="B203" s="42" t="s">
        <v>66</v>
      </c>
      <c r="C203" s="1" t="n">
        <v>0.1418</v>
      </c>
      <c r="D203" s="1" t="s">
        <v>53</v>
      </c>
      <c r="F203" s="27"/>
      <c r="G203" s="47" t="s">
        <v>56</v>
      </c>
      <c r="H203" s="28" t="n">
        <v>0.1851</v>
      </c>
      <c r="I203" s="29" t="n">
        <v>0.1813</v>
      </c>
      <c r="J203" s="29" t="n">
        <v>0.1655</v>
      </c>
      <c r="K203" s="30" t="n">
        <v>0.1777</v>
      </c>
      <c r="L203" s="31" t="n">
        <v>0.7096</v>
      </c>
    </row>
    <row r="204" customFormat="false" ht="12.8" hidden="false" customHeight="false" outlineLevel="0" collapsed="false">
      <c r="A204" s="1" t="n">
        <v>28</v>
      </c>
      <c r="B204" s="42" t="s">
        <v>57</v>
      </c>
      <c r="C204" s="1" t="n">
        <v>0.1417</v>
      </c>
      <c r="D204" s="1" t="s">
        <v>53</v>
      </c>
      <c r="F204" s="27"/>
      <c r="G204" s="47" t="s">
        <v>49</v>
      </c>
      <c r="H204" s="28" t="n">
        <v>0.1784</v>
      </c>
      <c r="I204" s="29" t="n">
        <v>0.1753</v>
      </c>
      <c r="J204" s="29" t="n">
        <v>0.1491</v>
      </c>
      <c r="K204" s="30" t="n">
        <v>0.1941</v>
      </c>
      <c r="L204" s="31" t="n">
        <v>0.6969</v>
      </c>
    </row>
    <row r="205" customFormat="false" ht="12.8" hidden="false" customHeight="false" outlineLevel="0" collapsed="false">
      <c r="A205" s="1" t="n">
        <v>30</v>
      </c>
      <c r="B205" s="42" t="s">
        <v>49</v>
      </c>
      <c r="C205" s="1" t="n">
        <v>0.1816</v>
      </c>
      <c r="D205" s="1" t="s">
        <v>53</v>
      </c>
      <c r="F205" s="48"/>
      <c r="G205" s="49" t="s">
        <v>57</v>
      </c>
      <c r="H205" s="32" t="n">
        <v>0.1</v>
      </c>
      <c r="I205" s="33" t="n">
        <v>0.1532</v>
      </c>
      <c r="J205" s="33" t="n">
        <v>0.1466</v>
      </c>
      <c r="K205" s="34" t="n">
        <v>0.1415</v>
      </c>
      <c r="L205" s="35" t="n">
        <v>0.5413</v>
      </c>
    </row>
    <row r="206" customFormat="false" ht="12.8" hidden="false" customHeight="false" outlineLevel="0" collapsed="false">
      <c r="A206" s="1" t="n">
        <v>30</v>
      </c>
      <c r="B206" s="42" t="s">
        <v>56</v>
      </c>
      <c r="C206" s="1" t="n">
        <v>0.1752</v>
      </c>
      <c r="D206" s="1" t="s">
        <v>53</v>
      </c>
      <c r="F206" s="22" t="n">
        <v>46</v>
      </c>
      <c r="G206" s="46" t="s">
        <v>58</v>
      </c>
      <c r="H206" s="24"/>
      <c r="I206" s="24"/>
      <c r="J206" s="24" t="n">
        <v>0.1836</v>
      </c>
      <c r="K206" s="24"/>
      <c r="L206" s="26" t="n">
        <v>0.1836</v>
      </c>
    </row>
    <row r="207" customFormat="false" ht="12.8" hidden="false" customHeight="false" outlineLevel="0" collapsed="false">
      <c r="A207" s="1" t="n">
        <v>30</v>
      </c>
      <c r="B207" s="42" t="s">
        <v>58</v>
      </c>
      <c r="C207" s="1" t="n">
        <v>0.1694</v>
      </c>
      <c r="D207" s="1" t="s">
        <v>53</v>
      </c>
      <c r="F207" s="27"/>
      <c r="G207" s="47" t="s">
        <v>64</v>
      </c>
      <c r="H207" s="29" t="n">
        <v>0.1657</v>
      </c>
      <c r="I207" s="29" t="n">
        <v>0.1757</v>
      </c>
      <c r="J207" s="29" t="n">
        <v>0.1759</v>
      </c>
      <c r="K207" s="29" t="n">
        <v>0.1583</v>
      </c>
      <c r="L207" s="31" t="n">
        <v>0.6756</v>
      </c>
    </row>
    <row r="208" customFormat="false" ht="12.8" hidden="false" customHeight="false" outlineLevel="0" collapsed="false">
      <c r="A208" s="1" t="n">
        <v>30</v>
      </c>
      <c r="B208" s="42" t="s">
        <v>52</v>
      </c>
      <c r="C208" s="1" t="n">
        <v>0.1606</v>
      </c>
      <c r="D208" s="1" t="s">
        <v>53</v>
      </c>
      <c r="F208" s="27"/>
      <c r="G208" s="47" t="s">
        <v>52</v>
      </c>
      <c r="H208" s="29" t="n">
        <v>0.1812</v>
      </c>
      <c r="I208" s="29" t="n">
        <v>0.1902</v>
      </c>
      <c r="J208" s="29" t="n">
        <v>0.1913</v>
      </c>
      <c r="K208" s="29" t="n">
        <v>0.1753</v>
      </c>
      <c r="L208" s="31" t="n">
        <v>0.738</v>
      </c>
    </row>
    <row r="209" customFormat="false" ht="12.8" hidden="false" customHeight="false" outlineLevel="0" collapsed="false">
      <c r="A209" s="1" t="n">
        <v>30</v>
      </c>
      <c r="B209" s="42" t="s">
        <v>57</v>
      </c>
      <c r="C209" s="1" t="n">
        <v>0.1572</v>
      </c>
      <c r="D209" s="1" t="s">
        <v>53</v>
      </c>
      <c r="F209" s="27"/>
      <c r="G209" s="47" t="s">
        <v>66</v>
      </c>
      <c r="H209" s="29"/>
      <c r="I209" s="29" t="n">
        <v>0.1738</v>
      </c>
      <c r="J209" s="29" t="n">
        <v>0.1577</v>
      </c>
      <c r="K209" s="29"/>
      <c r="L209" s="31" t="n">
        <v>0.3315</v>
      </c>
    </row>
    <row r="210" customFormat="false" ht="12.8" hidden="false" customHeight="false" outlineLevel="0" collapsed="false">
      <c r="A210" s="1" t="n">
        <v>30</v>
      </c>
      <c r="B210" s="42" t="s">
        <v>66</v>
      </c>
      <c r="C210" s="1" t="n">
        <v>0.156</v>
      </c>
      <c r="D210" s="1" t="s">
        <v>53</v>
      </c>
      <c r="F210" s="27"/>
      <c r="G210" s="47" t="s">
        <v>56</v>
      </c>
      <c r="H210" s="29" t="n">
        <v>0.2002</v>
      </c>
      <c r="I210" s="29" t="n">
        <v>0.1851</v>
      </c>
      <c r="J210" s="29" t="n">
        <v>0.1914</v>
      </c>
      <c r="K210" s="29" t="n">
        <v>0.1886</v>
      </c>
      <c r="L210" s="31" t="n">
        <v>0.7653</v>
      </c>
    </row>
    <row r="211" customFormat="false" ht="12.8" hidden="false" customHeight="false" outlineLevel="0" collapsed="false">
      <c r="A211" s="1" t="n">
        <v>32</v>
      </c>
      <c r="B211" s="42" t="s">
        <v>58</v>
      </c>
      <c r="C211" s="1" t="n">
        <v>0.1922</v>
      </c>
      <c r="D211" s="1" t="s">
        <v>53</v>
      </c>
      <c r="F211" s="27"/>
      <c r="G211" s="47" t="s">
        <v>62</v>
      </c>
      <c r="H211" s="29"/>
      <c r="I211" s="29"/>
      <c r="J211" s="29"/>
      <c r="K211" s="29" t="n">
        <v>0.1584</v>
      </c>
      <c r="L211" s="31" t="n">
        <v>0.1584</v>
      </c>
    </row>
    <row r="212" customFormat="false" ht="12.8" hidden="false" customHeight="false" outlineLevel="0" collapsed="false">
      <c r="A212" s="1" t="n">
        <v>32</v>
      </c>
      <c r="B212" s="42" t="s">
        <v>57</v>
      </c>
      <c r="C212" s="1" t="n">
        <v>0.1716</v>
      </c>
      <c r="D212" s="1" t="s">
        <v>53</v>
      </c>
      <c r="F212" s="27"/>
      <c r="G212" s="47" t="s">
        <v>61</v>
      </c>
      <c r="H212" s="29" t="n">
        <v>0.1755</v>
      </c>
      <c r="I212" s="29"/>
      <c r="J212" s="29"/>
      <c r="K212" s="29"/>
      <c r="L212" s="31" t="n">
        <v>0.1755</v>
      </c>
    </row>
    <row r="213" customFormat="false" ht="12.8" hidden="false" customHeight="false" outlineLevel="0" collapsed="false">
      <c r="A213" s="1" t="n">
        <v>32</v>
      </c>
      <c r="B213" s="42" t="s">
        <v>56</v>
      </c>
      <c r="C213" s="1" t="n">
        <v>0.1671</v>
      </c>
      <c r="D213" s="1" t="s">
        <v>53</v>
      </c>
      <c r="F213" s="27"/>
      <c r="G213" s="47" t="s">
        <v>49</v>
      </c>
      <c r="H213" s="29" t="n">
        <v>0.1774</v>
      </c>
      <c r="I213" s="29" t="n">
        <v>0.1751</v>
      </c>
      <c r="J213" s="29"/>
      <c r="K213" s="29" t="n">
        <v>0.1713</v>
      </c>
      <c r="L213" s="31" t="n">
        <v>0.5238</v>
      </c>
    </row>
    <row r="214" customFormat="false" ht="12.8" hidden="false" customHeight="false" outlineLevel="0" collapsed="false">
      <c r="A214" s="1" t="n">
        <v>32</v>
      </c>
      <c r="B214" s="42" t="s">
        <v>52</v>
      </c>
      <c r="C214" s="1" t="n">
        <v>0.1657</v>
      </c>
      <c r="D214" s="1" t="s">
        <v>53</v>
      </c>
      <c r="F214" s="48"/>
      <c r="G214" s="49" t="s">
        <v>57</v>
      </c>
      <c r="H214" s="33" t="n">
        <v>0.1</v>
      </c>
      <c r="I214" s="33" t="n">
        <v>0.1</v>
      </c>
      <c r="J214" s="33" t="n">
        <v>0.1</v>
      </c>
      <c r="K214" s="33" t="n">
        <v>0.1481</v>
      </c>
      <c r="L214" s="35" t="n">
        <v>0.4481</v>
      </c>
    </row>
    <row r="215" customFormat="false" ht="12.8" hidden="false" customHeight="false" outlineLevel="0" collapsed="false">
      <c r="A215" s="1" t="n">
        <v>32</v>
      </c>
      <c r="B215" s="42" t="s">
        <v>66</v>
      </c>
      <c r="C215" s="1" t="n">
        <v>0.1546</v>
      </c>
      <c r="D215" s="1" t="s">
        <v>53</v>
      </c>
      <c r="F215" s="22" t="n">
        <v>48</v>
      </c>
      <c r="G215" s="46" t="s">
        <v>58</v>
      </c>
      <c r="H215" s="23"/>
      <c r="I215" s="24"/>
      <c r="J215" s="24" t="n">
        <v>0.1704</v>
      </c>
      <c r="K215" s="25"/>
      <c r="L215" s="26" t="n">
        <v>0.1704</v>
      </c>
    </row>
    <row r="216" customFormat="false" ht="12.8" hidden="false" customHeight="false" outlineLevel="0" collapsed="false">
      <c r="A216" s="1" t="n">
        <v>32</v>
      </c>
      <c r="B216" s="42" t="s">
        <v>65</v>
      </c>
      <c r="C216" s="1" t="n">
        <v>0.1487</v>
      </c>
      <c r="D216" s="1" t="s">
        <v>53</v>
      </c>
      <c r="F216" s="27"/>
      <c r="G216" s="47" t="s">
        <v>64</v>
      </c>
      <c r="H216" s="28"/>
      <c r="I216" s="29" t="n">
        <v>0.1724</v>
      </c>
      <c r="J216" s="29" t="n">
        <v>0.1802</v>
      </c>
      <c r="K216" s="30" t="n">
        <v>0.1703</v>
      </c>
      <c r="L216" s="31" t="n">
        <v>0.5229</v>
      </c>
    </row>
    <row r="217" customFormat="false" ht="12.8" hidden="false" customHeight="false" outlineLevel="0" collapsed="false">
      <c r="A217" s="1" t="n">
        <v>34</v>
      </c>
      <c r="B217" s="42" t="s">
        <v>58</v>
      </c>
      <c r="C217" s="1" t="n">
        <v>0.3474</v>
      </c>
      <c r="D217" s="1" t="s">
        <v>53</v>
      </c>
      <c r="F217" s="27"/>
      <c r="G217" s="47" t="s">
        <v>52</v>
      </c>
      <c r="H217" s="28"/>
      <c r="I217" s="29" t="n">
        <v>0.171</v>
      </c>
      <c r="J217" s="29" t="n">
        <v>0.1845</v>
      </c>
      <c r="K217" s="30" t="n">
        <v>0.1705</v>
      </c>
      <c r="L217" s="31" t="n">
        <v>0.526</v>
      </c>
    </row>
    <row r="218" customFormat="false" ht="12.8" hidden="false" customHeight="false" outlineLevel="0" collapsed="false">
      <c r="A218" s="1" t="n">
        <v>34</v>
      </c>
      <c r="B218" s="42" t="s">
        <v>52</v>
      </c>
      <c r="C218" s="1" t="n">
        <v>0.3265</v>
      </c>
      <c r="D218" s="1" t="s">
        <v>53</v>
      </c>
      <c r="F218" s="27"/>
      <c r="G218" s="47" t="s">
        <v>66</v>
      </c>
      <c r="H218" s="28" t="n">
        <v>0.1601</v>
      </c>
      <c r="I218" s="29" t="n">
        <v>0.1501</v>
      </c>
      <c r="J218" s="29" t="n">
        <v>0.1644</v>
      </c>
      <c r="K218" s="30"/>
      <c r="L218" s="31" t="n">
        <v>0.4746</v>
      </c>
    </row>
    <row r="219" customFormat="false" ht="12.8" hidden="false" customHeight="false" outlineLevel="0" collapsed="false">
      <c r="A219" s="1" t="n">
        <v>34</v>
      </c>
      <c r="B219" s="42" t="s">
        <v>57</v>
      </c>
      <c r="C219" s="1" t="n">
        <v>0.3261</v>
      </c>
      <c r="D219" s="1" t="s">
        <v>53</v>
      </c>
      <c r="F219" s="27"/>
      <c r="G219" s="47" t="s">
        <v>56</v>
      </c>
      <c r="H219" s="28" t="n">
        <v>0.1865</v>
      </c>
      <c r="I219" s="29" t="n">
        <v>0.1788</v>
      </c>
      <c r="J219" s="29" t="n">
        <v>0.2005</v>
      </c>
      <c r="K219" s="30" t="n">
        <v>0.1943</v>
      </c>
      <c r="L219" s="31" t="n">
        <v>0.7601</v>
      </c>
    </row>
    <row r="220" customFormat="false" ht="12.8" hidden="false" customHeight="false" outlineLevel="0" collapsed="false">
      <c r="A220" s="1" t="n">
        <v>36</v>
      </c>
      <c r="B220" s="42" t="s">
        <v>58</v>
      </c>
      <c r="C220" s="1" t="n">
        <v>0.1902</v>
      </c>
      <c r="D220" s="1" t="s">
        <v>53</v>
      </c>
      <c r="F220" s="27"/>
      <c r="G220" s="47" t="s">
        <v>62</v>
      </c>
      <c r="H220" s="28" t="n">
        <v>0.1677</v>
      </c>
      <c r="I220" s="29"/>
      <c r="J220" s="29"/>
      <c r="K220" s="30" t="n">
        <v>0.1712</v>
      </c>
      <c r="L220" s="31" t="n">
        <v>0.3389</v>
      </c>
    </row>
    <row r="221" customFormat="false" ht="12.8" hidden="false" customHeight="false" outlineLevel="0" collapsed="false">
      <c r="A221" s="1" t="n">
        <v>36</v>
      </c>
      <c r="B221" s="42" t="s">
        <v>56</v>
      </c>
      <c r="C221" s="1" t="n">
        <v>0.1755</v>
      </c>
      <c r="D221" s="1" t="s">
        <v>53</v>
      </c>
      <c r="F221" s="27"/>
      <c r="G221" s="47" t="s">
        <v>61</v>
      </c>
      <c r="H221" s="28" t="n">
        <v>0.154</v>
      </c>
      <c r="I221" s="29"/>
      <c r="J221" s="29"/>
      <c r="K221" s="30"/>
      <c r="L221" s="31" t="n">
        <v>0.154</v>
      </c>
    </row>
    <row r="222" customFormat="false" ht="12.8" hidden="false" customHeight="false" outlineLevel="0" collapsed="false">
      <c r="A222" s="1" t="n">
        <v>36</v>
      </c>
      <c r="B222" s="42" t="s">
        <v>49</v>
      </c>
      <c r="C222" s="1" t="n">
        <v>0.1639</v>
      </c>
      <c r="D222" s="1" t="s">
        <v>53</v>
      </c>
      <c r="F222" s="27"/>
      <c r="G222" s="47" t="s">
        <v>49</v>
      </c>
      <c r="H222" s="28" t="n">
        <v>0.1633</v>
      </c>
      <c r="I222" s="29" t="n">
        <v>0.1636</v>
      </c>
      <c r="J222" s="29"/>
      <c r="K222" s="30" t="n">
        <v>0.1937</v>
      </c>
      <c r="L222" s="31" t="n">
        <v>0.5206</v>
      </c>
    </row>
    <row r="223" customFormat="false" ht="12.8" hidden="false" customHeight="false" outlineLevel="0" collapsed="false">
      <c r="A223" s="1" t="n">
        <v>36</v>
      </c>
      <c r="B223" s="42" t="s">
        <v>57</v>
      </c>
      <c r="C223" s="1" t="n">
        <v>0.1617</v>
      </c>
      <c r="D223" s="1" t="s">
        <v>53</v>
      </c>
      <c r="F223" s="48"/>
      <c r="G223" s="49" t="s">
        <v>57</v>
      </c>
      <c r="H223" s="32" t="n">
        <v>0.1685</v>
      </c>
      <c r="I223" s="33" t="n">
        <v>0.1641</v>
      </c>
      <c r="J223" s="33" t="n">
        <v>0.1</v>
      </c>
      <c r="K223" s="34" t="n">
        <v>0.1</v>
      </c>
      <c r="L223" s="35" t="n">
        <v>0.5326</v>
      </c>
    </row>
    <row r="224" customFormat="false" ht="12.8" hidden="false" customHeight="false" outlineLevel="0" collapsed="false">
      <c r="A224" s="1" t="n">
        <v>36</v>
      </c>
      <c r="B224" s="42" t="s">
        <v>52</v>
      </c>
      <c r="C224" s="1" t="n">
        <v>0.1593</v>
      </c>
      <c r="D224" s="1" t="s">
        <v>53</v>
      </c>
      <c r="F224" s="50" t="s">
        <v>44</v>
      </c>
      <c r="G224" s="51"/>
      <c r="H224" s="37" t="n">
        <v>25.0004</v>
      </c>
      <c r="I224" s="38" t="n">
        <v>24.9997</v>
      </c>
      <c r="J224" s="38" t="n">
        <v>24.9997</v>
      </c>
      <c r="K224" s="39" t="n">
        <v>24.9999</v>
      </c>
      <c r="L224" s="40" t="n">
        <v>99.9997</v>
      </c>
    </row>
    <row r="225" customFormat="false" ht="12.8" hidden="false" customHeight="false" outlineLevel="0" collapsed="false">
      <c r="A225" s="1" t="n">
        <v>36</v>
      </c>
      <c r="B225" s="42" t="s">
        <v>61</v>
      </c>
      <c r="C225" s="1" t="n">
        <v>0.1495</v>
      </c>
      <c r="D225" s="1" t="s">
        <v>53</v>
      </c>
    </row>
    <row r="226" customFormat="false" ht="12.8" hidden="false" customHeight="false" outlineLevel="0" collapsed="false">
      <c r="A226" s="1" t="n">
        <v>38</v>
      </c>
      <c r="B226" s="42" t="s">
        <v>56</v>
      </c>
      <c r="C226" s="1" t="n">
        <v>0.1929</v>
      </c>
      <c r="D226" s="1" t="s">
        <v>53</v>
      </c>
    </row>
    <row r="227" customFormat="false" ht="12.8" hidden="false" customHeight="false" outlineLevel="0" collapsed="false">
      <c r="A227" s="1" t="n">
        <v>38</v>
      </c>
      <c r="B227" s="42" t="s">
        <v>49</v>
      </c>
      <c r="C227" s="1" t="n">
        <v>0.1715</v>
      </c>
      <c r="D227" s="1" t="s">
        <v>53</v>
      </c>
      <c r="F227" s="14" t="s">
        <v>51</v>
      </c>
      <c r="G227" s="15" t="s">
        <v>48</v>
      </c>
      <c r="H227" s="16"/>
      <c r="I227" s="16"/>
      <c r="J227" s="16"/>
      <c r="K227" s="17"/>
    </row>
    <row r="228" customFormat="false" ht="12.8" hidden="false" customHeight="false" outlineLevel="0" collapsed="false">
      <c r="A228" s="1" t="n">
        <v>38</v>
      </c>
      <c r="B228" s="42" t="s">
        <v>58</v>
      </c>
      <c r="C228" s="1" t="n">
        <v>0.1658</v>
      </c>
      <c r="D228" s="1" t="s">
        <v>53</v>
      </c>
      <c r="F228" s="18" t="s">
        <v>46</v>
      </c>
      <c r="G228" s="19" t="s">
        <v>50</v>
      </c>
      <c r="H228" s="20" t="s">
        <v>53</v>
      </c>
      <c r="I228" s="20" t="s">
        <v>54</v>
      </c>
      <c r="J228" s="20" t="s">
        <v>55</v>
      </c>
      <c r="K228" s="21" t="s">
        <v>44</v>
      </c>
    </row>
    <row r="229" customFormat="false" ht="12.8" hidden="false" customHeight="false" outlineLevel="0" collapsed="false">
      <c r="A229" s="1" t="n">
        <v>38</v>
      </c>
      <c r="B229" s="42" t="s">
        <v>52</v>
      </c>
      <c r="C229" s="1" t="n">
        <v>0.1652</v>
      </c>
      <c r="D229" s="1" t="s">
        <v>53</v>
      </c>
      <c r="F229" s="22" t="s">
        <v>58</v>
      </c>
      <c r="G229" s="23" t="n">
        <v>11</v>
      </c>
      <c r="H229" s="24" t="n">
        <v>15</v>
      </c>
      <c r="I229" s="24" t="n">
        <v>22</v>
      </c>
      <c r="J229" s="25" t="n">
        <v>12</v>
      </c>
      <c r="K229" s="26" t="n">
        <v>60</v>
      </c>
    </row>
    <row r="230" customFormat="false" ht="12.8" hidden="false" customHeight="false" outlineLevel="0" collapsed="false">
      <c r="A230" s="1" t="n">
        <v>38</v>
      </c>
      <c r="B230" s="42" t="s">
        <v>64</v>
      </c>
      <c r="C230" s="1" t="n">
        <v>0.154</v>
      </c>
      <c r="D230" s="1" t="s">
        <v>53</v>
      </c>
      <c r="F230" s="27" t="s">
        <v>60</v>
      </c>
      <c r="G230" s="28" t="n">
        <v>4</v>
      </c>
      <c r="H230" s="29" t="n">
        <v>4</v>
      </c>
      <c r="I230" s="29" t="n">
        <v>7</v>
      </c>
      <c r="J230" s="30" t="n">
        <v>1</v>
      </c>
      <c r="K230" s="31" t="n">
        <v>16</v>
      </c>
    </row>
    <row r="231" customFormat="false" ht="12.8" hidden="false" customHeight="false" outlineLevel="0" collapsed="false">
      <c r="A231" s="1" t="n">
        <v>38</v>
      </c>
      <c r="B231" s="42" t="s">
        <v>57</v>
      </c>
      <c r="C231" s="1" t="n">
        <v>0.1506</v>
      </c>
      <c r="D231" s="1" t="s">
        <v>53</v>
      </c>
      <c r="F231" s="27" t="s">
        <v>59</v>
      </c>
      <c r="G231" s="28" t="n">
        <v>1</v>
      </c>
      <c r="H231" s="29" t="n">
        <v>1</v>
      </c>
      <c r="I231" s="29" t="n">
        <v>1</v>
      </c>
      <c r="J231" s="30" t="n">
        <v>1</v>
      </c>
      <c r="K231" s="31" t="n">
        <v>4</v>
      </c>
    </row>
    <row r="232" customFormat="false" ht="12.8" hidden="false" customHeight="false" outlineLevel="0" collapsed="false">
      <c r="A232" s="1" t="n">
        <v>40</v>
      </c>
      <c r="B232" s="42" t="s">
        <v>56</v>
      </c>
      <c r="C232" s="1" t="n">
        <v>0.1955</v>
      </c>
      <c r="D232" s="1" t="s">
        <v>53</v>
      </c>
      <c r="F232" s="27" t="s">
        <v>64</v>
      </c>
      <c r="G232" s="28" t="n">
        <v>8</v>
      </c>
      <c r="H232" s="29" t="n">
        <v>10</v>
      </c>
      <c r="I232" s="29" t="n">
        <v>15</v>
      </c>
      <c r="J232" s="30" t="n">
        <v>15</v>
      </c>
      <c r="K232" s="31" t="n">
        <v>48</v>
      </c>
    </row>
    <row r="233" customFormat="false" ht="12.8" hidden="false" customHeight="false" outlineLevel="0" collapsed="false">
      <c r="A233" s="1" t="n">
        <v>40</v>
      </c>
      <c r="B233" s="42" t="s">
        <v>52</v>
      </c>
      <c r="C233" s="1" t="n">
        <v>0.1846</v>
      </c>
      <c r="D233" s="1" t="s">
        <v>53</v>
      </c>
      <c r="F233" s="27" t="s">
        <v>65</v>
      </c>
      <c r="G233" s="28" t="n">
        <v>1</v>
      </c>
      <c r="H233" s="29" t="n">
        <v>4</v>
      </c>
      <c r="I233" s="29" t="n">
        <v>4</v>
      </c>
      <c r="J233" s="30" t="n">
        <v>1</v>
      </c>
      <c r="K233" s="31" t="n">
        <v>10</v>
      </c>
    </row>
    <row r="234" customFormat="false" ht="12.8" hidden="false" customHeight="false" outlineLevel="0" collapsed="false">
      <c r="A234" s="1" t="n">
        <v>40</v>
      </c>
      <c r="B234" s="42" t="s">
        <v>64</v>
      </c>
      <c r="C234" s="1" t="n">
        <v>0.1709</v>
      </c>
      <c r="D234" s="1" t="s">
        <v>53</v>
      </c>
      <c r="F234" s="27" t="s">
        <v>52</v>
      </c>
      <c r="G234" s="28" t="n">
        <v>18</v>
      </c>
      <c r="H234" s="29" t="n">
        <v>21</v>
      </c>
      <c r="I234" s="29" t="n">
        <v>22</v>
      </c>
      <c r="J234" s="30" t="n">
        <v>23</v>
      </c>
      <c r="K234" s="31" t="n">
        <v>84</v>
      </c>
    </row>
    <row r="235" customFormat="false" ht="12.8" hidden="false" customHeight="false" outlineLevel="0" collapsed="false">
      <c r="A235" s="1" t="n">
        <v>40</v>
      </c>
      <c r="B235" s="42" t="s">
        <v>49</v>
      </c>
      <c r="C235" s="1" t="n">
        <v>0.1665</v>
      </c>
      <c r="D235" s="1" t="s">
        <v>53</v>
      </c>
      <c r="F235" s="27" t="s">
        <v>66</v>
      </c>
      <c r="G235" s="28" t="n">
        <v>2</v>
      </c>
      <c r="H235" s="29" t="n">
        <v>10</v>
      </c>
      <c r="I235" s="29" t="n">
        <v>6</v>
      </c>
      <c r="J235" s="30" t="n">
        <v>2</v>
      </c>
      <c r="K235" s="31" t="n">
        <v>20</v>
      </c>
    </row>
    <row r="236" customFormat="false" ht="12.8" hidden="false" customHeight="false" outlineLevel="0" collapsed="false">
      <c r="A236" s="1" t="n">
        <v>40</v>
      </c>
      <c r="B236" s="42" t="s">
        <v>66</v>
      </c>
      <c r="C236" s="1" t="n">
        <v>0.1416</v>
      </c>
      <c r="D236" s="1" t="s">
        <v>53</v>
      </c>
      <c r="F236" s="27" t="s">
        <v>56</v>
      </c>
      <c r="G236" s="28" t="n">
        <v>24</v>
      </c>
      <c r="H236" s="29" t="n">
        <v>17</v>
      </c>
      <c r="I236" s="29" t="n">
        <v>20</v>
      </c>
      <c r="J236" s="30" t="n">
        <v>23</v>
      </c>
      <c r="K236" s="31" t="n">
        <v>84</v>
      </c>
    </row>
    <row r="237" customFormat="false" ht="12.8" hidden="false" customHeight="false" outlineLevel="0" collapsed="false">
      <c r="A237" s="1" t="n">
        <v>40</v>
      </c>
      <c r="B237" s="42" t="s">
        <v>57</v>
      </c>
      <c r="C237" s="1" t="n">
        <v>0.1409</v>
      </c>
      <c r="D237" s="1" t="s">
        <v>53</v>
      </c>
      <c r="F237" s="27" t="s">
        <v>62</v>
      </c>
      <c r="G237" s="28" t="n">
        <v>5</v>
      </c>
      <c r="H237" s="29" t="n">
        <v>1</v>
      </c>
      <c r="I237" s="29" t="n">
        <v>1</v>
      </c>
      <c r="J237" s="30" t="n">
        <v>6</v>
      </c>
      <c r="K237" s="31" t="n">
        <v>13</v>
      </c>
    </row>
    <row r="238" customFormat="false" ht="12.8" hidden="false" customHeight="false" outlineLevel="0" collapsed="false">
      <c r="A238" s="1" t="n">
        <v>42</v>
      </c>
      <c r="B238" s="42" t="s">
        <v>52</v>
      </c>
      <c r="C238" s="1" t="n">
        <v>0.1812</v>
      </c>
      <c r="D238" s="1" t="s">
        <v>53</v>
      </c>
      <c r="F238" s="27" t="s">
        <v>61</v>
      </c>
      <c r="G238" s="28" t="n">
        <v>15</v>
      </c>
      <c r="H238" s="29" t="n">
        <v>2</v>
      </c>
      <c r="I238" s="29" t="n">
        <v>2</v>
      </c>
      <c r="J238" s="30" t="n">
        <v>4</v>
      </c>
      <c r="K238" s="31" t="n">
        <v>23</v>
      </c>
    </row>
    <row r="239" customFormat="false" ht="12.8" hidden="false" customHeight="false" outlineLevel="0" collapsed="false">
      <c r="A239" s="1" t="n">
        <v>42</v>
      </c>
      <c r="B239" s="42" t="s">
        <v>56</v>
      </c>
      <c r="C239" s="1" t="n">
        <v>0.1749</v>
      </c>
      <c r="D239" s="1" t="s">
        <v>53</v>
      </c>
      <c r="F239" s="27" t="s">
        <v>49</v>
      </c>
      <c r="G239" s="28" t="n">
        <v>19</v>
      </c>
      <c r="H239" s="29" t="n">
        <v>17</v>
      </c>
      <c r="I239" s="29" t="n">
        <v>16</v>
      </c>
      <c r="J239" s="30" t="n">
        <v>22</v>
      </c>
      <c r="K239" s="31" t="n">
        <v>74</v>
      </c>
    </row>
    <row r="240" customFormat="false" ht="12.8" hidden="false" customHeight="false" outlineLevel="0" collapsed="false">
      <c r="A240" s="1" t="n">
        <v>42</v>
      </c>
      <c r="B240" s="42" t="s">
        <v>64</v>
      </c>
      <c r="C240" s="1" t="n">
        <v>0.1739</v>
      </c>
      <c r="D240" s="1" t="s">
        <v>53</v>
      </c>
      <c r="F240" s="27" t="s">
        <v>57</v>
      </c>
      <c r="G240" s="32" t="n">
        <v>25</v>
      </c>
      <c r="H240" s="33" t="n">
        <v>25</v>
      </c>
      <c r="I240" s="33" t="n">
        <v>25</v>
      </c>
      <c r="J240" s="34" t="n">
        <v>25</v>
      </c>
      <c r="K240" s="35" t="n">
        <v>100</v>
      </c>
    </row>
    <row r="241" customFormat="false" ht="12.8" hidden="false" customHeight="false" outlineLevel="0" collapsed="false">
      <c r="A241" s="1" t="n">
        <v>42</v>
      </c>
      <c r="B241" s="42" t="s">
        <v>49</v>
      </c>
      <c r="C241" s="1" t="n">
        <v>0.1675</v>
      </c>
      <c r="D241" s="1" t="s">
        <v>53</v>
      </c>
      <c r="F241" s="36" t="s">
        <v>44</v>
      </c>
      <c r="G241" s="37" t="n">
        <v>133</v>
      </c>
      <c r="H241" s="38" t="n">
        <v>127</v>
      </c>
      <c r="I241" s="38" t="n">
        <v>141</v>
      </c>
      <c r="J241" s="39" t="n">
        <v>135</v>
      </c>
      <c r="K241" s="40" t="n">
        <v>536</v>
      </c>
    </row>
    <row r="242" customFormat="false" ht="12.8" hidden="false" customHeight="false" outlineLevel="0" collapsed="false">
      <c r="A242" s="1" t="n">
        <v>42</v>
      </c>
      <c r="B242" s="42" t="s">
        <v>57</v>
      </c>
      <c r="C242" s="1" t="n">
        <v>0.1522</v>
      </c>
      <c r="D242" s="1" t="s">
        <v>53</v>
      </c>
    </row>
    <row r="243" customFormat="false" ht="12.8" hidden="false" customHeight="false" outlineLevel="0" collapsed="false">
      <c r="A243" s="1" t="n">
        <v>42</v>
      </c>
      <c r="B243" s="42" t="s">
        <v>66</v>
      </c>
      <c r="C243" s="1" t="n">
        <v>0.1502</v>
      </c>
      <c r="D243" s="1" t="s">
        <v>53</v>
      </c>
    </row>
    <row r="244" customFormat="false" ht="12.8" hidden="false" customHeight="false" outlineLevel="0" collapsed="false">
      <c r="A244" s="1" t="n">
        <v>44</v>
      </c>
      <c r="B244" s="42" t="s">
        <v>56</v>
      </c>
      <c r="C244" s="1" t="n">
        <v>0.1813</v>
      </c>
      <c r="D244" s="1" t="s">
        <v>53</v>
      </c>
      <c r="F244" s="52" t="s">
        <v>67</v>
      </c>
    </row>
    <row r="245" customFormat="false" ht="12.8" hidden="false" customHeight="false" outlineLevel="0" collapsed="false">
      <c r="A245" s="1" t="n">
        <v>44</v>
      </c>
      <c r="B245" s="42" t="s">
        <v>49</v>
      </c>
      <c r="C245" s="1" t="n">
        <v>0.1753</v>
      </c>
      <c r="D245" s="1" t="s">
        <v>53</v>
      </c>
    </row>
    <row r="246" customFormat="false" ht="12.8" hidden="false" customHeight="false" outlineLevel="0" collapsed="false">
      <c r="A246" s="1" t="n">
        <v>44</v>
      </c>
      <c r="B246" s="42" t="s">
        <v>52</v>
      </c>
      <c r="C246" s="1" t="n">
        <v>0.1746</v>
      </c>
      <c r="D246" s="1" t="s">
        <v>53</v>
      </c>
      <c r="F246" s="11" t="s">
        <v>68</v>
      </c>
    </row>
    <row r="247" customFormat="false" ht="12.8" hidden="false" customHeight="false" outlineLevel="0" collapsed="false">
      <c r="A247" s="1" t="n">
        <v>44</v>
      </c>
      <c r="B247" s="42" t="s">
        <v>64</v>
      </c>
      <c r="C247" s="1" t="n">
        <v>0.1629</v>
      </c>
      <c r="D247" s="1" t="s">
        <v>53</v>
      </c>
      <c r="F247" s="1" t="s">
        <v>12</v>
      </c>
      <c r="G247" s="1" t="n">
        <v>0.05</v>
      </c>
    </row>
    <row r="248" customFormat="false" ht="12.8" hidden="false" customHeight="false" outlineLevel="0" collapsed="false">
      <c r="A248" s="1" t="n">
        <v>44</v>
      </c>
      <c r="B248" s="42" t="s">
        <v>57</v>
      </c>
      <c r="C248" s="1" t="n">
        <v>0.1532</v>
      </c>
      <c r="D248" s="1" t="s">
        <v>53</v>
      </c>
      <c r="F248" s="1" t="s">
        <v>22</v>
      </c>
      <c r="G248" s="1" t="n">
        <f aca="false">(COLUMNS(anchor_raw_information!$G$229:$J$240) - 1) * (ROWS(anchor_raw_information!$G$229:$J$240) - 1)</f>
        <v>33</v>
      </c>
    </row>
    <row r="249" customFormat="false" ht="12.8" hidden="false" customHeight="false" outlineLevel="0" collapsed="false">
      <c r="A249" s="1" t="n">
        <v>44</v>
      </c>
      <c r="B249" s="42" t="s">
        <v>58</v>
      </c>
      <c r="C249" s="1" t="n">
        <v>0.1526</v>
      </c>
      <c r="D249" s="1" t="s">
        <v>53</v>
      </c>
      <c r="F249" s="1" t="s">
        <v>69</v>
      </c>
      <c r="G249" s="1" t="n">
        <f aca="false">CHITEST(anchor_raw_information!$G$229:$J$240, MMULT(MMULT(anchor_raw_information!$G$229:$J$240,TRANSPOSE(IF(COLUMN(anchor_raw_information!$G$229:$J$240),TRUE()))),MMULT(TRANSPOSE(IF(ROW(anchor_raw_information!$G$229:$J$240),TRUE())),anchor_raw_information!$G$229:$J$240)) / SUM(anchor_raw_information!$G$229:$J$240))</f>
        <v>0.0112141085111653</v>
      </c>
    </row>
    <row r="250" customFormat="false" ht="12.8" hidden="false" customHeight="false" outlineLevel="0" collapsed="false">
      <c r="A250" s="1" t="n">
        <v>46</v>
      </c>
      <c r="B250" s="42" t="s">
        <v>52</v>
      </c>
      <c r="C250" s="1" t="n">
        <v>0.1902</v>
      </c>
      <c r="D250" s="1" t="s">
        <v>53</v>
      </c>
      <c r="F250" s="1" t="s">
        <v>70</v>
      </c>
      <c r="G250" s="1" t="n">
        <f aca="false">CHIINV(anchor_raw_information!$G$249, anchor_raw_information!$G$248)</f>
        <v>54.2863064969934</v>
      </c>
    </row>
    <row r="251" customFormat="false" ht="12.8" hidden="false" customHeight="false" outlineLevel="0" collapsed="false">
      <c r="A251" s="1" t="n">
        <v>46</v>
      </c>
      <c r="B251" s="42" t="s">
        <v>56</v>
      </c>
      <c r="C251" s="1" t="n">
        <v>0.1851</v>
      </c>
      <c r="D251" s="1" t="s">
        <v>53</v>
      </c>
      <c r="F251" s="1" t="s">
        <v>71</v>
      </c>
      <c r="G251" s="1" t="n">
        <f aca="false">CHIINV(anchor_raw_information!$G$247, anchor_raw_information!$G$248)</f>
        <v>47.3998839190809</v>
      </c>
    </row>
    <row r="252" customFormat="false" ht="12.8" hidden="false" customHeight="false" outlineLevel="0" collapsed="false">
      <c r="A252" s="1" t="n">
        <v>46</v>
      </c>
      <c r="B252" s="42" t="s">
        <v>64</v>
      </c>
      <c r="C252" s="1" t="n">
        <v>0.1757</v>
      </c>
      <c r="D252" s="1" t="s">
        <v>53</v>
      </c>
    </row>
    <row r="253" customFormat="false" ht="12.8" hidden="false" customHeight="false" outlineLevel="0" collapsed="false">
      <c r="A253" s="1" t="n">
        <v>46</v>
      </c>
      <c r="B253" s="42" t="s">
        <v>49</v>
      </c>
      <c r="C253" s="1" t="n">
        <v>0.1751</v>
      </c>
      <c r="D253" s="1" t="s">
        <v>53</v>
      </c>
    </row>
    <row r="254" customFormat="false" ht="12.8" hidden="false" customHeight="false" outlineLevel="0" collapsed="false">
      <c r="A254" s="1" t="n">
        <v>46</v>
      </c>
      <c r="B254" s="42" t="s">
        <v>66</v>
      </c>
      <c r="C254" s="1" t="n">
        <v>0.1738</v>
      </c>
      <c r="D254" s="1" t="s">
        <v>53</v>
      </c>
      <c r="F254" s="53" t="s">
        <v>72</v>
      </c>
    </row>
    <row r="255" customFormat="false" ht="12.8" hidden="false" customHeight="false" outlineLevel="0" collapsed="false">
      <c r="A255" s="1" t="n">
        <v>46</v>
      </c>
      <c r="B255" s="42" t="s">
        <v>57</v>
      </c>
      <c r="C255" s="1" t="n">
        <v>0.1</v>
      </c>
      <c r="D255" s="1" t="s">
        <v>53</v>
      </c>
    </row>
    <row r="256" customFormat="false" ht="12.8" hidden="false" customHeight="false" outlineLevel="0" collapsed="false">
      <c r="A256" s="1" t="n">
        <v>48</v>
      </c>
      <c r="B256" s="42" t="s">
        <v>56</v>
      </c>
      <c r="C256" s="1" t="n">
        <v>0.1788</v>
      </c>
      <c r="D256" s="1" t="s">
        <v>53</v>
      </c>
      <c r="F256" s="54" t="s">
        <v>51</v>
      </c>
      <c r="G256" s="55" t="s">
        <v>48</v>
      </c>
      <c r="H256" s="56"/>
      <c r="I256" s="56"/>
      <c r="J256" s="56"/>
      <c r="K256" s="57"/>
    </row>
    <row r="257" customFormat="false" ht="12.8" hidden="false" customHeight="false" outlineLevel="0" collapsed="false">
      <c r="A257" s="1" t="n">
        <v>48</v>
      </c>
      <c r="B257" s="42" t="s">
        <v>64</v>
      </c>
      <c r="C257" s="1" t="n">
        <v>0.1724</v>
      </c>
      <c r="D257" s="1" t="s">
        <v>53</v>
      </c>
      <c r="F257" s="58" t="s">
        <v>46</v>
      </c>
      <c r="G257" s="59" t="s">
        <v>50</v>
      </c>
      <c r="H257" s="60" t="s">
        <v>53</v>
      </c>
      <c r="I257" s="60" t="s">
        <v>54</v>
      </c>
      <c r="J257" s="60" t="s">
        <v>55</v>
      </c>
      <c r="K257" s="61" t="s">
        <v>44</v>
      </c>
    </row>
    <row r="258" customFormat="false" ht="12.8" hidden="false" customHeight="false" outlineLevel="0" collapsed="false">
      <c r="A258" s="1" t="n">
        <v>48</v>
      </c>
      <c r="B258" s="42" t="s">
        <v>52</v>
      </c>
      <c r="C258" s="1" t="n">
        <v>0.171</v>
      </c>
      <c r="D258" s="1" t="s">
        <v>53</v>
      </c>
      <c r="F258" s="62" t="s">
        <v>58</v>
      </c>
      <c r="G258" s="63" t="n">
        <v>11</v>
      </c>
      <c r="H258" s="64" t="n">
        <v>15</v>
      </c>
      <c r="I258" s="64" t="n">
        <v>22</v>
      </c>
      <c r="J258" s="65" t="n">
        <v>12</v>
      </c>
      <c r="K258" s="66" t="n">
        <v>60</v>
      </c>
    </row>
    <row r="259" customFormat="false" ht="12.8" hidden="false" customHeight="false" outlineLevel="0" collapsed="false">
      <c r="A259" s="1" t="n">
        <v>48</v>
      </c>
      <c r="B259" s="42" t="s">
        <v>57</v>
      </c>
      <c r="C259" s="1" t="n">
        <v>0.1641</v>
      </c>
      <c r="D259" s="1" t="s">
        <v>53</v>
      </c>
      <c r="F259" s="67" t="s">
        <v>60</v>
      </c>
      <c r="G259" s="68" t="n">
        <v>4</v>
      </c>
      <c r="H259" s="69" t="n">
        <v>4</v>
      </c>
      <c r="I259" s="69" t="n">
        <v>7</v>
      </c>
      <c r="J259" s="70" t="n">
        <v>1</v>
      </c>
      <c r="K259" s="71" t="n">
        <v>16</v>
      </c>
    </row>
    <row r="260" customFormat="false" ht="12.8" hidden="false" customHeight="false" outlineLevel="0" collapsed="false">
      <c r="A260" s="1" t="n">
        <v>48</v>
      </c>
      <c r="B260" s="42" t="s">
        <v>49</v>
      </c>
      <c r="C260" s="1" t="n">
        <v>0.1636</v>
      </c>
      <c r="D260" s="1" t="s">
        <v>53</v>
      </c>
      <c r="F260" s="67" t="s">
        <v>64</v>
      </c>
      <c r="G260" s="68" t="n">
        <v>8</v>
      </c>
      <c r="H260" s="69" t="n">
        <v>10</v>
      </c>
      <c r="I260" s="69" t="n">
        <v>15</v>
      </c>
      <c r="J260" s="70" t="n">
        <v>15</v>
      </c>
      <c r="K260" s="71" t="n">
        <v>48</v>
      </c>
    </row>
    <row r="261" customFormat="false" ht="12.8" hidden="false" customHeight="false" outlineLevel="0" collapsed="false">
      <c r="A261" s="1" t="n">
        <v>48</v>
      </c>
      <c r="B261" s="1" t="s">
        <v>66</v>
      </c>
      <c r="C261" s="1" t="n">
        <v>0.1501</v>
      </c>
      <c r="D261" s="1" t="s">
        <v>53</v>
      </c>
      <c r="F261" s="67" t="s">
        <v>65</v>
      </c>
      <c r="G261" s="68" t="n">
        <v>1</v>
      </c>
      <c r="H261" s="69" t="n">
        <v>4</v>
      </c>
      <c r="I261" s="69" t="n">
        <v>4</v>
      </c>
      <c r="J261" s="70" t="n">
        <v>1</v>
      </c>
      <c r="K261" s="71" t="n">
        <v>10</v>
      </c>
    </row>
    <row r="262" customFormat="false" ht="12.8" hidden="false" customHeight="false" outlineLevel="0" collapsed="false">
      <c r="A262" s="1" t="n">
        <v>0</v>
      </c>
      <c r="B262" s="42" t="s">
        <v>52</v>
      </c>
      <c r="C262" s="1" t="n">
        <v>0.3145</v>
      </c>
      <c r="D262" s="1" t="s">
        <v>54</v>
      </c>
      <c r="F262" s="67" t="s">
        <v>52</v>
      </c>
      <c r="G262" s="68" t="n">
        <v>18</v>
      </c>
      <c r="H262" s="69" t="n">
        <v>21</v>
      </c>
      <c r="I262" s="69" t="n">
        <v>22</v>
      </c>
      <c r="J262" s="70" t="n">
        <v>23</v>
      </c>
      <c r="K262" s="71" t="n">
        <v>84</v>
      </c>
    </row>
    <row r="263" customFormat="false" ht="12.8" hidden="false" customHeight="false" outlineLevel="0" collapsed="false">
      <c r="A263" s="1" t="n">
        <v>0</v>
      </c>
      <c r="B263" s="42" t="s">
        <v>49</v>
      </c>
      <c r="C263" s="1" t="n">
        <v>0.298</v>
      </c>
      <c r="D263" s="1" t="s">
        <v>54</v>
      </c>
      <c r="F263" s="67" t="s">
        <v>66</v>
      </c>
      <c r="G263" s="68" t="n">
        <v>2</v>
      </c>
      <c r="H263" s="69" t="n">
        <v>10</v>
      </c>
      <c r="I263" s="69" t="n">
        <v>6</v>
      </c>
      <c r="J263" s="70" t="n">
        <v>2</v>
      </c>
      <c r="K263" s="71" t="n">
        <v>20</v>
      </c>
    </row>
    <row r="264" customFormat="false" ht="12.8" hidden="false" customHeight="false" outlineLevel="0" collapsed="false">
      <c r="A264" s="1" t="n">
        <v>0</v>
      </c>
      <c r="B264" s="42" t="s">
        <v>58</v>
      </c>
      <c r="C264" s="1" t="n">
        <v>0.2876</v>
      </c>
      <c r="D264" s="1" t="s">
        <v>54</v>
      </c>
      <c r="F264" s="67" t="s">
        <v>56</v>
      </c>
      <c r="G264" s="68" t="n">
        <v>24</v>
      </c>
      <c r="H264" s="69" t="n">
        <v>17</v>
      </c>
      <c r="I264" s="69" t="n">
        <v>20</v>
      </c>
      <c r="J264" s="70" t="n">
        <v>23</v>
      </c>
      <c r="K264" s="71" t="n">
        <v>84</v>
      </c>
    </row>
    <row r="265" customFormat="false" ht="12.8" hidden="false" customHeight="false" outlineLevel="0" collapsed="false">
      <c r="A265" s="1" t="n">
        <v>0</v>
      </c>
      <c r="B265" s="42" t="s">
        <v>57</v>
      </c>
      <c r="C265" s="1" t="n">
        <v>0.1</v>
      </c>
      <c r="D265" s="1" t="s">
        <v>54</v>
      </c>
      <c r="F265" s="67" t="s">
        <v>62</v>
      </c>
      <c r="G265" s="68" t="n">
        <v>5</v>
      </c>
      <c r="H265" s="69" t="n">
        <v>1</v>
      </c>
      <c r="I265" s="69" t="n">
        <v>1</v>
      </c>
      <c r="J265" s="70" t="n">
        <v>6</v>
      </c>
      <c r="K265" s="71" t="n">
        <v>13</v>
      </c>
    </row>
    <row r="266" customFormat="false" ht="12.8" hidden="false" customHeight="false" outlineLevel="0" collapsed="false">
      <c r="A266" s="1" t="n">
        <v>2</v>
      </c>
      <c r="B266" s="42" t="s">
        <v>52</v>
      </c>
      <c r="C266" s="1" t="n">
        <v>0.1879</v>
      </c>
      <c r="D266" s="1" t="s">
        <v>54</v>
      </c>
      <c r="F266" s="67" t="s">
        <v>61</v>
      </c>
      <c r="G266" s="68" t="n">
        <v>15</v>
      </c>
      <c r="H266" s="69" t="n">
        <v>2</v>
      </c>
      <c r="I266" s="69" t="n">
        <v>2</v>
      </c>
      <c r="J266" s="70" t="n">
        <v>4</v>
      </c>
      <c r="K266" s="71" t="n">
        <v>23</v>
      </c>
    </row>
    <row r="267" customFormat="false" ht="12.8" hidden="false" customHeight="false" outlineLevel="0" collapsed="false">
      <c r="A267" s="1" t="n">
        <v>2</v>
      </c>
      <c r="B267" s="42" t="s">
        <v>56</v>
      </c>
      <c r="C267" s="1" t="n">
        <v>0.1866</v>
      </c>
      <c r="D267" s="1" t="s">
        <v>54</v>
      </c>
      <c r="F267" s="67" t="s">
        <v>49</v>
      </c>
      <c r="G267" s="68" t="n">
        <v>19</v>
      </c>
      <c r="H267" s="69" t="n">
        <v>17</v>
      </c>
      <c r="I267" s="69" t="n">
        <v>16</v>
      </c>
      <c r="J267" s="70" t="n">
        <v>22</v>
      </c>
      <c r="K267" s="71" t="n">
        <v>74</v>
      </c>
    </row>
    <row r="268" customFormat="false" ht="12.8" hidden="false" customHeight="false" outlineLevel="0" collapsed="false">
      <c r="A268" s="1" t="n">
        <v>2</v>
      </c>
      <c r="B268" s="42" t="s">
        <v>58</v>
      </c>
      <c r="C268" s="1" t="n">
        <v>0.1796</v>
      </c>
      <c r="D268" s="1" t="s">
        <v>54</v>
      </c>
      <c r="F268" s="72" t="s">
        <v>44</v>
      </c>
      <c r="G268" s="73" t="n">
        <v>133</v>
      </c>
      <c r="H268" s="74" t="n">
        <v>127</v>
      </c>
      <c r="I268" s="74" t="n">
        <v>141</v>
      </c>
      <c r="J268" s="75" t="n">
        <v>135</v>
      </c>
      <c r="K268" s="76" t="n">
        <v>536</v>
      </c>
    </row>
    <row r="269" customFormat="false" ht="12.8" hidden="false" customHeight="false" outlineLevel="0" collapsed="false">
      <c r="A269" s="1" t="n">
        <v>2</v>
      </c>
      <c r="B269" s="42" t="s">
        <v>49</v>
      </c>
      <c r="C269" s="1" t="n">
        <v>0.1746</v>
      </c>
      <c r="D269" s="1" t="s">
        <v>54</v>
      </c>
    </row>
    <row r="270" customFormat="false" ht="12.8" hidden="false" customHeight="false" outlineLevel="0" collapsed="false">
      <c r="A270" s="1" t="n">
        <v>2</v>
      </c>
      <c r="B270" s="42" t="s">
        <v>60</v>
      </c>
      <c r="C270" s="1" t="n">
        <v>0.1712</v>
      </c>
      <c r="D270" s="1" t="s">
        <v>54</v>
      </c>
      <c r="F270" s="11" t="s">
        <v>68</v>
      </c>
    </row>
    <row r="271" customFormat="false" ht="12.8" hidden="false" customHeight="false" outlineLevel="0" collapsed="false">
      <c r="A271" s="1" t="n">
        <v>2</v>
      </c>
      <c r="B271" s="42" t="s">
        <v>57</v>
      </c>
      <c r="C271" s="1" t="n">
        <v>0.1</v>
      </c>
      <c r="D271" s="1" t="s">
        <v>54</v>
      </c>
      <c r="F271" s="1" t="s">
        <v>12</v>
      </c>
      <c r="G271" s="1" t="n">
        <v>0.05</v>
      </c>
    </row>
    <row r="272" customFormat="false" ht="12.8" hidden="false" customHeight="false" outlineLevel="0" collapsed="false">
      <c r="A272" s="1" t="n">
        <v>4</v>
      </c>
      <c r="B272" s="42" t="s">
        <v>65</v>
      </c>
      <c r="C272" s="1" t="n">
        <v>0.1957</v>
      </c>
      <c r="D272" s="1" t="s">
        <v>54</v>
      </c>
      <c r="F272" s="1" t="s">
        <v>22</v>
      </c>
      <c r="G272" s="1" t="n">
        <f aca="false">(COLUMNS(anchor_raw_information!$G$258:$J$267) - 1) * (ROWS(anchor_raw_information!$G$258:$J$267) - 1)</f>
        <v>27</v>
      </c>
    </row>
    <row r="273" customFormat="false" ht="12.8" hidden="false" customHeight="false" outlineLevel="0" collapsed="false">
      <c r="A273" s="1" t="n">
        <v>4</v>
      </c>
      <c r="B273" s="42" t="s">
        <v>58</v>
      </c>
      <c r="C273" s="1" t="n">
        <v>0.1933</v>
      </c>
      <c r="D273" s="1" t="s">
        <v>54</v>
      </c>
      <c r="F273" s="1" t="s">
        <v>69</v>
      </c>
      <c r="G273" s="1" t="n">
        <f aca="false">CHITEST(anchor_raw_information!$G$258:$J$267, MMULT(MMULT(anchor_raw_information!$G$258:$J$267,TRANSPOSE(IF(COLUMN(anchor_raw_information!$G$258:$J$267),TRUE()))),MMULT(TRANSPOSE(IF(ROW(anchor_raw_information!$G$258:$J$267),TRUE())),anchor_raw_information!$G$258:$J$267)) / SUM(anchor_raw_information!$G$258:$J$267))</f>
        <v>0.00145765081566472</v>
      </c>
    </row>
    <row r="274" customFormat="false" ht="12.8" hidden="false" customHeight="false" outlineLevel="0" collapsed="false">
      <c r="A274" s="1" t="n">
        <v>4</v>
      </c>
      <c r="B274" s="42" t="s">
        <v>59</v>
      </c>
      <c r="C274" s="1" t="n">
        <v>0.1809</v>
      </c>
      <c r="D274" s="1" t="s">
        <v>54</v>
      </c>
      <c r="F274" s="1" t="s">
        <v>70</v>
      </c>
      <c r="G274" s="1" t="n">
        <f aca="false">CHIINV(anchor_raw_information!$G$273, anchor_raw_information!$G$272)</f>
        <v>54.1519136711424</v>
      </c>
    </row>
    <row r="275" customFormat="false" ht="12.8" hidden="false" customHeight="false" outlineLevel="0" collapsed="false">
      <c r="A275" s="1" t="n">
        <v>4</v>
      </c>
      <c r="B275" s="42" t="s">
        <v>60</v>
      </c>
      <c r="C275" s="1" t="n">
        <v>0.1674</v>
      </c>
      <c r="D275" s="1" t="s">
        <v>54</v>
      </c>
      <c r="F275" s="1" t="s">
        <v>71</v>
      </c>
      <c r="G275" s="1" t="n">
        <f aca="false">CHIINV(anchor_raw_information!$G$271, anchor_raw_information!$G$272)</f>
        <v>40.1132720694136</v>
      </c>
    </row>
    <row r="276" customFormat="false" ht="12.8" hidden="false" customHeight="false" outlineLevel="0" collapsed="false">
      <c r="A276" s="1" t="n">
        <v>4</v>
      </c>
      <c r="B276" s="42" t="s">
        <v>52</v>
      </c>
      <c r="C276" s="1" t="n">
        <v>0.1626</v>
      </c>
      <c r="D276" s="1" t="s">
        <v>54</v>
      </c>
    </row>
    <row r="277" customFormat="false" ht="12.8" hidden="false" customHeight="false" outlineLevel="0" collapsed="false">
      <c r="A277" s="1" t="n">
        <v>4</v>
      </c>
      <c r="B277" s="42" t="s">
        <v>57</v>
      </c>
      <c r="C277" s="1" t="n">
        <v>0.1</v>
      </c>
      <c r="D277" s="1" t="s">
        <v>54</v>
      </c>
      <c r="F277" s="43"/>
      <c r="G277" s="44"/>
      <c r="H277" s="15" t="s">
        <v>48</v>
      </c>
      <c r="I277" s="16"/>
      <c r="J277" s="16"/>
      <c r="K277" s="16"/>
      <c r="L277" s="17"/>
    </row>
    <row r="278" customFormat="false" ht="12.8" hidden="false" customHeight="false" outlineLevel="0" collapsed="false">
      <c r="A278" s="1" t="n">
        <v>6</v>
      </c>
      <c r="B278" s="42" t="s">
        <v>58</v>
      </c>
      <c r="C278" s="1" t="n">
        <v>0.1998</v>
      </c>
      <c r="D278" s="1" t="s">
        <v>54</v>
      </c>
      <c r="F278" s="18" t="s">
        <v>46</v>
      </c>
      <c r="G278" s="45" t="s">
        <v>73</v>
      </c>
      <c r="H278" s="19" t="s">
        <v>50</v>
      </c>
      <c r="I278" s="20" t="s">
        <v>53</v>
      </c>
      <c r="J278" s="20" t="s">
        <v>54</v>
      </c>
      <c r="K278" s="20" t="s">
        <v>55</v>
      </c>
      <c r="L278" s="21" t="s">
        <v>44</v>
      </c>
    </row>
    <row r="279" customFormat="false" ht="12.8" hidden="false" customHeight="false" outlineLevel="0" collapsed="false">
      <c r="A279" s="1" t="n">
        <v>6</v>
      </c>
      <c r="B279" s="42" t="s">
        <v>60</v>
      </c>
      <c r="C279" s="1" t="n">
        <v>0.1763</v>
      </c>
      <c r="D279" s="1" t="s">
        <v>54</v>
      </c>
      <c r="F279" s="22" t="s">
        <v>58</v>
      </c>
      <c r="G279" s="46" t="s">
        <v>51</v>
      </c>
      <c r="H279" s="77" t="n">
        <v>11</v>
      </c>
      <c r="I279" s="78" t="n">
        <v>15</v>
      </c>
      <c r="J279" s="78" t="n">
        <v>22</v>
      </c>
      <c r="K279" s="79" t="n">
        <v>12</v>
      </c>
      <c r="L279" s="80" t="n">
        <v>60</v>
      </c>
    </row>
    <row r="280" customFormat="false" ht="12.8" hidden="false" customHeight="false" outlineLevel="0" collapsed="false">
      <c r="A280" s="1" t="n">
        <v>6</v>
      </c>
      <c r="B280" s="42" t="s">
        <v>52</v>
      </c>
      <c r="C280" s="1" t="n">
        <v>0.1635</v>
      </c>
      <c r="D280" s="1" t="s">
        <v>54</v>
      </c>
      <c r="F280" s="48"/>
      <c r="G280" s="49" t="s">
        <v>74</v>
      </c>
      <c r="H280" s="81" t="n">
        <v>0.187118181818182</v>
      </c>
      <c r="I280" s="82" t="n">
        <v>0.214606666666667</v>
      </c>
      <c r="J280" s="82" t="n">
        <v>0.194395454545455</v>
      </c>
      <c r="K280" s="83" t="n">
        <v>0.168275</v>
      </c>
      <c r="L280" s="84" t="n">
        <v>0.19289</v>
      </c>
    </row>
    <row r="281" customFormat="false" ht="12.8" hidden="false" customHeight="false" outlineLevel="0" collapsed="false">
      <c r="A281" s="1" t="n">
        <v>6</v>
      </c>
      <c r="B281" s="42" t="s">
        <v>57</v>
      </c>
      <c r="C281" s="1" t="n">
        <v>0.1607</v>
      </c>
      <c r="D281" s="1" t="s">
        <v>54</v>
      </c>
      <c r="F281" s="22" t="s">
        <v>60</v>
      </c>
      <c r="G281" s="46" t="s">
        <v>51</v>
      </c>
      <c r="H281" s="78" t="n">
        <v>4</v>
      </c>
      <c r="I281" s="78" t="n">
        <v>4</v>
      </c>
      <c r="J281" s="78" t="n">
        <v>7</v>
      </c>
      <c r="K281" s="78" t="n">
        <v>1</v>
      </c>
      <c r="L281" s="80" t="n">
        <v>16</v>
      </c>
    </row>
    <row r="282" customFormat="false" ht="12.8" hidden="false" customHeight="false" outlineLevel="0" collapsed="false">
      <c r="A282" s="1" t="n">
        <v>6</v>
      </c>
      <c r="B282" s="42" t="s">
        <v>56</v>
      </c>
      <c r="C282" s="1" t="n">
        <v>0.152</v>
      </c>
      <c r="D282" s="1" t="s">
        <v>54</v>
      </c>
      <c r="F282" s="48"/>
      <c r="G282" s="49" t="s">
        <v>74</v>
      </c>
      <c r="H282" s="82" t="n">
        <v>0.169775</v>
      </c>
      <c r="I282" s="82" t="n">
        <v>0.192225</v>
      </c>
      <c r="J282" s="82" t="n">
        <v>0.165971428571429</v>
      </c>
      <c r="K282" s="82" t="n">
        <v>0.1378</v>
      </c>
      <c r="L282" s="84" t="n">
        <v>0.171725</v>
      </c>
    </row>
    <row r="283" customFormat="false" ht="12.8" hidden="false" customHeight="false" outlineLevel="0" collapsed="false">
      <c r="A283" s="1" t="n">
        <v>6</v>
      </c>
      <c r="B283" s="42" t="s">
        <v>49</v>
      </c>
      <c r="C283" s="1" t="n">
        <v>0.1477</v>
      </c>
      <c r="D283" s="1" t="s">
        <v>54</v>
      </c>
      <c r="F283" s="22" t="s">
        <v>59</v>
      </c>
      <c r="G283" s="46" t="s">
        <v>51</v>
      </c>
      <c r="H283" s="77" t="n">
        <v>1</v>
      </c>
      <c r="I283" s="78" t="n">
        <v>1</v>
      </c>
      <c r="J283" s="78" t="n">
        <v>1</v>
      </c>
      <c r="K283" s="79" t="n">
        <v>1</v>
      </c>
      <c r="L283" s="80" t="n">
        <v>4</v>
      </c>
    </row>
    <row r="284" customFormat="false" ht="12.8" hidden="false" customHeight="false" outlineLevel="0" collapsed="false">
      <c r="A284" s="1" t="n">
        <v>8</v>
      </c>
      <c r="B284" s="42" t="s">
        <v>58</v>
      </c>
      <c r="C284" s="1" t="n">
        <v>0.201</v>
      </c>
      <c r="D284" s="1" t="s">
        <v>54</v>
      </c>
      <c r="F284" s="48"/>
      <c r="G284" s="49" t="s">
        <v>74</v>
      </c>
      <c r="H284" s="81" t="n">
        <v>0.2187</v>
      </c>
      <c r="I284" s="82" t="n">
        <v>0.2967</v>
      </c>
      <c r="J284" s="82" t="n">
        <v>0.1809</v>
      </c>
      <c r="K284" s="83" t="n">
        <v>0.1699</v>
      </c>
      <c r="L284" s="84" t="n">
        <v>0.21655</v>
      </c>
    </row>
    <row r="285" customFormat="false" ht="12.8" hidden="false" customHeight="false" outlineLevel="0" collapsed="false">
      <c r="A285" s="1" t="n">
        <v>8</v>
      </c>
      <c r="B285" s="42" t="s">
        <v>52</v>
      </c>
      <c r="C285" s="1" t="n">
        <v>0.1781</v>
      </c>
      <c r="D285" s="1" t="s">
        <v>54</v>
      </c>
      <c r="F285" s="22" t="s">
        <v>64</v>
      </c>
      <c r="G285" s="46" t="s">
        <v>51</v>
      </c>
      <c r="H285" s="78" t="n">
        <v>8</v>
      </c>
      <c r="I285" s="78" t="n">
        <v>10</v>
      </c>
      <c r="J285" s="78" t="n">
        <v>15</v>
      </c>
      <c r="K285" s="78" t="n">
        <v>15</v>
      </c>
      <c r="L285" s="80" t="n">
        <v>48</v>
      </c>
    </row>
    <row r="286" customFormat="false" ht="12.8" hidden="false" customHeight="false" outlineLevel="0" collapsed="false">
      <c r="A286" s="1" t="n">
        <v>8</v>
      </c>
      <c r="B286" s="42" t="s">
        <v>57</v>
      </c>
      <c r="C286" s="1" t="n">
        <v>0.1688</v>
      </c>
      <c r="D286" s="1" t="s">
        <v>54</v>
      </c>
      <c r="F286" s="48"/>
      <c r="G286" s="49" t="s">
        <v>74</v>
      </c>
      <c r="H286" s="82" t="n">
        <v>0.1663</v>
      </c>
      <c r="I286" s="82" t="n">
        <v>0.17012</v>
      </c>
      <c r="J286" s="82" t="n">
        <v>0.174733333333333</v>
      </c>
      <c r="K286" s="82" t="n">
        <v>0.183506666666667</v>
      </c>
      <c r="L286" s="84" t="n">
        <v>0.175108333333333</v>
      </c>
    </row>
    <row r="287" customFormat="false" ht="12.8" hidden="false" customHeight="false" outlineLevel="0" collapsed="false">
      <c r="A287" s="1" t="n">
        <v>8</v>
      </c>
      <c r="B287" s="42" t="s">
        <v>64</v>
      </c>
      <c r="C287" s="1" t="n">
        <v>0.1532</v>
      </c>
      <c r="D287" s="1" t="s">
        <v>54</v>
      </c>
      <c r="F287" s="22" t="s">
        <v>65</v>
      </c>
      <c r="G287" s="46" t="s">
        <v>51</v>
      </c>
      <c r="H287" s="77" t="n">
        <v>1</v>
      </c>
      <c r="I287" s="78" t="n">
        <v>4</v>
      </c>
      <c r="J287" s="78" t="n">
        <v>4</v>
      </c>
      <c r="K287" s="79" t="n">
        <v>1</v>
      </c>
      <c r="L287" s="80" t="n">
        <v>10</v>
      </c>
    </row>
    <row r="288" customFormat="false" ht="12.8" hidden="false" customHeight="false" outlineLevel="0" collapsed="false">
      <c r="A288" s="1" t="n">
        <v>8</v>
      </c>
      <c r="B288" s="42" t="s">
        <v>49</v>
      </c>
      <c r="C288" s="1" t="n">
        <v>0.151</v>
      </c>
      <c r="D288" s="1" t="s">
        <v>54</v>
      </c>
      <c r="F288" s="48"/>
      <c r="G288" s="49" t="s">
        <v>74</v>
      </c>
      <c r="H288" s="81" t="n">
        <v>0.1574</v>
      </c>
      <c r="I288" s="82" t="n">
        <v>0.21205</v>
      </c>
      <c r="J288" s="82" t="n">
        <v>0.17035</v>
      </c>
      <c r="K288" s="83" t="n">
        <v>0.1768</v>
      </c>
      <c r="L288" s="84" t="n">
        <v>0.18638</v>
      </c>
    </row>
    <row r="289" customFormat="false" ht="12.8" hidden="false" customHeight="false" outlineLevel="0" collapsed="false">
      <c r="A289" s="1" t="n">
        <v>8</v>
      </c>
      <c r="B289" s="42" t="s">
        <v>60</v>
      </c>
      <c r="C289" s="1" t="n">
        <v>0.1478</v>
      </c>
      <c r="D289" s="1" t="s">
        <v>54</v>
      </c>
      <c r="F289" s="22" t="s">
        <v>52</v>
      </c>
      <c r="G289" s="46" t="s">
        <v>51</v>
      </c>
      <c r="H289" s="78" t="n">
        <v>18</v>
      </c>
      <c r="I289" s="78" t="n">
        <v>21</v>
      </c>
      <c r="J289" s="78" t="n">
        <v>22</v>
      </c>
      <c r="K289" s="78" t="n">
        <v>23</v>
      </c>
      <c r="L289" s="80" t="n">
        <v>84</v>
      </c>
    </row>
    <row r="290" customFormat="false" ht="12.8" hidden="false" customHeight="false" outlineLevel="0" collapsed="false">
      <c r="A290" s="1" t="n">
        <v>10</v>
      </c>
      <c r="B290" s="42" t="s">
        <v>49</v>
      </c>
      <c r="C290" s="1" t="n">
        <v>0.2051</v>
      </c>
      <c r="D290" s="1" t="s">
        <v>54</v>
      </c>
      <c r="F290" s="48"/>
      <c r="G290" s="49" t="s">
        <v>74</v>
      </c>
      <c r="H290" s="82" t="n">
        <v>0.185483333333333</v>
      </c>
      <c r="I290" s="82" t="n">
        <v>0.22682380952381</v>
      </c>
      <c r="J290" s="82" t="n">
        <v>0.185177272727273</v>
      </c>
      <c r="K290" s="82" t="n">
        <v>0.229260869565217</v>
      </c>
      <c r="L290" s="84" t="n">
        <v>0.207725</v>
      </c>
    </row>
    <row r="291" customFormat="false" ht="12.8" hidden="false" customHeight="false" outlineLevel="0" collapsed="false">
      <c r="A291" s="1" t="n">
        <v>10</v>
      </c>
      <c r="B291" s="42" t="s">
        <v>58</v>
      </c>
      <c r="C291" s="1" t="n">
        <v>0.1819</v>
      </c>
      <c r="D291" s="1" t="s">
        <v>54</v>
      </c>
      <c r="F291" s="22" t="s">
        <v>66</v>
      </c>
      <c r="G291" s="46" t="s">
        <v>51</v>
      </c>
      <c r="H291" s="77" t="n">
        <v>2</v>
      </c>
      <c r="I291" s="78" t="n">
        <v>10</v>
      </c>
      <c r="J291" s="78" t="n">
        <v>6</v>
      </c>
      <c r="K291" s="79" t="n">
        <v>2</v>
      </c>
      <c r="L291" s="80" t="n">
        <v>20</v>
      </c>
    </row>
    <row r="292" customFormat="false" ht="12.8" hidden="false" customHeight="false" outlineLevel="0" collapsed="false">
      <c r="A292" s="1" t="n">
        <v>10</v>
      </c>
      <c r="B292" s="42" t="s">
        <v>52</v>
      </c>
      <c r="C292" s="1" t="n">
        <v>0.1802</v>
      </c>
      <c r="D292" s="1" t="s">
        <v>54</v>
      </c>
      <c r="F292" s="48"/>
      <c r="G292" s="49" t="s">
        <v>74</v>
      </c>
      <c r="H292" s="81" t="n">
        <v>0.15055</v>
      </c>
      <c r="I292" s="82" t="n">
        <v>0.15195</v>
      </c>
      <c r="J292" s="82" t="n">
        <v>0.1619</v>
      </c>
      <c r="K292" s="83" t="n">
        <v>0.14795</v>
      </c>
      <c r="L292" s="84" t="n">
        <v>0.154395</v>
      </c>
    </row>
    <row r="293" customFormat="false" ht="12.8" hidden="false" customHeight="false" outlineLevel="0" collapsed="false">
      <c r="A293" s="1" t="n">
        <v>10</v>
      </c>
      <c r="B293" s="42" t="s">
        <v>64</v>
      </c>
      <c r="C293" s="1" t="n">
        <v>0.1704</v>
      </c>
      <c r="D293" s="1" t="s">
        <v>54</v>
      </c>
      <c r="F293" s="22" t="s">
        <v>56</v>
      </c>
      <c r="G293" s="46" t="s">
        <v>51</v>
      </c>
      <c r="H293" s="78" t="n">
        <v>24</v>
      </c>
      <c r="I293" s="78" t="n">
        <v>17</v>
      </c>
      <c r="J293" s="78" t="n">
        <v>20</v>
      </c>
      <c r="K293" s="78" t="n">
        <v>23</v>
      </c>
      <c r="L293" s="80" t="n">
        <v>84</v>
      </c>
    </row>
    <row r="294" customFormat="false" ht="12.8" hidden="false" customHeight="false" outlineLevel="0" collapsed="false">
      <c r="A294" s="1" t="n">
        <v>10</v>
      </c>
      <c r="B294" s="42" t="s">
        <v>60</v>
      </c>
      <c r="C294" s="1" t="n">
        <v>0.1625</v>
      </c>
      <c r="D294" s="1" t="s">
        <v>54</v>
      </c>
      <c r="F294" s="48"/>
      <c r="G294" s="49" t="s">
        <v>74</v>
      </c>
      <c r="H294" s="82" t="n">
        <v>0.265858333333333</v>
      </c>
      <c r="I294" s="82" t="n">
        <v>0.220541176470588</v>
      </c>
      <c r="J294" s="82" t="n">
        <v>0.22238</v>
      </c>
      <c r="K294" s="82" t="n">
        <v>0.208995652173913</v>
      </c>
      <c r="L294" s="84" t="n">
        <v>0.230765476190476</v>
      </c>
    </row>
    <row r="295" customFormat="false" ht="12.8" hidden="false" customHeight="false" outlineLevel="0" collapsed="false">
      <c r="A295" s="1" t="n">
        <v>10</v>
      </c>
      <c r="B295" s="42" t="s">
        <v>57</v>
      </c>
      <c r="C295" s="1" t="n">
        <v>0.1</v>
      </c>
      <c r="D295" s="1" t="s">
        <v>54</v>
      </c>
      <c r="F295" s="22" t="s">
        <v>62</v>
      </c>
      <c r="G295" s="46" t="s">
        <v>51</v>
      </c>
      <c r="H295" s="77" t="n">
        <v>5</v>
      </c>
      <c r="I295" s="78" t="n">
        <v>1</v>
      </c>
      <c r="J295" s="78" t="n">
        <v>1</v>
      </c>
      <c r="K295" s="79" t="n">
        <v>6</v>
      </c>
      <c r="L295" s="80" t="n">
        <v>13</v>
      </c>
    </row>
    <row r="296" customFormat="false" ht="12.8" hidden="false" customHeight="false" outlineLevel="0" collapsed="false">
      <c r="A296" s="1" t="n">
        <v>12</v>
      </c>
      <c r="B296" s="42" t="s">
        <v>56</v>
      </c>
      <c r="C296" s="1" t="n">
        <v>0.3038</v>
      </c>
      <c r="D296" s="1" t="s">
        <v>54</v>
      </c>
      <c r="F296" s="48"/>
      <c r="G296" s="49" t="s">
        <v>74</v>
      </c>
      <c r="H296" s="81" t="n">
        <v>0.16156</v>
      </c>
      <c r="I296" s="82" t="n">
        <v>0.1766</v>
      </c>
      <c r="J296" s="82" t="n">
        <v>0.1418</v>
      </c>
      <c r="K296" s="83" t="n">
        <v>0.15775</v>
      </c>
      <c r="L296" s="84" t="n">
        <v>0.159438461538462</v>
      </c>
    </row>
    <row r="297" customFormat="false" ht="12.8" hidden="false" customHeight="false" outlineLevel="0" collapsed="false">
      <c r="A297" s="1" t="n">
        <v>12</v>
      </c>
      <c r="B297" s="42" t="s">
        <v>49</v>
      </c>
      <c r="C297" s="1" t="n">
        <v>0.2991</v>
      </c>
      <c r="D297" s="1" t="s">
        <v>54</v>
      </c>
      <c r="F297" s="22" t="s">
        <v>61</v>
      </c>
      <c r="G297" s="46" t="s">
        <v>51</v>
      </c>
      <c r="H297" s="78" t="n">
        <v>15</v>
      </c>
      <c r="I297" s="78" t="n">
        <v>2</v>
      </c>
      <c r="J297" s="78" t="n">
        <v>2</v>
      </c>
      <c r="K297" s="78" t="n">
        <v>4</v>
      </c>
      <c r="L297" s="80" t="n">
        <v>23</v>
      </c>
    </row>
    <row r="298" customFormat="false" ht="12.8" hidden="false" customHeight="false" outlineLevel="0" collapsed="false">
      <c r="A298" s="1" t="n">
        <v>12</v>
      </c>
      <c r="B298" s="42" t="s">
        <v>58</v>
      </c>
      <c r="C298" s="1" t="n">
        <v>0.2971</v>
      </c>
      <c r="D298" s="1" t="s">
        <v>54</v>
      </c>
      <c r="F298" s="48"/>
      <c r="G298" s="49" t="s">
        <v>74</v>
      </c>
      <c r="H298" s="82" t="n">
        <v>0.188106666666667</v>
      </c>
      <c r="I298" s="82" t="n">
        <v>0.2367</v>
      </c>
      <c r="J298" s="82" t="n">
        <v>0.1992</v>
      </c>
      <c r="K298" s="82" t="n">
        <v>0.2373</v>
      </c>
      <c r="L298" s="84" t="n">
        <v>0.201852173913043</v>
      </c>
    </row>
    <row r="299" customFormat="false" ht="12.8" hidden="false" customHeight="false" outlineLevel="0" collapsed="false">
      <c r="A299" s="1" t="n">
        <v>12</v>
      </c>
      <c r="B299" s="42" t="s">
        <v>57</v>
      </c>
      <c r="C299" s="1" t="n">
        <v>0.1</v>
      </c>
      <c r="D299" s="1" t="s">
        <v>54</v>
      </c>
      <c r="F299" s="22" t="s">
        <v>49</v>
      </c>
      <c r="G299" s="46" t="s">
        <v>51</v>
      </c>
      <c r="H299" s="77" t="n">
        <v>19</v>
      </c>
      <c r="I299" s="78" t="n">
        <v>17</v>
      </c>
      <c r="J299" s="78" t="n">
        <v>16</v>
      </c>
      <c r="K299" s="79" t="n">
        <v>22</v>
      </c>
      <c r="L299" s="80" t="n">
        <v>74</v>
      </c>
    </row>
    <row r="300" customFormat="false" ht="12.8" hidden="false" customHeight="false" outlineLevel="0" collapsed="false">
      <c r="A300" s="1" t="n">
        <v>14</v>
      </c>
      <c r="B300" s="42" t="s">
        <v>61</v>
      </c>
      <c r="C300" s="1" t="n">
        <v>0.2466</v>
      </c>
      <c r="D300" s="1" t="s">
        <v>54</v>
      </c>
      <c r="F300" s="48"/>
      <c r="G300" s="49" t="s">
        <v>74</v>
      </c>
      <c r="H300" s="81" t="n">
        <v>0.192105263157895</v>
      </c>
      <c r="I300" s="82" t="n">
        <v>0.227105882352941</v>
      </c>
      <c r="J300" s="82" t="n">
        <v>0.18240625</v>
      </c>
      <c r="K300" s="83" t="n">
        <v>0.204877272727273</v>
      </c>
      <c r="L300" s="84" t="n">
        <v>0.201845945945946</v>
      </c>
    </row>
    <row r="301" customFormat="false" ht="12.8" hidden="false" customHeight="false" outlineLevel="0" collapsed="false">
      <c r="A301" s="1" t="n">
        <v>14</v>
      </c>
      <c r="B301" s="42" t="s">
        <v>58</v>
      </c>
      <c r="C301" s="1" t="n">
        <v>0.2333</v>
      </c>
      <c r="D301" s="1" t="s">
        <v>54</v>
      </c>
      <c r="F301" s="22" t="s">
        <v>57</v>
      </c>
      <c r="G301" s="46" t="s">
        <v>51</v>
      </c>
      <c r="H301" s="78" t="n">
        <v>25</v>
      </c>
      <c r="I301" s="78" t="n">
        <v>25</v>
      </c>
      <c r="J301" s="78" t="n">
        <v>25</v>
      </c>
      <c r="K301" s="78" t="n">
        <v>25</v>
      </c>
      <c r="L301" s="80" t="n">
        <v>100</v>
      </c>
    </row>
    <row r="302" customFormat="false" ht="12.8" hidden="false" customHeight="false" outlineLevel="0" collapsed="false">
      <c r="A302" s="1" t="n">
        <v>14</v>
      </c>
      <c r="B302" s="42" t="s">
        <v>56</v>
      </c>
      <c r="C302" s="1" t="n">
        <v>0.2183</v>
      </c>
      <c r="D302" s="1" t="s">
        <v>54</v>
      </c>
      <c r="F302" s="48"/>
      <c r="G302" s="49" t="s">
        <v>74</v>
      </c>
      <c r="H302" s="82" t="n">
        <v>0.130268</v>
      </c>
      <c r="I302" s="82" t="n">
        <v>0.144912</v>
      </c>
      <c r="J302" s="82" t="n">
        <v>0.125052</v>
      </c>
      <c r="K302" s="82" t="n">
        <v>0.118588</v>
      </c>
      <c r="L302" s="84" t="n">
        <v>0.129705</v>
      </c>
    </row>
    <row r="303" customFormat="false" ht="12.8" hidden="false" customHeight="false" outlineLevel="0" collapsed="false">
      <c r="A303" s="1" t="n">
        <v>14</v>
      </c>
      <c r="B303" s="42" t="s">
        <v>64</v>
      </c>
      <c r="C303" s="1" t="n">
        <v>0.2018</v>
      </c>
      <c r="D303" s="1" t="s">
        <v>54</v>
      </c>
      <c r="F303" s="85" t="s">
        <v>75</v>
      </c>
      <c r="G303" s="86"/>
      <c r="H303" s="87" t="n">
        <v>133</v>
      </c>
      <c r="I303" s="88" t="n">
        <v>127</v>
      </c>
      <c r="J303" s="88" t="n">
        <v>141</v>
      </c>
      <c r="K303" s="89" t="n">
        <v>135</v>
      </c>
      <c r="L303" s="90" t="n">
        <v>536</v>
      </c>
    </row>
    <row r="304" customFormat="false" ht="12.8" hidden="false" customHeight="false" outlineLevel="0" collapsed="false">
      <c r="A304" s="1" t="n">
        <v>14</v>
      </c>
      <c r="B304" s="42" t="s">
        <v>57</v>
      </c>
      <c r="C304" s="1" t="n">
        <v>0.1</v>
      </c>
      <c r="D304" s="1" t="s">
        <v>54</v>
      </c>
      <c r="F304" s="50" t="s">
        <v>76</v>
      </c>
      <c r="G304" s="51"/>
      <c r="H304" s="91" t="n">
        <v>0.187972932330827</v>
      </c>
      <c r="I304" s="92" t="n">
        <v>0.196848031496063</v>
      </c>
      <c r="J304" s="92" t="n">
        <v>0.177302836879433</v>
      </c>
      <c r="K304" s="93" t="n">
        <v>0.185184444444445</v>
      </c>
      <c r="L304" s="94" t="n">
        <v>0.186566604477612</v>
      </c>
    </row>
    <row r="305" customFormat="false" ht="12.8" hidden="false" customHeight="false" outlineLevel="0" collapsed="false">
      <c r="A305" s="1" t="n">
        <v>16</v>
      </c>
      <c r="B305" s="42" t="s">
        <v>56</v>
      </c>
      <c r="C305" s="1" t="n">
        <v>0.9</v>
      </c>
      <c r="D305" s="1" t="s">
        <v>54</v>
      </c>
    </row>
    <row r="306" customFormat="false" ht="12.8" hidden="false" customHeight="false" outlineLevel="0" collapsed="false">
      <c r="A306" s="1" t="n">
        <v>16</v>
      </c>
      <c r="B306" s="42" t="s">
        <v>57</v>
      </c>
      <c r="C306" s="1" t="n">
        <v>0.1</v>
      </c>
      <c r="D306" s="1" t="s">
        <v>54</v>
      </c>
    </row>
    <row r="307" customFormat="false" ht="12.8" hidden="false" customHeight="false" outlineLevel="0" collapsed="false">
      <c r="A307" s="1" t="n">
        <v>18</v>
      </c>
      <c r="B307" s="42" t="s">
        <v>56</v>
      </c>
      <c r="C307" s="1" t="n">
        <v>0.2162</v>
      </c>
      <c r="D307" s="1" t="s">
        <v>54</v>
      </c>
    </row>
    <row r="308" customFormat="false" ht="12.8" hidden="false" customHeight="false" outlineLevel="0" collapsed="false">
      <c r="A308" s="1" t="n">
        <v>18</v>
      </c>
      <c r="B308" s="42" t="s">
        <v>52</v>
      </c>
      <c r="C308" s="1" t="n">
        <v>0.1874</v>
      </c>
      <c r="D308" s="1" t="s">
        <v>54</v>
      </c>
    </row>
    <row r="309" customFormat="false" ht="12.8" hidden="false" customHeight="false" outlineLevel="0" collapsed="false">
      <c r="A309" s="1" t="n">
        <v>18</v>
      </c>
      <c r="B309" s="42" t="s">
        <v>64</v>
      </c>
      <c r="C309" s="1" t="n">
        <v>0.1788</v>
      </c>
      <c r="D309" s="1" t="s">
        <v>54</v>
      </c>
    </row>
    <row r="310" customFormat="false" ht="12.8" hidden="false" customHeight="false" outlineLevel="0" collapsed="false">
      <c r="A310" s="1" t="n">
        <v>18</v>
      </c>
      <c r="B310" s="42" t="s">
        <v>49</v>
      </c>
      <c r="C310" s="1" t="n">
        <v>0.1641</v>
      </c>
      <c r="D310" s="1" t="s">
        <v>54</v>
      </c>
    </row>
    <row r="311" customFormat="false" ht="12.8" hidden="false" customHeight="false" outlineLevel="0" collapsed="false">
      <c r="A311" s="1" t="n">
        <v>18</v>
      </c>
      <c r="B311" s="42" t="s">
        <v>58</v>
      </c>
      <c r="C311" s="1" t="n">
        <v>0.1535</v>
      </c>
      <c r="D311" s="1" t="s">
        <v>54</v>
      </c>
    </row>
    <row r="312" customFormat="false" ht="12.8" hidden="false" customHeight="false" outlineLevel="0" collapsed="false">
      <c r="A312" s="1" t="n">
        <v>18</v>
      </c>
      <c r="B312" s="42" t="s">
        <v>57</v>
      </c>
      <c r="C312" s="1" t="n">
        <v>0.1</v>
      </c>
      <c r="D312" s="1" t="s">
        <v>54</v>
      </c>
    </row>
    <row r="313" customFormat="false" ht="12.8" hidden="false" customHeight="false" outlineLevel="0" collapsed="false">
      <c r="A313" s="1" t="n">
        <v>20</v>
      </c>
      <c r="B313" s="42" t="s">
        <v>57</v>
      </c>
      <c r="C313" s="1" t="n">
        <v>0.1811</v>
      </c>
      <c r="D313" s="1" t="s">
        <v>54</v>
      </c>
    </row>
    <row r="314" customFormat="false" ht="12.8" hidden="false" customHeight="false" outlineLevel="0" collapsed="false">
      <c r="A314" s="1" t="n">
        <v>20</v>
      </c>
      <c r="B314" s="42" t="s">
        <v>58</v>
      </c>
      <c r="C314" s="1" t="n">
        <v>0.1757</v>
      </c>
      <c r="D314" s="1" t="s">
        <v>54</v>
      </c>
    </row>
    <row r="315" customFormat="false" ht="12.8" hidden="false" customHeight="false" outlineLevel="0" collapsed="false">
      <c r="A315" s="1" t="n">
        <v>20</v>
      </c>
      <c r="B315" s="42" t="s">
        <v>52</v>
      </c>
      <c r="C315" s="1" t="n">
        <v>0.1669</v>
      </c>
      <c r="D315" s="1" t="s">
        <v>54</v>
      </c>
    </row>
    <row r="316" customFormat="false" ht="12.8" hidden="false" customHeight="false" outlineLevel="0" collapsed="false">
      <c r="A316" s="1" t="n">
        <v>20</v>
      </c>
      <c r="B316" s="42" t="s">
        <v>49</v>
      </c>
      <c r="C316" s="1" t="n">
        <v>0.1612</v>
      </c>
      <c r="D316" s="1" t="s">
        <v>54</v>
      </c>
    </row>
    <row r="317" customFormat="false" ht="12.8" hidden="false" customHeight="false" outlineLevel="0" collapsed="false">
      <c r="A317" s="1" t="n">
        <v>20</v>
      </c>
      <c r="B317" s="42" t="s">
        <v>56</v>
      </c>
      <c r="C317" s="1" t="n">
        <v>0.161</v>
      </c>
      <c r="D317" s="1" t="s">
        <v>54</v>
      </c>
    </row>
    <row r="318" customFormat="false" ht="12.8" hidden="false" customHeight="false" outlineLevel="0" collapsed="false">
      <c r="A318" s="1" t="n">
        <v>20</v>
      </c>
      <c r="B318" s="42" t="s">
        <v>65</v>
      </c>
      <c r="C318" s="1" t="n">
        <v>0.154</v>
      </c>
      <c r="D318" s="1" t="s">
        <v>54</v>
      </c>
    </row>
    <row r="319" customFormat="false" ht="12.8" hidden="false" customHeight="false" outlineLevel="0" collapsed="false">
      <c r="A319" s="1" t="n">
        <v>22</v>
      </c>
      <c r="B319" s="42" t="s">
        <v>58</v>
      </c>
      <c r="C319" s="1" t="n">
        <v>0.1835</v>
      </c>
      <c r="D319" s="1" t="s">
        <v>54</v>
      </c>
    </row>
    <row r="320" customFormat="false" ht="12.8" hidden="false" customHeight="false" outlineLevel="0" collapsed="false">
      <c r="A320" s="1" t="n">
        <v>22</v>
      </c>
      <c r="B320" s="42" t="s">
        <v>57</v>
      </c>
      <c r="C320" s="1" t="n">
        <v>0.1799</v>
      </c>
      <c r="D320" s="1" t="s">
        <v>54</v>
      </c>
    </row>
    <row r="321" customFormat="false" ht="12.8" hidden="false" customHeight="false" outlineLevel="0" collapsed="false">
      <c r="A321" s="1" t="n">
        <v>22</v>
      </c>
      <c r="B321" s="42" t="s">
        <v>52</v>
      </c>
      <c r="C321" s="1" t="n">
        <v>0.1719</v>
      </c>
      <c r="D321" s="1" t="s">
        <v>54</v>
      </c>
    </row>
    <row r="322" customFormat="false" ht="12.8" hidden="false" customHeight="false" outlineLevel="0" collapsed="false">
      <c r="A322" s="1" t="n">
        <v>22</v>
      </c>
      <c r="B322" s="42" t="s">
        <v>65</v>
      </c>
      <c r="C322" s="1" t="n">
        <v>0.1642</v>
      </c>
      <c r="D322" s="1" t="s">
        <v>54</v>
      </c>
    </row>
    <row r="323" customFormat="false" ht="12.8" hidden="false" customHeight="false" outlineLevel="0" collapsed="false">
      <c r="A323" s="1" t="n">
        <v>22</v>
      </c>
      <c r="B323" s="42" t="s">
        <v>61</v>
      </c>
      <c r="C323" s="1" t="n">
        <v>0.1518</v>
      </c>
      <c r="D323" s="1" t="s">
        <v>54</v>
      </c>
    </row>
    <row r="324" customFormat="false" ht="12.8" hidden="false" customHeight="false" outlineLevel="0" collapsed="false">
      <c r="A324" s="1" t="n">
        <v>22</v>
      </c>
      <c r="B324" s="42" t="s">
        <v>56</v>
      </c>
      <c r="C324" s="1" t="n">
        <v>0.1488</v>
      </c>
      <c r="D324" s="1" t="s">
        <v>54</v>
      </c>
    </row>
    <row r="325" customFormat="false" ht="12.8" hidden="false" customHeight="false" outlineLevel="0" collapsed="false">
      <c r="A325" s="1" t="n">
        <v>24</v>
      </c>
      <c r="B325" s="42" t="s">
        <v>52</v>
      </c>
      <c r="C325" s="1" t="n">
        <v>0.1955</v>
      </c>
      <c r="D325" s="1" t="s">
        <v>54</v>
      </c>
    </row>
    <row r="326" customFormat="false" ht="12.8" hidden="false" customHeight="false" outlineLevel="0" collapsed="false">
      <c r="A326" s="1" t="n">
        <v>24</v>
      </c>
      <c r="B326" s="42" t="s">
        <v>56</v>
      </c>
      <c r="C326" s="1" t="n">
        <v>0.1891</v>
      </c>
      <c r="D326" s="1" t="s">
        <v>54</v>
      </c>
    </row>
    <row r="327" customFormat="false" ht="12.8" hidden="false" customHeight="false" outlineLevel="0" collapsed="false">
      <c r="A327" s="1" t="n">
        <v>24</v>
      </c>
      <c r="B327" s="42" t="s">
        <v>66</v>
      </c>
      <c r="C327" s="1" t="n">
        <v>0.1799</v>
      </c>
      <c r="D327" s="1" t="s">
        <v>54</v>
      </c>
    </row>
    <row r="328" customFormat="false" ht="12.8" hidden="false" customHeight="false" outlineLevel="0" collapsed="false">
      <c r="A328" s="1" t="n">
        <v>24</v>
      </c>
      <c r="B328" s="42" t="s">
        <v>60</v>
      </c>
      <c r="C328" s="1" t="n">
        <v>0.1679</v>
      </c>
      <c r="D328" s="1" t="s">
        <v>54</v>
      </c>
    </row>
    <row r="329" customFormat="false" ht="12.8" hidden="false" customHeight="false" outlineLevel="0" collapsed="false">
      <c r="A329" s="1" t="n">
        <v>24</v>
      </c>
      <c r="B329" s="42" t="s">
        <v>65</v>
      </c>
      <c r="C329" s="1" t="n">
        <v>0.1675</v>
      </c>
      <c r="D329" s="1" t="s">
        <v>54</v>
      </c>
    </row>
    <row r="330" customFormat="false" ht="12.8" hidden="false" customHeight="false" outlineLevel="0" collapsed="false">
      <c r="A330" s="1" t="n">
        <v>24</v>
      </c>
      <c r="B330" s="42" t="s">
        <v>57</v>
      </c>
      <c r="C330" s="1" t="n">
        <v>0.1</v>
      </c>
      <c r="D330" s="1" t="s">
        <v>54</v>
      </c>
    </row>
    <row r="331" customFormat="false" ht="12.8" hidden="false" customHeight="false" outlineLevel="0" collapsed="false">
      <c r="A331" s="1" t="n">
        <v>26</v>
      </c>
      <c r="B331" s="42" t="s">
        <v>64</v>
      </c>
      <c r="C331" s="1" t="n">
        <v>0.1869</v>
      </c>
      <c r="D331" s="1" t="s">
        <v>54</v>
      </c>
    </row>
    <row r="332" customFormat="false" ht="12.8" hidden="false" customHeight="false" outlineLevel="0" collapsed="false">
      <c r="A332" s="1" t="n">
        <v>26</v>
      </c>
      <c r="B332" s="42" t="s">
        <v>52</v>
      </c>
      <c r="C332" s="1" t="n">
        <v>0.184</v>
      </c>
      <c r="D332" s="1" t="s">
        <v>54</v>
      </c>
    </row>
    <row r="333" customFormat="false" ht="12.8" hidden="false" customHeight="false" outlineLevel="0" collapsed="false">
      <c r="A333" s="1" t="n">
        <v>26</v>
      </c>
      <c r="B333" s="42" t="s">
        <v>56</v>
      </c>
      <c r="C333" s="1" t="n">
        <v>0.175</v>
      </c>
      <c r="D333" s="1" t="s">
        <v>54</v>
      </c>
    </row>
    <row r="334" customFormat="false" ht="12.8" hidden="false" customHeight="false" outlineLevel="0" collapsed="false">
      <c r="A334" s="1" t="n">
        <v>26</v>
      </c>
      <c r="B334" s="42" t="s">
        <v>49</v>
      </c>
      <c r="C334" s="1" t="n">
        <v>0.1662</v>
      </c>
      <c r="D334" s="1" t="s">
        <v>54</v>
      </c>
    </row>
    <row r="335" customFormat="false" ht="12.8" hidden="false" customHeight="false" outlineLevel="0" collapsed="false">
      <c r="A335" s="1" t="n">
        <v>26</v>
      </c>
      <c r="B335" s="42" t="s">
        <v>57</v>
      </c>
      <c r="C335" s="1" t="n">
        <v>0.1447</v>
      </c>
      <c r="D335" s="1" t="s">
        <v>54</v>
      </c>
    </row>
    <row r="336" customFormat="false" ht="12.8" hidden="false" customHeight="false" outlineLevel="0" collapsed="false">
      <c r="A336" s="1" t="n">
        <v>26</v>
      </c>
      <c r="B336" s="42" t="s">
        <v>58</v>
      </c>
      <c r="C336" s="1" t="n">
        <v>0.1431</v>
      </c>
      <c r="D336" s="1" t="s">
        <v>54</v>
      </c>
    </row>
    <row r="337" customFormat="false" ht="12.8" hidden="false" customHeight="false" outlineLevel="0" collapsed="false">
      <c r="A337" s="1" t="n">
        <v>28</v>
      </c>
      <c r="B337" s="42" t="s">
        <v>64</v>
      </c>
      <c r="C337" s="1" t="n">
        <v>0.1829</v>
      </c>
      <c r="D337" s="1" t="s">
        <v>54</v>
      </c>
    </row>
    <row r="338" customFormat="false" ht="12.8" hidden="false" customHeight="false" outlineLevel="0" collapsed="false">
      <c r="A338" s="1" t="n">
        <v>28</v>
      </c>
      <c r="B338" s="42" t="s">
        <v>52</v>
      </c>
      <c r="C338" s="1" t="n">
        <v>0.1801</v>
      </c>
      <c r="D338" s="1" t="s">
        <v>54</v>
      </c>
    </row>
    <row r="339" customFormat="false" ht="12.8" hidden="false" customHeight="false" outlineLevel="0" collapsed="false">
      <c r="A339" s="1" t="n">
        <v>28</v>
      </c>
      <c r="B339" s="42" t="s">
        <v>56</v>
      </c>
      <c r="C339" s="1" t="n">
        <v>0.1752</v>
      </c>
      <c r="D339" s="1" t="s">
        <v>54</v>
      </c>
    </row>
    <row r="340" customFormat="false" ht="12.8" hidden="false" customHeight="false" outlineLevel="0" collapsed="false">
      <c r="A340" s="1" t="n">
        <v>28</v>
      </c>
      <c r="B340" s="42" t="s">
        <v>49</v>
      </c>
      <c r="C340" s="1" t="n">
        <v>0.1559</v>
      </c>
      <c r="D340" s="1" t="s">
        <v>54</v>
      </c>
    </row>
    <row r="341" customFormat="false" ht="12.8" hidden="false" customHeight="false" outlineLevel="0" collapsed="false">
      <c r="A341" s="1" t="n">
        <v>28</v>
      </c>
      <c r="B341" s="42" t="s">
        <v>66</v>
      </c>
      <c r="C341" s="1" t="n">
        <v>0.1531</v>
      </c>
      <c r="D341" s="1" t="s">
        <v>54</v>
      </c>
    </row>
    <row r="342" customFormat="false" ht="12.8" hidden="false" customHeight="false" outlineLevel="0" collapsed="false">
      <c r="A342" s="1" t="n">
        <v>28</v>
      </c>
      <c r="B342" s="42" t="s">
        <v>57</v>
      </c>
      <c r="C342" s="1" t="n">
        <v>0.1528</v>
      </c>
      <c r="D342" s="1" t="s">
        <v>54</v>
      </c>
    </row>
    <row r="343" customFormat="false" ht="12.8" hidden="false" customHeight="false" outlineLevel="0" collapsed="false">
      <c r="A343" s="1" t="n">
        <v>30</v>
      </c>
      <c r="B343" s="42" t="s">
        <v>58</v>
      </c>
      <c r="C343" s="1" t="n">
        <v>0.2353</v>
      </c>
      <c r="D343" s="1" t="s">
        <v>54</v>
      </c>
    </row>
    <row r="344" customFormat="false" ht="12.8" hidden="false" customHeight="false" outlineLevel="0" collapsed="false">
      <c r="A344" s="1" t="n">
        <v>30</v>
      </c>
      <c r="B344" s="42" t="s">
        <v>52</v>
      </c>
      <c r="C344" s="1" t="n">
        <v>0.173</v>
      </c>
      <c r="D344" s="1" t="s">
        <v>54</v>
      </c>
    </row>
    <row r="345" customFormat="false" ht="12.8" hidden="false" customHeight="false" outlineLevel="0" collapsed="false">
      <c r="A345" s="1" t="n">
        <v>30</v>
      </c>
      <c r="B345" s="42" t="s">
        <v>56</v>
      </c>
      <c r="C345" s="1" t="n">
        <v>0.1696</v>
      </c>
      <c r="D345" s="1" t="s">
        <v>54</v>
      </c>
    </row>
    <row r="346" customFormat="false" ht="12.8" hidden="false" customHeight="false" outlineLevel="0" collapsed="false">
      <c r="A346" s="1" t="n">
        <v>30</v>
      </c>
      <c r="B346" s="42" t="s">
        <v>64</v>
      </c>
      <c r="C346" s="1" t="n">
        <v>0.166</v>
      </c>
      <c r="D346" s="1" t="s">
        <v>54</v>
      </c>
    </row>
    <row r="347" customFormat="false" ht="12.8" hidden="false" customHeight="false" outlineLevel="0" collapsed="false">
      <c r="A347" s="1" t="n">
        <v>30</v>
      </c>
      <c r="B347" s="42" t="s">
        <v>66</v>
      </c>
      <c r="C347" s="1" t="n">
        <v>0.1562</v>
      </c>
      <c r="D347" s="1" t="s">
        <v>54</v>
      </c>
    </row>
    <row r="348" customFormat="false" ht="12.8" hidden="false" customHeight="false" outlineLevel="0" collapsed="false">
      <c r="A348" s="1" t="n">
        <v>30</v>
      </c>
      <c r="B348" s="42" t="s">
        <v>57</v>
      </c>
      <c r="C348" s="1" t="n">
        <v>0.1</v>
      </c>
      <c r="D348" s="1" t="s">
        <v>54</v>
      </c>
    </row>
    <row r="349" customFormat="false" ht="12.8" hidden="false" customHeight="false" outlineLevel="0" collapsed="false">
      <c r="A349" s="1" t="n">
        <v>32</v>
      </c>
      <c r="B349" s="42" t="s">
        <v>58</v>
      </c>
      <c r="C349" s="1" t="n">
        <v>0.185</v>
      </c>
      <c r="D349" s="1" t="s">
        <v>54</v>
      </c>
    </row>
    <row r="350" customFormat="false" ht="12.8" hidden="false" customHeight="false" outlineLevel="0" collapsed="false">
      <c r="A350" s="1" t="n">
        <v>32</v>
      </c>
      <c r="B350" s="42" t="s">
        <v>56</v>
      </c>
      <c r="C350" s="1" t="n">
        <v>0.1806</v>
      </c>
      <c r="D350" s="1" t="s">
        <v>54</v>
      </c>
    </row>
    <row r="351" customFormat="false" ht="12.8" hidden="false" customHeight="false" outlineLevel="0" collapsed="false">
      <c r="A351" s="1" t="n">
        <v>32</v>
      </c>
      <c r="B351" s="42" t="s">
        <v>57</v>
      </c>
      <c r="C351" s="1" t="n">
        <v>0.1697</v>
      </c>
      <c r="D351" s="1" t="s">
        <v>54</v>
      </c>
    </row>
    <row r="352" customFormat="false" ht="12.8" hidden="false" customHeight="false" outlineLevel="0" collapsed="false">
      <c r="A352" s="1" t="n">
        <v>32</v>
      </c>
      <c r="B352" s="42" t="s">
        <v>52</v>
      </c>
      <c r="C352" s="1" t="n">
        <v>0.1628</v>
      </c>
      <c r="D352" s="1" t="s">
        <v>54</v>
      </c>
    </row>
    <row r="353" customFormat="false" ht="12.8" hidden="false" customHeight="false" outlineLevel="0" collapsed="false">
      <c r="A353" s="1" t="n">
        <v>32</v>
      </c>
      <c r="B353" s="42" t="s">
        <v>66</v>
      </c>
      <c r="C353" s="1" t="n">
        <v>0.1601</v>
      </c>
      <c r="D353" s="1" t="s">
        <v>54</v>
      </c>
    </row>
    <row r="354" customFormat="false" ht="12.8" hidden="false" customHeight="false" outlineLevel="0" collapsed="false">
      <c r="A354" s="1" t="n">
        <v>32</v>
      </c>
      <c r="B354" s="42" t="s">
        <v>62</v>
      </c>
      <c r="C354" s="1" t="n">
        <v>0.1418</v>
      </c>
      <c r="D354" s="1" t="s">
        <v>54</v>
      </c>
    </row>
    <row r="355" customFormat="false" ht="12.8" hidden="false" customHeight="false" outlineLevel="0" collapsed="false">
      <c r="A355" s="1" t="n">
        <v>34</v>
      </c>
      <c r="B355" s="42" t="s">
        <v>58</v>
      </c>
      <c r="C355" s="1" t="n">
        <v>0.1841</v>
      </c>
      <c r="D355" s="1" t="s">
        <v>54</v>
      </c>
    </row>
    <row r="356" customFormat="false" ht="12.8" hidden="false" customHeight="false" outlineLevel="0" collapsed="false">
      <c r="A356" s="1" t="n">
        <v>34</v>
      </c>
      <c r="B356" s="42" t="s">
        <v>52</v>
      </c>
      <c r="C356" s="1" t="n">
        <v>0.1727</v>
      </c>
      <c r="D356" s="1" t="s">
        <v>54</v>
      </c>
    </row>
    <row r="357" customFormat="false" ht="12.8" hidden="false" customHeight="false" outlineLevel="0" collapsed="false">
      <c r="A357" s="1" t="n">
        <v>34</v>
      </c>
      <c r="B357" s="42" t="s">
        <v>56</v>
      </c>
      <c r="C357" s="1" t="n">
        <v>0.1668</v>
      </c>
      <c r="D357" s="1" t="s">
        <v>54</v>
      </c>
    </row>
    <row r="358" customFormat="false" ht="12.8" hidden="false" customHeight="false" outlineLevel="0" collapsed="false">
      <c r="A358" s="1" t="n">
        <v>34</v>
      </c>
      <c r="B358" s="42" t="s">
        <v>57</v>
      </c>
      <c r="C358" s="1" t="n">
        <v>0.1606</v>
      </c>
      <c r="D358" s="1" t="s">
        <v>54</v>
      </c>
    </row>
    <row r="359" customFormat="false" ht="12.8" hidden="false" customHeight="false" outlineLevel="0" collapsed="false">
      <c r="A359" s="1" t="n">
        <v>34</v>
      </c>
      <c r="B359" s="42" t="s">
        <v>64</v>
      </c>
      <c r="C359" s="1" t="n">
        <v>0.1584</v>
      </c>
      <c r="D359" s="1" t="s">
        <v>54</v>
      </c>
    </row>
    <row r="360" customFormat="false" ht="12.8" hidden="false" customHeight="false" outlineLevel="0" collapsed="false">
      <c r="A360" s="1" t="n">
        <v>34</v>
      </c>
      <c r="B360" s="42" t="s">
        <v>49</v>
      </c>
      <c r="C360" s="1" t="n">
        <v>0.1574</v>
      </c>
      <c r="D360" s="1" t="s">
        <v>54</v>
      </c>
    </row>
    <row r="361" customFormat="false" ht="12.8" hidden="false" customHeight="false" outlineLevel="0" collapsed="false">
      <c r="A361" s="1" t="n">
        <v>36</v>
      </c>
      <c r="B361" s="42" t="s">
        <v>58</v>
      </c>
      <c r="C361" s="1" t="n">
        <v>0.1972</v>
      </c>
      <c r="D361" s="1" t="s">
        <v>54</v>
      </c>
    </row>
    <row r="362" customFormat="false" ht="12.8" hidden="false" customHeight="false" outlineLevel="0" collapsed="false">
      <c r="A362" s="1" t="n">
        <v>36</v>
      </c>
      <c r="B362" s="42" t="s">
        <v>56</v>
      </c>
      <c r="C362" s="1" t="n">
        <v>0.1654</v>
      </c>
      <c r="D362" s="1" t="s">
        <v>54</v>
      </c>
    </row>
    <row r="363" customFormat="false" ht="12.8" hidden="false" customHeight="false" outlineLevel="0" collapsed="false">
      <c r="A363" s="1" t="n">
        <v>36</v>
      </c>
      <c r="B363" s="42" t="s">
        <v>52</v>
      </c>
      <c r="C363" s="1" t="n">
        <v>0.1642</v>
      </c>
      <c r="D363" s="1" t="s">
        <v>54</v>
      </c>
    </row>
    <row r="364" customFormat="false" ht="12.8" hidden="false" customHeight="false" outlineLevel="0" collapsed="false">
      <c r="A364" s="1" t="n">
        <v>36</v>
      </c>
      <c r="B364" s="42" t="s">
        <v>57</v>
      </c>
      <c r="C364" s="1" t="n">
        <v>0.1614</v>
      </c>
      <c r="D364" s="1" t="s">
        <v>54</v>
      </c>
    </row>
    <row r="365" customFormat="false" ht="12.8" hidden="false" customHeight="false" outlineLevel="0" collapsed="false">
      <c r="A365" s="1" t="n">
        <v>36</v>
      </c>
      <c r="B365" s="42" t="s">
        <v>64</v>
      </c>
      <c r="C365" s="1" t="n">
        <v>0.1567</v>
      </c>
      <c r="D365" s="1" t="s">
        <v>54</v>
      </c>
    </row>
    <row r="366" customFormat="false" ht="12.8" hidden="false" customHeight="false" outlineLevel="0" collapsed="false">
      <c r="A366" s="1" t="n">
        <v>36</v>
      </c>
      <c r="B366" s="42" t="s">
        <v>49</v>
      </c>
      <c r="C366" s="1" t="n">
        <v>0.1552</v>
      </c>
      <c r="D366" s="1" t="s">
        <v>54</v>
      </c>
    </row>
    <row r="367" customFormat="false" ht="12.8" hidden="false" customHeight="false" outlineLevel="0" collapsed="false">
      <c r="A367" s="1" t="n">
        <v>38</v>
      </c>
      <c r="B367" s="42" t="s">
        <v>56</v>
      </c>
      <c r="C367" s="1" t="n">
        <v>0.1952</v>
      </c>
      <c r="D367" s="1" t="s">
        <v>54</v>
      </c>
    </row>
    <row r="368" customFormat="false" ht="12.8" hidden="false" customHeight="false" outlineLevel="0" collapsed="false">
      <c r="A368" s="1" t="n">
        <v>38</v>
      </c>
      <c r="B368" s="42" t="s">
        <v>58</v>
      </c>
      <c r="C368" s="1" t="n">
        <v>0.1853</v>
      </c>
      <c r="D368" s="1" t="s">
        <v>54</v>
      </c>
    </row>
    <row r="369" customFormat="false" ht="12.8" hidden="false" customHeight="false" outlineLevel="0" collapsed="false">
      <c r="A369" s="1" t="n">
        <v>38</v>
      </c>
      <c r="B369" s="42" t="s">
        <v>49</v>
      </c>
      <c r="C369" s="1" t="n">
        <v>0.1839</v>
      </c>
      <c r="D369" s="1" t="s">
        <v>54</v>
      </c>
    </row>
    <row r="370" customFormat="false" ht="12.8" hidden="false" customHeight="false" outlineLevel="0" collapsed="false">
      <c r="A370" s="1" t="n">
        <v>38</v>
      </c>
      <c r="B370" s="42" t="s">
        <v>52</v>
      </c>
      <c r="C370" s="1" t="n">
        <v>0.1772</v>
      </c>
      <c r="D370" s="1" t="s">
        <v>54</v>
      </c>
    </row>
    <row r="371" customFormat="false" ht="12.8" hidden="false" customHeight="false" outlineLevel="0" collapsed="false">
      <c r="A371" s="1" t="n">
        <v>38</v>
      </c>
      <c r="B371" s="42" t="s">
        <v>64</v>
      </c>
      <c r="C371" s="1" t="n">
        <v>0.1584</v>
      </c>
      <c r="D371" s="1" t="s">
        <v>54</v>
      </c>
    </row>
    <row r="372" customFormat="false" ht="12.8" hidden="false" customHeight="false" outlineLevel="0" collapsed="false">
      <c r="A372" s="1" t="n">
        <v>38</v>
      </c>
      <c r="B372" s="42" t="s">
        <v>57</v>
      </c>
      <c r="C372" s="1" t="n">
        <v>0.1</v>
      </c>
      <c r="D372" s="1" t="s">
        <v>54</v>
      </c>
    </row>
    <row r="373" customFormat="false" ht="12.8" hidden="false" customHeight="false" outlineLevel="0" collapsed="false">
      <c r="A373" s="1" t="n">
        <v>40</v>
      </c>
      <c r="B373" s="42" t="s">
        <v>52</v>
      </c>
      <c r="C373" s="1" t="n">
        <v>0.1947</v>
      </c>
      <c r="D373" s="1" t="s">
        <v>54</v>
      </c>
    </row>
    <row r="374" customFormat="false" ht="12.8" hidden="false" customHeight="false" outlineLevel="0" collapsed="false">
      <c r="A374" s="1" t="n">
        <v>40</v>
      </c>
      <c r="B374" s="42" t="s">
        <v>56</v>
      </c>
      <c r="C374" s="1" t="n">
        <v>0.1866</v>
      </c>
      <c r="D374" s="1" t="s">
        <v>54</v>
      </c>
    </row>
    <row r="375" customFormat="false" ht="12.8" hidden="false" customHeight="false" outlineLevel="0" collapsed="false">
      <c r="A375" s="1" t="n">
        <v>40</v>
      </c>
      <c r="B375" s="42" t="s">
        <v>64</v>
      </c>
      <c r="C375" s="1" t="n">
        <v>0.1803</v>
      </c>
      <c r="D375" s="1" t="s">
        <v>54</v>
      </c>
    </row>
    <row r="376" customFormat="false" ht="12.8" hidden="false" customHeight="false" outlineLevel="0" collapsed="false">
      <c r="A376" s="1" t="n">
        <v>40</v>
      </c>
      <c r="B376" s="42" t="s">
        <v>49</v>
      </c>
      <c r="C376" s="1" t="n">
        <v>0.1759</v>
      </c>
      <c r="D376" s="1" t="s">
        <v>54</v>
      </c>
    </row>
    <row r="377" customFormat="false" ht="12.8" hidden="false" customHeight="false" outlineLevel="0" collapsed="false">
      <c r="A377" s="1" t="n">
        <v>40</v>
      </c>
      <c r="B377" s="42" t="s">
        <v>58</v>
      </c>
      <c r="C377" s="1" t="n">
        <v>0.1625</v>
      </c>
      <c r="D377" s="1" t="s">
        <v>54</v>
      </c>
    </row>
    <row r="378" customFormat="false" ht="12.8" hidden="false" customHeight="false" outlineLevel="0" collapsed="false">
      <c r="A378" s="1" t="n">
        <v>40</v>
      </c>
      <c r="B378" s="42" t="s">
        <v>57</v>
      </c>
      <c r="C378" s="1" t="n">
        <v>0.1</v>
      </c>
      <c r="D378" s="1" t="s">
        <v>54</v>
      </c>
    </row>
    <row r="379" customFormat="false" ht="12.8" hidden="false" customHeight="false" outlineLevel="0" collapsed="false">
      <c r="A379" s="1" t="n">
        <v>42</v>
      </c>
      <c r="B379" s="42" t="s">
        <v>52</v>
      </c>
      <c r="C379" s="1" t="n">
        <v>0.197</v>
      </c>
      <c r="D379" s="1" t="s">
        <v>54</v>
      </c>
    </row>
    <row r="380" customFormat="false" ht="12.8" hidden="false" customHeight="false" outlineLevel="0" collapsed="false">
      <c r="A380" s="1" t="n">
        <v>42</v>
      </c>
      <c r="B380" s="42" t="s">
        <v>64</v>
      </c>
      <c r="C380" s="1" t="n">
        <v>0.1891</v>
      </c>
      <c r="D380" s="1" t="s">
        <v>54</v>
      </c>
    </row>
    <row r="381" customFormat="false" ht="12.8" hidden="false" customHeight="false" outlineLevel="0" collapsed="false">
      <c r="A381" s="1" t="n">
        <v>42</v>
      </c>
      <c r="B381" s="42" t="s">
        <v>49</v>
      </c>
      <c r="C381" s="1" t="n">
        <v>0.1741</v>
      </c>
      <c r="D381" s="1" t="s">
        <v>54</v>
      </c>
    </row>
    <row r="382" customFormat="false" ht="12.8" hidden="false" customHeight="false" outlineLevel="0" collapsed="false">
      <c r="A382" s="1" t="n">
        <v>42</v>
      </c>
      <c r="B382" s="42" t="s">
        <v>58</v>
      </c>
      <c r="C382" s="1" t="n">
        <v>0.171</v>
      </c>
      <c r="D382" s="1" t="s">
        <v>54</v>
      </c>
    </row>
    <row r="383" customFormat="false" ht="12.8" hidden="false" customHeight="false" outlineLevel="0" collapsed="false">
      <c r="A383" s="1" t="n">
        <v>42</v>
      </c>
      <c r="B383" s="42" t="s">
        <v>60</v>
      </c>
      <c r="C383" s="1" t="n">
        <v>0.1687</v>
      </c>
      <c r="D383" s="1" t="s">
        <v>54</v>
      </c>
    </row>
    <row r="384" customFormat="false" ht="12.8" hidden="false" customHeight="false" outlineLevel="0" collapsed="false">
      <c r="A384" s="1" t="n">
        <v>42</v>
      </c>
      <c r="B384" s="42" t="s">
        <v>57</v>
      </c>
      <c r="C384" s="1" t="n">
        <v>0.1</v>
      </c>
      <c r="D384" s="1" t="s">
        <v>54</v>
      </c>
    </row>
    <row r="385" customFormat="false" ht="12.8" hidden="false" customHeight="false" outlineLevel="0" collapsed="false">
      <c r="A385" s="1" t="n">
        <v>44</v>
      </c>
      <c r="B385" s="42" t="s">
        <v>52</v>
      </c>
      <c r="C385" s="1" t="n">
        <v>0.1839</v>
      </c>
      <c r="D385" s="1" t="s">
        <v>54</v>
      </c>
    </row>
    <row r="386" customFormat="false" ht="12.8" hidden="false" customHeight="false" outlineLevel="0" collapsed="false">
      <c r="A386" s="1" t="n">
        <v>44</v>
      </c>
      <c r="B386" s="42" t="s">
        <v>64</v>
      </c>
      <c r="C386" s="1" t="n">
        <v>0.182</v>
      </c>
      <c r="D386" s="1" t="s">
        <v>54</v>
      </c>
    </row>
    <row r="387" customFormat="false" ht="12.8" hidden="false" customHeight="false" outlineLevel="0" collapsed="false">
      <c r="A387" s="1" t="n">
        <v>44</v>
      </c>
      <c r="B387" s="42" t="s">
        <v>58</v>
      </c>
      <c r="C387" s="1" t="n">
        <v>0.1729</v>
      </c>
      <c r="D387" s="1" t="s">
        <v>54</v>
      </c>
    </row>
    <row r="388" customFormat="false" ht="12.8" hidden="false" customHeight="false" outlineLevel="0" collapsed="false">
      <c r="A388" s="1" t="n">
        <v>44</v>
      </c>
      <c r="B388" s="42" t="s">
        <v>56</v>
      </c>
      <c r="C388" s="1" t="n">
        <v>0.1655</v>
      </c>
      <c r="D388" s="1" t="s">
        <v>54</v>
      </c>
    </row>
    <row r="389" customFormat="false" ht="12.8" hidden="false" customHeight="false" outlineLevel="0" collapsed="false">
      <c r="A389" s="1" t="n">
        <v>44</v>
      </c>
      <c r="B389" s="42" t="s">
        <v>49</v>
      </c>
      <c r="C389" s="1" t="n">
        <v>0.1491</v>
      </c>
      <c r="D389" s="1" t="s">
        <v>54</v>
      </c>
    </row>
    <row r="390" customFormat="false" ht="12.8" hidden="false" customHeight="false" outlineLevel="0" collapsed="false">
      <c r="A390" s="1" t="n">
        <v>44</v>
      </c>
      <c r="B390" s="42" t="s">
        <v>57</v>
      </c>
      <c r="C390" s="1" t="n">
        <v>0.1466</v>
      </c>
      <c r="D390" s="1" t="s">
        <v>54</v>
      </c>
    </row>
    <row r="391" customFormat="false" ht="12.8" hidden="false" customHeight="false" outlineLevel="0" collapsed="false">
      <c r="A391" s="1" t="n">
        <v>46</v>
      </c>
      <c r="B391" s="42" t="s">
        <v>56</v>
      </c>
      <c r="C391" s="1" t="n">
        <v>0.1914</v>
      </c>
      <c r="D391" s="1" t="s">
        <v>54</v>
      </c>
    </row>
    <row r="392" customFormat="false" ht="12.8" hidden="false" customHeight="false" outlineLevel="0" collapsed="false">
      <c r="A392" s="1" t="n">
        <v>46</v>
      </c>
      <c r="B392" s="42" t="s">
        <v>52</v>
      </c>
      <c r="C392" s="1" t="n">
        <v>0.1913</v>
      </c>
      <c r="D392" s="1" t="s">
        <v>54</v>
      </c>
    </row>
    <row r="393" customFormat="false" ht="12.8" hidden="false" customHeight="false" outlineLevel="0" collapsed="false">
      <c r="A393" s="1" t="n">
        <v>46</v>
      </c>
      <c r="B393" s="42" t="s">
        <v>58</v>
      </c>
      <c r="C393" s="1" t="n">
        <v>0.1836</v>
      </c>
      <c r="D393" s="1" t="s">
        <v>54</v>
      </c>
    </row>
    <row r="394" customFormat="false" ht="12.8" hidden="false" customHeight="false" outlineLevel="0" collapsed="false">
      <c r="A394" s="1" t="n">
        <v>46</v>
      </c>
      <c r="B394" s="42" t="s">
        <v>64</v>
      </c>
      <c r="C394" s="1" t="n">
        <v>0.1759</v>
      </c>
      <c r="D394" s="1" t="s">
        <v>54</v>
      </c>
    </row>
    <row r="395" customFormat="false" ht="12.8" hidden="false" customHeight="false" outlineLevel="0" collapsed="false">
      <c r="A395" s="1" t="n">
        <v>46</v>
      </c>
      <c r="B395" s="42" t="s">
        <v>66</v>
      </c>
      <c r="C395" s="1" t="n">
        <v>0.1577</v>
      </c>
      <c r="D395" s="1" t="s">
        <v>54</v>
      </c>
    </row>
    <row r="396" customFormat="false" ht="12.8" hidden="false" customHeight="false" outlineLevel="0" collapsed="false">
      <c r="A396" s="1" t="n">
        <v>46</v>
      </c>
      <c r="B396" s="42" t="s">
        <v>57</v>
      </c>
      <c r="C396" s="1" t="n">
        <v>0.1</v>
      </c>
      <c r="D396" s="1" t="s">
        <v>54</v>
      </c>
    </row>
    <row r="397" customFormat="false" ht="12.8" hidden="false" customHeight="false" outlineLevel="0" collapsed="false">
      <c r="A397" s="1" t="n">
        <v>48</v>
      </c>
      <c r="B397" s="42" t="s">
        <v>56</v>
      </c>
      <c r="C397" s="1" t="n">
        <v>0.2005</v>
      </c>
      <c r="D397" s="1" t="s">
        <v>54</v>
      </c>
    </row>
    <row r="398" customFormat="false" ht="12.8" hidden="false" customHeight="false" outlineLevel="0" collapsed="false">
      <c r="A398" s="1" t="n">
        <v>48</v>
      </c>
      <c r="B398" s="42" t="s">
        <v>52</v>
      </c>
      <c r="C398" s="1" t="n">
        <v>0.1845</v>
      </c>
      <c r="D398" s="1" t="s">
        <v>54</v>
      </c>
    </row>
    <row r="399" customFormat="false" ht="12.8" hidden="false" customHeight="false" outlineLevel="0" collapsed="false">
      <c r="A399" s="1" t="n">
        <v>48</v>
      </c>
      <c r="B399" s="42" t="s">
        <v>64</v>
      </c>
      <c r="C399" s="1" t="n">
        <v>0.1802</v>
      </c>
      <c r="D399" s="1" t="s">
        <v>54</v>
      </c>
    </row>
    <row r="400" customFormat="false" ht="12.8" hidden="false" customHeight="false" outlineLevel="0" collapsed="false">
      <c r="A400" s="1" t="n">
        <v>48</v>
      </c>
      <c r="B400" s="42" t="s">
        <v>58</v>
      </c>
      <c r="C400" s="1" t="n">
        <v>0.1704</v>
      </c>
      <c r="D400" s="1" t="s">
        <v>54</v>
      </c>
    </row>
    <row r="401" customFormat="false" ht="12.8" hidden="false" customHeight="false" outlineLevel="0" collapsed="false">
      <c r="A401" s="1" t="n">
        <v>48</v>
      </c>
      <c r="B401" s="42" t="s">
        <v>66</v>
      </c>
      <c r="C401" s="1" t="n">
        <v>0.1644</v>
      </c>
      <c r="D401" s="1" t="s">
        <v>54</v>
      </c>
    </row>
    <row r="402" customFormat="false" ht="12.8" hidden="false" customHeight="false" outlineLevel="0" collapsed="false">
      <c r="A402" s="1" t="n">
        <v>48</v>
      </c>
      <c r="B402" s="42" t="s">
        <v>57</v>
      </c>
      <c r="C402" s="1" t="n">
        <v>0.1</v>
      </c>
      <c r="D402" s="1" t="s">
        <v>54</v>
      </c>
    </row>
    <row r="403" customFormat="false" ht="12.8" hidden="false" customHeight="false" outlineLevel="0" collapsed="false">
      <c r="A403" s="1" t="n">
        <v>0</v>
      </c>
      <c r="B403" s="42" t="s">
        <v>49</v>
      </c>
      <c r="C403" s="1" t="n">
        <v>0.3244</v>
      </c>
      <c r="D403" s="1" t="s">
        <v>55</v>
      </c>
    </row>
    <row r="404" customFormat="false" ht="12.8" hidden="false" customHeight="false" outlineLevel="0" collapsed="false">
      <c r="A404" s="1" t="n">
        <v>0</v>
      </c>
      <c r="B404" s="42" t="s">
        <v>52</v>
      </c>
      <c r="C404" s="1" t="n">
        <v>0.2993</v>
      </c>
      <c r="D404" s="1" t="s">
        <v>55</v>
      </c>
    </row>
    <row r="405" customFormat="false" ht="12.8" hidden="false" customHeight="false" outlineLevel="0" collapsed="false">
      <c r="A405" s="1" t="n">
        <v>0</v>
      </c>
      <c r="B405" s="42" t="s">
        <v>56</v>
      </c>
      <c r="C405" s="1" t="n">
        <v>0.2763</v>
      </c>
      <c r="D405" s="1" t="s">
        <v>55</v>
      </c>
    </row>
    <row r="406" customFormat="false" ht="12.8" hidden="false" customHeight="false" outlineLevel="0" collapsed="false">
      <c r="A406" s="1" t="n">
        <v>0</v>
      </c>
      <c r="B406" s="42" t="s">
        <v>57</v>
      </c>
      <c r="C406" s="1" t="n">
        <v>0.1</v>
      </c>
      <c r="D406" s="1" t="s">
        <v>55</v>
      </c>
    </row>
    <row r="407" customFormat="false" ht="12.8" hidden="false" customHeight="false" outlineLevel="0" collapsed="false">
      <c r="A407" s="1" t="n">
        <v>2</v>
      </c>
      <c r="B407" s="42" t="s">
        <v>52</v>
      </c>
      <c r="C407" s="1" t="n">
        <v>0.2074</v>
      </c>
      <c r="D407" s="1" t="s">
        <v>55</v>
      </c>
    </row>
    <row r="408" customFormat="false" ht="12.8" hidden="false" customHeight="false" outlineLevel="0" collapsed="false">
      <c r="A408" s="1" t="n">
        <v>2</v>
      </c>
      <c r="B408" s="42" t="s">
        <v>49</v>
      </c>
      <c r="C408" s="1" t="n">
        <v>0.1944</v>
      </c>
      <c r="D408" s="1" t="s">
        <v>55</v>
      </c>
    </row>
    <row r="409" customFormat="false" ht="12.8" hidden="false" customHeight="false" outlineLevel="0" collapsed="false">
      <c r="A409" s="1" t="n">
        <v>2</v>
      </c>
      <c r="B409" s="42" t="s">
        <v>59</v>
      </c>
      <c r="C409" s="1" t="n">
        <v>0.1699</v>
      </c>
      <c r="D409" s="1" t="s">
        <v>55</v>
      </c>
    </row>
    <row r="410" customFormat="false" ht="12.8" hidden="false" customHeight="false" outlineLevel="0" collapsed="false">
      <c r="A410" s="1" t="n">
        <v>2</v>
      </c>
      <c r="B410" s="42" t="s">
        <v>56</v>
      </c>
      <c r="C410" s="1" t="n">
        <v>0.1653</v>
      </c>
      <c r="D410" s="1" t="s">
        <v>55</v>
      </c>
    </row>
    <row r="411" customFormat="false" ht="12.8" hidden="false" customHeight="false" outlineLevel="0" collapsed="false">
      <c r="A411" s="1" t="n">
        <v>2</v>
      </c>
      <c r="B411" s="42" t="s">
        <v>64</v>
      </c>
      <c r="C411" s="1" t="n">
        <v>0.163</v>
      </c>
      <c r="D411" s="1" t="s">
        <v>55</v>
      </c>
    </row>
    <row r="412" customFormat="false" ht="12.8" hidden="false" customHeight="false" outlineLevel="0" collapsed="false">
      <c r="A412" s="1" t="n">
        <v>2</v>
      </c>
      <c r="B412" s="42" t="s">
        <v>57</v>
      </c>
      <c r="C412" s="1" t="n">
        <v>0.1</v>
      </c>
      <c r="D412" s="1" t="s">
        <v>55</v>
      </c>
    </row>
    <row r="413" customFormat="false" ht="12.8" hidden="false" customHeight="false" outlineLevel="0" collapsed="false">
      <c r="A413" s="1" t="n">
        <v>4</v>
      </c>
      <c r="B413" s="42" t="s">
        <v>52</v>
      </c>
      <c r="C413" s="1" t="n">
        <v>0.9</v>
      </c>
      <c r="D413" s="1" t="s">
        <v>55</v>
      </c>
    </row>
    <row r="414" customFormat="false" ht="12.8" hidden="false" customHeight="false" outlineLevel="0" collapsed="false">
      <c r="A414" s="1" t="n">
        <v>4</v>
      </c>
      <c r="B414" s="42" t="s">
        <v>57</v>
      </c>
      <c r="C414" s="1" t="n">
        <v>0.1</v>
      </c>
      <c r="D414" s="1" t="s">
        <v>55</v>
      </c>
    </row>
    <row r="415" customFormat="false" ht="12.8" hidden="false" customHeight="false" outlineLevel="0" collapsed="false">
      <c r="A415" s="1" t="n">
        <v>6</v>
      </c>
      <c r="B415" s="42" t="s">
        <v>52</v>
      </c>
      <c r="C415" s="1" t="n">
        <v>0.1918</v>
      </c>
      <c r="D415" s="1" t="s">
        <v>55</v>
      </c>
    </row>
    <row r="416" customFormat="false" ht="12.8" hidden="false" customHeight="false" outlineLevel="0" collapsed="false">
      <c r="A416" s="1" t="n">
        <v>6</v>
      </c>
      <c r="B416" s="42" t="s">
        <v>56</v>
      </c>
      <c r="C416" s="1" t="n">
        <v>0.1702</v>
      </c>
      <c r="D416" s="1" t="s">
        <v>55</v>
      </c>
    </row>
    <row r="417" customFormat="false" ht="12.8" hidden="false" customHeight="false" outlineLevel="0" collapsed="false">
      <c r="A417" s="1" t="n">
        <v>6</v>
      </c>
      <c r="B417" s="42" t="s">
        <v>58</v>
      </c>
      <c r="C417" s="1" t="n">
        <v>0.1683</v>
      </c>
      <c r="D417" s="1" t="s">
        <v>55</v>
      </c>
    </row>
    <row r="418" customFormat="false" ht="12.8" hidden="false" customHeight="false" outlineLevel="0" collapsed="false">
      <c r="A418" s="1" t="n">
        <v>6</v>
      </c>
      <c r="B418" s="42" t="s">
        <v>49</v>
      </c>
      <c r="C418" s="1" t="n">
        <v>0.1658</v>
      </c>
      <c r="D418" s="1" t="s">
        <v>55</v>
      </c>
    </row>
    <row r="419" customFormat="false" ht="12.8" hidden="false" customHeight="false" outlineLevel="0" collapsed="false">
      <c r="A419" s="1" t="n">
        <v>6</v>
      </c>
      <c r="B419" s="42" t="s">
        <v>64</v>
      </c>
      <c r="C419" s="1" t="n">
        <v>0.1521</v>
      </c>
      <c r="D419" s="1" t="s">
        <v>55</v>
      </c>
    </row>
    <row r="420" customFormat="false" ht="12.8" hidden="false" customHeight="false" outlineLevel="0" collapsed="false">
      <c r="A420" s="1" t="n">
        <v>6</v>
      </c>
      <c r="B420" s="42" t="s">
        <v>57</v>
      </c>
      <c r="C420" s="1" t="n">
        <v>0.1518</v>
      </c>
      <c r="D420" s="1" t="s">
        <v>55</v>
      </c>
    </row>
    <row r="421" customFormat="false" ht="12.8" hidden="false" customHeight="false" outlineLevel="0" collapsed="false">
      <c r="A421" s="1" t="n">
        <v>8</v>
      </c>
      <c r="B421" s="42" t="s">
        <v>49</v>
      </c>
      <c r="C421" s="1" t="n">
        <v>0.1821</v>
      </c>
      <c r="D421" s="1" t="s">
        <v>55</v>
      </c>
    </row>
    <row r="422" customFormat="false" ht="12.8" hidden="false" customHeight="false" outlineLevel="0" collapsed="false">
      <c r="A422" s="1" t="n">
        <v>8</v>
      </c>
      <c r="B422" s="42" t="s">
        <v>52</v>
      </c>
      <c r="C422" s="1" t="n">
        <v>0.1758</v>
      </c>
      <c r="D422" s="1" t="s">
        <v>55</v>
      </c>
    </row>
    <row r="423" customFormat="false" ht="12.8" hidden="false" customHeight="false" outlineLevel="0" collapsed="false">
      <c r="A423" s="1" t="n">
        <v>8</v>
      </c>
      <c r="B423" s="42" t="s">
        <v>58</v>
      </c>
      <c r="C423" s="1" t="n">
        <v>0.1695</v>
      </c>
      <c r="D423" s="1" t="s">
        <v>55</v>
      </c>
    </row>
    <row r="424" customFormat="false" ht="12.8" hidden="false" customHeight="false" outlineLevel="0" collapsed="false">
      <c r="A424" s="1" t="n">
        <v>8</v>
      </c>
      <c r="B424" s="42" t="s">
        <v>56</v>
      </c>
      <c r="C424" s="1" t="n">
        <v>0.1652</v>
      </c>
      <c r="D424" s="1" t="s">
        <v>55</v>
      </c>
    </row>
    <row r="425" customFormat="false" ht="12.8" hidden="false" customHeight="false" outlineLevel="0" collapsed="false">
      <c r="A425" s="1" t="n">
        <v>8</v>
      </c>
      <c r="B425" s="42" t="s">
        <v>57</v>
      </c>
      <c r="C425" s="1" t="n">
        <v>0.1543</v>
      </c>
      <c r="D425" s="1" t="s">
        <v>55</v>
      </c>
    </row>
    <row r="426" customFormat="false" ht="12.8" hidden="false" customHeight="false" outlineLevel="0" collapsed="false">
      <c r="A426" s="1" t="n">
        <v>8</v>
      </c>
      <c r="B426" s="42" t="s">
        <v>62</v>
      </c>
      <c r="C426" s="1" t="n">
        <v>0.153</v>
      </c>
      <c r="D426" s="1" t="s">
        <v>55</v>
      </c>
    </row>
    <row r="427" customFormat="false" ht="12.8" hidden="false" customHeight="false" outlineLevel="0" collapsed="false">
      <c r="A427" s="1" t="n">
        <v>10</v>
      </c>
      <c r="B427" s="42" t="s">
        <v>49</v>
      </c>
      <c r="C427" s="1" t="n">
        <v>0.2183</v>
      </c>
      <c r="D427" s="1" t="s">
        <v>55</v>
      </c>
    </row>
    <row r="428" customFormat="false" ht="12.8" hidden="false" customHeight="false" outlineLevel="0" collapsed="false">
      <c r="A428" s="1" t="n">
        <v>10</v>
      </c>
      <c r="B428" s="42" t="s">
        <v>52</v>
      </c>
      <c r="C428" s="1" t="n">
        <v>0.1876</v>
      </c>
      <c r="D428" s="1" t="s">
        <v>55</v>
      </c>
    </row>
    <row r="429" customFormat="false" ht="12.8" hidden="false" customHeight="false" outlineLevel="0" collapsed="false">
      <c r="A429" s="1" t="n">
        <v>10</v>
      </c>
      <c r="B429" s="42" t="s">
        <v>56</v>
      </c>
      <c r="C429" s="1" t="n">
        <v>0.1728</v>
      </c>
      <c r="D429" s="1" t="s">
        <v>55</v>
      </c>
    </row>
    <row r="430" customFormat="false" ht="12.8" hidden="false" customHeight="false" outlineLevel="0" collapsed="false">
      <c r="A430" s="1" t="n">
        <v>10</v>
      </c>
      <c r="B430" s="42" t="s">
        <v>58</v>
      </c>
      <c r="C430" s="1" t="n">
        <v>0.1669</v>
      </c>
      <c r="D430" s="1" t="s">
        <v>55</v>
      </c>
    </row>
    <row r="431" customFormat="false" ht="12.8" hidden="false" customHeight="false" outlineLevel="0" collapsed="false">
      <c r="A431" s="1" t="n">
        <v>10</v>
      </c>
      <c r="B431" s="42" t="s">
        <v>62</v>
      </c>
      <c r="C431" s="1" t="n">
        <v>0.1545</v>
      </c>
      <c r="D431" s="1" t="s">
        <v>55</v>
      </c>
    </row>
    <row r="432" customFormat="false" ht="12.8" hidden="false" customHeight="false" outlineLevel="0" collapsed="false">
      <c r="A432" s="1" t="n">
        <v>10</v>
      </c>
      <c r="B432" s="42" t="s">
        <v>57</v>
      </c>
      <c r="C432" s="1" t="n">
        <v>0.1</v>
      </c>
      <c r="D432" s="1" t="s">
        <v>55</v>
      </c>
    </row>
    <row r="433" customFormat="false" ht="12.8" hidden="false" customHeight="false" outlineLevel="0" collapsed="false">
      <c r="A433" s="1" t="n">
        <v>12</v>
      </c>
      <c r="B433" s="42" t="s">
        <v>49</v>
      </c>
      <c r="C433" s="1" t="n">
        <v>0.491</v>
      </c>
      <c r="D433" s="1" t="s">
        <v>55</v>
      </c>
    </row>
    <row r="434" customFormat="false" ht="12.8" hidden="false" customHeight="false" outlineLevel="0" collapsed="false">
      <c r="A434" s="1" t="n">
        <v>12</v>
      </c>
      <c r="B434" s="42" t="s">
        <v>56</v>
      </c>
      <c r="C434" s="1" t="n">
        <v>0.409</v>
      </c>
      <c r="D434" s="1" t="s">
        <v>55</v>
      </c>
    </row>
    <row r="435" customFormat="false" ht="12.8" hidden="false" customHeight="false" outlineLevel="0" collapsed="false">
      <c r="A435" s="1" t="n">
        <v>12</v>
      </c>
      <c r="B435" s="42" t="s">
        <v>57</v>
      </c>
      <c r="C435" s="1" t="n">
        <v>0.1</v>
      </c>
      <c r="D435" s="1" t="s">
        <v>55</v>
      </c>
    </row>
    <row r="436" customFormat="false" ht="12.8" hidden="false" customHeight="false" outlineLevel="0" collapsed="false">
      <c r="A436" s="1" t="n">
        <v>14</v>
      </c>
      <c r="B436" s="42" t="s">
        <v>61</v>
      </c>
      <c r="C436" s="1" t="n">
        <v>0.4795</v>
      </c>
      <c r="D436" s="1" t="s">
        <v>55</v>
      </c>
    </row>
    <row r="437" customFormat="false" ht="12.8" hidden="false" customHeight="false" outlineLevel="0" collapsed="false">
      <c r="A437" s="1" t="n">
        <v>14</v>
      </c>
      <c r="B437" s="42" t="s">
        <v>64</v>
      </c>
      <c r="C437" s="1" t="n">
        <v>0.4205</v>
      </c>
      <c r="D437" s="1" t="s">
        <v>55</v>
      </c>
    </row>
    <row r="438" customFormat="false" ht="12.8" hidden="false" customHeight="false" outlineLevel="0" collapsed="false">
      <c r="A438" s="1" t="n">
        <v>14</v>
      </c>
      <c r="B438" s="42" t="s">
        <v>57</v>
      </c>
      <c r="C438" s="1" t="n">
        <v>0.1</v>
      </c>
      <c r="D438" s="1" t="s">
        <v>55</v>
      </c>
    </row>
    <row r="439" customFormat="false" ht="12.8" hidden="false" customHeight="false" outlineLevel="0" collapsed="false">
      <c r="A439" s="1" t="n">
        <v>16</v>
      </c>
      <c r="B439" s="42" t="s">
        <v>56</v>
      </c>
      <c r="C439" s="1" t="n">
        <v>0.4731</v>
      </c>
      <c r="D439" s="1" t="s">
        <v>55</v>
      </c>
    </row>
    <row r="440" customFormat="false" ht="12.8" hidden="false" customHeight="false" outlineLevel="0" collapsed="false">
      <c r="A440" s="1" t="n">
        <v>16</v>
      </c>
      <c r="B440" s="42" t="s">
        <v>52</v>
      </c>
      <c r="C440" s="1" t="n">
        <v>0.4269</v>
      </c>
      <c r="D440" s="1" t="s">
        <v>55</v>
      </c>
    </row>
    <row r="441" customFormat="false" ht="12.8" hidden="false" customHeight="false" outlineLevel="0" collapsed="false">
      <c r="A441" s="1" t="n">
        <v>16</v>
      </c>
      <c r="B441" s="42" t="s">
        <v>57</v>
      </c>
      <c r="C441" s="1" t="n">
        <v>0.1</v>
      </c>
      <c r="D441" s="1" t="s">
        <v>55</v>
      </c>
    </row>
    <row r="442" customFormat="false" ht="12.8" hidden="false" customHeight="false" outlineLevel="0" collapsed="false">
      <c r="A442" s="1" t="n">
        <v>18</v>
      </c>
      <c r="B442" s="42" t="s">
        <v>56</v>
      </c>
      <c r="C442" s="1" t="n">
        <v>0.2118</v>
      </c>
      <c r="D442" s="1" t="s">
        <v>55</v>
      </c>
    </row>
    <row r="443" customFormat="false" ht="12.8" hidden="false" customHeight="false" outlineLevel="0" collapsed="false">
      <c r="A443" s="1" t="n">
        <v>18</v>
      </c>
      <c r="B443" s="42" t="s">
        <v>52</v>
      </c>
      <c r="C443" s="1" t="n">
        <v>0.1937</v>
      </c>
      <c r="D443" s="1" t="s">
        <v>55</v>
      </c>
    </row>
    <row r="444" customFormat="false" ht="12.8" hidden="false" customHeight="false" outlineLevel="0" collapsed="false">
      <c r="A444" s="1" t="n">
        <v>18</v>
      </c>
      <c r="B444" s="42" t="s">
        <v>49</v>
      </c>
      <c r="C444" s="1" t="n">
        <v>0.1798</v>
      </c>
      <c r="D444" s="1" t="s">
        <v>55</v>
      </c>
    </row>
    <row r="445" customFormat="false" ht="12.8" hidden="false" customHeight="false" outlineLevel="0" collapsed="false">
      <c r="A445" s="1" t="n">
        <v>18</v>
      </c>
      <c r="B445" s="42" t="s">
        <v>64</v>
      </c>
      <c r="C445" s="1" t="n">
        <v>0.1707</v>
      </c>
      <c r="D445" s="1" t="s">
        <v>55</v>
      </c>
    </row>
    <row r="446" customFormat="false" ht="12.8" hidden="false" customHeight="false" outlineLevel="0" collapsed="false">
      <c r="A446" s="1" t="n">
        <v>18</v>
      </c>
      <c r="B446" s="42" t="s">
        <v>66</v>
      </c>
      <c r="C446" s="1" t="n">
        <v>0.1441</v>
      </c>
      <c r="D446" s="1" t="s">
        <v>55</v>
      </c>
    </row>
    <row r="447" customFormat="false" ht="12.8" hidden="false" customHeight="false" outlineLevel="0" collapsed="false">
      <c r="A447" s="1" t="n">
        <v>18</v>
      </c>
      <c r="B447" s="42" t="s">
        <v>57</v>
      </c>
      <c r="C447" s="1" t="n">
        <v>0.1</v>
      </c>
      <c r="D447" s="1" t="s">
        <v>55</v>
      </c>
    </row>
    <row r="448" customFormat="false" ht="12.8" hidden="false" customHeight="false" outlineLevel="0" collapsed="false">
      <c r="A448" s="1" t="n">
        <v>20</v>
      </c>
      <c r="B448" s="42" t="s">
        <v>52</v>
      </c>
      <c r="C448" s="1" t="n">
        <v>0.1827</v>
      </c>
      <c r="D448" s="1" t="s">
        <v>55</v>
      </c>
    </row>
    <row r="449" customFormat="false" ht="12.8" hidden="false" customHeight="false" outlineLevel="0" collapsed="false">
      <c r="A449" s="1" t="n">
        <v>20</v>
      </c>
      <c r="B449" s="42" t="s">
        <v>56</v>
      </c>
      <c r="C449" s="1" t="n">
        <v>0.175</v>
      </c>
      <c r="D449" s="1" t="s">
        <v>55</v>
      </c>
    </row>
    <row r="450" customFormat="false" ht="12.8" hidden="false" customHeight="false" outlineLevel="0" collapsed="false">
      <c r="A450" s="1" t="n">
        <v>20</v>
      </c>
      <c r="B450" s="42" t="s">
        <v>49</v>
      </c>
      <c r="C450" s="1" t="n">
        <v>0.1747</v>
      </c>
      <c r="D450" s="1" t="s">
        <v>55</v>
      </c>
    </row>
    <row r="451" customFormat="false" ht="12.8" hidden="false" customHeight="false" outlineLevel="0" collapsed="false">
      <c r="A451" s="1" t="n">
        <v>20</v>
      </c>
      <c r="B451" s="42" t="s">
        <v>57</v>
      </c>
      <c r="C451" s="1" t="n">
        <v>0.1595</v>
      </c>
      <c r="D451" s="1" t="s">
        <v>55</v>
      </c>
    </row>
    <row r="452" customFormat="false" ht="12.8" hidden="false" customHeight="false" outlineLevel="0" collapsed="false">
      <c r="A452" s="1" t="n">
        <v>20</v>
      </c>
      <c r="B452" s="42" t="s">
        <v>61</v>
      </c>
      <c r="C452" s="1" t="n">
        <v>0.1565</v>
      </c>
      <c r="D452" s="1" t="s">
        <v>55</v>
      </c>
    </row>
    <row r="453" customFormat="false" ht="12.8" hidden="false" customHeight="false" outlineLevel="0" collapsed="false">
      <c r="A453" s="1" t="n">
        <v>20</v>
      </c>
      <c r="B453" s="42" t="s">
        <v>58</v>
      </c>
      <c r="C453" s="1" t="n">
        <v>0.1516</v>
      </c>
      <c r="D453" s="1" t="s">
        <v>55</v>
      </c>
    </row>
    <row r="454" customFormat="false" ht="12.8" hidden="false" customHeight="false" outlineLevel="0" collapsed="false">
      <c r="A454" s="1" t="n">
        <v>22</v>
      </c>
      <c r="B454" s="42" t="s">
        <v>52</v>
      </c>
      <c r="C454" s="1" t="n">
        <v>0.1889</v>
      </c>
      <c r="D454" s="1" t="s">
        <v>55</v>
      </c>
    </row>
    <row r="455" customFormat="false" ht="12.8" hidden="false" customHeight="false" outlineLevel="0" collapsed="false">
      <c r="A455" s="1" t="n">
        <v>22</v>
      </c>
      <c r="B455" s="42" t="s">
        <v>56</v>
      </c>
      <c r="C455" s="1" t="n">
        <v>0.1864</v>
      </c>
      <c r="D455" s="1" t="s">
        <v>55</v>
      </c>
    </row>
    <row r="456" customFormat="false" ht="12.8" hidden="false" customHeight="false" outlineLevel="0" collapsed="false">
      <c r="A456" s="1" t="n">
        <v>22</v>
      </c>
      <c r="B456" s="42" t="s">
        <v>58</v>
      </c>
      <c r="C456" s="1" t="n">
        <v>0.1797</v>
      </c>
      <c r="D456" s="1" t="s">
        <v>55</v>
      </c>
    </row>
    <row r="457" customFormat="false" ht="12.8" hidden="false" customHeight="false" outlineLevel="0" collapsed="false">
      <c r="A457" s="1" t="n">
        <v>22</v>
      </c>
      <c r="B457" s="42" t="s">
        <v>65</v>
      </c>
      <c r="C457" s="1" t="n">
        <v>0.1768</v>
      </c>
      <c r="D457" s="1" t="s">
        <v>55</v>
      </c>
    </row>
    <row r="458" customFormat="false" ht="12.8" hidden="false" customHeight="false" outlineLevel="0" collapsed="false">
      <c r="A458" s="1" t="n">
        <v>22</v>
      </c>
      <c r="B458" s="42" t="s">
        <v>49</v>
      </c>
      <c r="C458" s="1" t="n">
        <v>0.1682</v>
      </c>
      <c r="D458" s="1" t="s">
        <v>55</v>
      </c>
    </row>
    <row r="459" customFormat="false" ht="12.8" hidden="false" customHeight="false" outlineLevel="0" collapsed="false">
      <c r="A459" s="1" t="n">
        <v>22</v>
      </c>
      <c r="B459" s="42" t="s">
        <v>57</v>
      </c>
      <c r="C459" s="1" t="n">
        <v>0.1</v>
      </c>
      <c r="D459" s="1" t="s">
        <v>55</v>
      </c>
    </row>
    <row r="460" customFormat="false" ht="12.8" hidden="false" customHeight="false" outlineLevel="0" collapsed="false">
      <c r="A460" s="1" t="n">
        <v>24</v>
      </c>
      <c r="B460" s="42" t="s">
        <v>52</v>
      </c>
      <c r="C460" s="1" t="n">
        <v>0.196</v>
      </c>
      <c r="D460" s="1" t="s">
        <v>55</v>
      </c>
    </row>
    <row r="461" customFormat="false" ht="12.8" hidden="false" customHeight="false" outlineLevel="0" collapsed="false">
      <c r="A461" s="1" t="n">
        <v>24</v>
      </c>
      <c r="B461" s="42" t="s">
        <v>56</v>
      </c>
      <c r="C461" s="1" t="n">
        <v>0.1935</v>
      </c>
      <c r="D461" s="1" t="s">
        <v>55</v>
      </c>
    </row>
    <row r="462" customFormat="false" ht="12.8" hidden="false" customHeight="false" outlineLevel="0" collapsed="false">
      <c r="A462" s="1" t="n">
        <v>24</v>
      </c>
      <c r="B462" s="42" t="s">
        <v>49</v>
      </c>
      <c r="C462" s="1" t="n">
        <v>0.1803</v>
      </c>
      <c r="D462" s="1" t="s">
        <v>55</v>
      </c>
    </row>
    <row r="463" customFormat="false" ht="12.8" hidden="false" customHeight="false" outlineLevel="0" collapsed="false">
      <c r="A463" s="1" t="n">
        <v>24</v>
      </c>
      <c r="B463" s="42" t="s">
        <v>58</v>
      </c>
      <c r="C463" s="1" t="n">
        <v>0.1667</v>
      </c>
      <c r="D463" s="1" t="s">
        <v>55</v>
      </c>
    </row>
    <row r="464" customFormat="false" ht="12.8" hidden="false" customHeight="false" outlineLevel="0" collapsed="false">
      <c r="A464" s="1" t="n">
        <v>24</v>
      </c>
      <c r="B464" s="42" t="s">
        <v>64</v>
      </c>
      <c r="C464" s="1" t="n">
        <v>0.1635</v>
      </c>
      <c r="D464" s="1" t="s">
        <v>55</v>
      </c>
    </row>
    <row r="465" customFormat="false" ht="12.8" hidden="false" customHeight="false" outlineLevel="0" collapsed="false">
      <c r="A465" s="1" t="n">
        <v>24</v>
      </c>
      <c r="B465" s="42" t="s">
        <v>57</v>
      </c>
      <c r="C465" s="1" t="n">
        <v>0.1</v>
      </c>
      <c r="D465" s="1" t="s">
        <v>55</v>
      </c>
    </row>
    <row r="466" customFormat="false" ht="12.8" hidden="false" customHeight="false" outlineLevel="0" collapsed="false">
      <c r="A466" s="1" t="n">
        <v>26</v>
      </c>
      <c r="B466" s="42" t="s">
        <v>49</v>
      </c>
      <c r="C466" s="1" t="n">
        <v>0.1923</v>
      </c>
      <c r="D466" s="1" t="s">
        <v>55</v>
      </c>
    </row>
    <row r="467" customFormat="false" ht="12.8" hidden="false" customHeight="false" outlineLevel="0" collapsed="false">
      <c r="A467" s="1" t="n">
        <v>26</v>
      </c>
      <c r="B467" s="42" t="s">
        <v>56</v>
      </c>
      <c r="C467" s="1" t="n">
        <v>0.1754</v>
      </c>
      <c r="D467" s="1" t="s">
        <v>55</v>
      </c>
    </row>
    <row r="468" customFormat="false" ht="12.8" hidden="false" customHeight="false" outlineLevel="0" collapsed="false">
      <c r="A468" s="1" t="n">
        <v>26</v>
      </c>
      <c r="B468" s="42" t="s">
        <v>52</v>
      </c>
      <c r="C468" s="1" t="n">
        <v>0.1694</v>
      </c>
      <c r="D468" s="1" t="s">
        <v>55</v>
      </c>
    </row>
    <row r="469" customFormat="false" ht="12.8" hidden="false" customHeight="false" outlineLevel="0" collapsed="false">
      <c r="A469" s="1" t="n">
        <v>26</v>
      </c>
      <c r="B469" s="42" t="s">
        <v>64</v>
      </c>
      <c r="C469" s="1" t="n">
        <v>0.1682</v>
      </c>
      <c r="D469" s="1" t="s">
        <v>55</v>
      </c>
    </row>
    <row r="470" customFormat="false" ht="12.8" hidden="false" customHeight="false" outlineLevel="0" collapsed="false">
      <c r="A470" s="1" t="n">
        <v>26</v>
      </c>
      <c r="B470" s="42" t="s">
        <v>57</v>
      </c>
      <c r="C470" s="1" t="n">
        <v>0.1498</v>
      </c>
      <c r="D470" s="1" t="s">
        <v>55</v>
      </c>
    </row>
    <row r="471" customFormat="false" ht="12.8" hidden="false" customHeight="false" outlineLevel="0" collapsed="false">
      <c r="A471" s="1" t="n">
        <v>26</v>
      </c>
      <c r="B471" s="42" t="s">
        <v>62</v>
      </c>
      <c r="C471" s="1" t="n">
        <v>0.1448</v>
      </c>
      <c r="D471" s="1" t="s">
        <v>55</v>
      </c>
    </row>
    <row r="472" customFormat="false" ht="12.8" hidden="false" customHeight="false" outlineLevel="0" collapsed="false">
      <c r="A472" s="1" t="n">
        <v>28</v>
      </c>
      <c r="B472" s="42" t="s">
        <v>49</v>
      </c>
      <c r="C472" s="1" t="n">
        <v>0.1933</v>
      </c>
      <c r="D472" s="1" t="s">
        <v>55</v>
      </c>
    </row>
    <row r="473" customFormat="false" ht="12.8" hidden="false" customHeight="false" outlineLevel="0" collapsed="false">
      <c r="A473" s="1" t="n">
        <v>28</v>
      </c>
      <c r="B473" s="42" t="s">
        <v>56</v>
      </c>
      <c r="C473" s="1" t="n">
        <v>0.1871</v>
      </c>
      <c r="D473" s="1" t="s">
        <v>55</v>
      </c>
    </row>
    <row r="474" customFormat="false" ht="12.8" hidden="false" customHeight="false" outlineLevel="0" collapsed="false">
      <c r="A474" s="1" t="n">
        <v>28</v>
      </c>
      <c r="B474" s="42" t="s">
        <v>52</v>
      </c>
      <c r="C474" s="1" t="n">
        <v>0.1791</v>
      </c>
      <c r="D474" s="1" t="s">
        <v>55</v>
      </c>
    </row>
    <row r="475" customFormat="false" ht="12.8" hidden="false" customHeight="false" outlineLevel="0" collapsed="false">
      <c r="A475" s="1" t="n">
        <v>28</v>
      </c>
      <c r="B475" s="42" t="s">
        <v>64</v>
      </c>
      <c r="C475" s="1" t="n">
        <v>0.1758</v>
      </c>
      <c r="D475" s="1" t="s">
        <v>55</v>
      </c>
    </row>
    <row r="476" customFormat="false" ht="12.8" hidden="false" customHeight="false" outlineLevel="0" collapsed="false">
      <c r="A476" s="1" t="n">
        <v>28</v>
      </c>
      <c r="B476" s="42" t="s">
        <v>62</v>
      </c>
      <c r="C476" s="1" t="n">
        <v>0.1646</v>
      </c>
      <c r="D476" s="1" t="s">
        <v>55</v>
      </c>
    </row>
    <row r="477" customFormat="false" ht="12.8" hidden="false" customHeight="false" outlineLevel="0" collapsed="false">
      <c r="A477" s="1" t="n">
        <v>28</v>
      </c>
      <c r="B477" s="42" t="s">
        <v>57</v>
      </c>
      <c r="C477" s="1" t="n">
        <v>0.1</v>
      </c>
      <c r="D477" s="1" t="s">
        <v>55</v>
      </c>
    </row>
    <row r="478" customFormat="false" ht="12.8" hidden="false" customHeight="false" outlineLevel="0" collapsed="false">
      <c r="A478" s="1" t="n">
        <v>30</v>
      </c>
      <c r="B478" s="42" t="s">
        <v>49</v>
      </c>
      <c r="C478" s="1" t="n">
        <v>0.1964</v>
      </c>
      <c r="D478" s="1" t="s">
        <v>55</v>
      </c>
    </row>
    <row r="479" customFormat="false" ht="12.8" hidden="false" customHeight="false" outlineLevel="0" collapsed="false">
      <c r="A479" s="1" t="n">
        <v>30</v>
      </c>
      <c r="B479" s="42" t="s">
        <v>56</v>
      </c>
      <c r="C479" s="1" t="n">
        <v>0.1901</v>
      </c>
      <c r="D479" s="1" t="s">
        <v>55</v>
      </c>
    </row>
    <row r="480" customFormat="false" ht="12.8" hidden="false" customHeight="false" outlineLevel="0" collapsed="false">
      <c r="A480" s="1" t="n">
        <v>30</v>
      </c>
      <c r="B480" s="42" t="s">
        <v>52</v>
      </c>
      <c r="C480" s="1" t="n">
        <v>0.1786</v>
      </c>
      <c r="D480" s="1" t="s">
        <v>55</v>
      </c>
    </row>
    <row r="481" customFormat="false" ht="12.8" hidden="false" customHeight="false" outlineLevel="0" collapsed="false">
      <c r="A481" s="1" t="n">
        <v>30</v>
      </c>
      <c r="B481" s="42" t="s">
        <v>58</v>
      </c>
      <c r="C481" s="1" t="n">
        <v>0.1751</v>
      </c>
      <c r="D481" s="1" t="s">
        <v>55</v>
      </c>
    </row>
    <row r="482" customFormat="false" ht="12.8" hidden="false" customHeight="false" outlineLevel="0" collapsed="false">
      <c r="A482" s="1" t="n">
        <v>30</v>
      </c>
      <c r="B482" s="42" t="s">
        <v>64</v>
      </c>
      <c r="C482" s="1" t="n">
        <v>0.1597</v>
      </c>
      <c r="D482" s="1" t="s">
        <v>55</v>
      </c>
    </row>
    <row r="483" customFormat="false" ht="12.8" hidden="false" customHeight="false" outlineLevel="0" collapsed="false">
      <c r="A483" s="1" t="n">
        <v>30</v>
      </c>
      <c r="B483" s="42" t="s">
        <v>57</v>
      </c>
      <c r="C483" s="1" t="n">
        <v>0.1</v>
      </c>
      <c r="D483" s="1" t="s">
        <v>55</v>
      </c>
    </row>
    <row r="484" customFormat="false" ht="12.8" hidden="false" customHeight="false" outlineLevel="0" collapsed="false">
      <c r="A484" s="1" t="n">
        <v>32</v>
      </c>
      <c r="B484" s="42" t="s">
        <v>58</v>
      </c>
      <c r="C484" s="1" t="n">
        <v>0.1927</v>
      </c>
      <c r="D484" s="1" t="s">
        <v>55</v>
      </c>
    </row>
    <row r="485" customFormat="false" ht="12.8" hidden="false" customHeight="false" outlineLevel="0" collapsed="false">
      <c r="A485" s="1" t="n">
        <v>32</v>
      </c>
      <c r="B485" s="42" t="s">
        <v>56</v>
      </c>
      <c r="C485" s="1" t="n">
        <v>0.1805</v>
      </c>
      <c r="D485" s="1" t="s">
        <v>55</v>
      </c>
    </row>
    <row r="486" customFormat="false" ht="12.8" hidden="false" customHeight="false" outlineLevel="0" collapsed="false">
      <c r="A486" s="1" t="n">
        <v>32</v>
      </c>
      <c r="B486" s="42" t="s">
        <v>52</v>
      </c>
      <c r="C486" s="1" t="n">
        <v>0.1685</v>
      </c>
      <c r="D486" s="1" t="s">
        <v>55</v>
      </c>
    </row>
    <row r="487" customFormat="false" ht="12.8" hidden="false" customHeight="false" outlineLevel="0" collapsed="false">
      <c r="A487" s="1" t="n">
        <v>32</v>
      </c>
      <c r="B487" s="42" t="s">
        <v>57</v>
      </c>
      <c r="C487" s="1" t="n">
        <v>0.1602</v>
      </c>
      <c r="D487" s="1" t="s">
        <v>55</v>
      </c>
    </row>
    <row r="488" customFormat="false" ht="12.8" hidden="false" customHeight="false" outlineLevel="0" collapsed="false">
      <c r="A488" s="1" t="n">
        <v>32</v>
      </c>
      <c r="B488" s="42" t="s">
        <v>66</v>
      </c>
      <c r="C488" s="1" t="n">
        <v>0.1518</v>
      </c>
      <c r="D488" s="1" t="s">
        <v>55</v>
      </c>
    </row>
    <row r="489" customFormat="false" ht="12.8" hidden="false" customHeight="false" outlineLevel="0" collapsed="false">
      <c r="A489" s="1" t="n">
        <v>32</v>
      </c>
      <c r="B489" s="42" t="s">
        <v>49</v>
      </c>
      <c r="C489" s="1" t="n">
        <v>0.1464</v>
      </c>
      <c r="D489" s="1" t="s">
        <v>55</v>
      </c>
    </row>
    <row r="490" customFormat="false" ht="12.8" hidden="false" customHeight="false" outlineLevel="0" collapsed="false">
      <c r="A490" s="1" t="n">
        <v>34</v>
      </c>
      <c r="B490" s="42" t="s">
        <v>56</v>
      </c>
      <c r="C490" s="1" t="n">
        <v>0.1752</v>
      </c>
      <c r="D490" s="1" t="s">
        <v>55</v>
      </c>
    </row>
    <row r="491" customFormat="false" ht="12.8" hidden="false" customHeight="false" outlineLevel="0" collapsed="false">
      <c r="A491" s="1" t="n">
        <v>34</v>
      </c>
      <c r="B491" s="42" t="s">
        <v>49</v>
      </c>
      <c r="C491" s="1" t="n">
        <v>0.1715</v>
      </c>
      <c r="D491" s="1" t="s">
        <v>55</v>
      </c>
    </row>
    <row r="492" customFormat="false" ht="12.8" hidden="false" customHeight="false" outlineLevel="0" collapsed="false">
      <c r="A492" s="1" t="n">
        <v>34</v>
      </c>
      <c r="B492" s="42" t="s">
        <v>52</v>
      </c>
      <c r="C492" s="1" t="n">
        <v>0.1704</v>
      </c>
      <c r="D492" s="1" t="s">
        <v>55</v>
      </c>
    </row>
    <row r="493" customFormat="false" ht="12.8" hidden="false" customHeight="false" outlineLevel="0" collapsed="false">
      <c r="A493" s="1" t="n">
        <v>34</v>
      </c>
      <c r="B493" s="42" t="s">
        <v>58</v>
      </c>
      <c r="C493" s="1" t="n">
        <v>0.1676</v>
      </c>
      <c r="D493" s="1" t="s">
        <v>55</v>
      </c>
    </row>
    <row r="494" customFormat="false" ht="12.8" hidden="false" customHeight="false" outlineLevel="0" collapsed="false">
      <c r="A494" s="1" t="n">
        <v>34</v>
      </c>
      <c r="B494" s="42" t="s">
        <v>57</v>
      </c>
      <c r="C494" s="1" t="n">
        <v>0.1604</v>
      </c>
      <c r="D494" s="1" t="s">
        <v>55</v>
      </c>
    </row>
    <row r="495" customFormat="false" ht="12.8" hidden="false" customHeight="false" outlineLevel="0" collapsed="false">
      <c r="A495" s="1" t="n">
        <v>34</v>
      </c>
      <c r="B495" s="42" t="s">
        <v>61</v>
      </c>
      <c r="C495" s="1" t="n">
        <v>0.1549</v>
      </c>
      <c r="D495" s="1" t="s">
        <v>55</v>
      </c>
    </row>
    <row r="496" customFormat="false" ht="12.8" hidden="false" customHeight="false" outlineLevel="0" collapsed="false">
      <c r="A496" s="1" t="n">
        <v>36</v>
      </c>
      <c r="B496" s="42" t="s">
        <v>49</v>
      </c>
      <c r="C496" s="1" t="n">
        <v>0.2001</v>
      </c>
      <c r="D496" s="1" t="s">
        <v>55</v>
      </c>
    </row>
    <row r="497" customFormat="false" ht="12.8" hidden="false" customHeight="false" outlineLevel="0" collapsed="false">
      <c r="A497" s="1" t="n">
        <v>36</v>
      </c>
      <c r="B497" s="42" t="s">
        <v>58</v>
      </c>
      <c r="C497" s="1" t="n">
        <v>0.1804</v>
      </c>
      <c r="D497" s="1" t="s">
        <v>55</v>
      </c>
    </row>
    <row r="498" customFormat="false" ht="12.8" hidden="false" customHeight="false" outlineLevel="0" collapsed="false">
      <c r="A498" s="1" t="n">
        <v>36</v>
      </c>
      <c r="B498" s="42" t="s">
        <v>52</v>
      </c>
      <c r="C498" s="1" t="n">
        <v>0.1765</v>
      </c>
      <c r="D498" s="1" t="s">
        <v>55</v>
      </c>
    </row>
    <row r="499" customFormat="false" ht="12.8" hidden="false" customHeight="false" outlineLevel="0" collapsed="false">
      <c r="A499" s="1" t="n">
        <v>36</v>
      </c>
      <c r="B499" s="42" t="s">
        <v>56</v>
      </c>
      <c r="C499" s="1" t="n">
        <v>0.1719</v>
      </c>
      <c r="D499" s="1" t="s">
        <v>55</v>
      </c>
    </row>
    <row r="500" customFormat="false" ht="12.8" hidden="false" customHeight="false" outlineLevel="0" collapsed="false">
      <c r="A500" s="1" t="n">
        <v>36</v>
      </c>
      <c r="B500" s="42" t="s">
        <v>64</v>
      </c>
      <c r="C500" s="1" t="n">
        <v>0.171</v>
      </c>
      <c r="D500" s="1" t="s">
        <v>55</v>
      </c>
    </row>
    <row r="501" customFormat="false" ht="12.8" hidden="false" customHeight="false" outlineLevel="0" collapsed="false">
      <c r="A501" s="1" t="n">
        <v>36</v>
      </c>
      <c r="B501" s="42" t="s">
        <v>57</v>
      </c>
      <c r="C501" s="1" t="n">
        <v>0.1</v>
      </c>
      <c r="D501" s="1" t="s">
        <v>55</v>
      </c>
    </row>
    <row r="502" customFormat="false" ht="12.8" hidden="false" customHeight="false" outlineLevel="0" collapsed="false">
      <c r="A502" s="1" t="n">
        <v>38</v>
      </c>
      <c r="B502" s="42" t="s">
        <v>49</v>
      </c>
      <c r="C502" s="1" t="n">
        <v>0.2012</v>
      </c>
      <c r="D502" s="1" t="s">
        <v>55</v>
      </c>
    </row>
    <row r="503" customFormat="false" ht="12.8" hidden="false" customHeight="false" outlineLevel="0" collapsed="false">
      <c r="A503" s="1" t="n">
        <v>38</v>
      </c>
      <c r="B503" s="42" t="s">
        <v>56</v>
      </c>
      <c r="C503" s="1" t="n">
        <v>0.184</v>
      </c>
      <c r="D503" s="1" t="s">
        <v>55</v>
      </c>
    </row>
    <row r="504" customFormat="false" ht="12.8" hidden="false" customHeight="false" outlineLevel="0" collapsed="false">
      <c r="A504" s="1" t="n">
        <v>38</v>
      </c>
      <c r="B504" s="42" t="s">
        <v>52</v>
      </c>
      <c r="C504" s="1" t="n">
        <v>0.1818</v>
      </c>
      <c r="D504" s="1" t="s">
        <v>55</v>
      </c>
    </row>
    <row r="505" customFormat="false" ht="12.8" hidden="false" customHeight="false" outlineLevel="0" collapsed="false">
      <c r="A505" s="1" t="n">
        <v>38</v>
      </c>
      <c r="B505" s="42" t="s">
        <v>64</v>
      </c>
      <c r="C505" s="1" t="n">
        <v>0.1747</v>
      </c>
      <c r="D505" s="1" t="s">
        <v>55</v>
      </c>
    </row>
    <row r="506" customFormat="false" ht="12.8" hidden="false" customHeight="false" outlineLevel="0" collapsed="false">
      <c r="A506" s="1" t="n">
        <v>38</v>
      </c>
      <c r="B506" s="42" t="s">
        <v>61</v>
      </c>
      <c r="C506" s="1" t="n">
        <v>0.1583</v>
      </c>
      <c r="D506" s="1" t="s">
        <v>55</v>
      </c>
    </row>
    <row r="507" customFormat="false" ht="12.8" hidden="false" customHeight="false" outlineLevel="0" collapsed="false">
      <c r="A507" s="1" t="n">
        <v>38</v>
      </c>
      <c r="B507" s="42" t="s">
        <v>57</v>
      </c>
      <c r="C507" s="1" t="n">
        <v>0.1</v>
      </c>
      <c r="D507" s="1" t="s">
        <v>55</v>
      </c>
    </row>
    <row r="508" customFormat="false" ht="12.8" hidden="false" customHeight="false" outlineLevel="0" collapsed="false">
      <c r="A508" s="1" t="n">
        <v>40</v>
      </c>
      <c r="B508" s="42" t="s">
        <v>56</v>
      </c>
      <c r="C508" s="1" t="n">
        <v>0.1967</v>
      </c>
      <c r="D508" s="1" t="s">
        <v>55</v>
      </c>
    </row>
    <row r="509" customFormat="false" ht="12.8" hidden="false" customHeight="false" outlineLevel="0" collapsed="false">
      <c r="A509" s="1" t="n">
        <v>40</v>
      </c>
      <c r="B509" s="42" t="s">
        <v>49</v>
      </c>
      <c r="C509" s="1" t="n">
        <v>0.1804</v>
      </c>
      <c r="D509" s="1" t="s">
        <v>55</v>
      </c>
    </row>
    <row r="510" customFormat="false" ht="12.8" hidden="false" customHeight="false" outlineLevel="0" collapsed="false">
      <c r="A510" s="1" t="n">
        <v>40</v>
      </c>
      <c r="B510" s="42" t="s">
        <v>52</v>
      </c>
      <c r="C510" s="1" t="n">
        <v>0.1777</v>
      </c>
      <c r="D510" s="1" t="s">
        <v>55</v>
      </c>
    </row>
    <row r="511" customFormat="false" ht="12.8" hidden="false" customHeight="false" outlineLevel="0" collapsed="false">
      <c r="A511" s="1" t="n">
        <v>40</v>
      </c>
      <c r="B511" s="42" t="s">
        <v>64</v>
      </c>
      <c r="C511" s="1" t="n">
        <v>0.1683</v>
      </c>
      <c r="D511" s="1" t="s">
        <v>55</v>
      </c>
    </row>
    <row r="512" customFormat="false" ht="12.8" hidden="false" customHeight="false" outlineLevel="0" collapsed="false">
      <c r="A512" s="1" t="n">
        <v>40</v>
      </c>
      <c r="B512" s="42" t="s">
        <v>57</v>
      </c>
      <c r="C512" s="1" t="n">
        <v>0.1391</v>
      </c>
      <c r="D512" s="1" t="s">
        <v>55</v>
      </c>
    </row>
    <row r="513" customFormat="false" ht="12.8" hidden="false" customHeight="false" outlineLevel="0" collapsed="false">
      <c r="A513" s="1" t="n">
        <v>40</v>
      </c>
      <c r="B513" s="42" t="s">
        <v>60</v>
      </c>
      <c r="C513" s="1" t="n">
        <v>0.1378</v>
      </c>
      <c r="D513" s="1" t="s">
        <v>55</v>
      </c>
    </row>
    <row r="514" customFormat="false" ht="12.8" hidden="false" customHeight="false" outlineLevel="0" collapsed="false">
      <c r="A514" s="1" t="n">
        <v>42</v>
      </c>
      <c r="B514" s="42" t="s">
        <v>52</v>
      </c>
      <c r="C514" s="1" t="n">
        <v>0.1979</v>
      </c>
      <c r="D514" s="1" t="s">
        <v>55</v>
      </c>
    </row>
    <row r="515" customFormat="false" ht="12.8" hidden="false" customHeight="false" outlineLevel="0" collapsed="false">
      <c r="A515" s="1" t="n">
        <v>42</v>
      </c>
      <c r="B515" s="42" t="s">
        <v>49</v>
      </c>
      <c r="C515" s="1" t="n">
        <v>0.1876</v>
      </c>
      <c r="D515" s="1" t="s">
        <v>55</v>
      </c>
    </row>
    <row r="516" customFormat="false" ht="12.8" hidden="false" customHeight="false" outlineLevel="0" collapsed="false">
      <c r="A516" s="1" t="n">
        <v>42</v>
      </c>
      <c r="B516" s="42" t="s">
        <v>56</v>
      </c>
      <c r="C516" s="1" t="n">
        <v>0.1868</v>
      </c>
      <c r="D516" s="1" t="s">
        <v>55</v>
      </c>
    </row>
    <row r="517" customFormat="false" ht="12.8" hidden="false" customHeight="false" outlineLevel="0" collapsed="false">
      <c r="A517" s="1" t="n">
        <v>42</v>
      </c>
      <c r="B517" s="42" t="s">
        <v>64</v>
      </c>
      <c r="C517" s="1" t="n">
        <v>0.1817</v>
      </c>
      <c r="D517" s="1" t="s">
        <v>55</v>
      </c>
    </row>
    <row r="518" customFormat="false" ht="12.8" hidden="false" customHeight="false" outlineLevel="0" collapsed="false">
      <c r="A518" s="1" t="n">
        <v>42</v>
      </c>
      <c r="B518" s="42" t="s">
        <v>58</v>
      </c>
      <c r="C518" s="1" t="n">
        <v>0.146</v>
      </c>
      <c r="D518" s="1" t="s">
        <v>55</v>
      </c>
    </row>
    <row r="519" customFormat="false" ht="12.8" hidden="false" customHeight="false" outlineLevel="0" collapsed="false">
      <c r="A519" s="1" t="n">
        <v>42</v>
      </c>
      <c r="B519" s="42" t="s">
        <v>57</v>
      </c>
      <c r="C519" s="1" t="n">
        <v>0.1</v>
      </c>
      <c r="D519" s="1" t="s">
        <v>55</v>
      </c>
    </row>
    <row r="520" customFormat="false" ht="12.8" hidden="false" customHeight="false" outlineLevel="0" collapsed="false">
      <c r="A520" s="1" t="n">
        <v>44</v>
      </c>
      <c r="B520" s="42" t="s">
        <v>49</v>
      </c>
      <c r="C520" s="1" t="n">
        <v>0.1941</v>
      </c>
      <c r="D520" s="1" t="s">
        <v>55</v>
      </c>
    </row>
    <row r="521" customFormat="false" ht="12.8" hidden="false" customHeight="false" outlineLevel="0" collapsed="false">
      <c r="A521" s="1" t="n">
        <v>44</v>
      </c>
      <c r="B521" s="42" t="s">
        <v>56</v>
      </c>
      <c r="C521" s="1" t="n">
        <v>0.1777</v>
      </c>
      <c r="D521" s="1" t="s">
        <v>55</v>
      </c>
    </row>
    <row r="522" customFormat="false" ht="12.8" hidden="false" customHeight="false" outlineLevel="0" collapsed="false">
      <c r="A522" s="1" t="n">
        <v>44</v>
      </c>
      <c r="B522" s="42" t="s">
        <v>52</v>
      </c>
      <c r="C522" s="1" t="n">
        <v>0.1772</v>
      </c>
      <c r="D522" s="1" t="s">
        <v>55</v>
      </c>
    </row>
    <row r="523" customFormat="false" ht="12.8" hidden="false" customHeight="false" outlineLevel="0" collapsed="false">
      <c r="A523" s="1" t="n">
        <v>44</v>
      </c>
      <c r="B523" s="42" t="s">
        <v>58</v>
      </c>
      <c r="C523" s="1" t="n">
        <v>0.1548</v>
      </c>
      <c r="D523" s="1" t="s">
        <v>55</v>
      </c>
    </row>
    <row r="524" customFormat="false" ht="12.8" hidden="false" customHeight="false" outlineLevel="0" collapsed="false">
      <c r="A524" s="1" t="n">
        <v>44</v>
      </c>
      <c r="B524" s="42" t="s">
        <v>64</v>
      </c>
      <c r="C524" s="1" t="n">
        <v>0.1548</v>
      </c>
      <c r="D524" s="1" t="s">
        <v>55</v>
      </c>
    </row>
    <row r="525" customFormat="false" ht="12.8" hidden="false" customHeight="false" outlineLevel="0" collapsed="false">
      <c r="A525" s="1" t="n">
        <v>44</v>
      </c>
      <c r="B525" s="42" t="s">
        <v>57</v>
      </c>
      <c r="C525" s="1" t="n">
        <v>0.1415</v>
      </c>
      <c r="D525" s="1" t="s">
        <v>55</v>
      </c>
    </row>
    <row r="526" customFormat="false" ht="12.8" hidden="false" customHeight="false" outlineLevel="0" collapsed="false">
      <c r="A526" s="1" t="n">
        <v>46</v>
      </c>
      <c r="B526" s="42" t="s">
        <v>56</v>
      </c>
      <c r="C526" s="1" t="n">
        <v>0.1886</v>
      </c>
      <c r="D526" s="1" t="s">
        <v>55</v>
      </c>
    </row>
    <row r="527" customFormat="false" ht="12.8" hidden="false" customHeight="false" outlineLevel="0" collapsed="false">
      <c r="A527" s="1" t="n">
        <v>46</v>
      </c>
      <c r="B527" s="42" t="s">
        <v>52</v>
      </c>
      <c r="C527" s="1" t="n">
        <v>0.1753</v>
      </c>
      <c r="D527" s="1" t="s">
        <v>55</v>
      </c>
    </row>
    <row r="528" customFormat="false" ht="12.8" hidden="false" customHeight="false" outlineLevel="0" collapsed="false">
      <c r="A528" s="1" t="n">
        <v>46</v>
      </c>
      <c r="B528" s="42" t="s">
        <v>49</v>
      </c>
      <c r="C528" s="1" t="n">
        <v>0.1713</v>
      </c>
      <c r="D528" s="1" t="s">
        <v>55</v>
      </c>
    </row>
    <row r="529" customFormat="false" ht="12.8" hidden="false" customHeight="false" outlineLevel="0" collapsed="false">
      <c r="A529" s="1" t="n">
        <v>46</v>
      </c>
      <c r="B529" s="42" t="s">
        <v>62</v>
      </c>
      <c r="C529" s="1" t="n">
        <v>0.1584</v>
      </c>
      <c r="D529" s="1" t="s">
        <v>55</v>
      </c>
    </row>
    <row r="530" customFormat="false" ht="12.8" hidden="false" customHeight="false" outlineLevel="0" collapsed="false">
      <c r="A530" s="1" t="n">
        <v>46</v>
      </c>
      <c r="B530" s="42" t="s">
        <v>64</v>
      </c>
      <c r="C530" s="1" t="n">
        <v>0.1583</v>
      </c>
      <c r="D530" s="1" t="s">
        <v>55</v>
      </c>
    </row>
    <row r="531" customFormat="false" ht="12.8" hidden="false" customHeight="false" outlineLevel="0" collapsed="false">
      <c r="A531" s="1" t="n">
        <v>46</v>
      </c>
      <c r="B531" s="42" t="s">
        <v>57</v>
      </c>
      <c r="C531" s="1" t="n">
        <v>0.1481</v>
      </c>
      <c r="D531" s="1" t="s">
        <v>55</v>
      </c>
    </row>
    <row r="532" customFormat="false" ht="12.8" hidden="false" customHeight="false" outlineLevel="0" collapsed="false">
      <c r="A532" s="1" t="n">
        <v>48</v>
      </c>
      <c r="B532" s="42" t="s">
        <v>56</v>
      </c>
      <c r="C532" s="1" t="n">
        <v>0.1943</v>
      </c>
      <c r="D532" s="1" t="s">
        <v>55</v>
      </c>
    </row>
    <row r="533" customFormat="false" ht="12.8" hidden="false" customHeight="false" outlineLevel="0" collapsed="false">
      <c r="A533" s="1" t="n">
        <v>48</v>
      </c>
      <c r="B533" s="42" t="s">
        <v>49</v>
      </c>
      <c r="C533" s="1" t="n">
        <v>0.1937</v>
      </c>
      <c r="D533" s="1" t="s">
        <v>55</v>
      </c>
    </row>
    <row r="534" customFormat="false" ht="12.8" hidden="false" customHeight="false" outlineLevel="0" collapsed="false">
      <c r="A534" s="1" t="n">
        <v>48</v>
      </c>
      <c r="B534" s="42" t="s">
        <v>62</v>
      </c>
      <c r="C534" s="1" t="n">
        <v>0.1712</v>
      </c>
      <c r="D534" s="1" t="s">
        <v>55</v>
      </c>
    </row>
    <row r="535" customFormat="false" ht="12.8" hidden="false" customHeight="false" outlineLevel="0" collapsed="false">
      <c r="A535" s="1" t="n">
        <v>48</v>
      </c>
      <c r="B535" s="42" t="s">
        <v>52</v>
      </c>
      <c r="C535" s="1" t="n">
        <v>0.1705</v>
      </c>
      <c r="D535" s="1" t="s">
        <v>55</v>
      </c>
    </row>
    <row r="536" customFormat="false" ht="12.8" hidden="false" customHeight="false" outlineLevel="0" collapsed="false">
      <c r="A536" s="1" t="n">
        <v>48</v>
      </c>
      <c r="B536" s="42" t="s">
        <v>64</v>
      </c>
      <c r="C536" s="1" t="n">
        <v>0.1703</v>
      </c>
      <c r="D536" s="1" t="s">
        <v>55</v>
      </c>
    </row>
    <row r="537" customFormat="false" ht="12.8" hidden="false" customHeight="false" outlineLevel="0" collapsed="false">
      <c r="A537" s="1" t="n">
        <v>48</v>
      </c>
      <c r="B537" s="42" t="s">
        <v>57</v>
      </c>
      <c r="C537" s="1" t="n">
        <v>0.1</v>
      </c>
      <c r="D537" s="1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2026-02-18T17:36:45Z</dcterms:created>
  <dc:creator/>
  <dc:description/>
  <dc:language>en-US</dc:language>
  <cp:lastModifiedBy/>
  <dcterms:modified xsi:type="dcterms:W3CDTF">2026-02-18T23:13:34Z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
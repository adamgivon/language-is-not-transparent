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6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ms_per_turn" sheetId="1" state="visible" r:id="rId3"/>
    <sheet name="Pivot Table_sims_per_turn_1" sheetId="2" state="visible" r:id="rId4"/>
    <sheet name="anchors_raw_information" sheetId="3" state="visible" r:id="rId5"/>
    <sheet name="Delta(t)=sim(t)-sim(t-1)" sheetId="4" state="visible" r:id="rId6"/>
  </sheets>
  <definedNames>
    <definedName function="false" hidden="true" localSheetId="2" name="_xlnm._FilterDatabase" vbProcedure="false">anchors_raw_information!$A$3:$D$595</definedName>
    <definedName function="false" hidden="true" localSheetId="0" name="_xlnm._FilterDatabase" vbProcedure="false">sims_per_turn!$A$207:$C$357</definedName>
  </definedNames>
  <calcPr iterateCount="100" refMode="A1" iterate="false" iterateDelta="0.001"/>
  <pivotCaches>
    <pivotCache cacheId="1" r:id="rId8"/>
    <pivotCache cacheId="2" r:id="rId9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<sst xmlns="http://schemas.openxmlformats.org/spreadsheetml/2006/main" count="1908" uniqueCount="90">
  <si>
    <t xml:space="preserve">General</t>
  </si>
  <si>
    <t xml:space="preserve">Hybsem</t>
  </si>
  <si>
    <t xml:space="preserve">Hybrid</t>
  </si>
  <si>
    <t xml:space="preserve">ac15p</t>
  </si>
  <si>
    <t xml:space="preserve">ac15</t>
  </si>
  <si>
    <t xml:space="preserve">per turn, prompt-response deltas</t>
  </si>
  <si>
    <t xml:space="preserve">turns</t>
  </si>
  <si>
    <t xml:space="preserve">Delta=hybrid-hybsem</t>
  </si>
  <si>
    <t xml:space="preserve">ABS delta</t>
  </si>
  <si>
    <t xml:space="preserve">Mean difference</t>
  </si>
  <si>
    <t xml:space="preserve">std delta</t>
  </si>
  <si>
    <t xml:space="preserve">Paired t-test</t>
  </si>
  <si>
    <t xml:space="preserve">Turn</t>
  </si>
  <si>
    <t xml:space="preserve">Alpha</t>
  </si>
  <si>
    <t xml:space="preserve">Hypothesized Mean Difference</t>
  </si>
  <si>
    <t xml:space="preserve"> 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</si>
  <si>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</si>
  <si>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</si>
  <si>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</si>
  <si>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</si>
  <si>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</si>
  <si>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</si>
  <si>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</si>
  <si>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</si>
  <si>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</si>
  <si>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</si>
  <si>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</si>
  <si>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</si>
  <si>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</si>
  <si>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</si>
  <si>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Delta=ac15-ac15p</t>
  </si>
  <si>
    <t xml:space="preserve">hybrid</t>
  </si>
  <si>
    <t xml:space="preserve">Delta=ac15p-hybrid</t>
  </si>
  <si>
    <t xml:space="preserve">Delta=hybrid-ac15p</t>
  </si>
  <si>
    <t xml:space="preserve">Delta=ac15p-hybsem</t>
  </si>
  <si>
    <t xml:space="preserve">ABS delta hybsem ac15p</t>
  </si>
  <si>
    <t xml:space="preserve">Delta=ac15-hybrid</t>
  </si>
  <si>
    <t xml:space="preserve">ABS delta ac15 hybrid</t>
  </si>
  <si>
    <t xml:space="preserve">Delta=ac15-hybsem</t>
  </si>
  <si>
    <t xml:space="preserve">ABS Delta=ac15-hybsem</t>
  </si>
  <si>
    <t xml:space="preserve">### Comparison of critical turns</t>
  </si>
  <si>
    <t xml:space="preserve">comparison</t>
  </si>
  <si>
    <t xml:space="preserve">delta</t>
  </si>
  <si>
    <t xml:space="preserve">hybrid-hybsem</t>
  </si>
  <si>
    <t xml:space="preserve">ac15-ac15p</t>
  </si>
  <si>
    <t xml:space="preserve">hybrid-ac15p</t>
  </si>
  <si>
    <t xml:space="preserve">hybsem ac15p</t>
  </si>
  <si>
    <t xml:space="preserve">ac15 hybrid</t>
  </si>
  <si>
    <t xml:space="preserve">ac15 hybsem</t>
  </si>
  <si>
    <t xml:space="preserve">Count - delta</t>
  </si>
  <si>
    <t xml:space="preserve">Total Result</t>
  </si>
  <si>
    <t xml:space="preserve">seq</t>
  </si>
  <si>
    <t xml:space="preserve">Anchors</t>
  </si>
  <si>
    <t xml:space="preserve">weights</t>
  </si>
  <si>
    <t xml:space="preserve">Project</t>
  </si>
  <si>
    <t xml:space="preserve">Count - Anchors</t>
  </si>
  <si>
    <t xml:space="preserve">temporal_dynamics</t>
  </si>
  <si>
    <t xml:space="preserve">ac15-plain</t>
  </si>
  <si>
    <t xml:space="preserve">hybrid_v3_5</t>
  </si>
  <si>
    <t xml:space="preserve">hybrid_v3_5_semantic</t>
  </si>
  <si>
    <t xml:space="preserve">test_ac15</t>
  </si>
  <si>
    <t xml:space="preserve">mathematics_computer_science_engineering</t>
  </si>
  <si>
    <t xml:space="preserve">practicality_and_feasibility</t>
  </si>
  <si>
    <t xml:space="preserve">sovereignty</t>
  </si>
  <si>
    <t xml:space="preserve">affective_interface</t>
  </si>
  <si>
    <t xml:space="preserve">truth_and_fact</t>
  </si>
  <si>
    <t xml:space="preserve">metaphorical_scaffolding</t>
  </si>
  <si>
    <t xml:space="preserve">electricity</t>
  </si>
  <si>
    <t xml:space="preserve">Sum - weights</t>
  </si>
  <si>
    <t xml:space="preserve">imagination_and_possibility</t>
  </si>
  <si>
    <t xml:space="preserve">freedom_and_limitations</t>
  </si>
  <si>
    <t xml:space="preserve">science</t>
  </si>
  <si>
    <t xml:space="preserve">Count - weights</t>
  </si>
  <si>
    <t xml:space="preserve">Average - weights</t>
  </si>
  <si>
    <t xml:space="preserve">Chi square test</t>
  </si>
  <si>
    <t xml:space="preserve">Test of Independence (Chi-Square)</t>
  </si>
  <si>
    <t xml:space="preserve">P-value</t>
  </si>
  <si>
    <t xml:space="preserve">Test Statistic</t>
  </si>
  <si>
    <t xml:space="preserve">Critical Value</t>
  </si>
  <si>
    <t xml:space="preserve">Chi square test – science</t>
  </si>
  <si>
    <t xml:space="preserve">Test of Independence (Chi-Square) – freedom</t>
  </si>
  <si>
    <t xml:space="preserve">Chi square test – science-truth</t>
  </si>
  <si>
    <t xml:space="preserve">Anchors Average</t>
  </si>
  <si>
    <t xml:space="preserve">Data</t>
  </si>
  <si>
    <t xml:space="preserve">Average - weights*</t>
  </si>
  <si>
    <t xml:space="preserve">Total Count - weights</t>
  </si>
  <si>
    <t xml:space="preserve">Total Average - weights*</t>
  </si>
  <si>
    <t xml:space="preserve">std(delta(t)=sim(t)-sim(t-1))</t>
  </si>
  <si>
    <t xml:space="preserve">Scenario 1</t>
  </si>
  <si>
    <t xml:space="preserve">Scenario 2</t>
  </si>
</sst>
</file>

<file path=xl/styles.xml><?xml version="1.0" encoding="utf-8"?>
<styleSheet xmlns="http://schemas.openxmlformats.org/spreadsheetml/2006/main">
  <numFmts count="5">
    <numFmt numFmtId="164" formatCode="0.000000"/>
    <numFmt numFmtId="165" formatCode="0"/>
    <numFmt numFmtId="166" formatCode="General"/>
    <numFmt numFmtId="167" formatCode="0;[RED]\-0"/>
    <numFmt numFmtId="168" formatCode="0.000000;[RED]\-0.000000"/>
  </numFmts>
  <fonts count="7">
    <font>
      <sz val="9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  <charset val="1"/>
    </font>
    <font>
      <sz val="9"/>
      <color theme="1"/>
      <name val="Calibri"/>
      <family val="2"/>
      <charset val="1"/>
    </font>
    <font>
      <b val="true"/>
      <u val="single"/>
      <sz val="1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center" textRotation="0" wrapText="true" indent="0" shrinkToFit="false"/>
    </xf>
    <xf numFmtId="164" fontId="0" fillId="0" borderId="0" applyFont="true" applyBorder="false" applyAlignment="true" applyProtection="false">
      <alignment horizontal="center" vertical="center" textRotation="0" wrapText="true" indent="0" shrinkToFit="false"/>
    </xf>
    <xf numFmtId="164" fontId="0" fillId="0" borderId="0" applyFont="true" applyBorder="false" applyAlignment="true" applyProtection="false">
      <alignment horizontal="center" vertical="center" textRotation="0" wrapText="true" indent="0" shrinkToFit="false"/>
    </xf>
    <xf numFmtId="164" fontId="4" fillId="0" borderId="0" applyFont="true" applyBorder="false" applyAlignment="true" applyProtection="false">
      <alignment horizontal="center" vertical="center" textRotation="0" wrapText="true" indent="0" shrinkToFit="false"/>
    </xf>
    <xf numFmtId="164" fontId="4" fillId="0" borderId="0" applyFont="true" applyBorder="false" applyAlignment="true" applyProtection="false">
      <alignment horizontal="left" vertical="center" textRotation="0" wrapText="true" indent="0" shrinkToFit="false"/>
    </xf>
    <xf numFmtId="164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02">
    <xf numFmtId="164" fontId="0" fillId="0" borderId="0" xfId="0" applyFont="false" applyBorder="fals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21" applyFont="tru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2" xfId="22" applyFont="tru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3" xfId="21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4" xfId="21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5" xfId="22" applyFont="tru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0" fillId="0" borderId="6" xfId="20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6" fontId="0" fillId="0" borderId="7" xfId="20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6" fontId="4" fillId="0" borderId="8" xfId="24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5" fontId="0" fillId="0" borderId="9" xfId="20" applyFont="false" applyBorder="true" applyAlignment="false" applyProtection="false">
      <alignment horizontal="left" vertical="center" textRotation="0" wrapText="true" indent="0" shrinkToFit="false"/>
      <protection locked="true" hidden="false"/>
    </xf>
    <xf numFmtId="164" fontId="0" fillId="0" borderId="10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11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12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4" fillId="0" borderId="13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5" fontId="0" fillId="0" borderId="14" xfId="20" applyFont="false" applyBorder="true" applyAlignment="false" applyProtection="false">
      <alignment horizontal="left" vertical="center" textRotation="0" wrapText="true" indent="0" shrinkToFit="false"/>
      <protection locked="true" hidden="false"/>
    </xf>
    <xf numFmtId="164" fontId="0" fillId="0" borderId="15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0" xfId="25" applyFont="false" applyBorder="fals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16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4" fillId="0" borderId="17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6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7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18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4" fillId="0" borderId="19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5" fontId="4" fillId="0" borderId="20" xfId="24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4" fontId="4" fillId="0" borderId="21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4" fillId="0" borderId="22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4" fillId="0" borderId="23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4" fillId="0" borderId="24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9" xfId="20" applyFont="false" applyBorder="true" applyAlignment="false" applyProtection="false">
      <alignment horizontal="left" vertical="center" textRotation="0" wrapText="true" indent="0" shrinkToFit="false"/>
      <protection locked="true" hidden="false"/>
    </xf>
    <xf numFmtId="166" fontId="0" fillId="0" borderId="14" xfId="20" applyFont="false" applyBorder="true" applyAlignment="false" applyProtection="false">
      <alignment horizontal="left" vertical="center" textRotation="0" wrapText="true" indent="0" shrinkToFit="false"/>
      <protection locked="true" hidden="false"/>
    </xf>
    <xf numFmtId="166" fontId="4" fillId="0" borderId="20" xfId="24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4" fontId="0" fillId="0" borderId="25" xfId="21" applyFont="tru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26" xfId="21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27" xfId="22" applyFont="tru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0" fillId="0" borderId="28" xfId="20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6" fontId="0" fillId="0" borderId="29" xfId="20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6" fontId="0" fillId="0" borderId="30" xfId="20" applyFont="false" applyBorder="true" applyAlignment="false" applyProtection="false">
      <alignment horizontal="left" vertical="center" textRotation="0" wrapText="true" indent="0" shrinkToFit="false"/>
      <protection locked="true" hidden="false"/>
    </xf>
    <xf numFmtId="166" fontId="0" fillId="0" borderId="31" xfId="20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32" xfId="24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6" fontId="4" fillId="0" borderId="23" xfId="24" applyFont="false" applyBorder="true" applyAlignment="false" applyProtection="false">
      <alignment horizontal="left" vertical="center" textRotation="0" wrapText="true" indent="0" shrinkToFit="false"/>
      <protection locked="true" hidden="false"/>
    </xf>
    <xf numFmtId="164" fontId="0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21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21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6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7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0" borderId="8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9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10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1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2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3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4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15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6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7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6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7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8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9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0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21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2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3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4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0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0" fillId="0" borderId="11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0" fillId="0" borderId="12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4" fillId="0" borderId="13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0" fillId="0" borderId="6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0" fillId="0" borderId="7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0" fillId="0" borderId="18" xfId="25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4" fillId="0" borderId="19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4" fillId="0" borderId="33" xfId="24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6" fontId="4" fillId="0" borderId="34" xfId="24" applyFont="false" applyBorder="true" applyAlignment="false" applyProtection="false">
      <alignment horizontal="left" vertical="center" textRotation="0" wrapText="true" indent="0" shrinkToFit="false"/>
      <protection locked="true" hidden="false"/>
    </xf>
    <xf numFmtId="166" fontId="4" fillId="0" borderId="0" xfId="23" applyFont="false" applyBorder="false" applyAlignment="false" applyProtection="false">
      <alignment horizontal="center" vertical="center" textRotation="0" wrapText="true" indent="0" shrinkToFit="false"/>
      <protection locked="true" hidden="false"/>
    </xf>
    <xf numFmtId="166" fontId="4" fillId="0" borderId="8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4" fillId="0" borderId="21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4" fillId="0" borderId="22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4" fillId="0" borderId="23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4" fillId="0" borderId="24" xfId="23" applyFont="false" applyBorder="true" applyAlignment="fals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2" createdVersion="3">
  <cacheSource type="worksheet">
    <worksheetSource ref="A3:C35" sheet="Pivot Table_sims_per_turn_1"/>
  </cacheSource>
  <cacheFields count="3">
    <cacheField name="Turn" numFmtId="0">
      <sharedItems containsSemiMixedTypes="0" containsString="0" containsNumber="1" containsInteger="1" minValue="2" maxValue="24" count="14">
        <n v="2"/>
        <n v="3"/>
        <n v="4"/>
        <n v="5"/>
        <n v="6"/>
        <n v="9"/>
        <n v="14"/>
        <n v="15"/>
        <n v="16"/>
        <n v="17"/>
        <n v="19"/>
        <n v="20"/>
        <n v="22"/>
        <n v="24"/>
      </sharedItems>
    </cacheField>
    <cacheField name="comparison" numFmtId="0">
      <sharedItems count="6">
        <s v="ac15 hybrid"/>
        <s v="ac15 hybsem"/>
        <s v="ac15-ac15p"/>
        <s v="hybrid-ac15p"/>
        <s v="hybrid-hybsem"/>
        <s v="hybsem ac15p"/>
      </sharedItems>
    </cacheField>
    <cacheField name="delta" numFmtId="0">
      <sharedItems containsSemiMixedTypes="0" containsString="0" containsNumber="1" minValue="0.0500356750398536" maxValue="0.132545996121384" count="32">
        <n v="0.0500356750398536"/>
        <n v="0.0501207703431406"/>
        <n v="0.0502067980155101"/>
        <n v="0.0512084910090372"/>
        <n v="0.0513091212841427"/>
        <n v="0.0515483594900894"/>
        <n v="0.0520415056914544"/>
        <n v="0.0521843776961275"/>
        <n v="0.0522618832628589"/>
        <n v="0.0527453572522953"/>
        <n v="0.0529872227140977"/>
        <n v="0.0536473758846339"/>
        <n v="0.0557683841441609"/>
        <n v="0.0565476074352107"/>
        <n v="0.0650643857345121"/>
        <n v="0.065898510150403"/>
        <n v="0.066133487146822"/>
        <n v="0.067913392966423"/>
        <n v="0.0680715804198886"/>
        <n v="0.068760576966996"/>
        <n v="0.0713690721262111"/>
        <n v="0.0719844923113469"/>
        <n v="0.0723301285695978"/>
        <n v="0.0743490932245167"/>
        <n v="0.0768511291573462"/>
        <n v="0.0792879742497615"/>
        <n v="0.0798006388690887"/>
        <n v="0.0827604065079922"/>
        <n v="0.0854155882014733"/>
        <n v="0.0986208307231895"/>
        <n v="0.125075485821893"/>
        <n v="0.13254599612138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592" createdVersion="3">
  <cacheSource type="worksheet">
    <worksheetSource ref="A3:D595" sheet="anchors_raw_information"/>
  </cacheSource>
  <cacheFields count="4">
    <cacheField name="seq" numFmtId="0">
      <sharedItems containsSemiMixedTypes="0" containsString="0" containsNumber="1" containsInteger="1" minValue="1" maxValue="49" count="25">
        <n v="1"/>
        <n v="3"/>
        <n v="5"/>
        <n v="7"/>
        <n v="9"/>
        <n v="11"/>
        <n v="13"/>
        <n v="15"/>
        <n v="17"/>
        <n v="19"/>
        <n v="21"/>
        <n v="23"/>
        <n v="25"/>
        <n v="27"/>
        <n v="29"/>
        <n v="31"/>
        <n v="33"/>
        <n v="35"/>
        <n v="37"/>
        <n v="39"/>
        <n v="41"/>
        <n v="43"/>
        <n v="45"/>
        <n v="47"/>
        <n v="49"/>
      </sharedItems>
    </cacheField>
    <cacheField name="Anchors" numFmtId="0">
      <sharedItems count="11">
        <s v="affective_interface"/>
        <s v="electricity"/>
        <s v="freedom_and_limitations"/>
        <s v="imagination_and_possibility"/>
        <s v="mathematics_computer_science_engineering"/>
        <s v="metaphorical_scaffolding"/>
        <s v="practicality_and_feasibility"/>
        <s v="science"/>
        <s v="sovereignty"/>
        <s v="temporal_dynamics"/>
        <s v="truth_and_fact"/>
      </sharedItems>
    </cacheField>
    <cacheField name="weights" numFmtId="0">
      <sharedItems containsSemiMixedTypes="0" containsString="0" containsNumber="1" minValue="0.1" maxValue="0.4586" count="366">
        <n v="0.1"/>
        <n v="0.1373"/>
        <n v="0.1398"/>
        <n v="0.142"/>
        <n v="0.1426"/>
        <n v="0.1435"/>
        <n v="0.145"/>
        <n v="0.1453"/>
        <n v="0.1459"/>
        <n v="0.1462"/>
        <n v="0.1463"/>
        <n v="0.1465"/>
        <n v="0.1468"/>
        <n v="0.1472"/>
        <n v="0.1479"/>
        <n v="0.148"/>
        <n v="0.1492"/>
        <n v="0.1493"/>
        <n v="0.1495"/>
        <n v="0.1502"/>
        <n v="0.1504"/>
        <n v="0.1507"/>
        <n v="0.1509"/>
        <n v="0.151"/>
        <n v="0.1514"/>
        <n v="0.1516"/>
        <n v="0.1518"/>
        <n v="0.1522"/>
        <n v="0.1523"/>
        <n v="0.1524"/>
        <n v="0.1525"/>
        <n v="0.1528"/>
        <n v="0.1529"/>
        <n v="0.1532"/>
        <n v="0.1534"/>
        <n v="0.1539"/>
        <n v="0.1541"/>
        <n v="0.1543"/>
        <n v="0.1544"/>
        <n v="0.1545"/>
        <n v="0.1547"/>
        <n v="0.1548"/>
        <n v="0.1549"/>
        <n v="0.1552"/>
        <n v="0.1553"/>
        <n v="0.1555"/>
        <n v="0.1556"/>
        <n v="0.1557"/>
        <n v="0.1558"/>
        <n v="0.1559"/>
        <n v="0.1564"/>
        <n v="0.1568"/>
        <n v="0.1569"/>
        <n v="0.157"/>
        <n v="0.1571"/>
        <n v="0.1572"/>
        <n v="0.1573"/>
        <n v="0.1574"/>
        <n v="0.1578"/>
        <n v="0.1579"/>
        <n v="0.158"/>
        <n v="0.1583"/>
        <n v="0.1584"/>
        <n v="0.1585"/>
        <n v="0.1587"/>
        <n v="0.1588"/>
        <n v="0.1589"/>
        <n v="0.1594"/>
        <n v="0.1595"/>
        <n v="0.1599"/>
        <n v="0.16"/>
        <n v="0.1605"/>
        <n v="0.1606"/>
        <n v="0.1607"/>
        <n v="0.1609"/>
        <n v="0.1611"/>
        <n v="0.1612"/>
        <n v="0.1613"/>
        <n v="0.1614"/>
        <n v="0.1618"/>
        <n v="0.1619"/>
        <n v="0.1622"/>
        <n v="0.1625"/>
        <n v="0.1626"/>
        <n v="0.1628"/>
        <n v="0.1629"/>
        <n v="0.163"/>
        <n v="0.1632"/>
        <n v="0.1633"/>
        <n v="0.1634"/>
        <n v="0.1636"/>
        <n v="0.1637"/>
        <n v="0.1638"/>
        <n v="0.1639"/>
        <n v="0.164"/>
        <n v="0.1642"/>
        <n v="0.1644"/>
        <n v="0.1646"/>
        <n v="0.1647"/>
        <n v="0.1648"/>
        <n v="0.1649"/>
        <n v="0.165"/>
        <n v="0.1651"/>
        <n v="0.1654"/>
        <n v="0.1656"/>
        <n v="0.1657"/>
        <n v="0.166"/>
        <n v="0.1661"/>
        <n v="0.1662"/>
        <n v="0.1665"/>
        <n v="0.1666"/>
        <n v="0.1667"/>
        <n v="0.1668"/>
        <n v="0.167"/>
        <n v="0.1673"/>
        <n v="0.1675"/>
        <n v="0.1676"/>
        <n v="0.1677"/>
        <n v="0.1678"/>
        <n v="0.1679"/>
        <n v="0.168"/>
        <n v="0.1681"/>
        <n v="0.1683"/>
        <n v="0.1684"/>
        <n v="0.1685"/>
        <n v="0.1688"/>
        <n v="0.1692"/>
        <n v="0.1694"/>
        <n v="0.1695"/>
        <n v="0.1697"/>
        <n v="0.1699"/>
        <n v="0.17"/>
        <n v="0.1701"/>
        <n v="0.1702"/>
        <n v="0.1703"/>
        <n v="0.1704"/>
        <n v="0.1705"/>
        <n v="0.1709"/>
        <n v="0.171"/>
        <n v="0.1711"/>
        <n v="0.1712"/>
        <n v="0.1713"/>
        <n v="0.1715"/>
        <n v="0.1716"/>
        <n v="0.1717"/>
        <n v="0.1718"/>
        <n v="0.1719"/>
        <n v="0.1721"/>
        <n v="0.1723"/>
        <n v="0.1727"/>
        <n v="0.1728"/>
        <n v="0.1729"/>
        <n v="0.173"/>
        <n v="0.1737"/>
        <n v="0.1738"/>
        <n v="0.1739"/>
        <n v="0.174"/>
        <n v="0.1741"/>
        <n v="0.1745"/>
        <n v="0.1748"/>
        <n v="0.1749"/>
        <n v="0.175"/>
        <n v="0.1751"/>
        <n v="0.1752"/>
        <n v="0.1753"/>
        <n v="0.1757"/>
        <n v="0.1759"/>
        <n v="0.176"/>
        <n v="0.1761"/>
        <n v="0.1762"/>
        <n v="0.1763"/>
        <n v="0.1765"/>
        <n v="0.1769"/>
        <n v="0.1772"/>
        <n v="0.1774"/>
        <n v="0.1775"/>
        <n v="0.1778"/>
        <n v="0.1781"/>
        <n v="0.1782"/>
        <n v="0.1783"/>
        <n v="0.1784"/>
        <n v="0.1785"/>
        <n v="0.1787"/>
        <n v="0.1788"/>
        <n v="0.1791"/>
        <n v="0.1792"/>
        <n v="0.1793"/>
        <n v="0.1795"/>
        <n v="0.1796"/>
        <n v="0.18"/>
        <n v="0.1801"/>
        <n v="0.1804"/>
        <n v="0.1805"/>
        <n v="0.1807"/>
        <n v="0.1808"/>
        <n v="0.1809"/>
        <n v="0.1812"/>
        <n v="0.1814"/>
        <n v="0.1815"/>
        <n v="0.1816"/>
        <n v="0.1817"/>
        <n v="0.1818"/>
        <n v="0.1821"/>
        <n v="0.1825"/>
        <n v="0.1826"/>
        <n v="0.1827"/>
        <n v="0.1828"/>
        <n v="0.1829"/>
        <n v="0.183"/>
        <n v="0.1832"/>
        <n v="0.1833"/>
        <n v="0.1836"/>
        <n v="0.1837"/>
        <n v="0.1838"/>
        <n v="0.184"/>
        <n v="0.1845"/>
        <n v="0.1846"/>
        <n v="0.1848"/>
        <n v="0.1849"/>
        <n v="0.185"/>
        <n v="0.1851"/>
        <n v="0.1852"/>
        <n v="0.1853"/>
        <n v="0.1854"/>
        <n v="0.1855"/>
        <n v="0.1856"/>
        <n v="0.1858"/>
        <n v="0.186"/>
        <n v="0.1861"/>
        <n v="0.1863"/>
        <n v="0.1866"/>
        <n v="0.1867"/>
        <n v="0.1871"/>
        <n v="0.1872"/>
        <n v="0.1874"/>
        <n v="0.1877"/>
        <n v="0.1878"/>
        <n v="0.1879"/>
        <n v="0.188"/>
        <n v="0.1882"/>
        <n v="0.1886"/>
        <n v="0.1888"/>
        <n v="0.1892"/>
        <n v="0.1894"/>
        <n v="0.1896"/>
        <n v="0.1898"/>
        <n v="0.1899"/>
        <n v="0.1901"/>
        <n v="0.1902"/>
        <n v="0.1904"/>
        <n v="0.1912"/>
        <n v="0.1915"/>
        <n v="0.1917"/>
        <n v="0.1919"/>
        <n v="0.1921"/>
        <n v="0.1922"/>
        <n v="0.1927"/>
        <n v="0.193"/>
        <n v="0.1932"/>
        <n v="0.1933"/>
        <n v="0.1934"/>
        <n v="0.1937"/>
        <n v="0.194"/>
        <n v="0.1943"/>
        <n v="0.1944"/>
        <n v="0.1945"/>
        <n v="0.1946"/>
        <n v="0.1948"/>
        <n v="0.1951"/>
        <n v="0.1952"/>
        <n v="0.1953"/>
        <n v="0.1954"/>
        <n v="0.1956"/>
        <n v="0.1957"/>
        <n v="0.1958"/>
        <n v="0.1963"/>
        <n v="0.1964"/>
        <n v="0.1966"/>
        <n v="0.1967"/>
        <n v="0.197"/>
        <n v="0.1971"/>
        <n v="0.1972"/>
        <n v="0.1973"/>
        <n v="0.1975"/>
        <n v="0.198"/>
        <n v="0.1981"/>
        <n v="0.1982"/>
        <n v="0.1983"/>
        <n v="0.1985"/>
        <n v="0.1986"/>
        <n v="0.1988"/>
        <n v="0.1989"/>
        <n v="0.1991"/>
        <n v="0.1992"/>
        <n v="0.1994"/>
        <n v="0.1997"/>
        <n v="0.2"/>
        <n v="0.2001"/>
        <n v="0.2003"/>
        <n v="0.2004"/>
        <n v="0.201"/>
        <n v="0.2012"/>
        <n v="0.2014"/>
        <n v="0.2022"/>
        <n v="0.2024"/>
        <n v="0.2027"/>
        <n v="0.2032"/>
        <n v="0.2033"/>
        <n v="0.2036"/>
        <n v="0.2038"/>
        <n v="0.2042"/>
        <n v="0.2043"/>
        <n v="0.2046"/>
        <n v="0.2047"/>
        <n v="0.205"/>
        <n v="0.2051"/>
        <n v="0.2053"/>
        <n v="0.2055"/>
        <n v="0.2062"/>
        <n v="0.2063"/>
        <n v="0.2064"/>
        <n v="0.2066"/>
        <n v="0.2068"/>
        <n v="0.2075"/>
        <n v="0.2076"/>
        <n v="0.2078"/>
        <n v="0.208"/>
        <n v="0.209"/>
        <n v="0.2095"/>
        <n v="0.2107"/>
        <n v="0.2115"/>
        <n v="0.2117"/>
        <n v="0.2122"/>
        <n v="0.2123"/>
        <n v="0.2127"/>
        <n v="0.2132"/>
        <n v="0.2133"/>
        <n v="0.2134"/>
        <n v="0.2136"/>
        <n v="0.214"/>
        <n v="0.2152"/>
        <n v="0.2161"/>
        <n v="0.2164"/>
        <n v="0.2167"/>
        <n v="0.2171"/>
        <n v="0.2176"/>
        <n v="0.218"/>
        <n v="0.2187"/>
        <n v="0.2192"/>
        <n v="0.2194"/>
        <n v="0.2204"/>
        <n v="0.223"/>
        <n v="0.2241"/>
        <n v="0.2264"/>
        <n v="0.2287"/>
        <n v="0.231"/>
        <n v="0.2337"/>
        <n v="0.2474"/>
        <n v="0.2492"/>
        <n v="0.2536"/>
        <n v="0.2568"/>
        <n v="0.279"/>
        <n v="0.2935"/>
        <n v="0.3276"/>
        <n v="0.4414"/>
        <n v="0.4586"/>
      </sharedItems>
    </cacheField>
    <cacheField name="Project" numFmtId="0">
      <sharedItems count="4">
        <s v="ac15-plain"/>
        <s v="hybrid_v3_5"/>
        <s v="hybrid_v3_5_semantic"/>
        <s v="test_ac1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3"/>
    <x v="4"/>
    <x v="29"/>
  </r>
  <r>
    <x v="5"/>
    <x v="4"/>
    <x v="23"/>
  </r>
  <r>
    <x v="4"/>
    <x v="4"/>
    <x v="19"/>
  </r>
  <r>
    <x v="9"/>
    <x v="4"/>
    <x v="10"/>
  </r>
  <r>
    <x v="10"/>
    <x v="4"/>
    <x v="9"/>
  </r>
  <r>
    <x v="2"/>
    <x v="4"/>
    <x v="6"/>
  </r>
  <r>
    <x v="7"/>
    <x v="4"/>
    <x v="4"/>
  </r>
  <r>
    <x v="12"/>
    <x v="2"/>
    <x v="25"/>
  </r>
  <r>
    <x v="13"/>
    <x v="2"/>
    <x v="12"/>
  </r>
  <r>
    <x v="10"/>
    <x v="3"/>
    <x v="26"/>
  </r>
  <r>
    <x v="13"/>
    <x v="3"/>
    <x v="24"/>
  </r>
  <r>
    <x v="12"/>
    <x v="3"/>
    <x v="17"/>
  </r>
  <r>
    <x v="6"/>
    <x v="3"/>
    <x v="15"/>
  </r>
  <r>
    <x v="4"/>
    <x v="3"/>
    <x v="14"/>
  </r>
  <r>
    <x v="9"/>
    <x v="3"/>
    <x v="0"/>
  </r>
  <r>
    <x v="10"/>
    <x v="5"/>
    <x v="31"/>
  </r>
  <r>
    <x v="8"/>
    <x v="5"/>
    <x v="21"/>
  </r>
  <r>
    <x v="2"/>
    <x v="5"/>
    <x v="16"/>
  </r>
  <r>
    <x v="11"/>
    <x v="5"/>
    <x v="8"/>
  </r>
  <r>
    <x v="3"/>
    <x v="5"/>
    <x v="5"/>
  </r>
  <r>
    <x v="12"/>
    <x v="5"/>
    <x v="2"/>
  </r>
  <r>
    <x v="1"/>
    <x v="0"/>
    <x v="28"/>
  </r>
  <r>
    <x v="10"/>
    <x v="0"/>
    <x v="22"/>
  </r>
  <r>
    <x v="7"/>
    <x v="0"/>
    <x v="20"/>
  </r>
  <r>
    <x v="6"/>
    <x v="0"/>
    <x v="13"/>
  </r>
  <r>
    <x v="9"/>
    <x v="0"/>
    <x v="11"/>
  </r>
  <r>
    <x v="0"/>
    <x v="0"/>
    <x v="7"/>
  </r>
  <r>
    <x v="10"/>
    <x v="1"/>
    <x v="30"/>
  </r>
  <r>
    <x v="1"/>
    <x v="1"/>
    <x v="27"/>
  </r>
  <r>
    <x v="5"/>
    <x v="1"/>
    <x v="18"/>
  </r>
  <r>
    <x v="3"/>
    <x v="1"/>
    <x v="3"/>
  </r>
  <r>
    <x v="2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92">
  <r>
    <x v="0"/>
    <x v="9"/>
    <x v="309"/>
    <x v="0"/>
  </r>
  <r>
    <x v="0"/>
    <x v="4"/>
    <x v="243"/>
    <x v="0"/>
  </r>
  <r>
    <x v="0"/>
    <x v="6"/>
    <x v="239"/>
    <x v="0"/>
  </r>
  <r>
    <x v="0"/>
    <x v="8"/>
    <x v="92"/>
    <x v="0"/>
  </r>
  <r>
    <x v="0"/>
    <x v="0"/>
    <x v="42"/>
    <x v="0"/>
  </r>
  <r>
    <x v="0"/>
    <x v="10"/>
    <x v="0"/>
    <x v="0"/>
  </r>
  <r>
    <x v="1"/>
    <x v="6"/>
    <x v="261"/>
    <x v="0"/>
  </r>
  <r>
    <x v="1"/>
    <x v="8"/>
    <x v="245"/>
    <x v="0"/>
  </r>
  <r>
    <x v="1"/>
    <x v="4"/>
    <x v="203"/>
    <x v="0"/>
  </r>
  <r>
    <x v="1"/>
    <x v="9"/>
    <x v="186"/>
    <x v="0"/>
  </r>
  <r>
    <x v="1"/>
    <x v="0"/>
    <x v="40"/>
    <x v="0"/>
  </r>
  <r>
    <x v="1"/>
    <x v="10"/>
    <x v="0"/>
    <x v="0"/>
  </r>
  <r>
    <x v="2"/>
    <x v="6"/>
    <x v="298"/>
    <x v="0"/>
  </r>
  <r>
    <x v="2"/>
    <x v="4"/>
    <x v="217"/>
    <x v="0"/>
  </r>
  <r>
    <x v="2"/>
    <x v="9"/>
    <x v="210"/>
    <x v="0"/>
  </r>
  <r>
    <x v="2"/>
    <x v="8"/>
    <x v="166"/>
    <x v="0"/>
  </r>
  <r>
    <x v="2"/>
    <x v="5"/>
    <x v="46"/>
    <x v="0"/>
  </r>
  <r>
    <x v="2"/>
    <x v="10"/>
    <x v="0"/>
    <x v="0"/>
  </r>
  <r>
    <x v="3"/>
    <x v="6"/>
    <x v="353"/>
    <x v="0"/>
  </r>
  <r>
    <x v="3"/>
    <x v="9"/>
    <x v="271"/>
    <x v="0"/>
  </r>
  <r>
    <x v="3"/>
    <x v="4"/>
    <x v="160"/>
    <x v="0"/>
  </r>
  <r>
    <x v="3"/>
    <x v="8"/>
    <x v="44"/>
    <x v="0"/>
  </r>
  <r>
    <x v="3"/>
    <x v="1"/>
    <x v="15"/>
    <x v="0"/>
  </r>
  <r>
    <x v="3"/>
    <x v="10"/>
    <x v="0"/>
    <x v="0"/>
  </r>
  <r>
    <x v="4"/>
    <x v="6"/>
    <x v="303"/>
    <x v="0"/>
  </r>
  <r>
    <x v="4"/>
    <x v="4"/>
    <x v="195"/>
    <x v="0"/>
  </r>
  <r>
    <x v="4"/>
    <x v="9"/>
    <x v="183"/>
    <x v="0"/>
  </r>
  <r>
    <x v="4"/>
    <x v="1"/>
    <x v="160"/>
    <x v="0"/>
  </r>
  <r>
    <x v="4"/>
    <x v="8"/>
    <x v="88"/>
    <x v="0"/>
  </r>
  <r>
    <x v="4"/>
    <x v="10"/>
    <x v="0"/>
    <x v="0"/>
  </r>
  <r>
    <x v="5"/>
    <x v="6"/>
    <x v="346"/>
    <x v="0"/>
  </r>
  <r>
    <x v="5"/>
    <x v="9"/>
    <x v="250"/>
    <x v="0"/>
  </r>
  <r>
    <x v="5"/>
    <x v="4"/>
    <x v="160"/>
    <x v="0"/>
  </r>
  <r>
    <x v="5"/>
    <x v="8"/>
    <x v="109"/>
    <x v="0"/>
  </r>
  <r>
    <x v="5"/>
    <x v="1"/>
    <x v="17"/>
    <x v="0"/>
  </r>
  <r>
    <x v="5"/>
    <x v="10"/>
    <x v="0"/>
    <x v="0"/>
  </r>
  <r>
    <x v="6"/>
    <x v="6"/>
    <x v="282"/>
    <x v="0"/>
  </r>
  <r>
    <x v="6"/>
    <x v="9"/>
    <x v="265"/>
    <x v="0"/>
  </r>
  <r>
    <x v="6"/>
    <x v="4"/>
    <x v="242"/>
    <x v="0"/>
  </r>
  <r>
    <x v="6"/>
    <x v="1"/>
    <x v="120"/>
    <x v="0"/>
  </r>
  <r>
    <x v="6"/>
    <x v="8"/>
    <x v="23"/>
    <x v="0"/>
  </r>
  <r>
    <x v="6"/>
    <x v="10"/>
    <x v="0"/>
    <x v="0"/>
  </r>
  <r>
    <x v="7"/>
    <x v="6"/>
    <x v="235"/>
    <x v="0"/>
  </r>
  <r>
    <x v="7"/>
    <x v="8"/>
    <x v="159"/>
    <x v="0"/>
  </r>
  <r>
    <x v="7"/>
    <x v="4"/>
    <x v="133"/>
    <x v="0"/>
  </r>
  <r>
    <x v="7"/>
    <x v="0"/>
    <x v="110"/>
    <x v="0"/>
  </r>
  <r>
    <x v="7"/>
    <x v="9"/>
    <x v="88"/>
    <x v="0"/>
  </r>
  <r>
    <x v="7"/>
    <x v="10"/>
    <x v="1"/>
    <x v="0"/>
  </r>
  <r>
    <x v="8"/>
    <x v="6"/>
    <x v="285"/>
    <x v="0"/>
  </r>
  <r>
    <x v="8"/>
    <x v="9"/>
    <x v="161"/>
    <x v="0"/>
  </r>
  <r>
    <x v="8"/>
    <x v="4"/>
    <x v="92"/>
    <x v="0"/>
  </r>
  <r>
    <x v="8"/>
    <x v="8"/>
    <x v="79"/>
    <x v="0"/>
  </r>
  <r>
    <x v="8"/>
    <x v="0"/>
    <x v="39"/>
    <x v="0"/>
  </r>
  <r>
    <x v="8"/>
    <x v="10"/>
    <x v="12"/>
    <x v="0"/>
  </r>
  <r>
    <x v="9"/>
    <x v="6"/>
    <x v="310"/>
    <x v="0"/>
  </r>
  <r>
    <x v="9"/>
    <x v="4"/>
    <x v="238"/>
    <x v="0"/>
  </r>
  <r>
    <x v="9"/>
    <x v="9"/>
    <x v="204"/>
    <x v="0"/>
  </r>
  <r>
    <x v="9"/>
    <x v="8"/>
    <x v="123"/>
    <x v="0"/>
  </r>
  <r>
    <x v="9"/>
    <x v="0"/>
    <x v="52"/>
    <x v="0"/>
  </r>
  <r>
    <x v="9"/>
    <x v="10"/>
    <x v="0"/>
    <x v="0"/>
  </r>
  <r>
    <x v="10"/>
    <x v="9"/>
    <x v="268"/>
    <x v="0"/>
  </r>
  <r>
    <x v="10"/>
    <x v="6"/>
    <x v="209"/>
    <x v="0"/>
  </r>
  <r>
    <x v="10"/>
    <x v="4"/>
    <x v="173"/>
    <x v="0"/>
  </r>
  <r>
    <x v="10"/>
    <x v="1"/>
    <x v="156"/>
    <x v="0"/>
  </r>
  <r>
    <x v="10"/>
    <x v="8"/>
    <x v="136"/>
    <x v="0"/>
  </r>
  <r>
    <x v="10"/>
    <x v="10"/>
    <x v="0"/>
    <x v="0"/>
  </r>
  <r>
    <x v="11"/>
    <x v="8"/>
    <x v="286"/>
    <x v="0"/>
  </r>
  <r>
    <x v="11"/>
    <x v="6"/>
    <x v="278"/>
    <x v="0"/>
  </r>
  <r>
    <x v="11"/>
    <x v="9"/>
    <x v="242"/>
    <x v="0"/>
  </r>
  <r>
    <x v="11"/>
    <x v="0"/>
    <x v="66"/>
    <x v="0"/>
  </r>
  <r>
    <x v="11"/>
    <x v="1"/>
    <x v="53"/>
    <x v="0"/>
  </r>
  <r>
    <x v="11"/>
    <x v="10"/>
    <x v="0"/>
    <x v="0"/>
  </r>
  <r>
    <x v="12"/>
    <x v="8"/>
    <x v="319"/>
    <x v="0"/>
  </r>
  <r>
    <x v="12"/>
    <x v="6"/>
    <x v="264"/>
    <x v="0"/>
  </r>
  <r>
    <x v="12"/>
    <x v="9"/>
    <x v="225"/>
    <x v="0"/>
  </r>
  <r>
    <x v="12"/>
    <x v="0"/>
    <x v="67"/>
    <x v="0"/>
  </r>
  <r>
    <x v="12"/>
    <x v="2"/>
    <x v="37"/>
    <x v="0"/>
  </r>
  <r>
    <x v="12"/>
    <x v="10"/>
    <x v="0"/>
    <x v="0"/>
  </r>
  <r>
    <x v="13"/>
    <x v="6"/>
    <x v="224"/>
    <x v="0"/>
  </r>
  <r>
    <x v="13"/>
    <x v="9"/>
    <x v="169"/>
    <x v="0"/>
  </r>
  <r>
    <x v="13"/>
    <x v="8"/>
    <x v="132"/>
    <x v="0"/>
  </r>
  <r>
    <x v="13"/>
    <x v="10"/>
    <x v="92"/>
    <x v="0"/>
  </r>
  <r>
    <x v="13"/>
    <x v="4"/>
    <x v="36"/>
    <x v="0"/>
  </r>
  <r>
    <x v="13"/>
    <x v="0"/>
    <x v="19"/>
    <x v="0"/>
  </r>
  <r>
    <x v="14"/>
    <x v="6"/>
    <x v="330"/>
    <x v="0"/>
  </r>
  <r>
    <x v="14"/>
    <x v="8"/>
    <x v="178"/>
    <x v="0"/>
  </r>
  <r>
    <x v="14"/>
    <x v="9"/>
    <x v="165"/>
    <x v="0"/>
  </r>
  <r>
    <x v="14"/>
    <x v="4"/>
    <x v="161"/>
    <x v="0"/>
  </r>
  <r>
    <x v="14"/>
    <x v="2"/>
    <x v="68"/>
    <x v="0"/>
  </r>
  <r>
    <x v="14"/>
    <x v="10"/>
    <x v="0"/>
    <x v="0"/>
  </r>
  <r>
    <x v="15"/>
    <x v="6"/>
    <x v="325"/>
    <x v="0"/>
  </r>
  <r>
    <x v="15"/>
    <x v="9"/>
    <x v="227"/>
    <x v="0"/>
  </r>
  <r>
    <x v="15"/>
    <x v="8"/>
    <x v="150"/>
    <x v="0"/>
  </r>
  <r>
    <x v="15"/>
    <x v="4"/>
    <x v="129"/>
    <x v="0"/>
  </r>
  <r>
    <x v="15"/>
    <x v="1"/>
    <x v="91"/>
    <x v="0"/>
  </r>
  <r>
    <x v="15"/>
    <x v="10"/>
    <x v="0"/>
    <x v="0"/>
  </r>
  <r>
    <x v="16"/>
    <x v="9"/>
    <x v="314"/>
    <x v="0"/>
  </r>
  <r>
    <x v="16"/>
    <x v="6"/>
    <x v="241"/>
    <x v="0"/>
  </r>
  <r>
    <x v="16"/>
    <x v="1"/>
    <x v="221"/>
    <x v="0"/>
  </r>
  <r>
    <x v="16"/>
    <x v="4"/>
    <x v="78"/>
    <x v="0"/>
  </r>
  <r>
    <x v="16"/>
    <x v="8"/>
    <x v="68"/>
    <x v="0"/>
  </r>
  <r>
    <x v="16"/>
    <x v="10"/>
    <x v="0"/>
    <x v="0"/>
  </r>
  <r>
    <x v="17"/>
    <x v="6"/>
    <x v="249"/>
    <x v="0"/>
  </r>
  <r>
    <x v="17"/>
    <x v="9"/>
    <x v="240"/>
    <x v="0"/>
  </r>
  <r>
    <x v="17"/>
    <x v="4"/>
    <x v="216"/>
    <x v="0"/>
  </r>
  <r>
    <x v="17"/>
    <x v="0"/>
    <x v="124"/>
    <x v="0"/>
  </r>
  <r>
    <x v="17"/>
    <x v="8"/>
    <x v="119"/>
    <x v="0"/>
  </r>
  <r>
    <x v="17"/>
    <x v="10"/>
    <x v="0"/>
    <x v="0"/>
  </r>
  <r>
    <x v="18"/>
    <x v="6"/>
    <x v="215"/>
    <x v="0"/>
  </r>
  <r>
    <x v="18"/>
    <x v="9"/>
    <x v="181"/>
    <x v="0"/>
  </r>
  <r>
    <x v="18"/>
    <x v="8"/>
    <x v="107"/>
    <x v="0"/>
  </r>
  <r>
    <x v="18"/>
    <x v="0"/>
    <x v="56"/>
    <x v="0"/>
  </r>
  <r>
    <x v="18"/>
    <x v="4"/>
    <x v="55"/>
    <x v="0"/>
  </r>
  <r>
    <x v="18"/>
    <x v="10"/>
    <x v="50"/>
    <x v="0"/>
  </r>
  <r>
    <x v="19"/>
    <x v="8"/>
    <x v="223"/>
    <x v="0"/>
  </r>
  <r>
    <x v="19"/>
    <x v="4"/>
    <x v="208"/>
    <x v="0"/>
  </r>
  <r>
    <x v="19"/>
    <x v="6"/>
    <x v="176"/>
    <x v="0"/>
  </r>
  <r>
    <x v="19"/>
    <x v="9"/>
    <x v="74"/>
    <x v="0"/>
  </r>
  <r>
    <x v="19"/>
    <x v="0"/>
    <x v="14"/>
    <x v="0"/>
  </r>
  <r>
    <x v="19"/>
    <x v="10"/>
    <x v="6"/>
    <x v="0"/>
  </r>
  <r>
    <x v="20"/>
    <x v="6"/>
    <x v="305"/>
    <x v="0"/>
  </r>
  <r>
    <x v="20"/>
    <x v="4"/>
    <x v="232"/>
    <x v="0"/>
  </r>
  <r>
    <x v="20"/>
    <x v="9"/>
    <x v="189"/>
    <x v="0"/>
  </r>
  <r>
    <x v="20"/>
    <x v="8"/>
    <x v="186"/>
    <x v="0"/>
  </r>
  <r>
    <x v="20"/>
    <x v="7"/>
    <x v="22"/>
    <x v="0"/>
  </r>
  <r>
    <x v="20"/>
    <x v="10"/>
    <x v="0"/>
    <x v="0"/>
  </r>
  <r>
    <x v="21"/>
    <x v="6"/>
    <x v="253"/>
    <x v="0"/>
  </r>
  <r>
    <x v="21"/>
    <x v="4"/>
    <x v="222"/>
    <x v="0"/>
  </r>
  <r>
    <x v="21"/>
    <x v="9"/>
    <x v="146"/>
    <x v="0"/>
  </r>
  <r>
    <x v="21"/>
    <x v="5"/>
    <x v="28"/>
    <x v="0"/>
  </r>
  <r>
    <x v="21"/>
    <x v="8"/>
    <x v="24"/>
    <x v="0"/>
  </r>
  <r>
    <x v="21"/>
    <x v="10"/>
    <x v="13"/>
    <x v="0"/>
  </r>
  <r>
    <x v="22"/>
    <x v="6"/>
    <x v="297"/>
    <x v="0"/>
  </r>
  <r>
    <x v="22"/>
    <x v="8"/>
    <x v="231"/>
    <x v="0"/>
  </r>
  <r>
    <x v="22"/>
    <x v="9"/>
    <x v="205"/>
    <x v="0"/>
  </r>
  <r>
    <x v="22"/>
    <x v="4"/>
    <x v="177"/>
    <x v="0"/>
  </r>
  <r>
    <x v="22"/>
    <x v="1"/>
    <x v="29"/>
    <x v="0"/>
  </r>
  <r>
    <x v="22"/>
    <x v="10"/>
    <x v="0"/>
    <x v="0"/>
  </r>
  <r>
    <x v="23"/>
    <x v="6"/>
    <x v="265"/>
    <x v="0"/>
  </r>
  <r>
    <x v="23"/>
    <x v="9"/>
    <x v="244"/>
    <x v="0"/>
  </r>
  <r>
    <x v="23"/>
    <x v="8"/>
    <x v="206"/>
    <x v="0"/>
  </r>
  <r>
    <x v="23"/>
    <x v="4"/>
    <x v="188"/>
    <x v="0"/>
  </r>
  <r>
    <x v="23"/>
    <x v="1"/>
    <x v="34"/>
    <x v="0"/>
  </r>
  <r>
    <x v="23"/>
    <x v="10"/>
    <x v="0"/>
    <x v="0"/>
  </r>
  <r>
    <x v="24"/>
    <x v="8"/>
    <x v="230"/>
    <x v="0"/>
  </r>
  <r>
    <x v="24"/>
    <x v="6"/>
    <x v="201"/>
    <x v="0"/>
  </r>
  <r>
    <x v="24"/>
    <x v="10"/>
    <x v="96"/>
    <x v="0"/>
  </r>
  <r>
    <x v="24"/>
    <x v="4"/>
    <x v="63"/>
    <x v="0"/>
  </r>
  <r>
    <x v="24"/>
    <x v="9"/>
    <x v="61"/>
    <x v="0"/>
  </r>
  <r>
    <x v="24"/>
    <x v="5"/>
    <x v="20"/>
    <x v="0"/>
  </r>
  <r>
    <x v="0"/>
    <x v="9"/>
    <x v="326"/>
    <x v="1"/>
  </r>
  <r>
    <x v="0"/>
    <x v="6"/>
    <x v="267"/>
    <x v="1"/>
  </r>
  <r>
    <x v="0"/>
    <x v="4"/>
    <x v="185"/>
    <x v="1"/>
  </r>
  <r>
    <x v="0"/>
    <x v="8"/>
    <x v="76"/>
    <x v="1"/>
  </r>
  <r>
    <x v="0"/>
    <x v="3"/>
    <x v="51"/>
    <x v="1"/>
  </r>
  <r>
    <x v="0"/>
    <x v="10"/>
    <x v="0"/>
    <x v="1"/>
  </r>
  <r>
    <x v="1"/>
    <x v="9"/>
    <x v="272"/>
    <x v="1"/>
  </r>
  <r>
    <x v="1"/>
    <x v="6"/>
    <x v="236"/>
    <x v="1"/>
  </r>
  <r>
    <x v="1"/>
    <x v="8"/>
    <x v="209"/>
    <x v="1"/>
  </r>
  <r>
    <x v="1"/>
    <x v="4"/>
    <x v="131"/>
    <x v="1"/>
  </r>
  <r>
    <x v="1"/>
    <x v="1"/>
    <x v="88"/>
    <x v="1"/>
  </r>
  <r>
    <x v="1"/>
    <x v="10"/>
    <x v="0"/>
    <x v="1"/>
  </r>
  <r>
    <x v="2"/>
    <x v="6"/>
    <x v="302"/>
    <x v="1"/>
  </r>
  <r>
    <x v="2"/>
    <x v="9"/>
    <x v="248"/>
    <x v="1"/>
  </r>
  <r>
    <x v="2"/>
    <x v="4"/>
    <x v="162"/>
    <x v="1"/>
  </r>
  <r>
    <x v="2"/>
    <x v="8"/>
    <x v="154"/>
    <x v="1"/>
  </r>
  <r>
    <x v="2"/>
    <x v="3"/>
    <x v="67"/>
    <x v="1"/>
  </r>
  <r>
    <x v="2"/>
    <x v="10"/>
    <x v="0"/>
    <x v="1"/>
  </r>
  <r>
    <x v="3"/>
    <x v="9"/>
    <x v="328"/>
    <x v="1"/>
  </r>
  <r>
    <x v="3"/>
    <x v="6"/>
    <x v="299"/>
    <x v="1"/>
  </r>
  <r>
    <x v="3"/>
    <x v="8"/>
    <x v="168"/>
    <x v="1"/>
  </r>
  <r>
    <x v="3"/>
    <x v="4"/>
    <x v="118"/>
    <x v="1"/>
  </r>
  <r>
    <x v="3"/>
    <x v="1"/>
    <x v="9"/>
    <x v="1"/>
  </r>
  <r>
    <x v="3"/>
    <x v="10"/>
    <x v="0"/>
    <x v="1"/>
  </r>
  <r>
    <x v="4"/>
    <x v="6"/>
    <x v="310"/>
    <x v="1"/>
  </r>
  <r>
    <x v="4"/>
    <x v="9"/>
    <x v="289"/>
    <x v="1"/>
  </r>
  <r>
    <x v="4"/>
    <x v="3"/>
    <x v="122"/>
    <x v="1"/>
  </r>
  <r>
    <x v="4"/>
    <x v="4"/>
    <x v="101"/>
    <x v="1"/>
  </r>
  <r>
    <x v="4"/>
    <x v="1"/>
    <x v="93"/>
    <x v="1"/>
  </r>
  <r>
    <x v="4"/>
    <x v="10"/>
    <x v="0"/>
    <x v="1"/>
  </r>
  <r>
    <x v="5"/>
    <x v="6"/>
    <x v="341"/>
    <x v="1"/>
  </r>
  <r>
    <x v="5"/>
    <x v="9"/>
    <x v="219"/>
    <x v="1"/>
  </r>
  <r>
    <x v="5"/>
    <x v="4"/>
    <x v="135"/>
    <x v="1"/>
  </r>
  <r>
    <x v="5"/>
    <x v="3"/>
    <x v="104"/>
    <x v="1"/>
  </r>
  <r>
    <x v="5"/>
    <x v="8"/>
    <x v="84"/>
    <x v="1"/>
  </r>
  <r>
    <x v="5"/>
    <x v="10"/>
    <x v="0"/>
    <x v="1"/>
  </r>
  <r>
    <x v="6"/>
    <x v="6"/>
    <x v="341"/>
    <x v="1"/>
  </r>
  <r>
    <x v="6"/>
    <x v="9"/>
    <x v="266"/>
    <x v="1"/>
  </r>
  <r>
    <x v="6"/>
    <x v="4"/>
    <x v="258"/>
    <x v="1"/>
  </r>
  <r>
    <x v="6"/>
    <x v="3"/>
    <x v="34"/>
    <x v="1"/>
  </r>
  <r>
    <x v="6"/>
    <x v="1"/>
    <x v="4"/>
    <x v="1"/>
  </r>
  <r>
    <x v="6"/>
    <x v="10"/>
    <x v="0"/>
    <x v="1"/>
  </r>
  <r>
    <x v="7"/>
    <x v="6"/>
    <x v="315"/>
    <x v="1"/>
  </r>
  <r>
    <x v="7"/>
    <x v="4"/>
    <x v="207"/>
    <x v="1"/>
  </r>
  <r>
    <x v="7"/>
    <x v="9"/>
    <x v="200"/>
    <x v="1"/>
  </r>
  <r>
    <x v="7"/>
    <x v="3"/>
    <x v="118"/>
    <x v="1"/>
  </r>
  <r>
    <x v="7"/>
    <x v="0"/>
    <x v="82"/>
    <x v="1"/>
  </r>
  <r>
    <x v="7"/>
    <x v="10"/>
    <x v="0"/>
    <x v="1"/>
  </r>
  <r>
    <x v="8"/>
    <x v="9"/>
    <x v="293"/>
    <x v="1"/>
  </r>
  <r>
    <x v="8"/>
    <x v="6"/>
    <x v="229"/>
    <x v="1"/>
  </r>
  <r>
    <x v="8"/>
    <x v="4"/>
    <x v="83"/>
    <x v="1"/>
  </r>
  <r>
    <x v="8"/>
    <x v="3"/>
    <x v="71"/>
    <x v="1"/>
  </r>
  <r>
    <x v="8"/>
    <x v="2"/>
    <x v="15"/>
    <x v="1"/>
  </r>
  <r>
    <x v="8"/>
    <x v="10"/>
    <x v="5"/>
    <x v="1"/>
  </r>
  <r>
    <x v="9"/>
    <x v="6"/>
    <x v="301"/>
    <x v="1"/>
  </r>
  <r>
    <x v="9"/>
    <x v="9"/>
    <x v="228"/>
    <x v="1"/>
  </r>
  <r>
    <x v="9"/>
    <x v="3"/>
    <x v="163"/>
    <x v="1"/>
  </r>
  <r>
    <x v="9"/>
    <x v="8"/>
    <x v="128"/>
    <x v="1"/>
  </r>
  <r>
    <x v="9"/>
    <x v="4"/>
    <x v="120"/>
    <x v="1"/>
  </r>
  <r>
    <x v="9"/>
    <x v="10"/>
    <x v="0"/>
    <x v="1"/>
  </r>
  <r>
    <x v="10"/>
    <x v="9"/>
    <x v="331"/>
    <x v="1"/>
  </r>
  <r>
    <x v="10"/>
    <x v="6"/>
    <x v="241"/>
    <x v="1"/>
  </r>
  <r>
    <x v="10"/>
    <x v="4"/>
    <x v="159"/>
    <x v="1"/>
  </r>
  <r>
    <x v="10"/>
    <x v="8"/>
    <x v="94"/>
    <x v="1"/>
  </r>
  <r>
    <x v="10"/>
    <x v="3"/>
    <x v="73"/>
    <x v="1"/>
  </r>
  <r>
    <x v="10"/>
    <x v="10"/>
    <x v="0"/>
    <x v="1"/>
  </r>
  <r>
    <x v="11"/>
    <x v="9"/>
    <x v="308"/>
    <x v="1"/>
  </r>
  <r>
    <x v="11"/>
    <x v="6"/>
    <x v="287"/>
    <x v="1"/>
  </r>
  <r>
    <x v="11"/>
    <x v="8"/>
    <x v="112"/>
    <x v="1"/>
  </r>
  <r>
    <x v="11"/>
    <x v="4"/>
    <x v="108"/>
    <x v="1"/>
  </r>
  <r>
    <x v="11"/>
    <x v="3"/>
    <x v="102"/>
    <x v="1"/>
  </r>
  <r>
    <x v="11"/>
    <x v="10"/>
    <x v="0"/>
    <x v="1"/>
  </r>
  <r>
    <x v="12"/>
    <x v="6"/>
    <x v="323"/>
    <x v="1"/>
  </r>
  <r>
    <x v="12"/>
    <x v="9"/>
    <x v="311"/>
    <x v="1"/>
  </r>
  <r>
    <x v="12"/>
    <x v="8"/>
    <x v="132"/>
    <x v="1"/>
  </r>
  <r>
    <x v="12"/>
    <x v="4"/>
    <x v="105"/>
    <x v="1"/>
  </r>
  <r>
    <x v="12"/>
    <x v="2"/>
    <x v="29"/>
    <x v="1"/>
  </r>
  <r>
    <x v="12"/>
    <x v="10"/>
    <x v="0"/>
    <x v="1"/>
  </r>
  <r>
    <x v="13"/>
    <x v="6"/>
    <x v="311"/>
    <x v="1"/>
  </r>
  <r>
    <x v="13"/>
    <x v="9"/>
    <x v="235"/>
    <x v="1"/>
  </r>
  <r>
    <x v="13"/>
    <x v="4"/>
    <x v="187"/>
    <x v="1"/>
  </r>
  <r>
    <x v="13"/>
    <x v="0"/>
    <x v="111"/>
    <x v="1"/>
  </r>
  <r>
    <x v="13"/>
    <x v="8"/>
    <x v="79"/>
    <x v="1"/>
  </r>
  <r>
    <x v="13"/>
    <x v="10"/>
    <x v="0"/>
    <x v="1"/>
  </r>
  <r>
    <x v="14"/>
    <x v="6"/>
    <x v="347"/>
    <x v="1"/>
  </r>
  <r>
    <x v="14"/>
    <x v="9"/>
    <x v="237"/>
    <x v="1"/>
  </r>
  <r>
    <x v="14"/>
    <x v="3"/>
    <x v="174"/>
    <x v="1"/>
  </r>
  <r>
    <x v="14"/>
    <x v="4"/>
    <x v="112"/>
    <x v="1"/>
  </r>
  <r>
    <x v="14"/>
    <x v="2"/>
    <x v="16"/>
    <x v="1"/>
  </r>
  <r>
    <x v="14"/>
    <x v="10"/>
    <x v="0"/>
    <x v="1"/>
  </r>
  <r>
    <x v="15"/>
    <x v="6"/>
    <x v="281"/>
    <x v="1"/>
  </r>
  <r>
    <x v="15"/>
    <x v="4"/>
    <x v="250"/>
    <x v="1"/>
  </r>
  <r>
    <x v="15"/>
    <x v="9"/>
    <x v="184"/>
    <x v="1"/>
  </r>
  <r>
    <x v="15"/>
    <x v="3"/>
    <x v="123"/>
    <x v="1"/>
  </r>
  <r>
    <x v="15"/>
    <x v="1"/>
    <x v="95"/>
    <x v="1"/>
  </r>
  <r>
    <x v="15"/>
    <x v="10"/>
    <x v="0"/>
    <x v="1"/>
  </r>
  <r>
    <x v="16"/>
    <x v="9"/>
    <x v="334"/>
    <x v="1"/>
  </r>
  <r>
    <x v="16"/>
    <x v="6"/>
    <x v="259"/>
    <x v="1"/>
  </r>
  <r>
    <x v="16"/>
    <x v="1"/>
    <x v="133"/>
    <x v="1"/>
  </r>
  <r>
    <x v="16"/>
    <x v="4"/>
    <x v="100"/>
    <x v="1"/>
  </r>
  <r>
    <x v="16"/>
    <x v="3"/>
    <x v="65"/>
    <x v="1"/>
  </r>
  <r>
    <x v="16"/>
    <x v="10"/>
    <x v="0"/>
    <x v="1"/>
  </r>
  <r>
    <x v="17"/>
    <x v="6"/>
    <x v="332"/>
    <x v="1"/>
  </r>
  <r>
    <x v="17"/>
    <x v="9"/>
    <x v="332"/>
    <x v="1"/>
  </r>
  <r>
    <x v="17"/>
    <x v="4"/>
    <x v="115"/>
    <x v="1"/>
  </r>
  <r>
    <x v="17"/>
    <x v="3"/>
    <x v="43"/>
    <x v="1"/>
  </r>
  <r>
    <x v="17"/>
    <x v="8"/>
    <x v="31"/>
    <x v="1"/>
  </r>
  <r>
    <x v="17"/>
    <x v="10"/>
    <x v="0"/>
    <x v="1"/>
  </r>
  <r>
    <x v="18"/>
    <x v="6"/>
    <x v="317"/>
    <x v="1"/>
  </r>
  <r>
    <x v="18"/>
    <x v="9"/>
    <x v="275"/>
    <x v="1"/>
  </r>
  <r>
    <x v="18"/>
    <x v="4"/>
    <x v="170"/>
    <x v="1"/>
  </r>
  <r>
    <x v="18"/>
    <x v="0"/>
    <x v="86"/>
    <x v="1"/>
  </r>
  <r>
    <x v="18"/>
    <x v="8"/>
    <x v="66"/>
    <x v="1"/>
  </r>
  <r>
    <x v="18"/>
    <x v="10"/>
    <x v="0"/>
    <x v="1"/>
  </r>
  <r>
    <x v="19"/>
    <x v="6"/>
    <x v="273"/>
    <x v="1"/>
  </r>
  <r>
    <x v="19"/>
    <x v="9"/>
    <x v="244"/>
    <x v="1"/>
  </r>
  <r>
    <x v="19"/>
    <x v="8"/>
    <x v="207"/>
    <x v="1"/>
  </r>
  <r>
    <x v="19"/>
    <x v="4"/>
    <x v="158"/>
    <x v="1"/>
  </r>
  <r>
    <x v="19"/>
    <x v="3"/>
    <x v="56"/>
    <x v="1"/>
  </r>
  <r>
    <x v="19"/>
    <x v="10"/>
    <x v="0"/>
    <x v="1"/>
  </r>
  <r>
    <x v="20"/>
    <x v="6"/>
    <x v="294"/>
    <x v="1"/>
  </r>
  <r>
    <x v="20"/>
    <x v="9"/>
    <x v="249"/>
    <x v="1"/>
  </r>
  <r>
    <x v="20"/>
    <x v="4"/>
    <x v="182"/>
    <x v="1"/>
  </r>
  <r>
    <x v="20"/>
    <x v="3"/>
    <x v="129"/>
    <x v="1"/>
  </r>
  <r>
    <x v="20"/>
    <x v="8"/>
    <x v="79"/>
    <x v="1"/>
  </r>
  <r>
    <x v="20"/>
    <x v="10"/>
    <x v="0"/>
    <x v="1"/>
  </r>
  <r>
    <x v="21"/>
    <x v="4"/>
    <x v="332"/>
    <x v="1"/>
  </r>
  <r>
    <x v="21"/>
    <x v="6"/>
    <x v="279"/>
    <x v="1"/>
  </r>
  <r>
    <x v="21"/>
    <x v="3"/>
    <x v="127"/>
    <x v="1"/>
  </r>
  <r>
    <x v="21"/>
    <x v="9"/>
    <x v="89"/>
    <x v="1"/>
  </r>
  <r>
    <x v="21"/>
    <x v="2"/>
    <x v="60"/>
    <x v="1"/>
  </r>
  <r>
    <x v="21"/>
    <x v="10"/>
    <x v="0"/>
    <x v="1"/>
  </r>
  <r>
    <x v="22"/>
    <x v="6"/>
    <x v="365"/>
    <x v="1"/>
  </r>
  <r>
    <x v="22"/>
    <x v="9"/>
    <x v="364"/>
    <x v="1"/>
  </r>
  <r>
    <x v="22"/>
    <x v="10"/>
    <x v="0"/>
    <x v="1"/>
  </r>
  <r>
    <x v="23"/>
    <x v="6"/>
    <x v="360"/>
    <x v="1"/>
  </r>
  <r>
    <x v="23"/>
    <x v="4"/>
    <x v="355"/>
    <x v="1"/>
  </r>
  <r>
    <x v="23"/>
    <x v="1"/>
    <x v="335"/>
    <x v="1"/>
  </r>
  <r>
    <x v="23"/>
    <x v="3"/>
    <x v="291"/>
    <x v="1"/>
  </r>
  <r>
    <x v="23"/>
    <x v="10"/>
    <x v="0"/>
    <x v="1"/>
  </r>
  <r>
    <x v="24"/>
    <x v="6"/>
    <x v="320"/>
    <x v="1"/>
  </r>
  <r>
    <x v="24"/>
    <x v="8"/>
    <x v="220"/>
    <x v="1"/>
  </r>
  <r>
    <x v="24"/>
    <x v="4"/>
    <x v="141"/>
    <x v="1"/>
  </r>
  <r>
    <x v="24"/>
    <x v="3"/>
    <x v="140"/>
    <x v="1"/>
  </r>
  <r>
    <x v="24"/>
    <x v="2"/>
    <x v="106"/>
    <x v="1"/>
  </r>
  <r>
    <x v="24"/>
    <x v="10"/>
    <x v="0"/>
    <x v="1"/>
  </r>
  <r>
    <x v="0"/>
    <x v="6"/>
    <x v="322"/>
    <x v="2"/>
  </r>
  <r>
    <x v="0"/>
    <x v="9"/>
    <x v="277"/>
    <x v="2"/>
  </r>
  <r>
    <x v="0"/>
    <x v="4"/>
    <x v="148"/>
    <x v="2"/>
  </r>
  <r>
    <x v="0"/>
    <x v="0"/>
    <x v="90"/>
    <x v="2"/>
  </r>
  <r>
    <x v="0"/>
    <x v="8"/>
    <x v="72"/>
    <x v="2"/>
  </r>
  <r>
    <x v="0"/>
    <x v="10"/>
    <x v="0"/>
    <x v="2"/>
  </r>
  <r>
    <x v="1"/>
    <x v="6"/>
    <x v="350"/>
    <x v="2"/>
  </r>
  <r>
    <x v="1"/>
    <x v="8"/>
    <x v="276"/>
    <x v="2"/>
  </r>
  <r>
    <x v="1"/>
    <x v="9"/>
    <x v="154"/>
    <x v="2"/>
  </r>
  <r>
    <x v="1"/>
    <x v="3"/>
    <x v="62"/>
    <x v="2"/>
  </r>
  <r>
    <x v="1"/>
    <x v="1"/>
    <x v="22"/>
    <x v="2"/>
  </r>
  <r>
    <x v="1"/>
    <x v="10"/>
    <x v="0"/>
    <x v="2"/>
  </r>
  <r>
    <x v="2"/>
    <x v="6"/>
    <x v="345"/>
    <x v="2"/>
  </r>
  <r>
    <x v="2"/>
    <x v="9"/>
    <x v="166"/>
    <x v="2"/>
  </r>
  <r>
    <x v="2"/>
    <x v="8"/>
    <x v="130"/>
    <x v="2"/>
  </r>
  <r>
    <x v="2"/>
    <x v="3"/>
    <x v="123"/>
    <x v="2"/>
  </r>
  <r>
    <x v="2"/>
    <x v="4"/>
    <x v="121"/>
    <x v="2"/>
  </r>
  <r>
    <x v="2"/>
    <x v="10"/>
    <x v="0"/>
    <x v="2"/>
  </r>
  <r>
    <x v="3"/>
    <x v="6"/>
    <x v="348"/>
    <x v="2"/>
  </r>
  <r>
    <x v="3"/>
    <x v="9"/>
    <x v="254"/>
    <x v="2"/>
  </r>
  <r>
    <x v="3"/>
    <x v="4"/>
    <x v="218"/>
    <x v="2"/>
  </r>
  <r>
    <x v="3"/>
    <x v="8"/>
    <x v="27"/>
    <x v="2"/>
  </r>
  <r>
    <x v="3"/>
    <x v="1"/>
    <x v="25"/>
    <x v="2"/>
  </r>
  <r>
    <x v="3"/>
    <x v="10"/>
    <x v="0"/>
    <x v="2"/>
  </r>
  <r>
    <x v="4"/>
    <x v="6"/>
    <x v="327"/>
    <x v="2"/>
  </r>
  <r>
    <x v="4"/>
    <x v="9"/>
    <x v="256"/>
    <x v="2"/>
  </r>
  <r>
    <x v="4"/>
    <x v="0"/>
    <x v="159"/>
    <x v="2"/>
  </r>
  <r>
    <x v="4"/>
    <x v="4"/>
    <x v="99"/>
    <x v="2"/>
  </r>
  <r>
    <x v="4"/>
    <x v="1"/>
    <x v="65"/>
    <x v="2"/>
  </r>
  <r>
    <x v="4"/>
    <x v="10"/>
    <x v="0"/>
    <x v="2"/>
  </r>
  <r>
    <x v="5"/>
    <x v="6"/>
    <x v="352"/>
    <x v="2"/>
  </r>
  <r>
    <x v="5"/>
    <x v="9"/>
    <x v="230"/>
    <x v="2"/>
  </r>
  <r>
    <x v="5"/>
    <x v="3"/>
    <x v="147"/>
    <x v="2"/>
  </r>
  <r>
    <x v="5"/>
    <x v="4"/>
    <x v="146"/>
    <x v="2"/>
  </r>
  <r>
    <x v="5"/>
    <x v="2"/>
    <x v="7"/>
    <x v="2"/>
  </r>
  <r>
    <x v="5"/>
    <x v="10"/>
    <x v="0"/>
    <x v="2"/>
  </r>
  <r>
    <x v="6"/>
    <x v="6"/>
    <x v="358"/>
    <x v="2"/>
  </r>
  <r>
    <x v="6"/>
    <x v="9"/>
    <x v="357"/>
    <x v="2"/>
  </r>
  <r>
    <x v="6"/>
    <x v="4"/>
    <x v="328"/>
    <x v="2"/>
  </r>
  <r>
    <x v="6"/>
    <x v="1"/>
    <x v="262"/>
    <x v="2"/>
  </r>
  <r>
    <x v="6"/>
    <x v="10"/>
    <x v="0"/>
    <x v="2"/>
  </r>
  <r>
    <x v="7"/>
    <x v="6"/>
    <x v="333"/>
    <x v="2"/>
  </r>
  <r>
    <x v="7"/>
    <x v="4"/>
    <x v="280"/>
    <x v="2"/>
  </r>
  <r>
    <x v="7"/>
    <x v="0"/>
    <x v="127"/>
    <x v="2"/>
  </r>
  <r>
    <x v="7"/>
    <x v="9"/>
    <x v="114"/>
    <x v="2"/>
  </r>
  <r>
    <x v="7"/>
    <x v="3"/>
    <x v="35"/>
    <x v="2"/>
  </r>
  <r>
    <x v="7"/>
    <x v="10"/>
    <x v="0"/>
    <x v="2"/>
  </r>
  <r>
    <x v="8"/>
    <x v="6"/>
    <x v="342"/>
    <x v="2"/>
  </r>
  <r>
    <x v="8"/>
    <x v="4"/>
    <x v="198"/>
    <x v="2"/>
  </r>
  <r>
    <x v="8"/>
    <x v="9"/>
    <x v="179"/>
    <x v="2"/>
  </r>
  <r>
    <x v="8"/>
    <x v="3"/>
    <x v="119"/>
    <x v="2"/>
  </r>
  <r>
    <x v="8"/>
    <x v="0"/>
    <x v="49"/>
    <x v="2"/>
  </r>
  <r>
    <x v="8"/>
    <x v="10"/>
    <x v="0"/>
    <x v="2"/>
  </r>
  <r>
    <x v="9"/>
    <x v="6"/>
    <x v="320"/>
    <x v="2"/>
  </r>
  <r>
    <x v="9"/>
    <x v="3"/>
    <x v="234"/>
    <x v="2"/>
  </r>
  <r>
    <x v="9"/>
    <x v="9"/>
    <x v="176"/>
    <x v="2"/>
  </r>
  <r>
    <x v="9"/>
    <x v="4"/>
    <x v="109"/>
    <x v="2"/>
  </r>
  <r>
    <x v="9"/>
    <x v="0"/>
    <x v="80"/>
    <x v="2"/>
  </r>
  <r>
    <x v="9"/>
    <x v="10"/>
    <x v="0"/>
    <x v="2"/>
  </r>
  <r>
    <x v="10"/>
    <x v="9"/>
    <x v="284"/>
    <x v="2"/>
  </r>
  <r>
    <x v="10"/>
    <x v="6"/>
    <x v="265"/>
    <x v="2"/>
  </r>
  <r>
    <x v="10"/>
    <x v="4"/>
    <x v="225"/>
    <x v="2"/>
  </r>
  <r>
    <x v="10"/>
    <x v="8"/>
    <x v="82"/>
    <x v="2"/>
  </r>
  <r>
    <x v="10"/>
    <x v="1"/>
    <x v="67"/>
    <x v="2"/>
  </r>
  <r>
    <x v="10"/>
    <x v="10"/>
    <x v="0"/>
    <x v="2"/>
  </r>
  <r>
    <x v="11"/>
    <x v="6"/>
    <x v="329"/>
    <x v="2"/>
  </r>
  <r>
    <x v="11"/>
    <x v="9"/>
    <x v="237"/>
    <x v="2"/>
  </r>
  <r>
    <x v="11"/>
    <x v="8"/>
    <x v="153"/>
    <x v="2"/>
  </r>
  <r>
    <x v="11"/>
    <x v="4"/>
    <x v="96"/>
    <x v="2"/>
  </r>
  <r>
    <x v="11"/>
    <x v="3"/>
    <x v="88"/>
    <x v="2"/>
  </r>
  <r>
    <x v="11"/>
    <x v="10"/>
    <x v="0"/>
    <x v="2"/>
  </r>
  <r>
    <x v="12"/>
    <x v="6"/>
    <x v="359"/>
    <x v="2"/>
  </r>
  <r>
    <x v="12"/>
    <x v="9"/>
    <x v="356"/>
    <x v="2"/>
  </r>
  <r>
    <x v="12"/>
    <x v="8"/>
    <x v="340"/>
    <x v="2"/>
  </r>
  <r>
    <x v="12"/>
    <x v="0"/>
    <x v="283"/>
    <x v="2"/>
  </r>
  <r>
    <x v="12"/>
    <x v="10"/>
    <x v="0"/>
    <x v="2"/>
  </r>
  <r>
    <x v="13"/>
    <x v="6"/>
    <x v="327"/>
    <x v="2"/>
  </r>
  <r>
    <x v="13"/>
    <x v="9"/>
    <x v="202"/>
    <x v="2"/>
  </r>
  <r>
    <x v="13"/>
    <x v="4"/>
    <x v="161"/>
    <x v="2"/>
  </r>
  <r>
    <x v="13"/>
    <x v="0"/>
    <x v="138"/>
    <x v="2"/>
  </r>
  <r>
    <x v="13"/>
    <x v="8"/>
    <x v="85"/>
    <x v="2"/>
  </r>
  <r>
    <x v="13"/>
    <x v="10"/>
    <x v="0"/>
    <x v="2"/>
  </r>
  <r>
    <x v="14"/>
    <x v="6"/>
    <x v="351"/>
    <x v="2"/>
  </r>
  <r>
    <x v="14"/>
    <x v="9"/>
    <x v="233"/>
    <x v="2"/>
  </r>
  <r>
    <x v="14"/>
    <x v="4"/>
    <x v="149"/>
    <x v="2"/>
  </r>
  <r>
    <x v="14"/>
    <x v="3"/>
    <x v="109"/>
    <x v="2"/>
  </r>
  <r>
    <x v="14"/>
    <x v="5"/>
    <x v="21"/>
    <x v="2"/>
  </r>
  <r>
    <x v="14"/>
    <x v="10"/>
    <x v="0"/>
    <x v="2"/>
  </r>
  <r>
    <x v="15"/>
    <x v="6"/>
    <x v="318"/>
    <x v="2"/>
  </r>
  <r>
    <x v="15"/>
    <x v="9"/>
    <x v="194"/>
    <x v="2"/>
  </r>
  <r>
    <x v="15"/>
    <x v="4"/>
    <x v="187"/>
    <x v="2"/>
  </r>
  <r>
    <x v="15"/>
    <x v="1"/>
    <x v="144"/>
    <x v="2"/>
  </r>
  <r>
    <x v="15"/>
    <x v="3"/>
    <x v="79"/>
    <x v="2"/>
  </r>
  <r>
    <x v="15"/>
    <x v="10"/>
    <x v="0"/>
    <x v="2"/>
  </r>
  <r>
    <x v="16"/>
    <x v="6"/>
    <x v="314"/>
    <x v="2"/>
  </r>
  <r>
    <x v="16"/>
    <x v="9"/>
    <x v="298"/>
    <x v="2"/>
  </r>
  <r>
    <x v="16"/>
    <x v="1"/>
    <x v="199"/>
    <x v="2"/>
  </r>
  <r>
    <x v="16"/>
    <x v="3"/>
    <x v="55"/>
    <x v="2"/>
  </r>
  <r>
    <x v="16"/>
    <x v="4"/>
    <x v="49"/>
    <x v="2"/>
  </r>
  <r>
    <x v="16"/>
    <x v="10"/>
    <x v="0"/>
    <x v="2"/>
  </r>
  <r>
    <x v="17"/>
    <x v="6"/>
    <x v="336"/>
    <x v="2"/>
  </r>
  <r>
    <x v="17"/>
    <x v="9"/>
    <x v="321"/>
    <x v="2"/>
  </r>
  <r>
    <x v="17"/>
    <x v="4"/>
    <x v="103"/>
    <x v="2"/>
  </r>
  <r>
    <x v="17"/>
    <x v="3"/>
    <x v="81"/>
    <x v="2"/>
  </r>
  <r>
    <x v="17"/>
    <x v="0"/>
    <x v="30"/>
    <x v="2"/>
  </r>
  <r>
    <x v="17"/>
    <x v="10"/>
    <x v="0"/>
    <x v="2"/>
  </r>
  <r>
    <x v="18"/>
    <x v="6"/>
    <x v="344"/>
    <x v="2"/>
  </r>
  <r>
    <x v="18"/>
    <x v="9"/>
    <x v="172"/>
    <x v="2"/>
  </r>
  <r>
    <x v="18"/>
    <x v="4"/>
    <x v="165"/>
    <x v="2"/>
  </r>
  <r>
    <x v="18"/>
    <x v="0"/>
    <x v="142"/>
    <x v="2"/>
  </r>
  <r>
    <x v="18"/>
    <x v="5"/>
    <x v="65"/>
    <x v="2"/>
  </r>
  <r>
    <x v="18"/>
    <x v="10"/>
    <x v="0"/>
    <x v="2"/>
  </r>
  <r>
    <x v="19"/>
    <x v="6"/>
    <x v="338"/>
    <x v="2"/>
  </r>
  <r>
    <x v="19"/>
    <x v="4"/>
    <x v="213"/>
    <x v="2"/>
  </r>
  <r>
    <x v="19"/>
    <x v="9"/>
    <x v="179"/>
    <x v="2"/>
  </r>
  <r>
    <x v="19"/>
    <x v="8"/>
    <x v="125"/>
    <x v="2"/>
  </r>
  <r>
    <x v="19"/>
    <x v="0"/>
    <x v="45"/>
    <x v="2"/>
  </r>
  <r>
    <x v="19"/>
    <x v="10"/>
    <x v="0"/>
    <x v="2"/>
  </r>
  <r>
    <x v="20"/>
    <x v="6"/>
    <x v="314"/>
    <x v="2"/>
  </r>
  <r>
    <x v="20"/>
    <x v="9"/>
    <x v="197"/>
    <x v="2"/>
  </r>
  <r>
    <x v="20"/>
    <x v="4"/>
    <x v="193"/>
    <x v="2"/>
  </r>
  <r>
    <x v="20"/>
    <x v="3"/>
    <x v="151"/>
    <x v="2"/>
  </r>
  <r>
    <x v="20"/>
    <x v="8"/>
    <x v="70"/>
    <x v="2"/>
  </r>
  <r>
    <x v="20"/>
    <x v="10"/>
    <x v="0"/>
    <x v="2"/>
  </r>
  <r>
    <x v="21"/>
    <x v="6"/>
    <x v="288"/>
    <x v="2"/>
  </r>
  <r>
    <x v="21"/>
    <x v="4"/>
    <x v="246"/>
    <x v="2"/>
  </r>
  <r>
    <x v="21"/>
    <x v="5"/>
    <x v="156"/>
    <x v="2"/>
  </r>
  <r>
    <x v="21"/>
    <x v="3"/>
    <x v="132"/>
    <x v="2"/>
  </r>
  <r>
    <x v="21"/>
    <x v="9"/>
    <x v="116"/>
    <x v="2"/>
  </r>
  <r>
    <x v="21"/>
    <x v="10"/>
    <x v="0"/>
    <x v="2"/>
  </r>
  <r>
    <x v="22"/>
    <x v="6"/>
    <x v="363"/>
    <x v="2"/>
  </r>
  <r>
    <x v="22"/>
    <x v="9"/>
    <x v="362"/>
    <x v="2"/>
  </r>
  <r>
    <x v="22"/>
    <x v="8"/>
    <x v="361"/>
    <x v="2"/>
  </r>
  <r>
    <x v="22"/>
    <x v="10"/>
    <x v="0"/>
    <x v="2"/>
  </r>
  <r>
    <x v="23"/>
    <x v="6"/>
    <x v="299"/>
    <x v="2"/>
  </r>
  <r>
    <x v="23"/>
    <x v="9"/>
    <x v="173"/>
    <x v="2"/>
  </r>
  <r>
    <x v="23"/>
    <x v="3"/>
    <x v="158"/>
    <x v="2"/>
  </r>
  <r>
    <x v="23"/>
    <x v="1"/>
    <x v="157"/>
    <x v="2"/>
  </r>
  <r>
    <x v="23"/>
    <x v="8"/>
    <x v="155"/>
    <x v="2"/>
  </r>
  <r>
    <x v="23"/>
    <x v="10"/>
    <x v="0"/>
    <x v="2"/>
  </r>
  <r>
    <x v="24"/>
    <x v="6"/>
    <x v="296"/>
    <x v="2"/>
  </r>
  <r>
    <x v="24"/>
    <x v="8"/>
    <x v="235"/>
    <x v="2"/>
  </r>
  <r>
    <x v="24"/>
    <x v="9"/>
    <x v="139"/>
    <x v="2"/>
  </r>
  <r>
    <x v="24"/>
    <x v="3"/>
    <x v="138"/>
    <x v="2"/>
  </r>
  <r>
    <x v="24"/>
    <x v="5"/>
    <x v="134"/>
    <x v="2"/>
  </r>
  <r>
    <x v="24"/>
    <x v="10"/>
    <x v="0"/>
    <x v="2"/>
  </r>
  <r>
    <x v="0"/>
    <x v="9"/>
    <x v="274"/>
    <x v="3"/>
  </r>
  <r>
    <x v="0"/>
    <x v="6"/>
    <x v="269"/>
    <x v="3"/>
  </r>
  <r>
    <x v="0"/>
    <x v="4"/>
    <x v="247"/>
    <x v="3"/>
  </r>
  <r>
    <x v="0"/>
    <x v="8"/>
    <x v="75"/>
    <x v="3"/>
  </r>
  <r>
    <x v="0"/>
    <x v="0"/>
    <x v="58"/>
    <x v="3"/>
  </r>
  <r>
    <x v="0"/>
    <x v="10"/>
    <x v="0"/>
    <x v="3"/>
  </r>
  <r>
    <x v="1"/>
    <x v="6"/>
    <x v="313"/>
    <x v="3"/>
  </r>
  <r>
    <x v="1"/>
    <x v="9"/>
    <x v="221"/>
    <x v="3"/>
  </r>
  <r>
    <x v="1"/>
    <x v="4"/>
    <x v="209"/>
    <x v="3"/>
  </r>
  <r>
    <x v="1"/>
    <x v="8"/>
    <x v="175"/>
    <x v="3"/>
  </r>
  <r>
    <x v="1"/>
    <x v="1"/>
    <x v="17"/>
    <x v="3"/>
  </r>
  <r>
    <x v="1"/>
    <x v="10"/>
    <x v="0"/>
    <x v="3"/>
  </r>
  <r>
    <x v="2"/>
    <x v="9"/>
    <x v="304"/>
    <x v="3"/>
  </r>
  <r>
    <x v="2"/>
    <x v="6"/>
    <x v="302"/>
    <x v="3"/>
  </r>
  <r>
    <x v="2"/>
    <x v="4"/>
    <x v="192"/>
    <x v="3"/>
  </r>
  <r>
    <x v="2"/>
    <x v="8"/>
    <x v="69"/>
    <x v="3"/>
  </r>
  <r>
    <x v="2"/>
    <x v="5"/>
    <x v="48"/>
    <x v="3"/>
  </r>
  <r>
    <x v="2"/>
    <x v="10"/>
    <x v="0"/>
    <x v="3"/>
  </r>
  <r>
    <x v="3"/>
    <x v="6"/>
    <x v="339"/>
    <x v="3"/>
  </r>
  <r>
    <x v="3"/>
    <x v="9"/>
    <x v="284"/>
    <x v="3"/>
  </r>
  <r>
    <x v="3"/>
    <x v="4"/>
    <x v="180"/>
    <x v="3"/>
  </r>
  <r>
    <x v="3"/>
    <x v="8"/>
    <x v="115"/>
    <x v="3"/>
  </r>
  <r>
    <x v="3"/>
    <x v="3"/>
    <x v="3"/>
    <x v="3"/>
  </r>
  <r>
    <x v="3"/>
    <x v="10"/>
    <x v="0"/>
    <x v="3"/>
  </r>
  <r>
    <x v="4"/>
    <x v="6"/>
    <x v="344"/>
    <x v="3"/>
  </r>
  <r>
    <x v="4"/>
    <x v="4"/>
    <x v="211"/>
    <x v="3"/>
  </r>
  <r>
    <x v="4"/>
    <x v="9"/>
    <x v="166"/>
    <x v="3"/>
  </r>
  <r>
    <x v="4"/>
    <x v="0"/>
    <x v="97"/>
    <x v="3"/>
  </r>
  <r>
    <x v="4"/>
    <x v="8"/>
    <x v="64"/>
    <x v="3"/>
  </r>
  <r>
    <x v="4"/>
    <x v="10"/>
    <x v="0"/>
    <x v="3"/>
  </r>
  <r>
    <x v="5"/>
    <x v="6"/>
    <x v="346"/>
    <x v="3"/>
  </r>
  <r>
    <x v="5"/>
    <x v="4"/>
    <x v="251"/>
    <x v="3"/>
  </r>
  <r>
    <x v="5"/>
    <x v="9"/>
    <x v="212"/>
    <x v="3"/>
  </r>
  <r>
    <x v="5"/>
    <x v="8"/>
    <x v="71"/>
    <x v="3"/>
  </r>
  <r>
    <x v="5"/>
    <x v="3"/>
    <x v="10"/>
    <x v="3"/>
  </r>
  <r>
    <x v="5"/>
    <x v="10"/>
    <x v="0"/>
    <x v="3"/>
  </r>
  <r>
    <x v="6"/>
    <x v="6"/>
    <x v="349"/>
    <x v="3"/>
  </r>
  <r>
    <x v="6"/>
    <x v="9"/>
    <x v="263"/>
    <x v="3"/>
  </r>
  <r>
    <x v="6"/>
    <x v="4"/>
    <x v="261"/>
    <x v="3"/>
  </r>
  <r>
    <x v="6"/>
    <x v="1"/>
    <x v="32"/>
    <x v="3"/>
  </r>
  <r>
    <x v="6"/>
    <x v="8"/>
    <x v="2"/>
    <x v="3"/>
  </r>
  <r>
    <x v="6"/>
    <x v="10"/>
    <x v="0"/>
    <x v="3"/>
  </r>
  <r>
    <x v="7"/>
    <x v="4"/>
    <x v="264"/>
    <x v="3"/>
  </r>
  <r>
    <x v="7"/>
    <x v="6"/>
    <x v="263"/>
    <x v="3"/>
  </r>
  <r>
    <x v="7"/>
    <x v="9"/>
    <x v="168"/>
    <x v="3"/>
  </r>
  <r>
    <x v="7"/>
    <x v="0"/>
    <x v="145"/>
    <x v="3"/>
  </r>
  <r>
    <x v="7"/>
    <x v="7"/>
    <x v="89"/>
    <x v="3"/>
  </r>
  <r>
    <x v="7"/>
    <x v="10"/>
    <x v="0"/>
    <x v="3"/>
  </r>
  <r>
    <x v="8"/>
    <x v="6"/>
    <x v="316"/>
    <x v="3"/>
  </r>
  <r>
    <x v="8"/>
    <x v="9"/>
    <x v="272"/>
    <x v="3"/>
  </r>
  <r>
    <x v="8"/>
    <x v="4"/>
    <x v="143"/>
    <x v="3"/>
  </r>
  <r>
    <x v="8"/>
    <x v="3"/>
    <x v="108"/>
    <x v="3"/>
  </r>
  <r>
    <x v="8"/>
    <x v="0"/>
    <x v="77"/>
    <x v="3"/>
  </r>
  <r>
    <x v="8"/>
    <x v="10"/>
    <x v="0"/>
    <x v="3"/>
  </r>
  <r>
    <x v="9"/>
    <x v="6"/>
    <x v="321"/>
    <x v="3"/>
  </r>
  <r>
    <x v="9"/>
    <x v="9"/>
    <x v="270"/>
    <x v="3"/>
  </r>
  <r>
    <x v="9"/>
    <x v="4"/>
    <x v="174"/>
    <x v="3"/>
  </r>
  <r>
    <x v="9"/>
    <x v="3"/>
    <x v="89"/>
    <x v="3"/>
  </r>
  <r>
    <x v="9"/>
    <x v="8"/>
    <x v="55"/>
    <x v="3"/>
  </r>
  <r>
    <x v="9"/>
    <x v="10"/>
    <x v="0"/>
    <x v="3"/>
  </r>
  <r>
    <x v="10"/>
    <x v="6"/>
    <x v="290"/>
    <x v="3"/>
  </r>
  <r>
    <x v="10"/>
    <x v="9"/>
    <x v="252"/>
    <x v="3"/>
  </r>
  <r>
    <x v="10"/>
    <x v="4"/>
    <x v="210"/>
    <x v="3"/>
  </r>
  <r>
    <x v="10"/>
    <x v="8"/>
    <x v="126"/>
    <x v="3"/>
  </r>
  <r>
    <x v="10"/>
    <x v="7"/>
    <x v="53"/>
    <x v="3"/>
  </r>
  <r>
    <x v="10"/>
    <x v="10"/>
    <x v="0"/>
    <x v="3"/>
  </r>
  <r>
    <x v="11"/>
    <x v="6"/>
    <x v="317"/>
    <x v="3"/>
  </r>
  <r>
    <x v="11"/>
    <x v="8"/>
    <x v="228"/>
    <x v="3"/>
  </r>
  <r>
    <x v="11"/>
    <x v="9"/>
    <x v="226"/>
    <x v="3"/>
  </r>
  <r>
    <x v="11"/>
    <x v="4"/>
    <x v="87"/>
    <x v="3"/>
  </r>
  <r>
    <x v="11"/>
    <x v="0"/>
    <x v="67"/>
    <x v="3"/>
  </r>
  <r>
    <x v="11"/>
    <x v="10"/>
    <x v="0"/>
    <x v="3"/>
  </r>
  <r>
    <x v="12"/>
    <x v="6"/>
    <x v="290"/>
    <x v="3"/>
  </r>
  <r>
    <x v="12"/>
    <x v="9"/>
    <x v="247"/>
    <x v="3"/>
  </r>
  <r>
    <x v="12"/>
    <x v="8"/>
    <x v="221"/>
    <x v="3"/>
  </r>
  <r>
    <x v="12"/>
    <x v="4"/>
    <x v="117"/>
    <x v="3"/>
  </r>
  <r>
    <x v="12"/>
    <x v="0"/>
    <x v="61"/>
    <x v="3"/>
  </r>
  <r>
    <x v="12"/>
    <x v="10"/>
    <x v="0"/>
    <x v="3"/>
  </r>
  <r>
    <x v="13"/>
    <x v="6"/>
    <x v="287"/>
    <x v="3"/>
  </r>
  <r>
    <x v="13"/>
    <x v="9"/>
    <x v="177"/>
    <x v="3"/>
  </r>
  <r>
    <x v="13"/>
    <x v="8"/>
    <x v="90"/>
    <x v="3"/>
  </r>
  <r>
    <x v="13"/>
    <x v="4"/>
    <x v="42"/>
    <x v="3"/>
  </r>
  <r>
    <x v="13"/>
    <x v="0"/>
    <x v="33"/>
    <x v="3"/>
  </r>
  <r>
    <x v="13"/>
    <x v="10"/>
    <x v="26"/>
    <x v="3"/>
  </r>
  <r>
    <x v="14"/>
    <x v="6"/>
    <x v="343"/>
    <x v="3"/>
  </r>
  <r>
    <x v="14"/>
    <x v="9"/>
    <x v="292"/>
    <x v="3"/>
  </r>
  <r>
    <x v="14"/>
    <x v="4"/>
    <x v="192"/>
    <x v="3"/>
  </r>
  <r>
    <x v="14"/>
    <x v="3"/>
    <x v="59"/>
    <x v="3"/>
  </r>
  <r>
    <x v="14"/>
    <x v="8"/>
    <x v="8"/>
    <x v="3"/>
  </r>
  <r>
    <x v="14"/>
    <x v="10"/>
    <x v="0"/>
    <x v="3"/>
  </r>
  <r>
    <x v="15"/>
    <x v="6"/>
    <x v="354"/>
    <x v="3"/>
  </r>
  <r>
    <x v="15"/>
    <x v="4"/>
    <x v="191"/>
    <x v="3"/>
  </r>
  <r>
    <x v="15"/>
    <x v="9"/>
    <x v="190"/>
    <x v="3"/>
  </r>
  <r>
    <x v="15"/>
    <x v="1"/>
    <x v="45"/>
    <x v="3"/>
  </r>
  <r>
    <x v="15"/>
    <x v="8"/>
    <x v="44"/>
    <x v="3"/>
  </r>
  <r>
    <x v="15"/>
    <x v="10"/>
    <x v="0"/>
    <x v="3"/>
  </r>
  <r>
    <x v="16"/>
    <x v="9"/>
    <x v="300"/>
    <x v="3"/>
  </r>
  <r>
    <x v="16"/>
    <x v="6"/>
    <x v="257"/>
    <x v="3"/>
  </r>
  <r>
    <x v="16"/>
    <x v="1"/>
    <x v="137"/>
    <x v="3"/>
  </r>
  <r>
    <x v="16"/>
    <x v="4"/>
    <x v="135"/>
    <x v="3"/>
  </r>
  <r>
    <x v="16"/>
    <x v="0"/>
    <x v="98"/>
    <x v="3"/>
  </r>
  <r>
    <x v="16"/>
    <x v="10"/>
    <x v="0"/>
    <x v="3"/>
  </r>
  <r>
    <x v="17"/>
    <x v="6"/>
    <x v="312"/>
    <x v="3"/>
  </r>
  <r>
    <x v="17"/>
    <x v="9"/>
    <x v="306"/>
    <x v="3"/>
  </r>
  <r>
    <x v="17"/>
    <x v="4"/>
    <x v="190"/>
    <x v="3"/>
  </r>
  <r>
    <x v="17"/>
    <x v="8"/>
    <x v="82"/>
    <x v="3"/>
  </r>
  <r>
    <x v="17"/>
    <x v="5"/>
    <x v="18"/>
    <x v="3"/>
  </r>
  <r>
    <x v="17"/>
    <x v="10"/>
    <x v="0"/>
    <x v="3"/>
  </r>
  <r>
    <x v="18"/>
    <x v="6"/>
    <x v="274"/>
    <x v="3"/>
  </r>
  <r>
    <x v="18"/>
    <x v="9"/>
    <x v="240"/>
    <x v="3"/>
  </r>
  <r>
    <x v="18"/>
    <x v="4"/>
    <x v="196"/>
    <x v="3"/>
  </r>
  <r>
    <x v="18"/>
    <x v="0"/>
    <x v="115"/>
    <x v="3"/>
  </r>
  <r>
    <x v="18"/>
    <x v="8"/>
    <x v="113"/>
    <x v="3"/>
  </r>
  <r>
    <x v="18"/>
    <x v="10"/>
    <x v="0"/>
    <x v="3"/>
  </r>
  <r>
    <x v="19"/>
    <x v="6"/>
    <x v="324"/>
    <x v="3"/>
  </r>
  <r>
    <x v="19"/>
    <x v="4"/>
    <x v="271"/>
    <x v="3"/>
  </r>
  <r>
    <x v="19"/>
    <x v="8"/>
    <x v="171"/>
    <x v="3"/>
  </r>
  <r>
    <x v="19"/>
    <x v="9"/>
    <x v="99"/>
    <x v="3"/>
  </r>
  <r>
    <x v="19"/>
    <x v="5"/>
    <x v="47"/>
    <x v="3"/>
  </r>
  <r>
    <x v="19"/>
    <x v="10"/>
    <x v="0"/>
    <x v="3"/>
  </r>
  <r>
    <x v="20"/>
    <x v="6"/>
    <x v="295"/>
    <x v="3"/>
  </r>
  <r>
    <x v="20"/>
    <x v="9"/>
    <x v="223"/>
    <x v="3"/>
  </r>
  <r>
    <x v="20"/>
    <x v="4"/>
    <x v="203"/>
    <x v="3"/>
  </r>
  <r>
    <x v="20"/>
    <x v="8"/>
    <x v="164"/>
    <x v="3"/>
  </r>
  <r>
    <x v="20"/>
    <x v="3"/>
    <x v="54"/>
    <x v="3"/>
  </r>
  <r>
    <x v="20"/>
    <x v="10"/>
    <x v="0"/>
    <x v="3"/>
  </r>
  <r>
    <x v="21"/>
    <x v="6"/>
    <x v="247"/>
    <x v="3"/>
  </r>
  <r>
    <x v="21"/>
    <x v="9"/>
    <x v="184"/>
    <x v="3"/>
  </r>
  <r>
    <x v="21"/>
    <x v="4"/>
    <x v="152"/>
    <x v="3"/>
  </r>
  <r>
    <x v="21"/>
    <x v="7"/>
    <x v="57"/>
    <x v="3"/>
  </r>
  <r>
    <x v="21"/>
    <x v="8"/>
    <x v="35"/>
    <x v="3"/>
  </r>
  <r>
    <x v="21"/>
    <x v="10"/>
    <x v="11"/>
    <x v="3"/>
  </r>
  <r>
    <x v="22"/>
    <x v="6"/>
    <x v="260"/>
    <x v="3"/>
  </r>
  <r>
    <x v="22"/>
    <x v="9"/>
    <x v="255"/>
    <x v="3"/>
  </r>
  <r>
    <x v="22"/>
    <x v="4"/>
    <x v="214"/>
    <x v="3"/>
  </r>
  <r>
    <x v="22"/>
    <x v="8"/>
    <x v="167"/>
    <x v="3"/>
  </r>
  <r>
    <x v="22"/>
    <x v="0"/>
    <x v="38"/>
    <x v="3"/>
  </r>
  <r>
    <x v="22"/>
    <x v="10"/>
    <x v="0"/>
    <x v="3"/>
  </r>
  <r>
    <x v="23"/>
    <x v="6"/>
    <x v="307"/>
    <x v="3"/>
  </r>
  <r>
    <x v="23"/>
    <x v="9"/>
    <x v="241"/>
    <x v="3"/>
  </r>
  <r>
    <x v="23"/>
    <x v="4"/>
    <x v="218"/>
    <x v="3"/>
  </r>
  <r>
    <x v="23"/>
    <x v="1"/>
    <x v="121"/>
    <x v="3"/>
  </r>
  <r>
    <x v="23"/>
    <x v="8"/>
    <x v="41"/>
    <x v="3"/>
  </r>
  <r>
    <x v="23"/>
    <x v="10"/>
    <x v="0"/>
    <x v="3"/>
  </r>
  <r>
    <x v="24"/>
    <x v="6"/>
    <x v="337"/>
    <x v="3"/>
  </r>
  <r>
    <x v="24"/>
    <x v="9"/>
    <x v="180"/>
    <x v="3"/>
  </r>
  <r>
    <x v="24"/>
    <x v="4"/>
    <x v="166"/>
    <x v="3"/>
  </r>
  <r>
    <x v="24"/>
    <x v="8"/>
    <x v="116"/>
    <x v="3"/>
  </r>
  <r>
    <x v="24"/>
    <x v="1"/>
    <x v="98"/>
    <x v="3"/>
  </r>
  <r>
    <x v="24"/>
    <x v="10"/>
    <x v="0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3:M19" firstHeaderRow="1" firstDataRow="2" firstDataCol="1"/>
  <pivotFields count="3"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- delta" fld="2" subtotal="count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3:K30" firstHeaderRow="1" firstDataRow="2" firstDataCol="1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howAll="0"/>
    <pivotField compact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Anchors" fld="1" subtotal="count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32:L223" firstHeaderRow="1" firstDataRow="2" firstDataCol="2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2">
    <field x="0"/>
    <field x="1"/>
  </rowFields>
  <rowItems count="190">
    <i>
      <x/>
      <x/>
    </i>
    <i r="1">
      <x v="3"/>
    </i>
    <i r="1">
      <x v="4"/>
    </i>
    <i r="1">
      <x v="6"/>
    </i>
    <i r="1">
      <x v="8"/>
    </i>
    <i r="1">
      <x v="9"/>
    </i>
    <i r="1">
      <x v="10"/>
    </i>
    <i>
      <x v="1"/>
      <x/>
    </i>
    <i r="1">
      <x v="1"/>
    </i>
    <i r="1">
      <x v="3"/>
    </i>
    <i r="1">
      <x v="4"/>
    </i>
    <i r="1">
      <x v="6"/>
    </i>
    <i r="1">
      <x v="8"/>
    </i>
    <i r="1">
      <x v="9"/>
    </i>
    <i r="1">
      <x v="10"/>
    </i>
    <i>
      <x v="2"/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3"/>
      <x v="1"/>
    </i>
    <i r="1">
      <x v="3"/>
    </i>
    <i r="1">
      <x v="4"/>
    </i>
    <i r="1">
      <x v="6"/>
    </i>
    <i r="1">
      <x v="8"/>
    </i>
    <i r="1">
      <x v="9"/>
    </i>
    <i r="1">
      <x v="10"/>
    </i>
    <i>
      <x v="4"/>
      <x/>
    </i>
    <i r="1">
      <x v="1"/>
    </i>
    <i r="1">
      <x v="3"/>
    </i>
    <i r="1">
      <x v="4"/>
    </i>
    <i r="1">
      <x v="6"/>
    </i>
    <i r="1">
      <x v="8"/>
    </i>
    <i r="1">
      <x v="9"/>
    </i>
    <i r="1">
      <x v="10"/>
    </i>
    <i>
      <x v="5"/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0"/>
    </i>
    <i>
      <x v="6"/>
      <x v="1"/>
    </i>
    <i r="1">
      <x v="3"/>
    </i>
    <i r="1">
      <x v="4"/>
    </i>
    <i r="1">
      <x v="6"/>
    </i>
    <i r="1">
      <x v="8"/>
    </i>
    <i r="1">
      <x v="9"/>
    </i>
    <i r="1">
      <x v="10"/>
    </i>
    <i>
      <x v="7"/>
      <x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8"/>
      <x/>
    </i>
    <i r="1">
      <x v="2"/>
    </i>
    <i r="1">
      <x v="3"/>
    </i>
    <i r="1">
      <x v="4"/>
    </i>
    <i r="1">
      <x v="6"/>
    </i>
    <i r="1">
      <x v="8"/>
    </i>
    <i r="1">
      <x v="9"/>
    </i>
    <i r="1">
      <x v="10"/>
    </i>
    <i>
      <x v="9"/>
      <x/>
    </i>
    <i r="1">
      <x v="3"/>
    </i>
    <i r="1">
      <x v="4"/>
    </i>
    <i r="1">
      <x v="6"/>
    </i>
    <i r="1">
      <x v="8"/>
    </i>
    <i r="1">
      <x v="9"/>
    </i>
    <i r="1">
      <x v="10"/>
    </i>
    <i>
      <x v="10"/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11"/>
      <x/>
    </i>
    <i r="1">
      <x v="1"/>
    </i>
    <i r="1">
      <x v="3"/>
    </i>
    <i r="1">
      <x v="4"/>
    </i>
    <i r="1">
      <x v="6"/>
    </i>
    <i r="1">
      <x v="8"/>
    </i>
    <i r="1">
      <x v="9"/>
    </i>
    <i r="1">
      <x v="10"/>
    </i>
    <i>
      <x v="12"/>
      <x/>
    </i>
    <i r="1">
      <x v="2"/>
    </i>
    <i r="1">
      <x v="4"/>
    </i>
    <i r="1">
      <x v="6"/>
    </i>
    <i r="1">
      <x v="8"/>
    </i>
    <i r="1">
      <x v="9"/>
    </i>
    <i r="1">
      <x v="10"/>
    </i>
    <i>
      <x v="13"/>
      <x/>
    </i>
    <i r="1">
      <x v="4"/>
    </i>
    <i r="1">
      <x v="6"/>
    </i>
    <i r="1">
      <x v="8"/>
    </i>
    <i r="1">
      <x v="9"/>
    </i>
    <i r="1">
      <x v="10"/>
    </i>
    <i>
      <x v="14"/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15"/>
      <x v="1"/>
    </i>
    <i r="1">
      <x v="3"/>
    </i>
    <i r="1">
      <x v="4"/>
    </i>
    <i r="1">
      <x v="6"/>
    </i>
    <i r="1">
      <x v="8"/>
    </i>
    <i r="1">
      <x v="9"/>
    </i>
    <i r="1">
      <x v="10"/>
    </i>
    <i>
      <x v="16"/>
      <x/>
    </i>
    <i r="1">
      <x v="1"/>
    </i>
    <i r="1">
      <x v="3"/>
    </i>
    <i r="1">
      <x v="4"/>
    </i>
    <i r="1">
      <x v="6"/>
    </i>
    <i r="1">
      <x v="8"/>
    </i>
    <i r="1">
      <x v="9"/>
    </i>
    <i r="1">
      <x v="10"/>
    </i>
    <i>
      <x v="17"/>
      <x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18"/>
      <x/>
    </i>
    <i r="1">
      <x v="4"/>
    </i>
    <i r="1">
      <x v="5"/>
    </i>
    <i r="1">
      <x v="6"/>
    </i>
    <i r="1">
      <x v="8"/>
    </i>
    <i r="1">
      <x v="9"/>
    </i>
    <i r="1">
      <x v="10"/>
    </i>
    <i>
      <x v="19"/>
      <x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20"/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21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2"/>
      <x/>
    </i>
    <i r="1">
      <x v="1"/>
    </i>
    <i r="1">
      <x v="4"/>
    </i>
    <i r="1">
      <x v="6"/>
    </i>
    <i r="1">
      <x v="8"/>
    </i>
    <i r="1">
      <x v="9"/>
    </i>
    <i r="1">
      <x v="10"/>
    </i>
    <i>
      <x v="23"/>
      <x v="1"/>
    </i>
    <i r="1">
      <x v="3"/>
    </i>
    <i r="1">
      <x v="4"/>
    </i>
    <i r="1">
      <x v="6"/>
    </i>
    <i r="1">
      <x v="8"/>
    </i>
    <i r="1">
      <x v="9"/>
    </i>
    <i r="1">
      <x v="10"/>
    </i>
    <i>
      <x v="24"/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- weights" fld="2" subtotal="sum" numFmtId="166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26:K239" firstHeaderRow="1" firstDataRow="2" firstDataCol="1"/>
  <pivotFields count="4"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weights" fld="2" subtotal="count" numFmtId="166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42:K255" firstHeaderRow="1" firstDataRow="2" firstDataCol="1"/>
  <pivotFields count="4"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- weights" fld="2" subtotal="average" numFmtId="166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6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320:L345" firstHeaderRow="1" firstDataRow="2" firstDataCol="2"/>
  <pivotFields count="4"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24">
    <i>
      <x/>
    </i>
    <i r="1"/>
    <i>
      <x v="1"/>
    </i>
    <i r="1"/>
    <i>
      <x v="2"/>
    </i>
    <i r="1"/>
    <i>
      <x v="3"/>
    </i>
    <i r="1"/>
    <i>
      <x v="4"/>
    </i>
    <i r="1"/>
    <i>
      <x v="5"/>
    </i>
    <i r="1"/>
    <i>
      <x v="6"/>
    </i>
    <i r="1"/>
    <i>
      <x v="7"/>
    </i>
    <i r="1"/>
    <i>
      <x v="8"/>
    </i>
    <i r="1"/>
    <i>
      <x v="9"/>
    </i>
    <i r="1"/>
    <i>
      <x v="10"/>
    </i>
    <i r="1"/>
    <i t="default">
      <x/>
    </i>
    <i t="default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2">
    <dataField name="Count - weights" fld="2" subtotal="count" numFmtId="166"/>
    <dataField name="Average - weights*" fld="2" subtotal="average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357"/>
  <sheetViews>
    <sheetView showFormulas="false" showGridLines="true" showRowColHeaders="true" showZeros="true" rightToLeft="false" tabSelected="false" showOutlineSymbols="true" defaultGridColor="true" view="normal" topLeftCell="A166" colorId="64" zoomScale="125" zoomScaleNormal="125" zoomScalePageLayoutView="100" workbookViewId="0">
      <selection pane="topLeft" activeCell="I212" activeCellId="1" sqref="F22:M41 I212"/>
    </sheetView>
  </sheetViews>
  <sheetFormatPr defaultColWidth="12.8046875" defaultRowHeight="12.8" customHeight="false" zeroHeight="false" outlineLevelRow="0" outlineLevelCol="0"/>
  <cols>
    <col collapsed="false" customWidth="false" hidden="false" outlineLevel="0" max="1" min="1" style="1" width="12.8"/>
    <col collapsed="false" customWidth="true" hidden="false" outlineLevel="0" max="2" min="2" style="1" width="20.87"/>
    <col collapsed="false" customWidth="true" hidden="false" outlineLevel="0" max="3" min="3" style="1" width="21.24"/>
    <col collapsed="false" customWidth="true" hidden="false" outlineLevel="0" max="4" min="4" style="1" width="22.11"/>
    <col collapsed="false" customWidth="true" hidden="false" outlineLevel="0" max="5" min="5" style="1" width="21.86"/>
    <col collapsed="false" customWidth="true" hidden="false" outlineLevel="0" max="6" min="6" style="1" width="16.18"/>
    <col collapsed="false" customWidth="false" hidden="false" outlineLevel="0" max="8" min="7" style="1" width="12.8"/>
    <col collapsed="false" customWidth="true" hidden="false" outlineLevel="0" max="9" min="9" style="1" width="21.37"/>
    <col collapsed="false" customWidth="true" hidden="false" outlineLevel="0" max="10" min="10" style="1" width="18.9"/>
    <col collapsed="false" customWidth="true" hidden="false" outlineLevel="0" max="11" min="11" style="1" width="15.19"/>
    <col collapsed="false" customWidth="false" hidden="false" outlineLevel="0" max="13" min="12" style="1" width="12.8"/>
    <col collapsed="false" customWidth="true" hidden="false" outlineLevel="0" max="14" min="14" style="1" width="22.99"/>
    <col collapsed="false" customWidth="false" hidden="false" outlineLevel="0" max="16384" min="15" style="1" width="12.8"/>
  </cols>
  <sheetData>
    <row r="1" customFormat="false" ht="12.8" hidden="false" customHeight="false" outlineLevel="0" collapsed="false">
      <c r="B1" s="1" t="s">
        <v>0</v>
      </c>
    </row>
    <row r="3" customFormat="false" ht="12.8" hidden="false" customHeight="false" outlineLevel="0" collapsed="false">
      <c r="B3" s="1" t="s">
        <v>1</v>
      </c>
      <c r="C3" s="1" t="s">
        <v>2</v>
      </c>
      <c r="D3" s="1" t="s">
        <v>3</v>
      </c>
      <c r="E3" s="1" t="s">
        <v>4</v>
      </c>
    </row>
    <row r="4" customFormat="false" ht="12.8" hidden="false" customHeight="false" outlineLevel="0" collapsed="false">
      <c r="B4" s="1" t="n">
        <v>0.829083516979224</v>
      </c>
      <c r="C4" s="1" t="n">
        <v>0.834308337570909</v>
      </c>
      <c r="D4" s="2" t="n">
        <v>0.820329791398556</v>
      </c>
      <c r="E4" s="1" t="n">
        <v>0.829521350954824</v>
      </c>
    </row>
    <row r="5" customFormat="false" ht="12.8" hidden="false" customHeight="false" outlineLevel="0" collapsed="false">
      <c r="B5" s="1" t="n">
        <v>0.766444903472076</v>
      </c>
      <c r="C5" s="1" t="n">
        <v>0.78737808939176</v>
      </c>
      <c r="D5" s="2" t="n">
        <v>0.760208954092368</v>
      </c>
      <c r="E5" s="1" t="n">
        <v>0.735193711695633</v>
      </c>
    </row>
    <row r="6" customFormat="false" ht="12.8" hidden="false" customHeight="false" outlineLevel="0" collapsed="false">
      <c r="B6" s="1" t="n">
        <v>0.820814927176212</v>
      </c>
      <c r="C6" s="1" t="n">
        <v>0.823470108869694</v>
      </c>
      <c r="D6" s="2" t="n">
        <v>0.779358920094772</v>
      </c>
      <c r="E6" s="1" t="n">
        <v>0.73805452066822</v>
      </c>
    </row>
    <row r="7" customFormat="false" ht="12.8" hidden="false" customHeight="false" outlineLevel="0" collapsed="false">
      <c r="B7" s="1" t="n">
        <v>0.589340681428011</v>
      </c>
      <c r="C7" s="1" t="n">
        <v>0.641382187119465</v>
      </c>
      <c r="D7" s="2" t="n">
        <v>0.655474168574833</v>
      </c>
      <c r="E7" s="1" t="n">
        <v>0.639461451771152</v>
      </c>
    </row>
    <row r="8" customFormat="false" ht="12.8" hidden="false" customHeight="false" outlineLevel="0" collapsed="false">
      <c r="B8" s="1" t="n">
        <v>0.549939911322228</v>
      </c>
      <c r="C8" s="1" t="n">
        <v>0.648560742045417</v>
      </c>
      <c r="D8" s="2" t="n">
        <v>0.601488270812317</v>
      </c>
      <c r="E8" s="1" t="n">
        <v>0.601148402331265</v>
      </c>
    </row>
    <row r="9" customFormat="false" ht="12.8" hidden="false" customHeight="false" outlineLevel="0" collapsed="false">
      <c r="B9" s="1" t="n">
        <v>0.806301302771949</v>
      </c>
      <c r="C9" s="1" t="n">
        <v>0.737540725804953</v>
      </c>
      <c r="D9" s="2" t="n">
        <v>0.802605111539465</v>
      </c>
      <c r="E9" s="1" t="n">
        <v>0.773499226539065</v>
      </c>
    </row>
    <row r="10" customFormat="false" ht="12.8" hidden="false" customHeight="false" outlineLevel="0" collapsed="false">
      <c r="B10" s="1" t="n">
        <v>0.654420747897195</v>
      </c>
      <c r="C10" s="1" t="n">
        <v>0.634968083396197</v>
      </c>
      <c r="D10" s="2" t="n">
        <v>0.648878416428975</v>
      </c>
      <c r="E10" s="1" t="n">
        <v>0.65742523257328</v>
      </c>
    </row>
    <row r="11" customFormat="false" ht="12.8" hidden="false" customHeight="false" outlineLevel="0" collapsed="false">
      <c r="B11" s="1" t="n">
        <v>0.747457006954611</v>
      </c>
      <c r="C11" s="1" t="n">
        <v>0.746400854814908</v>
      </c>
      <c r="D11" s="2" t="n">
        <v>0.75255045120181</v>
      </c>
      <c r="E11" s="1" t="n">
        <v>0.712613137045905</v>
      </c>
    </row>
    <row r="12" customFormat="false" ht="12.8" hidden="false" customHeight="false" outlineLevel="0" collapsed="false">
      <c r="B12" s="1" t="n">
        <v>0.763154436571465</v>
      </c>
      <c r="C12" s="1" t="n">
        <v>0.688805343346949</v>
      </c>
      <c r="D12" s="2" t="n">
        <v>0.725998440426624</v>
      </c>
      <c r="E12" s="1" t="n">
        <v>0.695082856151577</v>
      </c>
    </row>
    <row r="13" customFormat="false" ht="12.8" hidden="false" customHeight="false" outlineLevel="0" collapsed="false">
      <c r="B13" s="1" t="n">
        <v>0.745298826492448</v>
      </c>
      <c r="C13" s="1" t="n">
        <v>0.743639794674361</v>
      </c>
      <c r="D13" s="2" t="n">
        <v>0.706819355320024</v>
      </c>
      <c r="E13" s="1" t="n">
        <v>0.70158644000236</v>
      </c>
    </row>
    <row r="14" customFormat="false" ht="12.8" hidden="false" customHeight="false" outlineLevel="0" collapsed="false">
      <c r="B14" s="1" t="n">
        <v>0.703599427390625</v>
      </c>
      <c r="C14" s="1" t="n">
        <v>0.7131914659308</v>
      </c>
      <c r="D14" s="2" t="n">
        <v>0.663884135279099</v>
      </c>
      <c r="E14" s="1" t="n">
        <v>0.697028043689582</v>
      </c>
    </row>
    <row r="15" customFormat="false" ht="12.8" hidden="false" customHeight="false" outlineLevel="0" collapsed="false">
      <c r="B15" s="1" t="n">
        <v>0.792291119607581</v>
      </c>
      <c r="C15" s="1" t="n">
        <v>0.767138956921052</v>
      </c>
      <c r="D15" s="2" t="n">
        <v>0.808680515695504</v>
      </c>
      <c r="E15" s="1" t="n">
        <v>0.780558840331467</v>
      </c>
    </row>
    <row r="16" customFormat="false" ht="12.8" hidden="false" customHeight="false" outlineLevel="0" collapsed="false">
      <c r="B16" s="1" t="n">
        <v>0.742748844142451</v>
      </c>
      <c r="C16" s="1" t="n">
        <v>0.725689268577004</v>
      </c>
      <c r="D16" s="2" t="n">
        <v>0.697789785928682</v>
      </c>
      <c r="E16" s="1" t="n">
        <v>0.720814394600414</v>
      </c>
    </row>
    <row r="17" customFormat="false" ht="12.8" hidden="false" customHeight="false" outlineLevel="0" collapsed="false">
      <c r="B17" s="1" t="n">
        <v>0.730739032742495</v>
      </c>
      <c r="C17" s="1" t="n">
        <v>0.68375138396333</v>
      </c>
      <c r="D17" s="2" t="n">
        <v>0.749649894113733</v>
      </c>
      <c r="E17" s="1" t="n">
        <v>0.740298991398541</v>
      </c>
    </row>
    <row r="18" customFormat="false" ht="12.8" hidden="false" customHeight="false" outlineLevel="0" collapsed="false">
      <c r="B18" s="1" t="n">
        <v>0.727501533855859</v>
      </c>
      <c r="C18" s="1" t="n">
        <v>0.778810655140002</v>
      </c>
      <c r="D18" s="2" t="n">
        <v>0.736967328412209</v>
      </c>
      <c r="E18" s="1" t="n">
        <v>0.70744158301379</v>
      </c>
    </row>
    <row r="19" customFormat="false" ht="12.8" hidden="false" customHeight="false" outlineLevel="0" collapsed="false">
      <c r="B19" s="1" t="n">
        <v>0.69212024380659</v>
      </c>
      <c r="C19" s="1" t="n">
        <v>0.720712807955728</v>
      </c>
      <c r="D19" s="2" t="n">
        <v>0.764104736117937</v>
      </c>
      <c r="E19" s="1" t="n">
        <v>0.719125866172455</v>
      </c>
    </row>
    <row r="20" customFormat="false" ht="12.8" hidden="false" customHeight="false" outlineLevel="0" collapsed="false">
      <c r="B20" s="1" t="n">
        <v>0.719549537838803</v>
      </c>
      <c r="C20" s="1" t="n">
        <v>0.772536760552901</v>
      </c>
      <c r="D20" s="2" t="n">
        <v>0.722501085513047</v>
      </c>
      <c r="E20" s="1" t="n">
        <v>0.718889384668267</v>
      </c>
    </row>
    <row r="21" customFormat="false" ht="12.8" hidden="false" customHeight="false" outlineLevel="0" collapsed="false">
      <c r="B21" s="1" t="n">
        <v>0.708540087240829</v>
      </c>
      <c r="C21" s="1" t="n">
        <v>0.705400471101386</v>
      </c>
      <c r="D21" s="2" t="n">
        <v>0.68518214731593</v>
      </c>
      <c r="E21" s="1" t="n">
        <v>0.735022492301164</v>
      </c>
    </row>
    <row r="22" customFormat="false" ht="12.8" hidden="false" customHeight="false" outlineLevel="0" collapsed="false">
      <c r="B22" s="1" t="n">
        <v>0.706775862145744</v>
      </c>
      <c r="C22" s="1" t="n">
        <v>0.654030504893449</v>
      </c>
      <c r="D22" s="2" t="n">
        <v>0.57422986602436</v>
      </c>
      <c r="E22" s="1" t="n">
        <v>0.581700376323851</v>
      </c>
    </row>
    <row r="23" customFormat="false" ht="12.8" hidden="false" customHeight="false" outlineLevel="0" collapsed="false">
      <c r="B23" s="1" t="n">
        <v>0.810552775268533</v>
      </c>
      <c r="C23" s="1" t="n">
        <v>0.819935063298953</v>
      </c>
      <c r="D23" s="2" t="n">
        <v>0.862814658531392</v>
      </c>
      <c r="E23" s="1" t="n">
        <v>0.849425390022398</v>
      </c>
    </row>
    <row r="24" customFormat="false" ht="12.8" hidden="false" customHeight="false" outlineLevel="0" collapsed="false">
      <c r="B24" s="1" t="n">
        <v>0.779651511367528</v>
      </c>
      <c r="C24" s="1" t="n">
        <v>0.775935289730371</v>
      </c>
      <c r="D24" s="2" t="n">
        <v>0.766443599036539</v>
      </c>
      <c r="E24" s="1" t="n">
        <v>0.782107085098168</v>
      </c>
    </row>
    <row r="25" customFormat="false" ht="12.8" hidden="false" customHeight="false" outlineLevel="0" collapsed="false">
      <c r="B25" s="1" t="n">
        <v>0.707012650930307</v>
      </c>
      <c r="C25" s="1" t="n">
        <v>0.689306055979394</v>
      </c>
      <c r="D25" s="2" t="n">
        <v>0.757219448945817</v>
      </c>
      <c r="E25" s="1" t="n">
        <v>0.677931474696056</v>
      </c>
    </row>
    <row r="26" customFormat="false" ht="12.8" hidden="false" customHeight="false" outlineLevel="0" collapsed="false">
      <c r="B26" s="1" t="n">
        <v>0.759411204953021</v>
      </c>
      <c r="C26" s="1" t="n">
        <v>0.757862366672276</v>
      </c>
      <c r="D26" s="2" t="n">
        <v>0.75138094509243</v>
      </c>
      <c r="E26" s="1" t="n">
        <v>0.722134922473597</v>
      </c>
    </row>
    <row r="27" customFormat="false" ht="12.8" hidden="false" customHeight="false" outlineLevel="0" collapsed="false">
      <c r="B27" s="1" t="n">
        <v>0.754622185376853</v>
      </c>
      <c r="C27" s="1" t="n">
        <v>0.706727669319429</v>
      </c>
      <c r="D27" s="2" t="n">
        <v>0.783578798476775</v>
      </c>
      <c r="E27" s="1" t="n">
        <v>0.727810414332614</v>
      </c>
    </row>
    <row r="28" customFormat="false" ht="12.8" hidden="false" customHeight="false" outlineLevel="0" collapsed="false">
      <c r="B28" s="1" t="n">
        <v>0.718662412659959</v>
      </c>
      <c r="C28" s="1" t="n">
        <v>0.70629147268637</v>
      </c>
      <c r="D28" s="2" t="n">
        <v>0.690023913451965</v>
      </c>
      <c r="E28" s="1" t="n">
        <v>0.68313653978705</v>
      </c>
    </row>
    <row r="31" customFormat="false" ht="22.05" hidden="false" customHeight="false" outlineLevel="0" collapsed="false">
      <c r="B31" s="3" t="s">
        <v>5</v>
      </c>
    </row>
    <row r="33" customFormat="false" ht="12.8" hidden="false" customHeight="false" outlineLevel="0" collapsed="false">
      <c r="A33" s="1" t="s">
        <v>6</v>
      </c>
      <c r="B33" s="1" t="s">
        <v>1</v>
      </c>
      <c r="C33" s="1" t="s">
        <v>2</v>
      </c>
      <c r="D33" s="1" t="s">
        <v>7</v>
      </c>
      <c r="E33" s="1" t="s">
        <v>8</v>
      </c>
      <c r="F33" s="1" t="s">
        <v>9</v>
      </c>
      <c r="G33" s="1" t="s">
        <v>10</v>
      </c>
      <c r="I33" s="4" t="s">
        <v>11</v>
      </c>
      <c r="M33" s="1" t="s">
        <v>12</v>
      </c>
      <c r="N33" s="1" t="s">
        <v>7</v>
      </c>
    </row>
    <row r="34" customFormat="false" ht="12.8" hidden="false" customHeight="false" outlineLevel="0" collapsed="false">
      <c r="A34" s="5" t="n">
        <v>1</v>
      </c>
      <c r="B34" s="1" t="n">
        <v>0.829083516979224</v>
      </c>
      <c r="C34" s="1" t="n">
        <v>0.834308337570909</v>
      </c>
      <c r="D34" s="1" t="n">
        <f aca="false">C34-B34</f>
        <v>0.00522482059168505</v>
      </c>
      <c r="E34" s="1" t="n">
        <f aca="false">ABS(D34)</f>
        <v>0.00522482059168505</v>
      </c>
      <c r="F34" s="1" t="n">
        <f aca="false">AVERAGE(D34:D58)</f>
        <v>-0.00249040922542153</v>
      </c>
      <c r="G34" s="1" t="n">
        <f aca="false">_xlfn.STDEV.S(D34:D58)</f>
        <v>0.0400665522742614</v>
      </c>
      <c r="I34" s="1" t="s">
        <v>13</v>
      </c>
      <c r="J34" s="1" t="n">
        <v>0.05</v>
      </c>
      <c r="M34" s="6" t="n">
        <v>5</v>
      </c>
      <c r="N34" s="1" t="n">
        <v>0.0986208307231895</v>
      </c>
    </row>
    <row r="35" customFormat="false" ht="22.05" hidden="false" customHeight="false" outlineLevel="0" collapsed="false">
      <c r="A35" s="5" t="n">
        <v>2</v>
      </c>
      <c r="B35" s="1" t="n">
        <v>0.766444903472076</v>
      </c>
      <c r="C35" s="1" t="n">
        <v>0.78737808939176</v>
      </c>
      <c r="D35" s="1" t="n">
        <f aca="false">C35-B35</f>
        <v>0.0209331859196841</v>
      </c>
      <c r="E35" s="1" t="n">
        <f aca="false">ABS(D35)</f>
        <v>0.0209331859196841</v>
      </c>
      <c r="I35" s="1" t="s">
        <v>14</v>
      </c>
      <c r="J35" s="1" t="n">
        <v>0</v>
      </c>
      <c r="M35" s="6" t="n">
        <v>9</v>
      </c>
      <c r="N35" s="1" t="n">
        <v>0.0743490932245167</v>
      </c>
    </row>
    <row r="36" customFormat="false" ht="12.8" hidden="false" customHeight="false" outlineLevel="0" collapsed="false">
      <c r="A36" s="5" t="n">
        <v>3</v>
      </c>
      <c r="B36" s="1" t="n">
        <v>0.820814927176212</v>
      </c>
      <c r="C36" s="1" t="n">
        <v>0.823470108869694</v>
      </c>
      <c r="D36" s="1" t="n">
        <f aca="false">C36-B36</f>
        <v>0.002655181693482</v>
      </c>
      <c r="E36" s="1" t="n">
        <f aca="false">ABS(D36)</f>
        <v>0.002655181693482</v>
      </c>
      <c r="F36" s="1" t="s">
        <v>15</v>
      </c>
      <c r="J36" s="4" t="s">
        <v>16</v>
      </c>
      <c r="K36" s="4" t="s">
        <v>17</v>
      </c>
      <c r="M36" s="6" t="n">
        <v>6</v>
      </c>
      <c r="N36" s="1" t="n">
        <v>0.068760576966996</v>
      </c>
    </row>
    <row r="37" customFormat="false" ht="12.8" hidden="false" customHeight="false" outlineLevel="0" collapsed="false">
      <c r="A37" s="5" t="n">
        <v>4</v>
      </c>
      <c r="B37" s="1" t="n">
        <v>0.589340681428011</v>
      </c>
      <c r="C37" s="1" t="n">
        <v>0.641382187119465</v>
      </c>
      <c r="D37" s="1" t="n">
        <f aca="false">C37-B37</f>
        <v>0.0520415056914541</v>
      </c>
      <c r="E37" s="1" t="n">
        <f aca="false">ABS(D37)</f>
        <v>0.0520415056914541</v>
      </c>
      <c r="I37" s="1" t="s">
        <v>18</v>
      </c>
      <c r="J37" s="1" t="n">
        <f aca="false">AVERAGE(sims_per_turn!$B$33:$B$58)</f>
        <v>0.733041387615704</v>
      </c>
      <c r="K37" s="1" t="n">
        <f aca="false">AVERAGE(sims_per_turn!$C$33:$C$58)</f>
        <v>0.730550978390282</v>
      </c>
      <c r="M37" s="6" t="n">
        <v>17</v>
      </c>
      <c r="N37" s="1" t="n">
        <v>0.0529872227140977</v>
      </c>
    </row>
    <row r="38" customFormat="false" ht="12.8" hidden="false" customHeight="false" outlineLevel="0" collapsed="false">
      <c r="A38" s="5" t="n">
        <v>5</v>
      </c>
      <c r="B38" s="1" t="n">
        <v>0.549939911322228</v>
      </c>
      <c r="C38" s="1" t="n">
        <v>0.648560742045417</v>
      </c>
      <c r="D38" s="1" t="n">
        <f aca="false">C38-B38</f>
        <v>0.0986208307231891</v>
      </c>
      <c r="E38" s="1" t="n">
        <f aca="false">ABS(D38)</f>
        <v>0.0986208307231891</v>
      </c>
      <c r="I38" s="1" t="s">
        <v>19</v>
      </c>
      <c r="J38" s="1" t="n">
        <f aca="false">VAR(sims_per_turn!$B$33:$B$58)</f>
        <v>0.00428805866426504</v>
      </c>
      <c r="K38" s="1" t="n">
        <f aca="false">VAR(sims_per_turn!$C$33:$C$58)</f>
        <v>0.0032014708633712</v>
      </c>
      <c r="M38" s="6" t="n">
        <v>19</v>
      </c>
      <c r="N38" s="1" t="n">
        <v>0.0527453572522953</v>
      </c>
    </row>
    <row r="39" customFormat="false" ht="12.8" hidden="false" customHeight="false" outlineLevel="0" collapsed="false">
      <c r="A39" s="5" t="n">
        <v>6</v>
      </c>
      <c r="B39" s="1" t="n">
        <v>0.806301302771949</v>
      </c>
      <c r="C39" s="1" t="n">
        <v>0.737540725804953</v>
      </c>
      <c r="D39" s="1" t="n">
        <f aca="false">C39-B39</f>
        <v>-0.068760576966996</v>
      </c>
      <c r="E39" s="1" t="n">
        <f aca="false">ABS(D39)</f>
        <v>0.068760576966996</v>
      </c>
      <c r="I39" s="1" t="s">
        <v>20</v>
      </c>
      <c r="J39" s="1" t="n">
        <f aca="false">COUNT(sims_per_turn!$B$33:$B$58)</f>
        <v>25</v>
      </c>
      <c r="K39" s="1" t="n">
        <f aca="false">COUNT(sims_per_turn!$C$33:$C$58)</f>
        <v>25</v>
      </c>
      <c r="M39" s="6" t="n">
        <v>4</v>
      </c>
      <c r="N39" s="1" t="n">
        <v>0.0520415056914544</v>
      </c>
    </row>
    <row r="40" customFormat="false" ht="12.8" hidden="false" customHeight="false" outlineLevel="0" collapsed="false">
      <c r="A40" s="5" t="n">
        <v>7</v>
      </c>
      <c r="B40" s="1" t="n">
        <v>0.654420747897195</v>
      </c>
      <c r="C40" s="1" t="n">
        <v>0.634968083396197</v>
      </c>
      <c r="D40" s="1" t="n">
        <f aca="false">C40-B40</f>
        <v>-0.0194526645009979</v>
      </c>
      <c r="E40" s="1" t="n">
        <f aca="false">ABS(D40)</f>
        <v>0.0194526645009979</v>
      </c>
      <c r="I40" s="1" t="s">
        <v>21</v>
      </c>
      <c r="J40" s="1" t="n">
        <f aca="false">CORREL(sims_per_turn!$B$33:$B$58,sims_per_turn!$C$33:$C$58)</f>
        <v>0.794058248958425</v>
      </c>
      <c r="M40" s="6" t="n">
        <v>15</v>
      </c>
      <c r="N40" s="1" t="n">
        <v>0.0513091212841427</v>
      </c>
    </row>
    <row r="41" customFormat="false" ht="22.05" hidden="false" customHeight="false" outlineLevel="0" collapsed="false">
      <c r="A41" s="5" t="n">
        <v>8</v>
      </c>
      <c r="B41" s="1" t="n">
        <v>0.747457006954611</v>
      </c>
      <c r="C41" s="1" t="n">
        <v>0.746400854814908</v>
      </c>
      <c r="D41" s="1" t="n">
        <f aca="false">C41-B41</f>
        <v>-0.001056152139703</v>
      </c>
      <c r="E41" s="1" t="n">
        <f aca="false">ABS(D41)</f>
        <v>0.001056152139703</v>
      </c>
      <c r="I41" s="1" t="s">
        <v>22</v>
      </c>
      <c r="J41" s="1" t="n">
        <f aca="false" t="array" ref="J41:J41">AVERAGE(IF(ISODD(IF(ISNUMBER(sims_per_turn!$B$33:$B$58), 1, 0) * IF(ISNUMBER(sims_per_turn!$C$33:$C$58), 1, 0)), sims_per_turn!$B$33:$B$58 - sims_per_turn!$C$33:$C$58, "NA"))</f>
        <v>0.00249040922542153</v>
      </c>
      <c r="M41" s="6" t="n">
        <v>24</v>
      </c>
      <c r="N41" s="1" t="n">
        <v>0.0478945160574238</v>
      </c>
    </row>
    <row r="42" customFormat="false" ht="22.05" hidden="false" customHeight="false" outlineLevel="0" collapsed="false">
      <c r="A42" s="5" t="n">
        <v>9</v>
      </c>
      <c r="B42" s="1" t="n">
        <v>0.763154436571465</v>
      </c>
      <c r="C42" s="1" t="n">
        <v>0.688805343346949</v>
      </c>
      <c r="D42" s="1" t="n">
        <f aca="false">C42-B42</f>
        <v>-0.074349093224516</v>
      </c>
      <c r="E42" s="1" t="n">
        <f aca="false">ABS(D42)</f>
        <v>0.074349093224516</v>
      </c>
      <c r="I42" s="1" t="s">
        <v>23</v>
      </c>
      <c r="J42" s="1" t="n">
        <f aca="false" t="array" ref="J42:J42">VAR(IF(ISODD(IF(ISNUMBER(sims_per_turn!$B$33:$B$58), 1, 0) * IF(ISNUMBER(sims_per_turn!$C$33:$C$58), 1, 0)), sims_per_turn!$B$33:$B$58 - sims_per_turn!$C$33:$C$58, "NA"))</f>
        <v>0.00160532861114612</v>
      </c>
      <c r="M42" s="6" t="n">
        <v>14</v>
      </c>
      <c r="N42" s="1" t="n">
        <v>0.0469876487791652</v>
      </c>
    </row>
    <row r="43" customFormat="false" ht="12.8" hidden="false" customHeight="false" outlineLevel="0" collapsed="false">
      <c r="A43" s="5" t="n">
        <v>10</v>
      </c>
      <c r="B43" s="1" t="n">
        <v>0.745298826492448</v>
      </c>
      <c r="C43" s="1" t="n">
        <v>0.743639794674361</v>
      </c>
      <c r="D43" s="1" t="n">
        <f aca="false">C43-B43</f>
        <v>-0.00165903181808702</v>
      </c>
      <c r="E43" s="1" t="n">
        <f aca="false">ABS(D43)</f>
        <v>0.00165903181808702</v>
      </c>
      <c r="I43" s="1" t="s">
        <v>24</v>
      </c>
      <c r="J43" s="1" t="n">
        <f aca="false" t="array" ref="J43:J43">SUM(IF(ISNUMBER(sims_per_turn!$B$33:$B$58), 1, 0) * IF(ISNUMBER(sims_per_turn!$C$33:$C$58), 1, 0)) - 1</f>
        <v>24</v>
      </c>
      <c r="M43" s="6" t="n">
        <v>16</v>
      </c>
      <c r="N43" s="1" t="n">
        <v>0.0285925641491382</v>
      </c>
    </row>
    <row r="44" customFormat="false" ht="12.8" hidden="false" customHeight="false" outlineLevel="0" collapsed="false">
      <c r="A44" s="5" t="n">
        <v>11</v>
      </c>
      <c r="B44" s="1" t="n">
        <v>0.703599427390625</v>
      </c>
      <c r="C44" s="1" t="n">
        <v>0.7131914659308</v>
      </c>
      <c r="D44" s="1" t="n">
        <f aca="false">C44-B44</f>
        <v>0.00959203854017499</v>
      </c>
      <c r="E44" s="1" t="n">
        <f aca="false">ABS(D44)</f>
        <v>0.00959203854017499</v>
      </c>
      <c r="I44" s="1" t="s">
        <v>25</v>
      </c>
      <c r="J44" s="1" t="n">
        <f aca="false">(sims_per_turn!$J$41 - sims_per_turn!$J$35) / (sims_per_turn!$J$42 / ( sims_per_turn!$J$43 + 1)) ^ 0.5</f>
        <v>0.310784068513597</v>
      </c>
      <c r="M44" s="6" t="n">
        <v>12</v>
      </c>
      <c r="N44" s="1" t="n">
        <v>0.0251521626865288</v>
      </c>
    </row>
    <row r="45" customFormat="false" ht="12.8" hidden="false" customHeight="false" outlineLevel="0" collapsed="false">
      <c r="A45" s="5" t="n">
        <v>12</v>
      </c>
      <c r="B45" s="1" t="n">
        <v>0.792291119607581</v>
      </c>
      <c r="C45" s="1" t="n">
        <v>0.767138956921052</v>
      </c>
      <c r="D45" s="1" t="n">
        <f aca="false">C45-B45</f>
        <v>-0.025152162686529</v>
      </c>
      <c r="E45" s="1" t="n">
        <f aca="false">ABS(D45)</f>
        <v>0.025152162686529</v>
      </c>
      <c r="I45" s="1" t="s">
        <v>26</v>
      </c>
      <c r="J45" s="1" t="n">
        <f aca="false">TDIST(ABS(sims_per_turn!$J$44), sims_per_turn!$J$43, 1)</f>
        <v>0.379323963638714</v>
      </c>
      <c r="M45" s="6" t="n">
        <v>2</v>
      </c>
      <c r="N45" s="1" t="n">
        <v>0.0209331859196844</v>
      </c>
    </row>
    <row r="46" customFormat="false" ht="12.8" hidden="false" customHeight="false" outlineLevel="0" collapsed="false">
      <c r="A46" s="5" t="n">
        <v>13</v>
      </c>
      <c r="B46" s="1" t="n">
        <v>0.742748844142451</v>
      </c>
      <c r="C46" s="1" t="n">
        <v>0.725689268577004</v>
      </c>
      <c r="D46" s="1" t="n">
        <f aca="false">C46-B46</f>
        <v>-0.017059575565447</v>
      </c>
      <c r="E46" s="1" t="n">
        <f aca="false">ABS(D46)</f>
        <v>0.017059575565447</v>
      </c>
      <c r="I46" s="1" t="s">
        <v>27</v>
      </c>
      <c r="J46" s="1" t="n">
        <f aca="false">TINV(2*sims_per_turn!$J$34, sims_per_turn!$J$43)</f>
        <v>1.71088207990943</v>
      </c>
      <c r="M46" s="6" t="n">
        <v>7</v>
      </c>
      <c r="N46" s="1" t="n">
        <v>0.0194526645009983</v>
      </c>
    </row>
    <row r="47" customFormat="false" ht="12.8" hidden="false" customHeight="false" outlineLevel="0" collapsed="false">
      <c r="A47" s="5" t="n">
        <v>14</v>
      </c>
      <c r="B47" s="1" t="n">
        <v>0.730739032742495</v>
      </c>
      <c r="C47" s="1" t="n">
        <v>0.68375138396333</v>
      </c>
      <c r="D47" s="1" t="n">
        <f aca="false">C47-B47</f>
        <v>-0.046987648779165</v>
      </c>
      <c r="E47" s="1" t="n">
        <f aca="false">ABS(D47)</f>
        <v>0.046987648779165</v>
      </c>
      <c r="I47" s="1" t="s">
        <v>28</v>
      </c>
      <c r="J47" s="1" t="n">
        <f aca="false">TDIST(ABS(sims_per_turn!$J$44), sims_per_turn!$J$43, 2)</f>
        <v>0.758647927277428</v>
      </c>
      <c r="M47" s="6" t="n">
        <v>22</v>
      </c>
      <c r="N47" s="1" t="n">
        <v>0.0177065949509129</v>
      </c>
    </row>
    <row r="48" customFormat="false" ht="12.8" hidden="false" customHeight="false" outlineLevel="0" collapsed="false">
      <c r="A48" s="5" t="n">
        <v>15</v>
      </c>
      <c r="B48" s="1" t="n">
        <v>0.727501533855859</v>
      </c>
      <c r="C48" s="1" t="n">
        <v>0.778810655140002</v>
      </c>
      <c r="D48" s="1" t="n">
        <f aca="false">C48-B48</f>
        <v>0.051309121284143</v>
      </c>
      <c r="E48" s="1" t="n">
        <f aca="false">ABS(D48)</f>
        <v>0.051309121284143</v>
      </c>
      <c r="I48" s="1" t="s">
        <v>29</v>
      </c>
      <c r="J48" s="1" t="n">
        <f aca="false">TINV(sims_per_turn!$J$34, sims_per_turn!$J$43)</f>
        <v>2.06389856162803</v>
      </c>
      <c r="M48" s="6" t="n">
        <v>13</v>
      </c>
      <c r="N48" s="1" t="n">
        <v>0.0170595755654465</v>
      </c>
    </row>
    <row r="49" customFormat="false" ht="12.8" hidden="false" customHeight="false" outlineLevel="0" collapsed="false">
      <c r="A49" s="5" t="n">
        <v>16</v>
      </c>
      <c r="B49" s="1" t="n">
        <v>0.69212024380659</v>
      </c>
      <c r="C49" s="1" t="n">
        <v>0.720712807955728</v>
      </c>
      <c r="D49" s="1" t="n">
        <f aca="false">C49-B49</f>
        <v>0.028592564149138</v>
      </c>
      <c r="E49" s="1" t="n">
        <f aca="false">ABS(D49)</f>
        <v>0.028592564149138</v>
      </c>
      <c r="M49" s="6" t="n">
        <v>25</v>
      </c>
      <c r="N49" s="1" t="n">
        <v>0.0123709399735888</v>
      </c>
    </row>
    <row r="50" customFormat="false" ht="12.8" hidden="false" customHeight="false" outlineLevel="0" collapsed="false">
      <c r="A50" s="5" t="n">
        <v>17</v>
      </c>
      <c r="B50" s="1" t="n">
        <v>0.719549537838803</v>
      </c>
      <c r="C50" s="1" t="n">
        <v>0.772536760552901</v>
      </c>
      <c r="D50" s="1" t="n">
        <f aca="false">C50-B50</f>
        <v>0.052987222714098</v>
      </c>
      <c r="E50" s="1" t="n">
        <f aca="false">ABS(D50)</f>
        <v>0.052987222714098</v>
      </c>
      <c r="M50" s="6" t="n">
        <v>11</v>
      </c>
      <c r="N50" s="1" t="n">
        <v>0.00959203854017465</v>
      </c>
    </row>
    <row r="51" customFormat="false" ht="12.8" hidden="false" customHeight="false" outlineLevel="0" collapsed="false">
      <c r="A51" s="5" t="n">
        <v>18</v>
      </c>
      <c r="B51" s="1" t="n">
        <v>0.708540087240829</v>
      </c>
      <c r="C51" s="1" t="n">
        <v>0.705400471101386</v>
      </c>
      <c r="D51" s="1" t="n">
        <f aca="false">C51-B51</f>
        <v>-0.00313961613944291</v>
      </c>
      <c r="E51" s="1" t="n">
        <f aca="false">ABS(D51)</f>
        <v>0.00313961613944291</v>
      </c>
      <c r="M51" s="6" t="n">
        <v>20</v>
      </c>
      <c r="N51" s="1" t="n">
        <v>0.00938228803042007</v>
      </c>
    </row>
    <row r="52" customFormat="false" ht="12.8" hidden="false" customHeight="false" outlineLevel="0" collapsed="false">
      <c r="A52" s="5" t="n">
        <v>19</v>
      </c>
      <c r="B52" s="1" t="n">
        <v>0.706775862145744</v>
      </c>
      <c r="C52" s="1" t="n">
        <v>0.654030504893449</v>
      </c>
      <c r="D52" s="1" t="n">
        <f aca="false">C52-B52</f>
        <v>-0.0527453572522949</v>
      </c>
      <c r="E52" s="1" t="n">
        <f aca="false">ABS(D52)</f>
        <v>0.0527453572522949</v>
      </c>
      <c r="M52" s="6" t="n">
        <v>1</v>
      </c>
      <c r="N52" s="1" t="n">
        <v>0.0052248205916855</v>
      </c>
    </row>
    <row r="53" customFormat="false" ht="12.8" hidden="false" customHeight="false" outlineLevel="0" collapsed="false">
      <c r="A53" s="5" t="n">
        <v>20</v>
      </c>
      <c r="B53" s="1" t="n">
        <v>0.810552775268533</v>
      </c>
      <c r="C53" s="1" t="n">
        <v>0.819935063298953</v>
      </c>
      <c r="D53" s="1" t="n">
        <f aca="false">C53-B53</f>
        <v>0.00938228803042007</v>
      </c>
      <c r="E53" s="1" t="n">
        <f aca="false">ABS(D53)</f>
        <v>0.00938228803042007</v>
      </c>
      <c r="M53" s="6" t="n">
        <v>21</v>
      </c>
      <c r="N53" s="1" t="n">
        <v>0.0037162216371569</v>
      </c>
    </row>
    <row r="54" customFormat="false" ht="12.8" hidden="false" customHeight="false" outlineLevel="0" collapsed="false">
      <c r="A54" s="5" t="n">
        <v>21</v>
      </c>
      <c r="B54" s="1" t="n">
        <v>0.779651511367528</v>
      </c>
      <c r="C54" s="1" t="n">
        <v>0.775935289730371</v>
      </c>
      <c r="D54" s="1" t="n">
        <f aca="false">C54-B54</f>
        <v>-0.00371622163715701</v>
      </c>
      <c r="E54" s="1" t="n">
        <f aca="false">ABS(D54)</f>
        <v>0.00371622163715701</v>
      </c>
      <c r="M54" s="6" t="n">
        <v>18</v>
      </c>
      <c r="N54" s="1" t="n">
        <v>0.00313961613944358</v>
      </c>
    </row>
    <row r="55" customFormat="false" ht="12.8" hidden="false" customHeight="false" outlineLevel="0" collapsed="false">
      <c r="A55" s="5" t="n">
        <v>22</v>
      </c>
      <c r="B55" s="1" t="n">
        <v>0.707012650930307</v>
      </c>
      <c r="C55" s="1" t="n">
        <v>0.689306055979394</v>
      </c>
      <c r="D55" s="1" t="n">
        <f aca="false">C55-B55</f>
        <v>-0.017706594950913</v>
      </c>
      <c r="E55" s="1" t="n">
        <f aca="false">ABS(D55)</f>
        <v>0.017706594950913</v>
      </c>
      <c r="M55" s="6" t="n">
        <v>3</v>
      </c>
      <c r="N55" s="1" t="n">
        <v>0.00265518169348111</v>
      </c>
    </row>
    <row r="56" customFormat="false" ht="12.8" hidden="false" customHeight="false" outlineLevel="0" collapsed="false">
      <c r="A56" s="5" t="n">
        <v>23</v>
      </c>
      <c r="B56" s="1" t="n">
        <v>0.759411204953021</v>
      </c>
      <c r="C56" s="1" t="n">
        <v>0.757862366672276</v>
      </c>
      <c r="D56" s="1" t="n">
        <f aca="false">C56-B56</f>
        <v>-0.00154883828074492</v>
      </c>
      <c r="E56" s="1" t="n">
        <f aca="false">ABS(D56)</f>
        <v>0.00154883828074492</v>
      </c>
      <c r="M56" s="6" t="n">
        <v>10</v>
      </c>
      <c r="N56" s="1" t="n">
        <v>0.00165903181808735</v>
      </c>
    </row>
    <row r="57" customFormat="false" ht="12.8" hidden="false" customHeight="false" outlineLevel="0" collapsed="false">
      <c r="A57" s="5" t="n">
        <v>24</v>
      </c>
      <c r="B57" s="1" t="n">
        <v>0.754622185376853</v>
      </c>
      <c r="C57" s="1" t="n">
        <v>0.706727669319429</v>
      </c>
      <c r="D57" s="1" t="n">
        <f aca="false">C57-B57</f>
        <v>-0.047894516057424</v>
      </c>
      <c r="E57" s="1" t="n">
        <f aca="false">ABS(D57)</f>
        <v>0.047894516057424</v>
      </c>
      <c r="M57" s="6" t="n">
        <v>23</v>
      </c>
      <c r="N57" s="1" t="n">
        <v>0.00154883828074592</v>
      </c>
    </row>
    <row r="58" customFormat="false" ht="12.8" hidden="false" customHeight="false" outlineLevel="0" collapsed="false">
      <c r="A58" s="5" t="n">
        <v>25</v>
      </c>
      <c r="B58" s="1" t="n">
        <v>0.718662412659959</v>
      </c>
      <c r="C58" s="1" t="n">
        <v>0.70629147268637</v>
      </c>
      <c r="D58" s="1" t="n">
        <f aca="false">C58-B58</f>
        <v>-0.012370939973589</v>
      </c>
      <c r="E58" s="1" t="n">
        <f aca="false">ABS(D58)</f>
        <v>0.012370939973589</v>
      </c>
      <c r="M58" s="6" t="n">
        <v>8</v>
      </c>
      <c r="N58" s="1" t="n">
        <v>0.00105615213970323</v>
      </c>
    </row>
    <row r="62" customFormat="false" ht="12.8" hidden="false" customHeight="false" outlineLevel="0" collapsed="false">
      <c r="A62" s="1" t="s">
        <v>6</v>
      </c>
      <c r="B62" s="1" t="s">
        <v>3</v>
      </c>
      <c r="C62" s="1" t="s">
        <v>4</v>
      </c>
      <c r="D62" s="1" t="s">
        <v>30</v>
      </c>
      <c r="E62" s="1" t="s">
        <v>8</v>
      </c>
      <c r="F62" s="1" t="s">
        <v>9</v>
      </c>
      <c r="G62" s="1" t="s">
        <v>10</v>
      </c>
      <c r="I62" s="4" t="s">
        <v>11</v>
      </c>
      <c r="M62" s="1" t="s">
        <v>6</v>
      </c>
      <c r="N62" s="1" t="s">
        <v>30</v>
      </c>
    </row>
    <row r="63" customFormat="false" ht="12.8" hidden="false" customHeight="false" outlineLevel="0" collapsed="false">
      <c r="A63" s="5" t="n">
        <v>1</v>
      </c>
      <c r="B63" s="2" t="n">
        <v>0.820329791398556</v>
      </c>
      <c r="C63" s="1" t="n">
        <v>0.829521350954824</v>
      </c>
      <c r="D63" s="1" t="n">
        <f aca="false">C63-B63</f>
        <v>0.00919155955626805</v>
      </c>
      <c r="E63" s="1" t="n">
        <f aca="false">ABS(D63)</f>
        <v>0.00919155955626805</v>
      </c>
      <c r="F63" s="1" t="n">
        <f aca="false">AVERAGE(D63:D87)</f>
        <v>-0.0136460243672987</v>
      </c>
      <c r="G63" s="1" t="n">
        <f aca="false">_xlfn.STDEV.S(D63:D87)</f>
        <v>0.0290076133583462</v>
      </c>
      <c r="I63" s="1" t="s">
        <v>13</v>
      </c>
      <c r="J63" s="1" t="n">
        <v>0.05</v>
      </c>
      <c r="M63" s="5" t="n">
        <v>22</v>
      </c>
      <c r="N63" s="1" t="n">
        <v>0.0792879742497615</v>
      </c>
    </row>
    <row r="64" customFormat="false" ht="22.35" hidden="false" customHeight="false" outlineLevel="0" collapsed="false">
      <c r="A64" s="5" t="n">
        <v>2</v>
      </c>
      <c r="B64" s="2" t="n">
        <v>0.760208954092368</v>
      </c>
      <c r="C64" s="1" t="n">
        <v>0.735193711695633</v>
      </c>
      <c r="D64" s="1" t="n">
        <f aca="false">C64-B64</f>
        <v>-0.025015242396735</v>
      </c>
      <c r="E64" s="1" t="n">
        <f aca="false">ABS(D64)</f>
        <v>0.025015242396735</v>
      </c>
      <c r="I64" s="1" t="s">
        <v>14</v>
      </c>
      <c r="J64" s="1" t="n">
        <v>0</v>
      </c>
      <c r="M64" s="5" t="n">
        <v>24</v>
      </c>
      <c r="N64" s="1" t="n">
        <v>0.0557683841441609</v>
      </c>
    </row>
    <row r="65" customFormat="false" ht="12.8" hidden="false" customHeight="false" outlineLevel="0" collapsed="false">
      <c r="A65" s="5" t="n">
        <v>3</v>
      </c>
      <c r="B65" s="2" t="n">
        <v>0.779358920094772</v>
      </c>
      <c r="C65" s="1" t="n">
        <v>0.73805452066822</v>
      </c>
      <c r="D65" s="1" t="n">
        <f aca="false">C65-B65</f>
        <v>-0.0413043994265521</v>
      </c>
      <c r="E65" s="1" t="n">
        <f aca="false">ABS(D65)</f>
        <v>0.0413043994265521</v>
      </c>
      <c r="J65" s="4" t="s">
        <v>16</v>
      </c>
      <c r="K65" s="4" t="s">
        <v>17</v>
      </c>
      <c r="M65" s="5" t="n">
        <v>18</v>
      </c>
      <c r="N65" s="1" t="n">
        <v>0.0498403449852339</v>
      </c>
    </row>
    <row r="66" customFormat="false" ht="12.8" hidden="false" customHeight="false" outlineLevel="0" collapsed="false">
      <c r="A66" s="5" t="n">
        <v>4</v>
      </c>
      <c r="B66" s="2" t="n">
        <v>0.655474168574833</v>
      </c>
      <c r="C66" s="1" t="n">
        <v>0.639461451771152</v>
      </c>
      <c r="D66" s="1" t="n">
        <f aca="false">C66-B66</f>
        <v>-0.016012716803681</v>
      </c>
      <c r="E66" s="1" t="n">
        <f aca="false">ABS(D66)</f>
        <v>0.016012716803681</v>
      </c>
      <c r="I66" s="1" t="s">
        <v>18</v>
      </c>
      <c r="J66" s="1" t="n">
        <f aca="false">AVERAGE(sims_per_turn!$B$62:$B$87)</f>
        <v>0.730726509513007</v>
      </c>
      <c r="K66" s="1" t="n">
        <f aca="false">AVERAGE(sims_per_turn!$C$62:$C$87)</f>
        <v>0.717080485145708</v>
      </c>
      <c r="M66" s="5" t="n">
        <v>16</v>
      </c>
      <c r="N66" s="1" t="n">
        <v>0.0449788699454815</v>
      </c>
    </row>
    <row r="67" customFormat="false" ht="12.8" hidden="false" customHeight="false" outlineLevel="0" collapsed="false">
      <c r="A67" s="5" t="n">
        <v>5</v>
      </c>
      <c r="B67" s="2" t="n">
        <v>0.601488270812317</v>
      </c>
      <c r="C67" s="1" t="n">
        <v>0.601148402331265</v>
      </c>
      <c r="D67" s="1" t="n">
        <f aca="false">C67-B67</f>
        <v>-0.000339868481052053</v>
      </c>
      <c r="E67" s="1" t="n">
        <f aca="false">ABS(D67)</f>
        <v>0.000339868481052053</v>
      </c>
      <c r="I67" s="1" t="s">
        <v>19</v>
      </c>
      <c r="J67" s="1" t="n">
        <f aca="false">VAR(sims_per_turn!$B$62:$B$87)</f>
        <v>0.00460998896090856</v>
      </c>
      <c r="K67" s="1" t="n">
        <f aca="false">VAR(sims_per_turn!$C$62:$C$87)</f>
        <v>0.00369439566243724</v>
      </c>
      <c r="M67" s="5" t="n">
        <v>3</v>
      </c>
      <c r="N67" s="1" t="n">
        <v>0.0413043994265518</v>
      </c>
    </row>
    <row r="68" customFormat="false" ht="12.8" hidden="false" customHeight="false" outlineLevel="0" collapsed="false">
      <c r="A68" s="5" t="n">
        <v>6</v>
      </c>
      <c r="B68" s="2" t="n">
        <v>0.802605111539465</v>
      </c>
      <c r="C68" s="1" t="n">
        <v>0.773499226539065</v>
      </c>
      <c r="D68" s="1" t="n">
        <f aca="false">C68-B68</f>
        <v>-0.0291058850004</v>
      </c>
      <c r="E68" s="1" t="n">
        <f aca="false">ABS(D68)</f>
        <v>0.0291058850004</v>
      </c>
      <c r="I68" s="1" t="s">
        <v>20</v>
      </c>
      <c r="J68" s="1" t="n">
        <f aca="false">COUNT(sims_per_turn!$B$62:$B$87)</f>
        <v>25</v>
      </c>
      <c r="K68" s="1" t="n">
        <f aca="false">COUNT(sims_per_turn!$C$62:$C$87)</f>
        <v>25</v>
      </c>
      <c r="M68" s="5" t="n">
        <v>8</v>
      </c>
      <c r="N68" s="1" t="n">
        <v>0.0399373141559046</v>
      </c>
    </row>
    <row r="69" customFormat="false" ht="12.8" hidden="false" customHeight="false" outlineLevel="0" collapsed="false">
      <c r="A69" s="5" t="n">
        <v>7</v>
      </c>
      <c r="B69" s="2" t="n">
        <v>0.648878416428975</v>
      </c>
      <c r="C69" s="1" t="n">
        <v>0.65742523257328</v>
      </c>
      <c r="D69" s="1" t="n">
        <f aca="false">C69-B69</f>
        <v>0.00854681614430497</v>
      </c>
      <c r="E69" s="1" t="n">
        <f aca="false">ABS(D69)</f>
        <v>0.00854681614430497</v>
      </c>
      <c r="I69" s="1" t="s">
        <v>21</v>
      </c>
      <c r="J69" s="1" t="n">
        <f aca="false">CORREL(sims_per_turn!$B$62:$B$87,sims_per_turn!$C$62:$C$87)</f>
        <v>0.904187466767489</v>
      </c>
      <c r="M69" s="5" t="n">
        <v>11</v>
      </c>
      <c r="N69" s="1" t="n">
        <v>0.0331439084104828</v>
      </c>
    </row>
    <row r="70" customFormat="false" ht="22.35" hidden="false" customHeight="false" outlineLevel="0" collapsed="false">
      <c r="A70" s="5" t="n">
        <v>8</v>
      </c>
      <c r="B70" s="2" t="n">
        <v>0.75255045120181</v>
      </c>
      <c r="C70" s="1" t="n">
        <v>0.712613137045905</v>
      </c>
      <c r="D70" s="1" t="n">
        <f aca="false">C70-B70</f>
        <v>-0.039937314155905</v>
      </c>
      <c r="E70" s="1" t="n">
        <f aca="false">ABS(D70)</f>
        <v>0.039937314155905</v>
      </c>
      <c r="I70" s="1" t="s">
        <v>22</v>
      </c>
      <c r="J70" s="1" t="n">
        <f aca="false" t="array" ref="J70:J70">AVERAGE(IF(ISODD(IF(ISNUMBER(sims_per_turn!$B$62:$B$87), 1, 0) * IF(ISNUMBER(sims_per_turn!$C$62:$C$87), 1, 0)), sims_per_turn!$B$62:$B$87 - sims_per_turn!$C$62:$C$87, "NA"))</f>
        <v>0.0136460243672987</v>
      </c>
      <c r="M70" s="5" t="n">
        <v>9</v>
      </c>
      <c r="N70" s="1" t="n">
        <v>0.0309155842750471</v>
      </c>
    </row>
    <row r="71" customFormat="false" ht="22.35" hidden="false" customHeight="false" outlineLevel="0" collapsed="false">
      <c r="A71" s="5" t="n">
        <v>9</v>
      </c>
      <c r="B71" s="2" t="n">
        <v>0.725998440426624</v>
      </c>
      <c r="C71" s="1" t="n">
        <v>0.695082856151577</v>
      </c>
      <c r="D71" s="1" t="n">
        <f aca="false">C71-B71</f>
        <v>-0.0309155842750469</v>
      </c>
      <c r="E71" s="1" t="n">
        <f aca="false">ABS(D71)</f>
        <v>0.0309155842750469</v>
      </c>
      <c r="I71" s="1" t="s">
        <v>23</v>
      </c>
      <c r="J71" s="1" t="n">
        <f aca="false" t="array" ref="J71:J71">VAR(IF(ISODD(IF(ISNUMBER(sims_per_turn!$B$62:$B$87), 1, 0) * IF(ISNUMBER(sims_per_turn!$C$62:$C$87), 1, 0)), sims_per_turn!$B$62:$B$87 - sims_per_turn!$C$62:$C$87, "NA"))</f>
        <v>0.000841441632747303</v>
      </c>
      <c r="M71" s="5" t="n">
        <v>15</v>
      </c>
      <c r="N71" s="1" t="n">
        <v>0.0295257453984187</v>
      </c>
    </row>
    <row r="72" customFormat="false" ht="12.8" hidden="false" customHeight="false" outlineLevel="0" collapsed="false">
      <c r="A72" s="5" t="n">
        <v>10</v>
      </c>
      <c r="B72" s="2" t="n">
        <v>0.706819355320024</v>
      </c>
      <c r="C72" s="1" t="n">
        <v>0.70158644000236</v>
      </c>
      <c r="D72" s="1" t="n">
        <f aca="false">C72-B72</f>
        <v>-0.00523291531766401</v>
      </c>
      <c r="E72" s="1" t="n">
        <f aca="false">ABS(D72)</f>
        <v>0.00523291531766401</v>
      </c>
      <c r="I72" s="1" t="s">
        <v>24</v>
      </c>
      <c r="J72" s="1" t="n">
        <f aca="false" t="array" ref="J72:J72">SUM(IF(ISNUMBER(sims_per_turn!$B$62:$B$87), 1, 0) * IF(ISNUMBER(sims_per_turn!$C$62:$C$87), 1, 0)) - 1</f>
        <v>24</v>
      </c>
      <c r="M72" s="5" t="n">
        <v>23</v>
      </c>
      <c r="N72" s="1" t="n">
        <v>0.0292460226188328</v>
      </c>
    </row>
    <row r="73" customFormat="false" ht="12.8" hidden="false" customHeight="false" outlineLevel="0" collapsed="false">
      <c r="A73" s="5" t="n">
        <v>11</v>
      </c>
      <c r="B73" s="2" t="n">
        <v>0.663884135279099</v>
      </c>
      <c r="C73" s="1" t="n">
        <v>0.697028043689582</v>
      </c>
      <c r="D73" s="1" t="n">
        <f aca="false">C73-B73</f>
        <v>0.0331439084104831</v>
      </c>
      <c r="E73" s="1" t="n">
        <f aca="false">ABS(D73)</f>
        <v>0.0331439084104831</v>
      </c>
      <c r="I73" s="1" t="s">
        <v>25</v>
      </c>
      <c r="J73" s="1" t="n">
        <f aca="false">(sims_per_turn!$J$70 - sims_per_turn!$J$64) / (sims_per_turn!$J$71 / ( sims_per_turn!$J$72 + 1)) ^ 0.5</f>
        <v>2.35214531418395</v>
      </c>
      <c r="M73" s="5" t="n">
        <v>6</v>
      </c>
      <c r="N73" s="1" t="n">
        <v>0.0291058850003999</v>
      </c>
    </row>
    <row r="74" customFormat="false" ht="12.8" hidden="false" customHeight="false" outlineLevel="0" collapsed="false">
      <c r="A74" s="5" t="n">
        <v>12</v>
      </c>
      <c r="B74" s="2" t="n">
        <v>0.808680515695504</v>
      </c>
      <c r="C74" s="1" t="n">
        <v>0.780558840331467</v>
      </c>
      <c r="D74" s="1" t="n">
        <f aca="false">C74-B74</f>
        <v>-0.028121675364037</v>
      </c>
      <c r="E74" s="1" t="n">
        <f aca="false">ABS(D74)</f>
        <v>0.028121675364037</v>
      </c>
      <c r="I74" s="1" t="s">
        <v>26</v>
      </c>
      <c r="J74" s="1" t="n">
        <f aca="false">TDIST(ABS(sims_per_turn!$J$73), sims_per_turn!$J$72, 1)</f>
        <v>0.0136025791023719</v>
      </c>
      <c r="M74" s="5" t="n">
        <v>12</v>
      </c>
      <c r="N74" s="1" t="n">
        <v>0.0281216753640373</v>
      </c>
    </row>
    <row r="75" customFormat="false" ht="12.8" hidden="false" customHeight="false" outlineLevel="0" collapsed="false">
      <c r="A75" s="5" t="n">
        <v>13</v>
      </c>
      <c r="B75" s="2" t="n">
        <v>0.697789785928682</v>
      </c>
      <c r="C75" s="1" t="n">
        <v>0.720814394600414</v>
      </c>
      <c r="D75" s="1" t="n">
        <f aca="false">C75-B75</f>
        <v>0.023024608671732</v>
      </c>
      <c r="E75" s="1" t="n">
        <f aca="false">ABS(D75)</f>
        <v>0.023024608671732</v>
      </c>
      <c r="I75" s="1" t="s">
        <v>27</v>
      </c>
      <c r="J75" s="1" t="n">
        <f aca="false">TINV(2*sims_per_turn!$J$63, sims_per_turn!$J$72)</f>
        <v>1.71088207990943</v>
      </c>
      <c r="M75" s="5" t="n">
        <v>2</v>
      </c>
      <c r="N75" s="1" t="n">
        <v>0.0250152423967354</v>
      </c>
    </row>
    <row r="76" customFormat="false" ht="12.8" hidden="false" customHeight="false" outlineLevel="0" collapsed="false">
      <c r="A76" s="5" t="n">
        <v>14</v>
      </c>
      <c r="B76" s="2" t="n">
        <v>0.749649894113733</v>
      </c>
      <c r="C76" s="1" t="n">
        <v>0.740298991398541</v>
      </c>
      <c r="D76" s="1" t="n">
        <f aca="false">C76-B76</f>
        <v>-0.0093509027151919</v>
      </c>
      <c r="E76" s="1" t="n">
        <f aca="false">ABS(D76)</f>
        <v>0.0093509027151919</v>
      </c>
      <c r="I76" s="1" t="s">
        <v>28</v>
      </c>
      <c r="J76" s="1" t="n">
        <f aca="false">TDIST(ABS(sims_per_turn!$J$73), sims_per_turn!$J$72, 2)</f>
        <v>0.0272051582047437</v>
      </c>
      <c r="M76" s="5" t="n">
        <v>13</v>
      </c>
      <c r="N76" s="1" t="n">
        <v>0.0230246086717317</v>
      </c>
    </row>
    <row r="77" customFormat="false" ht="12.8" hidden="false" customHeight="false" outlineLevel="0" collapsed="false">
      <c r="A77" s="5" t="n">
        <v>15</v>
      </c>
      <c r="B77" s="2" t="n">
        <v>0.736967328412209</v>
      </c>
      <c r="C77" s="1" t="n">
        <v>0.70744158301379</v>
      </c>
      <c r="D77" s="1" t="n">
        <f aca="false">C77-B77</f>
        <v>-0.029525745398419</v>
      </c>
      <c r="E77" s="1" t="n">
        <f aca="false">ABS(D77)</f>
        <v>0.029525745398419</v>
      </c>
      <c r="I77" s="1" t="s">
        <v>29</v>
      </c>
      <c r="J77" s="1" t="n">
        <f aca="false">TINV(sims_per_turn!$J$63, sims_per_turn!$J$72)</f>
        <v>2.06389856162803</v>
      </c>
      <c r="M77" s="5" t="n">
        <v>4</v>
      </c>
      <c r="N77" s="1" t="n">
        <v>0.0160127168036814</v>
      </c>
    </row>
    <row r="78" customFormat="false" ht="12.8" hidden="false" customHeight="false" outlineLevel="0" collapsed="false">
      <c r="A78" s="5" t="n">
        <v>16</v>
      </c>
      <c r="B78" s="2" t="n">
        <v>0.764104736117937</v>
      </c>
      <c r="C78" s="1" t="n">
        <v>0.719125866172455</v>
      </c>
      <c r="D78" s="1" t="n">
        <f aca="false">C78-B78</f>
        <v>-0.044978869945482</v>
      </c>
      <c r="E78" s="1" t="n">
        <f aca="false">ABS(D78)</f>
        <v>0.044978869945482</v>
      </c>
      <c r="M78" s="5" t="n">
        <v>21</v>
      </c>
      <c r="N78" s="1" t="n">
        <v>0.0156634860616294</v>
      </c>
    </row>
    <row r="79" customFormat="false" ht="12.8" hidden="false" customHeight="false" outlineLevel="0" collapsed="false">
      <c r="A79" s="5" t="n">
        <v>17</v>
      </c>
      <c r="B79" s="2" t="n">
        <v>0.722501085513047</v>
      </c>
      <c r="C79" s="1" t="n">
        <v>0.718889384668267</v>
      </c>
      <c r="D79" s="1" t="n">
        <f aca="false">C79-B79</f>
        <v>-0.00361170084478002</v>
      </c>
      <c r="E79" s="1" t="n">
        <f aca="false">ABS(D79)</f>
        <v>0.00361170084478002</v>
      </c>
      <c r="M79" s="5" t="n">
        <v>20</v>
      </c>
      <c r="N79" s="1" t="n">
        <v>0.0133892685089942</v>
      </c>
    </row>
    <row r="80" customFormat="false" ht="12.8" hidden="false" customHeight="false" outlineLevel="0" collapsed="false">
      <c r="A80" s="5" t="n">
        <v>18</v>
      </c>
      <c r="B80" s="2" t="n">
        <v>0.68518214731593</v>
      </c>
      <c r="C80" s="1" t="n">
        <v>0.735022492301164</v>
      </c>
      <c r="D80" s="1" t="n">
        <f aca="false">C80-B80</f>
        <v>0.049840344985234</v>
      </c>
      <c r="E80" s="1" t="n">
        <f aca="false">ABS(D80)</f>
        <v>0.049840344985234</v>
      </c>
      <c r="M80" s="5" t="n">
        <v>14</v>
      </c>
      <c r="N80" s="1" t="n">
        <v>0.00935090271519234</v>
      </c>
    </row>
    <row r="81" customFormat="false" ht="12.8" hidden="false" customHeight="false" outlineLevel="0" collapsed="false">
      <c r="A81" s="5" t="n">
        <v>19</v>
      </c>
      <c r="B81" s="2" t="n">
        <v>0.57422986602436</v>
      </c>
      <c r="C81" s="1" t="n">
        <v>0.581700376323851</v>
      </c>
      <c r="D81" s="1" t="n">
        <f aca="false">C81-B81</f>
        <v>0.00747051029949097</v>
      </c>
      <c r="E81" s="1" t="n">
        <f aca="false">ABS(D81)</f>
        <v>0.00747051029949097</v>
      </c>
      <c r="M81" s="5" t="n">
        <v>1</v>
      </c>
      <c r="N81" s="1" t="n">
        <v>0.00919155955626827</v>
      </c>
    </row>
    <row r="82" customFormat="false" ht="12.8" hidden="false" customHeight="false" outlineLevel="0" collapsed="false">
      <c r="A82" s="5" t="n">
        <v>20</v>
      </c>
      <c r="B82" s="2" t="n">
        <v>0.862814658531392</v>
      </c>
      <c r="C82" s="1" t="n">
        <v>0.849425390022398</v>
      </c>
      <c r="D82" s="1" t="n">
        <f aca="false">C82-B82</f>
        <v>-0.013389268508994</v>
      </c>
      <c r="E82" s="1" t="n">
        <f aca="false">ABS(D82)</f>
        <v>0.013389268508994</v>
      </c>
      <c r="M82" s="5" t="n">
        <v>7</v>
      </c>
      <c r="N82" s="1" t="n">
        <v>0.00854681614430508</v>
      </c>
    </row>
    <row r="83" customFormat="false" ht="12.8" hidden="false" customHeight="false" outlineLevel="0" collapsed="false">
      <c r="A83" s="5" t="n">
        <v>21</v>
      </c>
      <c r="B83" s="2" t="n">
        <v>0.766443599036539</v>
      </c>
      <c r="C83" s="1" t="n">
        <v>0.782107085098168</v>
      </c>
      <c r="D83" s="1" t="n">
        <f aca="false">C83-B83</f>
        <v>0.0156634860616289</v>
      </c>
      <c r="E83" s="1" t="n">
        <f aca="false">ABS(D83)</f>
        <v>0.0156634860616289</v>
      </c>
      <c r="M83" s="5" t="n">
        <v>19</v>
      </c>
      <c r="N83" s="1" t="n">
        <v>0.00747051029949097</v>
      </c>
    </row>
    <row r="84" customFormat="false" ht="12.8" hidden="false" customHeight="false" outlineLevel="0" collapsed="false">
      <c r="A84" s="5" t="n">
        <v>22</v>
      </c>
      <c r="B84" s="2" t="n">
        <v>0.757219448945817</v>
      </c>
      <c r="C84" s="1" t="n">
        <v>0.677931474696056</v>
      </c>
      <c r="D84" s="1" t="n">
        <f aca="false">C84-B84</f>
        <v>-0.0792879742497611</v>
      </c>
      <c r="E84" s="1" t="n">
        <f aca="false">ABS(D84)</f>
        <v>0.0792879742497611</v>
      </c>
      <c r="M84" s="5" t="n">
        <v>25</v>
      </c>
      <c r="N84" s="1" t="n">
        <v>0.00688737366491488</v>
      </c>
    </row>
    <row r="85" customFormat="false" ht="12.8" hidden="false" customHeight="false" outlineLevel="0" collapsed="false">
      <c r="A85" s="5" t="n">
        <v>23</v>
      </c>
      <c r="B85" s="2" t="n">
        <v>0.75138094509243</v>
      </c>
      <c r="C85" s="1" t="n">
        <v>0.722134922473597</v>
      </c>
      <c r="D85" s="1" t="n">
        <f aca="false">C85-B85</f>
        <v>-0.029246022618833</v>
      </c>
      <c r="E85" s="1" t="n">
        <f aca="false">ABS(D85)</f>
        <v>0.029246022618833</v>
      </c>
      <c r="M85" s="5" t="n">
        <v>10</v>
      </c>
      <c r="N85" s="1" t="n">
        <v>0.00523291531766412</v>
      </c>
    </row>
    <row r="86" customFormat="false" ht="12.8" hidden="false" customHeight="false" outlineLevel="0" collapsed="false">
      <c r="A86" s="5" t="n">
        <v>24</v>
      </c>
      <c r="B86" s="2" t="n">
        <v>0.783578798476775</v>
      </c>
      <c r="C86" s="1" t="n">
        <v>0.727810414332614</v>
      </c>
      <c r="D86" s="1" t="n">
        <f aca="false">C86-B86</f>
        <v>-0.0557683841441611</v>
      </c>
      <c r="E86" s="1" t="n">
        <f aca="false">ABS(D86)</f>
        <v>0.0557683841441611</v>
      </c>
      <c r="M86" s="5" t="n">
        <v>17</v>
      </c>
      <c r="N86" s="1" t="n">
        <v>0.00361170084478024</v>
      </c>
    </row>
    <row r="87" customFormat="false" ht="12.8" hidden="false" customHeight="false" outlineLevel="0" collapsed="false">
      <c r="A87" s="5" t="n">
        <v>25</v>
      </c>
      <c r="B87" s="2" t="n">
        <v>0.690023913451965</v>
      </c>
      <c r="C87" s="1" t="n">
        <v>0.68313653978705</v>
      </c>
      <c r="D87" s="1" t="n">
        <f aca="false">C87-B87</f>
        <v>-0.00688737366491499</v>
      </c>
      <c r="E87" s="1" t="n">
        <f aca="false">ABS(D87)</f>
        <v>0.00688737366491499</v>
      </c>
      <c r="M87" s="5" t="n">
        <v>5</v>
      </c>
      <c r="N87" s="1" t="n">
        <v>0.000339868481052164</v>
      </c>
    </row>
    <row r="91" customFormat="false" ht="12.8" hidden="false" customHeight="false" outlineLevel="0" collapsed="false">
      <c r="A91" s="1" t="s">
        <v>6</v>
      </c>
      <c r="B91" s="1" t="s">
        <v>3</v>
      </c>
      <c r="C91" s="1" t="s">
        <v>31</v>
      </c>
      <c r="D91" s="1" t="s">
        <v>32</v>
      </c>
      <c r="E91" s="1" t="s">
        <v>8</v>
      </c>
      <c r="F91" s="1" t="s">
        <v>9</v>
      </c>
      <c r="G91" s="1" t="s">
        <v>10</v>
      </c>
      <c r="I91" s="4" t="s">
        <v>11</v>
      </c>
      <c r="M91" s="1" t="s">
        <v>6</v>
      </c>
      <c r="N91" s="1" t="s">
        <v>33</v>
      </c>
    </row>
    <row r="92" customFormat="false" ht="12.8" hidden="false" customHeight="false" outlineLevel="0" collapsed="false">
      <c r="A92" s="5" t="n">
        <v>1</v>
      </c>
      <c r="B92" s="2" t="n">
        <v>0.820329791398556</v>
      </c>
      <c r="C92" s="1" t="n">
        <v>0.834308337570909</v>
      </c>
      <c r="D92" s="1" t="n">
        <f aca="false">C92-B92</f>
        <v>0.0139785461723531</v>
      </c>
      <c r="E92" s="1" t="n">
        <f aca="false">ABS(D92)</f>
        <v>0.0139785461723531</v>
      </c>
      <c r="F92" s="1" t="n">
        <f aca="false">AVERAGE(D92:D116)</f>
        <v>-0.000175531122724193</v>
      </c>
      <c r="G92" s="1" t="n">
        <f aca="false">_xlfn.STDEV.S(D92:D116)</f>
        <v>0.0444609346155205</v>
      </c>
      <c r="I92" s="1" t="s">
        <v>13</v>
      </c>
      <c r="J92" s="1" t="n">
        <v>0.05</v>
      </c>
      <c r="M92" s="5" t="n">
        <v>19</v>
      </c>
      <c r="N92" s="1" t="n">
        <v>0.0798006388690887</v>
      </c>
    </row>
    <row r="93" customFormat="false" ht="22.35" hidden="false" customHeight="false" outlineLevel="0" collapsed="false">
      <c r="A93" s="5" t="n">
        <v>2</v>
      </c>
      <c r="B93" s="2" t="n">
        <v>0.760208954092368</v>
      </c>
      <c r="C93" s="1" t="n">
        <v>0.78737808939176</v>
      </c>
      <c r="D93" s="1" t="n">
        <f aca="false">C93-B93</f>
        <v>0.027169135299392</v>
      </c>
      <c r="E93" s="1" t="n">
        <f aca="false">ABS(D93)</f>
        <v>0.027169135299392</v>
      </c>
      <c r="I93" s="1" t="s">
        <v>14</v>
      </c>
      <c r="J93" s="1" t="n">
        <v>0</v>
      </c>
      <c r="M93" s="5" t="n">
        <v>24</v>
      </c>
      <c r="N93" s="1" t="n">
        <v>0.0768511291573462</v>
      </c>
    </row>
    <row r="94" customFormat="false" ht="12.8" hidden="false" customHeight="false" outlineLevel="0" collapsed="false">
      <c r="A94" s="5" t="n">
        <v>3</v>
      </c>
      <c r="B94" s="2" t="n">
        <v>0.779358920094772</v>
      </c>
      <c r="C94" s="1" t="n">
        <v>0.823470108869694</v>
      </c>
      <c r="D94" s="1" t="n">
        <f aca="false">C94-B94</f>
        <v>0.0441111887749219</v>
      </c>
      <c r="E94" s="1" t="n">
        <f aca="false">ABS(D94)</f>
        <v>0.0441111887749219</v>
      </c>
      <c r="J94" s="4" t="s">
        <v>16</v>
      </c>
      <c r="K94" s="4" t="s">
        <v>17</v>
      </c>
      <c r="M94" s="5" t="n">
        <v>22</v>
      </c>
      <c r="N94" s="1" t="n">
        <v>0.067913392966423</v>
      </c>
    </row>
    <row r="95" customFormat="false" ht="12.8" hidden="false" customHeight="false" outlineLevel="0" collapsed="false">
      <c r="A95" s="5" t="n">
        <v>4</v>
      </c>
      <c r="B95" s="2" t="n">
        <v>0.655474168574833</v>
      </c>
      <c r="C95" s="1" t="n">
        <v>0.641382187119465</v>
      </c>
      <c r="D95" s="1" t="n">
        <f aca="false">C95-B95</f>
        <v>-0.0140919814553679</v>
      </c>
      <c r="E95" s="1" t="n">
        <f aca="false">ABS(D95)</f>
        <v>0.0140919814553679</v>
      </c>
      <c r="I95" s="1" t="s">
        <v>18</v>
      </c>
      <c r="J95" s="1" t="n">
        <f aca="false">AVERAGE(sims_per_turn!$B$91:$B$116)</f>
        <v>0.730726509513007</v>
      </c>
      <c r="K95" s="1" t="n">
        <f aca="false">AVERAGE(sims_per_turn!$C$91:$C$116)</f>
        <v>0.730550978390282</v>
      </c>
      <c r="M95" s="5" t="n">
        <v>14</v>
      </c>
      <c r="N95" s="1" t="n">
        <v>0.065898510150403</v>
      </c>
    </row>
    <row r="96" customFormat="false" ht="12.8" hidden="false" customHeight="false" outlineLevel="0" collapsed="false">
      <c r="A96" s="5" t="n">
        <v>5</v>
      </c>
      <c r="B96" s="2" t="n">
        <v>0.601488270812317</v>
      </c>
      <c r="C96" s="1" t="n">
        <v>0.648560742045417</v>
      </c>
      <c r="D96" s="1" t="n">
        <f aca="false">C96-B96</f>
        <v>0.0470724712331</v>
      </c>
      <c r="E96" s="1" t="n">
        <f aca="false">ABS(D96)</f>
        <v>0.0470724712331</v>
      </c>
      <c r="I96" s="1" t="s">
        <v>19</v>
      </c>
      <c r="J96" s="1" t="n">
        <f aca="false">VAR(sims_per_turn!$B$91:$B$116)</f>
        <v>0.00460998896090856</v>
      </c>
      <c r="K96" s="1" t="n">
        <f aca="false">VAR(sims_per_turn!$C$91:$C$116)</f>
        <v>0.0032014708633712</v>
      </c>
      <c r="M96" s="5" t="n">
        <v>6</v>
      </c>
      <c r="N96" s="1" t="n">
        <v>0.0650643857345121</v>
      </c>
    </row>
    <row r="97" customFormat="false" ht="12.8" hidden="false" customHeight="false" outlineLevel="0" collapsed="false">
      <c r="A97" s="5" t="n">
        <v>6</v>
      </c>
      <c r="B97" s="2" t="n">
        <v>0.802605111539465</v>
      </c>
      <c r="C97" s="1" t="n">
        <v>0.737540725804953</v>
      </c>
      <c r="D97" s="1" t="n">
        <f aca="false">C97-B97</f>
        <v>-0.065064385734512</v>
      </c>
      <c r="E97" s="1" t="n">
        <f aca="false">ABS(D97)</f>
        <v>0.065064385734512</v>
      </c>
      <c r="I97" s="1" t="s">
        <v>20</v>
      </c>
      <c r="J97" s="1" t="n">
        <f aca="false">COUNT(sims_per_turn!$B$91:$B$116)</f>
        <v>25</v>
      </c>
      <c r="K97" s="1" t="n">
        <f aca="false">COUNT(sims_per_turn!$C$91:$C$116)</f>
        <v>25</v>
      </c>
      <c r="M97" s="5" t="n">
        <v>17</v>
      </c>
      <c r="N97" s="1" t="n">
        <v>0.0500356750398536</v>
      </c>
    </row>
    <row r="98" customFormat="false" ht="12.8" hidden="false" customHeight="false" outlineLevel="0" collapsed="false">
      <c r="A98" s="5" t="n">
        <v>7</v>
      </c>
      <c r="B98" s="2" t="n">
        <v>0.648878416428975</v>
      </c>
      <c r="C98" s="1" t="n">
        <v>0.634968083396197</v>
      </c>
      <c r="D98" s="1" t="n">
        <f aca="false">C98-B98</f>
        <v>-0.013910333032778</v>
      </c>
      <c r="E98" s="1" t="n">
        <f aca="false">ABS(D98)</f>
        <v>0.013910333032778</v>
      </c>
      <c r="I98" s="1" t="s">
        <v>21</v>
      </c>
      <c r="J98" s="1" t="n">
        <f aca="false">CORREL(sims_per_turn!$B$91:$B$116,sims_per_turn!$C$91:$C$116)</f>
        <v>0.759386213023101</v>
      </c>
      <c r="M98" s="5" t="n">
        <v>11</v>
      </c>
      <c r="N98" s="1" t="n">
        <v>0.049307330651701</v>
      </c>
    </row>
    <row r="99" customFormat="false" ht="22.35" hidden="false" customHeight="false" outlineLevel="0" collapsed="false">
      <c r="A99" s="5" t="n">
        <v>8</v>
      </c>
      <c r="B99" s="2" t="n">
        <v>0.75255045120181</v>
      </c>
      <c r="C99" s="1" t="n">
        <v>0.746400854814908</v>
      </c>
      <c r="D99" s="1" t="n">
        <f aca="false">C99-B99</f>
        <v>-0.00614959638690193</v>
      </c>
      <c r="E99" s="1" t="n">
        <f aca="false">ABS(D99)</f>
        <v>0.00614959638690193</v>
      </c>
      <c r="I99" s="1" t="s">
        <v>22</v>
      </c>
      <c r="J99" s="1" t="n">
        <f aca="false" t="array" ref="J99:J99">AVERAGE(IF(ISODD(IF(ISNUMBER(sims_per_turn!$B$91:$B$116), 1, 0) * IF(ISNUMBER(sims_per_turn!$C$91:$C$116), 1, 0)), sims_per_turn!$B$91:$B$116 - sims_per_turn!$C$91:$C$116, "NA"))</f>
        <v>0.000175531122724193</v>
      </c>
      <c r="M99" s="5" t="n">
        <v>5</v>
      </c>
      <c r="N99" s="1" t="n">
        <v>0.0470724712331001</v>
      </c>
    </row>
    <row r="100" customFormat="false" ht="22.35" hidden="false" customHeight="false" outlineLevel="0" collapsed="false">
      <c r="A100" s="5" t="n">
        <v>9</v>
      </c>
      <c r="B100" s="2" t="n">
        <v>0.725998440426624</v>
      </c>
      <c r="C100" s="1" t="n">
        <v>0.688805343346949</v>
      </c>
      <c r="D100" s="1" t="n">
        <f aca="false">C100-B100</f>
        <v>-0.037193097079675</v>
      </c>
      <c r="E100" s="1" t="n">
        <f aca="false">ABS(D100)</f>
        <v>0.037193097079675</v>
      </c>
      <c r="I100" s="1" t="s">
        <v>23</v>
      </c>
      <c r="J100" s="1" t="n">
        <f aca="false" t="array" ref="J100:J100">VAR(IF(ISODD(IF(ISNUMBER(sims_per_turn!$B$91:$B$116), 1, 0) * IF(ISNUMBER(sims_per_turn!$C$91:$C$116), 1, 0)), sims_per_turn!$B$91:$B$116 - sims_per_turn!$C$91:$C$116, "NA"))</f>
        <v>0.00197677470688559</v>
      </c>
      <c r="M100" s="5" t="n">
        <v>3</v>
      </c>
      <c r="N100" s="1" t="n">
        <v>0.0441111887749215</v>
      </c>
    </row>
    <row r="101" customFormat="false" ht="12.8" hidden="false" customHeight="false" outlineLevel="0" collapsed="false">
      <c r="A101" s="5" t="n">
        <v>10</v>
      </c>
      <c r="B101" s="2" t="n">
        <v>0.706819355320024</v>
      </c>
      <c r="C101" s="1" t="n">
        <v>0.743639794674361</v>
      </c>
      <c r="D101" s="1" t="n">
        <f aca="false">C101-B101</f>
        <v>0.036820439354337</v>
      </c>
      <c r="E101" s="1" t="n">
        <f aca="false">ABS(D101)</f>
        <v>0.036820439354337</v>
      </c>
      <c r="I101" s="1" t="s">
        <v>24</v>
      </c>
      <c r="J101" s="1" t="n">
        <f aca="false" t="array" ref="J101:J101">SUM(IF(ISNUMBER(sims_per_turn!$B$91:$B$116), 1, 0) * IF(ISNUMBER(sims_per_turn!$C$91:$C$116), 1, 0)) - 1</f>
        <v>24</v>
      </c>
      <c r="M101" s="5" t="n">
        <v>16</v>
      </c>
      <c r="N101" s="1" t="n">
        <v>0.0433919281622086</v>
      </c>
    </row>
    <row r="102" customFormat="false" ht="12.8" hidden="false" customHeight="false" outlineLevel="0" collapsed="false">
      <c r="A102" s="5" t="n">
        <v>11</v>
      </c>
      <c r="B102" s="2" t="n">
        <v>0.663884135279099</v>
      </c>
      <c r="C102" s="1" t="n">
        <v>0.7131914659308</v>
      </c>
      <c r="D102" s="1" t="n">
        <f aca="false">C102-B102</f>
        <v>0.049307330651701</v>
      </c>
      <c r="E102" s="1" t="n">
        <f aca="false">ABS(D102)</f>
        <v>0.049307330651701</v>
      </c>
      <c r="I102" s="1" t="s">
        <v>25</v>
      </c>
      <c r="J102" s="1" t="n">
        <f aca="false">(sims_per_turn!$J$99 - sims_per_turn!$J$93) / (sims_per_turn!$J$100 / ( sims_per_turn!$J$101 + 1)) ^ 0.5</f>
        <v>0.0197399272239903</v>
      </c>
      <c r="M102" s="5" t="n">
        <v>20</v>
      </c>
      <c r="N102" s="1" t="n">
        <v>0.0428795952324388</v>
      </c>
    </row>
    <row r="103" customFormat="false" ht="12.8" hidden="false" customHeight="false" outlineLevel="0" collapsed="false">
      <c r="A103" s="5" t="n">
        <v>12</v>
      </c>
      <c r="B103" s="2" t="n">
        <v>0.808680515695504</v>
      </c>
      <c r="C103" s="1" t="n">
        <v>0.767138956921052</v>
      </c>
      <c r="D103" s="1" t="n">
        <f aca="false">C103-B103</f>
        <v>-0.041541558774452</v>
      </c>
      <c r="E103" s="1" t="n">
        <f aca="false">ABS(D103)</f>
        <v>0.041541558774452</v>
      </c>
      <c r="I103" s="1" t="s">
        <v>26</v>
      </c>
      <c r="J103" s="1" t="n">
        <f aca="false">TDIST(ABS(sims_per_turn!$J$102), sims_per_turn!$J$101, 1)</f>
        <v>0.492207018606512</v>
      </c>
      <c r="M103" s="5" t="n">
        <v>15</v>
      </c>
      <c r="N103" s="1" t="n">
        <v>0.0418433267277925</v>
      </c>
    </row>
    <row r="104" customFormat="false" ht="12.8" hidden="false" customHeight="false" outlineLevel="0" collapsed="false">
      <c r="A104" s="5" t="n">
        <v>13</v>
      </c>
      <c r="B104" s="2" t="n">
        <v>0.697789785928682</v>
      </c>
      <c r="C104" s="1" t="n">
        <v>0.725689268577004</v>
      </c>
      <c r="D104" s="1" t="n">
        <f aca="false">C104-B104</f>
        <v>0.027899482648322</v>
      </c>
      <c r="E104" s="1" t="n">
        <f aca="false">ABS(D104)</f>
        <v>0.027899482648322</v>
      </c>
      <c r="I104" s="1" t="s">
        <v>27</v>
      </c>
      <c r="J104" s="1" t="n">
        <f aca="false">TINV(2*sims_per_turn!$J$92, sims_per_turn!$J$101)</f>
        <v>1.71088207990943</v>
      </c>
      <c r="M104" s="5" t="n">
        <v>12</v>
      </c>
      <c r="N104" s="1" t="n">
        <v>0.0415415587744519</v>
      </c>
    </row>
    <row r="105" customFormat="false" ht="12.8" hidden="false" customHeight="false" outlineLevel="0" collapsed="false">
      <c r="A105" s="5" t="n">
        <v>14</v>
      </c>
      <c r="B105" s="2" t="n">
        <v>0.749649894113733</v>
      </c>
      <c r="C105" s="1" t="n">
        <v>0.68375138396333</v>
      </c>
      <c r="D105" s="1" t="n">
        <f aca="false">C105-B105</f>
        <v>-0.0658985101504029</v>
      </c>
      <c r="E105" s="1" t="n">
        <f aca="false">ABS(D105)</f>
        <v>0.0658985101504029</v>
      </c>
      <c r="I105" s="1" t="s">
        <v>28</v>
      </c>
      <c r="J105" s="1" t="n">
        <f aca="false">TDIST(ABS(sims_per_turn!$J$102), sims_per_turn!$J$101, 2)</f>
        <v>0.984414037213024</v>
      </c>
      <c r="M105" s="5" t="n">
        <v>9</v>
      </c>
      <c r="N105" s="1" t="n">
        <v>0.0371930970796752</v>
      </c>
    </row>
    <row r="106" customFormat="false" ht="12.8" hidden="false" customHeight="false" outlineLevel="0" collapsed="false">
      <c r="A106" s="5" t="n">
        <v>15</v>
      </c>
      <c r="B106" s="2" t="n">
        <v>0.736967328412209</v>
      </c>
      <c r="C106" s="1" t="n">
        <v>0.778810655140002</v>
      </c>
      <c r="D106" s="1" t="n">
        <f aca="false">C106-B106</f>
        <v>0.041843326727793</v>
      </c>
      <c r="E106" s="1" t="n">
        <f aca="false">ABS(D106)</f>
        <v>0.041843326727793</v>
      </c>
      <c r="I106" s="1" t="s">
        <v>29</v>
      </c>
      <c r="J106" s="1" t="n">
        <f aca="false">TINV(sims_per_turn!$J$92, sims_per_turn!$J$101)</f>
        <v>2.06389856162803</v>
      </c>
      <c r="M106" s="5" t="n">
        <v>10</v>
      </c>
      <c r="N106" s="1" t="n">
        <v>0.0368204393543365</v>
      </c>
    </row>
    <row r="107" customFormat="false" ht="12.8" hidden="false" customHeight="false" outlineLevel="0" collapsed="false">
      <c r="A107" s="5" t="n">
        <v>16</v>
      </c>
      <c r="B107" s="2" t="n">
        <v>0.764104736117937</v>
      </c>
      <c r="C107" s="1" t="n">
        <v>0.720712807955728</v>
      </c>
      <c r="D107" s="1" t="n">
        <f aca="false">C107-B107</f>
        <v>-0.0433919281622089</v>
      </c>
      <c r="E107" s="1" t="n">
        <f aca="false">ABS(D107)</f>
        <v>0.0433919281622089</v>
      </c>
      <c r="M107" s="5" t="n">
        <v>13</v>
      </c>
      <c r="N107" s="1" t="n">
        <v>0.0278994826483223</v>
      </c>
    </row>
    <row r="108" customFormat="false" ht="12.8" hidden="false" customHeight="false" outlineLevel="0" collapsed="false">
      <c r="A108" s="5" t="n">
        <v>17</v>
      </c>
      <c r="B108" s="2" t="n">
        <v>0.722501085513047</v>
      </c>
      <c r="C108" s="1" t="n">
        <v>0.772536760552901</v>
      </c>
      <c r="D108" s="1" t="n">
        <f aca="false">C108-B108</f>
        <v>0.050035675039854</v>
      </c>
      <c r="E108" s="1" t="n">
        <f aca="false">ABS(D108)</f>
        <v>0.050035675039854</v>
      </c>
      <c r="M108" s="5" t="n">
        <v>2</v>
      </c>
      <c r="N108" s="1" t="n">
        <v>0.0271691352993921</v>
      </c>
    </row>
    <row r="109" customFormat="false" ht="12.8" hidden="false" customHeight="false" outlineLevel="0" collapsed="false">
      <c r="A109" s="5" t="n">
        <v>18</v>
      </c>
      <c r="B109" s="2" t="n">
        <v>0.68518214731593</v>
      </c>
      <c r="C109" s="1" t="n">
        <v>0.705400471101386</v>
      </c>
      <c r="D109" s="1" t="n">
        <f aca="false">C109-B109</f>
        <v>0.0202183237854561</v>
      </c>
      <c r="E109" s="1" t="n">
        <f aca="false">ABS(D109)</f>
        <v>0.0202183237854561</v>
      </c>
      <c r="M109" s="5" t="n">
        <v>18</v>
      </c>
      <c r="N109" s="1" t="n">
        <v>0.0202183237854559</v>
      </c>
    </row>
    <row r="110" customFormat="false" ht="12.8" hidden="false" customHeight="false" outlineLevel="0" collapsed="false">
      <c r="A110" s="5" t="n">
        <v>19</v>
      </c>
      <c r="B110" s="2" t="n">
        <v>0.57422986602436</v>
      </c>
      <c r="C110" s="1" t="n">
        <v>0.654030504893449</v>
      </c>
      <c r="D110" s="1" t="n">
        <f aca="false">C110-B110</f>
        <v>0.0798006388690891</v>
      </c>
      <c r="E110" s="1" t="n">
        <f aca="false">ABS(D110)</f>
        <v>0.0798006388690891</v>
      </c>
      <c r="M110" s="5" t="n">
        <v>25</v>
      </c>
      <c r="N110" s="1" t="n">
        <v>0.0162675592344054</v>
      </c>
    </row>
    <row r="111" customFormat="false" ht="12.8" hidden="false" customHeight="false" outlineLevel="0" collapsed="false">
      <c r="A111" s="5" t="n">
        <v>20</v>
      </c>
      <c r="B111" s="2" t="n">
        <v>0.862814658531392</v>
      </c>
      <c r="C111" s="1" t="n">
        <v>0.819935063298953</v>
      </c>
      <c r="D111" s="1" t="n">
        <f aca="false">C111-B111</f>
        <v>-0.042879595232439</v>
      </c>
      <c r="E111" s="1" t="n">
        <f aca="false">ABS(D111)</f>
        <v>0.042879595232439</v>
      </c>
      <c r="M111" s="5" t="n">
        <v>4</v>
      </c>
      <c r="N111" s="1" t="n">
        <v>0.0140919814553676</v>
      </c>
    </row>
    <row r="112" customFormat="false" ht="12.8" hidden="false" customHeight="false" outlineLevel="0" collapsed="false">
      <c r="A112" s="5" t="n">
        <v>21</v>
      </c>
      <c r="B112" s="2" t="n">
        <v>0.766443599036539</v>
      </c>
      <c r="C112" s="1" t="n">
        <v>0.775935289730371</v>
      </c>
      <c r="D112" s="1" t="n">
        <f aca="false">C112-B112</f>
        <v>0.00949169069383193</v>
      </c>
      <c r="E112" s="1" t="n">
        <f aca="false">ABS(D112)</f>
        <v>0.00949169069383193</v>
      </c>
      <c r="M112" s="5" t="n">
        <v>1</v>
      </c>
      <c r="N112" s="1" t="n">
        <v>0.0139785461723533</v>
      </c>
    </row>
    <row r="113" customFormat="false" ht="12.8" hidden="false" customHeight="false" outlineLevel="0" collapsed="false">
      <c r="A113" s="5" t="n">
        <v>22</v>
      </c>
      <c r="B113" s="2" t="n">
        <v>0.757219448945817</v>
      </c>
      <c r="C113" s="1" t="n">
        <v>0.689306055979394</v>
      </c>
      <c r="D113" s="1" t="n">
        <f aca="false">C113-B113</f>
        <v>-0.0679133929664231</v>
      </c>
      <c r="E113" s="1" t="n">
        <f aca="false">ABS(D113)</f>
        <v>0.0679133929664231</v>
      </c>
      <c r="M113" s="5" t="n">
        <v>7</v>
      </c>
      <c r="N113" s="1" t="n">
        <v>0.0139103330327779</v>
      </c>
    </row>
    <row r="114" customFormat="false" ht="12.8" hidden="false" customHeight="false" outlineLevel="0" collapsed="false">
      <c r="A114" s="5" t="n">
        <v>23</v>
      </c>
      <c r="B114" s="2" t="n">
        <v>0.75138094509243</v>
      </c>
      <c r="C114" s="1" t="n">
        <v>0.757862366672276</v>
      </c>
      <c r="D114" s="1" t="n">
        <f aca="false">C114-B114</f>
        <v>0.00648142157984599</v>
      </c>
      <c r="E114" s="1" t="n">
        <f aca="false">ABS(D114)</f>
        <v>0.00648142157984599</v>
      </c>
      <c r="M114" s="5" t="n">
        <v>21</v>
      </c>
      <c r="N114" s="1" t="n">
        <v>0.00949169069383204</v>
      </c>
    </row>
    <row r="115" customFormat="false" ht="12.8" hidden="false" customHeight="false" outlineLevel="0" collapsed="false">
      <c r="A115" s="5" t="n">
        <v>24</v>
      </c>
      <c r="B115" s="2" t="n">
        <v>0.783578798476775</v>
      </c>
      <c r="C115" s="1" t="n">
        <v>0.706727669319429</v>
      </c>
      <c r="D115" s="1" t="n">
        <f aca="false">C115-B115</f>
        <v>-0.076851129157346</v>
      </c>
      <c r="E115" s="1" t="n">
        <f aca="false">ABS(D115)</f>
        <v>0.076851129157346</v>
      </c>
      <c r="M115" s="5" t="n">
        <v>23</v>
      </c>
      <c r="N115" s="1" t="n">
        <v>0.00648142157984544</v>
      </c>
    </row>
    <row r="116" customFormat="false" ht="12.8" hidden="false" customHeight="false" outlineLevel="0" collapsed="false">
      <c r="A116" s="5" t="n">
        <v>25</v>
      </c>
      <c r="B116" s="2" t="n">
        <v>0.690023913451965</v>
      </c>
      <c r="C116" s="1" t="n">
        <v>0.70629147268637</v>
      </c>
      <c r="D116" s="1" t="n">
        <f aca="false">C116-B116</f>
        <v>0.016267559234405</v>
      </c>
      <c r="E116" s="1" t="n">
        <f aca="false">ABS(D116)</f>
        <v>0.016267559234405</v>
      </c>
      <c r="M116" s="5" t="n">
        <v>8</v>
      </c>
      <c r="N116" s="1" t="n">
        <v>0.00614959638690182</v>
      </c>
    </row>
    <row r="120" customFormat="false" ht="12.8" hidden="false" customHeight="false" outlineLevel="0" collapsed="false">
      <c r="A120" s="1" t="s">
        <v>6</v>
      </c>
      <c r="B120" s="1" t="s">
        <v>3</v>
      </c>
      <c r="C120" s="1" t="s">
        <v>1</v>
      </c>
      <c r="D120" s="1" t="s">
        <v>34</v>
      </c>
      <c r="E120" s="1" t="s">
        <v>8</v>
      </c>
      <c r="F120" s="1" t="s">
        <v>9</v>
      </c>
      <c r="G120" s="1" t="s">
        <v>10</v>
      </c>
      <c r="I120" s="4" t="s">
        <v>11</v>
      </c>
      <c r="M120" s="1" t="s">
        <v>6</v>
      </c>
      <c r="N120" s="1" t="s">
        <v>35</v>
      </c>
    </row>
    <row r="121" customFormat="false" ht="12.8" hidden="false" customHeight="false" outlineLevel="0" collapsed="false">
      <c r="A121" s="5" t="n">
        <v>1</v>
      </c>
      <c r="B121" s="2" t="n">
        <v>0.820329791398556</v>
      </c>
      <c r="C121" s="1" t="n">
        <v>0.829083516979224</v>
      </c>
      <c r="D121" s="1" t="n">
        <f aca="false">C121-B121</f>
        <v>0.008753725580668</v>
      </c>
      <c r="E121" s="1" t="n">
        <f aca="false">ABS(D121)</f>
        <v>0.008753725580668</v>
      </c>
      <c r="F121" s="1" t="n">
        <f aca="false">AVERAGE(D121:D145)</f>
        <v>0.00231487810269734</v>
      </c>
      <c r="G121" s="1" t="n">
        <f aca="false">_xlfn.STDEV.S(D121:D145)</f>
        <v>0.0439844477148894</v>
      </c>
      <c r="I121" s="1" t="s">
        <v>13</v>
      </c>
      <c r="J121" s="1" t="n">
        <v>0.05</v>
      </c>
      <c r="M121" s="5" t="n">
        <v>19</v>
      </c>
      <c r="N121" s="1" t="n">
        <v>0.132545996121384</v>
      </c>
    </row>
    <row r="122" customFormat="false" ht="22.35" hidden="false" customHeight="false" outlineLevel="0" collapsed="false">
      <c r="A122" s="5" t="n">
        <v>2</v>
      </c>
      <c r="B122" s="2" t="n">
        <v>0.760208954092368</v>
      </c>
      <c r="C122" s="1" t="n">
        <v>0.766444903472076</v>
      </c>
      <c r="D122" s="1" t="n">
        <f aca="false">C122-B122</f>
        <v>0.00623594937970795</v>
      </c>
      <c r="E122" s="1" t="n">
        <f aca="false">ABS(D122)</f>
        <v>0.00623594937970795</v>
      </c>
      <c r="I122" s="1" t="s">
        <v>14</v>
      </c>
      <c r="J122" s="1" t="n">
        <v>0</v>
      </c>
      <c r="M122" s="5" t="n">
        <v>16</v>
      </c>
      <c r="N122" s="1" t="n">
        <v>0.0719844923113469</v>
      </c>
    </row>
    <row r="123" customFormat="false" ht="12.8" hidden="false" customHeight="false" outlineLevel="0" collapsed="false">
      <c r="A123" s="5" t="n">
        <v>3</v>
      </c>
      <c r="B123" s="2" t="n">
        <v>0.779358920094772</v>
      </c>
      <c r="C123" s="1" t="n">
        <v>0.820814927176212</v>
      </c>
      <c r="D123" s="1" t="n">
        <f aca="false">C123-B123</f>
        <v>0.0414560070814399</v>
      </c>
      <c r="E123" s="1" t="n">
        <f aca="false">ABS(D123)</f>
        <v>0.0414560070814399</v>
      </c>
      <c r="J123" s="4" t="s">
        <v>16</v>
      </c>
      <c r="K123" s="4" t="s">
        <v>17</v>
      </c>
      <c r="M123" s="5" t="n">
        <v>4</v>
      </c>
      <c r="N123" s="1" t="n">
        <v>0.066133487146822</v>
      </c>
    </row>
    <row r="124" customFormat="false" ht="12.8" hidden="false" customHeight="false" outlineLevel="0" collapsed="false">
      <c r="A124" s="5" t="n">
        <v>4</v>
      </c>
      <c r="B124" s="2" t="n">
        <v>0.655474168574833</v>
      </c>
      <c r="C124" s="1" t="n">
        <v>0.589340681428011</v>
      </c>
      <c r="D124" s="1" t="n">
        <f aca="false">C124-B124</f>
        <v>-0.066133487146822</v>
      </c>
      <c r="E124" s="1" t="n">
        <f aca="false">ABS(D124)</f>
        <v>0.066133487146822</v>
      </c>
      <c r="I124" s="1" t="s">
        <v>18</v>
      </c>
      <c r="J124" s="1" t="n">
        <f aca="false">AVERAGE(sims_per_turn!$B$120:$B$145)</f>
        <v>0.730726509513007</v>
      </c>
      <c r="K124" s="1" t="n">
        <f aca="false">AVERAGE(sims_per_turn!$C$120:$C$145)</f>
        <v>0.733041387615704</v>
      </c>
      <c r="M124" s="5" t="n">
        <v>20</v>
      </c>
      <c r="N124" s="1" t="n">
        <v>0.0522618832628589</v>
      </c>
    </row>
    <row r="125" customFormat="false" ht="12.8" hidden="false" customHeight="false" outlineLevel="0" collapsed="false">
      <c r="A125" s="5" t="n">
        <v>5</v>
      </c>
      <c r="B125" s="2" t="n">
        <v>0.601488270812317</v>
      </c>
      <c r="C125" s="1" t="n">
        <v>0.549939911322228</v>
      </c>
      <c r="D125" s="1" t="n">
        <f aca="false">C125-B125</f>
        <v>-0.0515483594900891</v>
      </c>
      <c r="E125" s="1" t="n">
        <f aca="false">ABS(D125)</f>
        <v>0.0515483594900891</v>
      </c>
      <c r="I125" s="1" t="s">
        <v>19</v>
      </c>
      <c r="J125" s="1" t="n">
        <f aca="false">VAR(sims_per_turn!$B$120:$B$145)</f>
        <v>0.00460998896090856</v>
      </c>
      <c r="K125" s="1" t="n">
        <f aca="false">VAR(sims_per_turn!$C$120:$C$145)</f>
        <v>0.00428805866426504</v>
      </c>
      <c r="M125" s="5" t="n">
        <v>5</v>
      </c>
      <c r="N125" s="1" t="n">
        <v>0.0515483594900894</v>
      </c>
    </row>
    <row r="126" customFormat="false" ht="12.8" hidden="false" customHeight="false" outlineLevel="0" collapsed="false">
      <c r="A126" s="5" t="n">
        <v>6</v>
      </c>
      <c r="B126" s="2" t="n">
        <v>0.802605111539465</v>
      </c>
      <c r="C126" s="1" t="n">
        <v>0.806301302771949</v>
      </c>
      <c r="D126" s="1" t="n">
        <f aca="false">C126-B126</f>
        <v>0.00369619123248399</v>
      </c>
      <c r="E126" s="1" t="n">
        <f aca="false">ABS(D126)</f>
        <v>0.00369619123248399</v>
      </c>
      <c r="I126" s="1" t="s">
        <v>20</v>
      </c>
      <c r="J126" s="1" t="n">
        <f aca="false">COUNT(sims_per_turn!$B$120:$B$145)</f>
        <v>25</v>
      </c>
      <c r="K126" s="1" t="n">
        <f aca="false">COUNT(sims_per_turn!$C$120:$C$145)</f>
        <v>25</v>
      </c>
      <c r="M126" s="5" t="n">
        <v>22</v>
      </c>
      <c r="N126" s="1" t="n">
        <v>0.0502067980155101</v>
      </c>
    </row>
    <row r="127" customFormat="false" ht="12.8" hidden="false" customHeight="false" outlineLevel="0" collapsed="false">
      <c r="A127" s="5" t="n">
        <v>7</v>
      </c>
      <c r="B127" s="2" t="n">
        <v>0.648878416428975</v>
      </c>
      <c r="C127" s="1" t="n">
        <v>0.654420747897195</v>
      </c>
      <c r="D127" s="1" t="n">
        <f aca="false">C127-B127</f>
        <v>0.00554233146821992</v>
      </c>
      <c r="E127" s="1" t="n">
        <f aca="false">ABS(D127)</f>
        <v>0.00554233146821992</v>
      </c>
      <c r="I127" s="1" t="s">
        <v>21</v>
      </c>
      <c r="J127" s="1" t="n">
        <f aca="false">CORREL(sims_per_turn!$B$120:$B$145,sims_per_turn!$C$120:$C$145)</f>
        <v>0.783090657206425</v>
      </c>
      <c r="M127" s="5" t="n">
        <v>13</v>
      </c>
      <c r="N127" s="1" t="n">
        <v>0.0449590582137688</v>
      </c>
    </row>
    <row r="128" customFormat="false" ht="22.35" hidden="false" customHeight="false" outlineLevel="0" collapsed="false">
      <c r="A128" s="5" t="n">
        <v>8</v>
      </c>
      <c r="B128" s="2" t="n">
        <v>0.75255045120181</v>
      </c>
      <c r="C128" s="1" t="n">
        <v>0.747457006954611</v>
      </c>
      <c r="D128" s="1" t="n">
        <f aca="false">C128-B128</f>
        <v>-0.00509344424719893</v>
      </c>
      <c r="E128" s="1" t="n">
        <f aca="false">ABS(D128)</f>
        <v>0.00509344424719893</v>
      </c>
      <c r="I128" s="1" t="s">
        <v>22</v>
      </c>
      <c r="J128" s="1" t="n">
        <f aca="false" t="array" ref="J128:J128">AVERAGE(IF(ISODD(IF(ISNUMBER(sims_per_turn!$B$120:$B$145), 1, 0) * IF(ISNUMBER(sims_per_turn!$C$120:$C$145), 1, 0)), sims_per_turn!$B$120:$B$145 - sims_per_turn!$C$120:$C$145, "NA"))</f>
        <v>-0.00231487810269734</v>
      </c>
      <c r="M128" s="5" t="n">
        <v>3</v>
      </c>
      <c r="N128" s="1" t="n">
        <v>0.0414560070814404</v>
      </c>
    </row>
    <row r="129" customFormat="false" ht="22.35" hidden="false" customHeight="false" outlineLevel="0" collapsed="false">
      <c r="A129" s="5" t="n">
        <v>9</v>
      </c>
      <c r="B129" s="2" t="n">
        <v>0.725998440426624</v>
      </c>
      <c r="C129" s="1" t="n">
        <v>0.763154436571465</v>
      </c>
      <c r="D129" s="1" t="n">
        <f aca="false">C129-B129</f>
        <v>0.037155996144841</v>
      </c>
      <c r="E129" s="1" t="n">
        <f aca="false">ABS(D129)</f>
        <v>0.037155996144841</v>
      </c>
      <c r="I129" s="1" t="s">
        <v>23</v>
      </c>
      <c r="J129" s="1" t="n">
        <f aca="false" t="array" ref="J129:J129">VAR(IF(ISODD(IF(ISNUMBER(sims_per_turn!$B$120:$B$145), 1, 0) * IF(ISNUMBER(sims_per_turn!$C$120:$C$145), 1, 0)), sims_per_turn!$B$120:$B$145 - sims_per_turn!$C$120:$C$145, "NA"))</f>
        <v>0.00193463164078384</v>
      </c>
      <c r="M129" s="5" t="n">
        <v>11</v>
      </c>
      <c r="N129" s="1" t="n">
        <v>0.0397152921115264</v>
      </c>
    </row>
    <row r="130" customFormat="false" ht="12.8" hidden="false" customHeight="false" outlineLevel="0" collapsed="false">
      <c r="A130" s="5" t="n">
        <v>10</v>
      </c>
      <c r="B130" s="2" t="n">
        <v>0.706819355320024</v>
      </c>
      <c r="C130" s="1" t="n">
        <v>0.745298826492448</v>
      </c>
      <c r="D130" s="1" t="n">
        <f aca="false">C130-B130</f>
        <v>0.038479471172424</v>
      </c>
      <c r="E130" s="1" t="n">
        <f aca="false">ABS(D130)</f>
        <v>0.038479471172424</v>
      </c>
      <c r="I130" s="1" t="s">
        <v>24</v>
      </c>
      <c r="J130" s="1" t="n">
        <f aca="false" t="array" ref="J130:J130">SUM(IF(ISNUMBER(sims_per_turn!$B$120:$B$145), 1, 0) * IF(ISNUMBER(sims_per_turn!$C$120:$C$145), 1, 0)) - 1</f>
        <v>24</v>
      </c>
      <c r="M130" s="5" t="n">
        <v>10</v>
      </c>
      <c r="N130" s="1" t="n">
        <v>0.0384794711724239</v>
      </c>
    </row>
    <row r="131" customFormat="false" ht="12.8" hidden="false" customHeight="false" outlineLevel="0" collapsed="false">
      <c r="A131" s="5" t="n">
        <v>11</v>
      </c>
      <c r="B131" s="2" t="n">
        <v>0.663884135279099</v>
      </c>
      <c r="C131" s="1" t="n">
        <v>0.703599427390625</v>
      </c>
      <c r="D131" s="1" t="n">
        <f aca="false">C131-B131</f>
        <v>0.039715292111526</v>
      </c>
      <c r="E131" s="1" t="n">
        <f aca="false">ABS(D131)</f>
        <v>0.039715292111526</v>
      </c>
      <c r="I131" s="1" t="s">
        <v>25</v>
      </c>
      <c r="J131" s="1" t="n">
        <f aca="false">(sims_per_turn!$J$128 - sims_per_turn!$J$122) / (sims_per_turn!$J$129 / ( sims_per_turn!$J$130 + 1)) ^ 0.5</f>
        <v>-0.263147342181327</v>
      </c>
      <c r="M131" s="5" t="n">
        <v>9</v>
      </c>
      <c r="N131" s="1" t="n">
        <v>0.0371559961448414</v>
      </c>
    </row>
    <row r="132" customFormat="false" ht="12.8" hidden="false" customHeight="false" outlineLevel="0" collapsed="false">
      <c r="A132" s="5" t="n">
        <v>12</v>
      </c>
      <c r="B132" s="2" t="n">
        <v>0.808680515695504</v>
      </c>
      <c r="C132" s="1" t="n">
        <v>0.792291119607581</v>
      </c>
      <c r="D132" s="1" t="n">
        <f aca="false">C132-B132</f>
        <v>-0.016389396087923</v>
      </c>
      <c r="E132" s="1" t="n">
        <f aca="false">ABS(D132)</f>
        <v>0.016389396087923</v>
      </c>
      <c r="I132" s="1" t="s">
        <v>26</v>
      </c>
      <c r="J132" s="1" t="n">
        <f aca="false">TDIST(ABS(sims_per_turn!$J$131), sims_per_turn!$J$130, 1)</f>
        <v>0.397341506563873</v>
      </c>
      <c r="M132" s="5" t="n">
        <v>24</v>
      </c>
      <c r="N132" s="1" t="n">
        <v>0.0289566130999224</v>
      </c>
    </row>
    <row r="133" customFormat="false" ht="12.8" hidden="false" customHeight="false" outlineLevel="0" collapsed="false">
      <c r="A133" s="5" t="n">
        <v>13</v>
      </c>
      <c r="B133" s="2" t="n">
        <v>0.697789785928682</v>
      </c>
      <c r="C133" s="1" t="n">
        <v>0.742748844142451</v>
      </c>
      <c r="D133" s="1" t="n">
        <f aca="false">C133-B133</f>
        <v>0.044959058213769</v>
      </c>
      <c r="E133" s="1" t="n">
        <f aca="false">ABS(D133)</f>
        <v>0.044959058213769</v>
      </c>
      <c r="I133" s="1" t="s">
        <v>27</v>
      </c>
      <c r="J133" s="1" t="n">
        <f aca="false">TINV(2*sims_per_turn!$J$121, sims_per_turn!$J$130)</f>
        <v>1.71088207990943</v>
      </c>
      <c r="M133" s="5" t="n">
        <v>25</v>
      </c>
      <c r="N133" s="1" t="n">
        <v>0.0286384992079942</v>
      </c>
    </row>
    <row r="134" customFormat="false" ht="12.8" hidden="false" customHeight="false" outlineLevel="0" collapsed="false">
      <c r="A134" s="5" t="n">
        <v>14</v>
      </c>
      <c r="B134" s="2" t="n">
        <v>0.749649894113733</v>
      </c>
      <c r="C134" s="1" t="n">
        <v>0.730739032742495</v>
      </c>
      <c r="D134" s="1" t="n">
        <f aca="false">C134-B134</f>
        <v>-0.018910861371238</v>
      </c>
      <c r="E134" s="1" t="n">
        <f aca="false">ABS(D134)</f>
        <v>0.018910861371238</v>
      </c>
      <c r="I134" s="1" t="s">
        <v>28</v>
      </c>
      <c r="J134" s="1" t="n">
        <f aca="false">TDIST(ABS(sims_per_turn!$J$131), sims_per_turn!$J$130, 2)</f>
        <v>0.794683013127746</v>
      </c>
      <c r="M134" s="5" t="n">
        <v>18</v>
      </c>
      <c r="N134" s="1" t="n">
        <v>0.0233579399248994</v>
      </c>
    </row>
    <row r="135" customFormat="false" ht="12.8" hidden="false" customHeight="false" outlineLevel="0" collapsed="false">
      <c r="A135" s="5" t="n">
        <v>15</v>
      </c>
      <c r="B135" s="2" t="n">
        <v>0.736967328412209</v>
      </c>
      <c r="C135" s="1" t="n">
        <v>0.727501533855859</v>
      </c>
      <c r="D135" s="1" t="n">
        <f aca="false">C135-B135</f>
        <v>-0.00946579455634999</v>
      </c>
      <c r="E135" s="1" t="n">
        <f aca="false">ABS(D135)</f>
        <v>0.00946579455634999</v>
      </c>
      <c r="I135" s="1" t="s">
        <v>29</v>
      </c>
      <c r="J135" s="1" t="n">
        <f aca="false">TINV(sims_per_turn!$J$121, sims_per_turn!$J$130)</f>
        <v>2.06389856162803</v>
      </c>
      <c r="M135" s="5" t="n">
        <v>14</v>
      </c>
      <c r="N135" s="1" t="n">
        <v>0.0189108613712379</v>
      </c>
    </row>
    <row r="136" customFormat="false" ht="12.8" hidden="false" customHeight="false" outlineLevel="0" collapsed="false">
      <c r="A136" s="5" t="n">
        <v>16</v>
      </c>
      <c r="B136" s="2" t="n">
        <v>0.764104736117937</v>
      </c>
      <c r="C136" s="1" t="n">
        <v>0.69212024380659</v>
      </c>
      <c r="D136" s="1" t="n">
        <f aca="false">C136-B136</f>
        <v>-0.071984492311347</v>
      </c>
      <c r="E136" s="1" t="n">
        <f aca="false">ABS(D136)</f>
        <v>0.071984492311347</v>
      </c>
      <c r="M136" s="5" t="n">
        <v>12</v>
      </c>
      <c r="N136" s="1" t="n">
        <v>0.0163893960879231</v>
      </c>
    </row>
    <row r="137" customFormat="false" ht="12.8" hidden="false" customHeight="false" outlineLevel="0" collapsed="false">
      <c r="A137" s="5" t="n">
        <v>17</v>
      </c>
      <c r="B137" s="2" t="n">
        <v>0.722501085513047</v>
      </c>
      <c r="C137" s="1" t="n">
        <v>0.719549537838803</v>
      </c>
      <c r="D137" s="1" t="n">
        <f aca="false">C137-B137</f>
        <v>-0.00295154767424399</v>
      </c>
      <c r="E137" s="1" t="n">
        <f aca="false">ABS(D137)</f>
        <v>0.00295154767424399</v>
      </c>
      <c r="M137" s="5" t="n">
        <v>21</v>
      </c>
      <c r="N137" s="1" t="n">
        <v>0.0132079123309889</v>
      </c>
    </row>
    <row r="138" customFormat="false" ht="12.8" hidden="false" customHeight="false" outlineLevel="0" collapsed="false">
      <c r="A138" s="5" t="n">
        <v>18</v>
      </c>
      <c r="B138" s="2" t="n">
        <v>0.68518214731593</v>
      </c>
      <c r="C138" s="1" t="n">
        <v>0.708540087240829</v>
      </c>
      <c r="D138" s="1" t="n">
        <f aca="false">C138-B138</f>
        <v>0.023357939924899</v>
      </c>
      <c r="E138" s="1" t="n">
        <f aca="false">ABS(D138)</f>
        <v>0.023357939924899</v>
      </c>
      <c r="M138" s="5" t="n">
        <v>15</v>
      </c>
      <c r="N138" s="1" t="n">
        <v>0.00946579455635022</v>
      </c>
    </row>
    <row r="139" customFormat="false" ht="12.8" hidden="false" customHeight="false" outlineLevel="0" collapsed="false">
      <c r="A139" s="5" t="n">
        <v>19</v>
      </c>
      <c r="B139" s="2" t="n">
        <v>0.57422986602436</v>
      </c>
      <c r="C139" s="1" t="n">
        <v>0.706775862145744</v>
      </c>
      <c r="D139" s="1" t="n">
        <f aca="false">C139-B139</f>
        <v>0.132545996121384</v>
      </c>
      <c r="E139" s="1" t="n">
        <f aca="false">ABS(D139)</f>
        <v>0.132545996121384</v>
      </c>
      <c r="M139" s="5" t="n">
        <v>1</v>
      </c>
      <c r="N139" s="1" t="n">
        <v>0.00875372558066778</v>
      </c>
    </row>
    <row r="140" customFormat="false" ht="12.8" hidden="false" customHeight="false" outlineLevel="0" collapsed="false">
      <c r="A140" s="5" t="n">
        <v>20</v>
      </c>
      <c r="B140" s="2" t="n">
        <v>0.862814658531392</v>
      </c>
      <c r="C140" s="1" t="n">
        <v>0.810552775268533</v>
      </c>
      <c r="D140" s="1" t="n">
        <f aca="false">C140-B140</f>
        <v>-0.0522618832628591</v>
      </c>
      <c r="E140" s="1" t="n">
        <f aca="false">ABS(D140)</f>
        <v>0.0522618832628591</v>
      </c>
      <c r="M140" s="5" t="n">
        <v>23</v>
      </c>
      <c r="N140" s="1" t="n">
        <v>0.00803025986059136</v>
      </c>
    </row>
    <row r="141" customFormat="false" ht="12.8" hidden="false" customHeight="false" outlineLevel="0" collapsed="false">
      <c r="A141" s="5" t="n">
        <v>21</v>
      </c>
      <c r="B141" s="2" t="n">
        <v>0.766443599036539</v>
      </c>
      <c r="C141" s="1" t="n">
        <v>0.779651511367528</v>
      </c>
      <c r="D141" s="1" t="n">
        <f aca="false">C141-B141</f>
        <v>0.0132079123309889</v>
      </c>
      <c r="E141" s="1" t="n">
        <f aca="false">ABS(D141)</f>
        <v>0.0132079123309889</v>
      </c>
      <c r="M141" s="5" t="n">
        <v>2</v>
      </c>
      <c r="N141" s="1" t="n">
        <v>0.00623594937970773</v>
      </c>
    </row>
    <row r="142" customFormat="false" ht="12.8" hidden="false" customHeight="false" outlineLevel="0" collapsed="false">
      <c r="A142" s="5" t="n">
        <v>22</v>
      </c>
      <c r="B142" s="2" t="n">
        <v>0.757219448945817</v>
      </c>
      <c r="C142" s="1" t="n">
        <v>0.707012650930307</v>
      </c>
      <c r="D142" s="1" t="n">
        <f aca="false">C142-B142</f>
        <v>-0.0502067980155101</v>
      </c>
      <c r="E142" s="1" t="n">
        <f aca="false">ABS(D142)</f>
        <v>0.0502067980155101</v>
      </c>
      <c r="M142" s="5" t="n">
        <v>7</v>
      </c>
      <c r="N142" s="1" t="n">
        <v>0.00554233146822036</v>
      </c>
    </row>
    <row r="143" customFormat="false" ht="12.8" hidden="false" customHeight="false" outlineLevel="0" collapsed="false">
      <c r="A143" s="5" t="n">
        <v>23</v>
      </c>
      <c r="B143" s="2" t="n">
        <v>0.75138094509243</v>
      </c>
      <c r="C143" s="1" t="n">
        <v>0.759411204953021</v>
      </c>
      <c r="D143" s="1" t="n">
        <f aca="false">C143-B143</f>
        <v>0.00803025986059092</v>
      </c>
      <c r="E143" s="1" t="n">
        <f aca="false">ABS(D143)</f>
        <v>0.00803025986059092</v>
      </c>
      <c r="M143" s="5" t="n">
        <v>8</v>
      </c>
      <c r="N143" s="1" t="n">
        <v>0.0050934442471986</v>
      </c>
    </row>
    <row r="144" customFormat="false" ht="12.8" hidden="false" customHeight="false" outlineLevel="0" collapsed="false">
      <c r="A144" s="5" t="n">
        <v>24</v>
      </c>
      <c r="B144" s="2" t="n">
        <v>0.783578798476775</v>
      </c>
      <c r="C144" s="1" t="n">
        <v>0.754622185376853</v>
      </c>
      <c r="D144" s="1" t="n">
        <f aca="false">C144-B144</f>
        <v>-0.028956613099922</v>
      </c>
      <c r="E144" s="1" t="n">
        <f aca="false">ABS(D144)</f>
        <v>0.028956613099922</v>
      </c>
      <c r="M144" s="5" t="n">
        <v>6</v>
      </c>
      <c r="N144" s="1" t="n">
        <v>0.00369619123248388</v>
      </c>
    </row>
    <row r="145" customFormat="false" ht="12.8" hidden="false" customHeight="false" outlineLevel="0" collapsed="false">
      <c r="A145" s="5" t="n">
        <v>25</v>
      </c>
      <c r="B145" s="2" t="n">
        <v>0.690023913451965</v>
      </c>
      <c r="C145" s="1" t="n">
        <v>0.718662412659959</v>
      </c>
      <c r="D145" s="1" t="n">
        <f aca="false">C145-B145</f>
        <v>0.028638499207994</v>
      </c>
      <c r="E145" s="1" t="n">
        <f aca="false">ABS(D145)</f>
        <v>0.028638499207994</v>
      </c>
      <c r="M145" s="5" t="n">
        <v>17</v>
      </c>
      <c r="N145" s="1" t="n">
        <v>0.0029515476742441</v>
      </c>
    </row>
    <row r="149" customFormat="false" ht="12.8" hidden="false" customHeight="false" outlineLevel="0" collapsed="false">
      <c r="A149" s="1" t="s">
        <v>6</v>
      </c>
      <c r="B149" s="1" t="s">
        <v>4</v>
      </c>
      <c r="C149" s="1" t="s">
        <v>31</v>
      </c>
      <c r="D149" s="1" t="s">
        <v>36</v>
      </c>
      <c r="E149" s="1" t="s">
        <v>8</v>
      </c>
      <c r="F149" s="1" t="s">
        <v>9</v>
      </c>
      <c r="G149" s="1" t="s">
        <v>10</v>
      </c>
      <c r="I149" s="4" t="s">
        <v>11</v>
      </c>
      <c r="M149" s="1" t="s">
        <v>6</v>
      </c>
      <c r="N149" s="1" t="s">
        <v>37</v>
      </c>
    </row>
    <row r="150" customFormat="false" ht="12.8" hidden="false" customHeight="false" outlineLevel="0" collapsed="false">
      <c r="A150" s="5" t="n">
        <v>1</v>
      </c>
      <c r="B150" s="1" t="n">
        <v>0.829521350954824</v>
      </c>
      <c r="C150" s="1" t="n">
        <v>0.834308337570909</v>
      </c>
      <c r="D150" s="1" t="n">
        <f aca="false">C150-B150</f>
        <v>0.00478698661608501</v>
      </c>
      <c r="E150" s="1" t="n">
        <f aca="false">ABS(D150)</f>
        <v>0.00478698661608501</v>
      </c>
      <c r="F150" s="1" t="n">
        <f aca="false">AVERAGE(D150:D174)</f>
        <v>0.0134704932445745</v>
      </c>
      <c r="G150" s="1" t="n">
        <f aca="false">_xlfn.STDEV.S(D150:D174)</f>
        <v>0.0373855178980134</v>
      </c>
      <c r="I150" s="1" t="s">
        <v>13</v>
      </c>
      <c r="J150" s="1" t="n">
        <v>0.05</v>
      </c>
      <c r="M150" s="5" t="n">
        <v>3</v>
      </c>
      <c r="N150" s="1" t="n">
        <v>0.0854155882014733</v>
      </c>
    </row>
    <row r="151" customFormat="false" ht="22.35" hidden="false" customHeight="false" outlineLevel="0" collapsed="false">
      <c r="A151" s="5" t="n">
        <v>2</v>
      </c>
      <c r="B151" s="1" t="n">
        <v>0.735193711695633</v>
      </c>
      <c r="C151" s="1" t="n">
        <v>0.78737808939176</v>
      </c>
      <c r="D151" s="1" t="n">
        <f aca="false">C151-B151</f>
        <v>0.0521843776961271</v>
      </c>
      <c r="E151" s="1" t="n">
        <f aca="false">ABS(D151)</f>
        <v>0.0521843776961271</v>
      </c>
      <c r="I151" s="1" t="s">
        <v>14</v>
      </c>
      <c r="J151" s="1" t="n">
        <v>0</v>
      </c>
      <c r="M151" s="5" t="n">
        <v>19</v>
      </c>
      <c r="N151" s="1" t="n">
        <v>0.0723301285695978</v>
      </c>
    </row>
    <row r="152" customFormat="false" ht="12.8" hidden="false" customHeight="false" outlineLevel="0" collapsed="false">
      <c r="A152" s="5" t="n">
        <v>3</v>
      </c>
      <c r="B152" s="1" t="n">
        <v>0.73805452066822</v>
      </c>
      <c r="C152" s="1" t="n">
        <v>0.823470108869694</v>
      </c>
      <c r="D152" s="1" t="n">
        <f aca="false">C152-B152</f>
        <v>0.085415588201474</v>
      </c>
      <c r="E152" s="1" t="n">
        <f aca="false">ABS(D152)</f>
        <v>0.085415588201474</v>
      </c>
      <c r="J152" s="4" t="s">
        <v>16</v>
      </c>
      <c r="K152" s="4" t="s">
        <v>17</v>
      </c>
      <c r="M152" s="5" t="n">
        <v>15</v>
      </c>
      <c r="N152" s="1" t="n">
        <v>0.0713690721262111</v>
      </c>
    </row>
    <row r="153" customFormat="false" ht="12.8" hidden="false" customHeight="false" outlineLevel="0" collapsed="false">
      <c r="A153" s="5" t="n">
        <v>4</v>
      </c>
      <c r="B153" s="1" t="n">
        <v>0.639461451771152</v>
      </c>
      <c r="C153" s="1" t="n">
        <v>0.641382187119465</v>
      </c>
      <c r="D153" s="1" t="n">
        <f aca="false">C153-B153</f>
        <v>0.00192073534831305</v>
      </c>
      <c r="E153" s="1" t="n">
        <f aca="false">ABS(D153)</f>
        <v>0.00192073534831305</v>
      </c>
      <c r="I153" s="1" t="s">
        <v>18</v>
      </c>
      <c r="J153" s="1" t="n">
        <f aca="false">AVERAGE(sims_per_turn!$B$150:$B$174)</f>
        <v>0.717080485145708</v>
      </c>
      <c r="K153" s="1" t="n">
        <f aca="false">AVERAGE(sims_per_turn!$C$150:$C$174)</f>
        <v>0.730550978390282</v>
      </c>
      <c r="M153" s="5" t="n">
        <v>14</v>
      </c>
      <c r="N153" s="1" t="n">
        <v>0.0565476074352107</v>
      </c>
    </row>
    <row r="154" customFormat="false" ht="12.8" hidden="false" customHeight="false" outlineLevel="0" collapsed="false">
      <c r="A154" s="5" t="n">
        <v>5</v>
      </c>
      <c r="B154" s="1" t="n">
        <v>0.601148402331265</v>
      </c>
      <c r="C154" s="1" t="n">
        <v>0.648560742045417</v>
      </c>
      <c r="D154" s="1" t="n">
        <f aca="false">C154-B154</f>
        <v>0.047412339714152</v>
      </c>
      <c r="E154" s="1" t="n">
        <f aca="false">ABS(D154)</f>
        <v>0.047412339714152</v>
      </c>
      <c r="I154" s="1" t="s">
        <v>19</v>
      </c>
      <c r="J154" s="1" t="n">
        <f aca="false">VAR(sims_per_turn!$B$150:$B$174)</f>
        <v>0.00369439566243724</v>
      </c>
      <c r="K154" s="1" t="n">
        <f aca="false">VAR(sims_per_turn!$C$150:$C$174)</f>
        <v>0.0032014708633712</v>
      </c>
      <c r="M154" s="5" t="n">
        <v>17</v>
      </c>
      <c r="N154" s="1" t="n">
        <v>0.0536473758846339</v>
      </c>
    </row>
    <row r="155" customFormat="false" ht="12.8" hidden="false" customHeight="false" outlineLevel="0" collapsed="false">
      <c r="A155" s="5" t="n">
        <v>6</v>
      </c>
      <c r="B155" s="1" t="n">
        <v>0.773499226539065</v>
      </c>
      <c r="C155" s="1" t="n">
        <v>0.737540725804953</v>
      </c>
      <c r="D155" s="1" t="n">
        <f aca="false">C155-B155</f>
        <v>-0.035958500734112</v>
      </c>
      <c r="E155" s="1" t="n">
        <f aca="false">ABS(D155)</f>
        <v>0.035958500734112</v>
      </c>
      <c r="I155" s="1" t="s">
        <v>20</v>
      </c>
      <c r="J155" s="1" t="n">
        <f aca="false">COUNT(sims_per_turn!$B$150:$B$174)</f>
        <v>25</v>
      </c>
      <c r="K155" s="1" t="n">
        <f aca="false">COUNT(sims_per_turn!$C$150:$C$174)</f>
        <v>25</v>
      </c>
      <c r="M155" s="5" t="n">
        <v>2</v>
      </c>
      <c r="N155" s="1" t="n">
        <v>0.0521843776961275</v>
      </c>
    </row>
    <row r="156" customFormat="false" ht="12.8" hidden="false" customHeight="false" outlineLevel="0" collapsed="false">
      <c r="A156" s="5" t="n">
        <v>7</v>
      </c>
      <c r="B156" s="1" t="n">
        <v>0.65742523257328</v>
      </c>
      <c r="C156" s="1" t="n">
        <v>0.634968083396197</v>
      </c>
      <c r="D156" s="1" t="n">
        <f aca="false">C156-B156</f>
        <v>-0.022457149177083</v>
      </c>
      <c r="E156" s="1" t="n">
        <f aca="false">ABS(D156)</f>
        <v>0.022457149177083</v>
      </c>
      <c r="I156" s="1" t="s">
        <v>21</v>
      </c>
      <c r="J156" s="1" t="n">
        <f aca="false">CORREL(sims_per_turn!$B$150:$B$174,sims_per_turn!$C$150:$C$174)</f>
        <v>0.799361513947519</v>
      </c>
      <c r="M156" s="5" t="n">
        <v>5</v>
      </c>
      <c r="N156" s="1" t="n">
        <v>0.0474123397141523</v>
      </c>
    </row>
    <row r="157" customFormat="false" ht="22.35" hidden="false" customHeight="false" outlineLevel="0" collapsed="false">
      <c r="A157" s="5" t="n">
        <v>8</v>
      </c>
      <c r="B157" s="1" t="n">
        <v>0.712613137045905</v>
      </c>
      <c r="C157" s="1" t="n">
        <v>0.746400854814908</v>
      </c>
      <c r="D157" s="1" t="n">
        <f aca="false">C157-B157</f>
        <v>0.033787717769003</v>
      </c>
      <c r="E157" s="1" t="n">
        <f aca="false">ABS(D157)</f>
        <v>0.033787717769003</v>
      </c>
      <c r="I157" s="1" t="s">
        <v>22</v>
      </c>
      <c r="J157" s="1" t="n">
        <f aca="false" t="array" ref="J157:J157">AVERAGE(IF(ISODD(IF(ISNUMBER(sims_per_turn!$B$150:$B$174), 1, 0) * IF(ISNUMBER(sims_per_turn!$C$150:$C$174), 1, 0)), sims_per_turn!$B$150:$B$174 - sims_per_turn!$C$150:$C$174, "NA"))</f>
        <v>-0.0134704932445745</v>
      </c>
      <c r="M157" s="5" t="n">
        <v>10</v>
      </c>
      <c r="N157" s="1" t="n">
        <v>0.0420533546720007</v>
      </c>
    </row>
    <row r="158" customFormat="false" ht="22.35" hidden="false" customHeight="false" outlineLevel="0" collapsed="false">
      <c r="A158" s="5" t="n">
        <v>9</v>
      </c>
      <c r="B158" s="1" t="n">
        <v>0.695082856151577</v>
      </c>
      <c r="C158" s="1" t="n">
        <v>0.688805343346949</v>
      </c>
      <c r="D158" s="1" t="n">
        <f aca="false">C158-B158</f>
        <v>-0.00627751280462807</v>
      </c>
      <c r="E158" s="1" t="n">
        <f aca="false">ABS(D158)</f>
        <v>0.00627751280462807</v>
      </c>
      <c r="I158" s="1" t="s">
        <v>23</v>
      </c>
      <c r="J158" s="1" t="n">
        <f aca="false" t="array" ref="J158:J158">VAR(IF(ISODD(IF(ISNUMBER(sims_per_turn!$B$150:$B$174), 1, 0) * IF(ISNUMBER(sims_per_turn!$C$150:$C$174), 1, 0)), sims_per_turn!$B$150:$B$174 - sims_per_turn!$C$150:$C$174, "NA"))</f>
        <v>0.00139767694850268</v>
      </c>
      <c r="M158" s="5" t="n">
        <v>6</v>
      </c>
      <c r="N158" s="1" t="n">
        <v>0.0359585007341122</v>
      </c>
    </row>
    <row r="159" customFormat="false" ht="12.8" hidden="false" customHeight="false" outlineLevel="0" collapsed="false">
      <c r="A159" s="5" t="n">
        <v>10</v>
      </c>
      <c r="B159" s="1" t="n">
        <v>0.70158644000236</v>
      </c>
      <c r="C159" s="1" t="n">
        <v>0.743639794674361</v>
      </c>
      <c r="D159" s="1" t="n">
        <f aca="false">C159-B159</f>
        <v>0.042053354672001</v>
      </c>
      <c r="E159" s="1" t="n">
        <f aca="false">ABS(D159)</f>
        <v>0.042053354672001</v>
      </c>
      <c r="I159" s="1" t="s">
        <v>24</v>
      </c>
      <c r="J159" s="1" t="n">
        <f aca="false" t="array" ref="J159:J159">SUM(IF(ISNUMBER(sims_per_turn!$B$150:$B$174), 1, 0) * IF(ISNUMBER(sims_per_turn!$C$150:$C$174), 1, 0)) - 1</f>
        <v>24</v>
      </c>
      <c r="M159" s="5" t="n">
        <v>23</v>
      </c>
      <c r="N159" s="1" t="n">
        <v>0.0357274441986782</v>
      </c>
    </row>
    <row r="160" customFormat="false" ht="12.8" hidden="false" customHeight="false" outlineLevel="0" collapsed="false">
      <c r="A160" s="5" t="n">
        <v>11</v>
      </c>
      <c r="B160" s="1" t="n">
        <v>0.697028043689582</v>
      </c>
      <c r="C160" s="1" t="n">
        <v>0.7131914659308</v>
      </c>
      <c r="D160" s="1" t="n">
        <f aca="false">C160-B160</f>
        <v>0.0161634222412179</v>
      </c>
      <c r="E160" s="1" t="n">
        <f aca="false">ABS(D160)</f>
        <v>0.0161634222412179</v>
      </c>
      <c r="I160" s="1" t="s">
        <v>25</v>
      </c>
      <c r="J160" s="1" t="n">
        <f aca="false">(sims_per_turn!$J$157 - sims_per_turn!$J$151) / (sims_per_turn!$J$158 / ( sims_per_turn!$J$159 + 1)) ^ 0.5</f>
        <v>-1.80156568665461</v>
      </c>
      <c r="M160" s="5" t="n">
        <v>8</v>
      </c>
      <c r="N160" s="1" t="n">
        <v>0.0337877177690028</v>
      </c>
    </row>
    <row r="161" customFormat="false" ht="12.8" hidden="false" customHeight="false" outlineLevel="0" collapsed="false">
      <c r="A161" s="5" t="n">
        <v>12</v>
      </c>
      <c r="B161" s="1" t="n">
        <v>0.780558840331467</v>
      </c>
      <c r="C161" s="1" t="n">
        <v>0.767138956921052</v>
      </c>
      <c r="D161" s="1" t="n">
        <f aca="false">C161-B161</f>
        <v>-0.013419883410415</v>
      </c>
      <c r="E161" s="1" t="n">
        <f aca="false">ABS(D161)</f>
        <v>0.013419883410415</v>
      </c>
      <c r="I161" s="1" t="s">
        <v>26</v>
      </c>
      <c r="J161" s="1" t="n">
        <f aca="false">TDIST(ABS(sims_per_turn!$J$160), sims_per_turn!$J$159, 1)</f>
        <v>0.0420956362209108</v>
      </c>
      <c r="M161" s="5" t="n">
        <v>18</v>
      </c>
      <c r="N161" s="1" t="n">
        <v>0.0296220211997781</v>
      </c>
    </row>
    <row r="162" customFormat="false" ht="12.8" hidden="false" customHeight="false" outlineLevel="0" collapsed="false">
      <c r="A162" s="5" t="n">
        <v>13</v>
      </c>
      <c r="B162" s="1" t="n">
        <v>0.720814394600414</v>
      </c>
      <c r="C162" s="1" t="n">
        <v>0.725689268577004</v>
      </c>
      <c r="D162" s="1" t="n">
        <f aca="false">C162-B162</f>
        <v>0.00487487397659003</v>
      </c>
      <c r="E162" s="1" t="n">
        <f aca="false">ABS(D162)</f>
        <v>0.00487487397659003</v>
      </c>
      <c r="I162" s="1" t="s">
        <v>27</v>
      </c>
      <c r="J162" s="1" t="n">
        <f aca="false">TINV(2*sims_per_turn!$J$150, sims_per_turn!$J$159)</f>
        <v>1.71088207990943</v>
      </c>
      <c r="M162" s="5" t="n">
        <v>20</v>
      </c>
      <c r="N162" s="1" t="n">
        <v>0.0294903267234445</v>
      </c>
    </row>
    <row r="163" customFormat="false" ht="12.8" hidden="false" customHeight="false" outlineLevel="0" collapsed="false">
      <c r="A163" s="5" t="n">
        <v>14</v>
      </c>
      <c r="B163" s="1" t="n">
        <v>0.740298991398541</v>
      </c>
      <c r="C163" s="1" t="n">
        <v>0.68375138396333</v>
      </c>
      <c r="D163" s="1" t="n">
        <f aca="false">C163-B163</f>
        <v>-0.056547607435211</v>
      </c>
      <c r="E163" s="1" t="n">
        <f aca="false">ABS(D163)</f>
        <v>0.056547607435211</v>
      </c>
      <c r="I163" s="1" t="s">
        <v>28</v>
      </c>
      <c r="J163" s="1" t="n">
        <f aca="false">TDIST(ABS(sims_per_turn!$J$160), sims_per_turn!$J$159, 2)</f>
        <v>0.0841912724418215</v>
      </c>
      <c r="M163" s="5" t="n">
        <v>25</v>
      </c>
      <c r="N163" s="1" t="n">
        <v>0.0231549328993202</v>
      </c>
    </row>
    <row r="164" customFormat="false" ht="12.8" hidden="false" customHeight="false" outlineLevel="0" collapsed="false">
      <c r="A164" s="5" t="n">
        <v>15</v>
      </c>
      <c r="B164" s="1" t="n">
        <v>0.70744158301379</v>
      </c>
      <c r="C164" s="1" t="n">
        <v>0.778810655140002</v>
      </c>
      <c r="D164" s="1" t="n">
        <f aca="false">C164-B164</f>
        <v>0.071369072126212</v>
      </c>
      <c r="E164" s="1" t="n">
        <f aca="false">ABS(D164)</f>
        <v>0.071369072126212</v>
      </c>
      <c r="I164" s="1" t="s">
        <v>29</v>
      </c>
      <c r="J164" s="1" t="n">
        <f aca="false">TINV(sims_per_turn!$J$150, sims_per_turn!$J$159)</f>
        <v>2.06389856162803</v>
      </c>
      <c r="M164" s="5" t="n">
        <v>7</v>
      </c>
      <c r="N164" s="1" t="n">
        <v>0.022457149177083</v>
      </c>
    </row>
    <row r="165" customFormat="false" ht="12.8" hidden="false" customHeight="false" outlineLevel="0" collapsed="false">
      <c r="A165" s="5" t="n">
        <v>16</v>
      </c>
      <c r="B165" s="1" t="n">
        <v>0.719125866172455</v>
      </c>
      <c r="C165" s="1" t="n">
        <v>0.720712807955728</v>
      </c>
      <c r="D165" s="1" t="n">
        <f aca="false">C165-B165</f>
        <v>0.00158694178327301</v>
      </c>
      <c r="E165" s="1" t="n">
        <f aca="false">ABS(D165)</f>
        <v>0.00158694178327301</v>
      </c>
      <c r="M165" s="5" t="n">
        <v>24</v>
      </c>
      <c r="N165" s="1" t="n">
        <v>0.0210827450131853</v>
      </c>
    </row>
    <row r="166" customFormat="false" ht="12.8" hidden="false" customHeight="false" outlineLevel="0" collapsed="false">
      <c r="A166" s="5" t="n">
        <v>17</v>
      </c>
      <c r="B166" s="1" t="n">
        <v>0.718889384668267</v>
      </c>
      <c r="C166" s="1" t="n">
        <v>0.772536760552901</v>
      </c>
      <c r="D166" s="1" t="n">
        <f aca="false">C166-B166</f>
        <v>0.053647375884634</v>
      </c>
      <c r="E166" s="1" t="n">
        <f aca="false">ABS(D166)</f>
        <v>0.053647375884634</v>
      </c>
      <c r="M166" s="5" t="n">
        <v>11</v>
      </c>
      <c r="N166" s="1" t="n">
        <v>0.0161634222412183</v>
      </c>
    </row>
    <row r="167" customFormat="false" ht="12.8" hidden="false" customHeight="false" outlineLevel="0" collapsed="false">
      <c r="A167" s="5" t="n">
        <v>18</v>
      </c>
      <c r="B167" s="1" t="n">
        <v>0.735022492301164</v>
      </c>
      <c r="C167" s="1" t="n">
        <v>0.705400471101386</v>
      </c>
      <c r="D167" s="1" t="n">
        <f aca="false">C167-B167</f>
        <v>-0.029622021199778</v>
      </c>
      <c r="E167" s="1" t="n">
        <f aca="false">ABS(D167)</f>
        <v>0.029622021199778</v>
      </c>
      <c r="M167" s="5" t="n">
        <v>12</v>
      </c>
      <c r="N167" s="1" t="n">
        <v>0.0134198834104146</v>
      </c>
    </row>
    <row r="168" customFormat="false" ht="12.8" hidden="false" customHeight="false" outlineLevel="0" collapsed="false">
      <c r="A168" s="5" t="n">
        <v>19</v>
      </c>
      <c r="B168" s="1" t="n">
        <v>0.581700376323851</v>
      </c>
      <c r="C168" s="1" t="n">
        <v>0.654030504893449</v>
      </c>
      <c r="D168" s="1" t="n">
        <f aca="false">C168-B168</f>
        <v>0.0723301285695981</v>
      </c>
      <c r="E168" s="1" t="n">
        <f aca="false">ABS(D168)</f>
        <v>0.0723301285695981</v>
      </c>
      <c r="M168" s="5" t="n">
        <v>22</v>
      </c>
      <c r="N168" s="1" t="n">
        <v>0.0113745812833386</v>
      </c>
    </row>
    <row r="169" customFormat="false" ht="12.8" hidden="false" customHeight="false" outlineLevel="0" collapsed="false">
      <c r="A169" s="5" t="n">
        <v>20</v>
      </c>
      <c r="B169" s="1" t="n">
        <v>0.849425390022398</v>
      </c>
      <c r="C169" s="1" t="n">
        <v>0.819935063298953</v>
      </c>
      <c r="D169" s="1" t="n">
        <f aca="false">C169-B169</f>
        <v>-0.029490326723445</v>
      </c>
      <c r="E169" s="1" t="n">
        <f aca="false">ABS(D169)</f>
        <v>0.029490326723445</v>
      </c>
      <c r="M169" s="5" t="n">
        <v>9</v>
      </c>
      <c r="N169" s="1" t="n">
        <v>0.00627751280462807</v>
      </c>
    </row>
    <row r="170" customFormat="false" ht="12.8" hidden="false" customHeight="false" outlineLevel="0" collapsed="false">
      <c r="A170" s="5" t="n">
        <v>21</v>
      </c>
      <c r="B170" s="1" t="n">
        <v>0.782107085098168</v>
      </c>
      <c r="C170" s="1" t="n">
        <v>0.775935289730371</v>
      </c>
      <c r="D170" s="1" t="n">
        <f aca="false">C170-B170</f>
        <v>-0.006171795367797</v>
      </c>
      <c r="E170" s="1" t="n">
        <f aca="false">ABS(D170)</f>
        <v>0.006171795367797</v>
      </c>
      <c r="M170" s="5" t="n">
        <v>21</v>
      </c>
      <c r="N170" s="1" t="n">
        <v>0.00617179536779733</v>
      </c>
    </row>
    <row r="171" customFormat="false" ht="12.8" hidden="false" customHeight="false" outlineLevel="0" collapsed="false">
      <c r="A171" s="5" t="n">
        <v>22</v>
      </c>
      <c r="B171" s="1" t="n">
        <v>0.677931474696056</v>
      </c>
      <c r="C171" s="1" t="n">
        <v>0.689306055979394</v>
      </c>
      <c r="D171" s="1" t="n">
        <f aca="false">C171-B171</f>
        <v>0.011374581283338</v>
      </c>
      <c r="E171" s="1" t="n">
        <f aca="false">ABS(D171)</f>
        <v>0.011374581283338</v>
      </c>
      <c r="M171" s="5" t="n">
        <v>13</v>
      </c>
      <c r="N171" s="1" t="n">
        <v>0.00487487397659059</v>
      </c>
    </row>
    <row r="172" customFormat="false" ht="12.8" hidden="false" customHeight="false" outlineLevel="0" collapsed="false">
      <c r="A172" s="5" t="n">
        <v>23</v>
      </c>
      <c r="B172" s="1" t="n">
        <v>0.722134922473597</v>
      </c>
      <c r="C172" s="1" t="n">
        <v>0.757862366672276</v>
      </c>
      <c r="D172" s="1" t="n">
        <f aca="false">C172-B172</f>
        <v>0.035727444198679</v>
      </c>
      <c r="E172" s="1" t="n">
        <f aca="false">ABS(D172)</f>
        <v>0.035727444198679</v>
      </c>
      <c r="M172" s="5" t="n">
        <v>1</v>
      </c>
      <c r="N172" s="1" t="n">
        <v>0.00478698661608501</v>
      </c>
    </row>
    <row r="173" customFormat="false" ht="12.8" hidden="false" customHeight="false" outlineLevel="0" collapsed="false">
      <c r="A173" s="5" t="n">
        <v>24</v>
      </c>
      <c r="B173" s="1" t="n">
        <v>0.727810414332614</v>
      </c>
      <c r="C173" s="1" t="n">
        <v>0.706727669319429</v>
      </c>
      <c r="D173" s="1" t="n">
        <f aca="false">C173-B173</f>
        <v>-0.021082745013185</v>
      </c>
      <c r="E173" s="1" t="n">
        <f aca="false">ABS(D173)</f>
        <v>0.021082745013185</v>
      </c>
      <c r="M173" s="5" t="n">
        <v>4</v>
      </c>
      <c r="N173" s="1" t="n">
        <v>0.00192073534831383</v>
      </c>
    </row>
    <row r="174" customFormat="false" ht="12.8" hidden="false" customHeight="false" outlineLevel="0" collapsed="false">
      <c r="A174" s="5" t="n">
        <v>25</v>
      </c>
      <c r="B174" s="1" t="n">
        <v>0.68313653978705</v>
      </c>
      <c r="C174" s="1" t="n">
        <v>0.70629147268637</v>
      </c>
      <c r="D174" s="1" t="n">
        <f aca="false">C174-B174</f>
        <v>0.02315493289932</v>
      </c>
      <c r="E174" s="1" t="n">
        <f aca="false">ABS(D174)</f>
        <v>0.02315493289932</v>
      </c>
      <c r="M174" s="5" t="n">
        <v>16</v>
      </c>
      <c r="N174" s="1" t="n">
        <v>0.0015869417832729</v>
      </c>
    </row>
    <row r="178" customFormat="false" ht="12.8" hidden="false" customHeight="false" outlineLevel="0" collapsed="false">
      <c r="A178" s="1" t="s">
        <v>6</v>
      </c>
      <c r="B178" s="1" t="s">
        <v>4</v>
      </c>
      <c r="C178" s="1" t="s">
        <v>1</v>
      </c>
      <c r="D178" s="1" t="s">
        <v>38</v>
      </c>
      <c r="E178" s="1" t="s">
        <v>8</v>
      </c>
      <c r="F178" s="1" t="s">
        <v>9</v>
      </c>
      <c r="G178" s="1" t="s">
        <v>10</v>
      </c>
      <c r="I178" s="4" t="s">
        <v>11</v>
      </c>
      <c r="M178" s="1" t="s">
        <v>6</v>
      </c>
      <c r="N178" s="1" t="s">
        <v>39</v>
      </c>
    </row>
    <row r="179" customFormat="false" ht="12.8" hidden="false" customHeight="false" outlineLevel="0" collapsed="false">
      <c r="A179" s="5" t="n">
        <v>1</v>
      </c>
      <c r="B179" s="1" t="n">
        <v>0.829521350954824</v>
      </c>
      <c r="C179" s="1" t="n">
        <v>0.829083516979224</v>
      </c>
      <c r="D179" s="1" t="n">
        <f aca="false">C179-B179</f>
        <v>-0.000437833975600044</v>
      </c>
      <c r="E179" s="1" t="n">
        <f aca="false">ABS(D179)</f>
        <v>0.000437833975600044</v>
      </c>
      <c r="F179" s="1" t="n">
        <f aca="false">AVERAGE(D179:D203)</f>
        <v>0.0159609024699961</v>
      </c>
      <c r="G179" s="1" t="n">
        <f aca="false">_xlfn.STDEV.S(D179:D203)</f>
        <v>0.0405171511382869</v>
      </c>
      <c r="I179" s="1" t="s">
        <v>13</v>
      </c>
      <c r="J179" s="1" t="n">
        <v>0.05</v>
      </c>
      <c r="M179" s="5" t="n">
        <v>19</v>
      </c>
      <c r="N179" s="1" t="n">
        <v>0.125075485821893</v>
      </c>
    </row>
    <row r="180" customFormat="false" ht="22.35" hidden="false" customHeight="false" outlineLevel="0" collapsed="false">
      <c r="A180" s="5" t="n">
        <v>2</v>
      </c>
      <c r="B180" s="1" t="n">
        <v>0.735193711695633</v>
      </c>
      <c r="C180" s="1" t="n">
        <v>0.766444903472076</v>
      </c>
      <c r="D180" s="1" t="n">
        <f aca="false">C180-B180</f>
        <v>0.031251191776443</v>
      </c>
      <c r="E180" s="1" t="n">
        <f aca="false">ABS(D180)</f>
        <v>0.031251191776443</v>
      </c>
      <c r="I180" s="1" t="s">
        <v>14</v>
      </c>
      <c r="J180" s="1" t="n">
        <v>0</v>
      </c>
      <c r="M180" s="5" t="n">
        <v>3</v>
      </c>
      <c r="N180" s="1" t="n">
        <v>0.0827604065079922</v>
      </c>
    </row>
    <row r="181" customFormat="false" ht="12.8" hidden="false" customHeight="false" outlineLevel="0" collapsed="false">
      <c r="A181" s="5" t="n">
        <v>3</v>
      </c>
      <c r="B181" s="1" t="n">
        <v>0.73805452066822</v>
      </c>
      <c r="C181" s="1" t="n">
        <v>0.820814927176212</v>
      </c>
      <c r="D181" s="1" t="n">
        <f aca="false">C181-B181</f>
        <v>0.082760406507992</v>
      </c>
      <c r="E181" s="1" t="n">
        <f aca="false">ABS(D181)</f>
        <v>0.082760406507992</v>
      </c>
      <c r="J181" s="4" t="s">
        <v>16</v>
      </c>
      <c r="K181" s="4" t="s">
        <v>17</v>
      </c>
      <c r="M181" s="5" t="n">
        <v>9</v>
      </c>
      <c r="N181" s="1" t="n">
        <v>0.0680715804198886</v>
      </c>
    </row>
    <row r="182" customFormat="false" ht="12.8" hidden="false" customHeight="false" outlineLevel="0" collapsed="false">
      <c r="A182" s="5" t="n">
        <v>4</v>
      </c>
      <c r="B182" s="1" t="n">
        <v>0.639461451771152</v>
      </c>
      <c r="C182" s="1" t="n">
        <v>0.589340681428011</v>
      </c>
      <c r="D182" s="1" t="n">
        <f aca="false">C182-B182</f>
        <v>-0.050120770343141</v>
      </c>
      <c r="E182" s="1" t="n">
        <f aca="false">ABS(D182)</f>
        <v>0.050120770343141</v>
      </c>
      <c r="I182" s="1" t="s">
        <v>18</v>
      </c>
      <c r="J182" s="1" t="n">
        <f aca="false">AVERAGE(sims_per_turn!$B$178:$B$203)</f>
        <v>0.717080485145708</v>
      </c>
      <c r="K182" s="1" t="n">
        <f aca="false">AVERAGE(sims_per_turn!$C$178:$C$203)</f>
        <v>0.733041387615704</v>
      </c>
      <c r="M182" s="5" t="n">
        <v>5</v>
      </c>
      <c r="N182" s="1" t="n">
        <v>0.0512084910090372</v>
      </c>
    </row>
    <row r="183" customFormat="false" ht="12.8" hidden="false" customHeight="false" outlineLevel="0" collapsed="false">
      <c r="A183" s="5" t="n">
        <v>5</v>
      </c>
      <c r="B183" s="1" t="n">
        <v>0.601148402331265</v>
      </c>
      <c r="C183" s="1" t="n">
        <v>0.549939911322228</v>
      </c>
      <c r="D183" s="1" t="n">
        <f aca="false">C183-B183</f>
        <v>-0.051208491009037</v>
      </c>
      <c r="E183" s="1" t="n">
        <f aca="false">ABS(D183)</f>
        <v>0.051208491009037</v>
      </c>
      <c r="I183" s="1" t="s">
        <v>19</v>
      </c>
      <c r="J183" s="1" t="n">
        <f aca="false">VAR(sims_per_turn!$B$178:$B$203)</f>
        <v>0.00369439566243724</v>
      </c>
      <c r="K183" s="1" t="n">
        <f aca="false">VAR(sims_per_turn!$C$178:$C$203)</f>
        <v>0.00428805866426504</v>
      </c>
      <c r="M183" s="5" t="n">
        <v>4</v>
      </c>
      <c r="N183" s="1" t="n">
        <v>0.0501207703431406</v>
      </c>
    </row>
    <row r="184" customFormat="false" ht="12.8" hidden="false" customHeight="false" outlineLevel="0" collapsed="false">
      <c r="A184" s="5" t="n">
        <v>6</v>
      </c>
      <c r="B184" s="1" t="n">
        <v>0.773499226539065</v>
      </c>
      <c r="C184" s="1" t="n">
        <v>0.806301302771949</v>
      </c>
      <c r="D184" s="1" t="n">
        <f aca="false">C184-B184</f>
        <v>0.032802076232884</v>
      </c>
      <c r="E184" s="1" t="n">
        <f aca="false">ABS(D184)</f>
        <v>0.032802076232884</v>
      </c>
      <c r="I184" s="1" t="s">
        <v>20</v>
      </c>
      <c r="J184" s="1" t="n">
        <f aca="false">COUNT(sims_per_turn!$B$178:$B$203)</f>
        <v>25</v>
      </c>
      <c r="K184" s="1" t="n">
        <f aca="false">COUNT(sims_per_turn!$C$178:$C$203)</f>
        <v>25</v>
      </c>
      <c r="M184" s="5" t="n">
        <v>10</v>
      </c>
      <c r="N184" s="1" t="n">
        <v>0.043712386490088</v>
      </c>
    </row>
    <row r="185" customFormat="false" ht="12.8" hidden="false" customHeight="false" outlineLevel="0" collapsed="false">
      <c r="A185" s="5" t="n">
        <v>7</v>
      </c>
      <c r="B185" s="1" t="n">
        <v>0.65742523257328</v>
      </c>
      <c r="C185" s="1" t="n">
        <v>0.654420747897195</v>
      </c>
      <c r="D185" s="1" t="n">
        <f aca="false">C185-B185</f>
        <v>-0.00300448467608505</v>
      </c>
      <c r="E185" s="1" t="n">
        <f aca="false">ABS(D185)</f>
        <v>0.00300448467608505</v>
      </c>
      <c r="I185" s="1" t="s">
        <v>21</v>
      </c>
      <c r="J185" s="1" t="n">
        <f aca="false">CORREL(sims_per_turn!$B$178:$B$203,sims_per_turn!$C$178:$C$203)</f>
        <v>0.796549942094706</v>
      </c>
      <c r="M185" s="5" t="n">
        <v>20</v>
      </c>
      <c r="N185" s="1" t="n">
        <v>0.0388726147538646</v>
      </c>
    </row>
    <row r="186" customFormat="false" ht="22.35" hidden="false" customHeight="false" outlineLevel="0" collapsed="false">
      <c r="A186" s="5" t="n">
        <v>8</v>
      </c>
      <c r="B186" s="1" t="n">
        <v>0.712613137045905</v>
      </c>
      <c r="C186" s="1" t="n">
        <v>0.747457006954611</v>
      </c>
      <c r="D186" s="1" t="n">
        <f aca="false">C186-B186</f>
        <v>0.034843869908706</v>
      </c>
      <c r="E186" s="1" t="n">
        <f aca="false">ABS(D186)</f>
        <v>0.034843869908706</v>
      </c>
      <c r="I186" s="1" t="s">
        <v>22</v>
      </c>
      <c r="J186" s="1" t="n">
        <f aca="false" t="array" ref="J186:J186">AVERAGE(IF(ISODD(IF(ISNUMBER(sims_per_turn!$B$178:$B$203), 1, 0) * IF(ISNUMBER(sims_per_turn!$C$178:$C$203), 1, 0)), sims_per_turn!$B$178:$B$203 - sims_per_turn!$C$178:$C$203, "NA"))</f>
        <v>-0.0159609024699961</v>
      </c>
      <c r="M186" s="5" t="n">
        <v>23</v>
      </c>
      <c r="N186" s="1" t="n">
        <v>0.0372762824794242</v>
      </c>
    </row>
    <row r="187" customFormat="false" ht="22.35" hidden="false" customHeight="false" outlineLevel="0" collapsed="false">
      <c r="A187" s="5" t="n">
        <v>9</v>
      </c>
      <c r="B187" s="1" t="n">
        <v>0.695082856151577</v>
      </c>
      <c r="C187" s="1" t="n">
        <v>0.763154436571465</v>
      </c>
      <c r="D187" s="1" t="n">
        <f aca="false">C187-B187</f>
        <v>0.0680715804198879</v>
      </c>
      <c r="E187" s="1" t="n">
        <f aca="false">ABS(D187)</f>
        <v>0.0680715804198879</v>
      </c>
      <c r="I187" s="1" t="s">
        <v>23</v>
      </c>
      <c r="J187" s="1" t="n">
        <f aca="false" t="array" ref="J187:J187">VAR(IF(ISODD(IF(ISNUMBER(sims_per_turn!$B$178:$B$203), 1, 0) * IF(ISNUMBER(sims_per_turn!$C$178:$C$203), 1, 0)), sims_per_turn!$B$178:$B$203 - sims_per_turn!$C$178:$C$203, "NA"))</f>
        <v>0.00164163953636278</v>
      </c>
      <c r="M187" s="5" t="n">
        <v>25</v>
      </c>
      <c r="N187" s="1" t="n">
        <v>0.0355258728729091</v>
      </c>
    </row>
    <row r="188" customFormat="false" ht="12.8" hidden="false" customHeight="false" outlineLevel="0" collapsed="false">
      <c r="A188" s="5" t="n">
        <v>10</v>
      </c>
      <c r="B188" s="1" t="n">
        <v>0.70158644000236</v>
      </c>
      <c r="C188" s="1" t="n">
        <v>0.745298826492448</v>
      </c>
      <c r="D188" s="1" t="n">
        <f aca="false">C188-B188</f>
        <v>0.043712386490088</v>
      </c>
      <c r="E188" s="1" t="n">
        <f aca="false">ABS(D188)</f>
        <v>0.043712386490088</v>
      </c>
      <c r="I188" s="1" t="s">
        <v>24</v>
      </c>
      <c r="J188" s="1" t="n">
        <f aca="false" t="array" ref="J188:J188">SUM(IF(ISNUMBER(sims_per_turn!$B$178:$B$203), 1, 0) * IF(ISNUMBER(sims_per_turn!$C$178:$C$203), 1, 0)) - 1</f>
        <v>24</v>
      </c>
      <c r="M188" s="5" t="n">
        <v>8</v>
      </c>
      <c r="N188" s="1" t="n">
        <v>0.034843869908706</v>
      </c>
    </row>
    <row r="189" customFormat="false" ht="12.8" hidden="false" customHeight="false" outlineLevel="0" collapsed="false">
      <c r="A189" s="5" t="n">
        <v>11</v>
      </c>
      <c r="B189" s="1" t="n">
        <v>0.697028043689582</v>
      </c>
      <c r="C189" s="1" t="n">
        <v>0.703599427390625</v>
      </c>
      <c r="D189" s="1" t="n">
        <f aca="false">C189-B189</f>
        <v>0.00657138370104293</v>
      </c>
      <c r="E189" s="1" t="n">
        <f aca="false">ABS(D189)</f>
        <v>0.00657138370104293</v>
      </c>
      <c r="I189" s="1" t="s">
        <v>25</v>
      </c>
      <c r="J189" s="1" t="n">
        <f aca="false">(sims_per_turn!$J$186 - sims_per_turn!$J$180) / (sims_per_turn!$J$187 / ( sims_per_turn!$J$188 + 1)) ^ 0.5</f>
        <v>-1.96964767038047</v>
      </c>
      <c r="M189" s="5" t="n">
        <v>6</v>
      </c>
      <c r="N189" s="1" t="n">
        <v>0.0328020762328838</v>
      </c>
    </row>
    <row r="190" customFormat="false" ht="12.8" hidden="false" customHeight="false" outlineLevel="0" collapsed="false">
      <c r="A190" s="5" t="n">
        <v>12</v>
      </c>
      <c r="B190" s="1" t="n">
        <v>0.780558840331467</v>
      </c>
      <c r="C190" s="1" t="n">
        <v>0.792291119607581</v>
      </c>
      <c r="D190" s="1" t="n">
        <f aca="false">C190-B190</f>
        <v>0.011732279276114</v>
      </c>
      <c r="E190" s="1" t="n">
        <f aca="false">ABS(D190)</f>
        <v>0.011732279276114</v>
      </c>
      <c r="I190" s="1" t="s">
        <v>26</v>
      </c>
      <c r="J190" s="1" t="n">
        <f aca="false">TDIST(ABS(sims_per_turn!$J$189), sims_per_turn!$J$188, 1)</f>
        <v>0.0302626927335804</v>
      </c>
      <c r="M190" s="5" t="n">
        <v>2</v>
      </c>
      <c r="N190" s="1" t="n">
        <v>0.0312511917764431</v>
      </c>
    </row>
    <row r="191" customFormat="false" ht="12.8" hidden="false" customHeight="false" outlineLevel="0" collapsed="false">
      <c r="A191" s="5" t="n">
        <v>13</v>
      </c>
      <c r="B191" s="1" t="n">
        <v>0.720814394600414</v>
      </c>
      <c r="C191" s="1" t="n">
        <v>0.742748844142451</v>
      </c>
      <c r="D191" s="1" t="n">
        <f aca="false">C191-B191</f>
        <v>0.0219344495420371</v>
      </c>
      <c r="E191" s="1" t="n">
        <f aca="false">ABS(D191)</f>
        <v>0.0219344495420371</v>
      </c>
      <c r="I191" s="1" t="s">
        <v>27</v>
      </c>
      <c r="J191" s="1" t="n">
        <f aca="false">TINV(2*sims_per_turn!$J$179, sims_per_turn!$J$188)</f>
        <v>1.71088207990943</v>
      </c>
      <c r="M191" s="5" t="n">
        <v>22</v>
      </c>
      <c r="N191" s="1" t="n">
        <v>0.0290811762342514</v>
      </c>
    </row>
    <row r="192" customFormat="false" ht="12.8" hidden="false" customHeight="false" outlineLevel="0" collapsed="false">
      <c r="A192" s="5" t="n">
        <v>14</v>
      </c>
      <c r="B192" s="1" t="n">
        <v>0.740298991398541</v>
      </c>
      <c r="C192" s="1" t="n">
        <v>0.730739032742495</v>
      </c>
      <c r="D192" s="1" t="n">
        <f aca="false">C192-B192</f>
        <v>-0.00955995865604609</v>
      </c>
      <c r="E192" s="1" t="n">
        <f aca="false">ABS(D192)</f>
        <v>0.00955995865604609</v>
      </c>
      <c r="I192" s="1" t="s">
        <v>28</v>
      </c>
      <c r="J192" s="1" t="n">
        <f aca="false">TDIST(ABS(sims_per_turn!$J$189), sims_per_turn!$J$188, 2)</f>
        <v>0.0605253854671607</v>
      </c>
      <c r="M192" s="5" t="n">
        <v>16</v>
      </c>
      <c r="N192" s="1" t="n">
        <v>0.0270056223658653</v>
      </c>
    </row>
    <row r="193" customFormat="false" ht="12.8" hidden="false" customHeight="false" outlineLevel="0" collapsed="false">
      <c r="A193" s="5" t="n">
        <v>15</v>
      </c>
      <c r="B193" s="1" t="n">
        <v>0.70744158301379</v>
      </c>
      <c r="C193" s="1" t="n">
        <v>0.727501533855859</v>
      </c>
      <c r="D193" s="1" t="n">
        <f aca="false">C193-B193</f>
        <v>0.020059950842069</v>
      </c>
      <c r="E193" s="1" t="n">
        <f aca="false">ABS(D193)</f>
        <v>0.020059950842069</v>
      </c>
      <c r="I193" s="1" t="s">
        <v>29</v>
      </c>
      <c r="J193" s="1" t="n">
        <f aca="false">TINV(sims_per_turn!$J$179, sims_per_turn!$J$188)</f>
        <v>2.06389856162803</v>
      </c>
      <c r="M193" s="5" t="n">
        <v>24</v>
      </c>
      <c r="N193" s="1" t="n">
        <v>0.0268117710442385</v>
      </c>
    </row>
    <row r="194" customFormat="false" ht="12.8" hidden="false" customHeight="false" outlineLevel="0" collapsed="false">
      <c r="A194" s="5" t="n">
        <v>16</v>
      </c>
      <c r="B194" s="1" t="n">
        <v>0.719125866172455</v>
      </c>
      <c r="C194" s="1" t="n">
        <v>0.69212024380659</v>
      </c>
      <c r="D194" s="1" t="n">
        <f aca="false">C194-B194</f>
        <v>-0.027005622365865</v>
      </c>
      <c r="E194" s="1" t="n">
        <f aca="false">ABS(D194)</f>
        <v>0.027005622365865</v>
      </c>
      <c r="M194" s="5" t="n">
        <v>18</v>
      </c>
      <c r="N194" s="1" t="n">
        <v>0.0264824050603345</v>
      </c>
    </row>
    <row r="195" customFormat="false" ht="12.8" hidden="false" customHeight="false" outlineLevel="0" collapsed="false">
      <c r="A195" s="5" t="n">
        <v>17</v>
      </c>
      <c r="B195" s="1" t="n">
        <v>0.718889384668267</v>
      </c>
      <c r="C195" s="1" t="n">
        <v>0.719549537838803</v>
      </c>
      <c r="D195" s="1" t="n">
        <f aca="false">C195-B195</f>
        <v>0.000660153170536026</v>
      </c>
      <c r="E195" s="1" t="n">
        <f aca="false">ABS(D195)</f>
        <v>0.000660153170536026</v>
      </c>
      <c r="M195" s="5" t="n">
        <v>13</v>
      </c>
      <c r="N195" s="1" t="n">
        <v>0.0219344495420371</v>
      </c>
    </row>
    <row r="196" customFormat="false" ht="12.8" hidden="false" customHeight="false" outlineLevel="0" collapsed="false">
      <c r="A196" s="5" t="n">
        <v>18</v>
      </c>
      <c r="B196" s="1" t="n">
        <v>0.735022492301164</v>
      </c>
      <c r="C196" s="1" t="n">
        <v>0.708540087240829</v>
      </c>
      <c r="D196" s="1" t="n">
        <f aca="false">C196-B196</f>
        <v>-0.0264824050603351</v>
      </c>
      <c r="E196" s="1" t="n">
        <f aca="false">ABS(D196)</f>
        <v>0.0264824050603351</v>
      </c>
      <c r="M196" s="5" t="n">
        <v>15</v>
      </c>
      <c r="N196" s="1" t="n">
        <v>0.0200599508420685</v>
      </c>
    </row>
    <row r="197" customFormat="false" ht="12.8" hidden="false" customHeight="false" outlineLevel="0" collapsed="false">
      <c r="A197" s="5" t="n">
        <v>19</v>
      </c>
      <c r="B197" s="1" t="n">
        <v>0.581700376323851</v>
      </c>
      <c r="C197" s="1" t="n">
        <v>0.706775862145744</v>
      </c>
      <c r="D197" s="1" t="n">
        <f aca="false">C197-B197</f>
        <v>0.125075485821893</v>
      </c>
      <c r="E197" s="1" t="n">
        <f aca="false">ABS(D197)</f>
        <v>0.125075485821893</v>
      </c>
      <c r="M197" s="5" t="n">
        <v>12</v>
      </c>
      <c r="N197" s="1" t="n">
        <v>0.0117322792761142</v>
      </c>
    </row>
    <row r="198" customFormat="false" ht="12.8" hidden="false" customHeight="false" outlineLevel="0" collapsed="false">
      <c r="A198" s="5" t="n">
        <v>20</v>
      </c>
      <c r="B198" s="1" t="n">
        <v>0.849425390022398</v>
      </c>
      <c r="C198" s="1" t="n">
        <v>0.810552775268533</v>
      </c>
      <c r="D198" s="1" t="n">
        <f aca="false">C198-B198</f>
        <v>-0.0388726147538651</v>
      </c>
      <c r="E198" s="1" t="n">
        <f aca="false">ABS(D198)</f>
        <v>0.0388726147538651</v>
      </c>
      <c r="M198" s="5" t="n">
        <v>14</v>
      </c>
      <c r="N198" s="1" t="n">
        <v>0.00955995865604553</v>
      </c>
    </row>
    <row r="199" customFormat="false" ht="12.8" hidden="false" customHeight="false" outlineLevel="0" collapsed="false">
      <c r="A199" s="5" t="n">
        <v>21</v>
      </c>
      <c r="B199" s="1" t="n">
        <v>0.782107085098168</v>
      </c>
      <c r="C199" s="1" t="n">
        <v>0.779651511367528</v>
      </c>
      <c r="D199" s="1" t="n">
        <f aca="false">C199-B199</f>
        <v>-0.00245557373063998</v>
      </c>
      <c r="E199" s="1" t="n">
        <f aca="false">ABS(D199)</f>
        <v>0.00245557373063998</v>
      </c>
      <c r="M199" s="5" t="n">
        <v>11</v>
      </c>
      <c r="N199" s="1" t="n">
        <v>0.0065713837010436</v>
      </c>
    </row>
    <row r="200" customFormat="false" ht="12.8" hidden="false" customHeight="false" outlineLevel="0" collapsed="false">
      <c r="A200" s="5" t="n">
        <v>22</v>
      </c>
      <c r="B200" s="1" t="n">
        <v>0.677931474696056</v>
      </c>
      <c r="C200" s="1" t="n">
        <v>0.707012650930307</v>
      </c>
      <c r="D200" s="1" t="n">
        <f aca="false">C200-B200</f>
        <v>0.029081176234251</v>
      </c>
      <c r="E200" s="1" t="n">
        <f aca="false">ABS(D200)</f>
        <v>0.029081176234251</v>
      </c>
      <c r="M200" s="5" t="n">
        <v>7</v>
      </c>
      <c r="N200" s="1" t="n">
        <v>0.00300448467608472</v>
      </c>
    </row>
    <row r="201" customFormat="false" ht="12.8" hidden="false" customHeight="false" outlineLevel="0" collapsed="false">
      <c r="A201" s="5" t="n">
        <v>23</v>
      </c>
      <c r="B201" s="1" t="n">
        <v>0.722134922473597</v>
      </c>
      <c r="C201" s="1" t="n">
        <v>0.759411204953021</v>
      </c>
      <c r="D201" s="1" t="n">
        <f aca="false">C201-B201</f>
        <v>0.0372762824794239</v>
      </c>
      <c r="E201" s="1" t="n">
        <f aca="false">ABS(D201)</f>
        <v>0.0372762824794239</v>
      </c>
      <c r="M201" s="5" t="n">
        <v>21</v>
      </c>
      <c r="N201" s="1" t="n">
        <v>0.00245557373064043</v>
      </c>
    </row>
    <row r="202" customFormat="false" ht="12.8" hidden="false" customHeight="false" outlineLevel="0" collapsed="false">
      <c r="A202" s="5" t="n">
        <v>24</v>
      </c>
      <c r="B202" s="1" t="n">
        <v>0.727810414332614</v>
      </c>
      <c r="C202" s="1" t="n">
        <v>0.754622185376853</v>
      </c>
      <c r="D202" s="1" t="n">
        <f aca="false">C202-B202</f>
        <v>0.026811771044239</v>
      </c>
      <c r="E202" s="1" t="n">
        <f aca="false">ABS(D202)</f>
        <v>0.026811771044239</v>
      </c>
      <c r="M202" s="5" t="n">
        <v>17</v>
      </c>
      <c r="N202" s="1" t="n">
        <v>0.000660153170536137</v>
      </c>
    </row>
    <row r="203" customFormat="false" ht="12.8" hidden="false" customHeight="false" outlineLevel="0" collapsed="false">
      <c r="A203" s="5" t="n">
        <v>25</v>
      </c>
      <c r="B203" s="1" t="n">
        <v>0.68313653978705</v>
      </c>
      <c r="C203" s="1" t="n">
        <v>0.718662412659959</v>
      </c>
      <c r="D203" s="1" t="n">
        <f aca="false">C203-B203</f>
        <v>0.035525872872909</v>
      </c>
      <c r="E203" s="1" t="n">
        <f aca="false">ABS(D203)</f>
        <v>0.035525872872909</v>
      </c>
      <c r="M203" s="5" t="n">
        <v>1</v>
      </c>
      <c r="N203" s="1" t="n">
        <v>0.000437833975600488</v>
      </c>
    </row>
    <row r="205" customFormat="false" ht="16.15" hidden="false" customHeight="false" outlineLevel="0" collapsed="false">
      <c r="A205" s="7" t="s">
        <v>40</v>
      </c>
    </row>
    <row r="207" customFormat="false" ht="12.8" hidden="false" customHeight="false" outlineLevel="0" collapsed="false">
      <c r="A207" s="1" t="s">
        <v>12</v>
      </c>
      <c r="B207" s="1" t="s">
        <v>41</v>
      </c>
      <c r="C207" s="1" t="s">
        <v>42</v>
      </c>
      <c r="E207" s="8"/>
      <c r="F207" s="8"/>
      <c r="G207" s="8"/>
      <c r="H207" s="8"/>
      <c r="I207" s="8"/>
      <c r="J207" s="8"/>
    </row>
    <row r="208" customFormat="false" ht="12.8" hidden="false" customHeight="false" outlineLevel="0" collapsed="false">
      <c r="A208" s="6" t="n">
        <v>5</v>
      </c>
      <c r="B208" s="1" t="s">
        <v>43</v>
      </c>
      <c r="C208" s="1" t="n">
        <v>0.0986208307231895</v>
      </c>
      <c r="E208" s="8"/>
      <c r="F208" s="8"/>
      <c r="G208" s="8"/>
      <c r="H208" s="8"/>
      <c r="I208" s="8"/>
      <c r="J208" s="8"/>
      <c r="K208" s="5"/>
    </row>
    <row r="209" customFormat="false" ht="12.8" hidden="false" customHeight="false" outlineLevel="0" collapsed="false">
      <c r="A209" s="6" t="n">
        <v>9</v>
      </c>
      <c r="B209" s="1" t="s">
        <v>43</v>
      </c>
      <c r="C209" s="1" t="n">
        <v>0.0743490932245167</v>
      </c>
      <c r="E209" s="8"/>
      <c r="F209" s="8"/>
      <c r="G209" s="8"/>
      <c r="H209" s="8"/>
      <c r="I209" s="8"/>
      <c r="J209" s="8"/>
      <c r="K209" s="5"/>
    </row>
    <row r="210" customFormat="false" ht="12.8" hidden="false" customHeight="false" outlineLevel="0" collapsed="false">
      <c r="A210" s="6" t="n">
        <v>6</v>
      </c>
      <c r="B210" s="1" t="s">
        <v>43</v>
      </c>
      <c r="C210" s="1" t="n">
        <v>0.068760576966996</v>
      </c>
      <c r="E210" s="8"/>
      <c r="F210" s="8"/>
      <c r="G210" s="8"/>
      <c r="H210" s="8"/>
      <c r="I210" s="8"/>
      <c r="J210" s="8"/>
      <c r="K210" s="5"/>
    </row>
    <row r="211" customFormat="false" ht="12.8" hidden="false" customHeight="false" outlineLevel="0" collapsed="false">
      <c r="A211" s="6" t="n">
        <v>17</v>
      </c>
      <c r="B211" s="1" t="s">
        <v>43</v>
      </c>
      <c r="C211" s="1" t="n">
        <v>0.0529872227140977</v>
      </c>
      <c r="E211" s="8"/>
      <c r="F211" s="8"/>
      <c r="G211" s="8"/>
      <c r="H211" s="8"/>
      <c r="I211" s="8"/>
      <c r="J211" s="8"/>
      <c r="K211" s="5"/>
    </row>
    <row r="212" customFormat="false" ht="12.8" hidden="false" customHeight="false" outlineLevel="0" collapsed="false">
      <c r="A212" s="6" t="n">
        <v>19</v>
      </c>
      <c r="B212" s="1" t="s">
        <v>43</v>
      </c>
      <c r="C212" s="1" t="n">
        <v>0.0527453572522953</v>
      </c>
      <c r="E212" s="8"/>
      <c r="F212" s="8"/>
      <c r="G212" s="8"/>
      <c r="H212" s="8"/>
      <c r="I212" s="8"/>
      <c r="J212" s="8"/>
      <c r="K212" s="5"/>
    </row>
    <row r="213" customFormat="false" ht="12.8" hidden="false" customHeight="false" outlineLevel="0" collapsed="false">
      <c r="A213" s="6" t="n">
        <v>4</v>
      </c>
      <c r="B213" s="1" t="s">
        <v>43</v>
      </c>
      <c r="C213" s="1" t="n">
        <v>0.0520415056914544</v>
      </c>
      <c r="E213" s="8"/>
      <c r="F213" s="8"/>
      <c r="G213" s="8"/>
      <c r="H213" s="8"/>
      <c r="I213" s="8"/>
      <c r="J213" s="8"/>
      <c r="K213" s="5"/>
    </row>
    <row r="214" customFormat="false" ht="12.8" hidden="false" customHeight="false" outlineLevel="0" collapsed="false">
      <c r="A214" s="6" t="n">
        <v>15</v>
      </c>
      <c r="B214" s="1" t="s">
        <v>43</v>
      </c>
      <c r="C214" s="1" t="n">
        <v>0.0513091212841427</v>
      </c>
      <c r="E214" s="8"/>
      <c r="F214" s="8"/>
      <c r="G214" s="8"/>
      <c r="H214" s="8"/>
      <c r="I214" s="8"/>
      <c r="J214" s="8"/>
      <c r="K214" s="5"/>
    </row>
    <row r="215" customFormat="false" ht="12.8" hidden="true" customHeight="false" outlineLevel="0" collapsed="false">
      <c r="A215" s="6" t="n">
        <v>24</v>
      </c>
      <c r="B215" s="1" t="s">
        <v>43</v>
      </c>
      <c r="C215" s="1" t="n">
        <v>0.0478945160574238</v>
      </c>
      <c r="E215" s="8"/>
      <c r="F215" s="8"/>
      <c r="G215" s="8"/>
      <c r="H215" s="8"/>
      <c r="I215" s="8"/>
      <c r="J215" s="8"/>
      <c r="K215" s="5"/>
    </row>
    <row r="216" customFormat="false" ht="12.8" hidden="true" customHeight="false" outlineLevel="0" collapsed="false">
      <c r="A216" s="6" t="n">
        <v>14</v>
      </c>
      <c r="B216" s="1" t="s">
        <v>43</v>
      </c>
      <c r="C216" s="1" t="n">
        <v>0.0469876487791652</v>
      </c>
      <c r="E216" s="8"/>
      <c r="F216" s="8"/>
      <c r="G216" s="8"/>
      <c r="H216" s="8"/>
      <c r="I216" s="8"/>
      <c r="J216" s="8"/>
      <c r="K216" s="5"/>
    </row>
    <row r="217" customFormat="false" ht="12.8" hidden="true" customHeight="false" outlineLevel="0" collapsed="false">
      <c r="A217" s="6" t="n">
        <v>16</v>
      </c>
      <c r="B217" s="1" t="s">
        <v>43</v>
      </c>
      <c r="C217" s="1" t="n">
        <v>0.0285925641491382</v>
      </c>
      <c r="E217" s="8"/>
      <c r="F217" s="8"/>
      <c r="G217" s="8"/>
      <c r="H217" s="8"/>
      <c r="I217" s="8"/>
      <c r="J217" s="8"/>
      <c r="K217" s="5"/>
    </row>
    <row r="218" customFormat="false" ht="12.8" hidden="true" customHeight="false" outlineLevel="0" collapsed="false">
      <c r="A218" s="6" t="n">
        <v>12</v>
      </c>
      <c r="B218" s="1" t="s">
        <v>43</v>
      </c>
      <c r="C218" s="1" t="n">
        <v>0.0251521626865288</v>
      </c>
      <c r="E218" s="8"/>
      <c r="F218" s="8"/>
      <c r="G218" s="8"/>
      <c r="H218" s="8"/>
      <c r="I218" s="8"/>
      <c r="J218" s="8"/>
      <c r="K218" s="5"/>
    </row>
    <row r="219" customFormat="false" ht="12.8" hidden="true" customHeight="false" outlineLevel="0" collapsed="false">
      <c r="A219" s="6" t="n">
        <v>2</v>
      </c>
      <c r="B219" s="1" t="s">
        <v>43</v>
      </c>
      <c r="C219" s="1" t="n">
        <v>0.0209331859196844</v>
      </c>
      <c r="E219" s="8"/>
      <c r="F219" s="8"/>
      <c r="G219" s="8"/>
      <c r="H219" s="8"/>
      <c r="I219" s="8"/>
      <c r="J219" s="8"/>
      <c r="K219" s="5"/>
    </row>
    <row r="220" customFormat="false" ht="12.8" hidden="true" customHeight="false" outlineLevel="0" collapsed="false">
      <c r="A220" s="6" t="n">
        <v>7</v>
      </c>
      <c r="B220" s="1" t="s">
        <v>43</v>
      </c>
      <c r="C220" s="1" t="n">
        <v>0.0194526645009983</v>
      </c>
      <c r="E220" s="8"/>
      <c r="F220" s="8"/>
      <c r="G220" s="8"/>
      <c r="H220" s="8"/>
      <c r="I220" s="8"/>
      <c r="J220" s="8"/>
      <c r="K220" s="5"/>
    </row>
    <row r="221" customFormat="false" ht="12.8" hidden="true" customHeight="false" outlineLevel="0" collapsed="false">
      <c r="A221" s="6" t="n">
        <v>22</v>
      </c>
      <c r="B221" s="1" t="s">
        <v>43</v>
      </c>
      <c r="C221" s="1" t="n">
        <v>0.0177065949509129</v>
      </c>
      <c r="E221" s="8"/>
      <c r="F221" s="8"/>
      <c r="G221" s="8"/>
      <c r="H221" s="8"/>
      <c r="I221" s="8"/>
      <c r="J221" s="8"/>
      <c r="K221" s="5"/>
    </row>
    <row r="222" customFormat="false" ht="12.8" hidden="true" customHeight="false" outlineLevel="0" collapsed="false">
      <c r="A222" s="6" t="n">
        <v>13</v>
      </c>
      <c r="B222" s="1" t="s">
        <v>43</v>
      </c>
      <c r="C222" s="1" t="n">
        <v>0.0170595755654465</v>
      </c>
      <c r="E222" s="8"/>
      <c r="F222" s="8"/>
      <c r="G222" s="8"/>
      <c r="H222" s="8"/>
      <c r="I222" s="8"/>
      <c r="J222" s="8"/>
      <c r="K222" s="5"/>
    </row>
    <row r="223" customFormat="false" ht="12.8" hidden="true" customHeight="false" outlineLevel="0" collapsed="false">
      <c r="A223" s="6" t="n">
        <v>25</v>
      </c>
      <c r="B223" s="1" t="s">
        <v>43</v>
      </c>
      <c r="C223" s="1" t="n">
        <v>0.0123709399735888</v>
      </c>
      <c r="E223" s="8"/>
      <c r="F223" s="8"/>
      <c r="G223" s="8"/>
      <c r="H223" s="8"/>
      <c r="I223" s="8"/>
      <c r="J223" s="8"/>
      <c r="K223" s="5"/>
    </row>
    <row r="224" customFormat="false" ht="12.8" hidden="true" customHeight="false" outlineLevel="0" collapsed="false">
      <c r="A224" s="6" t="n">
        <v>11</v>
      </c>
      <c r="B224" s="1" t="s">
        <v>43</v>
      </c>
      <c r="C224" s="1" t="n">
        <v>0.00959203854017465</v>
      </c>
      <c r="E224" s="8"/>
      <c r="F224" s="8"/>
      <c r="G224" s="8"/>
      <c r="H224" s="8"/>
      <c r="I224" s="8"/>
      <c r="J224" s="8"/>
      <c r="K224" s="5"/>
    </row>
    <row r="225" customFormat="false" ht="12.8" hidden="true" customHeight="false" outlineLevel="0" collapsed="false">
      <c r="A225" s="6" t="n">
        <v>20</v>
      </c>
      <c r="B225" s="1" t="s">
        <v>43</v>
      </c>
      <c r="C225" s="1" t="n">
        <v>0.00938228803042007</v>
      </c>
      <c r="E225" s="8"/>
      <c r="F225" s="8"/>
      <c r="G225" s="8"/>
      <c r="H225" s="8"/>
      <c r="I225" s="8"/>
      <c r="J225" s="8"/>
      <c r="K225" s="5"/>
    </row>
    <row r="226" customFormat="false" ht="12.8" hidden="true" customHeight="false" outlineLevel="0" collapsed="false">
      <c r="A226" s="6" t="n">
        <v>1</v>
      </c>
      <c r="B226" s="1" t="s">
        <v>43</v>
      </c>
      <c r="C226" s="1" t="n">
        <v>0.0052248205916855</v>
      </c>
      <c r="E226" s="8"/>
      <c r="F226" s="8"/>
      <c r="G226" s="8"/>
      <c r="H226" s="8"/>
      <c r="I226" s="8"/>
      <c r="J226" s="8"/>
      <c r="K226" s="5"/>
    </row>
    <row r="227" customFormat="false" ht="12.8" hidden="true" customHeight="false" outlineLevel="0" collapsed="false">
      <c r="A227" s="6" t="n">
        <v>21</v>
      </c>
      <c r="B227" s="1" t="s">
        <v>43</v>
      </c>
      <c r="C227" s="1" t="n">
        <v>0.0037162216371569</v>
      </c>
      <c r="E227" s="8"/>
      <c r="F227" s="8"/>
      <c r="G227" s="8"/>
      <c r="H227" s="8"/>
      <c r="I227" s="8"/>
      <c r="J227" s="8"/>
      <c r="K227" s="5"/>
    </row>
    <row r="228" customFormat="false" ht="12.8" hidden="true" customHeight="false" outlineLevel="0" collapsed="false">
      <c r="A228" s="6" t="n">
        <v>18</v>
      </c>
      <c r="B228" s="1" t="s">
        <v>43</v>
      </c>
      <c r="C228" s="1" t="n">
        <v>0.00313961613944358</v>
      </c>
      <c r="E228" s="8"/>
      <c r="F228" s="8"/>
      <c r="G228" s="8"/>
      <c r="H228" s="8"/>
      <c r="I228" s="8"/>
      <c r="J228" s="8"/>
      <c r="K228" s="5"/>
    </row>
    <row r="229" customFormat="false" ht="12.8" hidden="true" customHeight="false" outlineLevel="0" collapsed="false">
      <c r="A229" s="6" t="n">
        <v>3</v>
      </c>
      <c r="B229" s="1" t="s">
        <v>43</v>
      </c>
      <c r="C229" s="1" t="n">
        <v>0.00265518169348111</v>
      </c>
      <c r="E229" s="8"/>
      <c r="F229" s="8"/>
      <c r="G229" s="8"/>
      <c r="H229" s="8"/>
      <c r="I229" s="8"/>
      <c r="J229" s="8"/>
      <c r="K229" s="5"/>
    </row>
    <row r="230" customFormat="false" ht="12.8" hidden="true" customHeight="false" outlineLevel="0" collapsed="false">
      <c r="A230" s="6" t="n">
        <v>10</v>
      </c>
      <c r="B230" s="1" t="s">
        <v>43</v>
      </c>
      <c r="C230" s="1" t="n">
        <v>0.00165903181808735</v>
      </c>
      <c r="E230" s="8"/>
      <c r="F230" s="8"/>
      <c r="G230" s="8"/>
      <c r="H230" s="8"/>
      <c r="I230" s="8"/>
      <c r="J230" s="8"/>
      <c r="K230" s="5"/>
    </row>
    <row r="231" customFormat="false" ht="12.8" hidden="true" customHeight="false" outlineLevel="0" collapsed="false">
      <c r="A231" s="6" t="n">
        <v>23</v>
      </c>
      <c r="B231" s="1" t="s">
        <v>43</v>
      </c>
      <c r="C231" s="1" t="n">
        <v>0.00154883828074592</v>
      </c>
      <c r="E231" s="8"/>
      <c r="F231" s="8"/>
      <c r="G231" s="8"/>
      <c r="H231" s="8"/>
      <c r="I231" s="8"/>
      <c r="J231" s="8"/>
      <c r="K231" s="5"/>
    </row>
    <row r="232" customFormat="false" ht="12.8" hidden="true" customHeight="false" outlineLevel="0" collapsed="false">
      <c r="A232" s="6" t="n">
        <v>8</v>
      </c>
      <c r="B232" s="1" t="s">
        <v>43</v>
      </c>
      <c r="C232" s="1" t="n">
        <v>0.00105615213970323</v>
      </c>
      <c r="E232" s="8"/>
      <c r="F232" s="8"/>
      <c r="G232" s="8"/>
      <c r="H232" s="8"/>
      <c r="I232" s="8"/>
      <c r="J232" s="8"/>
      <c r="K232" s="5"/>
    </row>
    <row r="233" customFormat="false" ht="12.8" hidden="false" customHeight="false" outlineLevel="0" collapsed="false">
      <c r="A233" s="5" t="n">
        <v>22</v>
      </c>
      <c r="B233" s="8" t="s">
        <v>44</v>
      </c>
      <c r="C233" s="1" t="n">
        <v>0.0792879742497615</v>
      </c>
    </row>
    <row r="234" customFormat="false" ht="12.8" hidden="false" customHeight="false" outlineLevel="0" collapsed="false">
      <c r="A234" s="5" t="n">
        <v>24</v>
      </c>
      <c r="B234" s="8" t="s">
        <v>44</v>
      </c>
      <c r="C234" s="1" t="n">
        <v>0.0557683841441609</v>
      </c>
    </row>
    <row r="235" customFormat="false" ht="12.8" hidden="true" customHeight="false" outlineLevel="0" collapsed="false">
      <c r="A235" s="5" t="n">
        <v>18</v>
      </c>
      <c r="B235" s="8" t="s">
        <v>44</v>
      </c>
      <c r="C235" s="1" t="n">
        <v>0.0498403449852339</v>
      </c>
    </row>
    <row r="236" customFormat="false" ht="12.8" hidden="true" customHeight="false" outlineLevel="0" collapsed="false">
      <c r="A236" s="5" t="n">
        <v>16</v>
      </c>
      <c r="B236" s="8" t="s">
        <v>44</v>
      </c>
      <c r="C236" s="1" t="n">
        <v>0.0449788699454815</v>
      </c>
    </row>
    <row r="237" customFormat="false" ht="12.8" hidden="true" customHeight="false" outlineLevel="0" collapsed="false">
      <c r="A237" s="5" t="n">
        <v>3</v>
      </c>
      <c r="B237" s="8" t="s">
        <v>44</v>
      </c>
      <c r="C237" s="1" t="n">
        <v>0.0413043994265518</v>
      </c>
    </row>
    <row r="238" customFormat="false" ht="12.8" hidden="true" customHeight="false" outlineLevel="0" collapsed="false">
      <c r="A238" s="5" t="n">
        <v>8</v>
      </c>
      <c r="B238" s="8" t="s">
        <v>44</v>
      </c>
      <c r="C238" s="1" t="n">
        <v>0.0399373141559046</v>
      </c>
    </row>
    <row r="239" customFormat="false" ht="12.8" hidden="true" customHeight="false" outlineLevel="0" collapsed="false">
      <c r="A239" s="5" t="n">
        <v>11</v>
      </c>
      <c r="B239" s="8" t="s">
        <v>44</v>
      </c>
      <c r="C239" s="1" t="n">
        <v>0.0331439084104828</v>
      </c>
    </row>
    <row r="240" customFormat="false" ht="12.8" hidden="true" customHeight="false" outlineLevel="0" collapsed="false">
      <c r="A240" s="5" t="n">
        <v>9</v>
      </c>
      <c r="B240" s="8" t="s">
        <v>44</v>
      </c>
      <c r="C240" s="1" t="n">
        <v>0.0309155842750471</v>
      </c>
    </row>
    <row r="241" customFormat="false" ht="12.8" hidden="true" customHeight="false" outlineLevel="0" collapsed="false">
      <c r="A241" s="5" t="n">
        <v>15</v>
      </c>
      <c r="B241" s="8" t="s">
        <v>44</v>
      </c>
      <c r="C241" s="1" t="n">
        <v>0.0295257453984187</v>
      </c>
    </row>
    <row r="242" customFormat="false" ht="12.8" hidden="true" customHeight="false" outlineLevel="0" collapsed="false">
      <c r="A242" s="5" t="n">
        <v>23</v>
      </c>
      <c r="B242" s="8" t="s">
        <v>44</v>
      </c>
      <c r="C242" s="1" t="n">
        <v>0.0292460226188328</v>
      </c>
    </row>
    <row r="243" customFormat="false" ht="12.8" hidden="true" customHeight="false" outlineLevel="0" collapsed="false">
      <c r="A243" s="5" t="n">
        <v>6</v>
      </c>
      <c r="B243" s="8" t="s">
        <v>44</v>
      </c>
      <c r="C243" s="1" t="n">
        <v>0.0291058850003999</v>
      </c>
    </row>
    <row r="244" customFormat="false" ht="12.8" hidden="true" customHeight="false" outlineLevel="0" collapsed="false">
      <c r="A244" s="5" t="n">
        <v>12</v>
      </c>
      <c r="B244" s="8" t="s">
        <v>44</v>
      </c>
      <c r="C244" s="1" t="n">
        <v>0.0281216753640373</v>
      </c>
    </row>
    <row r="245" customFormat="false" ht="12.8" hidden="true" customHeight="false" outlineLevel="0" collapsed="false">
      <c r="A245" s="5" t="n">
        <v>2</v>
      </c>
      <c r="B245" s="8" t="s">
        <v>44</v>
      </c>
      <c r="C245" s="1" t="n">
        <v>0.0250152423967354</v>
      </c>
    </row>
    <row r="246" customFormat="false" ht="12.8" hidden="true" customHeight="false" outlineLevel="0" collapsed="false">
      <c r="A246" s="5" t="n">
        <v>13</v>
      </c>
      <c r="B246" s="8" t="s">
        <v>44</v>
      </c>
      <c r="C246" s="1" t="n">
        <v>0.0230246086717317</v>
      </c>
    </row>
    <row r="247" customFormat="false" ht="12.8" hidden="true" customHeight="false" outlineLevel="0" collapsed="false">
      <c r="A247" s="5" t="n">
        <v>4</v>
      </c>
      <c r="B247" s="8" t="s">
        <v>44</v>
      </c>
      <c r="C247" s="1" t="n">
        <v>0.0160127168036814</v>
      </c>
    </row>
    <row r="248" customFormat="false" ht="12.8" hidden="true" customHeight="false" outlineLevel="0" collapsed="false">
      <c r="A248" s="5" t="n">
        <v>21</v>
      </c>
      <c r="B248" s="8" t="s">
        <v>44</v>
      </c>
      <c r="C248" s="1" t="n">
        <v>0.0156634860616294</v>
      </c>
    </row>
    <row r="249" customFormat="false" ht="12.8" hidden="true" customHeight="false" outlineLevel="0" collapsed="false">
      <c r="A249" s="5" t="n">
        <v>20</v>
      </c>
      <c r="B249" s="8" t="s">
        <v>44</v>
      </c>
      <c r="C249" s="1" t="n">
        <v>0.0133892685089942</v>
      </c>
    </row>
    <row r="250" customFormat="false" ht="12.8" hidden="true" customHeight="false" outlineLevel="0" collapsed="false">
      <c r="A250" s="5" t="n">
        <v>14</v>
      </c>
      <c r="B250" s="8" t="s">
        <v>44</v>
      </c>
      <c r="C250" s="1" t="n">
        <v>0.00935090271519234</v>
      </c>
    </row>
    <row r="251" customFormat="false" ht="12.8" hidden="true" customHeight="false" outlineLevel="0" collapsed="false">
      <c r="A251" s="5" t="n">
        <v>1</v>
      </c>
      <c r="B251" s="8" t="s">
        <v>44</v>
      </c>
      <c r="C251" s="1" t="n">
        <v>0.00919155955626827</v>
      </c>
    </row>
    <row r="252" customFormat="false" ht="12.8" hidden="true" customHeight="false" outlineLevel="0" collapsed="false">
      <c r="A252" s="5" t="n">
        <v>7</v>
      </c>
      <c r="B252" s="8" t="s">
        <v>44</v>
      </c>
      <c r="C252" s="1" t="n">
        <v>0.00854681614430508</v>
      </c>
    </row>
    <row r="253" customFormat="false" ht="12.8" hidden="true" customHeight="false" outlineLevel="0" collapsed="false">
      <c r="A253" s="5" t="n">
        <v>19</v>
      </c>
      <c r="B253" s="8" t="s">
        <v>44</v>
      </c>
      <c r="C253" s="1" t="n">
        <v>0.00747051029949097</v>
      </c>
    </row>
    <row r="254" customFormat="false" ht="12.8" hidden="true" customHeight="false" outlineLevel="0" collapsed="false">
      <c r="A254" s="5" t="n">
        <v>25</v>
      </c>
      <c r="B254" s="8" t="s">
        <v>44</v>
      </c>
      <c r="C254" s="1" t="n">
        <v>0.00688737366491488</v>
      </c>
    </row>
    <row r="255" customFormat="false" ht="12.8" hidden="true" customHeight="false" outlineLevel="0" collapsed="false">
      <c r="A255" s="5" t="n">
        <v>10</v>
      </c>
      <c r="B255" s="8" t="s">
        <v>44</v>
      </c>
      <c r="C255" s="1" t="n">
        <v>0.00523291531766412</v>
      </c>
    </row>
    <row r="256" customFormat="false" ht="12.8" hidden="true" customHeight="false" outlineLevel="0" collapsed="false">
      <c r="A256" s="5" t="n">
        <v>17</v>
      </c>
      <c r="B256" s="8" t="s">
        <v>44</v>
      </c>
      <c r="C256" s="1" t="n">
        <v>0.00361170084478024</v>
      </c>
    </row>
    <row r="257" customFormat="false" ht="12.8" hidden="true" customHeight="false" outlineLevel="0" collapsed="false">
      <c r="A257" s="5" t="n">
        <v>5</v>
      </c>
      <c r="B257" s="8" t="s">
        <v>44</v>
      </c>
      <c r="C257" s="1" t="n">
        <v>0.000339868481052164</v>
      </c>
    </row>
    <row r="258" customFormat="false" ht="12.8" hidden="false" customHeight="false" outlineLevel="0" collapsed="false">
      <c r="A258" s="5" t="n">
        <v>19</v>
      </c>
      <c r="B258" s="8" t="s">
        <v>45</v>
      </c>
      <c r="C258" s="1" t="n">
        <v>0.0798006388690887</v>
      </c>
    </row>
    <row r="259" customFormat="false" ht="12.8" hidden="false" customHeight="false" outlineLevel="0" collapsed="false">
      <c r="A259" s="5" t="n">
        <v>24</v>
      </c>
      <c r="B259" s="8" t="s">
        <v>45</v>
      </c>
      <c r="C259" s="1" t="n">
        <v>0.0768511291573462</v>
      </c>
    </row>
    <row r="260" customFormat="false" ht="12.8" hidden="false" customHeight="false" outlineLevel="0" collapsed="false">
      <c r="A260" s="5" t="n">
        <v>22</v>
      </c>
      <c r="B260" s="8" t="s">
        <v>45</v>
      </c>
      <c r="C260" s="1" t="n">
        <v>0.067913392966423</v>
      </c>
    </row>
    <row r="261" customFormat="false" ht="12.8" hidden="false" customHeight="false" outlineLevel="0" collapsed="false">
      <c r="A261" s="5" t="n">
        <v>14</v>
      </c>
      <c r="B261" s="8" t="s">
        <v>45</v>
      </c>
      <c r="C261" s="1" t="n">
        <v>0.065898510150403</v>
      </c>
    </row>
    <row r="262" customFormat="false" ht="12.8" hidden="false" customHeight="false" outlineLevel="0" collapsed="false">
      <c r="A262" s="5" t="n">
        <v>6</v>
      </c>
      <c r="B262" s="8" t="s">
        <v>45</v>
      </c>
      <c r="C262" s="1" t="n">
        <v>0.0650643857345121</v>
      </c>
    </row>
    <row r="263" customFormat="false" ht="12.8" hidden="false" customHeight="false" outlineLevel="0" collapsed="false">
      <c r="A263" s="5" t="n">
        <v>17</v>
      </c>
      <c r="B263" s="8" t="s">
        <v>45</v>
      </c>
      <c r="C263" s="1" t="n">
        <v>0.0500356750398536</v>
      </c>
    </row>
    <row r="264" customFormat="false" ht="12.8" hidden="true" customHeight="false" outlineLevel="0" collapsed="false">
      <c r="A264" s="5" t="n">
        <v>11</v>
      </c>
      <c r="B264" s="8" t="s">
        <v>45</v>
      </c>
      <c r="C264" s="1" t="n">
        <v>0.049307330651701</v>
      </c>
    </row>
    <row r="265" customFormat="false" ht="12.8" hidden="true" customHeight="false" outlineLevel="0" collapsed="false">
      <c r="A265" s="5" t="n">
        <v>5</v>
      </c>
      <c r="B265" s="8" t="s">
        <v>45</v>
      </c>
      <c r="C265" s="1" t="n">
        <v>0.0470724712331001</v>
      </c>
    </row>
    <row r="266" customFormat="false" ht="12.8" hidden="true" customHeight="false" outlineLevel="0" collapsed="false">
      <c r="A266" s="5" t="n">
        <v>3</v>
      </c>
      <c r="B266" s="8" t="s">
        <v>45</v>
      </c>
      <c r="C266" s="1" t="n">
        <v>0.0441111887749215</v>
      </c>
    </row>
    <row r="267" customFormat="false" ht="12.8" hidden="true" customHeight="false" outlineLevel="0" collapsed="false">
      <c r="A267" s="5" t="n">
        <v>16</v>
      </c>
      <c r="B267" s="8" t="s">
        <v>45</v>
      </c>
      <c r="C267" s="1" t="n">
        <v>0.0433919281622086</v>
      </c>
    </row>
    <row r="268" customFormat="false" ht="12.8" hidden="true" customHeight="false" outlineLevel="0" collapsed="false">
      <c r="A268" s="5" t="n">
        <v>20</v>
      </c>
      <c r="B268" s="8" t="s">
        <v>45</v>
      </c>
      <c r="C268" s="1" t="n">
        <v>0.0428795952324388</v>
      </c>
    </row>
    <row r="269" customFormat="false" ht="12.8" hidden="true" customHeight="false" outlineLevel="0" collapsed="false">
      <c r="A269" s="5" t="n">
        <v>15</v>
      </c>
      <c r="B269" s="8" t="s">
        <v>45</v>
      </c>
      <c r="C269" s="1" t="n">
        <v>0.0418433267277925</v>
      </c>
    </row>
    <row r="270" customFormat="false" ht="12.8" hidden="true" customHeight="false" outlineLevel="0" collapsed="false">
      <c r="A270" s="5" t="n">
        <v>12</v>
      </c>
      <c r="B270" s="8" t="s">
        <v>45</v>
      </c>
      <c r="C270" s="1" t="n">
        <v>0.0415415587744519</v>
      </c>
    </row>
    <row r="271" customFormat="false" ht="12.8" hidden="true" customHeight="false" outlineLevel="0" collapsed="false">
      <c r="A271" s="5" t="n">
        <v>9</v>
      </c>
      <c r="B271" s="8" t="s">
        <v>45</v>
      </c>
      <c r="C271" s="1" t="n">
        <v>0.0371930970796752</v>
      </c>
    </row>
    <row r="272" customFormat="false" ht="12.8" hidden="true" customHeight="false" outlineLevel="0" collapsed="false">
      <c r="A272" s="5" t="n">
        <v>10</v>
      </c>
      <c r="B272" s="8" t="s">
        <v>45</v>
      </c>
      <c r="C272" s="1" t="n">
        <v>0.0368204393543365</v>
      </c>
    </row>
    <row r="273" customFormat="false" ht="12.8" hidden="true" customHeight="false" outlineLevel="0" collapsed="false">
      <c r="A273" s="5" t="n">
        <v>13</v>
      </c>
      <c r="B273" s="8" t="s">
        <v>45</v>
      </c>
      <c r="C273" s="1" t="n">
        <v>0.0278994826483223</v>
      </c>
    </row>
    <row r="274" customFormat="false" ht="12.8" hidden="true" customHeight="false" outlineLevel="0" collapsed="false">
      <c r="A274" s="5" t="n">
        <v>2</v>
      </c>
      <c r="B274" s="8" t="s">
        <v>45</v>
      </c>
      <c r="C274" s="1" t="n">
        <v>0.0271691352993921</v>
      </c>
    </row>
    <row r="275" customFormat="false" ht="12.8" hidden="true" customHeight="false" outlineLevel="0" collapsed="false">
      <c r="A275" s="5" t="n">
        <v>18</v>
      </c>
      <c r="B275" s="8" t="s">
        <v>45</v>
      </c>
      <c r="C275" s="1" t="n">
        <v>0.0202183237854559</v>
      </c>
    </row>
    <row r="276" customFormat="false" ht="12.8" hidden="true" customHeight="false" outlineLevel="0" collapsed="false">
      <c r="A276" s="5" t="n">
        <v>25</v>
      </c>
      <c r="B276" s="8" t="s">
        <v>45</v>
      </c>
      <c r="C276" s="1" t="n">
        <v>0.0162675592344054</v>
      </c>
    </row>
    <row r="277" customFormat="false" ht="12.8" hidden="true" customHeight="false" outlineLevel="0" collapsed="false">
      <c r="A277" s="5" t="n">
        <v>4</v>
      </c>
      <c r="B277" s="8" t="s">
        <v>45</v>
      </c>
      <c r="C277" s="1" t="n">
        <v>0.0140919814553676</v>
      </c>
    </row>
    <row r="278" customFormat="false" ht="12.8" hidden="true" customHeight="false" outlineLevel="0" collapsed="false">
      <c r="A278" s="5" t="n">
        <v>1</v>
      </c>
      <c r="B278" s="8" t="s">
        <v>45</v>
      </c>
      <c r="C278" s="1" t="n">
        <v>0.0139785461723533</v>
      </c>
    </row>
    <row r="279" customFormat="false" ht="12.8" hidden="true" customHeight="false" outlineLevel="0" collapsed="false">
      <c r="A279" s="5" t="n">
        <v>7</v>
      </c>
      <c r="B279" s="8" t="s">
        <v>45</v>
      </c>
      <c r="C279" s="1" t="n">
        <v>0.0139103330327779</v>
      </c>
    </row>
    <row r="280" customFormat="false" ht="12.8" hidden="true" customHeight="false" outlineLevel="0" collapsed="false">
      <c r="A280" s="5" t="n">
        <v>21</v>
      </c>
      <c r="B280" s="8" t="s">
        <v>45</v>
      </c>
      <c r="C280" s="1" t="n">
        <v>0.00949169069383204</v>
      </c>
    </row>
    <row r="281" customFormat="false" ht="12.8" hidden="true" customHeight="false" outlineLevel="0" collapsed="false">
      <c r="A281" s="5" t="n">
        <v>23</v>
      </c>
      <c r="B281" s="8" t="s">
        <v>45</v>
      </c>
      <c r="C281" s="1" t="n">
        <v>0.00648142157984544</v>
      </c>
    </row>
    <row r="282" customFormat="false" ht="12.8" hidden="true" customHeight="false" outlineLevel="0" collapsed="false">
      <c r="A282" s="5" t="n">
        <v>8</v>
      </c>
      <c r="B282" s="8" t="s">
        <v>45</v>
      </c>
      <c r="C282" s="1" t="n">
        <v>0.00614959638690182</v>
      </c>
    </row>
    <row r="283" customFormat="false" ht="12.8" hidden="false" customHeight="false" outlineLevel="0" collapsed="false">
      <c r="A283" s="5" t="n">
        <v>19</v>
      </c>
      <c r="B283" s="8" t="s">
        <v>46</v>
      </c>
      <c r="C283" s="1" t="n">
        <v>0.132545996121384</v>
      </c>
    </row>
    <row r="284" customFormat="false" ht="12.8" hidden="false" customHeight="false" outlineLevel="0" collapsed="false">
      <c r="A284" s="5" t="n">
        <v>16</v>
      </c>
      <c r="B284" s="8" t="s">
        <v>46</v>
      </c>
      <c r="C284" s="1" t="n">
        <v>0.0719844923113469</v>
      </c>
    </row>
    <row r="285" customFormat="false" ht="12.8" hidden="false" customHeight="false" outlineLevel="0" collapsed="false">
      <c r="A285" s="5" t="n">
        <v>4</v>
      </c>
      <c r="B285" s="8" t="s">
        <v>46</v>
      </c>
      <c r="C285" s="1" t="n">
        <v>0.066133487146822</v>
      </c>
    </row>
    <row r="286" customFormat="false" ht="12.8" hidden="false" customHeight="false" outlineLevel="0" collapsed="false">
      <c r="A286" s="5" t="n">
        <v>20</v>
      </c>
      <c r="B286" s="8" t="s">
        <v>46</v>
      </c>
      <c r="C286" s="1" t="n">
        <v>0.0522618832628589</v>
      </c>
    </row>
    <row r="287" customFormat="false" ht="12.8" hidden="false" customHeight="false" outlineLevel="0" collapsed="false">
      <c r="A287" s="5" t="n">
        <v>5</v>
      </c>
      <c r="B287" s="8" t="s">
        <v>46</v>
      </c>
      <c r="C287" s="1" t="n">
        <v>0.0515483594900894</v>
      </c>
    </row>
    <row r="288" customFormat="false" ht="12.8" hidden="false" customHeight="false" outlineLevel="0" collapsed="false">
      <c r="A288" s="5" t="n">
        <v>22</v>
      </c>
      <c r="B288" s="8" t="s">
        <v>46</v>
      </c>
      <c r="C288" s="1" t="n">
        <v>0.0502067980155101</v>
      </c>
    </row>
    <row r="289" customFormat="false" ht="12.8" hidden="true" customHeight="false" outlineLevel="0" collapsed="false">
      <c r="A289" s="5" t="n">
        <v>13</v>
      </c>
      <c r="B289" s="8" t="s">
        <v>46</v>
      </c>
      <c r="C289" s="1" t="n">
        <v>0.0449590582137688</v>
      </c>
    </row>
    <row r="290" customFormat="false" ht="12.8" hidden="true" customHeight="false" outlineLevel="0" collapsed="false">
      <c r="A290" s="5" t="n">
        <v>3</v>
      </c>
      <c r="B290" s="8" t="s">
        <v>46</v>
      </c>
      <c r="C290" s="1" t="n">
        <v>0.0414560070814404</v>
      </c>
    </row>
    <row r="291" customFormat="false" ht="12.8" hidden="true" customHeight="false" outlineLevel="0" collapsed="false">
      <c r="A291" s="5" t="n">
        <v>11</v>
      </c>
      <c r="B291" s="8" t="s">
        <v>46</v>
      </c>
      <c r="C291" s="1" t="n">
        <v>0.0397152921115264</v>
      </c>
    </row>
    <row r="292" customFormat="false" ht="12.8" hidden="true" customHeight="false" outlineLevel="0" collapsed="false">
      <c r="A292" s="5" t="n">
        <v>10</v>
      </c>
      <c r="B292" s="8" t="s">
        <v>46</v>
      </c>
      <c r="C292" s="1" t="n">
        <v>0.0384794711724239</v>
      </c>
    </row>
    <row r="293" customFormat="false" ht="12.8" hidden="true" customHeight="false" outlineLevel="0" collapsed="false">
      <c r="A293" s="5" t="n">
        <v>9</v>
      </c>
      <c r="B293" s="8" t="s">
        <v>46</v>
      </c>
      <c r="C293" s="1" t="n">
        <v>0.0371559961448414</v>
      </c>
    </row>
    <row r="294" customFormat="false" ht="12.8" hidden="true" customHeight="false" outlineLevel="0" collapsed="false">
      <c r="A294" s="5" t="n">
        <v>24</v>
      </c>
      <c r="B294" s="8" t="s">
        <v>46</v>
      </c>
      <c r="C294" s="1" t="n">
        <v>0.0289566130999224</v>
      </c>
    </row>
    <row r="295" customFormat="false" ht="12.8" hidden="true" customHeight="false" outlineLevel="0" collapsed="false">
      <c r="A295" s="5" t="n">
        <v>25</v>
      </c>
      <c r="B295" s="8" t="s">
        <v>46</v>
      </c>
      <c r="C295" s="1" t="n">
        <v>0.0286384992079942</v>
      </c>
    </row>
    <row r="296" customFormat="false" ht="12.8" hidden="true" customHeight="false" outlineLevel="0" collapsed="false">
      <c r="A296" s="5" t="n">
        <v>18</v>
      </c>
      <c r="B296" s="8" t="s">
        <v>46</v>
      </c>
      <c r="C296" s="1" t="n">
        <v>0.0233579399248994</v>
      </c>
    </row>
    <row r="297" customFormat="false" ht="12.8" hidden="true" customHeight="false" outlineLevel="0" collapsed="false">
      <c r="A297" s="5" t="n">
        <v>14</v>
      </c>
      <c r="B297" s="8" t="s">
        <v>46</v>
      </c>
      <c r="C297" s="1" t="n">
        <v>0.0189108613712379</v>
      </c>
    </row>
    <row r="298" customFormat="false" ht="12.8" hidden="true" customHeight="false" outlineLevel="0" collapsed="false">
      <c r="A298" s="5" t="n">
        <v>12</v>
      </c>
      <c r="B298" s="8" t="s">
        <v>46</v>
      </c>
      <c r="C298" s="1" t="n">
        <v>0.0163893960879231</v>
      </c>
    </row>
    <row r="299" customFormat="false" ht="12.8" hidden="true" customHeight="false" outlineLevel="0" collapsed="false">
      <c r="A299" s="5" t="n">
        <v>21</v>
      </c>
      <c r="B299" s="8" t="s">
        <v>46</v>
      </c>
      <c r="C299" s="1" t="n">
        <v>0.0132079123309889</v>
      </c>
    </row>
    <row r="300" customFormat="false" ht="12.8" hidden="true" customHeight="false" outlineLevel="0" collapsed="false">
      <c r="A300" s="5" t="n">
        <v>15</v>
      </c>
      <c r="B300" s="8" t="s">
        <v>46</v>
      </c>
      <c r="C300" s="1" t="n">
        <v>0.00946579455635022</v>
      </c>
    </row>
    <row r="301" customFormat="false" ht="12.8" hidden="true" customHeight="false" outlineLevel="0" collapsed="false">
      <c r="A301" s="5" t="n">
        <v>1</v>
      </c>
      <c r="B301" s="8" t="s">
        <v>46</v>
      </c>
      <c r="C301" s="1" t="n">
        <v>0.00875372558066778</v>
      </c>
    </row>
    <row r="302" customFormat="false" ht="12.8" hidden="true" customHeight="false" outlineLevel="0" collapsed="false">
      <c r="A302" s="5" t="n">
        <v>23</v>
      </c>
      <c r="B302" s="8" t="s">
        <v>46</v>
      </c>
      <c r="C302" s="1" t="n">
        <v>0.00803025986059136</v>
      </c>
    </row>
    <row r="303" customFormat="false" ht="12.8" hidden="true" customHeight="false" outlineLevel="0" collapsed="false">
      <c r="A303" s="5" t="n">
        <v>2</v>
      </c>
      <c r="B303" s="8" t="s">
        <v>46</v>
      </c>
      <c r="C303" s="1" t="n">
        <v>0.00623594937970773</v>
      </c>
    </row>
    <row r="304" customFormat="false" ht="12.8" hidden="true" customHeight="false" outlineLevel="0" collapsed="false">
      <c r="A304" s="5" t="n">
        <v>7</v>
      </c>
      <c r="B304" s="8" t="s">
        <v>46</v>
      </c>
      <c r="C304" s="1" t="n">
        <v>0.00554233146822036</v>
      </c>
    </row>
    <row r="305" customFormat="false" ht="12.8" hidden="true" customHeight="false" outlineLevel="0" collapsed="false">
      <c r="A305" s="5" t="n">
        <v>8</v>
      </c>
      <c r="B305" s="8" t="s">
        <v>46</v>
      </c>
      <c r="C305" s="1" t="n">
        <v>0.0050934442471986</v>
      </c>
    </row>
    <row r="306" customFormat="false" ht="12.8" hidden="true" customHeight="false" outlineLevel="0" collapsed="false">
      <c r="A306" s="5" t="n">
        <v>6</v>
      </c>
      <c r="B306" s="8" t="s">
        <v>46</v>
      </c>
      <c r="C306" s="1" t="n">
        <v>0.00369619123248388</v>
      </c>
    </row>
    <row r="307" customFormat="false" ht="12.8" hidden="true" customHeight="false" outlineLevel="0" collapsed="false">
      <c r="A307" s="5" t="n">
        <v>17</v>
      </c>
      <c r="B307" s="8" t="s">
        <v>46</v>
      </c>
      <c r="C307" s="1" t="n">
        <v>0.0029515476742441</v>
      </c>
    </row>
    <row r="308" customFormat="false" ht="12.8" hidden="false" customHeight="false" outlineLevel="0" collapsed="false">
      <c r="A308" s="5" t="n">
        <v>3</v>
      </c>
      <c r="B308" s="1" t="s">
        <v>47</v>
      </c>
      <c r="C308" s="1" t="n">
        <v>0.0854155882014733</v>
      </c>
    </row>
    <row r="309" customFormat="false" ht="12.8" hidden="false" customHeight="false" outlineLevel="0" collapsed="false">
      <c r="A309" s="5" t="n">
        <v>19</v>
      </c>
      <c r="B309" s="1" t="s">
        <v>47</v>
      </c>
      <c r="C309" s="1" t="n">
        <v>0.0723301285695978</v>
      </c>
    </row>
    <row r="310" customFormat="false" ht="12.8" hidden="false" customHeight="false" outlineLevel="0" collapsed="false">
      <c r="A310" s="5" t="n">
        <v>15</v>
      </c>
      <c r="B310" s="1" t="s">
        <v>47</v>
      </c>
      <c r="C310" s="1" t="n">
        <v>0.0713690721262111</v>
      </c>
    </row>
    <row r="311" customFormat="false" ht="12.8" hidden="false" customHeight="false" outlineLevel="0" collapsed="false">
      <c r="A311" s="5" t="n">
        <v>14</v>
      </c>
      <c r="B311" s="1" t="s">
        <v>47</v>
      </c>
      <c r="C311" s="1" t="n">
        <v>0.0565476074352107</v>
      </c>
    </row>
    <row r="312" customFormat="false" ht="12.8" hidden="false" customHeight="false" outlineLevel="0" collapsed="false">
      <c r="A312" s="5" t="n">
        <v>17</v>
      </c>
      <c r="B312" s="1" t="s">
        <v>47</v>
      </c>
      <c r="C312" s="1" t="n">
        <v>0.0536473758846339</v>
      </c>
    </row>
    <row r="313" customFormat="false" ht="12.8" hidden="false" customHeight="false" outlineLevel="0" collapsed="false">
      <c r="A313" s="5" t="n">
        <v>2</v>
      </c>
      <c r="B313" s="1" t="s">
        <v>47</v>
      </c>
      <c r="C313" s="1" t="n">
        <v>0.0521843776961275</v>
      </c>
    </row>
    <row r="314" customFormat="false" ht="12.8" hidden="true" customHeight="false" outlineLevel="0" collapsed="false">
      <c r="A314" s="5" t="n">
        <v>5</v>
      </c>
      <c r="B314" s="1" t="s">
        <v>47</v>
      </c>
      <c r="C314" s="1" t="n">
        <v>0.0474123397141523</v>
      </c>
    </row>
    <row r="315" customFormat="false" ht="12.8" hidden="true" customHeight="false" outlineLevel="0" collapsed="false">
      <c r="A315" s="5" t="n">
        <v>10</v>
      </c>
      <c r="B315" s="1" t="s">
        <v>47</v>
      </c>
      <c r="C315" s="1" t="n">
        <v>0.0420533546720007</v>
      </c>
    </row>
    <row r="316" customFormat="false" ht="12.8" hidden="true" customHeight="false" outlineLevel="0" collapsed="false">
      <c r="A316" s="5" t="n">
        <v>6</v>
      </c>
      <c r="B316" s="1" t="s">
        <v>47</v>
      </c>
      <c r="C316" s="1" t="n">
        <v>0.0359585007341122</v>
      </c>
    </row>
    <row r="317" customFormat="false" ht="12.8" hidden="true" customHeight="false" outlineLevel="0" collapsed="false">
      <c r="A317" s="5" t="n">
        <v>23</v>
      </c>
      <c r="B317" s="1" t="s">
        <v>47</v>
      </c>
      <c r="C317" s="1" t="n">
        <v>0.0357274441986782</v>
      </c>
    </row>
    <row r="318" customFormat="false" ht="12.8" hidden="true" customHeight="false" outlineLevel="0" collapsed="false">
      <c r="A318" s="5" t="n">
        <v>8</v>
      </c>
      <c r="B318" s="1" t="s">
        <v>47</v>
      </c>
      <c r="C318" s="1" t="n">
        <v>0.0337877177690028</v>
      </c>
    </row>
    <row r="319" customFormat="false" ht="12.8" hidden="true" customHeight="false" outlineLevel="0" collapsed="false">
      <c r="A319" s="5" t="n">
        <v>18</v>
      </c>
      <c r="B319" s="1" t="s">
        <v>47</v>
      </c>
      <c r="C319" s="1" t="n">
        <v>0.0296220211997781</v>
      </c>
    </row>
    <row r="320" customFormat="false" ht="12.8" hidden="true" customHeight="false" outlineLevel="0" collapsed="false">
      <c r="A320" s="5" t="n">
        <v>20</v>
      </c>
      <c r="B320" s="1" t="s">
        <v>47</v>
      </c>
      <c r="C320" s="1" t="n">
        <v>0.0294903267234445</v>
      </c>
    </row>
    <row r="321" customFormat="false" ht="12.8" hidden="true" customHeight="false" outlineLevel="0" collapsed="false">
      <c r="A321" s="5" t="n">
        <v>25</v>
      </c>
      <c r="B321" s="1" t="s">
        <v>47</v>
      </c>
      <c r="C321" s="1" t="n">
        <v>0.0231549328993202</v>
      </c>
    </row>
    <row r="322" customFormat="false" ht="12.8" hidden="true" customHeight="false" outlineLevel="0" collapsed="false">
      <c r="A322" s="5" t="n">
        <v>7</v>
      </c>
      <c r="B322" s="1" t="s">
        <v>47</v>
      </c>
      <c r="C322" s="1" t="n">
        <v>0.022457149177083</v>
      </c>
    </row>
    <row r="323" customFormat="false" ht="12.8" hidden="true" customHeight="false" outlineLevel="0" collapsed="false">
      <c r="A323" s="5" t="n">
        <v>24</v>
      </c>
      <c r="B323" s="1" t="s">
        <v>47</v>
      </c>
      <c r="C323" s="1" t="n">
        <v>0.0210827450131853</v>
      </c>
    </row>
    <row r="324" customFormat="false" ht="12.8" hidden="true" customHeight="false" outlineLevel="0" collapsed="false">
      <c r="A324" s="5" t="n">
        <v>11</v>
      </c>
      <c r="B324" s="1" t="s">
        <v>47</v>
      </c>
      <c r="C324" s="1" t="n">
        <v>0.0161634222412183</v>
      </c>
    </row>
    <row r="325" customFormat="false" ht="12.8" hidden="true" customHeight="false" outlineLevel="0" collapsed="false">
      <c r="A325" s="5" t="n">
        <v>12</v>
      </c>
      <c r="B325" s="1" t="s">
        <v>47</v>
      </c>
      <c r="C325" s="1" t="n">
        <v>0.0134198834104146</v>
      </c>
    </row>
    <row r="326" customFormat="false" ht="12.8" hidden="true" customHeight="false" outlineLevel="0" collapsed="false">
      <c r="A326" s="5" t="n">
        <v>22</v>
      </c>
      <c r="B326" s="1" t="s">
        <v>47</v>
      </c>
      <c r="C326" s="1" t="n">
        <v>0.0113745812833386</v>
      </c>
    </row>
    <row r="327" customFormat="false" ht="12.8" hidden="true" customHeight="false" outlineLevel="0" collapsed="false">
      <c r="A327" s="5" t="n">
        <v>9</v>
      </c>
      <c r="B327" s="1" t="s">
        <v>47</v>
      </c>
      <c r="C327" s="1" t="n">
        <v>0.00627751280462807</v>
      </c>
    </row>
    <row r="328" customFormat="false" ht="12.8" hidden="true" customHeight="false" outlineLevel="0" collapsed="false">
      <c r="A328" s="5" t="n">
        <v>21</v>
      </c>
      <c r="B328" s="1" t="s">
        <v>47</v>
      </c>
      <c r="C328" s="1" t="n">
        <v>0.00617179536779733</v>
      </c>
    </row>
    <row r="329" customFormat="false" ht="12.8" hidden="true" customHeight="false" outlineLevel="0" collapsed="false">
      <c r="A329" s="5" t="n">
        <v>13</v>
      </c>
      <c r="B329" s="1" t="s">
        <v>47</v>
      </c>
      <c r="C329" s="1" t="n">
        <v>0.00487487397659059</v>
      </c>
    </row>
    <row r="330" customFormat="false" ht="12.8" hidden="true" customHeight="false" outlineLevel="0" collapsed="false">
      <c r="A330" s="5" t="n">
        <v>1</v>
      </c>
      <c r="B330" s="1" t="s">
        <v>47</v>
      </c>
      <c r="C330" s="1" t="n">
        <v>0.00478698661608501</v>
      </c>
    </row>
    <row r="331" customFormat="false" ht="12.8" hidden="true" customHeight="false" outlineLevel="0" collapsed="false">
      <c r="A331" s="5" t="n">
        <v>4</v>
      </c>
      <c r="B331" s="1" t="s">
        <v>47</v>
      </c>
      <c r="C331" s="1" t="n">
        <v>0.00192073534831383</v>
      </c>
    </row>
    <row r="332" customFormat="false" ht="12.8" hidden="true" customHeight="false" outlineLevel="0" collapsed="false">
      <c r="A332" s="5" t="n">
        <v>16</v>
      </c>
      <c r="B332" s="1" t="s">
        <v>47</v>
      </c>
      <c r="C332" s="1" t="n">
        <v>0.0015869417832729</v>
      </c>
    </row>
    <row r="333" customFormat="false" ht="12.8" hidden="false" customHeight="false" outlineLevel="0" collapsed="false">
      <c r="A333" s="5" t="n">
        <v>19</v>
      </c>
      <c r="B333" s="1" t="s">
        <v>48</v>
      </c>
      <c r="C333" s="1" t="n">
        <v>0.125075485821893</v>
      </c>
    </row>
    <row r="334" customFormat="false" ht="12.8" hidden="false" customHeight="false" outlineLevel="0" collapsed="false">
      <c r="A334" s="5" t="n">
        <v>3</v>
      </c>
      <c r="B334" s="1" t="s">
        <v>48</v>
      </c>
      <c r="C334" s="1" t="n">
        <v>0.0827604065079922</v>
      </c>
    </row>
    <row r="335" customFormat="false" ht="12.8" hidden="false" customHeight="false" outlineLevel="0" collapsed="false">
      <c r="A335" s="5" t="n">
        <v>9</v>
      </c>
      <c r="B335" s="1" t="s">
        <v>48</v>
      </c>
      <c r="C335" s="1" t="n">
        <v>0.0680715804198886</v>
      </c>
    </row>
    <row r="336" customFormat="false" ht="12.8" hidden="false" customHeight="false" outlineLevel="0" collapsed="false">
      <c r="A336" s="5" t="n">
        <v>5</v>
      </c>
      <c r="B336" s="1" t="s">
        <v>48</v>
      </c>
      <c r="C336" s="1" t="n">
        <v>0.0512084910090372</v>
      </c>
    </row>
    <row r="337" customFormat="false" ht="12.8" hidden="false" customHeight="false" outlineLevel="0" collapsed="false">
      <c r="A337" s="5" t="n">
        <v>4</v>
      </c>
      <c r="B337" s="1" t="s">
        <v>48</v>
      </c>
      <c r="C337" s="1" t="n">
        <v>0.0501207703431406</v>
      </c>
    </row>
    <row r="338" customFormat="false" ht="12.8" hidden="true" customHeight="false" outlineLevel="0" collapsed="false">
      <c r="A338" s="5" t="n">
        <v>10</v>
      </c>
      <c r="B338" s="1" t="s">
        <v>48</v>
      </c>
      <c r="C338" s="1" t="n">
        <v>0.043712386490088</v>
      </c>
    </row>
    <row r="339" customFormat="false" ht="12.8" hidden="true" customHeight="false" outlineLevel="0" collapsed="false">
      <c r="A339" s="5" t="n">
        <v>20</v>
      </c>
      <c r="B339" s="1" t="s">
        <v>48</v>
      </c>
      <c r="C339" s="1" t="n">
        <v>0.0388726147538646</v>
      </c>
    </row>
    <row r="340" customFormat="false" ht="12.8" hidden="true" customHeight="false" outlineLevel="0" collapsed="false">
      <c r="A340" s="5" t="n">
        <v>23</v>
      </c>
      <c r="B340" s="1" t="s">
        <v>48</v>
      </c>
      <c r="C340" s="1" t="n">
        <v>0.0372762824794242</v>
      </c>
    </row>
    <row r="341" customFormat="false" ht="12.8" hidden="true" customHeight="false" outlineLevel="0" collapsed="false">
      <c r="A341" s="5" t="n">
        <v>25</v>
      </c>
      <c r="B341" s="1" t="s">
        <v>48</v>
      </c>
      <c r="C341" s="1" t="n">
        <v>0.0355258728729091</v>
      </c>
    </row>
    <row r="342" customFormat="false" ht="12.8" hidden="true" customHeight="false" outlineLevel="0" collapsed="false">
      <c r="A342" s="5" t="n">
        <v>8</v>
      </c>
      <c r="B342" s="1" t="s">
        <v>48</v>
      </c>
      <c r="C342" s="1" t="n">
        <v>0.034843869908706</v>
      </c>
    </row>
    <row r="343" customFormat="false" ht="12.8" hidden="true" customHeight="false" outlineLevel="0" collapsed="false">
      <c r="A343" s="5" t="n">
        <v>6</v>
      </c>
      <c r="B343" s="1" t="s">
        <v>48</v>
      </c>
      <c r="C343" s="1" t="n">
        <v>0.0328020762328838</v>
      </c>
    </row>
    <row r="344" customFormat="false" ht="12.8" hidden="true" customHeight="false" outlineLevel="0" collapsed="false">
      <c r="A344" s="5" t="n">
        <v>2</v>
      </c>
      <c r="B344" s="1" t="s">
        <v>48</v>
      </c>
      <c r="C344" s="1" t="n">
        <v>0.0312511917764431</v>
      </c>
    </row>
    <row r="345" customFormat="false" ht="12.8" hidden="true" customHeight="false" outlineLevel="0" collapsed="false">
      <c r="A345" s="5" t="n">
        <v>22</v>
      </c>
      <c r="B345" s="1" t="s">
        <v>48</v>
      </c>
      <c r="C345" s="1" t="n">
        <v>0.0290811762342514</v>
      </c>
    </row>
    <row r="346" customFormat="false" ht="12.8" hidden="true" customHeight="false" outlineLevel="0" collapsed="false">
      <c r="A346" s="5" t="n">
        <v>16</v>
      </c>
      <c r="B346" s="1" t="s">
        <v>48</v>
      </c>
      <c r="C346" s="1" t="n">
        <v>0.0270056223658653</v>
      </c>
    </row>
    <row r="347" customFormat="false" ht="12.8" hidden="true" customHeight="false" outlineLevel="0" collapsed="false">
      <c r="A347" s="5" t="n">
        <v>24</v>
      </c>
      <c r="B347" s="1" t="s">
        <v>48</v>
      </c>
      <c r="C347" s="1" t="n">
        <v>0.0268117710442385</v>
      </c>
    </row>
    <row r="348" customFormat="false" ht="12.8" hidden="true" customHeight="false" outlineLevel="0" collapsed="false">
      <c r="A348" s="5" t="n">
        <v>18</v>
      </c>
      <c r="B348" s="1" t="s">
        <v>48</v>
      </c>
      <c r="C348" s="1" t="n">
        <v>0.0264824050603345</v>
      </c>
    </row>
    <row r="349" customFormat="false" ht="12.8" hidden="true" customHeight="false" outlineLevel="0" collapsed="false">
      <c r="A349" s="5" t="n">
        <v>13</v>
      </c>
      <c r="B349" s="1" t="s">
        <v>48</v>
      </c>
      <c r="C349" s="1" t="n">
        <v>0.0219344495420371</v>
      </c>
    </row>
    <row r="350" customFormat="false" ht="12.8" hidden="true" customHeight="false" outlineLevel="0" collapsed="false">
      <c r="A350" s="5" t="n">
        <v>15</v>
      </c>
      <c r="B350" s="1" t="s">
        <v>48</v>
      </c>
      <c r="C350" s="1" t="n">
        <v>0.0200599508420685</v>
      </c>
    </row>
    <row r="351" customFormat="false" ht="12.8" hidden="true" customHeight="false" outlineLevel="0" collapsed="false">
      <c r="A351" s="5" t="n">
        <v>12</v>
      </c>
      <c r="B351" s="1" t="s">
        <v>48</v>
      </c>
      <c r="C351" s="1" t="n">
        <v>0.0117322792761142</v>
      </c>
    </row>
    <row r="352" customFormat="false" ht="12.8" hidden="true" customHeight="false" outlineLevel="0" collapsed="false">
      <c r="A352" s="5" t="n">
        <v>14</v>
      </c>
      <c r="B352" s="1" t="s">
        <v>48</v>
      </c>
      <c r="C352" s="1" t="n">
        <v>0.00955995865604553</v>
      </c>
    </row>
    <row r="353" customFormat="false" ht="12.8" hidden="true" customHeight="false" outlineLevel="0" collapsed="false">
      <c r="A353" s="5" t="n">
        <v>11</v>
      </c>
      <c r="B353" s="1" t="s">
        <v>48</v>
      </c>
      <c r="C353" s="1" t="n">
        <v>0.0065713837010436</v>
      </c>
    </row>
    <row r="354" customFormat="false" ht="12.8" hidden="true" customHeight="false" outlineLevel="0" collapsed="false">
      <c r="A354" s="5" t="n">
        <v>7</v>
      </c>
      <c r="B354" s="1" t="s">
        <v>48</v>
      </c>
      <c r="C354" s="1" t="n">
        <v>0.00300448467608472</v>
      </c>
    </row>
    <row r="355" customFormat="false" ht="12.8" hidden="true" customHeight="false" outlineLevel="0" collapsed="false">
      <c r="A355" s="5" t="n">
        <v>21</v>
      </c>
      <c r="B355" s="1" t="s">
        <v>48</v>
      </c>
      <c r="C355" s="1" t="n">
        <v>0.00245557373064043</v>
      </c>
    </row>
    <row r="356" customFormat="false" ht="12.8" hidden="true" customHeight="false" outlineLevel="0" collapsed="false">
      <c r="A356" s="5" t="n">
        <v>17</v>
      </c>
      <c r="B356" s="1" t="s">
        <v>48</v>
      </c>
      <c r="C356" s="1" t="n">
        <v>0.000660153170536137</v>
      </c>
    </row>
    <row r="357" customFormat="false" ht="12.8" hidden="true" customHeight="false" outlineLevel="0" collapsed="false">
      <c r="A357" s="5" t="n">
        <v>1</v>
      </c>
      <c r="B357" s="1" t="s">
        <v>48</v>
      </c>
      <c r="C357" s="1" t="n">
        <v>0.000437833975600488</v>
      </c>
    </row>
  </sheetData>
  <autoFilter ref="A207:C357">
    <filterColumn colId="2">
      <customFilters and="true">
        <customFilter operator="greaterThanOrEqual" val="0.05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46"/>
  <sheetViews>
    <sheetView showFormulas="false" showGridLines="true" showRowColHeaders="true" showZeros="true" rightToLeft="false" tabSelected="true" showOutlineSymbols="true" defaultGridColor="true" view="normal" topLeftCell="A13" colorId="64" zoomScale="125" zoomScaleNormal="125" zoomScalePageLayoutView="100" workbookViewId="0">
      <selection pane="topLeft" activeCell="F22" activeCellId="0" sqref="F22:M41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2" min="2" style="8" width="16.67"/>
    <col collapsed="false" customWidth="true" hidden="false" outlineLevel="0" max="3" min="3" style="8" width="16.43"/>
  </cols>
  <sheetData>
    <row r="3" customFormat="false" ht="12.8" hidden="false" customHeight="false" outlineLevel="0" collapsed="false">
      <c r="A3" s="1" t="s">
        <v>12</v>
      </c>
      <c r="B3" s="1" t="s">
        <v>41</v>
      </c>
      <c r="C3" s="1" t="s">
        <v>42</v>
      </c>
      <c r="F3" s="9" t="s">
        <v>49</v>
      </c>
      <c r="G3" s="10" t="s">
        <v>41</v>
      </c>
      <c r="H3" s="11"/>
      <c r="I3" s="11"/>
      <c r="J3" s="11"/>
      <c r="K3" s="11"/>
      <c r="L3" s="11"/>
      <c r="M3" s="12"/>
    </row>
    <row r="4" customFormat="false" ht="12.8" hidden="false" customHeight="false" outlineLevel="0" collapsed="false">
      <c r="A4" s="6" t="n">
        <v>5</v>
      </c>
      <c r="B4" s="1" t="s">
        <v>43</v>
      </c>
      <c r="C4" s="1" t="n">
        <v>0.0986208307231895</v>
      </c>
      <c r="F4" s="13" t="s">
        <v>12</v>
      </c>
      <c r="G4" s="14" t="s">
        <v>47</v>
      </c>
      <c r="H4" s="15" t="s">
        <v>48</v>
      </c>
      <c r="I4" s="15" t="s">
        <v>44</v>
      </c>
      <c r="J4" s="15" t="s">
        <v>45</v>
      </c>
      <c r="K4" s="15" t="s">
        <v>43</v>
      </c>
      <c r="L4" s="15" t="s">
        <v>46</v>
      </c>
      <c r="M4" s="16" t="s">
        <v>50</v>
      </c>
    </row>
    <row r="5" customFormat="false" ht="12.8" hidden="false" customHeight="false" outlineLevel="0" collapsed="false">
      <c r="A5" s="6" t="n">
        <v>9</v>
      </c>
      <c r="B5" s="1" t="s">
        <v>43</v>
      </c>
      <c r="C5" s="1" t="n">
        <v>0.0743490932245167</v>
      </c>
      <c r="F5" s="17" t="n">
        <v>2</v>
      </c>
      <c r="G5" s="18" t="n">
        <v>1</v>
      </c>
      <c r="H5" s="19"/>
      <c r="I5" s="19"/>
      <c r="J5" s="19"/>
      <c r="K5" s="19"/>
      <c r="L5" s="20"/>
      <c r="M5" s="21" t="n">
        <v>1</v>
      </c>
    </row>
    <row r="6" customFormat="false" ht="12.8" hidden="false" customHeight="false" outlineLevel="0" collapsed="false">
      <c r="A6" s="6" t="n">
        <v>6</v>
      </c>
      <c r="B6" s="1" t="s">
        <v>43</v>
      </c>
      <c r="C6" s="1" t="n">
        <v>0.068760576966996</v>
      </c>
      <c r="F6" s="22" t="n">
        <v>3</v>
      </c>
      <c r="G6" s="23" t="n">
        <v>1</v>
      </c>
      <c r="H6" s="24" t="n">
        <v>1</v>
      </c>
      <c r="I6" s="24"/>
      <c r="J6" s="24"/>
      <c r="K6" s="24"/>
      <c r="L6" s="25"/>
      <c r="M6" s="26" t="n">
        <v>2</v>
      </c>
    </row>
    <row r="7" customFormat="false" ht="12.8" hidden="false" customHeight="false" outlineLevel="0" collapsed="false">
      <c r="A7" s="6" t="n">
        <v>17</v>
      </c>
      <c r="B7" s="1" t="s">
        <v>43</v>
      </c>
      <c r="C7" s="1" t="n">
        <v>0.0529872227140977</v>
      </c>
      <c r="F7" s="22" t="n">
        <v>4</v>
      </c>
      <c r="G7" s="23"/>
      <c r="H7" s="24" t="n">
        <v>1</v>
      </c>
      <c r="I7" s="24"/>
      <c r="J7" s="24"/>
      <c r="K7" s="24" t="n">
        <v>1</v>
      </c>
      <c r="L7" s="25" t="n">
        <v>1</v>
      </c>
      <c r="M7" s="26" t="n">
        <v>3</v>
      </c>
    </row>
    <row r="8" customFormat="false" ht="12.8" hidden="false" customHeight="false" outlineLevel="0" collapsed="false">
      <c r="A8" s="6" t="n">
        <v>19</v>
      </c>
      <c r="B8" s="1" t="s">
        <v>43</v>
      </c>
      <c r="C8" s="1" t="n">
        <v>0.0527453572522953</v>
      </c>
      <c r="F8" s="22" t="n">
        <v>5</v>
      </c>
      <c r="G8" s="23"/>
      <c r="H8" s="24" t="n">
        <v>1</v>
      </c>
      <c r="I8" s="24"/>
      <c r="J8" s="24"/>
      <c r="K8" s="24" t="n">
        <v>1</v>
      </c>
      <c r="L8" s="25" t="n">
        <v>1</v>
      </c>
      <c r="M8" s="26" t="n">
        <v>3</v>
      </c>
    </row>
    <row r="9" customFormat="false" ht="12.8" hidden="false" customHeight="false" outlineLevel="0" collapsed="false">
      <c r="A9" s="6" t="n">
        <v>4</v>
      </c>
      <c r="B9" s="1" t="s">
        <v>43</v>
      </c>
      <c r="C9" s="1" t="n">
        <v>0.0520415056914544</v>
      </c>
      <c r="F9" s="22" t="n">
        <v>6</v>
      </c>
      <c r="G9" s="23"/>
      <c r="H9" s="24"/>
      <c r="I9" s="24"/>
      <c r="J9" s="24" t="n">
        <v>1</v>
      </c>
      <c r="K9" s="24" t="n">
        <v>1</v>
      </c>
      <c r="L9" s="25"/>
      <c r="M9" s="26" t="n">
        <v>2</v>
      </c>
    </row>
    <row r="10" customFormat="false" ht="12.8" hidden="false" customHeight="false" outlineLevel="0" collapsed="false">
      <c r="A10" s="6" t="n">
        <v>15</v>
      </c>
      <c r="B10" s="1" t="s">
        <v>43</v>
      </c>
      <c r="C10" s="1" t="n">
        <v>0.0513091212841427</v>
      </c>
      <c r="F10" s="22" t="n">
        <v>9</v>
      </c>
      <c r="G10" s="23"/>
      <c r="H10" s="24" t="n">
        <v>1</v>
      </c>
      <c r="I10" s="24"/>
      <c r="J10" s="24"/>
      <c r="K10" s="24" t="n">
        <v>1</v>
      </c>
      <c r="L10" s="25"/>
      <c r="M10" s="26" t="n">
        <v>2</v>
      </c>
    </row>
    <row r="11" customFormat="false" ht="12.8" hidden="false" customHeight="false" outlineLevel="0" collapsed="false">
      <c r="A11" s="5" t="n">
        <v>22</v>
      </c>
      <c r="B11" s="8" t="s">
        <v>44</v>
      </c>
      <c r="C11" s="1" t="n">
        <v>0.0792879742497615</v>
      </c>
      <c r="F11" s="22" t="n">
        <v>14</v>
      </c>
      <c r="G11" s="23" t="n">
        <v>1</v>
      </c>
      <c r="H11" s="24"/>
      <c r="I11" s="24"/>
      <c r="J11" s="24" t="n">
        <v>1</v>
      </c>
      <c r="K11" s="24"/>
      <c r="L11" s="25"/>
      <c r="M11" s="26" t="n">
        <v>2</v>
      </c>
    </row>
    <row r="12" customFormat="false" ht="12.8" hidden="false" customHeight="false" outlineLevel="0" collapsed="false">
      <c r="A12" s="5" t="n">
        <v>24</v>
      </c>
      <c r="B12" s="8" t="s">
        <v>44</v>
      </c>
      <c r="C12" s="1" t="n">
        <v>0.0557683841441609</v>
      </c>
      <c r="F12" s="22" t="n">
        <v>15</v>
      </c>
      <c r="G12" s="23" t="n">
        <v>1</v>
      </c>
      <c r="H12" s="24"/>
      <c r="I12" s="24"/>
      <c r="J12" s="24"/>
      <c r="K12" s="24" t="n">
        <v>1</v>
      </c>
      <c r="L12" s="25"/>
      <c r="M12" s="26" t="n">
        <v>2</v>
      </c>
    </row>
    <row r="13" customFormat="false" ht="12.8" hidden="false" customHeight="false" outlineLevel="0" collapsed="false">
      <c r="A13" s="5" t="n">
        <v>19</v>
      </c>
      <c r="B13" s="8" t="s">
        <v>45</v>
      </c>
      <c r="C13" s="1" t="n">
        <v>0.0798006388690887</v>
      </c>
      <c r="F13" s="22" t="n">
        <v>16</v>
      </c>
      <c r="G13" s="23"/>
      <c r="H13" s="24"/>
      <c r="I13" s="24"/>
      <c r="J13" s="24"/>
      <c r="K13" s="24"/>
      <c r="L13" s="25" t="n">
        <v>1</v>
      </c>
      <c r="M13" s="26" t="n">
        <v>1</v>
      </c>
    </row>
    <row r="14" customFormat="false" ht="12.8" hidden="false" customHeight="false" outlineLevel="0" collapsed="false">
      <c r="A14" s="5" t="n">
        <v>24</v>
      </c>
      <c r="B14" s="8" t="s">
        <v>45</v>
      </c>
      <c r="C14" s="1" t="n">
        <v>0.0768511291573462</v>
      </c>
      <c r="F14" s="22" t="n">
        <v>17</v>
      </c>
      <c r="G14" s="23" t="n">
        <v>1</v>
      </c>
      <c r="H14" s="24"/>
      <c r="I14" s="24"/>
      <c r="J14" s="24" t="n">
        <v>1</v>
      </c>
      <c r="K14" s="24" t="n">
        <v>1</v>
      </c>
      <c r="L14" s="25"/>
      <c r="M14" s="26" t="n">
        <v>3</v>
      </c>
    </row>
    <row r="15" customFormat="false" ht="12.8" hidden="false" customHeight="false" outlineLevel="0" collapsed="false">
      <c r="A15" s="5" t="n">
        <v>22</v>
      </c>
      <c r="B15" s="8" t="s">
        <v>45</v>
      </c>
      <c r="C15" s="1" t="n">
        <v>0.067913392966423</v>
      </c>
      <c r="F15" s="22" t="n">
        <v>19</v>
      </c>
      <c r="G15" s="23" t="n">
        <v>1</v>
      </c>
      <c r="H15" s="24" t="n">
        <v>1</v>
      </c>
      <c r="I15" s="24"/>
      <c r="J15" s="24" t="n">
        <v>1</v>
      </c>
      <c r="K15" s="24" t="n">
        <v>1</v>
      </c>
      <c r="L15" s="25" t="n">
        <v>1</v>
      </c>
      <c r="M15" s="26" t="n">
        <v>5</v>
      </c>
    </row>
    <row r="16" customFormat="false" ht="12.8" hidden="false" customHeight="false" outlineLevel="0" collapsed="false">
      <c r="A16" s="5" t="n">
        <v>14</v>
      </c>
      <c r="B16" s="8" t="s">
        <v>45</v>
      </c>
      <c r="C16" s="1" t="n">
        <v>0.065898510150403</v>
      </c>
      <c r="F16" s="22" t="n">
        <v>20</v>
      </c>
      <c r="G16" s="23"/>
      <c r="H16" s="24"/>
      <c r="I16" s="24"/>
      <c r="J16" s="24"/>
      <c r="K16" s="24"/>
      <c r="L16" s="25" t="n">
        <v>1</v>
      </c>
      <c r="M16" s="26" t="n">
        <v>1</v>
      </c>
    </row>
    <row r="17" customFormat="false" ht="12.8" hidden="false" customHeight="false" outlineLevel="0" collapsed="false">
      <c r="A17" s="5" t="n">
        <v>6</v>
      </c>
      <c r="B17" s="8" t="s">
        <v>45</v>
      </c>
      <c r="C17" s="1" t="n">
        <v>0.0650643857345121</v>
      </c>
      <c r="F17" s="22" t="n">
        <v>22</v>
      </c>
      <c r="G17" s="23"/>
      <c r="H17" s="24"/>
      <c r="I17" s="24" t="n">
        <v>1</v>
      </c>
      <c r="J17" s="24" t="n">
        <v>1</v>
      </c>
      <c r="K17" s="24"/>
      <c r="L17" s="25" t="n">
        <v>1</v>
      </c>
      <c r="M17" s="26" t="n">
        <v>3</v>
      </c>
    </row>
    <row r="18" customFormat="false" ht="12.8" hidden="false" customHeight="false" outlineLevel="0" collapsed="false">
      <c r="A18" s="5" t="n">
        <v>17</v>
      </c>
      <c r="B18" s="8" t="s">
        <v>45</v>
      </c>
      <c r="C18" s="1" t="n">
        <v>0.0500356750398536</v>
      </c>
      <c r="F18" s="22" t="n">
        <v>24</v>
      </c>
      <c r="G18" s="27"/>
      <c r="H18" s="28"/>
      <c r="I18" s="28" t="n">
        <v>1</v>
      </c>
      <c r="J18" s="28" t="n">
        <v>1</v>
      </c>
      <c r="K18" s="28"/>
      <c r="L18" s="29"/>
      <c r="M18" s="30" t="n">
        <v>2</v>
      </c>
    </row>
    <row r="19" customFormat="false" ht="12.8" hidden="false" customHeight="false" outlineLevel="0" collapsed="false">
      <c r="A19" s="5" t="n">
        <v>19</v>
      </c>
      <c r="B19" s="8" t="s">
        <v>46</v>
      </c>
      <c r="C19" s="1" t="n">
        <v>0.132545996121384</v>
      </c>
      <c r="F19" s="31" t="s">
        <v>50</v>
      </c>
      <c r="G19" s="32" t="n">
        <v>6</v>
      </c>
      <c r="H19" s="33" t="n">
        <v>5</v>
      </c>
      <c r="I19" s="33" t="n">
        <v>2</v>
      </c>
      <c r="J19" s="33" t="n">
        <v>6</v>
      </c>
      <c r="K19" s="33" t="n">
        <v>7</v>
      </c>
      <c r="L19" s="34" t="n">
        <v>6</v>
      </c>
      <c r="M19" s="35" t="n">
        <v>32</v>
      </c>
    </row>
    <row r="20" customFormat="false" ht="12.8" hidden="false" customHeight="false" outlineLevel="0" collapsed="false">
      <c r="A20" s="5" t="n">
        <v>16</v>
      </c>
      <c r="B20" s="8" t="s">
        <v>46</v>
      </c>
      <c r="C20" s="1" t="n">
        <v>0.0719844923113469</v>
      </c>
    </row>
    <row r="21" customFormat="false" ht="12.8" hidden="false" customHeight="false" outlineLevel="0" collapsed="false">
      <c r="A21" s="5" t="n">
        <v>4</v>
      </c>
      <c r="B21" s="8" t="s">
        <v>46</v>
      </c>
      <c r="C21" s="1" t="n">
        <v>0.066133487146822</v>
      </c>
    </row>
    <row r="22" customFormat="false" ht="12.8" hidden="false" customHeight="true" outlineLevel="0" collapsed="false">
      <c r="A22" s="5" t="n">
        <v>20</v>
      </c>
      <c r="B22" s="8" t="s">
        <v>46</v>
      </c>
      <c r="C22" s="1" t="n">
        <v>0.0522618832628589</v>
      </c>
      <c r="F22" s="36"/>
      <c r="G22" s="36"/>
      <c r="H22" s="36"/>
      <c r="I22" s="36"/>
      <c r="J22" s="36"/>
      <c r="K22" s="36"/>
      <c r="L22" s="36"/>
      <c r="M22" s="36"/>
    </row>
    <row r="23" customFormat="false" ht="12.8" hidden="false" customHeight="false" outlineLevel="0" collapsed="false">
      <c r="A23" s="5" t="n">
        <v>5</v>
      </c>
      <c r="B23" s="8" t="s">
        <v>46</v>
      </c>
      <c r="C23" s="1" t="n">
        <v>0.0515483594900894</v>
      </c>
      <c r="F23" s="36"/>
      <c r="G23" s="36"/>
      <c r="H23" s="36"/>
      <c r="I23" s="36"/>
      <c r="J23" s="36"/>
      <c r="K23" s="36"/>
      <c r="L23" s="36"/>
      <c r="M23" s="36"/>
    </row>
    <row r="24" customFormat="false" ht="12.8" hidden="false" customHeight="false" outlineLevel="0" collapsed="false">
      <c r="A24" s="5" t="n">
        <v>22</v>
      </c>
      <c r="B24" s="8" t="s">
        <v>46</v>
      </c>
      <c r="C24" s="1" t="n">
        <v>0.0502067980155101</v>
      </c>
      <c r="F24" s="36"/>
      <c r="G24" s="36"/>
      <c r="H24" s="36"/>
      <c r="I24" s="36"/>
      <c r="J24" s="36"/>
      <c r="K24" s="36"/>
      <c r="L24" s="36"/>
      <c r="M24" s="36"/>
    </row>
    <row r="25" customFormat="false" ht="12.8" hidden="false" customHeight="false" outlineLevel="0" collapsed="false">
      <c r="A25" s="5" t="n">
        <v>3</v>
      </c>
      <c r="B25" s="1" t="s">
        <v>47</v>
      </c>
      <c r="C25" s="1" t="n">
        <v>0.0854155882014733</v>
      </c>
      <c r="F25" s="36"/>
      <c r="G25" s="36"/>
      <c r="H25" s="36"/>
      <c r="I25" s="36"/>
      <c r="J25" s="36"/>
      <c r="K25" s="36"/>
      <c r="L25" s="36"/>
      <c r="M25" s="36"/>
    </row>
    <row r="26" customFormat="false" ht="12.8" hidden="false" customHeight="false" outlineLevel="0" collapsed="false">
      <c r="A26" s="5" t="n">
        <v>19</v>
      </c>
      <c r="B26" s="1" t="s">
        <v>47</v>
      </c>
      <c r="C26" s="1" t="n">
        <v>0.0723301285695978</v>
      </c>
      <c r="F26" s="36"/>
      <c r="G26" s="36"/>
      <c r="H26" s="36"/>
      <c r="I26" s="36"/>
      <c r="J26" s="36"/>
      <c r="K26" s="36"/>
      <c r="L26" s="36"/>
      <c r="M26" s="36"/>
    </row>
    <row r="27" customFormat="false" ht="12.8" hidden="false" customHeight="true" outlineLevel="0" collapsed="false">
      <c r="A27" s="5" t="n">
        <v>15</v>
      </c>
      <c r="B27" s="1" t="s">
        <v>47</v>
      </c>
      <c r="C27" s="1" t="n">
        <v>0.0713690721262111</v>
      </c>
      <c r="F27" s="36"/>
      <c r="G27" s="36"/>
      <c r="H27" s="36"/>
      <c r="I27" s="36"/>
      <c r="J27" s="36"/>
      <c r="K27" s="36"/>
      <c r="L27" s="36"/>
      <c r="M27" s="36"/>
    </row>
    <row r="28" customFormat="false" ht="12.8" hidden="false" customHeight="false" outlineLevel="0" collapsed="false">
      <c r="A28" s="5" t="n">
        <v>14</v>
      </c>
      <c r="B28" s="1" t="s">
        <v>47</v>
      </c>
      <c r="C28" s="1" t="n">
        <v>0.0565476074352107</v>
      </c>
      <c r="F28" s="36"/>
      <c r="G28" s="36"/>
      <c r="H28" s="36"/>
      <c r="I28" s="36"/>
      <c r="J28" s="36"/>
      <c r="K28" s="36"/>
      <c r="L28" s="36"/>
      <c r="M28" s="36"/>
    </row>
    <row r="29" customFormat="false" ht="12.8" hidden="false" customHeight="false" outlineLevel="0" collapsed="false">
      <c r="A29" s="5" t="n">
        <v>17</v>
      </c>
      <c r="B29" s="1" t="s">
        <v>47</v>
      </c>
      <c r="C29" s="1" t="n">
        <v>0.0536473758846339</v>
      </c>
      <c r="F29" s="36"/>
      <c r="G29" s="36"/>
      <c r="H29" s="36"/>
      <c r="I29" s="36"/>
      <c r="J29" s="36"/>
      <c r="K29" s="36"/>
      <c r="L29" s="36"/>
      <c r="M29" s="36"/>
    </row>
    <row r="30" customFormat="false" ht="12.8" hidden="false" customHeight="false" outlineLevel="0" collapsed="false">
      <c r="A30" s="5" t="n">
        <v>2</v>
      </c>
      <c r="B30" s="1" t="s">
        <v>47</v>
      </c>
      <c r="C30" s="1" t="n">
        <v>0.0521843776961275</v>
      </c>
      <c r="F30" s="36"/>
      <c r="G30" s="36"/>
      <c r="H30" s="36"/>
      <c r="I30" s="36"/>
      <c r="J30" s="36"/>
      <c r="K30" s="36"/>
      <c r="L30" s="36"/>
      <c r="M30" s="36"/>
    </row>
    <row r="31" customFormat="false" ht="12.8" hidden="false" customHeight="false" outlineLevel="0" collapsed="false">
      <c r="A31" s="5" t="n">
        <v>19</v>
      </c>
      <c r="B31" s="1" t="s">
        <v>48</v>
      </c>
      <c r="C31" s="1" t="n">
        <v>0.125075485821893</v>
      </c>
      <c r="F31" s="36"/>
      <c r="G31" s="36"/>
      <c r="H31" s="36"/>
      <c r="I31" s="36"/>
      <c r="J31" s="36"/>
      <c r="K31" s="36"/>
      <c r="L31" s="36"/>
      <c r="M31" s="36"/>
    </row>
    <row r="32" customFormat="false" ht="12.8" hidden="false" customHeight="true" outlineLevel="0" collapsed="false">
      <c r="A32" s="5" t="n">
        <v>3</v>
      </c>
      <c r="B32" s="1" t="s">
        <v>48</v>
      </c>
      <c r="C32" s="1" t="n">
        <v>0.0827604065079922</v>
      </c>
      <c r="F32" s="36"/>
      <c r="G32" s="36"/>
      <c r="H32" s="36"/>
      <c r="I32" s="36"/>
      <c r="J32" s="36"/>
      <c r="K32" s="36"/>
      <c r="L32" s="36"/>
      <c r="M32" s="36"/>
    </row>
    <row r="33" customFormat="false" ht="12.8" hidden="false" customHeight="false" outlineLevel="0" collapsed="false">
      <c r="A33" s="5" t="n">
        <v>9</v>
      </c>
      <c r="B33" s="1" t="s">
        <v>48</v>
      </c>
      <c r="C33" s="1" t="n">
        <v>0.0680715804198886</v>
      </c>
      <c r="F33" s="36"/>
      <c r="G33" s="36"/>
      <c r="H33" s="36"/>
      <c r="I33" s="36"/>
      <c r="J33" s="36"/>
      <c r="K33" s="36"/>
      <c r="L33" s="36"/>
      <c r="M33" s="36"/>
    </row>
    <row r="34" customFormat="false" ht="12.8" hidden="false" customHeight="false" outlineLevel="0" collapsed="false">
      <c r="A34" s="5" t="n">
        <v>5</v>
      </c>
      <c r="B34" s="1" t="s">
        <v>48</v>
      </c>
      <c r="C34" s="1" t="n">
        <v>0.0512084910090372</v>
      </c>
      <c r="F34" s="36"/>
      <c r="G34" s="36"/>
      <c r="H34" s="36"/>
      <c r="I34" s="36"/>
      <c r="J34" s="36"/>
      <c r="K34" s="36"/>
      <c r="L34" s="36"/>
      <c r="M34" s="36"/>
    </row>
    <row r="35" customFormat="false" ht="12.8" hidden="false" customHeight="false" outlineLevel="0" collapsed="false">
      <c r="A35" s="5" t="n">
        <v>4</v>
      </c>
      <c r="B35" s="1" t="s">
        <v>48</v>
      </c>
      <c r="C35" s="1" t="n">
        <v>0.0501207703431406</v>
      </c>
      <c r="F35" s="36"/>
      <c r="G35" s="36"/>
      <c r="H35" s="36"/>
      <c r="I35" s="36"/>
      <c r="J35" s="36"/>
      <c r="K35" s="36"/>
      <c r="L35" s="36"/>
      <c r="M35" s="36"/>
    </row>
    <row r="36" customFormat="false" ht="12.8" hidden="false" customHeight="false" outlineLevel="0" collapsed="false">
      <c r="F36" s="36"/>
      <c r="G36" s="36"/>
      <c r="H36" s="36"/>
      <c r="I36" s="36"/>
      <c r="J36" s="36"/>
      <c r="K36" s="36"/>
      <c r="L36" s="36"/>
      <c r="M36" s="36"/>
    </row>
    <row r="37" customFormat="false" ht="12.8" hidden="false" customHeight="true" outlineLevel="0" collapsed="false">
      <c r="F37" s="36"/>
      <c r="G37" s="36"/>
      <c r="H37" s="36"/>
      <c r="I37" s="36"/>
      <c r="J37" s="36"/>
      <c r="K37" s="36"/>
      <c r="L37" s="36"/>
      <c r="M37" s="36"/>
    </row>
    <row r="38" customFormat="false" ht="12.8" hidden="false" customHeight="false" outlineLevel="0" collapsed="false">
      <c r="F38" s="36"/>
      <c r="G38" s="36"/>
      <c r="H38" s="36"/>
      <c r="I38" s="36"/>
      <c r="J38" s="36"/>
      <c r="K38" s="36"/>
      <c r="L38" s="36"/>
      <c r="M38" s="36"/>
    </row>
    <row r="39" customFormat="false" ht="12.8" hidden="false" customHeight="false" outlineLevel="0" collapsed="false">
      <c r="F39" s="36"/>
      <c r="G39" s="36"/>
      <c r="H39" s="36"/>
      <c r="I39" s="36"/>
      <c r="J39" s="36"/>
      <c r="K39" s="36"/>
      <c r="L39" s="36"/>
      <c r="M39" s="36"/>
    </row>
    <row r="40" customFormat="false" ht="12.8" hidden="false" customHeight="false" outlineLevel="0" collapsed="false">
      <c r="F40" s="36"/>
      <c r="G40" s="36"/>
      <c r="H40" s="36"/>
      <c r="I40" s="36"/>
      <c r="J40" s="36"/>
      <c r="K40" s="36"/>
      <c r="L40" s="36"/>
      <c r="M40" s="36"/>
    </row>
    <row r="41" customFormat="false" ht="12.8" hidden="false" customHeight="false" outlineLevel="0" collapsed="false">
      <c r="F41" s="36"/>
      <c r="G41" s="36"/>
      <c r="H41" s="36"/>
      <c r="I41" s="36"/>
      <c r="J41" s="36"/>
      <c r="K41" s="36"/>
      <c r="L41" s="36"/>
      <c r="M41" s="36"/>
    </row>
    <row r="42" customFormat="false" ht="12.8" hidden="false" customHeight="false" outlineLevel="0" collapsed="false">
      <c r="F42" s="37"/>
    </row>
    <row r="43" customFormat="false" ht="12.8" hidden="false" customHeight="false" outlineLevel="0" collapsed="false">
      <c r="F43" s="38"/>
      <c r="G43" s="38"/>
      <c r="H43" s="38"/>
      <c r="I43" s="38"/>
      <c r="J43" s="38"/>
      <c r="K43" s="38"/>
      <c r="L43" s="38"/>
    </row>
    <row r="44" customFormat="false" ht="12.8" hidden="false" customHeight="false" outlineLevel="0" collapsed="false">
      <c r="F44" s="38"/>
      <c r="G44" s="38"/>
      <c r="H44" s="38"/>
      <c r="I44" s="38"/>
      <c r="J44" s="38"/>
      <c r="K44" s="38"/>
      <c r="L44" s="38"/>
    </row>
    <row r="45" customFormat="false" ht="12.8" hidden="false" customHeight="false" outlineLevel="0" collapsed="false">
      <c r="F45" s="38"/>
      <c r="G45" s="38"/>
      <c r="H45" s="38"/>
      <c r="I45" s="38"/>
      <c r="J45" s="38"/>
      <c r="K45" s="38"/>
      <c r="L45" s="38"/>
    </row>
    <row r="46" customFormat="false" ht="12.8" hidden="false" customHeight="false" outlineLevel="0" collapsed="false">
      <c r="F46" s="38"/>
      <c r="G46" s="38"/>
      <c r="H46" s="38"/>
      <c r="I46" s="38"/>
      <c r="J46" s="38"/>
      <c r="K46" s="38"/>
      <c r="L46" s="38"/>
    </row>
  </sheetData>
  <mergeCells count="8">
    <mergeCell ref="F22:M26"/>
    <mergeCell ref="F27:M31"/>
    <mergeCell ref="F32:M36"/>
    <mergeCell ref="F37:M41"/>
    <mergeCell ref="F43:L43"/>
    <mergeCell ref="F44:L44"/>
    <mergeCell ref="F45:L45"/>
    <mergeCell ref="F46:L4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734"/>
  <sheetViews>
    <sheetView showFormulas="false" showGridLines="true" showRowColHeaders="true" showZeros="true" rightToLeft="false" tabSelected="false" showOutlineSymbols="true" defaultGridColor="true" view="normal" topLeftCell="B337" colorId="64" zoomScale="125" zoomScaleNormal="125" zoomScalePageLayoutView="100" workbookViewId="0">
      <selection pane="topLeft" activeCell="F294" activeCellId="1" sqref="F22:M41 F294"/>
    </sheetView>
  </sheetViews>
  <sheetFormatPr defaultColWidth="12.8046875" defaultRowHeight="12.8" customHeight="false" zeroHeight="false" outlineLevelRow="0" outlineLevelCol="0"/>
  <cols>
    <col collapsed="false" customWidth="false" hidden="false" outlineLevel="0" max="1" min="1" style="8" width="12.8"/>
    <col collapsed="false" customWidth="true" hidden="false" outlineLevel="0" max="2" min="2" style="8" width="39.92"/>
    <col collapsed="false" customWidth="false" hidden="false" outlineLevel="0" max="3" min="3" style="8" width="12.8"/>
    <col collapsed="false" customWidth="true" hidden="false" outlineLevel="0" max="4" min="4" style="8" width="20.64"/>
    <col collapsed="false" customWidth="true" hidden="false" outlineLevel="0" max="6" min="6" style="8" width="47.06"/>
    <col collapsed="false" customWidth="true" hidden="false" outlineLevel="0" max="7" min="7" style="8" width="41.75"/>
    <col collapsed="false" customWidth="true" hidden="false" outlineLevel="0" max="9" min="9" style="8" width="24.08"/>
    <col collapsed="false" customWidth="true" hidden="false" outlineLevel="0" max="10" min="10" style="8" width="20.63"/>
  </cols>
  <sheetData>
    <row r="3" customFormat="false" ht="12.8" hidden="false" customHeight="false" outlineLevel="0" collapsed="false">
      <c r="A3" s="1" t="s">
        <v>51</v>
      </c>
      <c r="B3" s="1" t="s">
        <v>52</v>
      </c>
      <c r="C3" s="1" t="s">
        <v>53</v>
      </c>
      <c r="D3" s="1" t="s">
        <v>54</v>
      </c>
      <c r="F3" s="9" t="s">
        <v>55</v>
      </c>
      <c r="G3" s="10" t="s">
        <v>54</v>
      </c>
      <c r="H3" s="11"/>
      <c r="I3" s="11"/>
      <c r="J3" s="11"/>
      <c r="K3" s="12"/>
    </row>
    <row r="4" customFormat="false" ht="12.8" hidden="false" customHeight="false" outlineLevel="0" collapsed="false">
      <c r="A4" s="39" t="n">
        <v>1</v>
      </c>
      <c r="B4" s="39" t="s">
        <v>56</v>
      </c>
      <c r="C4" s="39" t="n">
        <v>0.2038</v>
      </c>
      <c r="D4" s="39" t="s">
        <v>57</v>
      </c>
      <c r="F4" s="13" t="s">
        <v>51</v>
      </c>
      <c r="G4" s="14" t="s">
        <v>57</v>
      </c>
      <c r="H4" s="15" t="s">
        <v>58</v>
      </c>
      <c r="I4" s="15" t="s">
        <v>59</v>
      </c>
      <c r="J4" s="15" t="s">
        <v>60</v>
      </c>
      <c r="K4" s="16" t="s">
        <v>50</v>
      </c>
    </row>
    <row r="5" customFormat="false" ht="12.8" hidden="false" customHeight="false" outlineLevel="0" collapsed="false">
      <c r="A5" s="39" t="n">
        <v>1</v>
      </c>
      <c r="B5" s="39" t="s">
        <v>61</v>
      </c>
      <c r="C5" s="39" t="n">
        <v>0.1894</v>
      </c>
      <c r="D5" s="39" t="s">
        <v>57</v>
      </c>
      <c r="E5" s="6" t="n">
        <v>1</v>
      </c>
      <c r="F5" s="40" t="n">
        <v>1</v>
      </c>
      <c r="G5" s="18" t="n">
        <v>6</v>
      </c>
      <c r="H5" s="19" t="n">
        <v>6</v>
      </c>
      <c r="I5" s="19" t="n">
        <v>6</v>
      </c>
      <c r="J5" s="20" t="n">
        <v>6</v>
      </c>
      <c r="K5" s="21" t="n">
        <v>24</v>
      </c>
    </row>
    <row r="6" customFormat="false" ht="12.8" hidden="false" customHeight="false" outlineLevel="0" collapsed="false">
      <c r="A6" s="39" t="n">
        <v>1</v>
      </c>
      <c r="B6" s="39" t="s">
        <v>62</v>
      </c>
      <c r="C6" s="39" t="n">
        <v>0.1882</v>
      </c>
      <c r="D6" s="39" t="s">
        <v>57</v>
      </c>
      <c r="E6" s="6" t="n">
        <v>2</v>
      </c>
      <c r="F6" s="41" t="n">
        <v>3</v>
      </c>
      <c r="G6" s="23" t="n">
        <v>6</v>
      </c>
      <c r="H6" s="24" t="n">
        <v>6</v>
      </c>
      <c r="I6" s="24" t="n">
        <v>6</v>
      </c>
      <c r="J6" s="25" t="n">
        <v>6</v>
      </c>
      <c r="K6" s="26" t="n">
        <v>24</v>
      </c>
    </row>
    <row r="7" customFormat="false" ht="12.8" hidden="false" customHeight="false" outlineLevel="0" collapsed="false">
      <c r="A7" s="39" t="n">
        <v>1</v>
      </c>
      <c r="B7" s="39" t="s">
        <v>63</v>
      </c>
      <c r="C7" s="39" t="n">
        <v>0.1638</v>
      </c>
      <c r="D7" s="39" t="s">
        <v>57</v>
      </c>
      <c r="E7" s="6" t="n">
        <v>3</v>
      </c>
      <c r="F7" s="41" t="n">
        <v>5</v>
      </c>
      <c r="G7" s="23" t="n">
        <v>6</v>
      </c>
      <c r="H7" s="24" t="n">
        <v>6</v>
      </c>
      <c r="I7" s="24" t="n">
        <v>6</v>
      </c>
      <c r="J7" s="25" t="n">
        <v>6</v>
      </c>
      <c r="K7" s="26" t="n">
        <v>24</v>
      </c>
    </row>
    <row r="8" customFormat="false" ht="12.8" hidden="false" customHeight="false" outlineLevel="0" collapsed="false">
      <c r="A8" s="39" t="n">
        <v>1</v>
      </c>
      <c r="B8" s="39" t="s">
        <v>64</v>
      </c>
      <c r="C8" s="39" t="n">
        <v>0.1549</v>
      </c>
      <c r="D8" s="39" t="s">
        <v>57</v>
      </c>
      <c r="E8" s="6" t="n">
        <v>4</v>
      </c>
      <c r="F8" s="41" t="n">
        <v>7</v>
      </c>
      <c r="G8" s="23" t="n">
        <v>6</v>
      </c>
      <c r="H8" s="24" t="n">
        <v>6</v>
      </c>
      <c r="I8" s="24" t="n">
        <v>6</v>
      </c>
      <c r="J8" s="25" t="n">
        <v>6</v>
      </c>
      <c r="K8" s="26" t="n">
        <v>24</v>
      </c>
    </row>
    <row r="9" customFormat="false" ht="12.8" hidden="false" customHeight="false" outlineLevel="0" collapsed="false">
      <c r="A9" s="39" t="n">
        <v>1</v>
      </c>
      <c r="B9" s="39" t="s">
        <v>65</v>
      </c>
      <c r="C9" s="39" t="n">
        <v>0.1</v>
      </c>
      <c r="D9" s="39" t="s">
        <v>57</v>
      </c>
      <c r="E9" s="6" t="n">
        <v>5</v>
      </c>
      <c r="F9" s="41" t="n">
        <v>9</v>
      </c>
      <c r="G9" s="23" t="n">
        <v>6</v>
      </c>
      <c r="H9" s="24" t="n">
        <v>6</v>
      </c>
      <c r="I9" s="24" t="n">
        <v>6</v>
      </c>
      <c r="J9" s="25" t="n">
        <v>6</v>
      </c>
      <c r="K9" s="26" t="n">
        <v>24</v>
      </c>
    </row>
    <row r="10" customFormat="false" ht="12.8" hidden="false" customHeight="false" outlineLevel="0" collapsed="false">
      <c r="A10" s="39" t="n">
        <v>3</v>
      </c>
      <c r="B10" s="39" t="s">
        <v>62</v>
      </c>
      <c r="C10" s="39" t="n">
        <v>0.1937</v>
      </c>
      <c r="D10" s="39" t="s">
        <v>57</v>
      </c>
      <c r="E10" s="6" t="n">
        <v>6</v>
      </c>
      <c r="F10" s="41" t="n">
        <v>11</v>
      </c>
      <c r="G10" s="23" t="n">
        <v>6</v>
      </c>
      <c r="H10" s="24" t="n">
        <v>6</v>
      </c>
      <c r="I10" s="24" t="n">
        <v>6</v>
      </c>
      <c r="J10" s="25" t="n">
        <v>6</v>
      </c>
      <c r="K10" s="26" t="n">
        <v>24</v>
      </c>
    </row>
    <row r="11" customFormat="false" ht="12.8" hidden="false" customHeight="false" outlineLevel="0" collapsed="false">
      <c r="A11" s="39" t="n">
        <v>3</v>
      </c>
      <c r="B11" s="39" t="s">
        <v>63</v>
      </c>
      <c r="C11" s="39" t="n">
        <v>0.1898</v>
      </c>
      <c r="D11" s="39" t="s">
        <v>57</v>
      </c>
      <c r="E11" s="6" t="n">
        <v>7</v>
      </c>
      <c r="F11" s="41" t="n">
        <v>13</v>
      </c>
      <c r="G11" s="23" t="n">
        <v>6</v>
      </c>
      <c r="H11" s="24" t="n">
        <v>6</v>
      </c>
      <c r="I11" s="24" t="n">
        <v>5</v>
      </c>
      <c r="J11" s="25" t="n">
        <v>6</v>
      </c>
      <c r="K11" s="26" t="n">
        <v>23</v>
      </c>
    </row>
    <row r="12" customFormat="false" ht="12.8" hidden="false" customHeight="false" outlineLevel="0" collapsed="false">
      <c r="A12" s="39" t="n">
        <v>3</v>
      </c>
      <c r="B12" s="39" t="s">
        <v>61</v>
      </c>
      <c r="C12" s="39" t="n">
        <v>0.1825</v>
      </c>
      <c r="D12" s="39" t="s">
        <v>57</v>
      </c>
      <c r="E12" s="6" t="n">
        <v>8</v>
      </c>
      <c r="F12" s="41" t="n">
        <v>15</v>
      </c>
      <c r="G12" s="23" t="n">
        <v>6</v>
      </c>
      <c r="H12" s="24" t="n">
        <v>6</v>
      </c>
      <c r="I12" s="24" t="n">
        <v>6</v>
      </c>
      <c r="J12" s="25" t="n">
        <v>6</v>
      </c>
      <c r="K12" s="26" t="n">
        <v>24</v>
      </c>
    </row>
    <row r="13" customFormat="false" ht="12.8" hidden="false" customHeight="false" outlineLevel="0" collapsed="false">
      <c r="A13" s="39" t="n">
        <v>3</v>
      </c>
      <c r="B13" s="39" t="s">
        <v>56</v>
      </c>
      <c r="C13" s="39" t="n">
        <v>0.1793</v>
      </c>
      <c r="D13" s="39" t="s">
        <v>57</v>
      </c>
      <c r="E13" s="6" t="n">
        <v>9</v>
      </c>
      <c r="F13" s="41" t="n">
        <v>17</v>
      </c>
      <c r="G13" s="23" t="n">
        <v>6</v>
      </c>
      <c r="H13" s="24" t="n">
        <v>6</v>
      </c>
      <c r="I13" s="24" t="n">
        <v>6</v>
      </c>
      <c r="J13" s="25" t="n">
        <v>6</v>
      </c>
      <c r="K13" s="26" t="n">
        <v>24</v>
      </c>
    </row>
    <row r="14" customFormat="false" ht="12.8" hidden="false" customHeight="false" outlineLevel="0" collapsed="false">
      <c r="A14" s="39" t="n">
        <v>3</v>
      </c>
      <c r="B14" s="39" t="s">
        <v>64</v>
      </c>
      <c r="C14" s="39" t="n">
        <v>0.1547</v>
      </c>
      <c r="D14" s="39" t="s">
        <v>57</v>
      </c>
      <c r="E14" s="6" t="n">
        <v>10</v>
      </c>
      <c r="F14" s="41" t="n">
        <v>19</v>
      </c>
      <c r="G14" s="23" t="n">
        <v>6</v>
      </c>
      <c r="H14" s="24" t="n">
        <v>6</v>
      </c>
      <c r="I14" s="24" t="n">
        <v>6</v>
      </c>
      <c r="J14" s="25" t="n">
        <v>6</v>
      </c>
      <c r="K14" s="26" t="n">
        <v>24</v>
      </c>
    </row>
    <row r="15" customFormat="false" ht="12.8" hidden="false" customHeight="false" outlineLevel="0" collapsed="false">
      <c r="A15" s="39" t="n">
        <v>3</v>
      </c>
      <c r="B15" s="39" t="s">
        <v>65</v>
      </c>
      <c r="C15" s="39" t="n">
        <v>0.1</v>
      </c>
      <c r="D15" s="39" t="s">
        <v>57</v>
      </c>
      <c r="E15" s="6" t="n">
        <v>11</v>
      </c>
      <c r="F15" s="41" t="n">
        <v>21</v>
      </c>
      <c r="G15" s="23" t="n">
        <v>6</v>
      </c>
      <c r="H15" s="24" t="n">
        <v>6</v>
      </c>
      <c r="I15" s="24" t="n">
        <v>6</v>
      </c>
      <c r="J15" s="25" t="n">
        <v>6</v>
      </c>
      <c r="K15" s="26" t="n">
        <v>24</v>
      </c>
    </row>
    <row r="16" customFormat="false" ht="12.8" hidden="false" customHeight="false" outlineLevel="0" collapsed="false">
      <c r="A16" s="39" t="n">
        <v>5</v>
      </c>
      <c r="B16" s="39" t="s">
        <v>62</v>
      </c>
      <c r="C16" s="39" t="n">
        <v>0.2003</v>
      </c>
      <c r="D16" s="39" t="s">
        <v>57</v>
      </c>
      <c r="E16" s="6" t="n">
        <v>12</v>
      </c>
      <c r="F16" s="41" t="n">
        <v>23</v>
      </c>
      <c r="G16" s="23" t="n">
        <v>6</v>
      </c>
      <c r="H16" s="24" t="n">
        <v>6</v>
      </c>
      <c r="I16" s="24" t="n">
        <v>6</v>
      </c>
      <c r="J16" s="25" t="n">
        <v>6</v>
      </c>
      <c r="K16" s="26" t="n">
        <v>24</v>
      </c>
    </row>
    <row r="17" customFormat="false" ht="12.8" hidden="false" customHeight="false" outlineLevel="0" collapsed="false">
      <c r="A17" s="39" t="n">
        <v>5</v>
      </c>
      <c r="B17" s="39" t="s">
        <v>61</v>
      </c>
      <c r="C17" s="39" t="n">
        <v>0.1848</v>
      </c>
      <c r="D17" s="39" t="s">
        <v>57</v>
      </c>
      <c r="E17" s="6" t="n">
        <v>13</v>
      </c>
      <c r="F17" s="41" t="n">
        <v>25</v>
      </c>
      <c r="G17" s="23" t="n">
        <v>6</v>
      </c>
      <c r="H17" s="24" t="n">
        <v>6</v>
      </c>
      <c r="I17" s="24" t="n">
        <v>5</v>
      </c>
      <c r="J17" s="25" t="n">
        <v>6</v>
      </c>
      <c r="K17" s="26" t="n">
        <v>23</v>
      </c>
    </row>
    <row r="18" customFormat="false" ht="12.8" hidden="false" customHeight="false" outlineLevel="0" collapsed="false">
      <c r="A18" s="39" t="n">
        <v>5</v>
      </c>
      <c r="B18" s="39" t="s">
        <v>56</v>
      </c>
      <c r="C18" s="39" t="n">
        <v>0.1833</v>
      </c>
      <c r="D18" s="39" t="s">
        <v>57</v>
      </c>
      <c r="E18" s="6" t="n">
        <v>14</v>
      </c>
      <c r="F18" s="41" t="n">
        <v>27</v>
      </c>
      <c r="G18" s="23" t="n">
        <v>6</v>
      </c>
      <c r="H18" s="24" t="n">
        <v>6</v>
      </c>
      <c r="I18" s="24" t="n">
        <v>6</v>
      </c>
      <c r="J18" s="25" t="n">
        <v>6</v>
      </c>
      <c r="K18" s="26" t="n">
        <v>24</v>
      </c>
    </row>
    <row r="19" customFormat="false" ht="12.8" hidden="false" customHeight="false" outlineLevel="0" collapsed="false">
      <c r="A19" s="39" t="n">
        <v>5</v>
      </c>
      <c r="B19" s="39" t="s">
        <v>63</v>
      </c>
      <c r="C19" s="39" t="n">
        <v>0.1759</v>
      </c>
      <c r="D19" s="39" t="s">
        <v>57</v>
      </c>
      <c r="E19" s="6" t="n">
        <v>15</v>
      </c>
      <c r="F19" s="41" t="n">
        <v>29</v>
      </c>
      <c r="G19" s="23" t="n">
        <v>6</v>
      </c>
      <c r="H19" s="24" t="n">
        <v>6</v>
      </c>
      <c r="I19" s="24" t="n">
        <v>6</v>
      </c>
      <c r="J19" s="25" t="n">
        <v>6</v>
      </c>
      <c r="K19" s="26" t="n">
        <v>24</v>
      </c>
    </row>
    <row r="20" customFormat="false" ht="12.8" hidden="false" customHeight="false" outlineLevel="0" collapsed="false">
      <c r="A20" s="39" t="n">
        <v>5</v>
      </c>
      <c r="B20" s="39" t="s">
        <v>66</v>
      </c>
      <c r="C20" s="39" t="n">
        <v>0.1556</v>
      </c>
      <c r="D20" s="39" t="s">
        <v>57</v>
      </c>
      <c r="E20" s="6" t="n">
        <v>16</v>
      </c>
      <c r="F20" s="41" t="n">
        <v>31</v>
      </c>
      <c r="G20" s="23" t="n">
        <v>6</v>
      </c>
      <c r="H20" s="24" t="n">
        <v>6</v>
      </c>
      <c r="I20" s="24" t="n">
        <v>6</v>
      </c>
      <c r="J20" s="25" t="n">
        <v>6</v>
      </c>
      <c r="K20" s="26" t="n">
        <v>24</v>
      </c>
    </row>
    <row r="21" customFormat="false" ht="12.8" hidden="false" customHeight="false" outlineLevel="0" collapsed="false">
      <c r="A21" s="39" t="n">
        <v>5</v>
      </c>
      <c r="B21" s="39" t="s">
        <v>65</v>
      </c>
      <c r="C21" s="39" t="n">
        <v>0.1</v>
      </c>
      <c r="D21" s="39" t="s">
        <v>57</v>
      </c>
      <c r="E21" s="6" t="n">
        <v>17</v>
      </c>
      <c r="F21" s="41" t="n">
        <v>33</v>
      </c>
      <c r="G21" s="23" t="n">
        <v>6</v>
      </c>
      <c r="H21" s="24" t="n">
        <v>6</v>
      </c>
      <c r="I21" s="24" t="n">
        <v>6</v>
      </c>
      <c r="J21" s="25" t="n">
        <v>6</v>
      </c>
      <c r="K21" s="26" t="n">
        <v>24</v>
      </c>
    </row>
    <row r="22" customFormat="false" ht="12.8" hidden="false" customHeight="false" outlineLevel="0" collapsed="false">
      <c r="A22" s="39" t="n">
        <v>7</v>
      </c>
      <c r="B22" s="39" t="s">
        <v>62</v>
      </c>
      <c r="C22" s="39" t="n">
        <v>0.2264</v>
      </c>
      <c r="D22" s="39" t="s">
        <v>57</v>
      </c>
      <c r="E22" s="6" t="n">
        <v>18</v>
      </c>
      <c r="F22" s="41" t="n">
        <v>35</v>
      </c>
      <c r="G22" s="23" t="n">
        <v>6</v>
      </c>
      <c r="H22" s="24" t="n">
        <v>6</v>
      </c>
      <c r="I22" s="24" t="n">
        <v>6</v>
      </c>
      <c r="J22" s="25" t="n">
        <v>6</v>
      </c>
      <c r="K22" s="26" t="n">
        <v>24</v>
      </c>
    </row>
    <row r="23" customFormat="false" ht="12.8" hidden="false" customHeight="false" outlineLevel="0" collapsed="false">
      <c r="A23" s="39" t="n">
        <v>7</v>
      </c>
      <c r="B23" s="39" t="s">
        <v>56</v>
      </c>
      <c r="C23" s="39" t="n">
        <v>0.1954</v>
      </c>
      <c r="D23" s="39" t="s">
        <v>57</v>
      </c>
      <c r="E23" s="6" t="n">
        <v>19</v>
      </c>
      <c r="F23" s="41" t="n">
        <v>37</v>
      </c>
      <c r="G23" s="23" t="n">
        <v>6</v>
      </c>
      <c r="H23" s="24" t="n">
        <v>6</v>
      </c>
      <c r="I23" s="24" t="n">
        <v>6</v>
      </c>
      <c r="J23" s="25" t="n">
        <v>6</v>
      </c>
      <c r="K23" s="26" t="n">
        <v>24</v>
      </c>
    </row>
    <row r="24" customFormat="false" ht="12.8" hidden="false" customHeight="false" outlineLevel="0" collapsed="false">
      <c r="A24" s="39" t="n">
        <v>7</v>
      </c>
      <c r="B24" s="39" t="s">
        <v>61</v>
      </c>
      <c r="C24" s="39" t="n">
        <v>0.1749</v>
      </c>
      <c r="D24" s="39" t="s">
        <v>57</v>
      </c>
      <c r="E24" s="6" t="n">
        <v>20</v>
      </c>
      <c r="F24" s="41" t="n">
        <v>39</v>
      </c>
      <c r="G24" s="23" t="n">
        <v>6</v>
      </c>
      <c r="H24" s="24" t="n">
        <v>6</v>
      </c>
      <c r="I24" s="24" t="n">
        <v>6</v>
      </c>
      <c r="J24" s="25" t="n">
        <v>6</v>
      </c>
      <c r="K24" s="26" t="n">
        <v>24</v>
      </c>
    </row>
    <row r="25" customFormat="false" ht="12.8" hidden="false" customHeight="false" outlineLevel="0" collapsed="false">
      <c r="A25" s="39" t="n">
        <v>7</v>
      </c>
      <c r="B25" s="39" t="s">
        <v>63</v>
      </c>
      <c r="C25" s="39" t="n">
        <v>0.1553</v>
      </c>
      <c r="D25" s="39" t="s">
        <v>57</v>
      </c>
      <c r="E25" s="6" t="n">
        <v>21</v>
      </c>
      <c r="F25" s="41" t="n">
        <v>41</v>
      </c>
      <c r="G25" s="23" t="n">
        <v>6</v>
      </c>
      <c r="H25" s="24" t="n">
        <v>6</v>
      </c>
      <c r="I25" s="24" t="n">
        <v>6</v>
      </c>
      <c r="J25" s="25" t="n">
        <v>6</v>
      </c>
      <c r="K25" s="26" t="n">
        <v>24</v>
      </c>
    </row>
    <row r="26" customFormat="false" ht="12.8" hidden="false" customHeight="false" outlineLevel="0" collapsed="false">
      <c r="A26" s="39" t="n">
        <v>7</v>
      </c>
      <c r="B26" s="39" t="s">
        <v>67</v>
      </c>
      <c r="C26" s="39" t="n">
        <v>0.148</v>
      </c>
      <c r="D26" s="39" t="s">
        <v>57</v>
      </c>
      <c r="E26" s="6" t="n">
        <v>22</v>
      </c>
      <c r="F26" s="41" t="n">
        <v>43</v>
      </c>
      <c r="G26" s="23" t="n">
        <v>6</v>
      </c>
      <c r="H26" s="24" t="n">
        <v>6</v>
      </c>
      <c r="I26" s="24" t="n">
        <v>6</v>
      </c>
      <c r="J26" s="25" t="n">
        <v>6</v>
      </c>
      <c r="K26" s="26" t="n">
        <v>24</v>
      </c>
    </row>
    <row r="27" customFormat="false" ht="12.8" hidden="false" customHeight="false" outlineLevel="0" collapsed="false">
      <c r="A27" s="39" t="n">
        <v>7</v>
      </c>
      <c r="B27" s="39" t="s">
        <v>65</v>
      </c>
      <c r="C27" s="39" t="n">
        <v>0.1</v>
      </c>
      <c r="D27" s="39" t="s">
        <v>57</v>
      </c>
      <c r="E27" s="6" t="n">
        <v>23</v>
      </c>
      <c r="F27" s="41" t="n">
        <v>45</v>
      </c>
      <c r="G27" s="23" t="n">
        <v>6</v>
      </c>
      <c r="H27" s="24" t="n">
        <v>3</v>
      </c>
      <c r="I27" s="24" t="n">
        <v>4</v>
      </c>
      <c r="J27" s="25" t="n">
        <v>6</v>
      </c>
      <c r="K27" s="26" t="n">
        <v>19</v>
      </c>
    </row>
    <row r="28" customFormat="false" ht="12.8" hidden="false" customHeight="false" outlineLevel="0" collapsed="false">
      <c r="A28" s="39" t="n">
        <v>9</v>
      </c>
      <c r="B28" s="39" t="s">
        <v>62</v>
      </c>
      <c r="C28" s="39" t="n">
        <v>0.2022</v>
      </c>
      <c r="D28" s="39" t="s">
        <v>57</v>
      </c>
      <c r="E28" s="6" t="n">
        <v>24</v>
      </c>
      <c r="F28" s="41" t="n">
        <v>47</v>
      </c>
      <c r="G28" s="23" t="n">
        <v>6</v>
      </c>
      <c r="H28" s="24" t="n">
        <v>5</v>
      </c>
      <c r="I28" s="24" t="n">
        <v>6</v>
      </c>
      <c r="J28" s="25" t="n">
        <v>6</v>
      </c>
      <c r="K28" s="26" t="n">
        <v>23</v>
      </c>
    </row>
    <row r="29" customFormat="false" ht="12.8" hidden="false" customHeight="false" outlineLevel="0" collapsed="false">
      <c r="A29" s="39" t="n">
        <v>9</v>
      </c>
      <c r="B29" s="39" t="s">
        <v>61</v>
      </c>
      <c r="C29" s="39" t="n">
        <v>0.1809</v>
      </c>
      <c r="D29" s="39" t="s">
        <v>57</v>
      </c>
      <c r="E29" s="6" t="n">
        <v>25</v>
      </c>
      <c r="F29" s="41" t="n">
        <v>49</v>
      </c>
      <c r="G29" s="27" t="n">
        <v>6</v>
      </c>
      <c r="H29" s="28" t="n">
        <v>6</v>
      </c>
      <c r="I29" s="28" t="n">
        <v>6</v>
      </c>
      <c r="J29" s="29" t="n">
        <v>6</v>
      </c>
      <c r="K29" s="30" t="n">
        <v>24</v>
      </c>
    </row>
    <row r="30" customFormat="false" ht="12.8" hidden="false" customHeight="false" outlineLevel="0" collapsed="false">
      <c r="A30" s="39" t="n">
        <v>9</v>
      </c>
      <c r="B30" s="39" t="s">
        <v>56</v>
      </c>
      <c r="C30" s="39" t="n">
        <v>0.1788</v>
      </c>
      <c r="D30" s="39" t="s">
        <v>57</v>
      </c>
      <c r="F30" s="42" t="s">
        <v>50</v>
      </c>
      <c r="G30" s="32" t="n">
        <v>150</v>
      </c>
      <c r="H30" s="33" t="n">
        <v>146</v>
      </c>
      <c r="I30" s="33" t="n">
        <v>146</v>
      </c>
      <c r="J30" s="34" t="n">
        <v>150</v>
      </c>
      <c r="K30" s="35" t="n">
        <v>592</v>
      </c>
    </row>
    <row r="31" customFormat="false" ht="12.8" hidden="false" customHeight="false" outlineLevel="0" collapsed="false">
      <c r="A31" s="39" t="n">
        <v>9</v>
      </c>
      <c r="B31" s="39" t="s">
        <v>67</v>
      </c>
      <c r="C31" s="39" t="n">
        <v>0.1749</v>
      </c>
      <c r="D31" s="39" t="s">
        <v>57</v>
      </c>
    </row>
    <row r="32" customFormat="false" ht="12.8" hidden="false" customHeight="false" outlineLevel="0" collapsed="false">
      <c r="A32" s="39" t="n">
        <v>9</v>
      </c>
      <c r="B32" s="39" t="s">
        <v>63</v>
      </c>
      <c r="C32" s="39" t="n">
        <v>0.1633</v>
      </c>
      <c r="D32" s="39" t="s">
        <v>57</v>
      </c>
      <c r="F32" s="43" t="s">
        <v>68</v>
      </c>
      <c r="G32" s="44"/>
      <c r="H32" s="10" t="s">
        <v>54</v>
      </c>
      <c r="I32" s="11"/>
      <c r="J32" s="11"/>
      <c r="K32" s="11"/>
      <c r="L32" s="12"/>
    </row>
    <row r="33" customFormat="false" ht="12.8" hidden="false" customHeight="false" outlineLevel="0" collapsed="false">
      <c r="A33" s="39" t="n">
        <v>9</v>
      </c>
      <c r="B33" s="39" t="s">
        <v>65</v>
      </c>
      <c r="C33" s="39" t="n">
        <v>0.1</v>
      </c>
      <c r="D33" s="39" t="s">
        <v>57</v>
      </c>
      <c r="F33" s="13" t="s">
        <v>51</v>
      </c>
      <c r="G33" s="45" t="s">
        <v>52</v>
      </c>
      <c r="H33" s="14" t="s">
        <v>57</v>
      </c>
      <c r="I33" s="15" t="s">
        <v>58</v>
      </c>
      <c r="J33" s="15" t="s">
        <v>59</v>
      </c>
      <c r="K33" s="15" t="s">
        <v>60</v>
      </c>
      <c r="L33" s="16" t="s">
        <v>50</v>
      </c>
    </row>
    <row r="34" customFormat="false" ht="12.8" hidden="false" customHeight="false" outlineLevel="0" collapsed="false">
      <c r="A34" s="39" t="n">
        <v>11</v>
      </c>
      <c r="B34" s="39" t="s">
        <v>62</v>
      </c>
      <c r="C34" s="39" t="n">
        <v>0.218</v>
      </c>
      <c r="D34" s="39" t="s">
        <v>57</v>
      </c>
      <c r="E34" s="6" t="n">
        <v>1</v>
      </c>
      <c r="F34" s="40" t="n">
        <v>1</v>
      </c>
      <c r="G34" s="46" t="s">
        <v>64</v>
      </c>
      <c r="H34" s="18" t="n">
        <v>0.1549</v>
      </c>
      <c r="I34" s="19"/>
      <c r="J34" s="19" t="n">
        <v>0.1636</v>
      </c>
      <c r="K34" s="20" t="n">
        <v>0.1578</v>
      </c>
      <c r="L34" s="21" t="n">
        <v>0.4763</v>
      </c>
    </row>
    <row r="35" customFormat="false" ht="12.8" hidden="false" customHeight="false" outlineLevel="0" collapsed="false">
      <c r="A35" s="39" t="n">
        <v>11</v>
      </c>
      <c r="B35" s="39" t="s">
        <v>56</v>
      </c>
      <c r="C35" s="39" t="n">
        <v>0.1912</v>
      </c>
      <c r="D35" s="39" t="s">
        <v>57</v>
      </c>
      <c r="E35" s="6"/>
      <c r="F35" s="41"/>
      <c r="G35" s="47" t="s">
        <v>69</v>
      </c>
      <c r="H35" s="23"/>
      <c r="I35" s="24" t="n">
        <v>0.1568</v>
      </c>
      <c r="J35" s="24"/>
      <c r="K35" s="25"/>
      <c r="L35" s="26" t="n">
        <v>0.1568</v>
      </c>
    </row>
    <row r="36" customFormat="false" ht="12.8" hidden="false" customHeight="false" outlineLevel="0" collapsed="false">
      <c r="A36" s="39" t="n">
        <v>11</v>
      </c>
      <c r="B36" s="39" t="s">
        <v>61</v>
      </c>
      <c r="C36" s="39" t="n">
        <v>0.1749</v>
      </c>
      <c r="D36" s="39" t="s">
        <v>57</v>
      </c>
      <c r="E36" s="6"/>
      <c r="F36" s="41"/>
      <c r="G36" s="47" t="s">
        <v>61</v>
      </c>
      <c r="H36" s="23" t="n">
        <v>0.1894</v>
      </c>
      <c r="I36" s="24" t="n">
        <v>0.1792</v>
      </c>
      <c r="J36" s="24" t="n">
        <v>0.1723</v>
      </c>
      <c r="K36" s="25" t="n">
        <v>0.1901</v>
      </c>
      <c r="L36" s="26" t="n">
        <v>0.731</v>
      </c>
    </row>
    <row r="37" customFormat="false" ht="12.8" hidden="false" customHeight="false" outlineLevel="0" collapsed="false">
      <c r="A37" s="39" t="n">
        <v>11</v>
      </c>
      <c r="B37" s="39" t="s">
        <v>63</v>
      </c>
      <c r="C37" s="39" t="n">
        <v>0.1665</v>
      </c>
      <c r="D37" s="39" t="s">
        <v>57</v>
      </c>
      <c r="E37" s="6"/>
      <c r="F37" s="41"/>
      <c r="G37" s="47" t="s">
        <v>62</v>
      </c>
      <c r="H37" s="23" t="n">
        <v>0.1882</v>
      </c>
      <c r="I37" s="24" t="n">
        <v>0.1948</v>
      </c>
      <c r="J37" s="24" t="n">
        <v>0.2068</v>
      </c>
      <c r="K37" s="25" t="n">
        <v>0.1952</v>
      </c>
      <c r="L37" s="26" t="n">
        <v>0.785</v>
      </c>
    </row>
    <row r="38" customFormat="false" ht="12.8" hidden="false" customHeight="false" outlineLevel="0" collapsed="false">
      <c r="A38" s="39" t="n">
        <v>11</v>
      </c>
      <c r="B38" s="39" t="s">
        <v>67</v>
      </c>
      <c r="C38" s="39" t="n">
        <v>0.1493</v>
      </c>
      <c r="D38" s="39" t="s">
        <v>57</v>
      </c>
      <c r="E38" s="6"/>
      <c r="F38" s="41"/>
      <c r="G38" s="47" t="s">
        <v>63</v>
      </c>
      <c r="H38" s="23" t="n">
        <v>0.1638</v>
      </c>
      <c r="I38" s="24" t="n">
        <v>0.1612</v>
      </c>
      <c r="J38" s="24" t="n">
        <v>0.1606</v>
      </c>
      <c r="K38" s="25" t="n">
        <v>0.1611</v>
      </c>
      <c r="L38" s="26" t="n">
        <v>0.6467</v>
      </c>
    </row>
    <row r="39" customFormat="false" ht="12.8" hidden="false" customHeight="false" outlineLevel="0" collapsed="false">
      <c r="A39" s="39" t="n">
        <v>11</v>
      </c>
      <c r="B39" s="39" t="s">
        <v>65</v>
      </c>
      <c r="C39" s="39" t="n">
        <v>0.1</v>
      </c>
      <c r="D39" s="39" t="s">
        <v>57</v>
      </c>
      <c r="E39" s="6"/>
      <c r="F39" s="41"/>
      <c r="G39" s="47" t="s">
        <v>56</v>
      </c>
      <c r="H39" s="23" t="n">
        <v>0.2038</v>
      </c>
      <c r="I39" s="24" t="n">
        <v>0.208</v>
      </c>
      <c r="J39" s="24" t="n">
        <v>0.1966</v>
      </c>
      <c r="K39" s="25" t="n">
        <v>0.1958</v>
      </c>
      <c r="L39" s="26" t="n">
        <v>0.8042</v>
      </c>
    </row>
    <row r="40" customFormat="false" ht="12.8" hidden="false" customHeight="false" outlineLevel="0" collapsed="false">
      <c r="A40" s="39" t="n">
        <v>13</v>
      </c>
      <c r="B40" s="39" t="s">
        <v>62</v>
      </c>
      <c r="C40" s="39" t="n">
        <v>0.1973</v>
      </c>
      <c r="D40" s="39" t="s">
        <v>57</v>
      </c>
      <c r="E40" s="6"/>
      <c r="F40" s="48"/>
      <c r="G40" s="49" t="s">
        <v>65</v>
      </c>
      <c r="H40" s="27" t="n">
        <v>0.1</v>
      </c>
      <c r="I40" s="28" t="n">
        <v>0.1</v>
      </c>
      <c r="J40" s="28" t="n">
        <v>0.1</v>
      </c>
      <c r="K40" s="29" t="n">
        <v>0.1</v>
      </c>
      <c r="L40" s="30" t="n">
        <v>0.4</v>
      </c>
    </row>
    <row r="41" customFormat="false" ht="12.8" hidden="false" customHeight="false" outlineLevel="0" collapsed="false">
      <c r="A41" s="39" t="n">
        <v>13</v>
      </c>
      <c r="B41" s="39" t="s">
        <v>56</v>
      </c>
      <c r="C41" s="39" t="n">
        <v>0.1945</v>
      </c>
      <c r="D41" s="39" t="s">
        <v>57</v>
      </c>
      <c r="E41" s="6" t="n">
        <f aca="false">ROUNDDOWN(F41/2,0)+1</f>
        <v>2</v>
      </c>
      <c r="F41" s="40" t="n">
        <v>3</v>
      </c>
      <c r="G41" s="46" t="s">
        <v>64</v>
      </c>
      <c r="H41" s="19" t="n">
        <v>0.1547</v>
      </c>
      <c r="I41" s="19"/>
      <c r="J41" s="19"/>
      <c r="K41" s="19"/>
      <c r="L41" s="21" t="n">
        <v>0.1547</v>
      </c>
    </row>
    <row r="42" customFormat="false" ht="12.8" hidden="false" customHeight="false" outlineLevel="0" collapsed="false">
      <c r="A42" s="39" t="n">
        <v>13</v>
      </c>
      <c r="B42" s="39" t="s">
        <v>61</v>
      </c>
      <c r="C42" s="39" t="n">
        <v>0.1892</v>
      </c>
      <c r="D42" s="39" t="s">
        <v>57</v>
      </c>
      <c r="E42" s="6"/>
      <c r="F42" s="41"/>
      <c r="G42" s="47" t="s">
        <v>67</v>
      </c>
      <c r="H42" s="24"/>
      <c r="I42" s="24" t="n">
        <v>0.1633</v>
      </c>
      <c r="J42" s="24" t="n">
        <v>0.1509</v>
      </c>
      <c r="K42" s="24" t="n">
        <v>0.1493</v>
      </c>
      <c r="L42" s="26" t="n">
        <v>0.4635</v>
      </c>
    </row>
    <row r="43" customFormat="false" ht="12.8" hidden="false" customHeight="false" outlineLevel="0" collapsed="false">
      <c r="A43" s="39" t="n">
        <v>13</v>
      </c>
      <c r="B43" s="39" t="s">
        <v>67</v>
      </c>
      <c r="C43" s="39" t="n">
        <v>0.168</v>
      </c>
      <c r="D43" s="39" t="s">
        <v>57</v>
      </c>
      <c r="E43" s="6"/>
      <c r="F43" s="41"/>
      <c r="G43" s="47" t="s">
        <v>69</v>
      </c>
      <c r="H43" s="24"/>
      <c r="I43" s="24"/>
      <c r="J43" s="24" t="n">
        <v>0.1584</v>
      </c>
      <c r="K43" s="24"/>
      <c r="L43" s="26" t="n">
        <v>0.1584</v>
      </c>
    </row>
    <row r="44" customFormat="false" ht="12.8" hidden="false" customHeight="false" outlineLevel="0" collapsed="false">
      <c r="A44" s="39" t="n">
        <v>13</v>
      </c>
      <c r="B44" s="39" t="s">
        <v>63</v>
      </c>
      <c r="C44" s="39" t="n">
        <v>0.151</v>
      </c>
      <c r="D44" s="39" t="s">
        <v>57</v>
      </c>
      <c r="E44" s="6"/>
      <c r="F44" s="41"/>
      <c r="G44" s="47" t="s">
        <v>61</v>
      </c>
      <c r="H44" s="24" t="n">
        <v>0.1825</v>
      </c>
      <c r="I44" s="24" t="n">
        <v>0.17</v>
      </c>
      <c r="J44" s="24"/>
      <c r="K44" s="24" t="n">
        <v>0.1832</v>
      </c>
      <c r="L44" s="26" t="n">
        <v>0.5357</v>
      </c>
    </row>
    <row r="45" customFormat="false" ht="12.8" hidden="false" customHeight="false" outlineLevel="0" collapsed="false">
      <c r="A45" s="39" t="n">
        <v>13</v>
      </c>
      <c r="B45" s="39" t="s">
        <v>65</v>
      </c>
      <c r="C45" s="39" t="n">
        <v>0.1</v>
      </c>
      <c r="D45" s="39" t="s">
        <v>57</v>
      </c>
      <c r="E45" s="6"/>
      <c r="F45" s="41"/>
      <c r="G45" s="47" t="s">
        <v>62</v>
      </c>
      <c r="H45" s="24" t="n">
        <v>0.1937</v>
      </c>
      <c r="I45" s="24" t="n">
        <v>0.1878</v>
      </c>
      <c r="J45" s="24" t="n">
        <v>0.2204</v>
      </c>
      <c r="K45" s="24" t="n">
        <v>0.2047</v>
      </c>
      <c r="L45" s="26" t="n">
        <v>0.8066</v>
      </c>
    </row>
    <row r="46" customFormat="false" ht="12.8" hidden="false" customHeight="false" outlineLevel="0" collapsed="false">
      <c r="A46" s="39" t="n">
        <v>15</v>
      </c>
      <c r="B46" s="39" t="s">
        <v>62</v>
      </c>
      <c r="C46" s="39" t="n">
        <v>0.1877</v>
      </c>
      <c r="D46" s="39" t="s">
        <v>57</v>
      </c>
      <c r="E46" s="6"/>
      <c r="F46" s="41"/>
      <c r="G46" s="47" t="s">
        <v>63</v>
      </c>
      <c r="H46" s="24" t="n">
        <v>0.1898</v>
      </c>
      <c r="I46" s="24" t="n">
        <v>0.1832</v>
      </c>
      <c r="J46" s="24" t="n">
        <v>0.1964</v>
      </c>
      <c r="K46" s="24" t="n">
        <v>0.1775</v>
      </c>
      <c r="L46" s="26" t="n">
        <v>0.7469</v>
      </c>
    </row>
    <row r="47" customFormat="false" ht="12.8" hidden="false" customHeight="false" outlineLevel="0" collapsed="false">
      <c r="A47" s="39" t="n">
        <v>15</v>
      </c>
      <c r="B47" s="39" t="s">
        <v>63</v>
      </c>
      <c r="C47" s="39" t="n">
        <v>0.1748</v>
      </c>
      <c r="D47" s="39" t="s">
        <v>57</v>
      </c>
      <c r="E47" s="6"/>
      <c r="F47" s="41"/>
      <c r="G47" s="47" t="s">
        <v>56</v>
      </c>
      <c r="H47" s="24" t="n">
        <v>0.1793</v>
      </c>
      <c r="I47" s="24" t="n">
        <v>0.1956</v>
      </c>
      <c r="J47" s="24" t="n">
        <v>0.1738</v>
      </c>
      <c r="K47" s="24" t="n">
        <v>0.1852</v>
      </c>
      <c r="L47" s="26" t="n">
        <v>0.7339</v>
      </c>
    </row>
    <row r="48" customFormat="false" ht="12.8" hidden="false" customHeight="false" outlineLevel="0" collapsed="false">
      <c r="A48" s="39" t="n">
        <v>15</v>
      </c>
      <c r="B48" s="39" t="s">
        <v>61</v>
      </c>
      <c r="C48" s="39" t="n">
        <v>0.1702</v>
      </c>
      <c r="D48" s="39" t="s">
        <v>57</v>
      </c>
      <c r="E48" s="6"/>
      <c r="F48" s="48"/>
      <c r="G48" s="49" t="s">
        <v>65</v>
      </c>
      <c r="H48" s="28" t="n">
        <v>0.1</v>
      </c>
      <c r="I48" s="28" t="n">
        <v>0.1</v>
      </c>
      <c r="J48" s="28" t="n">
        <v>0.1</v>
      </c>
      <c r="K48" s="28" t="n">
        <v>0.1</v>
      </c>
      <c r="L48" s="30" t="n">
        <v>0.4</v>
      </c>
    </row>
    <row r="49" customFormat="false" ht="12.8" hidden="false" customHeight="false" outlineLevel="0" collapsed="false">
      <c r="A49" s="39" t="n">
        <v>15</v>
      </c>
      <c r="B49" s="39" t="s">
        <v>64</v>
      </c>
      <c r="C49" s="39" t="n">
        <v>0.1666</v>
      </c>
      <c r="D49" s="39" t="s">
        <v>57</v>
      </c>
      <c r="E49" s="6" t="n">
        <f aca="false">ROUNDDOWN(F49/2,0)+1</f>
        <v>3</v>
      </c>
      <c r="F49" s="40" t="n">
        <v>5</v>
      </c>
      <c r="G49" s="46" t="s">
        <v>69</v>
      </c>
      <c r="H49" s="18"/>
      <c r="I49" s="19" t="n">
        <v>0.1594</v>
      </c>
      <c r="J49" s="19" t="n">
        <v>0.1684</v>
      </c>
      <c r="K49" s="20"/>
      <c r="L49" s="21" t="n">
        <v>0.3278</v>
      </c>
    </row>
    <row r="50" customFormat="false" ht="12.8" hidden="false" customHeight="false" outlineLevel="0" collapsed="false">
      <c r="A50" s="39" t="n">
        <v>15</v>
      </c>
      <c r="B50" s="39" t="s">
        <v>56</v>
      </c>
      <c r="C50" s="39" t="n">
        <v>0.1633</v>
      </c>
      <c r="D50" s="39" t="s">
        <v>57</v>
      </c>
      <c r="E50" s="6"/>
      <c r="F50" s="41"/>
      <c r="G50" s="47" t="s">
        <v>61</v>
      </c>
      <c r="H50" s="23" t="n">
        <v>0.1848</v>
      </c>
      <c r="I50" s="24" t="n">
        <v>0.1751</v>
      </c>
      <c r="J50" s="24" t="n">
        <v>0.1681</v>
      </c>
      <c r="K50" s="25" t="n">
        <v>0.1805</v>
      </c>
      <c r="L50" s="26" t="n">
        <v>0.7085</v>
      </c>
    </row>
    <row r="51" customFormat="false" ht="12.8" hidden="false" customHeight="false" outlineLevel="0" collapsed="false">
      <c r="A51" s="39" t="n">
        <v>15</v>
      </c>
      <c r="B51" s="39" t="s">
        <v>65</v>
      </c>
      <c r="C51" s="39" t="n">
        <v>0.1373</v>
      </c>
      <c r="D51" s="39" t="s">
        <v>57</v>
      </c>
      <c r="E51" s="6"/>
      <c r="F51" s="41"/>
      <c r="G51" s="47" t="s">
        <v>66</v>
      </c>
      <c r="H51" s="23" t="n">
        <v>0.1556</v>
      </c>
      <c r="I51" s="24"/>
      <c r="J51" s="24"/>
      <c r="K51" s="25" t="n">
        <v>0.1558</v>
      </c>
      <c r="L51" s="26" t="n">
        <v>0.3114</v>
      </c>
    </row>
    <row r="52" customFormat="false" ht="12.8" hidden="false" customHeight="false" outlineLevel="0" collapsed="false">
      <c r="A52" s="39" t="n">
        <v>17</v>
      </c>
      <c r="B52" s="39" t="s">
        <v>62</v>
      </c>
      <c r="C52" s="39" t="n">
        <v>0.1981</v>
      </c>
      <c r="D52" s="39" t="s">
        <v>57</v>
      </c>
      <c r="E52" s="6"/>
      <c r="F52" s="41"/>
      <c r="G52" s="47" t="s">
        <v>62</v>
      </c>
      <c r="H52" s="23" t="n">
        <v>0.2003</v>
      </c>
      <c r="I52" s="24" t="n">
        <v>0.2014</v>
      </c>
      <c r="J52" s="24" t="n">
        <v>0.2176</v>
      </c>
      <c r="K52" s="25" t="n">
        <v>0.2014</v>
      </c>
      <c r="L52" s="26" t="n">
        <v>0.8207</v>
      </c>
    </row>
    <row r="53" customFormat="false" ht="12.8" hidden="false" customHeight="false" outlineLevel="0" collapsed="false">
      <c r="A53" s="39" t="n">
        <v>17</v>
      </c>
      <c r="B53" s="39" t="s">
        <v>56</v>
      </c>
      <c r="C53" s="39" t="n">
        <v>0.175</v>
      </c>
      <c r="D53" s="39" t="s">
        <v>57</v>
      </c>
      <c r="E53" s="6"/>
      <c r="F53" s="41"/>
      <c r="G53" s="47" t="s">
        <v>63</v>
      </c>
      <c r="H53" s="23" t="n">
        <v>0.1759</v>
      </c>
      <c r="I53" s="24" t="n">
        <v>0.1738</v>
      </c>
      <c r="J53" s="24" t="n">
        <v>0.1699</v>
      </c>
      <c r="K53" s="25" t="n">
        <v>0.1599</v>
      </c>
      <c r="L53" s="26" t="n">
        <v>0.6795</v>
      </c>
    </row>
    <row r="54" customFormat="false" ht="12.8" hidden="false" customHeight="false" outlineLevel="0" collapsed="false">
      <c r="A54" s="39" t="n">
        <v>17</v>
      </c>
      <c r="B54" s="39" t="s">
        <v>61</v>
      </c>
      <c r="C54" s="39" t="n">
        <v>0.1638</v>
      </c>
      <c r="D54" s="39" t="s">
        <v>57</v>
      </c>
      <c r="E54" s="6"/>
      <c r="F54" s="41"/>
      <c r="G54" s="47" t="s">
        <v>56</v>
      </c>
      <c r="H54" s="23" t="n">
        <v>0.1833</v>
      </c>
      <c r="I54" s="24" t="n">
        <v>0.1902</v>
      </c>
      <c r="J54" s="24" t="n">
        <v>0.1759</v>
      </c>
      <c r="K54" s="25" t="n">
        <v>0.2024</v>
      </c>
      <c r="L54" s="26" t="n">
        <v>0.7518</v>
      </c>
    </row>
    <row r="55" customFormat="false" ht="12.8" hidden="false" customHeight="false" outlineLevel="0" collapsed="false">
      <c r="A55" s="39" t="n">
        <v>17</v>
      </c>
      <c r="B55" s="39" t="s">
        <v>63</v>
      </c>
      <c r="C55" s="39" t="n">
        <v>0.1618</v>
      </c>
      <c r="D55" s="39" t="s">
        <v>57</v>
      </c>
      <c r="E55" s="6"/>
      <c r="F55" s="48"/>
      <c r="G55" s="49" t="s">
        <v>65</v>
      </c>
      <c r="H55" s="27" t="n">
        <v>0.1</v>
      </c>
      <c r="I55" s="28" t="n">
        <v>0.1</v>
      </c>
      <c r="J55" s="28" t="n">
        <v>0.1</v>
      </c>
      <c r="K55" s="29" t="n">
        <v>0.1</v>
      </c>
      <c r="L55" s="30" t="n">
        <v>0.4</v>
      </c>
    </row>
    <row r="56" customFormat="false" ht="12.8" hidden="false" customHeight="false" outlineLevel="0" collapsed="false">
      <c r="A56" s="39" t="n">
        <v>17</v>
      </c>
      <c r="B56" s="39" t="s">
        <v>64</v>
      </c>
      <c r="C56" s="39" t="n">
        <v>0.1545</v>
      </c>
      <c r="D56" s="39" t="s">
        <v>57</v>
      </c>
      <c r="E56" s="6" t="n">
        <f aca="false">ROUNDDOWN(F56/2,0)+1</f>
        <v>4</v>
      </c>
      <c r="F56" s="40" t="n">
        <v>7</v>
      </c>
      <c r="G56" s="46" t="s">
        <v>67</v>
      </c>
      <c r="H56" s="19" t="n">
        <v>0.148</v>
      </c>
      <c r="I56" s="19" t="n">
        <v>0.1462</v>
      </c>
      <c r="J56" s="19" t="n">
        <v>0.1516</v>
      </c>
      <c r="K56" s="19"/>
      <c r="L56" s="21" t="n">
        <v>0.4458</v>
      </c>
    </row>
    <row r="57" customFormat="false" ht="12.8" hidden="false" customHeight="false" outlineLevel="0" collapsed="false">
      <c r="A57" s="39" t="n">
        <v>17</v>
      </c>
      <c r="B57" s="39" t="s">
        <v>65</v>
      </c>
      <c r="C57" s="39" t="n">
        <v>0.1468</v>
      </c>
      <c r="D57" s="39" t="s">
        <v>57</v>
      </c>
      <c r="E57" s="6"/>
      <c r="F57" s="41"/>
      <c r="G57" s="47" t="s">
        <v>69</v>
      </c>
      <c r="H57" s="24"/>
      <c r="I57" s="24"/>
      <c r="J57" s="24"/>
      <c r="K57" s="24" t="n">
        <v>0.142</v>
      </c>
      <c r="L57" s="26" t="n">
        <v>0.142</v>
      </c>
    </row>
    <row r="58" customFormat="false" ht="12.8" hidden="false" customHeight="false" outlineLevel="0" collapsed="false">
      <c r="A58" s="39" t="n">
        <v>19</v>
      </c>
      <c r="B58" s="39" t="s">
        <v>62</v>
      </c>
      <c r="C58" s="39" t="n">
        <v>0.2042</v>
      </c>
      <c r="D58" s="39" t="s">
        <v>57</v>
      </c>
      <c r="E58" s="6"/>
      <c r="F58" s="41"/>
      <c r="G58" s="47" t="s">
        <v>61</v>
      </c>
      <c r="H58" s="24" t="n">
        <v>0.1749</v>
      </c>
      <c r="I58" s="24" t="n">
        <v>0.1678</v>
      </c>
      <c r="J58" s="24" t="n">
        <v>0.1849</v>
      </c>
      <c r="K58" s="24" t="n">
        <v>0.1784</v>
      </c>
      <c r="L58" s="26" t="n">
        <v>0.706</v>
      </c>
    </row>
    <row r="59" customFormat="false" ht="12.8" hidden="false" customHeight="false" outlineLevel="0" collapsed="false">
      <c r="A59" s="39" t="n">
        <v>19</v>
      </c>
      <c r="B59" s="39" t="s">
        <v>61</v>
      </c>
      <c r="C59" s="39" t="n">
        <v>0.188</v>
      </c>
      <c r="D59" s="39" t="s">
        <v>57</v>
      </c>
      <c r="E59" s="6"/>
      <c r="F59" s="41"/>
      <c r="G59" s="47" t="s">
        <v>62</v>
      </c>
      <c r="H59" s="24" t="n">
        <v>0.2264</v>
      </c>
      <c r="I59" s="24" t="n">
        <v>0.2004</v>
      </c>
      <c r="J59" s="24" t="n">
        <v>0.2192</v>
      </c>
      <c r="K59" s="24" t="n">
        <v>0.214</v>
      </c>
      <c r="L59" s="26" t="n">
        <v>0.86</v>
      </c>
    </row>
    <row r="60" customFormat="false" ht="12.8" hidden="false" customHeight="false" outlineLevel="0" collapsed="false">
      <c r="A60" s="39" t="n">
        <v>19</v>
      </c>
      <c r="B60" s="39" t="s">
        <v>56</v>
      </c>
      <c r="C60" s="39" t="n">
        <v>0.1826</v>
      </c>
      <c r="D60" s="39" t="s">
        <v>57</v>
      </c>
      <c r="E60" s="6"/>
      <c r="F60" s="41"/>
      <c r="G60" s="47" t="s">
        <v>63</v>
      </c>
      <c r="H60" s="24" t="n">
        <v>0.1553</v>
      </c>
      <c r="I60" s="24" t="n">
        <v>0.1761</v>
      </c>
      <c r="J60" s="24" t="n">
        <v>0.1522</v>
      </c>
      <c r="K60" s="24" t="n">
        <v>0.1675</v>
      </c>
      <c r="L60" s="26" t="n">
        <v>0.6511</v>
      </c>
    </row>
    <row r="61" customFormat="false" ht="12.8" hidden="false" customHeight="false" outlineLevel="0" collapsed="false">
      <c r="A61" s="39" t="n">
        <v>19</v>
      </c>
      <c r="B61" s="39" t="s">
        <v>63</v>
      </c>
      <c r="C61" s="39" t="n">
        <v>0.1684</v>
      </c>
      <c r="D61" s="39" t="s">
        <v>57</v>
      </c>
      <c r="E61" s="6"/>
      <c r="F61" s="41"/>
      <c r="G61" s="47" t="s">
        <v>56</v>
      </c>
      <c r="H61" s="24" t="n">
        <v>0.1954</v>
      </c>
      <c r="I61" s="24" t="n">
        <v>0.2095</v>
      </c>
      <c r="J61" s="24" t="n">
        <v>0.1921</v>
      </c>
      <c r="K61" s="24" t="n">
        <v>0.198</v>
      </c>
      <c r="L61" s="26" t="n">
        <v>0.795</v>
      </c>
    </row>
    <row r="62" customFormat="false" ht="12.8" hidden="false" customHeight="false" outlineLevel="0" collapsed="false">
      <c r="A62" s="39" t="n">
        <v>19</v>
      </c>
      <c r="B62" s="39" t="s">
        <v>64</v>
      </c>
      <c r="C62" s="39" t="n">
        <v>0.1569</v>
      </c>
      <c r="D62" s="39" t="s">
        <v>57</v>
      </c>
      <c r="E62" s="6"/>
      <c r="F62" s="48"/>
      <c r="G62" s="49" t="s">
        <v>65</v>
      </c>
      <c r="H62" s="28" t="n">
        <v>0.1</v>
      </c>
      <c r="I62" s="28" t="n">
        <v>0.1</v>
      </c>
      <c r="J62" s="28" t="n">
        <v>0.1</v>
      </c>
      <c r="K62" s="28" t="n">
        <v>0.1</v>
      </c>
      <c r="L62" s="30" t="n">
        <v>0.4</v>
      </c>
    </row>
    <row r="63" customFormat="false" ht="12.8" hidden="false" customHeight="false" outlineLevel="0" collapsed="false">
      <c r="A63" s="39" t="n">
        <v>19</v>
      </c>
      <c r="B63" s="39" t="s">
        <v>65</v>
      </c>
      <c r="C63" s="39" t="n">
        <v>0.1</v>
      </c>
      <c r="D63" s="39" t="s">
        <v>57</v>
      </c>
      <c r="E63" s="6" t="n">
        <f aca="false">ROUNDDOWN(F63/2,0)+1</f>
        <v>5</v>
      </c>
      <c r="F63" s="40" t="n">
        <v>9</v>
      </c>
      <c r="G63" s="46" t="s">
        <v>64</v>
      </c>
      <c r="H63" s="18"/>
      <c r="I63" s="19"/>
      <c r="J63" s="19" t="n">
        <v>0.1748</v>
      </c>
      <c r="K63" s="20" t="n">
        <v>0.1646</v>
      </c>
      <c r="L63" s="21" t="n">
        <v>0.3394</v>
      </c>
    </row>
    <row r="64" customFormat="false" ht="12.8" hidden="false" customHeight="false" outlineLevel="0" collapsed="false">
      <c r="A64" s="39" t="n">
        <v>21</v>
      </c>
      <c r="B64" s="39" t="s">
        <v>56</v>
      </c>
      <c r="C64" s="39" t="n">
        <v>0.1951</v>
      </c>
      <c r="D64" s="39" t="s">
        <v>57</v>
      </c>
      <c r="E64" s="6"/>
      <c r="F64" s="41"/>
      <c r="G64" s="47" t="s">
        <v>67</v>
      </c>
      <c r="H64" s="23" t="n">
        <v>0.1749</v>
      </c>
      <c r="I64" s="24" t="n">
        <v>0.1639</v>
      </c>
      <c r="J64" s="24" t="n">
        <v>0.1588</v>
      </c>
      <c r="K64" s="25"/>
      <c r="L64" s="26" t="n">
        <v>0.4976</v>
      </c>
    </row>
    <row r="65" customFormat="false" ht="12.8" hidden="false" customHeight="false" outlineLevel="0" collapsed="false">
      <c r="A65" s="39" t="n">
        <v>21</v>
      </c>
      <c r="B65" s="39" t="s">
        <v>62</v>
      </c>
      <c r="C65" s="39" t="n">
        <v>0.1832</v>
      </c>
      <c r="D65" s="39" t="s">
        <v>57</v>
      </c>
      <c r="E65" s="6"/>
      <c r="F65" s="41"/>
      <c r="G65" s="47" t="s">
        <v>69</v>
      </c>
      <c r="H65" s="23"/>
      <c r="I65" s="24" t="n">
        <v>0.1683</v>
      </c>
      <c r="J65" s="24"/>
      <c r="K65" s="25"/>
      <c r="L65" s="26" t="n">
        <v>0.1683</v>
      </c>
    </row>
    <row r="66" customFormat="false" ht="12.8" hidden="false" customHeight="false" outlineLevel="0" collapsed="false">
      <c r="A66" s="39" t="n">
        <v>21</v>
      </c>
      <c r="B66" s="39" t="s">
        <v>61</v>
      </c>
      <c r="C66" s="39" t="n">
        <v>0.1772</v>
      </c>
      <c r="D66" s="39" t="s">
        <v>57</v>
      </c>
      <c r="E66" s="6"/>
      <c r="F66" s="41"/>
      <c r="G66" s="47" t="s">
        <v>61</v>
      </c>
      <c r="H66" s="23" t="n">
        <v>0.1809</v>
      </c>
      <c r="I66" s="24" t="n">
        <v>0.165</v>
      </c>
      <c r="J66" s="24" t="n">
        <v>0.1648</v>
      </c>
      <c r="K66" s="25" t="n">
        <v>0.1836</v>
      </c>
      <c r="L66" s="26" t="n">
        <v>0.6943</v>
      </c>
    </row>
    <row r="67" customFormat="false" ht="12.8" hidden="false" customHeight="false" outlineLevel="0" collapsed="false">
      <c r="A67" s="39" t="n">
        <v>21</v>
      </c>
      <c r="B67" s="39" t="s">
        <v>67</v>
      </c>
      <c r="C67" s="39" t="n">
        <v>0.174</v>
      </c>
      <c r="D67" s="39" t="s">
        <v>57</v>
      </c>
      <c r="E67" s="6"/>
      <c r="F67" s="41"/>
      <c r="G67" s="47" t="s">
        <v>62</v>
      </c>
      <c r="H67" s="23" t="n">
        <v>0.2022</v>
      </c>
      <c r="I67" s="24" t="n">
        <v>0.2042</v>
      </c>
      <c r="J67" s="24" t="n">
        <v>0.209</v>
      </c>
      <c r="K67" s="25" t="n">
        <v>0.2171</v>
      </c>
      <c r="L67" s="26" t="n">
        <v>0.8325</v>
      </c>
    </row>
    <row r="68" customFormat="false" ht="12.8" hidden="false" customHeight="false" outlineLevel="0" collapsed="false">
      <c r="A68" s="39" t="n">
        <v>21</v>
      </c>
      <c r="B68" s="39" t="s">
        <v>63</v>
      </c>
      <c r="C68" s="39" t="n">
        <v>0.1705</v>
      </c>
      <c r="D68" s="39" t="s">
        <v>57</v>
      </c>
      <c r="E68" s="6"/>
      <c r="F68" s="41"/>
      <c r="G68" s="47" t="s">
        <v>63</v>
      </c>
      <c r="H68" s="23" t="n">
        <v>0.1633</v>
      </c>
      <c r="I68" s="24"/>
      <c r="J68" s="24"/>
      <c r="K68" s="25" t="n">
        <v>0.1587</v>
      </c>
      <c r="L68" s="26" t="n">
        <v>0.322</v>
      </c>
    </row>
    <row r="69" customFormat="false" ht="12.8" hidden="false" customHeight="false" outlineLevel="0" collapsed="false">
      <c r="A69" s="39" t="n">
        <v>21</v>
      </c>
      <c r="B69" s="39" t="s">
        <v>65</v>
      </c>
      <c r="C69" s="39" t="n">
        <v>0.1</v>
      </c>
      <c r="D69" s="39" t="s">
        <v>57</v>
      </c>
      <c r="E69" s="6"/>
      <c r="F69" s="41"/>
      <c r="G69" s="47" t="s">
        <v>56</v>
      </c>
      <c r="H69" s="23" t="n">
        <v>0.1788</v>
      </c>
      <c r="I69" s="24" t="n">
        <v>0.1986</v>
      </c>
      <c r="J69" s="24" t="n">
        <v>0.1927</v>
      </c>
      <c r="K69" s="25" t="n">
        <v>0.1759</v>
      </c>
      <c r="L69" s="26" t="n">
        <v>0.746</v>
      </c>
    </row>
    <row r="70" customFormat="false" ht="12.8" hidden="false" customHeight="false" outlineLevel="0" collapsed="false">
      <c r="A70" s="39" t="n">
        <v>23</v>
      </c>
      <c r="B70" s="39" t="s">
        <v>63</v>
      </c>
      <c r="C70" s="39" t="n">
        <v>0.1982</v>
      </c>
      <c r="D70" s="39" t="s">
        <v>57</v>
      </c>
      <c r="E70" s="6"/>
      <c r="F70" s="48"/>
      <c r="G70" s="49" t="s">
        <v>65</v>
      </c>
      <c r="H70" s="27" t="n">
        <v>0.1</v>
      </c>
      <c r="I70" s="28" t="n">
        <v>0.1</v>
      </c>
      <c r="J70" s="28" t="n">
        <v>0.1</v>
      </c>
      <c r="K70" s="29" t="n">
        <v>0.1</v>
      </c>
      <c r="L70" s="30" t="n">
        <v>0.4</v>
      </c>
    </row>
    <row r="71" customFormat="false" ht="12.8" hidden="false" customHeight="false" outlineLevel="0" collapsed="false">
      <c r="A71" s="39" t="n">
        <v>23</v>
      </c>
      <c r="B71" s="39" t="s">
        <v>62</v>
      </c>
      <c r="C71" s="39" t="n">
        <v>0.1967</v>
      </c>
      <c r="D71" s="39" t="s">
        <v>57</v>
      </c>
      <c r="E71" s="6" t="n">
        <f aca="false">ROUNDDOWN(F71/2,0)+1</f>
        <v>6</v>
      </c>
      <c r="F71" s="40" t="n">
        <v>11</v>
      </c>
      <c r="G71" s="46" t="s">
        <v>67</v>
      </c>
      <c r="H71" s="19" t="n">
        <v>0.1493</v>
      </c>
      <c r="I71" s="19"/>
      <c r="J71" s="19"/>
      <c r="K71" s="19"/>
      <c r="L71" s="21" t="n">
        <v>0.1493</v>
      </c>
    </row>
    <row r="72" customFormat="false" ht="12.8" hidden="false" customHeight="false" outlineLevel="0" collapsed="false">
      <c r="A72" s="39" t="n">
        <v>23</v>
      </c>
      <c r="B72" s="39" t="s">
        <v>56</v>
      </c>
      <c r="C72" s="39" t="n">
        <v>0.1892</v>
      </c>
      <c r="D72" s="39" t="s">
        <v>57</v>
      </c>
      <c r="E72" s="6"/>
      <c r="F72" s="41"/>
      <c r="G72" s="47" t="s">
        <v>70</v>
      </c>
      <c r="H72" s="24"/>
      <c r="I72" s="24"/>
      <c r="J72" s="24" t="n">
        <v>0.1453</v>
      </c>
      <c r="K72" s="24"/>
      <c r="L72" s="26" t="n">
        <v>0.1453</v>
      </c>
    </row>
    <row r="73" customFormat="false" ht="12.8" hidden="false" customHeight="false" outlineLevel="0" collapsed="false">
      <c r="A73" s="39" t="n">
        <v>23</v>
      </c>
      <c r="B73" s="39" t="s">
        <v>64</v>
      </c>
      <c r="C73" s="39" t="n">
        <v>0.1589</v>
      </c>
      <c r="D73" s="39" t="s">
        <v>57</v>
      </c>
      <c r="E73" s="6"/>
      <c r="F73" s="41"/>
      <c r="G73" s="47" t="s">
        <v>69</v>
      </c>
      <c r="H73" s="24"/>
      <c r="I73" s="24" t="n">
        <v>0.1656</v>
      </c>
      <c r="J73" s="24" t="n">
        <v>0.1721</v>
      </c>
      <c r="K73" s="24" t="n">
        <v>0.1463</v>
      </c>
      <c r="L73" s="26" t="n">
        <v>0.484</v>
      </c>
    </row>
    <row r="74" customFormat="false" ht="12.8" hidden="false" customHeight="false" outlineLevel="0" collapsed="false">
      <c r="A74" s="39" t="n">
        <v>23</v>
      </c>
      <c r="B74" s="39" t="s">
        <v>67</v>
      </c>
      <c r="C74" s="39" t="n">
        <v>0.157</v>
      </c>
      <c r="D74" s="39" t="s">
        <v>57</v>
      </c>
      <c r="E74" s="6"/>
      <c r="F74" s="41"/>
      <c r="G74" s="47" t="s">
        <v>61</v>
      </c>
      <c r="H74" s="24" t="n">
        <v>0.1749</v>
      </c>
      <c r="I74" s="24" t="n">
        <v>0.1704</v>
      </c>
      <c r="J74" s="24" t="n">
        <v>0.1719</v>
      </c>
      <c r="K74" s="24" t="n">
        <v>0.1915</v>
      </c>
      <c r="L74" s="26" t="n">
        <v>0.7087</v>
      </c>
    </row>
    <row r="75" customFormat="false" ht="12.8" hidden="false" customHeight="false" outlineLevel="0" collapsed="false">
      <c r="A75" s="39" t="n">
        <v>23</v>
      </c>
      <c r="B75" s="39" t="s">
        <v>65</v>
      </c>
      <c r="C75" s="39" t="n">
        <v>0.1</v>
      </c>
      <c r="D75" s="39" t="s">
        <v>57</v>
      </c>
      <c r="E75" s="6"/>
      <c r="F75" s="41"/>
      <c r="G75" s="47" t="s">
        <v>62</v>
      </c>
      <c r="H75" s="24" t="n">
        <v>0.218</v>
      </c>
      <c r="I75" s="24" t="n">
        <v>0.2161</v>
      </c>
      <c r="J75" s="24" t="n">
        <v>0.2241</v>
      </c>
      <c r="K75" s="24" t="n">
        <v>0.218</v>
      </c>
      <c r="L75" s="26" t="n">
        <v>0.8762</v>
      </c>
    </row>
    <row r="76" customFormat="false" ht="12.8" hidden="false" customHeight="false" outlineLevel="0" collapsed="false">
      <c r="A76" s="39" t="n">
        <v>25</v>
      </c>
      <c r="B76" s="39" t="s">
        <v>63</v>
      </c>
      <c r="C76" s="39" t="n">
        <v>0.2063</v>
      </c>
      <c r="D76" s="39" t="s">
        <v>57</v>
      </c>
      <c r="E76" s="6"/>
      <c r="F76" s="41"/>
      <c r="G76" s="47" t="s">
        <v>63</v>
      </c>
      <c r="H76" s="24" t="n">
        <v>0.1665</v>
      </c>
      <c r="I76" s="24" t="n">
        <v>0.1628</v>
      </c>
      <c r="J76" s="24"/>
      <c r="K76" s="24" t="n">
        <v>0.1605</v>
      </c>
      <c r="L76" s="26" t="n">
        <v>0.4898</v>
      </c>
    </row>
    <row r="77" customFormat="false" ht="12.8" hidden="false" customHeight="false" outlineLevel="0" collapsed="false">
      <c r="A77" s="39" t="n">
        <v>25</v>
      </c>
      <c r="B77" s="39" t="s">
        <v>62</v>
      </c>
      <c r="C77" s="39" t="n">
        <v>0.1944</v>
      </c>
      <c r="D77" s="39" t="s">
        <v>57</v>
      </c>
      <c r="E77" s="6"/>
      <c r="F77" s="41"/>
      <c r="G77" s="47" t="s">
        <v>56</v>
      </c>
      <c r="H77" s="24" t="n">
        <v>0.1912</v>
      </c>
      <c r="I77" s="24" t="n">
        <v>0.185</v>
      </c>
      <c r="J77" s="24" t="n">
        <v>0.1866</v>
      </c>
      <c r="K77" s="24" t="n">
        <v>0.1837</v>
      </c>
      <c r="L77" s="26" t="n">
        <v>0.7465</v>
      </c>
    </row>
    <row r="78" customFormat="false" ht="12.8" hidden="false" customHeight="false" outlineLevel="0" collapsed="false">
      <c r="A78" s="39" t="n">
        <v>25</v>
      </c>
      <c r="B78" s="39" t="s">
        <v>56</v>
      </c>
      <c r="C78" s="39" t="n">
        <v>0.1856</v>
      </c>
      <c r="D78" s="39" t="s">
        <v>57</v>
      </c>
      <c r="E78" s="6"/>
      <c r="F78" s="48"/>
      <c r="G78" s="49" t="s">
        <v>65</v>
      </c>
      <c r="H78" s="28" t="n">
        <v>0.1</v>
      </c>
      <c r="I78" s="28" t="n">
        <v>0.1</v>
      </c>
      <c r="J78" s="28" t="n">
        <v>0.1</v>
      </c>
      <c r="K78" s="28" t="n">
        <v>0.1</v>
      </c>
      <c r="L78" s="30" t="n">
        <v>0.4</v>
      </c>
    </row>
    <row r="79" customFormat="false" ht="12.8" hidden="false" customHeight="false" outlineLevel="0" collapsed="false">
      <c r="A79" s="39" t="n">
        <v>25</v>
      </c>
      <c r="B79" s="39" t="s">
        <v>64</v>
      </c>
      <c r="C79" s="39" t="n">
        <v>0.1594</v>
      </c>
      <c r="D79" s="39" t="s">
        <v>57</v>
      </c>
      <c r="E79" s="6" t="n">
        <f aca="false">ROUNDDOWN(F79/2,0)+1</f>
        <v>7</v>
      </c>
      <c r="F79" s="40" t="n">
        <v>13</v>
      </c>
      <c r="G79" s="46" t="s">
        <v>67</v>
      </c>
      <c r="H79" s="18" t="n">
        <v>0.168</v>
      </c>
      <c r="I79" s="19" t="n">
        <v>0.1426</v>
      </c>
      <c r="J79" s="19" t="n">
        <v>0.194</v>
      </c>
      <c r="K79" s="20" t="n">
        <v>0.1529</v>
      </c>
      <c r="L79" s="21" t="n">
        <v>0.6575</v>
      </c>
    </row>
    <row r="80" customFormat="false" ht="12.8" hidden="false" customHeight="false" outlineLevel="0" collapsed="false">
      <c r="A80" s="39" t="n">
        <v>25</v>
      </c>
      <c r="B80" s="39" t="s">
        <v>70</v>
      </c>
      <c r="C80" s="39" t="n">
        <v>0.1543</v>
      </c>
      <c r="D80" s="39" t="s">
        <v>57</v>
      </c>
      <c r="E80" s="6"/>
      <c r="F80" s="41"/>
      <c r="G80" s="47" t="s">
        <v>69</v>
      </c>
      <c r="H80" s="23"/>
      <c r="I80" s="24" t="n">
        <v>0.1534</v>
      </c>
      <c r="J80" s="24"/>
      <c r="K80" s="25"/>
      <c r="L80" s="26" t="n">
        <v>0.1534</v>
      </c>
    </row>
    <row r="81" customFormat="false" ht="12.8" hidden="false" customHeight="false" outlineLevel="0" collapsed="false">
      <c r="A81" s="39" t="n">
        <v>25</v>
      </c>
      <c r="B81" s="39" t="s">
        <v>65</v>
      </c>
      <c r="C81" s="39" t="n">
        <v>0.1</v>
      </c>
      <c r="D81" s="39" t="s">
        <v>57</v>
      </c>
      <c r="E81" s="6"/>
      <c r="F81" s="41"/>
      <c r="G81" s="47" t="s">
        <v>61</v>
      </c>
      <c r="H81" s="23" t="n">
        <v>0.1892</v>
      </c>
      <c r="I81" s="24" t="n">
        <v>0.1932</v>
      </c>
      <c r="J81" s="24" t="n">
        <v>0.2095</v>
      </c>
      <c r="K81" s="25" t="n">
        <v>0.1937</v>
      </c>
      <c r="L81" s="26" t="n">
        <v>0.7856</v>
      </c>
    </row>
    <row r="82" customFormat="false" ht="12.8" hidden="false" customHeight="false" outlineLevel="0" collapsed="false">
      <c r="A82" s="39" t="n">
        <v>27</v>
      </c>
      <c r="B82" s="39" t="s">
        <v>62</v>
      </c>
      <c r="C82" s="39" t="n">
        <v>0.1855</v>
      </c>
      <c r="D82" s="39" t="s">
        <v>57</v>
      </c>
      <c r="E82" s="6"/>
      <c r="F82" s="41"/>
      <c r="G82" s="47" t="s">
        <v>62</v>
      </c>
      <c r="H82" s="23" t="n">
        <v>0.1973</v>
      </c>
      <c r="I82" s="24" t="n">
        <v>0.2161</v>
      </c>
      <c r="J82" s="24" t="n">
        <v>0.2492</v>
      </c>
      <c r="K82" s="25" t="n">
        <v>0.2194</v>
      </c>
      <c r="L82" s="26" t="n">
        <v>0.882</v>
      </c>
    </row>
    <row r="83" customFormat="false" ht="12.8" hidden="false" customHeight="false" outlineLevel="0" collapsed="false">
      <c r="A83" s="39" t="n">
        <v>27</v>
      </c>
      <c r="B83" s="39" t="s">
        <v>56</v>
      </c>
      <c r="C83" s="39" t="n">
        <v>0.1762</v>
      </c>
      <c r="D83" s="39" t="s">
        <v>57</v>
      </c>
      <c r="E83" s="6"/>
      <c r="F83" s="41"/>
      <c r="G83" s="47" t="s">
        <v>63</v>
      </c>
      <c r="H83" s="23" t="n">
        <v>0.151</v>
      </c>
      <c r="I83" s="24"/>
      <c r="J83" s="24"/>
      <c r="K83" s="25" t="n">
        <v>0.1398</v>
      </c>
      <c r="L83" s="26" t="n">
        <v>0.2908</v>
      </c>
    </row>
    <row r="84" customFormat="false" ht="12.8" hidden="false" customHeight="false" outlineLevel="0" collapsed="false">
      <c r="A84" s="39" t="n">
        <v>27</v>
      </c>
      <c r="B84" s="39" t="s">
        <v>63</v>
      </c>
      <c r="C84" s="39" t="n">
        <v>0.1701</v>
      </c>
      <c r="D84" s="39" t="s">
        <v>57</v>
      </c>
      <c r="E84" s="6"/>
      <c r="F84" s="41"/>
      <c r="G84" s="47" t="s">
        <v>56</v>
      </c>
      <c r="H84" s="23" t="n">
        <v>0.1945</v>
      </c>
      <c r="I84" s="24" t="n">
        <v>0.1946</v>
      </c>
      <c r="J84" s="24" t="n">
        <v>0.2474</v>
      </c>
      <c r="K84" s="25" t="n">
        <v>0.1943</v>
      </c>
      <c r="L84" s="26" t="n">
        <v>0.8308</v>
      </c>
    </row>
    <row r="85" customFormat="false" ht="12.8" hidden="false" customHeight="false" outlineLevel="0" collapsed="false">
      <c r="A85" s="39" t="n">
        <v>27</v>
      </c>
      <c r="B85" s="39" t="s">
        <v>65</v>
      </c>
      <c r="C85" s="39" t="n">
        <v>0.1638</v>
      </c>
      <c r="D85" s="39" t="s">
        <v>57</v>
      </c>
      <c r="E85" s="6"/>
      <c r="F85" s="48"/>
      <c r="G85" s="49" t="s">
        <v>65</v>
      </c>
      <c r="H85" s="27" t="n">
        <v>0.1</v>
      </c>
      <c r="I85" s="28" t="n">
        <v>0.1</v>
      </c>
      <c r="J85" s="28" t="n">
        <v>0.1</v>
      </c>
      <c r="K85" s="29" t="n">
        <v>0.1</v>
      </c>
      <c r="L85" s="30" t="n">
        <v>0.4</v>
      </c>
    </row>
    <row r="86" customFormat="false" ht="12.8" hidden="false" customHeight="false" outlineLevel="0" collapsed="false">
      <c r="A86" s="39" t="n">
        <v>27</v>
      </c>
      <c r="B86" s="39" t="s">
        <v>61</v>
      </c>
      <c r="C86" s="39" t="n">
        <v>0.1541</v>
      </c>
      <c r="D86" s="39" t="s">
        <v>57</v>
      </c>
      <c r="E86" s="6" t="n">
        <f aca="false">ROUNDDOWN(F86/2,0)+1</f>
        <v>8</v>
      </c>
      <c r="F86" s="40" t="n">
        <v>15</v>
      </c>
      <c r="G86" s="46" t="s">
        <v>64</v>
      </c>
      <c r="H86" s="19" t="n">
        <v>0.1666</v>
      </c>
      <c r="I86" s="19" t="n">
        <v>0.1625</v>
      </c>
      <c r="J86" s="19" t="n">
        <v>0.1694</v>
      </c>
      <c r="K86" s="19" t="n">
        <v>0.1718</v>
      </c>
      <c r="L86" s="21" t="n">
        <v>0.6703</v>
      </c>
    </row>
    <row r="87" customFormat="false" ht="12.8" hidden="false" customHeight="false" outlineLevel="0" collapsed="false">
      <c r="A87" s="39" t="n">
        <v>27</v>
      </c>
      <c r="B87" s="39" t="s">
        <v>64</v>
      </c>
      <c r="C87" s="39" t="n">
        <v>0.1502</v>
      </c>
      <c r="D87" s="39" t="s">
        <v>57</v>
      </c>
      <c r="E87" s="6"/>
      <c r="F87" s="41"/>
      <c r="G87" s="47" t="s">
        <v>69</v>
      </c>
      <c r="H87" s="24"/>
      <c r="I87" s="24" t="n">
        <v>0.1678</v>
      </c>
      <c r="J87" s="24" t="n">
        <v>0.1539</v>
      </c>
      <c r="K87" s="24"/>
      <c r="L87" s="26" t="n">
        <v>0.3217</v>
      </c>
    </row>
    <row r="88" customFormat="false" ht="12.8" hidden="false" customHeight="false" outlineLevel="0" collapsed="false">
      <c r="A88" s="39" t="n">
        <v>29</v>
      </c>
      <c r="B88" s="39" t="s">
        <v>62</v>
      </c>
      <c r="C88" s="39" t="n">
        <v>0.2115</v>
      </c>
      <c r="D88" s="39" t="s">
        <v>57</v>
      </c>
      <c r="E88" s="6"/>
      <c r="F88" s="41"/>
      <c r="G88" s="47" t="s">
        <v>61</v>
      </c>
      <c r="H88" s="24" t="n">
        <v>0.1702</v>
      </c>
      <c r="I88" s="24" t="n">
        <v>0.1829</v>
      </c>
      <c r="J88" s="24" t="n">
        <v>0.1971</v>
      </c>
      <c r="K88" s="24" t="n">
        <v>0.1944</v>
      </c>
      <c r="L88" s="26" t="n">
        <v>0.7446</v>
      </c>
    </row>
    <row r="89" customFormat="false" ht="12.8" hidden="false" customHeight="false" outlineLevel="0" collapsed="false">
      <c r="A89" s="39" t="n">
        <v>29</v>
      </c>
      <c r="B89" s="39" t="s">
        <v>63</v>
      </c>
      <c r="C89" s="39" t="n">
        <v>0.1782</v>
      </c>
      <c r="D89" s="39" t="s">
        <v>57</v>
      </c>
      <c r="E89" s="6"/>
      <c r="F89" s="41"/>
      <c r="G89" s="47" t="s">
        <v>62</v>
      </c>
      <c r="H89" s="24" t="n">
        <v>0.1877</v>
      </c>
      <c r="I89" s="24" t="n">
        <v>0.2051</v>
      </c>
      <c r="J89" s="24" t="n">
        <v>0.2123</v>
      </c>
      <c r="K89" s="24" t="n">
        <v>0.1943</v>
      </c>
      <c r="L89" s="26" t="n">
        <v>0.7994</v>
      </c>
    </row>
    <row r="90" customFormat="false" ht="12.8" hidden="false" customHeight="false" outlineLevel="0" collapsed="false">
      <c r="A90" s="39" t="n">
        <v>29</v>
      </c>
      <c r="B90" s="39" t="s">
        <v>56</v>
      </c>
      <c r="C90" s="39" t="n">
        <v>0.1757</v>
      </c>
      <c r="D90" s="39" t="s">
        <v>57</v>
      </c>
      <c r="E90" s="6"/>
      <c r="F90" s="41"/>
      <c r="G90" s="47" t="s">
        <v>71</v>
      </c>
      <c r="H90" s="24"/>
      <c r="I90" s="24"/>
      <c r="J90" s="24"/>
      <c r="K90" s="24" t="n">
        <v>0.1634</v>
      </c>
      <c r="L90" s="26" t="n">
        <v>0.1634</v>
      </c>
    </row>
    <row r="91" customFormat="false" ht="12.8" hidden="false" customHeight="false" outlineLevel="0" collapsed="false">
      <c r="A91" s="39" t="n">
        <v>29</v>
      </c>
      <c r="B91" s="39" t="s">
        <v>61</v>
      </c>
      <c r="C91" s="39" t="n">
        <v>0.175</v>
      </c>
      <c r="D91" s="39" t="s">
        <v>57</v>
      </c>
      <c r="E91" s="6"/>
      <c r="F91" s="41"/>
      <c r="G91" s="47" t="s">
        <v>63</v>
      </c>
      <c r="H91" s="24" t="n">
        <v>0.1748</v>
      </c>
      <c r="I91" s="24"/>
      <c r="J91" s="24"/>
      <c r="K91" s="24"/>
      <c r="L91" s="26" t="n">
        <v>0.1748</v>
      </c>
    </row>
    <row r="92" customFormat="false" ht="12.8" hidden="false" customHeight="false" outlineLevel="0" collapsed="false">
      <c r="A92" s="39" t="n">
        <v>29</v>
      </c>
      <c r="B92" s="39" t="s">
        <v>70</v>
      </c>
      <c r="C92" s="39" t="n">
        <v>0.1595</v>
      </c>
      <c r="D92" s="39" t="s">
        <v>57</v>
      </c>
      <c r="E92" s="6"/>
      <c r="F92" s="41"/>
      <c r="G92" s="47" t="s">
        <v>56</v>
      </c>
      <c r="H92" s="24" t="n">
        <v>0.1633</v>
      </c>
      <c r="I92" s="24" t="n">
        <v>0.1817</v>
      </c>
      <c r="J92" s="24" t="n">
        <v>0.1673</v>
      </c>
      <c r="K92" s="24" t="n">
        <v>0.1761</v>
      </c>
      <c r="L92" s="26" t="n">
        <v>0.6884</v>
      </c>
    </row>
    <row r="93" customFormat="false" ht="12.8" hidden="false" customHeight="false" outlineLevel="0" collapsed="false">
      <c r="A93" s="39" t="n">
        <v>29</v>
      </c>
      <c r="B93" s="39" t="s">
        <v>65</v>
      </c>
      <c r="C93" s="39" t="n">
        <v>0.1</v>
      </c>
      <c r="D93" s="39" t="s">
        <v>57</v>
      </c>
      <c r="E93" s="6"/>
      <c r="F93" s="48"/>
      <c r="G93" s="49" t="s">
        <v>65</v>
      </c>
      <c r="H93" s="28" t="n">
        <v>0.1373</v>
      </c>
      <c r="I93" s="28" t="n">
        <v>0.1</v>
      </c>
      <c r="J93" s="28" t="n">
        <v>0.1</v>
      </c>
      <c r="K93" s="28" t="n">
        <v>0.1</v>
      </c>
      <c r="L93" s="30" t="n">
        <v>0.4373</v>
      </c>
    </row>
    <row r="94" customFormat="false" ht="12.8" hidden="false" customHeight="false" outlineLevel="0" collapsed="false">
      <c r="A94" s="39" t="n">
        <v>31</v>
      </c>
      <c r="B94" s="39" t="s">
        <v>62</v>
      </c>
      <c r="C94" s="39" t="n">
        <v>0.2078</v>
      </c>
      <c r="D94" s="39" t="s">
        <v>57</v>
      </c>
      <c r="E94" s="6" t="n">
        <f aca="false">ROUNDDOWN(F94/2,0)+1</f>
        <v>9</v>
      </c>
      <c r="F94" s="40" t="n">
        <v>17</v>
      </c>
      <c r="G94" s="46" t="s">
        <v>64</v>
      </c>
      <c r="H94" s="18" t="n">
        <v>0.1545</v>
      </c>
      <c r="I94" s="19"/>
      <c r="J94" s="19" t="n">
        <v>0.1559</v>
      </c>
      <c r="K94" s="20" t="n">
        <v>0.1613</v>
      </c>
      <c r="L94" s="21" t="n">
        <v>0.4717</v>
      </c>
    </row>
    <row r="95" customFormat="false" ht="12.8" hidden="false" customHeight="false" outlineLevel="0" collapsed="false">
      <c r="A95" s="39" t="n">
        <v>31</v>
      </c>
      <c r="B95" s="39" t="s">
        <v>56</v>
      </c>
      <c r="C95" s="39" t="n">
        <v>0.186</v>
      </c>
      <c r="D95" s="39" t="s">
        <v>57</v>
      </c>
      <c r="E95" s="6"/>
      <c r="F95" s="41"/>
      <c r="G95" s="47" t="s">
        <v>70</v>
      </c>
      <c r="H95" s="23"/>
      <c r="I95" s="24" t="n">
        <v>0.148</v>
      </c>
      <c r="J95" s="24"/>
      <c r="K95" s="25"/>
      <c r="L95" s="26" t="n">
        <v>0.148</v>
      </c>
    </row>
    <row r="96" customFormat="false" ht="12.8" hidden="false" customHeight="false" outlineLevel="0" collapsed="false">
      <c r="A96" s="39" t="n">
        <v>31</v>
      </c>
      <c r="B96" s="39" t="s">
        <v>63</v>
      </c>
      <c r="C96" s="39" t="n">
        <v>0.1728</v>
      </c>
      <c r="D96" s="39" t="s">
        <v>57</v>
      </c>
      <c r="E96" s="6"/>
      <c r="F96" s="41"/>
      <c r="G96" s="47" t="s">
        <v>69</v>
      </c>
      <c r="H96" s="23"/>
      <c r="I96" s="24" t="n">
        <v>0.1605</v>
      </c>
      <c r="J96" s="24" t="n">
        <v>0.1679</v>
      </c>
      <c r="K96" s="25" t="n">
        <v>0.1662</v>
      </c>
      <c r="L96" s="26" t="n">
        <v>0.4946</v>
      </c>
    </row>
    <row r="97" customFormat="false" ht="12.8" hidden="false" customHeight="false" outlineLevel="0" collapsed="false">
      <c r="A97" s="39" t="n">
        <v>31</v>
      </c>
      <c r="B97" s="39" t="s">
        <v>61</v>
      </c>
      <c r="C97" s="39" t="n">
        <v>0.1697</v>
      </c>
      <c r="D97" s="39" t="s">
        <v>57</v>
      </c>
      <c r="E97" s="6"/>
      <c r="F97" s="41"/>
      <c r="G97" s="47" t="s">
        <v>61</v>
      </c>
      <c r="H97" s="23" t="n">
        <v>0.1638</v>
      </c>
      <c r="I97" s="24" t="n">
        <v>0.1626</v>
      </c>
      <c r="J97" s="24" t="n">
        <v>0.1815</v>
      </c>
      <c r="K97" s="25" t="n">
        <v>0.1716</v>
      </c>
      <c r="L97" s="26" t="n">
        <v>0.6795</v>
      </c>
    </row>
    <row r="98" customFormat="false" ht="12.8" hidden="false" customHeight="false" outlineLevel="0" collapsed="false">
      <c r="A98" s="39" t="n">
        <v>31</v>
      </c>
      <c r="B98" s="39" t="s">
        <v>67</v>
      </c>
      <c r="C98" s="39" t="n">
        <v>0.1637</v>
      </c>
      <c r="D98" s="39" t="s">
        <v>57</v>
      </c>
      <c r="E98" s="6"/>
      <c r="F98" s="41"/>
      <c r="G98" s="47" t="s">
        <v>62</v>
      </c>
      <c r="H98" s="23" t="n">
        <v>0.1981</v>
      </c>
      <c r="I98" s="24" t="n">
        <v>0.1863</v>
      </c>
      <c r="J98" s="24" t="n">
        <v>0.2164</v>
      </c>
      <c r="K98" s="25" t="n">
        <v>0.2053</v>
      </c>
      <c r="L98" s="26" t="n">
        <v>0.8061</v>
      </c>
    </row>
    <row r="99" customFormat="false" ht="12.8" hidden="false" customHeight="false" outlineLevel="0" collapsed="false">
      <c r="A99" s="39" t="n">
        <v>31</v>
      </c>
      <c r="B99" s="39" t="s">
        <v>65</v>
      </c>
      <c r="C99" s="39" t="n">
        <v>0.1</v>
      </c>
      <c r="D99" s="39" t="s">
        <v>57</v>
      </c>
      <c r="E99" s="6"/>
      <c r="F99" s="41"/>
      <c r="G99" s="47" t="s">
        <v>63</v>
      </c>
      <c r="H99" s="23" t="n">
        <v>0.1618</v>
      </c>
      <c r="I99" s="24"/>
      <c r="J99" s="24"/>
      <c r="K99" s="25"/>
      <c r="L99" s="26" t="n">
        <v>0.1618</v>
      </c>
    </row>
    <row r="100" customFormat="false" ht="12.8" hidden="false" customHeight="false" outlineLevel="0" collapsed="false">
      <c r="A100" s="39" t="n">
        <v>33</v>
      </c>
      <c r="B100" s="39" t="s">
        <v>56</v>
      </c>
      <c r="C100" s="39" t="n">
        <v>0.205</v>
      </c>
      <c r="D100" s="39" t="s">
        <v>57</v>
      </c>
      <c r="E100" s="6"/>
      <c r="F100" s="41"/>
      <c r="G100" s="47" t="s">
        <v>56</v>
      </c>
      <c r="H100" s="23" t="n">
        <v>0.175</v>
      </c>
      <c r="I100" s="24" t="n">
        <v>0.1992</v>
      </c>
      <c r="J100" s="24" t="n">
        <v>0.1783</v>
      </c>
      <c r="K100" s="25" t="n">
        <v>0.1956</v>
      </c>
      <c r="L100" s="26" t="n">
        <v>0.7481</v>
      </c>
    </row>
    <row r="101" customFormat="false" ht="12.8" hidden="false" customHeight="false" outlineLevel="0" collapsed="false">
      <c r="A101" s="39" t="n">
        <v>33</v>
      </c>
      <c r="B101" s="39" t="s">
        <v>62</v>
      </c>
      <c r="C101" s="39" t="n">
        <v>0.1888</v>
      </c>
      <c r="D101" s="39" t="s">
        <v>57</v>
      </c>
      <c r="E101" s="6"/>
      <c r="F101" s="48"/>
      <c r="G101" s="49" t="s">
        <v>65</v>
      </c>
      <c r="H101" s="27" t="n">
        <v>0.1468</v>
      </c>
      <c r="I101" s="28" t="n">
        <v>0.1435</v>
      </c>
      <c r="J101" s="28" t="n">
        <v>0.1</v>
      </c>
      <c r="K101" s="29" t="n">
        <v>0.1</v>
      </c>
      <c r="L101" s="30" t="n">
        <v>0.4903</v>
      </c>
    </row>
    <row r="102" customFormat="false" ht="12.8" hidden="false" customHeight="false" outlineLevel="0" collapsed="false">
      <c r="A102" s="39" t="n">
        <v>33</v>
      </c>
      <c r="B102" s="39" t="s">
        <v>67</v>
      </c>
      <c r="C102" s="39" t="n">
        <v>0.1852</v>
      </c>
      <c r="D102" s="39" t="s">
        <v>57</v>
      </c>
      <c r="E102" s="6" t="n">
        <f aca="false">ROUNDDOWN(F102/2,0)+1</f>
        <v>10</v>
      </c>
      <c r="F102" s="40" t="n">
        <v>19</v>
      </c>
      <c r="G102" s="46" t="s">
        <v>64</v>
      </c>
      <c r="H102" s="19" t="n">
        <v>0.1569</v>
      </c>
      <c r="I102" s="19"/>
      <c r="J102" s="19" t="n">
        <v>0.1619</v>
      </c>
      <c r="K102" s="19"/>
      <c r="L102" s="21" t="n">
        <v>0.3188</v>
      </c>
    </row>
    <row r="103" customFormat="false" ht="12.8" hidden="false" customHeight="false" outlineLevel="0" collapsed="false">
      <c r="A103" s="39" t="n">
        <v>33</v>
      </c>
      <c r="B103" s="39" t="s">
        <v>61</v>
      </c>
      <c r="C103" s="39" t="n">
        <v>0.1614</v>
      </c>
      <c r="D103" s="39" t="s">
        <v>57</v>
      </c>
      <c r="E103" s="6"/>
      <c r="F103" s="41"/>
      <c r="G103" s="47" t="s">
        <v>69</v>
      </c>
      <c r="H103" s="24"/>
      <c r="I103" s="24" t="n">
        <v>0.1752</v>
      </c>
      <c r="J103" s="24" t="n">
        <v>0.1874</v>
      </c>
      <c r="K103" s="24" t="n">
        <v>0.1634</v>
      </c>
      <c r="L103" s="26" t="n">
        <v>0.526</v>
      </c>
    </row>
    <row r="104" customFormat="false" ht="12.8" hidden="false" customHeight="false" outlineLevel="0" collapsed="false">
      <c r="A104" s="39" t="n">
        <v>33</v>
      </c>
      <c r="B104" s="39" t="s">
        <v>63</v>
      </c>
      <c r="C104" s="39" t="n">
        <v>0.1595</v>
      </c>
      <c r="D104" s="39" t="s">
        <v>57</v>
      </c>
      <c r="E104" s="6"/>
      <c r="F104" s="41"/>
      <c r="G104" s="47" t="s">
        <v>61</v>
      </c>
      <c r="H104" s="24" t="n">
        <v>0.188</v>
      </c>
      <c r="I104" s="24" t="n">
        <v>0.168</v>
      </c>
      <c r="J104" s="24" t="n">
        <v>0.1665</v>
      </c>
      <c r="K104" s="24" t="n">
        <v>0.1774</v>
      </c>
      <c r="L104" s="26" t="n">
        <v>0.6999</v>
      </c>
    </row>
    <row r="105" customFormat="false" ht="12.8" hidden="false" customHeight="false" outlineLevel="0" collapsed="false">
      <c r="A105" s="39" t="n">
        <v>33</v>
      </c>
      <c r="B105" s="39" t="s">
        <v>65</v>
      </c>
      <c r="C105" s="39" t="n">
        <v>0.1</v>
      </c>
      <c r="D105" s="39" t="s">
        <v>57</v>
      </c>
      <c r="E105" s="6"/>
      <c r="F105" s="41"/>
      <c r="G105" s="47" t="s">
        <v>62</v>
      </c>
      <c r="H105" s="24" t="n">
        <v>0.2042</v>
      </c>
      <c r="I105" s="24" t="n">
        <v>0.2012</v>
      </c>
      <c r="J105" s="24" t="n">
        <v>0.2064</v>
      </c>
      <c r="K105" s="24" t="n">
        <v>0.2066</v>
      </c>
      <c r="L105" s="26" t="n">
        <v>0.8184</v>
      </c>
    </row>
    <row r="106" customFormat="false" ht="12.8" hidden="false" customHeight="false" outlineLevel="0" collapsed="false">
      <c r="A106" s="39" t="n">
        <v>35</v>
      </c>
      <c r="B106" s="39" t="s">
        <v>62</v>
      </c>
      <c r="C106" s="39" t="n">
        <v>0.1904</v>
      </c>
      <c r="D106" s="39" t="s">
        <v>57</v>
      </c>
      <c r="E106" s="6"/>
      <c r="F106" s="41"/>
      <c r="G106" s="47" t="s">
        <v>63</v>
      </c>
      <c r="H106" s="24" t="n">
        <v>0.1684</v>
      </c>
      <c r="I106" s="24" t="n">
        <v>0.1695</v>
      </c>
      <c r="J106" s="24"/>
      <c r="K106" s="24" t="n">
        <v>0.1572</v>
      </c>
      <c r="L106" s="26" t="n">
        <v>0.4951</v>
      </c>
    </row>
    <row r="107" customFormat="false" ht="12.8" hidden="false" customHeight="false" outlineLevel="0" collapsed="false">
      <c r="A107" s="39" t="n">
        <v>35</v>
      </c>
      <c r="B107" s="39" t="s">
        <v>56</v>
      </c>
      <c r="C107" s="39" t="n">
        <v>0.1886</v>
      </c>
      <c r="D107" s="39" t="s">
        <v>57</v>
      </c>
      <c r="E107" s="6"/>
      <c r="F107" s="41"/>
      <c r="G107" s="47" t="s">
        <v>56</v>
      </c>
      <c r="H107" s="24" t="n">
        <v>0.1826</v>
      </c>
      <c r="I107" s="24" t="n">
        <v>0.1861</v>
      </c>
      <c r="J107" s="24" t="n">
        <v>0.1778</v>
      </c>
      <c r="K107" s="24" t="n">
        <v>0.1953</v>
      </c>
      <c r="L107" s="26" t="n">
        <v>0.7418</v>
      </c>
    </row>
    <row r="108" customFormat="false" ht="12.8" hidden="false" customHeight="false" outlineLevel="0" collapsed="false">
      <c r="A108" s="39" t="n">
        <v>35</v>
      </c>
      <c r="B108" s="39" t="s">
        <v>61</v>
      </c>
      <c r="C108" s="39" t="n">
        <v>0.1846</v>
      </c>
      <c r="D108" s="39" t="s">
        <v>57</v>
      </c>
      <c r="E108" s="6"/>
      <c r="F108" s="48"/>
      <c r="G108" s="49" t="s">
        <v>65</v>
      </c>
      <c r="H108" s="28" t="n">
        <v>0.1</v>
      </c>
      <c r="I108" s="28" t="n">
        <v>0.1</v>
      </c>
      <c r="J108" s="28" t="n">
        <v>0.1</v>
      </c>
      <c r="K108" s="28" t="n">
        <v>0.1</v>
      </c>
      <c r="L108" s="30" t="n">
        <v>0.4</v>
      </c>
    </row>
    <row r="109" customFormat="false" ht="12.8" hidden="false" customHeight="false" outlineLevel="0" collapsed="false">
      <c r="A109" s="39" t="n">
        <v>35</v>
      </c>
      <c r="B109" s="39" t="s">
        <v>64</v>
      </c>
      <c r="C109" s="39" t="n">
        <v>0.1685</v>
      </c>
      <c r="D109" s="39" t="s">
        <v>57</v>
      </c>
      <c r="E109" s="6" t="n">
        <f aca="false">ROUNDDOWN(F109/2,0)+1</f>
        <v>11</v>
      </c>
      <c r="F109" s="40" t="n">
        <v>21</v>
      </c>
      <c r="G109" s="46" t="s">
        <v>67</v>
      </c>
      <c r="H109" s="18" t="n">
        <v>0.174</v>
      </c>
      <c r="I109" s="19"/>
      <c r="J109" s="19" t="n">
        <v>0.1594</v>
      </c>
      <c r="K109" s="20"/>
      <c r="L109" s="21" t="n">
        <v>0.3334</v>
      </c>
    </row>
    <row r="110" customFormat="false" ht="12.8" hidden="false" customHeight="false" outlineLevel="0" collapsed="false">
      <c r="A110" s="39" t="n">
        <v>35</v>
      </c>
      <c r="B110" s="39" t="s">
        <v>63</v>
      </c>
      <c r="C110" s="39" t="n">
        <v>0.1679</v>
      </c>
      <c r="D110" s="39" t="s">
        <v>57</v>
      </c>
      <c r="E110" s="6"/>
      <c r="F110" s="41"/>
      <c r="G110" s="47" t="s">
        <v>69</v>
      </c>
      <c r="H110" s="23"/>
      <c r="I110" s="24" t="n">
        <v>0.1607</v>
      </c>
      <c r="J110" s="24"/>
      <c r="K110" s="25"/>
      <c r="L110" s="26" t="n">
        <v>0.1607</v>
      </c>
    </row>
    <row r="111" customFormat="false" ht="12.8" hidden="false" customHeight="false" outlineLevel="0" collapsed="false">
      <c r="A111" s="39" t="n">
        <v>35</v>
      </c>
      <c r="B111" s="39" t="s">
        <v>65</v>
      </c>
      <c r="C111" s="39" t="n">
        <v>0.1</v>
      </c>
      <c r="D111" s="39" t="s">
        <v>57</v>
      </c>
      <c r="E111" s="6"/>
      <c r="F111" s="41"/>
      <c r="G111" s="47" t="s">
        <v>61</v>
      </c>
      <c r="H111" s="23" t="n">
        <v>0.1772</v>
      </c>
      <c r="I111" s="24" t="n">
        <v>0.1748</v>
      </c>
      <c r="J111" s="24" t="n">
        <v>0.1856</v>
      </c>
      <c r="K111" s="25" t="n">
        <v>0.1833</v>
      </c>
      <c r="L111" s="26" t="n">
        <v>0.7209</v>
      </c>
    </row>
    <row r="112" customFormat="false" ht="12.8" hidden="false" customHeight="false" outlineLevel="0" collapsed="false">
      <c r="A112" s="39" t="n">
        <v>37</v>
      </c>
      <c r="B112" s="39" t="s">
        <v>62</v>
      </c>
      <c r="C112" s="39" t="n">
        <v>0.1845</v>
      </c>
      <c r="D112" s="39" t="s">
        <v>57</v>
      </c>
      <c r="E112" s="6"/>
      <c r="F112" s="41"/>
      <c r="G112" s="47" t="s">
        <v>62</v>
      </c>
      <c r="H112" s="23" t="n">
        <v>0.1832</v>
      </c>
      <c r="I112" s="24" t="n">
        <v>0.1888</v>
      </c>
      <c r="J112" s="24" t="n">
        <v>0.1945</v>
      </c>
      <c r="K112" s="25" t="n">
        <v>0.1988</v>
      </c>
      <c r="L112" s="26" t="n">
        <v>0.7653</v>
      </c>
    </row>
    <row r="113" customFormat="false" ht="12.8" hidden="false" customHeight="false" outlineLevel="0" collapsed="false">
      <c r="A113" s="39" t="n">
        <v>37</v>
      </c>
      <c r="B113" s="39" t="s">
        <v>56</v>
      </c>
      <c r="C113" s="39" t="n">
        <v>0.1785</v>
      </c>
      <c r="D113" s="39" t="s">
        <v>57</v>
      </c>
      <c r="E113" s="6"/>
      <c r="F113" s="41"/>
      <c r="G113" s="47" t="s">
        <v>71</v>
      </c>
      <c r="H113" s="23"/>
      <c r="I113" s="24"/>
      <c r="J113" s="24"/>
      <c r="K113" s="25" t="n">
        <v>0.157</v>
      </c>
      <c r="L113" s="26" t="n">
        <v>0.157</v>
      </c>
    </row>
    <row r="114" customFormat="false" ht="12.8" hidden="false" customHeight="false" outlineLevel="0" collapsed="false">
      <c r="A114" s="39" t="n">
        <v>37</v>
      </c>
      <c r="B114" s="39" t="s">
        <v>63</v>
      </c>
      <c r="C114" s="39" t="n">
        <v>0.1661</v>
      </c>
      <c r="D114" s="39" t="s">
        <v>57</v>
      </c>
      <c r="E114" s="6"/>
      <c r="F114" s="41"/>
      <c r="G114" s="47" t="s">
        <v>63</v>
      </c>
      <c r="H114" s="23" t="n">
        <v>0.1705</v>
      </c>
      <c r="I114" s="24" t="n">
        <v>0.164</v>
      </c>
      <c r="J114" s="24" t="n">
        <v>0.1625</v>
      </c>
      <c r="K114" s="25" t="n">
        <v>0.1692</v>
      </c>
      <c r="L114" s="26" t="n">
        <v>0.6662</v>
      </c>
    </row>
    <row r="115" customFormat="false" ht="12.8" hidden="false" customHeight="false" outlineLevel="0" collapsed="false">
      <c r="A115" s="39" t="n">
        <v>37</v>
      </c>
      <c r="B115" s="39" t="s">
        <v>64</v>
      </c>
      <c r="C115" s="39" t="n">
        <v>0.1573</v>
      </c>
      <c r="D115" s="39" t="s">
        <v>57</v>
      </c>
      <c r="E115" s="6"/>
      <c r="F115" s="41"/>
      <c r="G115" s="47" t="s">
        <v>56</v>
      </c>
      <c r="H115" s="23" t="n">
        <v>0.1951</v>
      </c>
      <c r="I115" s="24" t="n">
        <v>0.2117</v>
      </c>
      <c r="J115" s="24" t="n">
        <v>0.198</v>
      </c>
      <c r="K115" s="25" t="n">
        <v>0.1917</v>
      </c>
      <c r="L115" s="26" t="n">
        <v>0.7965</v>
      </c>
    </row>
    <row r="116" customFormat="false" ht="12.8" hidden="false" customHeight="false" outlineLevel="0" collapsed="false">
      <c r="A116" s="39" t="n">
        <v>37</v>
      </c>
      <c r="B116" s="39" t="s">
        <v>61</v>
      </c>
      <c r="C116" s="39" t="n">
        <v>0.1572</v>
      </c>
      <c r="D116" s="39" t="s">
        <v>57</v>
      </c>
      <c r="E116" s="6"/>
      <c r="F116" s="48"/>
      <c r="G116" s="49" t="s">
        <v>65</v>
      </c>
      <c r="H116" s="27" t="n">
        <v>0.1</v>
      </c>
      <c r="I116" s="28" t="n">
        <v>0.1</v>
      </c>
      <c r="J116" s="28" t="n">
        <v>0.1</v>
      </c>
      <c r="K116" s="29" t="n">
        <v>0.1</v>
      </c>
      <c r="L116" s="30" t="n">
        <v>0.4</v>
      </c>
    </row>
    <row r="117" customFormat="false" ht="12.8" hidden="false" customHeight="false" outlineLevel="0" collapsed="false">
      <c r="A117" s="39" t="n">
        <v>37</v>
      </c>
      <c r="B117" s="39" t="s">
        <v>65</v>
      </c>
      <c r="C117" s="39" t="n">
        <v>0.1564</v>
      </c>
      <c r="D117" s="39" t="s">
        <v>57</v>
      </c>
      <c r="E117" s="6" t="n">
        <f aca="false">ROUNDDOWN(F117/2,0)+1</f>
        <v>12</v>
      </c>
      <c r="F117" s="40" t="n">
        <v>23</v>
      </c>
      <c r="G117" s="46" t="s">
        <v>64</v>
      </c>
      <c r="H117" s="19" t="n">
        <v>0.1589</v>
      </c>
      <c r="I117" s="19"/>
      <c r="J117" s="19"/>
      <c r="K117" s="19" t="n">
        <v>0.1594</v>
      </c>
      <c r="L117" s="21" t="n">
        <v>0.3183</v>
      </c>
    </row>
    <row r="118" customFormat="false" ht="12.8" hidden="false" customHeight="false" outlineLevel="0" collapsed="false">
      <c r="A118" s="39" t="n">
        <v>39</v>
      </c>
      <c r="B118" s="39" t="s">
        <v>63</v>
      </c>
      <c r="C118" s="39" t="n">
        <v>0.1854</v>
      </c>
      <c r="D118" s="39" t="s">
        <v>57</v>
      </c>
      <c r="E118" s="6"/>
      <c r="F118" s="41"/>
      <c r="G118" s="47" t="s">
        <v>67</v>
      </c>
      <c r="H118" s="24" t="n">
        <v>0.157</v>
      </c>
      <c r="I118" s="24"/>
      <c r="J118" s="24"/>
      <c r="K118" s="24"/>
      <c r="L118" s="26" t="n">
        <v>0.157</v>
      </c>
    </row>
    <row r="119" customFormat="false" ht="12.8" hidden="false" customHeight="false" outlineLevel="0" collapsed="false">
      <c r="A119" s="39" t="n">
        <v>39</v>
      </c>
      <c r="B119" s="39" t="s">
        <v>61</v>
      </c>
      <c r="C119" s="39" t="n">
        <v>0.183</v>
      </c>
      <c r="D119" s="39" t="s">
        <v>57</v>
      </c>
      <c r="E119" s="6"/>
      <c r="F119" s="41"/>
      <c r="G119" s="47" t="s">
        <v>69</v>
      </c>
      <c r="H119" s="24"/>
      <c r="I119" s="24" t="n">
        <v>0.1651</v>
      </c>
      <c r="J119" s="24" t="n">
        <v>0.1633</v>
      </c>
      <c r="K119" s="24"/>
      <c r="L119" s="26" t="n">
        <v>0.3284</v>
      </c>
    </row>
    <row r="120" customFormat="false" ht="12.8" hidden="false" customHeight="false" outlineLevel="0" collapsed="false">
      <c r="A120" s="39" t="n">
        <v>39</v>
      </c>
      <c r="B120" s="39" t="s">
        <v>62</v>
      </c>
      <c r="C120" s="39" t="n">
        <v>0.1778</v>
      </c>
      <c r="D120" s="39" t="s">
        <v>57</v>
      </c>
      <c r="E120" s="6"/>
      <c r="F120" s="41"/>
      <c r="G120" s="47" t="s">
        <v>61</v>
      </c>
      <c r="H120" s="24"/>
      <c r="I120" s="24" t="n">
        <v>0.1662</v>
      </c>
      <c r="J120" s="24" t="n">
        <v>0.1644</v>
      </c>
      <c r="K120" s="24" t="n">
        <v>0.1632</v>
      </c>
      <c r="L120" s="26" t="n">
        <v>0.4938</v>
      </c>
    </row>
    <row r="121" customFormat="false" ht="12.8" hidden="false" customHeight="false" outlineLevel="0" collapsed="false">
      <c r="A121" s="39" t="n">
        <v>39</v>
      </c>
      <c r="B121" s="39" t="s">
        <v>56</v>
      </c>
      <c r="C121" s="39" t="n">
        <v>0.1609</v>
      </c>
      <c r="D121" s="39" t="s">
        <v>57</v>
      </c>
      <c r="E121" s="6"/>
      <c r="F121" s="41"/>
      <c r="G121" s="47" t="s">
        <v>62</v>
      </c>
      <c r="H121" s="24" t="n">
        <v>0.1967</v>
      </c>
      <c r="I121" s="24" t="n">
        <v>0.1983</v>
      </c>
      <c r="J121" s="24" t="n">
        <v>0.2107</v>
      </c>
      <c r="K121" s="24" t="n">
        <v>0.2055</v>
      </c>
      <c r="L121" s="26" t="n">
        <v>0.8112</v>
      </c>
    </row>
    <row r="122" customFormat="false" ht="12.8" hidden="false" customHeight="false" outlineLevel="0" collapsed="false">
      <c r="A122" s="39" t="n">
        <v>39</v>
      </c>
      <c r="B122" s="39" t="s">
        <v>64</v>
      </c>
      <c r="C122" s="39" t="n">
        <v>0.1479</v>
      </c>
      <c r="D122" s="39" t="s">
        <v>57</v>
      </c>
      <c r="E122" s="6"/>
      <c r="F122" s="41"/>
      <c r="G122" s="47" t="s">
        <v>63</v>
      </c>
      <c r="H122" s="24" t="n">
        <v>0.1982</v>
      </c>
      <c r="I122" s="24" t="n">
        <v>0.1668</v>
      </c>
      <c r="J122" s="24" t="n">
        <v>0.1737</v>
      </c>
      <c r="K122" s="24" t="n">
        <v>0.1861</v>
      </c>
      <c r="L122" s="26" t="n">
        <v>0.7248</v>
      </c>
    </row>
    <row r="123" customFormat="false" ht="12.8" hidden="false" customHeight="false" outlineLevel="0" collapsed="false">
      <c r="A123" s="39" t="n">
        <v>39</v>
      </c>
      <c r="B123" s="39" t="s">
        <v>65</v>
      </c>
      <c r="C123" s="39" t="n">
        <v>0.145</v>
      </c>
      <c r="D123" s="39" t="s">
        <v>57</v>
      </c>
      <c r="E123" s="6"/>
      <c r="F123" s="41"/>
      <c r="G123" s="47" t="s">
        <v>56</v>
      </c>
      <c r="H123" s="24" t="n">
        <v>0.1892</v>
      </c>
      <c r="I123" s="24" t="n">
        <v>0.2036</v>
      </c>
      <c r="J123" s="24" t="n">
        <v>0.1879</v>
      </c>
      <c r="K123" s="24" t="n">
        <v>0.1858</v>
      </c>
      <c r="L123" s="26" t="n">
        <v>0.7665</v>
      </c>
    </row>
    <row r="124" customFormat="false" ht="12.8" hidden="false" customHeight="false" outlineLevel="0" collapsed="false">
      <c r="A124" s="39" t="n">
        <v>41</v>
      </c>
      <c r="B124" s="39" t="s">
        <v>62</v>
      </c>
      <c r="C124" s="39" t="n">
        <v>0.2027</v>
      </c>
      <c r="D124" s="39" t="s">
        <v>57</v>
      </c>
      <c r="E124" s="6"/>
      <c r="F124" s="48"/>
      <c r="G124" s="49" t="s">
        <v>65</v>
      </c>
      <c r="H124" s="28" t="n">
        <v>0.1</v>
      </c>
      <c r="I124" s="28" t="n">
        <v>0.1</v>
      </c>
      <c r="J124" s="28" t="n">
        <v>0.1</v>
      </c>
      <c r="K124" s="28" t="n">
        <v>0.1</v>
      </c>
      <c r="L124" s="30" t="n">
        <v>0.4</v>
      </c>
    </row>
    <row r="125" customFormat="false" ht="12.8" hidden="false" customHeight="false" outlineLevel="0" collapsed="false">
      <c r="A125" s="39" t="n">
        <v>41</v>
      </c>
      <c r="B125" s="39" t="s">
        <v>61</v>
      </c>
      <c r="C125" s="39" t="n">
        <v>0.1871</v>
      </c>
      <c r="D125" s="39" t="s">
        <v>57</v>
      </c>
      <c r="E125" s="6" t="n">
        <f aca="false">ROUNDDOWN(F125/2,0)+1</f>
        <v>13</v>
      </c>
      <c r="F125" s="40" t="n">
        <v>25</v>
      </c>
      <c r="G125" s="46" t="s">
        <v>64</v>
      </c>
      <c r="H125" s="18" t="n">
        <v>0.1594</v>
      </c>
      <c r="I125" s="19"/>
      <c r="J125" s="19" t="n">
        <v>0.1975</v>
      </c>
      <c r="K125" s="20" t="n">
        <v>0.1583</v>
      </c>
      <c r="L125" s="21" t="n">
        <v>0.5152</v>
      </c>
    </row>
    <row r="126" customFormat="false" ht="12.8" hidden="false" customHeight="false" outlineLevel="0" collapsed="false">
      <c r="A126" s="39" t="n">
        <v>41</v>
      </c>
      <c r="B126" s="39" t="s">
        <v>56</v>
      </c>
      <c r="C126" s="39" t="n">
        <v>0.18</v>
      </c>
      <c r="D126" s="39" t="s">
        <v>57</v>
      </c>
      <c r="E126" s="6"/>
      <c r="F126" s="41"/>
      <c r="G126" s="47" t="s">
        <v>70</v>
      </c>
      <c r="H126" s="23" t="n">
        <v>0.1543</v>
      </c>
      <c r="I126" s="24" t="n">
        <v>0.1524</v>
      </c>
      <c r="J126" s="24"/>
      <c r="K126" s="25"/>
      <c r="L126" s="26" t="n">
        <v>0.3067</v>
      </c>
    </row>
    <row r="127" customFormat="false" ht="12.8" hidden="false" customHeight="false" outlineLevel="0" collapsed="false">
      <c r="A127" s="39" t="n">
        <v>41</v>
      </c>
      <c r="B127" s="39" t="s">
        <v>63</v>
      </c>
      <c r="C127" s="39" t="n">
        <v>0.1793</v>
      </c>
      <c r="D127" s="39" t="s">
        <v>57</v>
      </c>
      <c r="E127" s="6"/>
      <c r="F127" s="41"/>
      <c r="G127" s="47" t="s">
        <v>61</v>
      </c>
      <c r="H127" s="23"/>
      <c r="I127" s="24" t="n">
        <v>0.1657</v>
      </c>
      <c r="J127" s="24"/>
      <c r="K127" s="25" t="n">
        <v>0.1677</v>
      </c>
      <c r="L127" s="26" t="n">
        <v>0.3334</v>
      </c>
    </row>
    <row r="128" customFormat="false" ht="12.8" hidden="false" customHeight="false" outlineLevel="0" collapsed="false">
      <c r="A128" s="39" t="n">
        <v>41</v>
      </c>
      <c r="B128" s="39" t="s">
        <v>71</v>
      </c>
      <c r="C128" s="39" t="n">
        <v>0.1509</v>
      </c>
      <c r="D128" s="39" t="s">
        <v>57</v>
      </c>
      <c r="E128" s="6"/>
      <c r="F128" s="41"/>
      <c r="G128" s="47" t="s">
        <v>62</v>
      </c>
      <c r="H128" s="23" t="n">
        <v>0.1944</v>
      </c>
      <c r="I128" s="24" t="n">
        <v>0.2075</v>
      </c>
      <c r="J128" s="24" t="n">
        <v>0.2536</v>
      </c>
      <c r="K128" s="25" t="n">
        <v>0.1988</v>
      </c>
      <c r="L128" s="26" t="n">
        <v>0.8543</v>
      </c>
    </row>
    <row r="129" customFormat="false" ht="12.8" hidden="false" customHeight="false" outlineLevel="0" collapsed="false">
      <c r="A129" s="39" t="n">
        <v>41</v>
      </c>
      <c r="B129" s="39" t="s">
        <v>65</v>
      </c>
      <c r="C129" s="39" t="n">
        <v>0.1</v>
      </c>
      <c r="D129" s="39" t="s">
        <v>57</v>
      </c>
      <c r="E129" s="6"/>
      <c r="F129" s="41"/>
      <c r="G129" s="47" t="s">
        <v>63</v>
      </c>
      <c r="H129" s="23" t="n">
        <v>0.2063</v>
      </c>
      <c r="I129" s="24" t="n">
        <v>0.1701</v>
      </c>
      <c r="J129" s="24" t="n">
        <v>0.2152</v>
      </c>
      <c r="K129" s="25" t="n">
        <v>0.1852</v>
      </c>
      <c r="L129" s="26" t="n">
        <v>0.7768</v>
      </c>
    </row>
    <row r="130" customFormat="false" ht="12.8" hidden="false" customHeight="false" outlineLevel="0" collapsed="false">
      <c r="A130" s="39" t="n">
        <v>43</v>
      </c>
      <c r="B130" s="39" t="s">
        <v>62</v>
      </c>
      <c r="C130" s="39" t="n">
        <v>0.1919</v>
      </c>
      <c r="D130" s="39" t="s">
        <v>57</v>
      </c>
      <c r="E130" s="6"/>
      <c r="F130" s="41"/>
      <c r="G130" s="47" t="s">
        <v>56</v>
      </c>
      <c r="H130" s="23" t="n">
        <v>0.1856</v>
      </c>
      <c r="I130" s="24" t="n">
        <v>0.2043</v>
      </c>
      <c r="J130" s="24" t="n">
        <v>0.2337</v>
      </c>
      <c r="K130" s="25" t="n">
        <v>0.1901</v>
      </c>
      <c r="L130" s="26" t="n">
        <v>0.8137</v>
      </c>
    </row>
    <row r="131" customFormat="false" ht="12.8" hidden="false" customHeight="false" outlineLevel="0" collapsed="false">
      <c r="A131" s="39" t="n">
        <v>43</v>
      </c>
      <c r="B131" s="39" t="s">
        <v>61</v>
      </c>
      <c r="C131" s="39" t="n">
        <v>0.1853</v>
      </c>
      <c r="D131" s="39" t="s">
        <v>57</v>
      </c>
      <c r="E131" s="6"/>
      <c r="F131" s="48"/>
      <c r="G131" s="49" t="s">
        <v>65</v>
      </c>
      <c r="H131" s="27" t="n">
        <v>0.1</v>
      </c>
      <c r="I131" s="28" t="n">
        <v>0.1</v>
      </c>
      <c r="J131" s="28" t="n">
        <v>0.1</v>
      </c>
      <c r="K131" s="29" t="n">
        <v>0.1</v>
      </c>
      <c r="L131" s="30" t="n">
        <v>0.4</v>
      </c>
    </row>
    <row r="132" customFormat="false" ht="12.8" hidden="false" customHeight="false" outlineLevel="0" collapsed="false">
      <c r="A132" s="39" t="n">
        <v>43</v>
      </c>
      <c r="B132" s="39" t="s">
        <v>56</v>
      </c>
      <c r="C132" s="39" t="n">
        <v>0.1719</v>
      </c>
      <c r="D132" s="39" t="s">
        <v>57</v>
      </c>
      <c r="E132" s="6" t="n">
        <f aca="false">ROUNDDOWN(F132/2,0)+1</f>
        <v>14</v>
      </c>
      <c r="F132" s="40" t="n">
        <v>27</v>
      </c>
      <c r="G132" s="46" t="s">
        <v>64</v>
      </c>
      <c r="H132" s="19" t="n">
        <v>0.1502</v>
      </c>
      <c r="I132" s="19" t="n">
        <v>0.1667</v>
      </c>
      <c r="J132" s="19" t="n">
        <v>0.171</v>
      </c>
      <c r="K132" s="19" t="n">
        <v>0.1532</v>
      </c>
      <c r="L132" s="21" t="n">
        <v>0.6411</v>
      </c>
    </row>
    <row r="133" customFormat="false" ht="12.8" hidden="false" customHeight="false" outlineLevel="0" collapsed="false">
      <c r="A133" s="39" t="n">
        <v>43</v>
      </c>
      <c r="B133" s="39" t="s">
        <v>66</v>
      </c>
      <c r="C133" s="39" t="n">
        <v>0.1523</v>
      </c>
      <c r="D133" s="39" t="s">
        <v>57</v>
      </c>
      <c r="E133" s="6"/>
      <c r="F133" s="41"/>
      <c r="G133" s="47" t="s">
        <v>61</v>
      </c>
      <c r="H133" s="24" t="n">
        <v>0.1541</v>
      </c>
      <c r="I133" s="24" t="n">
        <v>0.1795</v>
      </c>
      <c r="J133" s="24" t="n">
        <v>0.175</v>
      </c>
      <c r="K133" s="24" t="n">
        <v>0.1549</v>
      </c>
      <c r="L133" s="26" t="n">
        <v>0.6635</v>
      </c>
    </row>
    <row r="134" customFormat="false" ht="12.8" hidden="false" customHeight="false" outlineLevel="0" collapsed="false">
      <c r="A134" s="39" t="n">
        <v>43</v>
      </c>
      <c r="B134" s="39" t="s">
        <v>63</v>
      </c>
      <c r="C134" s="39" t="n">
        <v>0.1514</v>
      </c>
      <c r="D134" s="39" t="s">
        <v>57</v>
      </c>
      <c r="E134" s="6"/>
      <c r="F134" s="41"/>
      <c r="G134" s="47" t="s">
        <v>62</v>
      </c>
      <c r="H134" s="24" t="n">
        <v>0.1855</v>
      </c>
      <c r="I134" s="24" t="n">
        <v>0.2043</v>
      </c>
      <c r="J134" s="24" t="n">
        <v>0.209</v>
      </c>
      <c r="K134" s="24" t="n">
        <v>0.1983</v>
      </c>
      <c r="L134" s="26" t="n">
        <v>0.7971</v>
      </c>
    </row>
    <row r="135" customFormat="false" ht="12.8" hidden="false" customHeight="false" outlineLevel="0" collapsed="false">
      <c r="A135" s="39" t="n">
        <v>43</v>
      </c>
      <c r="B135" s="39" t="s">
        <v>65</v>
      </c>
      <c r="C135" s="39" t="n">
        <v>0.1472</v>
      </c>
      <c r="D135" s="39" t="s">
        <v>57</v>
      </c>
      <c r="E135" s="6"/>
      <c r="F135" s="41"/>
      <c r="G135" s="47" t="s">
        <v>63</v>
      </c>
      <c r="H135" s="24" t="n">
        <v>0.1701</v>
      </c>
      <c r="I135" s="24" t="n">
        <v>0.1618</v>
      </c>
      <c r="J135" s="24" t="n">
        <v>0.1629</v>
      </c>
      <c r="K135" s="24" t="n">
        <v>0.1636</v>
      </c>
      <c r="L135" s="26" t="n">
        <v>0.6584</v>
      </c>
    </row>
    <row r="136" customFormat="false" ht="12.8" hidden="false" customHeight="false" outlineLevel="0" collapsed="false">
      <c r="A136" s="39" t="n">
        <v>45</v>
      </c>
      <c r="B136" s="39" t="s">
        <v>62</v>
      </c>
      <c r="C136" s="39" t="n">
        <v>0.2001</v>
      </c>
      <c r="D136" s="39" t="s">
        <v>57</v>
      </c>
      <c r="E136" s="6"/>
      <c r="F136" s="41"/>
      <c r="G136" s="47" t="s">
        <v>56</v>
      </c>
      <c r="H136" s="24" t="n">
        <v>0.1762</v>
      </c>
      <c r="I136" s="24" t="n">
        <v>0.1877</v>
      </c>
      <c r="J136" s="24" t="n">
        <v>0.1821</v>
      </c>
      <c r="K136" s="24" t="n">
        <v>0.1781</v>
      </c>
      <c r="L136" s="26" t="n">
        <v>0.7241</v>
      </c>
    </row>
    <row r="137" customFormat="false" ht="12.8" hidden="false" customHeight="false" outlineLevel="0" collapsed="false">
      <c r="A137" s="39" t="n">
        <v>45</v>
      </c>
      <c r="B137" s="39" t="s">
        <v>63</v>
      </c>
      <c r="C137" s="39" t="n">
        <v>0.1867</v>
      </c>
      <c r="D137" s="39" t="s">
        <v>57</v>
      </c>
      <c r="E137" s="6"/>
      <c r="F137" s="48"/>
      <c r="G137" s="49" t="s">
        <v>65</v>
      </c>
      <c r="H137" s="28" t="n">
        <v>0.1638</v>
      </c>
      <c r="I137" s="28" t="n">
        <v>0.1</v>
      </c>
      <c r="J137" s="28" t="n">
        <v>0.1</v>
      </c>
      <c r="K137" s="28" t="n">
        <v>0.1518</v>
      </c>
      <c r="L137" s="30" t="n">
        <v>0.5156</v>
      </c>
    </row>
    <row r="138" customFormat="false" ht="12.8" hidden="false" customHeight="false" outlineLevel="0" collapsed="false">
      <c r="A138" s="39" t="n">
        <v>45</v>
      </c>
      <c r="B138" s="39" t="s">
        <v>56</v>
      </c>
      <c r="C138" s="39" t="n">
        <v>0.1827</v>
      </c>
      <c r="D138" s="39" t="s">
        <v>57</v>
      </c>
      <c r="E138" s="6" t="n">
        <f aca="false">ROUNDDOWN(F138/2,0)+1</f>
        <v>15</v>
      </c>
      <c r="F138" s="40" t="n">
        <v>29</v>
      </c>
      <c r="G138" s="46" t="s">
        <v>70</v>
      </c>
      <c r="H138" s="18" t="n">
        <v>0.1595</v>
      </c>
      <c r="I138" s="19" t="n">
        <v>0.1492</v>
      </c>
      <c r="J138" s="19"/>
      <c r="K138" s="20"/>
      <c r="L138" s="21" t="n">
        <v>0.3087</v>
      </c>
    </row>
    <row r="139" customFormat="false" ht="12.8" hidden="false" customHeight="false" outlineLevel="0" collapsed="false">
      <c r="A139" s="39" t="n">
        <v>45</v>
      </c>
      <c r="B139" s="39" t="s">
        <v>61</v>
      </c>
      <c r="C139" s="39" t="n">
        <v>0.1781</v>
      </c>
      <c r="D139" s="39" t="s">
        <v>57</v>
      </c>
      <c r="E139" s="6"/>
      <c r="F139" s="41"/>
      <c r="G139" s="47" t="s">
        <v>69</v>
      </c>
      <c r="H139" s="23"/>
      <c r="I139" s="24" t="n">
        <v>0.1774</v>
      </c>
      <c r="J139" s="24" t="n">
        <v>0.1665</v>
      </c>
      <c r="K139" s="25" t="n">
        <v>0.1579</v>
      </c>
      <c r="L139" s="26" t="n">
        <v>0.5018</v>
      </c>
    </row>
    <row r="140" customFormat="false" ht="12.8" hidden="false" customHeight="false" outlineLevel="0" collapsed="false">
      <c r="A140" s="39" t="n">
        <v>45</v>
      </c>
      <c r="B140" s="39" t="s">
        <v>67</v>
      </c>
      <c r="C140" s="39" t="n">
        <v>0.1524</v>
      </c>
      <c r="D140" s="39" t="s">
        <v>57</v>
      </c>
      <c r="E140" s="6"/>
      <c r="F140" s="41"/>
      <c r="G140" s="47" t="s">
        <v>61</v>
      </c>
      <c r="H140" s="23" t="n">
        <v>0.175</v>
      </c>
      <c r="I140" s="24" t="n">
        <v>0.1668</v>
      </c>
      <c r="J140" s="24" t="n">
        <v>0.1727</v>
      </c>
      <c r="K140" s="25" t="n">
        <v>0.1805</v>
      </c>
      <c r="L140" s="26" t="n">
        <v>0.695</v>
      </c>
    </row>
    <row r="141" customFormat="false" ht="12.8" hidden="false" customHeight="false" outlineLevel="0" collapsed="false">
      <c r="A141" s="39" t="n">
        <v>45</v>
      </c>
      <c r="B141" s="39" t="s">
        <v>65</v>
      </c>
      <c r="C141" s="39" t="n">
        <v>0.1</v>
      </c>
      <c r="D141" s="39" t="s">
        <v>57</v>
      </c>
      <c r="E141" s="6"/>
      <c r="F141" s="41"/>
      <c r="G141" s="47" t="s">
        <v>66</v>
      </c>
      <c r="H141" s="23"/>
      <c r="I141" s="24"/>
      <c r="J141" s="24" t="n">
        <v>0.1507</v>
      </c>
      <c r="K141" s="25"/>
      <c r="L141" s="26" t="n">
        <v>0.1507</v>
      </c>
    </row>
    <row r="142" customFormat="false" ht="12.8" hidden="false" customHeight="false" outlineLevel="0" collapsed="false">
      <c r="A142" s="39" t="n">
        <v>47</v>
      </c>
      <c r="B142" s="39" t="s">
        <v>62</v>
      </c>
      <c r="C142" s="39" t="n">
        <v>0.1945</v>
      </c>
      <c r="D142" s="39" t="s">
        <v>57</v>
      </c>
      <c r="E142" s="6"/>
      <c r="F142" s="41"/>
      <c r="G142" s="47" t="s">
        <v>62</v>
      </c>
      <c r="H142" s="23" t="n">
        <v>0.2115</v>
      </c>
      <c r="I142" s="24" t="n">
        <v>0.2187</v>
      </c>
      <c r="J142" s="24" t="n">
        <v>0.223</v>
      </c>
      <c r="K142" s="25" t="n">
        <v>0.2167</v>
      </c>
      <c r="L142" s="26" t="n">
        <v>0.8699</v>
      </c>
    </row>
    <row r="143" customFormat="false" ht="12.8" hidden="false" customHeight="false" outlineLevel="0" collapsed="false">
      <c r="A143" s="39" t="n">
        <v>47</v>
      </c>
      <c r="B143" s="39" t="s">
        <v>56</v>
      </c>
      <c r="C143" s="39" t="n">
        <v>0.1896</v>
      </c>
      <c r="D143" s="39" t="s">
        <v>57</v>
      </c>
      <c r="E143" s="6"/>
      <c r="F143" s="41"/>
      <c r="G143" s="47" t="s">
        <v>63</v>
      </c>
      <c r="H143" s="23" t="n">
        <v>0.1782</v>
      </c>
      <c r="I143" s="24"/>
      <c r="J143" s="24"/>
      <c r="K143" s="25" t="n">
        <v>0.1459</v>
      </c>
      <c r="L143" s="26" t="n">
        <v>0.3241</v>
      </c>
    </row>
    <row r="144" customFormat="false" ht="12.8" hidden="false" customHeight="false" outlineLevel="0" collapsed="false">
      <c r="A144" s="39" t="n">
        <v>47</v>
      </c>
      <c r="B144" s="39" t="s">
        <v>63</v>
      </c>
      <c r="C144" s="39" t="n">
        <v>0.1828</v>
      </c>
      <c r="D144" s="39" t="s">
        <v>57</v>
      </c>
      <c r="E144" s="6"/>
      <c r="F144" s="41"/>
      <c r="G144" s="47" t="s">
        <v>56</v>
      </c>
      <c r="H144" s="23" t="n">
        <v>0.1757</v>
      </c>
      <c r="I144" s="24" t="n">
        <v>0.1879</v>
      </c>
      <c r="J144" s="24" t="n">
        <v>0.1872</v>
      </c>
      <c r="K144" s="25" t="n">
        <v>0.1991</v>
      </c>
      <c r="L144" s="26" t="n">
        <v>0.7499</v>
      </c>
    </row>
    <row r="145" customFormat="false" ht="12.8" hidden="false" customHeight="false" outlineLevel="0" collapsed="false">
      <c r="A145" s="39" t="n">
        <v>47</v>
      </c>
      <c r="B145" s="39" t="s">
        <v>61</v>
      </c>
      <c r="C145" s="39" t="n">
        <v>0.1796</v>
      </c>
      <c r="D145" s="39" t="s">
        <v>57</v>
      </c>
      <c r="E145" s="6"/>
      <c r="F145" s="48"/>
      <c r="G145" s="49" t="s">
        <v>65</v>
      </c>
      <c r="H145" s="27" t="n">
        <v>0.1</v>
      </c>
      <c r="I145" s="28" t="n">
        <v>0.1</v>
      </c>
      <c r="J145" s="28" t="n">
        <v>0.1</v>
      </c>
      <c r="K145" s="29" t="n">
        <v>0.1</v>
      </c>
      <c r="L145" s="30" t="n">
        <v>0.4</v>
      </c>
    </row>
    <row r="146" customFormat="false" ht="12.8" hidden="false" customHeight="false" outlineLevel="0" collapsed="false">
      <c r="A146" s="39" t="n">
        <v>47</v>
      </c>
      <c r="B146" s="39" t="s">
        <v>67</v>
      </c>
      <c r="C146" s="39" t="n">
        <v>0.1534</v>
      </c>
      <c r="D146" s="39" t="s">
        <v>57</v>
      </c>
      <c r="E146" s="6" t="n">
        <f aca="false">ROUNDDOWN(F146/2,0)+1</f>
        <v>16</v>
      </c>
      <c r="F146" s="40" t="n">
        <v>31</v>
      </c>
      <c r="G146" s="46" t="s">
        <v>67</v>
      </c>
      <c r="H146" s="19" t="n">
        <v>0.1637</v>
      </c>
      <c r="I146" s="19" t="n">
        <v>0.1642</v>
      </c>
      <c r="J146" s="19" t="n">
        <v>0.1717</v>
      </c>
      <c r="K146" s="19" t="n">
        <v>0.1555</v>
      </c>
      <c r="L146" s="21" t="n">
        <v>0.6551</v>
      </c>
    </row>
    <row r="147" customFormat="false" ht="12.8" hidden="false" customHeight="false" outlineLevel="0" collapsed="false">
      <c r="A147" s="39" t="n">
        <v>47</v>
      </c>
      <c r="B147" s="39" t="s">
        <v>65</v>
      </c>
      <c r="C147" s="39" t="n">
        <v>0.1</v>
      </c>
      <c r="D147" s="39" t="s">
        <v>57</v>
      </c>
      <c r="E147" s="6"/>
      <c r="F147" s="41"/>
      <c r="G147" s="47" t="s">
        <v>69</v>
      </c>
      <c r="H147" s="24"/>
      <c r="I147" s="24" t="n">
        <v>0.1684</v>
      </c>
      <c r="J147" s="24" t="n">
        <v>0.1618</v>
      </c>
      <c r="K147" s="24"/>
      <c r="L147" s="26" t="n">
        <v>0.3302</v>
      </c>
    </row>
    <row r="148" customFormat="false" ht="12.8" hidden="false" customHeight="false" outlineLevel="0" collapsed="false">
      <c r="A148" s="39" t="n">
        <v>49</v>
      </c>
      <c r="B148" s="39" t="s">
        <v>63</v>
      </c>
      <c r="C148" s="39" t="n">
        <v>0.1866</v>
      </c>
      <c r="D148" s="39" t="s">
        <v>57</v>
      </c>
      <c r="E148" s="6"/>
      <c r="F148" s="41"/>
      <c r="G148" s="47" t="s">
        <v>61</v>
      </c>
      <c r="H148" s="24" t="n">
        <v>0.1697</v>
      </c>
      <c r="I148" s="24" t="n">
        <v>0.1912</v>
      </c>
      <c r="J148" s="24" t="n">
        <v>0.1795</v>
      </c>
      <c r="K148" s="24" t="n">
        <v>0.1804</v>
      </c>
      <c r="L148" s="26" t="n">
        <v>0.7208</v>
      </c>
    </row>
    <row r="149" customFormat="false" ht="12.8" hidden="false" customHeight="false" outlineLevel="0" collapsed="false">
      <c r="A149" s="39" t="n">
        <v>49</v>
      </c>
      <c r="B149" s="39" t="s">
        <v>62</v>
      </c>
      <c r="C149" s="39" t="n">
        <v>0.1818</v>
      </c>
      <c r="D149" s="39" t="s">
        <v>57</v>
      </c>
      <c r="E149" s="6"/>
      <c r="F149" s="41"/>
      <c r="G149" s="47" t="s">
        <v>62</v>
      </c>
      <c r="H149" s="24" t="n">
        <v>0.2078</v>
      </c>
      <c r="I149" s="24" t="n">
        <v>0.1972</v>
      </c>
      <c r="J149" s="24" t="n">
        <v>0.2062</v>
      </c>
      <c r="K149" s="24" t="n">
        <v>0.2287</v>
      </c>
      <c r="L149" s="26" t="n">
        <v>0.8399</v>
      </c>
    </row>
    <row r="150" customFormat="false" ht="12.8" hidden="false" customHeight="false" outlineLevel="0" collapsed="false">
      <c r="A150" s="39" t="n">
        <v>49</v>
      </c>
      <c r="B150" s="39" t="s">
        <v>65</v>
      </c>
      <c r="C150" s="39" t="n">
        <v>0.1644</v>
      </c>
      <c r="D150" s="39" t="s">
        <v>57</v>
      </c>
      <c r="E150" s="6"/>
      <c r="F150" s="41"/>
      <c r="G150" s="47" t="s">
        <v>63</v>
      </c>
      <c r="H150" s="24" t="n">
        <v>0.1728</v>
      </c>
      <c r="I150" s="24"/>
      <c r="J150" s="24"/>
      <c r="K150" s="24" t="n">
        <v>0.1553</v>
      </c>
      <c r="L150" s="26" t="n">
        <v>0.3281</v>
      </c>
    </row>
    <row r="151" customFormat="false" ht="12.8" hidden="false" customHeight="false" outlineLevel="0" collapsed="false">
      <c r="A151" s="39" t="n">
        <v>49</v>
      </c>
      <c r="B151" s="39" t="s">
        <v>61</v>
      </c>
      <c r="C151" s="39" t="n">
        <v>0.1585</v>
      </c>
      <c r="D151" s="39" t="s">
        <v>57</v>
      </c>
      <c r="E151" s="6"/>
      <c r="F151" s="41"/>
      <c r="G151" s="47" t="s">
        <v>56</v>
      </c>
      <c r="H151" s="24" t="n">
        <v>0.186</v>
      </c>
      <c r="I151" s="24" t="n">
        <v>0.1791</v>
      </c>
      <c r="J151" s="24" t="n">
        <v>0.1808</v>
      </c>
      <c r="K151" s="24" t="n">
        <v>0.1801</v>
      </c>
      <c r="L151" s="26" t="n">
        <v>0.726</v>
      </c>
    </row>
    <row r="152" customFormat="false" ht="12.8" hidden="false" customHeight="false" outlineLevel="0" collapsed="false">
      <c r="A152" s="39" t="n">
        <v>49</v>
      </c>
      <c r="B152" s="39" t="s">
        <v>56</v>
      </c>
      <c r="C152" s="39" t="n">
        <v>0.1583</v>
      </c>
      <c r="D152" s="39" t="s">
        <v>57</v>
      </c>
      <c r="E152" s="6"/>
      <c r="F152" s="48"/>
      <c r="G152" s="49" t="s">
        <v>65</v>
      </c>
      <c r="H152" s="28" t="n">
        <v>0.1</v>
      </c>
      <c r="I152" s="28" t="n">
        <v>0.1</v>
      </c>
      <c r="J152" s="28" t="n">
        <v>0.1</v>
      </c>
      <c r="K152" s="28" t="n">
        <v>0.1</v>
      </c>
      <c r="L152" s="30" t="n">
        <v>0.4</v>
      </c>
    </row>
    <row r="153" customFormat="false" ht="12.8" hidden="false" customHeight="false" outlineLevel="0" collapsed="false">
      <c r="A153" s="39" t="n">
        <v>49</v>
      </c>
      <c r="B153" s="39" t="s">
        <v>66</v>
      </c>
      <c r="C153" s="39" t="n">
        <v>0.1504</v>
      </c>
      <c r="D153" s="39" t="s">
        <v>57</v>
      </c>
      <c r="E153" s="6" t="n">
        <f aca="false">ROUNDDOWN(F153/2,0)+1</f>
        <v>17</v>
      </c>
      <c r="F153" s="40" t="n">
        <v>33</v>
      </c>
      <c r="G153" s="46" t="s">
        <v>64</v>
      </c>
      <c r="H153" s="18"/>
      <c r="I153" s="19"/>
      <c r="J153" s="19"/>
      <c r="K153" s="20" t="n">
        <v>0.1647</v>
      </c>
      <c r="L153" s="21" t="n">
        <v>0.1647</v>
      </c>
    </row>
    <row r="154" customFormat="false" ht="12.8" hidden="false" customHeight="false" outlineLevel="0" collapsed="false">
      <c r="A154" s="39" t="n">
        <v>1</v>
      </c>
      <c r="B154" s="50" t="s">
        <v>56</v>
      </c>
      <c r="C154" s="39" t="n">
        <v>0.208</v>
      </c>
      <c r="D154" s="39" t="s">
        <v>58</v>
      </c>
      <c r="E154" s="6"/>
      <c r="F154" s="41"/>
      <c r="G154" s="47" t="s">
        <v>67</v>
      </c>
      <c r="H154" s="23" t="n">
        <v>0.1852</v>
      </c>
      <c r="I154" s="24" t="n">
        <v>0.1702</v>
      </c>
      <c r="J154" s="24" t="n">
        <v>0.1816</v>
      </c>
      <c r="K154" s="25" t="n">
        <v>0.1709</v>
      </c>
      <c r="L154" s="26" t="n">
        <v>0.7079</v>
      </c>
    </row>
    <row r="155" customFormat="false" ht="12.8" hidden="false" customHeight="false" outlineLevel="0" collapsed="false">
      <c r="A155" s="39" t="n">
        <v>1</v>
      </c>
      <c r="B155" s="50" t="s">
        <v>62</v>
      </c>
      <c r="C155" s="39" t="n">
        <v>0.1948</v>
      </c>
      <c r="D155" s="39" t="s">
        <v>58</v>
      </c>
      <c r="E155" s="6"/>
      <c r="F155" s="41"/>
      <c r="G155" s="47" t="s">
        <v>69</v>
      </c>
      <c r="H155" s="23"/>
      <c r="I155" s="24" t="n">
        <v>0.1588</v>
      </c>
      <c r="J155" s="24" t="n">
        <v>0.1572</v>
      </c>
      <c r="K155" s="25"/>
      <c r="L155" s="26" t="n">
        <v>0.316</v>
      </c>
    </row>
    <row r="156" customFormat="false" ht="12.8" hidden="false" customHeight="false" outlineLevel="0" collapsed="false">
      <c r="A156" s="39" t="n">
        <v>1</v>
      </c>
      <c r="B156" s="50" t="s">
        <v>61</v>
      </c>
      <c r="C156" s="39" t="n">
        <v>0.1792</v>
      </c>
      <c r="D156" s="39" t="s">
        <v>58</v>
      </c>
      <c r="E156" s="6"/>
      <c r="F156" s="41"/>
      <c r="G156" s="47" t="s">
        <v>61</v>
      </c>
      <c r="H156" s="23" t="n">
        <v>0.1614</v>
      </c>
      <c r="I156" s="24" t="n">
        <v>0.1649</v>
      </c>
      <c r="J156" s="24" t="n">
        <v>0.1559</v>
      </c>
      <c r="K156" s="25" t="n">
        <v>0.1704</v>
      </c>
      <c r="L156" s="26" t="n">
        <v>0.6526</v>
      </c>
    </row>
    <row r="157" customFormat="false" ht="12.8" hidden="false" customHeight="false" outlineLevel="0" collapsed="false">
      <c r="A157" s="39" t="n">
        <v>1</v>
      </c>
      <c r="B157" s="50" t="s">
        <v>63</v>
      </c>
      <c r="C157" s="39" t="n">
        <v>0.1612</v>
      </c>
      <c r="D157" s="39" t="s">
        <v>58</v>
      </c>
      <c r="E157" s="6"/>
      <c r="F157" s="41"/>
      <c r="G157" s="47" t="s">
        <v>62</v>
      </c>
      <c r="H157" s="23" t="n">
        <v>0.1888</v>
      </c>
      <c r="I157" s="24" t="n">
        <v>0.1933</v>
      </c>
      <c r="J157" s="24" t="n">
        <v>0.205</v>
      </c>
      <c r="K157" s="25" t="n">
        <v>0.193</v>
      </c>
      <c r="L157" s="26" t="n">
        <v>0.7801</v>
      </c>
    </row>
    <row r="158" customFormat="false" ht="12.8" hidden="false" customHeight="false" outlineLevel="0" collapsed="false">
      <c r="A158" s="39" t="n">
        <v>1</v>
      </c>
      <c r="B158" s="50" t="s">
        <v>69</v>
      </c>
      <c r="C158" s="39" t="n">
        <v>0.1568</v>
      </c>
      <c r="D158" s="39" t="s">
        <v>58</v>
      </c>
      <c r="E158" s="6"/>
      <c r="F158" s="41"/>
      <c r="G158" s="47" t="s">
        <v>63</v>
      </c>
      <c r="H158" s="23" t="n">
        <v>0.1595</v>
      </c>
      <c r="I158" s="24"/>
      <c r="J158" s="24"/>
      <c r="K158" s="25"/>
      <c r="L158" s="26" t="n">
        <v>0.1595</v>
      </c>
    </row>
    <row r="159" customFormat="false" ht="12.8" hidden="false" customHeight="false" outlineLevel="0" collapsed="false">
      <c r="A159" s="39" t="n">
        <v>1</v>
      </c>
      <c r="B159" s="50" t="s">
        <v>65</v>
      </c>
      <c r="C159" s="39" t="n">
        <v>0.1</v>
      </c>
      <c r="D159" s="39" t="s">
        <v>58</v>
      </c>
      <c r="E159" s="6"/>
      <c r="F159" s="41"/>
      <c r="G159" s="47" t="s">
        <v>56</v>
      </c>
      <c r="H159" s="23" t="n">
        <v>0.205</v>
      </c>
      <c r="I159" s="24" t="n">
        <v>0.2127</v>
      </c>
      <c r="J159" s="24" t="n">
        <v>0.2003</v>
      </c>
      <c r="K159" s="25" t="n">
        <v>0.201</v>
      </c>
      <c r="L159" s="26" t="n">
        <v>0.819</v>
      </c>
    </row>
    <row r="160" customFormat="false" ht="12.8" hidden="false" customHeight="false" outlineLevel="0" collapsed="false">
      <c r="A160" s="39" t="n">
        <v>3</v>
      </c>
      <c r="B160" s="50" t="s">
        <v>56</v>
      </c>
      <c r="C160" s="39" t="n">
        <v>0.1956</v>
      </c>
      <c r="D160" s="39" t="s">
        <v>58</v>
      </c>
      <c r="E160" s="6"/>
      <c r="F160" s="48"/>
      <c r="G160" s="49" t="s">
        <v>65</v>
      </c>
      <c r="H160" s="27" t="n">
        <v>0.1</v>
      </c>
      <c r="I160" s="28" t="n">
        <v>0.1</v>
      </c>
      <c r="J160" s="28" t="n">
        <v>0.1</v>
      </c>
      <c r="K160" s="29" t="n">
        <v>0.1</v>
      </c>
      <c r="L160" s="30" t="n">
        <v>0.4</v>
      </c>
    </row>
    <row r="161" customFormat="false" ht="12.8" hidden="false" customHeight="false" outlineLevel="0" collapsed="false">
      <c r="A161" s="39" t="n">
        <v>3</v>
      </c>
      <c r="B161" s="50" t="s">
        <v>62</v>
      </c>
      <c r="C161" s="39" t="n">
        <v>0.1878</v>
      </c>
      <c r="D161" s="39" t="s">
        <v>58</v>
      </c>
      <c r="E161" s="6" t="n">
        <f aca="false">ROUNDDOWN(F161/2,0)+1</f>
        <v>18</v>
      </c>
      <c r="F161" s="40" t="n">
        <v>35</v>
      </c>
      <c r="G161" s="46" t="s">
        <v>64</v>
      </c>
      <c r="H161" s="19" t="n">
        <v>0.1685</v>
      </c>
      <c r="I161" s="19"/>
      <c r="J161" s="19" t="n">
        <v>0.1525</v>
      </c>
      <c r="K161" s="19"/>
      <c r="L161" s="21" t="n">
        <v>0.321</v>
      </c>
    </row>
    <row r="162" customFormat="false" ht="12.8" hidden="false" customHeight="false" outlineLevel="0" collapsed="false">
      <c r="A162" s="39" t="n">
        <v>3</v>
      </c>
      <c r="B162" s="50" t="s">
        <v>63</v>
      </c>
      <c r="C162" s="39" t="n">
        <v>0.1832</v>
      </c>
      <c r="D162" s="39" t="s">
        <v>58</v>
      </c>
      <c r="E162" s="6"/>
      <c r="F162" s="41"/>
      <c r="G162" s="47" t="s">
        <v>69</v>
      </c>
      <c r="H162" s="24"/>
      <c r="I162" s="24" t="n">
        <v>0.1552</v>
      </c>
      <c r="J162" s="24" t="n">
        <v>0.1622</v>
      </c>
      <c r="K162" s="24"/>
      <c r="L162" s="26" t="n">
        <v>0.3174</v>
      </c>
    </row>
    <row r="163" customFormat="false" ht="12.8" hidden="false" customHeight="false" outlineLevel="0" collapsed="false">
      <c r="A163" s="39" t="n">
        <v>3</v>
      </c>
      <c r="B163" s="50" t="s">
        <v>61</v>
      </c>
      <c r="C163" s="39" t="n">
        <v>0.17</v>
      </c>
      <c r="D163" s="39" t="s">
        <v>58</v>
      </c>
      <c r="E163" s="6"/>
      <c r="F163" s="41"/>
      <c r="G163" s="47" t="s">
        <v>61</v>
      </c>
      <c r="H163" s="24" t="n">
        <v>0.1846</v>
      </c>
      <c r="I163" s="24" t="n">
        <v>0.1675</v>
      </c>
      <c r="J163" s="24" t="n">
        <v>0.1654</v>
      </c>
      <c r="K163" s="24" t="n">
        <v>0.1801</v>
      </c>
      <c r="L163" s="26" t="n">
        <v>0.6976</v>
      </c>
    </row>
    <row r="164" customFormat="false" ht="12.8" hidden="false" customHeight="false" outlineLevel="0" collapsed="false">
      <c r="A164" s="39" t="n">
        <v>3</v>
      </c>
      <c r="B164" s="50" t="s">
        <v>67</v>
      </c>
      <c r="C164" s="39" t="n">
        <v>0.1633</v>
      </c>
      <c r="D164" s="39" t="s">
        <v>58</v>
      </c>
      <c r="E164" s="6"/>
      <c r="F164" s="41"/>
      <c r="G164" s="47" t="s">
        <v>66</v>
      </c>
      <c r="H164" s="24"/>
      <c r="I164" s="24"/>
      <c r="J164" s="24"/>
      <c r="K164" s="24" t="n">
        <v>0.1495</v>
      </c>
      <c r="L164" s="26" t="n">
        <v>0.1495</v>
      </c>
    </row>
    <row r="165" customFormat="false" ht="12.8" hidden="false" customHeight="false" outlineLevel="0" collapsed="false">
      <c r="A165" s="39" t="n">
        <v>3</v>
      </c>
      <c r="B165" s="50" t="s">
        <v>65</v>
      </c>
      <c r="C165" s="39" t="n">
        <v>0.1</v>
      </c>
      <c r="D165" s="39" t="s">
        <v>58</v>
      </c>
      <c r="E165" s="6"/>
      <c r="F165" s="41"/>
      <c r="G165" s="47" t="s">
        <v>62</v>
      </c>
      <c r="H165" s="24" t="n">
        <v>0.1904</v>
      </c>
      <c r="I165" s="24" t="n">
        <v>0.2122</v>
      </c>
      <c r="J165" s="24" t="n">
        <v>0.2133</v>
      </c>
      <c r="K165" s="24" t="n">
        <v>0.2046</v>
      </c>
      <c r="L165" s="26" t="n">
        <v>0.8205</v>
      </c>
    </row>
    <row r="166" customFormat="false" ht="12.8" hidden="false" customHeight="false" outlineLevel="0" collapsed="false">
      <c r="A166" s="39" t="n">
        <v>5</v>
      </c>
      <c r="B166" s="50" t="s">
        <v>62</v>
      </c>
      <c r="C166" s="39" t="n">
        <v>0.2014</v>
      </c>
      <c r="D166" s="39" t="s">
        <v>58</v>
      </c>
      <c r="E166" s="6"/>
      <c r="F166" s="41"/>
      <c r="G166" s="47" t="s">
        <v>63</v>
      </c>
      <c r="H166" s="24" t="n">
        <v>0.1679</v>
      </c>
      <c r="I166" s="24" t="n">
        <v>0.1528</v>
      </c>
      <c r="J166" s="24"/>
      <c r="K166" s="24" t="n">
        <v>0.1625</v>
      </c>
      <c r="L166" s="26" t="n">
        <v>0.4832</v>
      </c>
    </row>
    <row r="167" customFormat="false" ht="12.8" hidden="false" customHeight="false" outlineLevel="0" collapsed="false">
      <c r="A167" s="39" t="n">
        <v>5</v>
      </c>
      <c r="B167" s="50" t="s">
        <v>56</v>
      </c>
      <c r="C167" s="39" t="n">
        <v>0.1902</v>
      </c>
      <c r="D167" s="39" t="s">
        <v>58</v>
      </c>
      <c r="E167" s="6"/>
      <c r="F167" s="41"/>
      <c r="G167" s="47" t="s">
        <v>56</v>
      </c>
      <c r="H167" s="24" t="n">
        <v>0.1886</v>
      </c>
      <c r="I167" s="24" t="n">
        <v>0.2122</v>
      </c>
      <c r="J167" s="24" t="n">
        <v>0.2066</v>
      </c>
      <c r="K167" s="24" t="n">
        <v>0.2032</v>
      </c>
      <c r="L167" s="26" t="n">
        <v>0.8106</v>
      </c>
    </row>
    <row r="168" customFormat="false" ht="12.8" hidden="false" customHeight="false" outlineLevel="0" collapsed="false">
      <c r="A168" s="39" t="n">
        <v>5</v>
      </c>
      <c r="B168" s="50" t="s">
        <v>61</v>
      </c>
      <c r="C168" s="39" t="n">
        <v>0.1751</v>
      </c>
      <c r="D168" s="39" t="s">
        <v>58</v>
      </c>
      <c r="E168" s="6"/>
      <c r="F168" s="48"/>
      <c r="G168" s="49" t="s">
        <v>65</v>
      </c>
      <c r="H168" s="28" t="n">
        <v>0.1</v>
      </c>
      <c r="I168" s="28" t="n">
        <v>0.1</v>
      </c>
      <c r="J168" s="28" t="n">
        <v>0.1</v>
      </c>
      <c r="K168" s="28" t="n">
        <v>0.1</v>
      </c>
      <c r="L168" s="30" t="n">
        <v>0.4</v>
      </c>
    </row>
    <row r="169" customFormat="false" ht="12.8" hidden="false" customHeight="false" outlineLevel="0" collapsed="false">
      <c r="A169" s="39" t="n">
        <v>5</v>
      </c>
      <c r="B169" s="50" t="s">
        <v>63</v>
      </c>
      <c r="C169" s="39" t="n">
        <v>0.1738</v>
      </c>
      <c r="D169" s="39" t="s">
        <v>58</v>
      </c>
      <c r="E169" s="6" t="n">
        <f aca="false">ROUNDDOWN(F169/2,0)+1</f>
        <v>19</v>
      </c>
      <c r="F169" s="40" t="n">
        <v>37</v>
      </c>
      <c r="G169" s="46" t="s">
        <v>64</v>
      </c>
      <c r="H169" s="18" t="n">
        <v>0.1573</v>
      </c>
      <c r="I169" s="19" t="n">
        <v>0.163</v>
      </c>
      <c r="J169" s="19" t="n">
        <v>0.1715</v>
      </c>
      <c r="K169" s="20" t="n">
        <v>0.1675</v>
      </c>
      <c r="L169" s="21" t="n">
        <v>0.6593</v>
      </c>
    </row>
    <row r="170" customFormat="false" ht="12.8" hidden="false" customHeight="false" outlineLevel="0" collapsed="false">
      <c r="A170" s="39" t="n">
        <v>5</v>
      </c>
      <c r="B170" s="50" t="s">
        <v>69</v>
      </c>
      <c r="C170" s="39" t="n">
        <v>0.1594</v>
      </c>
      <c r="D170" s="39" t="s">
        <v>58</v>
      </c>
      <c r="E170" s="6"/>
      <c r="F170" s="41"/>
      <c r="G170" s="47" t="s">
        <v>61</v>
      </c>
      <c r="H170" s="23" t="n">
        <v>0.1572</v>
      </c>
      <c r="I170" s="24" t="n">
        <v>0.1763</v>
      </c>
      <c r="J170" s="24" t="n">
        <v>0.1757</v>
      </c>
      <c r="K170" s="25" t="n">
        <v>0.1812</v>
      </c>
      <c r="L170" s="26" t="n">
        <v>0.6904</v>
      </c>
    </row>
    <row r="171" customFormat="false" ht="12.8" hidden="false" customHeight="false" outlineLevel="0" collapsed="false">
      <c r="A171" s="39" t="n">
        <v>5</v>
      </c>
      <c r="B171" s="50" t="s">
        <v>65</v>
      </c>
      <c r="C171" s="39" t="n">
        <v>0.1</v>
      </c>
      <c r="D171" s="39" t="s">
        <v>58</v>
      </c>
      <c r="E171" s="6"/>
      <c r="F171" s="41"/>
      <c r="G171" s="47" t="s">
        <v>66</v>
      </c>
      <c r="H171" s="23"/>
      <c r="I171" s="24"/>
      <c r="J171" s="24" t="n">
        <v>0.1588</v>
      </c>
      <c r="K171" s="25"/>
      <c r="L171" s="26" t="n">
        <v>0.1588</v>
      </c>
    </row>
    <row r="172" customFormat="false" ht="12.8" hidden="false" customHeight="false" outlineLevel="0" collapsed="false">
      <c r="A172" s="39" t="n">
        <v>7</v>
      </c>
      <c r="B172" s="50" t="s">
        <v>56</v>
      </c>
      <c r="C172" s="39" t="n">
        <v>0.2095</v>
      </c>
      <c r="D172" s="39" t="s">
        <v>58</v>
      </c>
      <c r="E172" s="6"/>
      <c r="F172" s="41"/>
      <c r="G172" s="47" t="s">
        <v>62</v>
      </c>
      <c r="H172" s="23" t="n">
        <v>0.1845</v>
      </c>
      <c r="I172" s="24" t="n">
        <v>0.2055</v>
      </c>
      <c r="J172" s="24" t="n">
        <v>0.2171</v>
      </c>
      <c r="K172" s="25" t="n">
        <v>0.1958</v>
      </c>
      <c r="L172" s="26" t="n">
        <v>0.8029</v>
      </c>
    </row>
    <row r="173" customFormat="false" ht="12.8" hidden="false" customHeight="false" outlineLevel="0" collapsed="false">
      <c r="A173" s="39" t="n">
        <v>7</v>
      </c>
      <c r="B173" s="50" t="s">
        <v>62</v>
      </c>
      <c r="C173" s="39" t="n">
        <v>0.2004</v>
      </c>
      <c r="D173" s="39" t="s">
        <v>58</v>
      </c>
      <c r="E173" s="6"/>
      <c r="F173" s="41"/>
      <c r="G173" s="47" t="s">
        <v>63</v>
      </c>
      <c r="H173" s="23" t="n">
        <v>0.1661</v>
      </c>
      <c r="I173" s="24" t="n">
        <v>0.1589</v>
      </c>
      <c r="J173" s="24"/>
      <c r="K173" s="25" t="n">
        <v>0.167</v>
      </c>
      <c r="L173" s="26" t="n">
        <v>0.492</v>
      </c>
    </row>
    <row r="174" customFormat="false" ht="12.8" hidden="false" customHeight="false" outlineLevel="0" collapsed="false">
      <c r="A174" s="39" t="n">
        <v>7</v>
      </c>
      <c r="B174" s="50" t="s">
        <v>63</v>
      </c>
      <c r="C174" s="39" t="n">
        <v>0.1761</v>
      </c>
      <c r="D174" s="39" t="s">
        <v>58</v>
      </c>
      <c r="E174" s="6"/>
      <c r="F174" s="41"/>
      <c r="G174" s="47" t="s">
        <v>56</v>
      </c>
      <c r="H174" s="23" t="n">
        <v>0.1785</v>
      </c>
      <c r="I174" s="24" t="n">
        <v>0.1963</v>
      </c>
      <c r="J174" s="24" t="n">
        <v>0.1769</v>
      </c>
      <c r="K174" s="25" t="n">
        <v>0.1886</v>
      </c>
      <c r="L174" s="26" t="n">
        <v>0.7403</v>
      </c>
    </row>
    <row r="175" customFormat="false" ht="12.8" hidden="false" customHeight="false" outlineLevel="0" collapsed="false">
      <c r="A175" s="39" t="n">
        <v>7</v>
      </c>
      <c r="B175" s="50" t="s">
        <v>61</v>
      </c>
      <c r="C175" s="39" t="n">
        <v>0.1678</v>
      </c>
      <c r="D175" s="39" t="s">
        <v>58</v>
      </c>
      <c r="E175" s="6"/>
      <c r="F175" s="48"/>
      <c r="G175" s="49" t="s">
        <v>65</v>
      </c>
      <c r="H175" s="27" t="n">
        <v>0.1564</v>
      </c>
      <c r="I175" s="28" t="n">
        <v>0.1</v>
      </c>
      <c r="J175" s="28" t="n">
        <v>0.1</v>
      </c>
      <c r="K175" s="29" t="n">
        <v>0.1</v>
      </c>
      <c r="L175" s="30" t="n">
        <v>0.4564</v>
      </c>
    </row>
    <row r="176" customFormat="false" ht="12.8" hidden="false" customHeight="false" outlineLevel="0" collapsed="false">
      <c r="A176" s="39" t="n">
        <v>7</v>
      </c>
      <c r="B176" s="50" t="s">
        <v>67</v>
      </c>
      <c r="C176" s="39" t="n">
        <v>0.1462</v>
      </c>
      <c r="D176" s="39" t="s">
        <v>58</v>
      </c>
      <c r="E176" s="6" t="n">
        <f aca="false">ROUNDDOWN(F176/2,0)+1</f>
        <v>20</v>
      </c>
      <c r="F176" s="40" t="n">
        <v>39</v>
      </c>
      <c r="G176" s="46" t="s">
        <v>64</v>
      </c>
      <c r="H176" s="19" t="n">
        <v>0.1479</v>
      </c>
      <c r="I176" s="19"/>
      <c r="J176" s="19" t="n">
        <v>0.1555</v>
      </c>
      <c r="K176" s="19"/>
      <c r="L176" s="21" t="n">
        <v>0.3034</v>
      </c>
    </row>
    <row r="177" customFormat="false" ht="12.8" hidden="false" customHeight="false" outlineLevel="0" collapsed="false">
      <c r="A177" s="39" t="n">
        <v>7</v>
      </c>
      <c r="B177" s="50" t="s">
        <v>65</v>
      </c>
      <c r="C177" s="39" t="n">
        <v>0.1</v>
      </c>
      <c r="D177" s="39" t="s">
        <v>58</v>
      </c>
      <c r="E177" s="6"/>
      <c r="F177" s="41"/>
      <c r="G177" s="47" t="s">
        <v>69</v>
      </c>
      <c r="H177" s="24"/>
      <c r="I177" s="24" t="n">
        <v>0.1573</v>
      </c>
      <c r="J177" s="24"/>
      <c r="K177" s="24"/>
      <c r="L177" s="26" t="n">
        <v>0.1573</v>
      </c>
    </row>
    <row r="178" customFormat="false" ht="12.8" hidden="false" customHeight="false" outlineLevel="0" collapsed="false">
      <c r="A178" s="39" t="n">
        <v>9</v>
      </c>
      <c r="B178" s="50" t="s">
        <v>62</v>
      </c>
      <c r="C178" s="39" t="n">
        <v>0.2042</v>
      </c>
      <c r="D178" s="39" t="s">
        <v>58</v>
      </c>
      <c r="E178" s="6"/>
      <c r="F178" s="41"/>
      <c r="G178" s="47" t="s">
        <v>61</v>
      </c>
      <c r="H178" s="24" t="n">
        <v>0.183</v>
      </c>
      <c r="I178" s="24" t="n">
        <v>0.1745</v>
      </c>
      <c r="J178" s="24" t="n">
        <v>0.1838</v>
      </c>
      <c r="K178" s="24" t="n">
        <v>0.1954</v>
      </c>
      <c r="L178" s="26" t="n">
        <v>0.7367</v>
      </c>
    </row>
    <row r="179" customFormat="false" ht="12.8" hidden="false" customHeight="false" outlineLevel="0" collapsed="false">
      <c r="A179" s="39" t="n">
        <v>9</v>
      </c>
      <c r="B179" s="50" t="s">
        <v>56</v>
      </c>
      <c r="C179" s="39" t="n">
        <v>0.1986</v>
      </c>
      <c r="D179" s="39" t="s">
        <v>58</v>
      </c>
      <c r="E179" s="6"/>
      <c r="F179" s="41"/>
      <c r="G179" s="47" t="s">
        <v>66</v>
      </c>
      <c r="H179" s="24"/>
      <c r="I179" s="24"/>
      <c r="J179" s="24"/>
      <c r="K179" s="24" t="n">
        <v>0.1557</v>
      </c>
      <c r="L179" s="26" t="n">
        <v>0.1557</v>
      </c>
    </row>
    <row r="180" customFormat="false" ht="12.8" hidden="false" customHeight="false" outlineLevel="0" collapsed="false">
      <c r="A180" s="39" t="n">
        <v>9</v>
      </c>
      <c r="B180" s="50" t="s">
        <v>69</v>
      </c>
      <c r="C180" s="39" t="n">
        <v>0.1683</v>
      </c>
      <c r="D180" s="39" t="s">
        <v>58</v>
      </c>
      <c r="E180" s="6"/>
      <c r="F180" s="41"/>
      <c r="G180" s="47" t="s">
        <v>62</v>
      </c>
      <c r="H180" s="24" t="n">
        <v>0.1778</v>
      </c>
      <c r="I180" s="24" t="n">
        <v>0.1957</v>
      </c>
      <c r="J180" s="24" t="n">
        <v>0.2136</v>
      </c>
      <c r="K180" s="24" t="n">
        <v>0.2076</v>
      </c>
      <c r="L180" s="26" t="n">
        <v>0.7947</v>
      </c>
    </row>
    <row r="181" customFormat="false" ht="12.8" hidden="false" customHeight="false" outlineLevel="0" collapsed="false">
      <c r="A181" s="39" t="n">
        <v>9</v>
      </c>
      <c r="B181" s="50" t="s">
        <v>61</v>
      </c>
      <c r="C181" s="39" t="n">
        <v>0.165</v>
      </c>
      <c r="D181" s="39" t="s">
        <v>58</v>
      </c>
      <c r="E181" s="6"/>
      <c r="F181" s="41"/>
      <c r="G181" s="47" t="s">
        <v>63</v>
      </c>
      <c r="H181" s="24" t="n">
        <v>0.1854</v>
      </c>
      <c r="I181" s="24" t="n">
        <v>0.1829</v>
      </c>
      <c r="J181" s="24" t="n">
        <v>0.1688</v>
      </c>
      <c r="K181" s="24" t="n">
        <v>0.1765</v>
      </c>
      <c r="L181" s="26" t="n">
        <v>0.7136</v>
      </c>
    </row>
    <row r="182" customFormat="false" ht="12.8" hidden="false" customHeight="false" outlineLevel="0" collapsed="false">
      <c r="A182" s="39" t="n">
        <v>9</v>
      </c>
      <c r="B182" s="50" t="s">
        <v>67</v>
      </c>
      <c r="C182" s="39" t="n">
        <v>0.1639</v>
      </c>
      <c r="D182" s="39" t="s">
        <v>58</v>
      </c>
      <c r="E182" s="6"/>
      <c r="F182" s="41"/>
      <c r="G182" s="47" t="s">
        <v>56</v>
      </c>
      <c r="H182" s="24" t="n">
        <v>0.1609</v>
      </c>
      <c r="I182" s="24" t="n">
        <v>0.1896</v>
      </c>
      <c r="J182" s="24" t="n">
        <v>0.1783</v>
      </c>
      <c r="K182" s="24" t="n">
        <v>0.1648</v>
      </c>
      <c r="L182" s="26" t="n">
        <v>0.6936</v>
      </c>
    </row>
    <row r="183" customFormat="false" ht="12.8" hidden="false" customHeight="false" outlineLevel="0" collapsed="false">
      <c r="A183" s="39" t="n">
        <v>9</v>
      </c>
      <c r="B183" s="50" t="s">
        <v>65</v>
      </c>
      <c r="C183" s="39" t="n">
        <v>0.1</v>
      </c>
      <c r="D183" s="39" t="s">
        <v>58</v>
      </c>
      <c r="E183" s="6"/>
      <c r="F183" s="48"/>
      <c r="G183" s="49" t="s">
        <v>65</v>
      </c>
      <c r="H183" s="28" t="n">
        <v>0.145</v>
      </c>
      <c r="I183" s="28" t="n">
        <v>0.1</v>
      </c>
      <c r="J183" s="28" t="n">
        <v>0.1</v>
      </c>
      <c r="K183" s="28" t="n">
        <v>0.1</v>
      </c>
      <c r="L183" s="30" t="n">
        <v>0.445</v>
      </c>
    </row>
    <row r="184" customFormat="false" ht="12.8" hidden="false" customHeight="false" outlineLevel="0" collapsed="false">
      <c r="A184" s="39" t="n">
        <v>11</v>
      </c>
      <c r="B184" s="50" t="s">
        <v>62</v>
      </c>
      <c r="C184" s="39" t="n">
        <v>0.2161</v>
      </c>
      <c r="D184" s="39" t="s">
        <v>58</v>
      </c>
      <c r="E184" s="6" t="n">
        <f aca="false">ROUNDDOWN(F184/2,0)+1</f>
        <v>21</v>
      </c>
      <c r="F184" s="40" t="n">
        <v>41</v>
      </c>
      <c r="G184" s="46" t="s">
        <v>69</v>
      </c>
      <c r="H184" s="18"/>
      <c r="I184" s="19" t="n">
        <v>0.1697</v>
      </c>
      <c r="J184" s="19" t="n">
        <v>0.1729</v>
      </c>
      <c r="K184" s="20" t="n">
        <v>0.1571</v>
      </c>
      <c r="L184" s="21" t="n">
        <v>0.4997</v>
      </c>
    </row>
    <row r="185" customFormat="false" ht="12.8" hidden="false" customHeight="false" outlineLevel="0" collapsed="false">
      <c r="A185" s="39" t="n">
        <v>11</v>
      </c>
      <c r="B185" s="50" t="s">
        <v>56</v>
      </c>
      <c r="C185" s="39" t="n">
        <v>0.185</v>
      </c>
      <c r="D185" s="39" t="s">
        <v>58</v>
      </c>
      <c r="E185" s="6"/>
      <c r="F185" s="41"/>
      <c r="G185" s="47" t="s">
        <v>61</v>
      </c>
      <c r="H185" s="23" t="n">
        <v>0.1871</v>
      </c>
      <c r="I185" s="24" t="n">
        <v>0.1787</v>
      </c>
      <c r="J185" s="24" t="n">
        <v>0.1807</v>
      </c>
      <c r="K185" s="25" t="n">
        <v>0.1825</v>
      </c>
      <c r="L185" s="26" t="n">
        <v>0.729</v>
      </c>
    </row>
    <row r="186" customFormat="false" ht="12.8" hidden="false" customHeight="false" outlineLevel="0" collapsed="false">
      <c r="A186" s="39" t="n">
        <v>11</v>
      </c>
      <c r="B186" s="50" t="s">
        <v>61</v>
      </c>
      <c r="C186" s="39" t="n">
        <v>0.1704</v>
      </c>
      <c r="D186" s="39" t="s">
        <v>58</v>
      </c>
      <c r="E186" s="6"/>
      <c r="F186" s="41"/>
      <c r="G186" s="47" t="s">
        <v>62</v>
      </c>
      <c r="H186" s="23" t="n">
        <v>0.2027</v>
      </c>
      <c r="I186" s="24" t="n">
        <v>0.1994</v>
      </c>
      <c r="J186" s="24" t="n">
        <v>0.205</v>
      </c>
      <c r="K186" s="25" t="n">
        <v>0.1997</v>
      </c>
      <c r="L186" s="26" t="n">
        <v>0.8068</v>
      </c>
    </row>
    <row r="187" customFormat="false" ht="12.8" hidden="false" customHeight="false" outlineLevel="0" collapsed="false">
      <c r="A187" s="39" t="n">
        <v>11</v>
      </c>
      <c r="B187" s="50" t="s">
        <v>69</v>
      </c>
      <c r="C187" s="39" t="n">
        <v>0.1656</v>
      </c>
      <c r="D187" s="39" t="s">
        <v>58</v>
      </c>
      <c r="E187" s="6"/>
      <c r="F187" s="41"/>
      <c r="G187" s="47" t="s">
        <v>71</v>
      </c>
      <c r="H187" s="23" t="n">
        <v>0.1509</v>
      </c>
      <c r="I187" s="24"/>
      <c r="J187" s="24"/>
      <c r="K187" s="25"/>
      <c r="L187" s="26" t="n">
        <v>0.1509</v>
      </c>
    </row>
    <row r="188" customFormat="false" ht="12.8" hidden="false" customHeight="false" outlineLevel="0" collapsed="false">
      <c r="A188" s="39" t="n">
        <v>11</v>
      </c>
      <c r="B188" s="50" t="s">
        <v>63</v>
      </c>
      <c r="C188" s="39" t="n">
        <v>0.1628</v>
      </c>
      <c r="D188" s="39" t="s">
        <v>58</v>
      </c>
      <c r="E188" s="6"/>
      <c r="F188" s="41"/>
      <c r="G188" s="47" t="s">
        <v>63</v>
      </c>
      <c r="H188" s="23" t="n">
        <v>0.1793</v>
      </c>
      <c r="I188" s="24" t="n">
        <v>0.1618</v>
      </c>
      <c r="J188" s="24" t="n">
        <v>0.16</v>
      </c>
      <c r="K188" s="25" t="n">
        <v>0.1753</v>
      </c>
      <c r="L188" s="26" t="n">
        <v>0.6764</v>
      </c>
    </row>
    <row r="189" customFormat="false" ht="12.8" hidden="false" customHeight="false" outlineLevel="0" collapsed="false">
      <c r="A189" s="39" t="n">
        <v>11</v>
      </c>
      <c r="B189" s="50" t="s">
        <v>65</v>
      </c>
      <c r="C189" s="39" t="n">
        <v>0.1</v>
      </c>
      <c r="D189" s="39" t="s">
        <v>58</v>
      </c>
      <c r="E189" s="6"/>
      <c r="F189" s="41"/>
      <c r="G189" s="47" t="s">
        <v>56</v>
      </c>
      <c r="H189" s="23" t="n">
        <v>0.18</v>
      </c>
      <c r="I189" s="24" t="n">
        <v>0.1904</v>
      </c>
      <c r="J189" s="24" t="n">
        <v>0.1814</v>
      </c>
      <c r="K189" s="25" t="n">
        <v>0.1854</v>
      </c>
      <c r="L189" s="26" t="n">
        <v>0.7372</v>
      </c>
    </row>
    <row r="190" customFormat="false" ht="12.8" hidden="false" customHeight="false" outlineLevel="0" collapsed="false">
      <c r="A190" s="39" t="n">
        <v>13</v>
      </c>
      <c r="B190" s="50" t="s">
        <v>62</v>
      </c>
      <c r="C190" s="39" t="n">
        <v>0.2161</v>
      </c>
      <c r="D190" s="39" t="s">
        <v>58</v>
      </c>
      <c r="E190" s="6"/>
      <c r="F190" s="48"/>
      <c r="G190" s="49" t="s">
        <v>65</v>
      </c>
      <c r="H190" s="27" t="n">
        <v>0.1</v>
      </c>
      <c r="I190" s="28" t="n">
        <v>0.1</v>
      </c>
      <c r="J190" s="28" t="n">
        <v>0.1</v>
      </c>
      <c r="K190" s="29" t="n">
        <v>0.1</v>
      </c>
      <c r="L190" s="30" t="n">
        <v>0.4</v>
      </c>
    </row>
    <row r="191" customFormat="false" ht="12.8" hidden="false" customHeight="false" outlineLevel="0" collapsed="false">
      <c r="A191" s="39" t="n">
        <v>13</v>
      </c>
      <c r="B191" s="50" t="s">
        <v>56</v>
      </c>
      <c r="C191" s="39" t="n">
        <v>0.1946</v>
      </c>
      <c r="D191" s="39" t="s">
        <v>58</v>
      </c>
      <c r="E191" s="6" t="n">
        <f aca="false">ROUNDDOWN(F191/2,0)+1</f>
        <v>22</v>
      </c>
      <c r="F191" s="40" t="n">
        <v>43</v>
      </c>
      <c r="G191" s="46" t="s">
        <v>70</v>
      </c>
      <c r="H191" s="19"/>
      <c r="I191" s="19" t="n">
        <v>0.158</v>
      </c>
      <c r="J191" s="19"/>
      <c r="K191" s="19"/>
      <c r="L191" s="21" t="n">
        <v>0.158</v>
      </c>
    </row>
    <row r="192" customFormat="false" ht="12.8" hidden="false" customHeight="false" outlineLevel="0" collapsed="false">
      <c r="A192" s="39" t="n">
        <v>13</v>
      </c>
      <c r="B192" s="50" t="s">
        <v>61</v>
      </c>
      <c r="C192" s="39" t="n">
        <v>0.1932</v>
      </c>
      <c r="D192" s="39" t="s">
        <v>58</v>
      </c>
      <c r="E192" s="6"/>
      <c r="F192" s="41"/>
      <c r="G192" s="47" t="s">
        <v>69</v>
      </c>
      <c r="H192" s="24"/>
      <c r="I192" s="24" t="n">
        <v>0.1694</v>
      </c>
      <c r="J192" s="24" t="n">
        <v>0.1701</v>
      </c>
      <c r="K192" s="24"/>
      <c r="L192" s="26" t="n">
        <v>0.3395</v>
      </c>
    </row>
    <row r="193" customFormat="false" ht="12.8" hidden="false" customHeight="false" outlineLevel="0" collapsed="false">
      <c r="A193" s="39" t="n">
        <v>13</v>
      </c>
      <c r="B193" s="50" t="s">
        <v>69</v>
      </c>
      <c r="C193" s="39" t="n">
        <v>0.1534</v>
      </c>
      <c r="D193" s="39" t="s">
        <v>58</v>
      </c>
      <c r="E193" s="6"/>
      <c r="F193" s="41"/>
      <c r="G193" s="47" t="s">
        <v>61</v>
      </c>
      <c r="H193" s="24" t="n">
        <v>0.1853</v>
      </c>
      <c r="I193" s="24" t="n">
        <v>0.2122</v>
      </c>
      <c r="J193" s="24" t="n">
        <v>0.1899</v>
      </c>
      <c r="K193" s="24" t="n">
        <v>0.173</v>
      </c>
      <c r="L193" s="26" t="n">
        <v>0.7604</v>
      </c>
    </row>
    <row r="194" customFormat="false" ht="12.8" hidden="false" customHeight="false" outlineLevel="0" collapsed="false">
      <c r="A194" s="39" t="n">
        <v>13</v>
      </c>
      <c r="B194" s="50" t="s">
        <v>67</v>
      </c>
      <c r="C194" s="39" t="n">
        <v>0.1426</v>
      </c>
      <c r="D194" s="39" t="s">
        <v>58</v>
      </c>
      <c r="E194" s="6"/>
      <c r="F194" s="41"/>
      <c r="G194" s="47" t="s">
        <v>66</v>
      </c>
      <c r="H194" s="24" t="n">
        <v>0.1523</v>
      </c>
      <c r="I194" s="24"/>
      <c r="J194" s="24" t="n">
        <v>0.174</v>
      </c>
      <c r="K194" s="24"/>
      <c r="L194" s="26" t="n">
        <v>0.3263</v>
      </c>
    </row>
    <row r="195" customFormat="false" ht="12.8" hidden="false" customHeight="false" outlineLevel="0" collapsed="false">
      <c r="A195" s="39" t="n">
        <v>13</v>
      </c>
      <c r="B195" s="50" t="s">
        <v>65</v>
      </c>
      <c r="C195" s="39" t="n">
        <v>0.1</v>
      </c>
      <c r="D195" s="39" t="s">
        <v>58</v>
      </c>
      <c r="E195" s="6"/>
      <c r="F195" s="41"/>
      <c r="G195" s="47" t="s">
        <v>62</v>
      </c>
      <c r="H195" s="24" t="n">
        <v>0.1919</v>
      </c>
      <c r="I195" s="24" t="n">
        <v>0.197</v>
      </c>
      <c r="J195" s="24" t="n">
        <v>0.1985</v>
      </c>
      <c r="K195" s="24" t="n">
        <v>0.1901</v>
      </c>
      <c r="L195" s="26" t="n">
        <v>0.7775</v>
      </c>
    </row>
    <row r="196" customFormat="false" ht="12.8" hidden="false" customHeight="false" outlineLevel="0" collapsed="false">
      <c r="A196" s="39" t="n">
        <v>15</v>
      </c>
      <c r="B196" s="50" t="s">
        <v>62</v>
      </c>
      <c r="C196" s="39" t="n">
        <v>0.2051</v>
      </c>
      <c r="D196" s="39" t="s">
        <v>58</v>
      </c>
      <c r="E196" s="6"/>
      <c r="F196" s="41"/>
      <c r="G196" s="47" t="s">
        <v>71</v>
      </c>
      <c r="H196" s="24"/>
      <c r="I196" s="24"/>
      <c r="J196" s="24"/>
      <c r="K196" s="24" t="n">
        <v>0.1574</v>
      </c>
      <c r="L196" s="26" t="n">
        <v>0.1574</v>
      </c>
    </row>
    <row r="197" customFormat="false" ht="12.8" hidden="false" customHeight="false" outlineLevel="0" collapsed="false">
      <c r="A197" s="39" t="n">
        <v>15</v>
      </c>
      <c r="B197" s="50" t="s">
        <v>61</v>
      </c>
      <c r="C197" s="39" t="n">
        <v>0.1829</v>
      </c>
      <c r="D197" s="39" t="s">
        <v>58</v>
      </c>
      <c r="E197" s="6"/>
      <c r="F197" s="41"/>
      <c r="G197" s="47" t="s">
        <v>63</v>
      </c>
      <c r="H197" s="24" t="n">
        <v>0.1514</v>
      </c>
      <c r="I197" s="24"/>
      <c r="J197" s="24"/>
      <c r="K197" s="24" t="n">
        <v>0.1539</v>
      </c>
      <c r="L197" s="26" t="n">
        <v>0.3053</v>
      </c>
    </row>
    <row r="198" customFormat="false" ht="12.8" hidden="false" customHeight="false" outlineLevel="0" collapsed="false">
      <c r="A198" s="39" t="n">
        <v>15</v>
      </c>
      <c r="B198" s="50" t="s">
        <v>56</v>
      </c>
      <c r="C198" s="39" t="n">
        <v>0.1817</v>
      </c>
      <c r="D198" s="39" t="s">
        <v>58</v>
      </c>
      <c r="E198" s="6"/>
      <c r="F198" s="41"/>
      <c r="G198" s="47" t="s">
        <v>56</v>
      </c>
      <c r="H198" s="24" t="n">
        <v>0.1719</v>
      </c>
      <c r="I198" s="24" t="n">
        <v>0.1634</v>
      </c>
      <c r="J198" s="24" t="n">
        <v>0.1676</v>
      </c>
      <c r="K198" s="24" t="n">
        <v>0.1791</v>
      </c>
      <c r="L198" s="26" t="n">
        <v>0.682</v>
      </c>
    </row>
    <row r="199" customFormat="false" ht="12.8" hidden="false" customHeight="false" outlineLevel="0" collapsed="false">
      <c r="A199" s="39" t="n">
        <v>15</v>
      </c>
      <c r="B199" s="50" t="s">
        <v>69</v>
      </c>
      <c r="C199" s="39" t="n">
        <v>0.1678</v>
      </c>
      <c r="D199" s="39" t="s">
        <v>58</v>
      </c>
      <c r="E199" s="6"/>
      <c r="F199" s="48"/>
      <c r="G199" s="49" t="s">
        <v>65</v>
      </c>
      <c r="H199" s="28" t="n">
        <v>0.1472</v>
      </c>
      <c r="I199" s="28" t="n">
        <v>0.1</v>
      </c>
      <c r="J199" s="28" t="n">
        <v>0.1</v>
      </c>
      <c r="K199" s="28" t="n">
        <v>0.1465</v>
      </c>
      <c r="L199" s="30" t="n">
        <v>0.4937</v>
      </c>
    </row>
    <row r="200" customFormat="false" ht="12.8" hidden="false" customHeight="false" outlineLevel="0" collapsed="false">
      <c r="A200" s="39" t="n">
        <v>15</v>
      </c>
      <c r="B200" s="50" t="s">
        <v>64</v>
      </c>
      <c r="C200" s="39" t="n">
        <v>0.1625</v>
      </c>
      <c r="D200" s="39" t="s">
        <v>58</v>
      </c>
      <c r="E200" s="6" t="n">
        <f aca="false">ROUNDDOWN(F200/2,0)+1</f>
        <v>23</v>
      </c>
      <c r="F200" s="40" t="n">
        <v>45</v>
      </c>
      <c r="G200" s="46" t="s">
        <v>64</v>
      </c>
      <c r="H200" s="18"/>
      <c r="I200" s="19"/>
      <c r="J200" s="19"/>
      <c r="K200" s="20" t="n">
        <v>0.1544</v>
      </c>
      <c r="L200" s="21" t="n">
        <v>0.1544</v>
      </c>
    </row>
    <row r="201" customFormat="false" ht="12.8" hidden="false" customHeight="false" outlineLevel="0" collapsed="false">
      <c r="A201" s="39" t="n">
        <v>15</v>
      </c>
      <c r="B201" s="50" t="s">
        <v>65</v>
      </c>
      <c r="C201" s="39" t="n">
        <v>0.1</v>
      </c>
      <c r="D201" s="39" t="s">
        <v>58</v>
      </c>
      <c r="E201" s="6"/>
      <c r="F201" s="41"/>
      <c r="G201" s="47" t="s">
        <v>67</v>
      </c>
      <c r="H201" s="23" t="n">
        <v>0.1524</v>
      </c>
      <c r="I201" s="24"/>
      <c r="J201" s="24"/>
      <c r="K201" s="25"/>
      <c r="L201" s="26" t="n">
        <v>0.1524</v>
      </c>
    </row>
    <row r="202" customFormat="false" ht="12.8" hidden="false" customHeight="false" outlineLevel="0" collapsed="false">
      <c r="A202" s="39" t="n">
        <v>17</v>
      </c>
      <c r="B202" s="50" t="s">
        <v>56</v>
      </c>
      <c r="C202" s="39" t="n">
        <v>0.1992</v>
      </c>
      <c r="D202" s="39" t="s">
        <v>58</v>
      </c>
      <c r="E202" s="6"/>
      <c r="F202" s="41"/>
      <c r="G202" s="47" t="s">
        <v>61</v>
      </c>
      <c r="H202" s="23" t="n">
        <v>0.1781</v>
      </c>
      <c r="I202" s="24"/>
      <c r="J202" s="24"/>
      <c r="K202" s="25" t="n">
        <v>0.184</v>
      </c>
      <c r="L202" s="26" t="n">
        <v>0.3621</v>
      </c>
    </row>
    <row r="203" customFormat="false" ht="12.8" hidden="false" customHeight="false" outlineLevel="0" collapsed="false">
      <c r="A203" s="39" t="n">
        <v>17</v>
      </c>
      <c r="B203" s="50" t="s">
        <v>62</v>
      </c>
      <c r="C203" s="39" t="n">
        <v>0.1863</v>
      </c>
      <c r="D203" s="39" t="s">
        <v>58</v>
      </c>
      <c r="E203" s="6"/>
      <c r="F203" s="41"/>
      <c r="G203" s="47" t="s">
        <v>62</v>
      </c>
      <c r="H203" s="23" t="n">
        <v>0.2001</v>
      </c>
      <c r="I203" s="24" t="n">
        <v>0.4586</v>
      </c>
      <c r="J203" s="24" t="n">
        <v>0.3276</v>
      </c>
      <c r="K203" s="25" t="n">
        <v>0.1934</v>
      </c>
      <c r="L203" s="26" t="n">
        <v>1.1797</v>
      </c>
    </row>
    <row r="204" customFormat="false" ht="12.8" hidden="false" customHeight="false" outlineLevel="0" collapsed="false">
      <c r="A204" s="39" t="n">
        <v>17</v>
      </c>
      <c r="B204" s="50" t="s">
        <v>61</v>
      </c>
      <c r="C204" s="39" t="n">
        <v>0.1626</v>
      </c>
      <c r="D204" s="39" t="s">
        <v>58</v>
      </c>
      <c r="E204" s="6"/>
      <c r="F204" s="41"/>
      <c r="G204" s="47" t="s">
        <v>63</v>
      </c>
      <c r="H204" s="23" t="n">
        <v>0.1867</v>
      </c>
      <c r="I204" s="24"/>
      <c r="J204" s="24" t="n">
        <v>0.279</v>
      </c>
      <c r="K204" s="25" t="n">
        <v>0.176</v>
      </c>
      <c r="L204" s="26" t="n">
        <v>0.6417</v>
      </c>
    </row>
    <row r="205" customFormat="false" ht="12.8" hidden="false" customHeight="false" outlineLevel="0" collapsed="false">
      <c r="A205" s="39" t="n">
        <v>17</v>
      </c>
      <c r="B205" s="50" t="s">
        <v>69</v>
      </c>
      <c r="C205" s="39" t="n">
        <v>0.1605</v>
      </c>
      <c r="D205" s="39" t="s">
        <v>58</v>
      </c>
      <c r="E205" s="6"/>
      <c r="F205" s="41"/>
      <c r="G205" s="47" t="s">
        <v>56</v>
      </c>
      <c r="H205" s="23" t="n">
        <v>0.1827</v>
      </c>
      <c r="I205" s="24" t="n">
        <v>0.4414</v>
      </c>
      <c r="J205" s="24" t="n">
        <v>0.2935</v>
      </c>
      <c r="K205" s="25" t="n">
        <v>0.1922</v>
      </c>
      <c r="L205" s="26" t="n">
        <v>1.1098</v>
      </c>
    </row>
    <row r="206" customFormat="false" ht="12.8" hidden="false" customHeight="false" outlineLevel="0" collapsed="false">
      <c r="A206" s="39" t="n">
        <v>17</v>
      </c>
      <c r="B206" s="50" t="s">
        <v>70</v>
      </c>
      <c r="C206" s="39" t="n">
        <v>0.148</v>
      </c>
      <c r="D206" s="39" t="s">
        <v>58</v>
      </c>
      <c r="E206" s="6"/>
      <c r="F206" s="48"/>
      <c r="G206" s="49" t="s">
        <v>65</v>
      </c>
      <c r="H206" s="27" t="n">
        <v>0.1</v>
      </c>
      <c r="I206" s="28" t="n">
        <v>0.1</v>
      </c>
      <c r="J206" s="28" t="n">
        <v>0.1</v>
      </c>
      <c r="K206" s="29" t="n">
        <v>0.1</v>
      </c>
      <c r="L206" s="30" t="n">
        <v>0.4</v>
      </c>
    </row>
    <row r="207" customFormat="false" ht="12.8" hidden="false" customHeight="false" outlineLevel="0" collapsed="false">
      <c r="A207" s="39" t="n">
        <v>17</v>
      </c>
      <c r="B207" s="50" t="s">
        <v>65</v>
      </c>
      <c r="C207" s="39" t="n">
        <v>0.1435</v>
      </c>
      <c r="D207" s="39" t="s">
        <v>58</v>
      </c>
      <c r="E207" s="6" t="n">
        <f aca="false">ROUNDDOWN(F207/2,0)+1</f>
        <v>24</v>
      </c>
      <c r="F207" s="40" t="n">
        <v>47</v>
      </c>
      <c r="G207" s="46" t="s">
        <v>67</v>
      </c>
      <c r="H207" s="19" t="n">
        <v>0.1534</v>
      </c>
      <c r="I207" s="19" t="n">
        <v>0.2132</v>
      </c>
      <c r="J207" s="19" t="n">
        <v>0.1741</v>
      </c>
      <c r="K207" s="19" t="n">
        <v>0.1681</v>
      </c>
      <c r="L207" s="21" t="n">
        <v>0.7088</v>
      </c>
    </row>
    <row r="208" customFormat="false" ht="12.8" hidden="false" customHeight="false" outlineLevel="0" collapsed="false">
      <c r="A208" s="39" t="n">
        <v>19</v>
      </c>
      <c r="B208" s="50" t="s">
        <v>62</v>
      </c>
      <c r="C208" s="39" t="n">
        <v>0.2012</v>
      </c>
      <c r="D208" s="39" t="s">
        <v>58</v>
      </c>
      <c r="E208" s="6"/>
      <c r="F208" s="41"/>
      <c r="G208" s="47" t="s">
        <v>69</v>
      </c>
      <c r="H208" s="24"/>
      <c r="I208" s="24" t="n">
        <v>0.1989</v>
      </c>
      <c r="J208" s="24" t="n">
        <v>0.1745</v>
      </c>
      <c r="K208" s="24"/>
      <c r="L208" s="26" t="n">
        <v>0.3734</v>
      </c>
    </row>
    <row r="209" customFormat="false" ht="12.8" hidden="false" customHeight="false" outlineLevel="0" collapsed="false">
      <c r="A209" s="39" t="n">
        <v>19</v>
      </c>
      <c r="B209" s="50" t="s">
        <v>56</v>
      </c>
      <c r="C209" s="39" t="n">
        <v>0.1861</v>
      </c>
      <c r="D209" s="39" t="s">
        <v>58</v>
      </c>
      <c r="E209" s="6"/>
      <c r="F209" s="41"/>
      <c r="G209" s="47" t="s">
        <v>61</v>
      </c>
      <c r="H209" s="24" t="n">
        <v>0.1796</v>
      </c>
      <c r="I209" s="24" t="n">
        <v>0.231</v>
      </c>
      <c r="J209" s="24"/>
      <c r="K209" s="24" t="n">
        <v>0.1849</v>
      </c>
      <c r="L209" s="26" t="n">
        <v>0.5955</v>
      </c>
    </row>
    <row r="210" customFormat="false" ht="12.8" hidden="false" customHeight="false" outlineLevel="0" collapsed="false">
      <c r="A210" s="39" t="n">
        <v>19</v>
      </c>
      <c r="B210" s="50" t="s">
        <v>69</v>
      </c>
      <c r="C210" s="39" t="n">
        <v>0.1752</v>
      </c>
      <c r="D210" s="39" t="s">
        <v>58</v>
      </c>
      <c r="E210" s="6"/>
      <c r="F210" s="41"/>
      <c r="G210" s="47" t="s">
        <v>62</v>
      </c>
      <c r="H210" s="24" t="n">
        <v>0.1945</v>
      </c>
      <c r="I210" s="24" t="n">
        <v>0.2568</v>
      </c>
      <c r="J210" s="24" t="n">
        <v>0.2004</v>
      </c>
      <c r="K210" s="24" t="n">
        <v>0.2033</v>
      </c>
      <c r="L210" s="26" t="n">
        <v>0.855</v>
      </c>
    </row>
    <row r="211" customFormat="false" ht="12.8" hidden="false" customHeight="false" outlineLevel="0" collapsed="false">
      <c r="A211" s="39" t="n">
        <v>19</v>
      </c>
      <c r="B211" s="50" t="s">
        <v>63</v>
      </c>
      <c r="C211" s="39" t="n">
        <v>0.1695</v>
      </c>
      <c r="D211" s="39" t="s">
        <v>58</v>
      </c>
      <c r="E211" s="6"/>
      <c r="F211" s="41"/>
      <c r="G211" s="47" t="s">
        <v>63</v>
      </c>
      <c r="H211" s="24" t="n">
        <v>0.1828</v>
      </c>
      <c r="I211" s="24"/>
      <c r="J211" s="24" t="n">
        <v>0.1739</v>
      </c>
      <c r="K211" s="24" t="n">
        <v>0.1548</v>
      </c>
      <c r="L211" s="26" t="n">
        <v>0.5115</v>
      </c>
    </row>
    <row r="212" customFormat="false" ht="12.8" hidden="false" customHeight="false" outlineLevel="0" collapsed="false">
      <c r="A212" s="39" t="n">
        <v>19</v>
      </c>
      <c r="B212" s="50" t="s">
        <v>61</v>
      </c>
      <c r="C212" s="39" t="n">
        <v>0.168</v>
      </c>
      <c r="D212" s="39" t="s">
        <v>58</v>
      </c>
      <c r="E212" s="6"/>
      <c r="F212" s="41"/>
      <c r="G212" s="47" t="s">
        <v>56</v>
      </c>
      <c r="H212" s="24" t="n">
        <v>0.1896</v>
      </c>
      <c r="I212" s="24"/>
      <c r="J212" s="24" t="n">
        <v>0.1772</v>
      </c>
      <c r="K212" s="24" t="n">
        <v>0.1888</v>
      </c>
      <c r="L212" s="26" t="n">
        <v>0.5556</v>
      </c>
    </row>
    <row r="213" customFormat="false" ht="12.8" hidden="false" customHeight="false" outlineLevel="0" collapsed="false">
      <c r="A213" s="39" t="n">
        <v>19</v>
      </c>
      <c r="B213" s="50" t="s">
        <v>65</v>
      </c>
      <c r="C213" s="39" t="n">
        <v>0.1</v>
      </c>
      <c r="D213" s="39" t="s">
        <v>58</v>
      </c>
      <c r="E213" s="6"/>
      <c r="F213" s="48"/>
      <c r="G213" s="49" t="s">
        <v>65</v>
      </c>
      <c r="H213" s="28" t="n">
        <v>0.1</v>
      </c>
      <c r="I213" s="28" t="n">
        <v>0.1</v>
      </c>
      <c r="J213" s="28" t="n">
        <v>0.1</v>
      </c>
      <c r="K213" s="28" t="n">
        <v>0.1</v>
      </c>
      <c r="L213" s="30" t="n">
        <v>0.4</v>
      </c>
    </row>
    <row r="214" customFormat="false" ht="12.8" hidden="false" customHeight="false" outlineLevel="0" collapsed="false">
      <c r="A214" s="39" t="n">
        <v>21</v>
      </c>
      <c r="B214" s="50" t="s">
        <v>56</v>
      </c>
      <c r="C214" s="39" t="n">
        <v>0.2117</v>
      </c>
      <c r="D214" s="39" t="s">
        <v>58</v>
      </c>
      <c r="E214" s="6" t="n">
        <f aca="false">ROUNDDOWN(F214/2,0)+1</f>
        <v>25</v>
      </c>
      <c r="F214" s="40" t="n">
        <v>49</v>
      </c>
      <c r="G214" s="46" t="s">
        <v>67</v>
      </c>
      <c r="H214" s="18"/>
      <c r="I214" s="19"/>
      <c r="J214" s="19"/>
      <c r="K214" s="20" t="n">
        <v>0.1647</v>
      </c>
      <c r="L214" s="21" t="n">
        <v>0.1647</v>
      </c>
    </row>
    <row r="215" customFormat="false" ht="12.8" hidden="false" customHeight="false" outlineLevel="0" collapsed="false">
      <c r="A215" s="39" t="n">
        <v>21</v>
      </c>
      <c r="B215" s="50" t="s">
        <v>62</v>
      </c>
      <c r="C215" s="39" t="n">
        <v>0.1888</v>
      </c>
      <c r="D215" s="39" t="s">
        <v>58</v>
      </c>
      <c r="F215" s="41"/>
      <c r="G215" s="47" t="s">
        <v>70</v>
      </c>
      <c r="H215" s="23"/>
      <c r="I215" s="24" t="n">
        <v>0.166</v>
      </c>
      <c r="J215" s="24"/>
      <c r="K215" s="25"/>
      <c r="L215" s="26" t="n">
        <v>0.166</v>
      </c>
    </row>
    <row r="216" customFormat="false" ht="12.8" hidden="false" customHeight="false" outlineLevel="0" collapsed="false">
      <c r="A216" s="39" t="n">
        <v>21</v>
      </c>
      <c r="B216" s="50" t="s">
        <v>61</v>
      </c>
      <c r="C216" s="39" t="n">
        <v>0.1748</v>
      </c>
      <c r="D216" s="39" t="s">
        <v>58</v>
      </c>
      <c r="F216" s="41"/>
      <c r="G216" s="47" t="s">
        <v>69</v>
      </c>
      <c r="H216" s="23"/>
      <c r="I216" s="24" t="n">
        <v>0.1712</v>
      </c>
      <c r="J216" s="24" t="n">
        <v>0.171</v>
      </c>
      <c r="K216" s="25"/>
      <c r="L216" s="26" t="n">
        <v>0.3422</v>
      </c>
    </row>
    <row r="217" customFormat="false" ht="12.8" hidden="false" customHeight="false" outlineLevel="0" collapsed="false">
      <c r="A217" s="39" t="n">
        <v>21</v>
      </c>
      <c r="B217" s="50" t="s">
        <v>63</v>
      </c>
      <c r="C217" s="39" t="n">
        <v>0.164</v>
      </c>
      <c r="D217" s="39" t="s">
        <v>58</v>
      </c>
      <c r="F217" s="41"/>
      <c r="G217" s="47" t="s">
        <v>61</v>
      </c>
      <c r="H217" s="23" t="n">
        <v>0.1585</v>
      </c>
      <c r="I217" s="24" t="n">
        <v>0.1713</v>
      </c>
      <c r="J217" s="24"/>
      <c r="K217" s="25" t="n">
        <v>0.1759</v>
      </c>
      <c r="L217" s="26" t="n">
        <v>0.5057</v>
      </c>
    </row>
    <row r="218" customFormat="false" ht="12.8" hidden="false" customHeight="false" outlineLevel="0" collapsed="false">
      <c r="A218" s="39" t="n">
        <v>21</v>
      </c>
      <c r="B218" s="50" t="s">
        <v>69</v>
      </c>
      <c r="C218" s="39" t="n">
        <v>0.1607</v>
      </c>
      <c r="D218" s="39" t="s">
        <v>58</v>
      </c>
      <c r="F218" s="41"/>
      <c r="G218" s="47" t="s">
        <v>66</v>
      </c>
      <c r="H218" s="23" t="n">
        <v>0.1504</v>
      </c>
      <c r="I218" s="24"/>
      <c r="J218" s="24" t="n">
        <v>0.1703</v>
      </c>
      <c r="K218" s="25"/>
      <c r="L218" s="26" t="n">
        <v>0.3207</v>
      </c>
    </row>
    <row r="219" customFormat="false" ht="12.8" hidden="false" customHeight="false" outlineLevel="0" collapsed="false">
      <c r="A219" s="39" t="n">
        <v>21</v>
      </c>
      <c r="B219" s="50" t="s">
        <v>65</v>
      </c>
      <c r="C219" s="39" t="n">
        <v>0.1</v>
      </c>
      <c r="D219" s="39" t="s">
        <v>58</v>
      </c>
      <c r="F219" s="41"/>
      <c r="G219" s="47" t="s">
        <v>62</v>
      </c>
      <c r="H219" s="23" t="n">
        <v>0.1818</v>
      </c>
      <c r="I219" s="24" t="n">
        <v>0.2064</v>
      </c>
      <c r="J219" s="24" t="n">
        <v>0.2</v>
      </c>
      <c r="K219" s="25" t="n">
        <v>0.2134</v>
      </c>
      <c r="L219" s="26" t="n">
        <v>0.8016</v>
      </c>
    </row>
    <row r="220" customFormat="false" ht="12.8" hidden="false" customHeight="false" outlineLevel="0" collapsed="false">
      <c r="A220" s="39" t="n">
        <v>23</v>
      </c>
      <c r="B220" s="50" t="s">
        <v>56</v>
      </c>
      <c r="C220" s="39" t="n">
        <v>0.2036</v>
      </c>
      <c r="D220" s="39" t="s">
        <v>58</v>
      </c>
      <c r="F220" s="41"/>
      <c r="G220" s="47" t="s">
        <v>63</v>
      </c>
      <c r="H220" s="23" t="n">
        <v>0.1866</v>
      </c>
      <c r="I220" s="24" t="n">
        <v>0.1851</v>
      </c>
      <c r="J220" s="24" t="n">
        <v>0.1877</v>
      </c>
      <c r="K220" s="25" t="n">
        <v>0.1676</v>
      </c>
      <c r="L220" s="26" t="n">
        <v>0.727</v>
      </c>
    </row>
    <row r="221" customFormat="false" ht="12.8" hidden="false" customHeight="false" outlineLevel="0" collapsed="false">
      <c r="A221" s="39" t="n">
        <v>23</v>
      </c>
      <c r="B221" s="50" t="s">
        <v>62</v>
      </c>
      <c r="C221" s="39" t="n">
        <v>0.1983</v>
      </c>
      <c r="D221" s="39" t="s">
        <v>58</v>
      </c>
      <c r="F221" s="41"/>
      <c r="G221" s="47" t="s">
        <v>56</v>
      </c>
      <c r="H221" s="23" t="n">
        <v>0.1583</v>
      </c>
      <c r="I221" s="24"/>
      <c r="J221" s="24" t="n">
        <v>0.1711</v>
      </c>
      <c r="K221" s="25" t="n">
        <v>0.1784</v>
      </c>
      <c r="L221" s="26" t="n">
        <v>0.5078</v>
      </c>
    </row>
    <row r="222" customFormat="false" ht="12.8" hidden="false" customHeight="false" outlineLevel="0" collapsed="false">
      <c r="A222" s="39" t="n">
        <v>23</v>
      </c>
      <c r="B222" s="50" t="s">
        <v>63</v>
      </c>
      <c r="C222" s="39" t="n">
        <v>0.1668</v>
      </c>
      <c r="D222" s="39" t="s">
        <v>58</v>
      </c>
      <c r="F222" s="48"/>
      <c r="G222" s="49" t="s">
        <v>65</v>
      </c>
      <c r="H222" s="27" t="n">
        <v>0.1644</v>
      </c>
      <c r="I222" s="28" t="n">
        <v>0.1</v>
      </c>
      <c r="J222" s="28" t="n">
        <v>0.1</v>
      </c>
      <c r="K222" s="29" t="n">
        <v>0.1</v>
      </c>
      <c r="L222" s="30" t="n">
        <v>0.4644</v>
      </c>
    </row>
    <row r="223" customFormat="false" ht="12.8" hidden="false" customHeight="false" outlineLevel="0" collapsed="false">
      <c r="A223" s="39" t="n">
        <v>23</v>
      </c>
      <c r="B223" s="50" t="s">
        <v>61</v>
      </c>
      <c r="C223" s="39" t="n">
        <v>0.1662</v>
      </c>
      <c r="D223" s="39" t="s">
        <v>58</v>
      </c>
      <c r="F223" s="51" t="s">
        <v>50</v>
      </c>
      <c r="G223" s="52"/>
      <c r="H223" s="32" t="n">
        <v>24.9996</v>
      </c>
      <c r="I223" s="33" t="n">
        <v>24.9995</v>
      </c>
      <c r="J223" s="33" t="n">
        <v>25.0004</v>
      </c>
      <c r="K223" s="34" t="n">
        <v>24.9997</v>
      </c>
      <c r="L223" s="35" t="n">
        <v>99.9991999999999</v>
      </c>
    </row>
    <row r="224" customFormat="false" ht="12.8" hidden="false" customHeight="false" outlineLevel="0" collapsed="false">
      <c r="A224" s="39" t="n">
        <v>23</v>
      </c>
      <c r="B224" s="50" t="s">
        <v>69</v>
      </c>
      <c r="C224" s="39" t="n">
        <v>0.1651</v>
      </c>
      <c r="D224" s="39" t="s">
        <v>58</v>
      </c>
    </row>
    <row r="225" customFormat="false" ht="12.8" hidden="false" customHeight="false" outlineLevel="0" collapsed="false">
      <c r="A225" s="39" t="n">
        <v>23</v>
      </c>
      <c r="B225" s="50" t="s">
        <v>65</v>
      </c>
      <c r="C225" s="39" t="n">
        <v>0.1</v>
      </c>
      <c r="D225" s="39" t="s">
        <v>58</v>
      </c>
    </row>
    <row r="226" customFormat="false" ht="12.8" hidden="false" customHeight="false" outlineLevel="0" collapsed="false">
      <c r="A226" s="39" t="n">
        <v>25</v>
      </c>
      <c r="B226" s="50" t="s">
        <v>62</v>
      </c>
      <c r="C226" s="39" t="n">
        <v>0.2075</v>
      </c>
      <c r="D226" s="39" t="s">
        <v>58</v>
      </c>
      <c r="F226" s="9" t="s">
        <v>72</v>
      </c>
      <c r="G226" s="10" t="s">
        <v>54</v>
      </c>
      <c r="H226" s="11"/>
      <c r="I226" s="11"/>
      <c r="J226" s="11"/>
      <c r="K226" s="12"/>
    </row>
    <row r="227" customFormat="false" ht="12.8" hidden="false" customHeight="false" outlineLevel="0" collapsed="false">
      <c r="A227" s="39" t="n">
        <v>25</v>
      </c>
      <c r="B227" s="50" t="s">
        <v>56</v>
      </c>
      <c r="C227" s="39" t="n">
        <v>0.2043</v>
      </c>
      <c r="D227" s="39" t="s">
        <v>58</v>
      </c>
      <c r="F227" s="13" t="s">
        <v>52</v>
      </c>
      <c r="G227" s="14" t="s">
        <v>57</v>
      </c>
      <c r="H227" s="15" t="s">
        <v>58</v>
      </c>
      <c r="I227" s="15" t="s">
        <v>59</v>
      </c>
      <c r="J227" s="15" t="s">
        <v>60</v>
      </c>
      <c r="K227" s="16" t="s">
        <v>50</v>
      </c>
    </row>
    <row r="228" customFormat="false" ht="12.8" hidden="false" customHeight="false" outlineLevel="0" collapsed="false">
      <c r="A228" s="39" t="n">
        <v>25</v>
      </c>
      <c r="B228" s="50" t="s">
        <v>63</v>
      </c>
      <c r="C228" s="39" t="n">
        <v>0.1701</v>
      </c>
      <c r="D228" s="39" t="s">
        <v>58</v>
      </c>
      <c r="F228" s="40" t="s">
        <v>64</v>
      </c>
      <c r="G228" s="18" t="n">
        <v>11</v>
      </c>
      <c r="H228" s="19" t="n">
        <v>3</v>
      </c>
      <c r="I228" s="19" t="n">
        <v>10</v>
      </c>
      <c r="J228" s="20" t="n">
        <v>10</v>
      </c>
      <c r="K228" s="21" t="n">
        <v>34</v>
      </c>
    </row>
    <row r="229" customFormat="false" ht="12.8" hidden="false" customHeight="false" outlineLevel="0" collapsed="false">
      <c r="A229" s="39" t="n">
        <v>25</v>
      </c>
      <c r="B229" s="50" t="s">
        <v>61</v>
      </c>
      <c r="C229" s="39" t="n">
        <v>0.1657</v>
      </c>
      <c r="D229" s="39" t="s">
        <v>58</v>
      </c>
      <c r="F229" s="41" t="s">
        <v>67</v>
      </c>
      <c r="G229" s="23" t="n">
        <v>10</v>
      </c>
      <c r="H229" s="24" t="n">
        <v>7</v>
      </c>
      <c r="I229" s="24" t="n">
        <v>8</v>
      </c>
      <c r="J229" s="25" t="n">
        <v>6</v>
      </c>
      <c r="K229" s="26" t="n">
        <v>31</v>
      </c>
    </row>
    <row r="230" customFormat="false" ht="12.8" hidden="false" customHeight="false" outlineLevel="0" collapsed="false">
      <c r="A230" s="39" t="n">
        <v>25</v>
      </c>
      <c r="B230" s="50" t="s">
        <v>70</v>
      </c>
      <c r="C230" s="39" t="n">
        <v>0.1524</v>
      </c>
      <c r="D230" s="39" t="s">
        <v>58</v>
      </c>
      <c r="F230" s="41" t="s">
        <v>70</v>
      </c>
      <c r="G230" s="23" t="n">
        <v>2</v>
      </c>
      <c r="H230" s="24" t="n">
        <v>5</v>
      </c>
      <c r="I230" s="24" t="n">
        <v>1</v>
      </c>
      <c r="J230" s="25"/>
      <c r="K230" s="26" t="n">
        <v>8</v>
      </c>
    </row>
    <row r="231" customFormat="false" ht="12.8" hidden="false" customHeight="false" outlineLevel="0" collapsed="false">
      <c r="A231" s="39" t="n">
        <v>25</v>
      </c>
      <c r="B231" s="50" t="s">
        <v>65</v>
      </c>
      <c r="C231" s="39" t="n">
        <v>0.1</v>
      </c>
      <c r="D231" s="39" t="s">
        <v>58</v>
      </c>
      <c r="F231" s="41" t="s">
        <v>69</v>
      </c>
      <c r="G231" s="23"/>
      <c r="H231" s="24" t="n">
        <v>19</v>
      </c>
      <c r="I231" s="24" t="n">
        <v>15</v>
      </c>
      <c r="J231" s="25" t="n">
        <v>6</v>
      </c>
      <c r="K231" s="26" t="n">
        <v>40</v>
      </c>
    </row>
    <row r="232" customFormat="false" ht="12.8" hidden="false" customHeight="false" outlineLevel="0" collapsed="false">
      <c r="A232" s="39" t="n">
        <v>27</v>
      </c>
      <c r="B232" s="50" t="s">
        <v>62</v>
      </c>
      <c r="C232" s="39" t="n">
        <v>0.2043</v>
      </c>
      <c r="D232" s="39" t="s">
        <v>58</v>
      </c>
      <c r="F232" s="41" t="s">
        <v>61</v>
      </c>
      <c r="G232" s="23" t="n">
        <v>23</v>
      </c>
      <c r="H232" s="24" t="n">
        <v>24</v>
      </c>
      <c r="I232" s="24" t="n">
        <v>20</v>
      </c>
      <c r="J232" s="25" t="n">
        <v>25</v>
      </c>
      <c r="K232" s="26" t="n">
        <v>92</v>
      </c>
    </row>
    <row r="233" customFormat="false" ht="12.8" hidden="false" customHeight="false" outlineLevel="0" collapsed="false">
      <c r="A233" s="39" t="n">
        <v>27</v>
      </c>
      <c r="B233" s="50" t="s">
        <v>56</v>
      </c>
      <c r="C233" s="39" t="n">
        <v>0.1877</v>
      </c>
      <c r="D233" s="39" t="s">
        <v>58</v>
      </c>
      <c r="F233" s="41" t="s">
        <v>66</v>
      </c>
      <c r="G233" s="23" t="n">
        <v>3</v>
      </c>
      <c r="H233" s="24"/>
      <c r="I233" s="24" t="n">
        <v>4</v>
      </c>
      <c r="J233" s="25" t="n">
        <v>3</v>
      </c>
      <c r="K233" s="26" t="n">
        <v>10</v>
      </c>
    </row>
    <row r="234" customFormat="false" ht="12.8" hidden="false" customHeight="false" outlineLevel="0" collapsed="false">
      <c r="A234" s="39" t="n">
        <v>27</v>
      </c>
      <c r="B234" s="50" t="s">
        <v>61</v>
      </c>
      <c r="C234" s="39" t="n">
        <v>0.1795</v>
      </c>
      <c r="D234" s="39" t="s">
        <v>58</v>
      </c>
      <c r="F234" s="41" t="s">
        <v>62</v>
      </c>
      <c r="G234" s="23" t="n">
        <v>25</v>
      </c>
      <c r="H234" s="24" t="n">
        <v>25</v>
      </c>
      <c r="I234" s="24" t="n">
        <v>25</v>
      </c>
      <c r="J234" s="25" t="n">
        <v>25</v>
      </c>
      <c r="K234" s="26" t="n">
        <v>100</v>
      </c>
    </row>
    <row r="235" customFormat="false" ht="12.8" hidden="false" customHeight="false" outlineLevel="0" collapsed="false">
      <c r="A235" s="39" t="n">
        <v>27</v>
      </c>
      <c r="B235" s="50" t="s">
        <v>64</v>
      </c>
      <c r="C235" s="39" t="n">
        <v>0.1667</v>
      </c>
      <c r="D235" s="39" t="s">
        <v>58</v>
      </c>
      <c r="F235" s="41" t="s">
        <v>71</v>
      </c>
      <c r="G235" s="23" t="n">
        <v>1</v>
      </c>
      <c r="H235" s="24"/>
      <c r="I235" s="24"/>
      <c r="J235" s="25" t="n">
        <v>3</v>
      </c>
      <c r="K235" s="26" t="n">
        <v>4</v>
      </c>
    </row>
    <row r="236" customFormat="false" ht="12.8" hidden="false" customHeight="false" outlineLevel="0" collapsed="false">
      <c r="A236" s="39" t="n">
        <v>27</v>
      </c>
      <c r="B236" s="50" t="s">
        <v>63</v>
      </c>
      <c r="C236" s="39" t="n">
        <v>0.1618</v>
      </c>
      <c r="D236" s="39" t="s">
        <v>58</v>
      </c>
      <c r="F236" s="41" t="s">
        <v>63</v>
      </c>
      <c r="G236" s="23" t="n">
        <v>25</v>
      </c>
      <c r="H236" s="24" t="n">
        <v>15</v>
      </c>
      <c r="I236" s="24" t="n">
        <v>13</v>
      </c>
      <c r="J236" s="25" t="n">
        <v>22</v>
      </c>
      <c r="K236" s="26" t="n">
        <v>75</v>
      </c>
    </row>
    <row r="237" customFormat="false" ht="12.8" hidden="false" customHeight="false" outlineLevel="0" collapsed="false">
      <c r="A237" s="39" t="n">
        <v>27</v>
      </c>
      <c r="B237" s="50" t="s">
        <v>65</v>
      </c>
      <c r="C237" s="39" t="n">
        <v>0.1</v>
      </c>
      <c r="D237" s="39" t="s">
        <v>58</v>
      </c>
      <c r="F237" s="41" t="s">
        <v>56</v>
      </c>
      <c r="G237" s="23" t="n">
        <v>25</v>
      </c>
      <c r="H237" s="24" t="n">
        <v>23</v>
      </c>
      <c r="I237" s="24" t="n">
        <v>25</v>
      </c>
      <c r="J237" s="25" t="n">
        <v>25</v>
      </c>
      <c r="K237" s="26" t="n">
        <v>98</v>
      </c>
    </row>
    <row r="238" customFormat="false" ht="12.8" hidden="false" customHeight="false" outlineLevel="0" collapsed="false">
      <c r="A238" s="39" t="n">
        <v>29</v>
      </c>
      <c r="B238" s="50" t="s">
        <v>62</v>
      </c>
      <c r="C238" s="39" t="n">
        <v>0.2187</v>
      </c>
      <c r="D238" s="39" t="s">
        <v>58</v>
      </c>
      <c r="F238" s="41" t="s">
        <v>65</v>
      </c>
      <c r="G238" s="27" t="n">
        <v>25</v>
      </c>
      <c r="H238" s="28" t="n">
        <v>25</v>
      </c>
      <c r="I238" s="28" t="n">
        <v>25</v>
      </c>
      <c r="J238" s="29" t="n">
        <v>25</v>
      </c>
      <c r="K238" s="30" t="n">
        <v>100</v>
      </c>
    </row>
    <row r="239" customFormat="false" ht="12.8" hidden="false" customHeight="false" outlineLevel="0" collapsed="false">
      <c r="A239" s="39" t="n">
        <v>29</v>
      </c>
      <c r="B239" s="50" t="s">
        <v>56</v>
      </c>
      <c r="C239" s="39" t="n">
        <v>0.1879</v>
      </c>
      <c r="D239" s="39" t="s">
        <v>58</v>
      </c>
      <c r="F239" s="42" t="s">
        <v>50</v>
      </c>
      <c r="G239" s="32" t="n">
        <v>150</v>
      </c>
      <c r="H239" s="33" t="n">
        <v>146</v>
      </c>
      <c r="I239" s="33" t="n">
        <v>146</v>
      </c>
      <c r="J239" s="34" t="n">
        <v>150</v>
      </c>
      <c r="K239" s="35" t="n">
        <v>592</v>
      </c>
    </row>
    <row r="240" customFormat="false" ht="12.8" hidden="false" customHeight="false" outlineLevel="0" collapsed="false">
      <c r="A240" s="39" t="n">
        <v>29</v>
      </c>
      <c r="B240" s="50" t="s">
        <v>69</v>
      </c>
      <c r="C240" s="39" t="n">
        <v>0.1774</v>
      </c>
      <c r="D240" s="39" t="s">
        <v>58</v>
      </c>
    </row>
    <row r="241" customFormat="false" ht="12.8" hidden="false" customHeight="false" outlineLevel="0" collapsed="false">
      <c r="A241" s="39" t="n">
        <v>29</v>
      </c>
      <c r="B241" s="50" t="s">
        <v>61</v>
      </c>
      <c r="C241" s="39" t="n">
        <v>0.1668</v>
      </c>
      <c r="D241" s="39" t="s">
        <v>58</v>
      </c>
    </row>
    <row r="242" customFormat="false" ht="12.8" hidden="false" customHeight="false" outlineLevel="0" collapsed="false">
      <c r="A242" s="39" t="n">
        <v>29</v>
      </c>
      <c r="B242" s="50" t="s">
        <v>70</v>
      </c>
      <c r="C242" s="39" t="n">
        <v>0.1492</v>
      </c>
      <c r="D242" s="39" t="s">
        <v>58</v>
      </c>
      <c r="F242" s="9" t="s">
        <v>73</v>
      </c>
      <c r="G242" s="10" t="s">
        <v>54</v>
      </c>
      <c r="H242" s="11"/>
      <c r="I242" s="11"/>
      <c r="J242" s="11"/>
      <c r="K242" s="12"/>
    </row>
    <row r="243" customFormat="false" ht="12.8" hidden="false" customHeight="false" outlineLevel="0" collapsed="false">
      <c r="A243" s="39" t="n">
        <v>29</v>
      </c>
      <c r="B243" s="50" t="s">
        <v>65</v>
      </c>
      <c r="C243" s="39" t="n">
        <v>0.1</v>
      </c>
      <c r="D243" s="39" t="s">
        <v>58</v>
      </c>
      <c r="F243" s="13" t="s">
        <v>52</v>
      </c>
      <c r="G243" s="14" t="s">
        <v>57</v>
      </c>
      <c r="H243" s="15" t="s">
        <v>58</v>
      </c>
      <c r="I243" s="15" t="s">
        <v>59</v>
      </c>
      <c r="J243" s="15" t="s">
        <v>60</v>
      </c>
      <c r="K243" s="16" t="s">
        <v>50</v>
      </c>
    </row>
    <row r="244" customFormat="false" ht="12.8" hidden="false" customHeight="false" outlineLevel="0" collapsed="false">
      <c r="A244" s="39" t="n">
        <v>31</v>
      </c>
      <c r="B244" s="50" t="s">
        <v>62</v>
      </c>
      <c r="C244" s="39" t="n">
        <v>0.1972</v>
      </c>
      <c r="D244" s="39" t="s">
        <v>58</v>
      </c>
      <c r="F244" s="40" t="s">
        <v>64</v>
      </c>
      <c r="G244" s="18" t="n">
        <v>0.157254545454545</v>
      </c>
      <c r="H244" s="19" t="n">
        <v>0.164066666666667</v>
      </c>
      <c r="I244" s="19" t="n">
        <v>0.16736</v>
      </c>
      <c r="J244" s="20" t="n">
        <v>0.1613</v>
      </c>
      <c r="K244" s="21" t="n">
        <v>0.162017647058824</v>
      </c>
    </row>
    <row r="245" customFormat="false" ht="12.8" hidden="false" customHeight="false" outlineLevel="0" collapsed="false">
      <c r="A245" s="39" t="n">
        <v>31</v>
      </c>
      <c r="B245" s="50" t="s">
        <v>61</v>
      </c>
      <c r="C245" s="39" t="n">
        <v>0.1912</v>
      </c>
      <c r="D245" s="39" t="s">
        <v>58</v>
      </c>
      <c r="F245" s="41" t="s">
        <v>67</v>
      </c>
      <c r="G245" s="23" t="n">
        <v>0.16259</v>
      </c>
      <c r="H245" s="24" t="n">
        <v>0.166228571428571</v>
      </c>
      <c r="I245" s="24" t="n">
        <v>0.1677625</v>
      </c>
      <c r="J245" s="25" t="n">
        <v>0.160233333333333</v>
      </c>
      <c r="K245" s="26" t="n">
        <v>0.164290322580645</v>
      </c>
    </row>
    <row r="246" customFormat="false" ht="12.8" hidden="false" customHeight="false" outlineLevel="0" collapsed="false">
      <c r="A246" s="39" t="n">
        <v>31</v>
      </c>
      <c r="B246" s="50" t="s">
        <v>56</v>
      </c>
      <c r="C246" s="39" t="n">
        <v>0.1791</v>
      </c>
      <c r="D246" s="39" t="s">
        <v>58</v>
      </c>
      <c r="F246" s="41" t="s">
        <v>70</v>
      </c>
      <c r="G246" s="23" t="n">
        <v>0.1569</v>
      </c>
      <c r="H246" s="24" t="n">
        <v>0.15472</v>
      </c>
      <c r="I246" s="24" t="n">
        <v>0.1453</v>
      </c>
      <c r="J246" s="25"/>
      <c r="K246" s="26" t="n">
        <v>0.1540875</v>
      </c>
    </row>
    <row r="247" customFormat="false" ht="12.8" hidden="false" customHeight="false" outlineLevel="0" collapsed="false">
      <c r="A247" s="39" t="n">
        <v>31</v>
      </c>
      <c r="B247" s="50" t="s">
        <v>69</v>
      </c>
      <c r="C247" s="39" t="n">
        <v>0.1684</v>
      </c>
      <c r="D247" s="39" t="s">
        <v>58</v>
      </c>
      <c r="F247" s="41" t="s">
        <v>69</v>
      </c>
      <c r="G247" s="23"/>
      <c r="H247" s="24" t="n">
        <v>0.166268421052632</v>
      </c>
      <c r="I247" s="24" t="n">
        <v>0.167173333333333</v>
      </c>
      <c r="J247" s="25" t="n">
        <v>0.155483333333333</v>
      </c>
      <c r="K247" s="26" t="n">
        <v>0.16499</v>
      </c>
    </row>
    <row r="248" customFormat="false" ht="12.8" hidden="false" customHeight="false" outlineLevel="0" collapsed="false">
      <c r="A248" s="39" t="n">
        <v>31</v>
      </c>
      <c r="B248" s="50" t="s">
        <v>67</v>
      </c>
      <c r="C248" s="39" t="n">
        <v>0.1642</v>
      </c>
      <c r="D248" s="39" t="s">
        <v>58</v>
      </c>
      <c r="F248" s="41" t="s">
        <v>61</v>
      </c>
      <c r="G248" s="23" t="n">
        <v>0.176060869565217</v>
      </c>
      <c r="H248" s="24" t="n">
        <v>0.177283333333333</v>
      </c>
      <c r="I248" s="24" t="n">
        <v>0.17726</v>
      </c>
      <c r="J248" s="25" t="n">
        <v>0.180072</v>
      </c>
      <c r="K248" s="26" t="n">
        <v>0.177730434782609</v>
      </c>
    </row>
    <row r="249" customFormat="false" ht="12.8" hidden="false" customHeight="false" outlineLevel="0" collapsed="false">
      <c r="A249" s="39" t="n">
        <v>31</v>
      </c>
      <c r="B249" s="50" t="s">
        <v>65</v>
      </c>
      <c r="C249" s="39" t="n">
        <v>0.1</v>
      </c>
      <c r="D249" s="39" t="s">
        <v>58</v>
      </c>
      <c r="F249" s="41" t="s">
        <v>66</v>
      </c>
      <c r="G249" s="23" t="n">
        <v>0.152766666666667</v>
      </c>
      <c r="H249" s="24"/>
      <c r="I249" s="24" t="n">
        <v>0.16345</v>
      </c>
      <c r="J249" s="25" t="n">
        <v>0.153666666666667</v>
      </c>
      <c r="K249" s="26" t="n">
        <v>0.15731</v>
      </c>
    </row>
    <row r="250" customFormat="false" ht="12.8" hidden="false" customHeight="false" outlineLevel="0" collapsed="false">
      <c r="A250" s="39" t="n">
        <v>33</v>
      </c>
      <c r="B250" s="50" t="s">
        <v>56</v>
      </c>
      <c r="C250" s="39" t="n">
        <v>0.2127</v>
      </c>
      <c r="D250" s="39" t="s">
        <v>58</v>
      </c>
      <c r="F250" s="41" t="s">
        <v>62</v>
      </c>
      <c r="G250" s="23" t="n">
        <v>0.196308</v>
      </c>
      <c r="H250" s="24" t="n">
        <v>0.214124</v>
      </c>
      <c r="I250" s="24" t="n">
        <v>0.218356</v>
      </c>
      <c r="J250" s="25" t="n">
        <v>0.204948</v>
      </c>
      <c r="K250" s="26" t="n">
        <v>0.208434</v>
      </c>
    </row>
    <row r="251" customFormat="false" ht="12.8" hidden="false" customHeight="false" outlineLevel="0" collapsed="false">
      <c r="A251" s="39" t="n">
        <v>33</v>
      </c>
      <c r="B251" s="50" t="s">
        <v>62</v>
      </c>
      <c r="C251" s="39" t="n">
        <v>0.1933</v>
      </c>
      <c r="D251" s="39" t="s">
        <v>58</v>
      </c>
      <c r="F251" s="41" t="s">
        <v>71</v>
      </c>
      <c r="G251" s="23" t="n">
        <v>0.1509</v>
      </c>
      <c r="H251" s="24"/>
      <c r="I251" s="24"/>
      <c r="J251" s="25" t="n">
        <v>0.159266666666667</v>
      </c>
      <c r="K251" s="26" t="n">
        <v>0.157175</v>
      </c>
    </row>
    <row r="252" customFormat="false" ht="12.8" hidden="false" customHeight="false" outlineLevel="0" collapsed="false">
      <c r="A252" s="39" t="n">
        <v>33</v>
      </c>
      <c r="B252" s="50" t="s">
        <v>67</v>
      </c>
      <c r="C252" s="39" t="n">
        <v>0.1702</v>
      </c>
      <c r="D252" s="39" t="s">
        <v>58</v>
      </c>
      <c r="F252" s="41" t="s">
        <v>63</v>
      </c>
      <c r="G252" s="23" t="n">
        <v>0.173296</v>
      </c>
      <c r="H252" s="24" t="n">
        <v>0.16872</v>
      </c>
      <c r="I252" s="24" t="n">
        <v>0.181753846153846</v>
      </c>
      <c r="J252" s="25" t="n">
        <v>0.164595454545455</v>
      </c>
      <c r="K252" s="26" t="n">
        <v>0.171294666666667</v>
      </c>
    </row>
    <row r="253" customFormat="false" ht="12.8" hidden="false" customHeight="false" outlineLevel="0" collapsed="false">
      <c r="A253" s="39" t="n">
        <v>33</v>
      </c>
      <c r="B253" s="50" t="s">
        <v>61</v>
      </c>
      <c r="C253" s="39" t="n">
        <v>0.1649</v>
      </c>
      <c r="D253" s="39" t="s">
        <v>58</v>
      </c>
      <c r="F253" s="41" t="s">
        <v>56</v>
      </c>
      <c r="G253" s="23" t="n">
        <v>0.18282</v>
      </c>
      <c r="H253" s="24" t="n">
        <v>0.2056</v>
      </c>
      <c r="I253" s="24" t="n">
        <v>0.192444</v>
      </c>
      <c r="J253" s="25" t="n">
        <v>0.188348</v>
      </c>
      <c r="K253" s="26" t="n">
        <v>0.192031632653061</v>
      </c>
    </row>
    <row r="254" customFormat="false" ht="12.8" hidden="false" customHeight="false" outlineLevel="0" collapsed="false">
      <c r="A254" s="39" t="n">
        <v>33</v>
      </c>
      <c r="B254" s="50" t="s">
        <v>69</v>
      </c>
      <c r="C254" s="39" t="n">
        <v>0.1588</v>
      </c>
      <c r="D254" s="39" t="s">
        <v>58</v>
      </c>
      <c r="F254" s="41" t="s">
        <v>65</v>
      </c>
      <c r="G254" s="27" t="n">
        <v>0.114436</v>
      </c>
      <c r="H254" s="28" t="n">
        <v>0.10174</v>
      </c>
      <c r="I254" s="28" t="n">
        <v>0.1</v>
      </c>
      <c r="J254" s="29" t="n">
        <v>0.103932</v>
      </c>
      <c r="K254" s="30" t="n">
        <v>0.105027</v>
      </c>
    </row>
    <row r="255" customFormat="false" ht="12.8" hidden="false" customHeight="false" outlineLevel="0" collapsed="false">
      <c r="A255" s="39" t="n">
        <v>33</v>
      </c>
      <c r="B255" s="50" t="s">
        <v>65</v>
      </c>
      <c r="C255" s="39" t="n">
        <v>0.1</v>
      </c>
      <c r="D255" s="39" t="s">
        <v>58</v>
      </c>
      <c r="F255" s="42" t="s">
        <v>50</v>
      </c>
      <c r="G255" s="32" t="n">
        <v>0.166664</v>
      </c>
      <c r="H255" s="33" t="n">
        <v>0.171229452054795</v>
      </c>
      <c r="I255" s="33" t="n">
        <v>0.171235616438356</v>
      </c>
      <c r="J255" s="34" t="n">
        <v>0.166664666666667</v>
      </c>
      <c r="K255" s="35" t="n">
        <v>0.168917567567567</v>
      </c>
    </row>
    <row r="256" customFormat="false" ht="12.8" hidden="false" customHeight="false" outlineLevel="0" collapsed="false">
      <c r="A256" s="39" t="n">
        <v>35</v>
      </c>
      <c r="B256" s="50" t="s">
        <v>62</v>
      </c>
      <c r="C256" s="39" t="n">
        <v>0.2122</v>
      </c>
      <c r="D256" s="39" t="s">
        <v>58</v>
      </c>
    </row>
    <row r="257" customFormat="false" ht="12.8" hidden="false" customHeight="false" outlineLevel="0" collapsed="false">
      <c r="A257" s="39" t="n">
        <v>35</v>
      </c>
      <c r="B257" s="50" t="s">
        <v>56</v>
      </c>
      <c r="C257" s="39" t="n">
        <v>0.2122</v>
      </c>
      <c r="D257" s="39" t="s">
        <v>58</v>
      </c>
    </row>
    <row r="258" customFormat="false" ht="12.8" hidden="false" customHeight="false" outlineLevel="0" collapsed="false">
      <c r="A258" s="39" t="n">
        <v>35</v>
      </c>
      <c r="B258" s="50" t="s">
        <v>61</v>
      </c>
      <c r="C258" s="39" t="n">
        <v>0.1675</v>
      </c>
      <c r="D258" s="39" t="s">
        <v>58</v>
      </c>
      <c r="F258" s="3" t="s">
        <v>74</v>
      </c>
    </row>
    <row r="259" customFormat="false" ht="12.8" hidden="false" customHeight="false" outlineLevel="0" collapsed="false">
      <c r="A259" s="39" t="n">
        <v>35</v>
      </c>
      <c r="B259" s="50" t="s">
        <v>69</v>
      </c>
      <c r="C259" s="39" t="n">
        <v>0.1552</v>
      </c>
      <c r="D259" s="39" t="s">
        <v>58</v>
      </c>
      <c r="F259" s="53" t="s">
        <v>72</v>
      </c>
      <c r="G259" s="54" t="s">
        <v>54</v>
      </c>
      <c r="H259" s="55"/>
      <c r="I259" s="55"/>
      <c r="J259" s="55"/>
      <c r="K259" s="56"/>
    </row>
    <row r="260" customFormat="false" ht="12.8" hidden="false" customHeight="false" outlineLevel="0" collapsed="false">
      <c r="A260" s="39" t="n">
        <v>35</v>
      </c>
      <c r="B260" s="50" t="s">
        <v>63</v>
      </c>
      <c r="C260" s="39" t="n">
        <v>0.1528</v>
      </c>
      <c r="D260" s="39" t="s">
        <v>58</v>
      </c>
      <c r="F260" s="57" t="s">
        <v>52</v>
      </c>
      <c r="G260" s="58" t="s">
        <v>57</v>
      </c>
      <c r="H260" s="59" t="s">
        <v>58</v>
      </c>
      <c r="I260" s="59" t="s">
        <v>59</v>
      </c>
      <c r="J260" s="59" t="s">
        <v>60</v>
      </c>
      <c r="K260" s="60" t="s">
        <v>50</v>
      </c>
    </row>
    <row r="261" customFormat="false" ht="12.8" hidden="false" customHeight="false" outlineLevel="0" collapsed="false">
      <c r="A261" s="39" t="n">
        <v>35</v>
      </c>
      <c r="B261" s="50" t="s">
        <v>65</v>
      </c>
      <c r="C261" s="39" t="n">
        <v>0.1</v>
      </c>
      <c r="D261" s="39" t="s">
        <v>58</v>
      </c>
      <c r="F261" s="61" t="s">
        <v>64</v>
      </c>
      <c r="G261" s="62" t="n">
        <v>11</v>
      </c>
      <c r="H261" s="63" t="n">
        <v>3</v>
      </c>
      <c r="I261" s="63" t="n">
        <v>10</v>
      </c>
      <c r="J261" s="64" t="n">
        <v>10</v>
      </c>
      <c r="K261" s="65" t="n">
        <v>34</v>
      </c>
    </row>
    <row r="262" customFormat="false" ht="12.8" hidden="false" customHeight="false" outlineLevel="0" collapsed="false">
      <c r="A262" s="39" t="n">
        <v>37</v>
      </c>
      <c r="B262" s="50" t="s">
        <v>62</v>
      </c>
      <c r="C262" s="39" t="n">
        <v>0.2055</v>
      </c>
      <c r="D262" s="39" t="s">
        <v>58</v>
      </c>
      <c r="F262" s="66" t="s">
        <v>67</v>
      </c>
      <c r="G262" s="67" t="n">
        <v>10</v>
      </c>
      <c r="H262" s="68" t="n">
        <v>7</v>
      </c>
      <c r="I262" s="68" t="n">
        <v>8</v>
      </c>
      <c r="J262" s="69" t="n">
        <v>6</v>
      </c>
      <c r="K262" s="70" t="n">
        <v>31</v>
      </c>
    </row>
    <row r="263" customFormat="false" ht="12.8" hidden="false" customHeight="false" outlineLevel="0" collapsed="false">
      <c r="A263" s="39" t="n">
        <v>37</v>
      </c>
      <c r="B263" s="50" t="s">
        <v>56</v>
      </c>
      <c r="C263" s="39" t="n">
        <v>0.1963</v>
      </c>
      <c r="D263" s="39" t="s">
        <v>58</v>
      </c>
      <c r="F263" s="66" t="s">
        <v>70</v>
      </c>
      <c r="G263" s="67" t="n">
        <v>2</v>
      </c>
      <c r="H263" s="68" t="n">
        <v>5</v>
      </c>
      <c r="I263" s="68" t="n">
        <v>1</v>
      </c>
      <c r="J263" s="69" t="n">
        <v>0</v>
      </c>
      <c r="K263" s="70" t="n">
        <v>8</v>
      </c>
    </row>
    <row r="264" customFormat="false" ht="12.8" hidden="false" customHeight="false" outlineLevel="0" collapsed="false">
      <c r="A264" s="39" t="n">
        <v>37</v>
      </c>
      <c r="B264" s="50" t="s">
        <v>61</v>
      </c>
      <c r="C264" s="39" t="n">
        <v>0.1763</v>
      </c>
      <c r="D264" s="39" t="s">
        <v>58</v>
      </c>
      <c r="F264" s="66" t="s">
        <v>69</v>
      </c>
      <c r="G264" s="67" t="n">
        <v>0</v>
      </c>
      <c r="H264" s="68" t="n">
        <v>19</v>
      </c>
      <c r="I264" s="68" t="n">
        <v>15</v>
      </c>
      <c r="J264" s="69" t="n">
        <v>6</v>
      </c>
      <c r="K264" s="70" t="n">
        <v>40</v>
      </c>
    </row>
    <row r="265" customFormat="false" ht="12.8" hidden="false" customHeight="false" outlineLevel="0" collapsed="false">
      <c r="A265" s="39" t="n">
        <v>37</v>
      </c>
      <c r="B265" s="50" t="s">
        <v>64</v>
      </c>
      <c r="C265" s="39" t="n">
        <v>0.163</v>
      </c>
      <c r="D265" s="39" t="s">
        <v>58</v>
      </c>
      <c r="F265" s="66" t="s">
        <v>61</v>
      </c>
      <c r="G265" s="67" t="n">
        <v>23</v>
      </c>
      <c r="H265" s="68" t="n">
        <v>24</v>
      </c>
      <c r="I265" s="68" t="n">
        <v>20</v>
      </c>
      <c r="J265" s="69" t="n">
        <v>25</v>
      </c>
      <c r="K265" s="70" t="n">
        <v>92</v>
      </c>
    </row>
    <row r="266" customFormat="false" ht="12.8" hidden="false" customHeight="false" outlineLevel="0" collapsed="false">
      <c r="A266" s="39" t="n">
        <v>37</v>
      </c>
      <c r="B266" s="50" t="s">
        <v>63</v>
      </c>
      <c r="C266" s="39" t="n">
        <v>0.1589</v>
      </c>
      <c r="D266" s="39" t="s">
        <v>58</v>
      </c>
      <c r="F266" s="66" t="s">
        <v>66</v>
      </c>
      <c r="G266" s="67" t="n">
        <v>3</v>
      </c>
      <c r="H266" s="68" t="n">
        <v>0</v>
      </c>
      <c r="I266" s="68" t="n">
        <v>4</v>
      </c>
      <c r="J266" s="69" t="n">
        <v>3</v>
      </c>
      <c r="K266" s="70" t="n">
        <v>10</v>
      </c>
    </row>
    <row r="267" customFormat="false" ht="12.8" hidden="false" customHeight="false" outlineLevel="0" collapsed="false">
      <c r="A267" s="39" t="n">
        <v>37</v>
      </c>
      <c r="B267" s="50" t="s">
        <v>65</v>
      </c>
      <c r="C267" s="39" t="n">
        <v>0.1</v>
      </c>
      <c r="D267" s="39" t="s">
        <v>58</v>
      </c>
      <c r="F267" s="66" t="s">
        <v>62</v>
      </c>
      <c r="G267" s="67" t="n">
        <v>25</v>
      </c>
      <c r="H267" s="68" t="n">
        <v>25</v>
      </c>
      <c r="I267" s="68" t="n">
        <v>25</v>
      </c>
      <c r="J267" s="69" t="n">
        <v>25</v>
      </c>
      <c r="K267" s="70" t="n">
        <v>100</v>
      </c>
    </row>
    <row r="268" customFormat="false" ht="12.8" hidden="false" customHeight="false" outlineLevel="0" collapsed="false">
      <c r="A268" s="39" t="n">
        <v>39</v>
      </c>
      <c r="B268" s="50" t="s">
        <v>62</v>
      </c>
      <c r="C268" s="39" t="n">
        <v>0.1957</v>
      </c>
      <c r="D268" s="39" t="s">
        <v>58</v>
      </c>
      <c r="F268" s="66" t="s">
        <v>71</v>
      </c>
      <c r="G268" s="67" t="n">
        <v>1</v>
      </c>
      <c r="H268" s="68" t="n">
        <v>0</v>
      </c>
      <c r="I268" s="68" t="n">
        <v>0</v>
      </c>
      <c r="J268" s="69" t="n">
        <v>3</v>
      </c>
      <c r="K268" s="70" t="n">
        <v>4</v>
      </c>
    </row>
    <row r="269" customFormat="false" ht="12.8" hidden="false" customHeight="false" outlineLevel="0" collapsed="false">
      <c r="A269" s="39" t="n">
        <v>39</v>
      </c>
      <c r="B269" s="50" t="s">
        <v>56</v>
      </c>
      <c r="C269" s="39" t="n">
        <v>0.1896</v>
      </c>
      <c r="D269" s="39" t="s">
        <v>58</v>
      </c>
      <c r="F269" s="66" t="s">
        <v>63</v>
      </c>
      <c r="G269" s="67" t="n">
        <v>25</v>
      </c>
      <c r="H269" s="68" t="n">
        <v>15</v>
      </c>
      <c r="I269" s="68" t="n">
        <v>13</v>
      </c>
      <c r="J269" s="69" t="n">
        <v>22</v>
      </c>
      <c r="K269" s="70" t="n">
        <v>75</v>
      </c>
    </row>
    <row r="270" customFormat="false" ht="12.8" hidden="false" customHeight="false" outlineLevel="0" collapsed="false">
      <c r="A270" s="39" t="n">
        <v>39</v>
      </c>
      <c r="B270" s="50" t="s">
        <v>63</v>
      </c>
      <c r="C270" s="39" t="n">
        <v>0.1829</v>
      </c>
      <c r="D270" s="39" t="s">
        <v>58</v>
      </c>
      <c r="F270" s="66" t="s">
        <v>56</v>
      </c>
      <c r="G270" s="67" t="n">
        <v>25</v>
      </c>
      <c r="H270" s="68" t="n">
        <v>23</v>
      </c>
      <c r="I270" s="68" t="n">
        <v>25</v>
      </c>
      <c r="J270" s="69" t="n">
        <v>25</v>
      </c>
      <c r="K270" s="70" t="n">
        <v>98</v>
      </c>
    </row>
    <row r="271" customFormat="false" ht="12.8" hidden="false" customHeight="false" outlineLevel="0" collapsed="false">
      <c r="A271" s="39" t="n">
        <v>39</v>
      </c>
      <c r="B271" s="50" t="s">
        <v>61</v>
      </c>
      <c r="C271" s="39" t="n">
        <v>0.1745</v>
      </c>
      <c r="D271" s="39" t="s">
        <v>58</v>
      </c>
      <c r="F271" s="66" t="s">
        <v>65</v>
      </c>
      <c r="G271" s="71" t="n">
        <v>25</v>
      </c>
      <c r="H271" s="72" t="n">
        <v>25</v>
      </c>
      <c r="I271" s="72" t="n">
        <v>25</v>
      </c>
      <c r="J271" s="73" t="n">
        <v>25</v>
      </c>
      <c r="K271" s="74" t="n">
        <v>100</v>
      </c>
    </row>
    <row r="272" customFormat="false" ht="12.8" hidden="false" customHeight="false" outlineLevel="0" collapsed="false">
      <c r="A272" s="39" t="n">
        <v>39</v>
      </c>
      <c r="B272" s="50" t="s">
        <v>69</v>
      </c>
      <c r="C272" s="39" t="n">
        <v>0.1573</v>
      </c>
      <c r="D272" s="39" t="s">
        <v>58</v>
      </c>
      <c r="F272" s="75" t="s">
        <v>50</v>
      </c>
      <c r="G272" s="76" t="n">
        <v>150</v>
      </c>
      <c r="H272" s="77" t="n">
        <v>146</v>
      </c>
      <c r="I272" s="77" t="n">
        <v>146</v>
      </c>
      <c r="J272" s="78" t="n">
        <v>150</v>
      </c>
      <c r="K272" s="79" t="n">
        <v>592</v>
      </c>
    </row>
    <row r="273" customFormat="false" ht="12.8" hidden="false" customHeight="false" outlineLevel="0" collapsed="false">
      <c r="A273" s="39" t="n">
        <v>39</v>
      </c>
      <c r="B273" s="50" t="s">
        <v>65</v>
      </c>
      <c r="C273" s="39" t="n">
        <v>0.1</v>
      </c>
      <c r="D273" s="39" t="s">
        <v>58</v>
      </c>
    </row>
    <row r="274" customFormat="false" ht="12.8" hidden="false" customHeight="false" outlineLevel="0" collapsed="false">
      <c r="A274" s="39" t="n">
        <v>41</v>
      </c>
      <c r="B274" s="50" t="s">
        <v>62</v>
      </c>
      <c r="C274" s="39" t="n">
        <v>0.1994</v>
      </c>
      <c r="D274" s="39" t="s">
        <v>58</v>
      </c>
      <c r="F274" s="4" t="s">
        <v>75</v>
      </c>
    </row>
    <row r="275" customFormat="false" ht="12.8" hidden="false" customHeight="false" outlineLevel="0" collapsed="false">
      <c r="A275" s="39" t="n">
        <v>41</v>
      </c>
      <c r="B275" s="50" t="s">
        <v>56</v>
      </c>
      <c r="C275" s="39" t="n">
        <v>0.1904</v>
      </c>
      <c r="D275" s="39" t="s">
        <v>58</v>
      </c>
      <c r="F275" s="8" t="s">
        <v>13</v>
      </c>
      <c r="G275" s="8" t="n">
        <v>0.05</v>
      </c>
    </row>
    <row r="276" customFormat="false" ht="12.8" hidden="false" customHeight="false" outlineLevel="0" collapsed="false">
      <c r="A276" s="39" t="n">
        <v>41</v>
      </c>
      <c r="B276" s="50" t="s">
        <v>61</v>
      </c>
      <c r="C276" s="39" t="n">
        <v>0.1787</v>
      </c>
      <c r="D276" s="39" t="s">
        <v>58</v>
      </c>
      <c r="F276" s="8" t="s">
        <v>24</v>
      </c>
      <c r="G276" s="8" t="n">
        <f aca="false">(COLUMNS(anchors_raw_information!$G$261:$J$271) - 1) * (ROWS(anchors_raw_information!$G$261:$J$271) - 1)</f>
        <v>30</v>
      </c>
    </row>
    <row r="277" customFormat="false" ht="12.8" hidden="false" customHeight="false" outlineLevel="0" collapsed="false">
      <c r="A277" s="39" t="n">
        <v>41</v>
      </c>
      <c r="B277" s="50" t="s">
        <v>69</v>
      </c>
      <c r="C277" s="39" t="n">
        <v>0.1697</v>
      </c>
      <c r="D277" s="39" t="s">
        <v>58</v>
      </c>
      <c r="F277" s="8" t="s">
        <v>76</v>
      </c>
      <c r="G277" s="8" t="n">
        <f aca="false">CHITEST(anchors_raw_information!$G$261:$J$271, MMULT(MMULT(anchors_raw_information!$G$261:$J$271,TRANSPOSE(IF(COLUMN(anchors_raw_information!$G$261:$J$271),TRUE()))),MMULT(TRANSPOSE(IF(ROW(anchors_raw_information!$G$261:$J$271),TRUE())),anchors_raw_information!$G$261:$J$271)) / SUM(anchors_raw_information!$G$261:$J$271))</f>
        <v>0.010693264321077</v>
      </c>
    </row>
    <row r="278" customFormat="false" ht="12.8" hidden="false" customHeight="false" outlineLevel="0" collapsed="false">
      <c r="A278" s="39" t="n">
        <v>41</v>
      </c>
      <c r="B278" s="50" t="s">
        <v>63</v>
      </c>
      <c r="C278" s="39" t="n">
        <v>0.1618</v>
      </c>
      <c r="D278" s="39" t="s">
        <v>58</v>
      </c>
      <c r="F278" s="8" t="s">
        <v>77</v>
      </c>
      <c r="G278" s="8" t="n">
        <f aca="false">CHIINV(anchors_raw_information!$G$277, anchors_raw_information!$G$276)</f>
        <v>50.615989493747</v>
      </c>
    </row>
    <row r="279" customFormat="false" ht="12.8" hidden="false" customHeight="false" outlineLevel="0" collapsed="false">
      <c r="A279" s="39" t="n">
        <v>41</v>
      </c>
      <c r="B279" s="50" t="s">
        <v>65</v>
      </c>
      <c r="C279" s="39" t="n">
        <v>0.1</v>
      </c>
      <c r="D279" s="39" t="s">
        <v>58</v>
      </c>
      <c r="F279" s="8" t="s">
        <v>78</v>
      </c>
      <c r="G279" s="8" t="n">
        <f aca="false">CHIINV(anchors_raw_information!$G$275, anchors_raw_information!$G$276)</f>
        <v>43.7729718257422</v>
      </c>
    </row>
    <row r="280" customFormat="false" ht="12.8" hidden="false" customHeight="false" outlineLevel="0" collapsed="false">
      <c r="A280" s="39" t="n">
        <v>43</v>
      </c>
      <c r="B280" s="50" t="s">
        <v>61</v>
      </c>
      <c r="C280" s="39" t="n">
        <v>0.2122</v>
      </c>
      <c r="D280" s="39" t="s">
        <v>58</v>
      </c>
    </row>
    <row r="281" customFormat="false" ht="12.8" hidden="false" customHeight="false" outlineLevel="0" collapsed="false">
      <c r="A281" s="39" t="n">
        <v>43</v>
      </c>
      <c r="B281" s="50" t="s">
        <v>62</v>
      </c>
      <c r="C281" s="39" t="n">
        <v>0.197</v>
      </c>
      <c r="D281" s="39" t="s">
        <v>58</v>
      </c>
      <c r="F281" s="3" t="s">
        <v>79</v>
      </c>
    </row>
    <row r="282" customFormat="false" ht="12.8" hidden="false" customHeight="false" outlineLevel="0" collapsed="false">
      <c r="A282" s="39" t="n">
        <v>43</v>
      </c>
      <c r="B282" s="50" t="s">
        <v>69</v>
      </c>
      <c r="C282" s="39" t="n">
        <v>0.1694</v>
      </c>
      <c r="D282" s="39" t="s">
        <v>58</v>
      </c>
      <c r="F282" s="61" t="s">
        <v>64</v>
      </c>
      <c r="G282" s="62" t="n">
        <v>11</v>
      </c>
      <c r="H282" s="63" t="n">
        <v>3</v>
      </c>
      <c r="I282" s="63" t="n">
        <v>10</v>
      </c>
      <c r="J282" s="64" t="n">
        <v>10</v>
      </c>
    </row>
    <row r="283" customFormat="false" ht="12.8" hidden="false" customHeight="false" outlineLevel="0" collapsed="false">
      <c r="A283" s="39" t="n">
        <v>43</v>
      </c>
      <c r="B283" s="50" t="s">
        <v>56</v>
      </c>
      <c r="C283" s="39" t="n">
        <v>0.1634</v>
      </c>
      <c r="D283" s="39" t="s">
        <v>58</v>
      </c>
      <c r="F283" s="66" t="s">
        <v>67</v>
      </c>
      <c r="G283" s="67" t="n">
        <v>10</v>
      </c>
      <c r="H283" s="68" t="n">
        <v>7</v>
      </c>
      <c r="I283" s="68" t="n">
        <v>8</v>
      </c>
      <c r="J283" s="69" t="n">
        <v>6</v>
      </c>
    </row>
    <row r="284" customFormat="false" ht="12.8" hidden="false" customHeight="false" outlineLevel="0" collapsed="false">
      <c r="A284" s="39" t="n">
        <v>43</v>
      </c>
      <c r="B284" s="50" t="s">
        <v>70</v>
      </c>
      <c r="C284" s="39" t="n">
        <v>0.158</v>
      </c>
      <c r="D284" s="39" t="s">
        <v>58</v>
      </c>
      <c r="F284" s="66" t="s">
        <v>69</v>
      </c>
      <c r="G284" s="67" t="n">
        <v>0</v>
      </c>
      <c r="H284" s="68" t="n">
        <v>19</v>
      </c>
      <c r="I284" s="68" t="n">
        <v>15</v>
      </c>
      <c r="J284" s="69" t="n">
        <v>6</v>
      </c>
    </row>
    <row r="285" customFormat="false" ht="12.8" hidden="false" customHeight="false" outlineLevel="0" collapsed="false">
      <c r="A285" s="39" t="n">
        <v>43</v>
      </c>
      <c r="B285" s="50" t="s">
        <v>65</v>
      </c>
      <c r="C285" s="39" t="n">
        <v>0.1</v>
      </c>
      <c r="D285" s="39" t="s">
        <v>58</v>
      </c>
      <c r="F285" s="66" t="s">
        <v>61</v>
      </c>
      <c r="G285" s="67" t="n">
        <v>23</v>
      </c>
      <c r="H285" s="68" t="n">
        <v>24</v>
      </c>
      <c r="I285" s="68" t="n">
        <v>20</v>
      </c>
      <c r="J285" s="69" t="n">
        <v>25</v>
      </c>
    </row>
    <row r="286" customFormat="false" ht="12.8" hidden="false" customHeight="false" outlineLevel="0" collapsed="false">
      <c r="A286" s="39" t="n">
        <v>45</v>
      </c>
      <c r="B286" s="50" t="s">
        <v>62</v>
      </c>
      <c r="C286" s="39" t="n">
        <v>0.4586</v>
      </c>
      <c r="D286" s="39" t="s">
        <v>58</v>
      </c>
      <c r="F286" s="66" t="s">
        <v>66</v>
      </c>
      <c r="G286" s="67" t="n">
        <v>3</v>
      </c>
      <c r="H286" s="68" t="n">
        <v>0</v>
      </c>
      <c r="I286" s="68" t="n">
        <v>4</v>
      </c>
      <c r="J286" s="69" t="n">
        <v>3</v>
      </c>
    </row>
    <row r="287" customFormat="false" ht="12.8" hidden="false" customHeight="false" outlineLevel="0" collapsed="false">
      <c r="A287" s="39" t="n">
        <v>45</v>
      </c>
      <c r="B287" s="50" t="s">
        <v>56</v>
      </c>
      <c r="C287" s="39" t="n">
        <v>0.4414</v>
      </c>
      <c r="D287" s="39" t="s">
        <v>58</v>
      </c>
      <c r="F287" s="66" t="s">
        <v>62</v>
      </c>
      <c r="G287" s="67" t="n">
        <v>25</v>
      </c>
      <c r="H287" s="68" t="n">
        <v>25</v>
      </c>
      <c r="I287" s="68" t="n">
        <v>25</v>
      </c>
      <c r="J287" s="69" t="n">
        <v>25</v>
      </c>
    </row>
    <row r="288" customFormat="false" ht="12.8" hidden="false" customHeight="false" outlineLevel="0" collapsed="false">
      <c r="A288" s="39" t="n">
        <v>45</v>
      </c>
      <c r="B288" s="50" t="s">
        <v>65</v>
      </c>
      <c r="C288" s="39" t="n">
        <v>0.1</v>
      </c>
      <c r="D288" s="39" t="s">
        <v>58</v>
      </c>
      <c r="F288" s="66" t="s">
        <v>63</v>
      </c>
      <c r="G288" s="67" t="n">
        <v>25</v>
      </c>
      <c r="H288" s="68" t="n">
        <v>15</v>
      </c>
      <c r="I288" s="68" t="n">
        <v>13</v>
      </c>
      <c r="J288" s="69" t="n">
        <v>22</v>
      </c>
    </row>
    <row r="289" customFormat="false" ht="12.8" hidden="false" customHeight="false" outlineLevel="0" collapsed="false">
      <c r="A289" s="39" t="n">
        <v>47</v>
      </c>
      <c r="B289" s="50" t="s">
        <v>62</v>
      </c>
      <c r="C289" s="39" t="n">
        <v>0.2568</v>
      </c>
      <c r="D289" s="39" t="s">
        <v>58</v>
      </c>
      <c r="F289" s="66" t="s">
        <v>56</v>
      </c>
      <c r="G289" s="67" t="n">
        <v>25</v>
      </c>
      <c r="H289" s="68" t="n">
        <v>23</v>
      </c>
      <c r="I289" s="68" t="n">
        <v>25</v>
      </c>
      <c r="J289" s="69" t="n">
        <v>25</v>
      </c>
    </row>
    <row r="290" customFormat="false" ht="12.8" hidden="false" customHeight="false" outlineLevel="0" collapsed="false">
      <c r="A290" s="39" t="n">
        <v>47</v>
      </c>
      <c r="B290" s="50" t="s">
        <v>61</v>
      </c>
      <c r="C290" s="39" t="n">
        <v>0.231</v>
      </c>
      <c r="D290" s="39" t="s">
        <v>58</v>
      </c>
      <c r="F290" s="66" t="s">
        <v>65</v>
      </c>
      <c r="G290" s="71" t="n">
        <v>25</v>
      </c>
      <c r="H290" s="72" t="n">
        <v>25</v>
      </c>
      <c r="I290" s="72" t="n">
        <v>25</v>
      </c>
      <c r="J290" s="73" t="n">
        <v>25</v>
      </c>
    </row>
    <row r="291" customFormat="false" ht="12.8" hidden="false" customHeight="false" outlineLevel="0" collapsed="false">
      <c r="A291" s="39" t="n">
        <v>47</v>
      </c>
      <c r="B291" s="50" t="s">
        <v>67</v>
      </c>
      <c r="C291" s="39" t="n">
        <v>0.2132</v>
      </c>
      <c r="D291" s="39" t="s">
        <v>58</v>
      </c>
    </row>
    <row r="292" customFormat="false" ht="12.8" hidden="false" customHeight="false" outlineLevel="0" collapsed="false">
      <c r="A292" s="39" t="n">
        <v>47</v>
      </c>
      <c r="B292" s="50" t="s">
        <v>69</v>
      </c>
      <c r="C292" s="39" t="n">
        <v>0.1989</v>
      </c>
      <c r="D292" s="39" t="s">
        <v>58</v>
      </c>
      <c r="F292" s="4" t="s">
        <v>80</v>
      </c>
    </row>
    <row r="293" customFormat="false" ht="12.8" hidden="false" customHeight="false" outlineLevel="0" collapsed="false">
      <c r="A293" s="39" t="n">
        <v>47</v>
      </c>
      <c r="B293" s="50" t="s">
        <v>65</v>
      </c>
      <c r="C293" s="39" t="n">
        <v>0.1</v>
      </c>
      <c r="D293" s="39" t="s">
        <v>58</v>
      </c>
      <c r="F293" s="4" t="s">
        <v>13</v>
      </c>
      <c r="G293" s="8" t="n">
        <v>0.05</v>
      </c>
    </row>
    <row r="294" customFormat="false" ht="12.8" hidden="false" customHeight="false" outlineLevel="0" collapsed="false">
      <c r="A294" s="39" t="n">
        <v>49</v>
      </c>
      <c r="B294" s="50" t="s">
        <v>62</v>
      </c>
      <c r="C294" s="39" t="n">
        <v>0.2064</v>
      </c>
      <c r="D294" s="39" t="s">
        <v>58</v>
      </c>
      <c r="F294" s="8" t="s">
        <v>24</v>
      </c>
      <c r="G294" s="8" t="n">
        <f aca="false">(COLUMNS(anchors_raw_information!$G$282:$J$290) - 1) * (ROWS(anchors_raw_information!$G$282:$J$290) - 1)</f>
        <v>24</v>
      </c>
    </row>
    <row r="295" customFormat="false" ht="12.8" hidden="false" customHeight="false" outlineLevel="0" collapsed="false">
      <c r="A295" s="39" t="n">
        <v>49</v>
      </c>
      <c r="B295" s="50" t="s">
        <v>63</v>
      </c>
      <c r="C295" s="39" t="n">
        <v>0.1851</v>
      </c>
      <c r="D295" s="39" t="s">
        <v>58</v>
      </c>
      <c r="F295" s="8" t="s">
        <v>76</v>
      </c>
      <c r="G295" s="8" t="n">
        <f aca="false">CHITEST(anchors_raw_information!$G$282:$J$290, MMULT(MMULT(anchors_raw_information!$G$282:$J$290,TRANSPOSE(IF(COLUMN(anchors_raw_information!$G$282:$J$290),TRUE()))),MMULT(TRANSPOSE(IF(ROW(anchors_raw_information!$G$282:$J$290),TRUE())),anchors_raw_information!$G$282:$J$290)) / SUM(anchors_raw_information!$G$282:$J$290))</f>
        <v>0.0373996290385919</v>
      </c>
    </row>
    <row r="296" customFormat="false" ht="12.8" hidden="false" customHeight="false" outlineLevel="0" collapsed="false">
      <c r="A296" s="39" t="n">
        <v>49</v>
      </c>
      <c r="B296" s="50" t="s">
        <v>61</v>
      </c>
      <c r="C296" s="39" t="n">
        <v>0.1713</v>
      </c>
      <c r="D296" s="39" t="s">
        <v>58</v>
      </c>
      <c r="F296" s="8" t="s">
        <v>77</v>
      </c>
      <c r="G296" s="8" t="n">
        <f aca="false">CHIINV(anchors_raw_information!$G$295, anchors_raw_information!$G$294)</f>
        <v>37.6775861264827</v>
      </c>
    </row>
    <row r="297" customFormat="false" ht="12.8" hidden="false" customHeight="false" outlineLevel="0" collapsed="false">
      <c r="A297" s="39" t="n">
        <v>49</v>
      </c>
      <c r="B297" s="50" t="s">
        <v>69</v>
      </c>
      <c r="C297" s="39" t="n">
        <v>0.1712</v>
      </c>
      <c r="D297" s="39" t="s">
        <v>58</v>
      </c>
      <c r="F297" s="8" t="s">
        <v>78</v>
      </c>
      <c r="G297" s="8" t="n">
        <f aca="false">CHIINV(anchors_raw_information!$G$293, anchors_raw_information!$G$294)</f>
        <v>36.4150285018073</v>
      </c>
    </row>
    <row r="298" customFormat="false" ht="12.8" hidden="false" customHeight="false" outlineLevel="0" collapsed="false">
      <c r="A298" s="39" t="n">
        <v>49</v>
      </c>
      <c r="B298" s="50" t="s">
        <v>70</v>
      </c>
      <c r="C298" s="39" t="n">
        <v>0.166</v>
      </c>
      <c r="D298" s="39" t="s">
        <v>58</v>
      </c>
    </row>
    <row r="299" customFormat="false" ht="12.8" hidden="false" customHeight="false" outlineLevel="0" collapsed="false">
      <c r="A299" s="39" t="n">
        <v>49</v>
      </c>
      <c r="B299" s="50" t="s">
        <v>65</v>
      </c>
      <c r="C299" s="39" t="n">
        <v>0.1</v>
      </c>
      <c r="D299" s="39" t="s">
        <v>58</v>
      </c>
    </row>
    <row r="300" customFormat="false" ht="12.8" hidden="false" customHeight="false" outlineLevel="0" collapsed="false">
      <c r="A300" s="80" t="n">
        <v>1</v>
      </c>
      <c r="B300" s="81" t="s">
        <v>62</v>
      </c>
      <c r="C300" s="80" t="n">
        <v>0.2068</v>
      </c>
      <c r="D300" s="80" t="s">
        <v>59</v>
      </c>
      <c r="F300" s="3" t="s">
        <v>81</v>
      </c>
    </row>
    <row r="301" customFormat="false" ht="12.8" hidden="false" customHeight="false" outlineLevel="0" collapsed="false">
      <c r="A301" s="80" t="n">
        <v>1</v>
      </c>
      <c r="B301" s="81" t="s">
        <v>56</v>
      </c>
      <c r="C301" s="80" t="n">
        <v>0.1966</v>
      </c>
      <c r="D301" s="80" t="s">
        <v>59</v>
      </c>
      <c r="F301" s="61" t="s">
        <v>64</v>
      </c>
      <c r="G301" s="62" t="n">
        <v>11</v>
      </c>
      <c r="H301" s="63" t="n">
        <v>3</v>
      </c>
      <c r="I301" s="63" t="n">
        <v>10</v>
      </c>
      <c r="J301" s="64" t="n">
        <v>10</v>
      </c>
    </row>
    <row r="302" customFormat="false" ht="12.8" hidden="false" customHeight="false" outlineLevel="0" collapsed="false">
      <c r="A302" s="80" t="n">
        <v>1</v>
      </c>
      <c r="B302" s="81" t="s">
        <v>61</v>
      </c>
      <c r="C302" s="80" t="n">
        <v>0.1723</v>
      </c>
      <c r="D302" s="80" t="s">
        <v>59</v>
      </c>
      <c r="F302" s="66" t="s">
        <v>67</v>
      </c>
      <c r="G302" s="67" t="n">
        <v>10</v>
      </c>
      <c r="H302" s="68" t="n">
        <v>7</v>
      </c>
      <c r="I302" s="68" t="n">
        <v>8</v>
      </c>
      <c r="J302" s="69" t="n">
        <v>6</v>
      </c>
    </row>
    <row r="303" customFormat="false" ht="12.8" hidden="false" customHeight="false" outlineLevel="0" collapsed="false">
      <c r="A303" s="80" t="n">
        <v>1</v>
      </c>
      <c r="B303" s="81" t="s">
        <v>64</v>
      </c>
      <c r="C303" s="80" t="n">
        <v>0.1636</v>
      </c>
      <c r="D303" s="80" t="s">
        <v>59</v>
      </c>
      <c r="F303" s="66" t="s">
        <v>69</v>
      </c>
      <c r="G303" s="67" t="n">
        <v>0</v>
      </c>
      <c r="H303" s="68" t="n">
        <v>19</v>
      </c>
      <c r="I303" s="68" t="n">
        <v>15</v>
      </c>
      <c r="J303" s="69" t="n">
        <v>6</v>
      </c>
    </row>
    <row r="304" customFormat="false" ht="12.8" hidden="false" customHeight="false" outlineLevel="0" collapsed="false">
      <c r="A304" s="80" t="n">
        <v>1</v>
      </c>
      <c r="B304" s="81" t="s">
        <v>63</v>
      </c>
      <c r="C304" s="80" t="n">
        <v>0.1606</v>
      </c>
      <c r="D304" s="80" t="s">
        <v>59</v>
      </c>
      <c r="F304" s="66" t="s">
        <v>61</v>
      </c>
      <c r="G304" s="67" t="n">
        <v>23</v>
      </c>
      <c r="H304" s="68" t="n">
        <v>24</v>
      </c>
      <c r="I304" s="68" t="n">
        <v>20</v>
      </c>
      <c r="J304" s="69" t="n">
        <v>25</v>
      </c>
    </row>
    <row r="305" customFormat="false" ht="12.8" hidden="false" customHeight="false" outlineLevel="0" collapsed="false">
      <c r="A305" s="80" t="n">
        <v>1</v>
      </c>
      <c r="B305" s="81" t="s">
        <v>65</v>
      </c>
      <c r="C305" s="80" t="n">
        <v>0.1</v>
      </c>
      <c r="D305" s="80" t="s">
        <v>59</v>
      </c>
      <c r="F305" s="66" t="s">
        <v>66</v>
      </c>
      <c r="G305" s="67" t="n">
        <v>3</v>
      </c>
      <c r="H305" s="68" t="n">
        <v>0</v>
      </c>
      <c r="I305" s="68" t="n">
        <v>4</v>
      </c>
      <c r="J305" s="69" t="n">
        <v>3</v>
      </c>
    </row>
    <row r="306" customFormat="false" ht="12.8" hidden="false" customHeight="false" outlineLevel="0" collapsed="false">
      <c r="A306" s="80" t="n">
        <v>3</v>
      </c>
      <c r="B306" s="81" t="s">
        <v>62</v>
      </c>
      <c r="C306" s="80" t="n">
        <v>0.2204</v>
      </c>
      <c r="D306" s="80" t="s">
        <v>59</v>
      </c>
      <c r="F306" s="66" t="s">
        <v>62</v>
      </c>
      <c r="G306" s="67" t="n">
        <v>25</v>
      </c>
      <c r="H306" s="68" t="n">
        <v>25</v>
      </c>
      <c r="I306" s="68" t="n">
        <v>25</v>
      </c>
      <c r="J306" s="69" t="n">
        <v>25</v>
      </c>
    </row>
    <row r="307" customFormat="false" ht="12.8" hidden="false" customHeight="false" outlineLevel="0" collapsed="false">
      <c r="A307" s="80" t="n">
        <v>3</v>
      </c>
      <c r="B307" s="81" t="s">
        <v>63</v>
      </c>
      <c r="C307" s="80" t="n">
        <v>0.1964</v>
      </c>
      <c r="D307" s="80" t="s">
        <v>59</v>
      </c>
      <c r="F307" s="66" t="s">
        <v>63</v>
      </c>
      <c r="G307" s="67" t="n">
        <v>25</v>
      </c>
      <c r="H307" s="68" t="n">
        <v>15</v>
      </c>
      <c r="I307" s="68" t="n">
        <v>13</v>
      </c>
      <c r="J307" s="69" t="n">
        <v>22</v>
      </c>
    </row>
    <row r="308" customFormat="false" ht="12.8" hidden="false" customHeight="false" outlineLevel="0" collapsed="false">
      <c r="A308" s="80" t="n">
        <v>3</v>
      </c>
      <c r="B308" s="81" t="s">
        <v>56</v>
      </c>
      <c r="C308" s="80" t="n">
        <v>0.1738</v>
      </c>
      <c r="D308" s="80" t="s">
        <v>59</v>
      </c>
      <c r="F308" s="66" t="s">
        <v>56</v>
      </c>
      <c r="G308" s="67" t="n">
        <v>25</v>
      </c>
      <c r="H308" s="68" t="n">
        <v>23</v>
      </c>
      <c r="I308" s="68" t="n">
        <v>25</v>
      </c>
      <c r="J308" s="69" t="n">
        <v>25</v>
      </c>
    </row>
    <row r="309" customFormat="false" ht="12.8" hidden="false" customHeight="false" outlineLevel="0" collapsed="false">
      <c r="A309" s="80" t="n">
        <v>3</v>
      </c>
      <c r="B309" s="81" t="s">
        <v>69</v>
      </c>
      <c r="C309" s="80" t="n">
        <v>0.1584</v>
      </c>
      <c r="D309" s="80" t="s">
        <v>59</v>
      </c>
    </row>
    <row r="310" customFormat="false" ht="12.8" hidden="false" customHeight="false" outlineLevel="0" collapsed="false">
      <c r="A310" s="80" t="n">
        <v>3</v>
      </c>
      <c r="B310" s="81" t="s">
        <v>67</v>
      </c>
      <c r="C310" s="80" t="n">
        <v>0.1509</v>
      </c>
      <c r="D310" s="80" t="s">
        <v>59</v>
      </c>
      <c r="F310" s="4" t="s">
        <v>75</v>
      </c>
    </row>
    <row r="311" customFormat="false" ht="12.8" hidden="false" customHeight="false" outlineLevel="0" collapsed="false">
      <c r="A311" s="80" t="n">
        <v>3</v>
      </c>
      <c r="B311" s="81" t="s">
        <v>65</v>
      </c>
      <c r="C311" s="80" t="n">
        <v>0.1</v>
      </c>
      <c r="D311" s="80" t="s">
        <v>59</v>
      </c>
      <c r="F311" s="8" t="s">
        <v>13</v>
      </c>
      <c r="G311" s="8" t="n">
        <v>0.05</v>
      </c>
    </row>
    <row r="312" customFormat="false" ht="12.8" hidden="false" customHeight="false" outlineLevel="0" collapsed="false">
      <c r="A312" s="80" t="n">
        <v>5</v>
      </c>
      <c r="B312" s="81" t="s">
        <v>62</v>
      </c>
      <c r="C312" s="80" t="n">
        <v>0.2176</v>
      </c>
      <c r="D312" s="80" t="s">
        <v>59</v>
      </c>
      <c r="F312" s="8" t="s">
        <v>24</v>
      </c>
      <c r="G312" s="8" t="n">
        <f aca="false">(COLUMNS(anchors_raw_information!$G$301:$J$308) - 1) * (ROWS(anchors_raw_information!$G$301:$J$308) - 1)</f>
        <v>21</v>
      </c>
    </row>
    <row r="313" customFormat="false" ht="12.8" hidden="false" customHeight="false" outlineLevel="0" collapsed="false">
      <c r="A313" s="80" t="n">
        <v>5</v>
      </c>
      <c r="B313" s="81" t="s">
        <v>56</v>
      </c>
      <c r="C313" s="80" t="n">
        <v>0.1759</v>
      </c>
      <c r="D313" s="80" t="s">
        <v>59</v>
      </c>
      <c r="F313" s="8" t="s">
        <v>76</v>
      </c>
      <c r="G313" s="8" t="n">
        <f aca="false">CHITEST(anchors_raw_information!$G$301:$J$308, MMULT(MMULT(anchors_raw_information!$G$301:$J$308,TRANSPOSE(IF(COLUMN(anchors_raw_information!$G$301:$J$308),TRUE()))),MMULT(TRANSPOSE(IF(ROW(anchors_raw_information!$G$301:$J$308),TRUE())),anchors_raw_information!$G$301:$J$308)) / SUM(anchors_raw_information!$G$301:$J$308))</f>
        <v>0.0140171883186447</v>
      </c>
    </row>
    <row r="314" customFormat="false" ht="12.8" hidden="false" customHeight="false" outlineLevel="0" collapsed="false">
      <c r="A314" s="80" t="n">
        <v>5</v>
      </c>
      <c r="B314" s="81" t="s">
        <v>63</v>
      </c>
      <c r="C314" s="80" t="n">
        <v>0.1699</v>
      </c>
      <c r="D314" s="80" t="s">
        <v>59</v>
      </c>
      <c r="F314" s="8" t="s">
        <v>77</v>
      </c>
      <c r="G314" s="8" t="n">
        <f aca="false">CHIINV(anchors_raw_information!$G$313, anchors_raw_information!$G$312)</f>
        <v>37.6878713639144</v>
      </c>
    </row>
    <row r="315" customFormat="false" ht="12.8" hidden="false" customHeight="false" outlineLevel="0" collapsed="false">
      <c r="A315" s="80" t="n">
        <v>5</v>
      </c>
      <c r="B315" s="81" t="s">
        <v>69</v>
      </c>
      <c r="C315" s="80" t="n">
        <v>0.1684</v>
      </c>
      <c r="D315" s="80" t="s">
        <v>59</v>
      </c>
      <c r="F315" s="8" t="s">
        <v>78</v>
      </c>
      <c r="G315" s="8" t="n">
        <f aca="false">CHIINV(anchors_raw_information!$G$311, anchors_raw_information!$G$312)</f>
        <v>32.6705733409173</v>
      </c>
    </row>
    <row r="316" customFormat="false" ht="12.8" hidden="false" customHeight="false" outlineLevel="0" collapsed="false">
      <c r="A316" s="80" t="n">
        <v>5</v>
      </c>
      <c r="B316" s="81" t="s">
        <v>61</v>
      </c>
      <c r="C316" s="80" t="n">
        <v>0.1681</v>
      </c>
      <c r="D316" s="80" t="s">
        <v>59</v>
      </c>
    </row>
    <row r="317" customFormat="false" ht="12.8" hidden="false" customHeight="false" outlineLevel="0" collapsed="false">
      <c r="A317" s="80" t="n">
        <v>5</v>
      </c>
      <c r="B317" s="81" t="s">
        <v>65</v>
      </c>
      <c r="C317" s="80" t="n">
        <v>0.1</v>
      </c>
      <c r="D317" s="80" t="s">
        <v>59</v>
      </c>
    </row>
    <row r="318" customFormat="false" ht="12.8" hidden="false" customHeight="false" outlineLevel="0" collapsed="false">
      <c r="A318" s="80" t="n">
        <v>7</v>
      </c>
      <c r="B318" s="81" t="s">
        <v>62</v>
      </c>
      <c r="C318" s="80" t="n">
        <v>0.2192</v>
      </c>
      <c r="D318" s="80" t="s">
        <v>59</v>
      </c>
      <c r="F318" s="4" t="s">
        <v>82</v>
      </c>
    </row>
    <row r="319" customFormat="false" ht="12.8" hidden="false" customHeight="false" outlineLevel="0" collapsed="false">
      <c r="A319" s="80" t="n">
        <v>7</v>
      </c>
      <c r="B319" s="81" t="s">
        <v>56</v>
      </c>
      <c r="C319" s="80" t="n">
        <v>0.1921</v>
      </c>
      <c r="D319" s="80" t="s">
        <v>59</v>
      </c>
    </row>
    <row r="320" customFormat="false" ht="12.8" hidden="false" customHeight="false" outlineLevel="0" collapsed="false">
      <c r="A320" s="80" t="n">
        <v>7</v>
      </c>
      <c r="B320" s="81" t="s">
        <v>61</v>
      </c>
      <c r="C320" s="80" t="n">
        <v>0.1849</v>
      </c>
      <c r="D320" s="80" t="s">
        <v>59</v>
      </c>
      <c r="F320" s="43"/>
      <c r="G320" s="44"/>
      <c r="H320" s="10" t="s">
        <v>54</v>
      </c>
      <c r="I320" s="11"/>
      <c r="J320" s="11"/>
      <c r="K320" s="11"/>
      <c r="L320" s="12"/>
    </row>
    <row r="321" customFormat="false" ht="12.8" hidden="false" customHeight="false" outlineLevel="0" collapsed="false">
      <c r="A321" s="80" t="n">
        <v>7</v>
      </c>
      <c r="B321" s="81" t="s">
        <v>63</v>
      </c>
      <c r="C321" s="80" t="n">
        <v>0.1522</v>
      </c>
      <c r="D321" s="80" t="s">
        <v>59</v>
      </c>
      <c r="F321" s="13" t="s">
        <v>52</v>
      </c>
      <c r="G321" s="45" t="s">
        <v>83</v>
      </c>
      <c r="H321" s="14" t="s">
        <v>57</v>
      </c>
      <c r="I321" s="15" t="s">
        <v>58</v>
      </c>
      <c r="J321" s="15" t="s">
        <v>59</v>
      </c>
      <c r="K321" s="15" t="s">
        <v>60</v>
      </c>
      <c r="L321" s="16" t="s">
        <v>50</v>
      </c>
    </row>
    <row r="322" customFormat="false" ht="12.8" hidden="false" customHeight="false" outlineLevel="0" collapsed="false">
      <c r="A322" s="80" t="n">
        <v>7</v>
      </c>
      <c r="B322" s="81" t="s">
        <v>67</v>
      </c>
      <c r="C322" s="80" t="n">
        <v>0.1516</v>
      </c>
      <c r="D322" s="80" t="s">
        <v>59</v>
      </c>
      <c r="F322" s="40" t="s">
        <v>64</v>
      </c>
      <c r="G322" s="46" t="s">
        <v>72</v>
      </c>
      <c r="H322" s="82" t="n">
        <v>11</v>
      </c>
      <c r="I322" s="83" t="n">
        <v>3</v>
      </c>
      <c r="J322" s="83" t="n">
        <v>10</v>
      </c>
      <c r="K322" s="84" t="n">
        <v>10</v>
      </c>
      <c r="L322" s="85" t="n">
        <v>34</v>
      </c>
    </row>
    <row r="323" customFormat="false" ht="12.8" hidden="false" customHeight="false" outlineLevel="0" collapsed="false">
      <c r="A323" s="80" t="n">
        <v>7</v>
      </c>
      <c r="B323" s="81" t="s">
        <v>65</v>
      </c>
      <c r="C323" s="80" t="n">
        <v>0.1</v>
      </c>
      <c r="D323" s="80" t="s">
        <v>59</v>
      </c>
      <c r="F323" s="48"/>
      <c r="G323" s="49" t="s">
        <v>84</v>
      </c>
      <c r="H323" s="86" t="n">
        <v>0.157254545454545</v>
      </c>
      <c r="I323" s="87" t="n">
        <v>0.164066666666667</v>
      </c>
      <c r="J323" s="87" t="n">
        <v>0.16736</v>
      </c>
      <c r="K323" s="88" t="n">
        <v>0.1613</v>
      </c>
      <c r="L323" s="89" t="n">
        <v>0.162017647058824</v>
      </c>
    </row>
    <row r="324" customFormat="false" ht="12.8" hidden="false" customHeight="false" outlineLevel="0" collapsed="false">
      <c r="A324" s="80" t="n">
        <v>9</v>
      </c>
      <c r="B324" s="81" t="s">
        <v>62</v>
      </c>
      <c r="C324" s="80" t="n">
        <v>0.209</v>
      </c>
      <c r="D324" s="80" t="s">
        <v>59</v>
      </c>
      <c r="F324" s="40" t="s">
        <v>67</v>
      </c>
      <c r="G324" s="46" t="s">
        <v>72</v>
      </c>
      <c r="H324" s="83" t="n">
        <v>10</v>
      </c>
      <c r="I324" s="83" t="n">
        <v>7</v>
      </c>
      <c r="J324" s="83" t="n">
        <v>8</v>
      </c>
      <c r="K324" s="83" t="n">
        <v>6</v>
      </c>
      <c r="L324" s="85" t="n">
        <v>31</v>
      </c>
    </row>
    <row r="325" customFormat="false" ht="12.8" hidden="false" customHeight="false" outlineLevel="0" collapsed="false">
      <c r="A325" s="80" t="n">
        <v>9</v>
      </c>
      <c r="B325" s="81" t="s">
        <v>56</v>
      </c>
      <c r="C325" s="80" t="n">
        <v>0.1927</v>
      </c>
      <c r="D325" s="80" t="s">
        <v>59</v>
      </c>
      <c r="F325" s="48"/>
      <c r="G325" s="49" t="s">
        <v>84</v>
      </c>
      <c r="H325" s="87" t="n">
        <v>0.16259</v>
      </c>
      <c r="I325" s="87" t="n">
        <v>0.166228571428571</v>
      </c>
      <c r="J325" s="87" t="n">
        <v>0.1677625</v>
      </c>
      <c r="K325" s="87" t="n">
        <v>0.160233333333333</v>
      </c>
      <c r="L325" s="89" t="n">
        <v>0.164290322580645</v>
      </c>
    </row>
    <row r="326" customFormat="false" ht="12.8" hidden="false" customHeight="false" outlineLevel="0" collapsed="false">
      <c r="A326" s="80" t="n">
        <v>9</v>
      </c>
      <c r="B326" s="81" t="s">
        <v>64</v>
      </c>
      <c r="C326" s="80" t="n">
        <v>0.1748</v>
      </c>
      <c r="D326" s="80" t="s">
        <v>59</v>
      </c>
      <c r="F326" s="40" t="s">
        <v>70</v>
      </c>
      <c r="G326" s="46" t="s">
        <v>72</v>
      </c>
      <c r="H326" s="82" t="n">
        <v>2</v>
      </c>
      <c r="I326" s="83" t="n">
        <v>5</v>
      </c>
      <c r="J326" s="83" t="n">
        <v>1</v>
      </c>
      <c r="K326" s="20"/>
      <c r="L326" s="85" t="n">
        <v>8</v>
      </c>
    </row>
    <row r="327" customFormat="false" ht="12.8" hidden="false" customHeight="false" outlineLevel="0" collapsed="false">
      <c r="A327" s="80" t="n">
        <v>9</v>
      </c>
      <c r="B327" s="81" t="s">
        <v>61</v>
      </c>
      <c r="C327" s="80" t="n">
        <v>0.1648</v>
      </c>
      <c r="D327" s="80" t="s">
        <v>59</v>
      </c>
      <c r="F327" s="48"/>
      <c r="G327" s="49" t="s">
        <v>84</v>
      </c>
      <c r="H327" s="86" t="n">
        <v>0.1569</v>
      </c>
      <c r="I327" s="87" t="n">
        <v>0.15472</v>
      </c>
      <c r="J327" s="87" t="n">
        <v>0.1453</v>
      </c>
      <c r="K327" s="29"/>
      <c r="L327" s="89" t="n">
        <v>0.1540875</v>
      </c>
    </row>
    <row r="328" customFormat="false" ht="12.8" hidden="false" customHeight="false" outlineLevel="0" collapsed="false">
      <c r="A328" s="80" t="n">
        <v>9</v>
      </c>
      <c r="B328" s="81" t="s">
        <v>67</v>
      </c>
      <c r="C328" s="80" t="n">
        <v>0.1588</v>
      </c>
      <c r="D328" s="80" t="s">
        <v>59</v>
      </c>
      <c r="F328" s="40" t="s">
        <v>69</v>
      </c>
      <c r="G328" s="46" t="s">
        <v>72</v>
      </c>
      <c r="H328" s="19"/>
      <c r="I328" s="83" t="n">
        <v>19</v>
      </c>
      <c r="J328" s="83" t="n">
        <v>15</v>
      </c>
      <c r="K328" s="83" t="n">
        <v>6</v>
      </c>
      <c r="L328" s="85" t="n">
        <v>40</v>
      </c>
    </row>
    <row r="329" customFormat="false" ht="12.8" hidden="false" customHeight="false" outlineLevel="0" collapsed="false">
      <c r="A329" s="80" t="n">
        <v>9</v>
      </c>
      <c r="B329" s="81" t="s">
        <v>65</v>
      </c>
      <c r="C329" s="80" t="n">
        <v>0.1</v>
      </c>
      <c r="D329" s="80" t="s">
        <v>59</v>
      </c>
      <c r="F329" s="48"/>
      <c r="G329" s="49" t="s">
        <v>84</v>
      </c>
      <c r="H329" s="28"/>
      <c r="I329" s="87" t="n">
        <v>0.166268421052632</v>
      </c>
      <c r="J329" s="87" t="n">
        <v>0.167173333333333</v>
      </c>
      <c r="K329" s="87" t="n">
        <v>0.155483333333333</v>
      </c>
      <c r="L329" s="89" t="n">
        <v>0.16499</v>
      </c>
    </row>
    <row r="330" customFormat="false" ht="12.8" hidden="false" customHeight="false" outlineLevel="0" collapsed="false">
      <c r="A330" s="80" t="n">
        <v>11</v>
      </c>
      <c r="B330" s="81" t="s">
        <v>62</v>
      </c>
      <c r="C330" s="80" t="n">
        <v>0.2241</v>
      </c>
      <c r="D330" s="80" t="s">
        <v>59</v>
      </c>
      <c r="F330" s="40" t="s">
        <v>61</v>
      </c>
      <c r="G330" s="46" t="s">
        <v>72</v>
      </c>
      <c r="H330" s="82" t="n">
        <v>23</v>
      </c>
      <c r="I330" s="83" t="n">
        <v>24</v>
      </c>
      <c r="J330" s="83" t="n">
        <v>20</v>
      </c>
      <c r="K330" s="84" t="n">
        <v>25</v>
      </c>
      <c r="L330" s="85" t="n">
        <v>92</v>
      </c>
    </row>
    <row r="331" customFormat="false" ht="12.8" hidden="false" customHeight="false" outlineLevel="0" collapsed="false">
      <c r="A331" s="80" t="n">
        <v>11</v>
      </c>
      <c r="B331" s="81" t="s">
        <v>56</v>
      </c>
      <c r="C331" s="80" t="n">
        <v>0.1866</v>
      </c>
      <c r="D331" s="80" t="s">
        <v>59</v>
      </c>
      <c r="F331" s="48"/>
      <c r="G331" s="49" t="s">
        <v>84</v>
      </c>
      <c r="H331" s="86" t="n">
        <v>0.176060869565217</v>
      </c>
      <c r="I331" s="87" t="n">
        <v>0.177283333333333</v>
      </c>
      <c r="J331" s="87" t="n">
        <v>0.17726</v>
      </c>
      <c r="K331" s="88" t="n">
        <v>0.180072</v>
      </c>
      <c r="L331" s="89" t="n">
        <v>0.177730434782609</v>
      </c>
    </row>
    <row r="332" customFormat="false" ht="12.8" hidden="false" customHeight="false" outlineLevel="0" collapsed="false">
      <c r="A332" s="80" t="n">
        <v>11</v>
      </c>
      <c r="B332" s="81" t="s">
        <v>69</v>
      </c>
      <c r="C332" s="80" t="n">
        <v>0.1721</v>
      </c>
      <c r="D332" s="80" t="s">
        <v>59</v>
      </c>
      <c r="F332" s="40" t="s">
        <v>66</v>
      </c>
      <c r="G332" s="46" t="s">
        <v>72</v>
      </c>
      <c r="H332" s="83" t="n">
        <v>3</v>
      </c>
      <c r="I332" s="19"/>
      <c r="J332" s="83" t="n">
        <v>4</v>
      </c>
      <c r="K332" s="83" t="n">
        <v>3</v>
      </c>
      <c r="L332" s="85" t="n">
        <v>10</v>
      </c>
    </row>
    <row r="333" customFormat="false" ht="12.8" hidden="false" customHeight="false" outlineLevel="0" collapsed="false">
      <c r="A333" s="80" t="n">
        <v>11</v>
      </c>
      <c r="B333" s="81" t="s">
        <v>61</v>
      </c>
      <c r="C333" s="80" t="n">
        <v>0.1719</v>
      </c>
      <c r="D333" s="80" t="s">
        <v>59</v>
      </c>
      <c r="F333" s="48"/>
      <c r="G333" s="49" t="s">
        <v>84</v>
      </c>
      <c r="H333" s="87" t="n">
        <v>0.152766666666667</v>
      </c>
      <c r="I333" s="28"/>
      <c r="J333" s="87" t="n">
        <v>0.16345</v>
      </c>
      <c r="K333" s="87" t="n">
        <v>0.153666666666667</v>
      </c>
      <c r="L333" s="89" t="n">
        <v>0.15731</v>
      </c>
    </row>
    <row r="334" customFormat="false" ht="12.8" hidden="false" customHeight="false" outlineLevel="0" collapsed="false">
      <c r="A334" s="80" t="n">
        <v>11</v>
      </c>
      <c r="B334" s="81" t="s">
        <v>70</v>
      </c>
      <c r="C334" s="80" t="n">
        <v>0.1453</v>
      </c>
      <c r="D334" s="80" t="s">
        <v>59</v>
      </c>
      <c r="F334" s="40" t="s">
        <v>62</v>
      </c>
      <c r="G334" s="46" t="s">
        <v>72</v>
      </c>
      <c r="H334" s="82" t="n">
        <v>25</v>
      </c>
      <c r="I334" s="83" t="n">
        <v>25</v>
      </c>
      <c r="J334" s="83" t="n">
        <v>25</v>
      </c>
      <c r="K334" s="84" t="n">
        <v>25</v>
      </c>
      <c r="L334" s="85" t="n">
        <v>100</v>
      </c>
    </row>
    <row r="335" customFormat="false" ht="12.8" hidden="false" customHeight="false" outlineLevel="0" collapsed="false">
      <c r="A335" s="80" t="n">
        <v>11</v>
      </c>
      <c r="B335" s="81" t="s">
        <v>65</v>
      </c>
      <c r="C335" s="80" t="n">
        <v>0.1</v>
      </c>
      <c r="D335" s="80" t="s">
        <v>59</v>
      </c>
      <c r="F335" s="48"/>
      <c r="G335" s="49" t="s">
        <v>84</v>
      </c>
      <c r="H335" s="86" t="n">
        <v>0.196308</v>
      </c>
      <c r="I335" s="87" t="n">
        <v>0.214124</v>
      </c>
      <c r="J335" s="87" t="n">
        <v>0.218356</v>
      </c>
      <c r="K335" s="88" t="n">
        <v>0.204948</v>
      </c>
      <c r="L335" s="89" t="n">
        <v>0.208434</v>
      </c>
    </row>
    <row r="336" customFormat="false" ht="12.8" hidden="false" customHeight="false" outlineLevel="0" collapsed="false">
      <c r="A336" s="80" t="n">
        <v>13</v>
      </c>
      <c r="B336" s="81" t="s">
        <v>62</v>
      </c>
      <c r="C336" s="80" t="n">
        <v>0.2492</v>
      </c>
      <c r="D336" s="80" t="s">
        <v>59</v>
      </c>
      <c r="F336" s="40" t="s">
        <v>71</v>
      </c>
      <c r="G336" s="46" t="s">
        <v>72</v>
      </c>
      <c r="H336" s="83" t="n">
        <v>1</v>
      </c>
      <c r="I336" s="19"/>
      <c r="J336" s="19"/>
      <c r="K336" s="83" t="n">
        <v>3</v>
      </c>
      <c r="L336" s="85" t="n">
        <v>4</v>
      </c>
    </row>
    <row r="337" customFormat="false" ht="12.8" hidden="false" customHeight="false" outlineLevel="0" collapsed="false">
      <c r="A337" s="80" t="n">
        <v>13</v>
      </c>
      <c r="B337" s="81" t="s">
        <v>56</v>
      </c>
      <c r="C337" s="80" t="n">
        <v>0.2474</v>
      </c>
      <c r="D337" s="80" t="s">
        <v>59</v>
      </c>
      <c r="F337" s="48"/>
      <c r="G337" s="49" t="s">
        <v>84</v>
      </c>
      <c r="H337" s="87" t="n">
        <v>0.1509</v>
      </c>
      <c r="I337" s="28"/>
      <c r="J337" s="28"/>
      <c r="K337" s="87" t="n">
        <v>0.159266666666667</v>
      </c>
      <c r="L337" s="89" t="n">
        <v>0.157175</v>
      </c>
    </row>
    <row r="338" customFormat="false" ht="12.8" hidden="false" customHeight="false" outlineLevel="0" collapsed="false">
      <c r="A338" s="80" t="n">
        <v>13</v>
      </c>
      <c r="B338" s="81" t="s">
        <v>61</v>
      </c>
      <c r="C338" s="80" t="n">
        <v>0.2095</v>
      </c>
      <c r="D338" s="80" t="s">
        <v>59</v>
      </c>
      <c r="F338" s="40" t="s">
        <v>63</v>
      </c>
      <c r="G338" s="46" t="s">
        <v>72</v>
      </c>
      <c r="H338" s="82" t="n">
        <v>25</v>
      </c>
      <c r="I338" s="83" t="n">
        <v>15</v>
      </c>
      <c r="J338" s="83" t="n">
        <v>13</v>
      </c>
      <c r="K338" s="84" t="n">
        <v>22</v>
      </c>
      <c r="L338" s="85" t="n">
        <v>75</v>
      </c>
    </row>
    <row r="339" customFormat="false" ht="12.8" hidden="false" customHeight="false" outlineLevel="0" collapsed="false">
      <c r="A339" s="80" t="n">
        <v>13</v>
      </c>
      <c r="B339" s="81" t="s">
        <v>67</v>
      </c>
      <c r="C339" s="80" t="n">
        <v>0.194</v>
      </c>
      <c r="D339" s="80" t="s">
        <v>59</v>
      </c>
      <c r="F339" s="48"/>
      <c r="G339" s="49" t="s">
        <v>84</v>
      </c>
      <c r="H339" s="86" t="n">
        <v>0.173296</v>
      </c>
      <c r="I339" s="87" t="n">
        <v>0.16872</v>
      </c>
      <c r="J339" s="87" t="n">
        <v>0.181753846153846</v>
      </c>
      <c r="K339" s="88" t="n">
        <v>0.164595454545455</v>
      </c>
      <c r="L339" s="89" t="n">
        <v>0.171294666666667</v>
      </c>
    </row>
    <row r="340" customFormat="false" ht="12.8" hidden="false" customHeight="false" outlineLevel="0" collapsed="false">
      <c r="A340" s="80" t="n">
        <v>13</v>
      </c>
      <c r="B340" s="81" t="s">
        <v>65</v>
      </c>
      <c r="C340" s="80" t="n">
        <v>0.1</v>
      </c>
      <c r="D340" s="80" t="s">
        <v>59</v>
      </c>
      <c r="F340" s="40" t="s">
        <v>56</v>
      </c>
      <c r="G340" s="46" t="s">
        <v>72</v>
      </c>
      <c r="H340" s="83" t="n">
        <v>25</v>
      </c>
      <c r="I340" s="83" t="n">
        <v>23</v>
      </c>
      <c r="J340" s="83" t="n">
        <v>25</v>
      </c>
      <c r="K340" s="83" t="n">
        <v>25</v>
      </c>
      <c r="L340" s="85" t="n">
        <v>98</v>
      </c>
    </row>
    <row r="341" customFormat="false" ht="12.8" hidden="false" customHeight="false" outlineLevel="0" collapsed="false">
      <c r="A341" s="80" t="n">
        <v>15</v>
      </c>
      <c r="B341" s="81" t="s">
        <v>62</v>
      </c>
      <c r="C341" s="80" t="n">
        <v>0.2123</v>
      </c>
      <c r="D341" s="80" t="s">
        <v>59</v>
      </c>
      <c r="F341" s="48"/>
      <c r="G341" s="49" t="s">
        <v>84</v>
      </c>
      <c r="H341" s="87" t="n">
        <v>0.18282</v>
      </c>
      <c r="I341" s="87" t="n">
        <v>0.2056</v>
      </c>
      <c r="J341" s="87" t="n">
        <v>0.192444</v>
      </c>
      <c r="K341" s="87" t="n">
        <v>0.188348</v>
      </c>
      <c r="L341" s="89" t="n">
        <v>0.192031632653061</v>
      </c>
    </row>
    <row r="342" customFormat="false" ht="12.8" hidden="false" customHeight="false" outlineLevel="0" collapsed="false">
      <c r="A342" s="80" t="n">
        <v>15</v>
      </c>
      <c r="B342" s="81" t="s">
        <v>61</v>
      </c>
      <c r="C342" s="80" t="n">
        <v>0.1971</v>
      </c>
      <c r="D342" s="80" t="s">
        <v>59</v>
      </c>
      <c r="F342" s="40" t="s">
        <v>65</v>
      </c>
      <c r="G342" s="46" t="s">
        <v>72</v>
      </c>
      <c r="H342" s="82" t="n">
        <v>25</v>
      </c>
      <c r="I342" s="83" t="n">
        <v>25</v>
      </c>
      <c r="J342" s="83" t="n">
        <v>25</v>
      </c>
      <c r="K342" s="84" t="n">
        <v>25</v>
      </c>
      <c r="L342" s="85" t="n">
        <v>100</v>
      </c>
    </row>
    <row r="343" customFormat="false" ht="12.8" hidden="false" customHeight="false" outlineLevel="0" collapsed="false">
      <c r="A343" s="80" t="n">
        <v>15</v>
      </c>
      <c r="B343" s="81" t="s">
        <v>64</v>
      </c>
      <c r="C343" s="80" t="n">
        <v>0.1694</v>
      </c>
      <c r="D343" s="80" t="s">
        <v>59</v>
      </c>
      <c r="F343" s="48"/>
      <c r="G343" s="49" t="s">
        <v>84</v>
      </c>
      <c r="H343" s="86" t="n">
        <v>0.114436</v>
      </c>
      <c r="I343" s="87" t="n">
        <v>0.10174</v>
      </c>
      <c r="J343" s="87" t="n">
        <v>0.1</v>
      </c>
      <c r="K343" s="88" t="n">
        <v>0.103932</v>
      </c>
      <c r="L343" s="89" t="n">
        <v>0.105027</v>
      </c>
    </row>
    <row r="344" customFormat="false" ht="12.8" hidden="false" customHeight="false" outlineLevel="0" collapsed="false">
      <c r="A344" s="80" t="n">
        <v>15</v>
      </c>
      <c r="B344" s="81" t="s">
        <v>56</v>
      </c>
      <c r="C344" s="80" t="n">
        <v>0.1673</v>
      </c>
      <c r="D344" s="80" t="s">
        <v>59</v>
      </c>
      <c r="F344" s="90" t="s">
        <v>85</v>
      </c>
      <c r="G344" s="91"/>
      <c r="H344" s="92" t="n">
        <v>150</v>
      </c>
      <c r="I344" s="92" t="n">
        <v>146</v>
      </c>
      <c r="J344" s="92" t="n">
        <v>146</v>
      </c>
      <c r="K344" s="92" t="n">
        <v>150</v>
      </c>
      <c r="L344" s="93" t="n">
        <v>592</v>
      </c>
    </row>
    <row r="345" customFormat="false" ht="12.8" hidden="false" customHeight="false" outlineLevel="0" collapsed="false">
      <c r="A345" s="80" t="n">
        <v>15</v>
      </c>
      <c r="B345" s="81" t="s">
        <v>69</v>
      </c>
      <c r="C345" s="80" t="n">
        <v>0.1539</v>
      </c>
      <c r="D345" s="80" t="s">
        <v>59</v>
      </c>
      <c r="F345" s="51" t="s">
        <v>86</v>
      </c>
      <c r="G345" s="52"/>
      <c r="H345" s="94" t="n">
        <v>0.166664</v>
      </c>
      <c r="I345" s="95" t="n">
        <v>0.171229452054795</v>
      </c>
      <c r="J345" s="95" t="n">
        <v>0.171235616438356</v>
      </c>
      <c r="K345" s="96" t="n">
        <v>0.166664666666667</v>
      </c>
      <c r="L345" s="97" t="n">
        <v>0.168917567567567</v>
      </c>
    </row>
    <row r="346" customFormat="false" ht="12.8" hidden="false" customHeight="false" outlineLevel="0" collapsed="false">
      <c r="A346" s="80" t="n">
        <v>15</v>
      </c>
      <c r="B346" s="81" t="s">
        <v>65</v>
      </c>
      <c r="C346" s="80" t="n">
        <v>0.1</v>
      </c>
      <c r="D346" s="80" t="s">
        <v>59</v>
      </c>
    </row>
    <row r="347" customFormat="false" ht="12.8" hidden="false" customHeight="false" outlineLevel="0" collapsed="false">
      <c r="A347" s="80" t="n">
        <v>17</v>
      </c>
      <c r="B347" s="81" t="s">
        <v>62</v>
      </c>
      <c r="C347" s="80" t="n">
        <v>0.2164</v>
      </c>
      <c r="D347" s="80" t="s">
        <v>59</v>
      </c>
    </row>
    <row r="348" customFormat="false" ht="12.8" hidden="false" customHeight="false" outlineLevel="0" collapsed="false">
      <c r="A348" s="80" t="n">
        <v>17</v>
      </c>
      <c r="B348" s="81" t="s">
        <v>61</v>
      </c>
      <c r="C348" s="80" t="n">
        <v>0.1815</v>
      </c>
      <c r="D348" s="80" t="s">
        <v>59</v>
      </c>
    </row>
    <row r="349" customFormat="false" ht="12.8" hidden="false" customHeight="false" outlineLevel="0" collapsed="false">
      <c r="A349" s="80" t="n">
        <v>17</v>
      </c>
      <c r="B349" s="81" t="s">
        <v>56</v>
      </c>
      <c r="C349" s="80" t="n">
        <v>0.1783</v>
      </c>
      <c r="D349" s="80" t="s">
        <v>59</v>
      </c>
    </row>
    <row r="350" customFormat="false" ht="12.8" hidden="false" customHeight="false" outlineLevel="0" collapsed="false">
      <c r="A350" s="80" t="n">
        <v>17</v>
      </c>
      <c r="B350" s="81" t="s">
        <v>69</v>
      </c>
      <c r="C350" s="80" t="n">
        <v>0.1679</v>
      </c>
      <c r="D350" s="80" t="s">
        <v>59</v>
      </c>
    </row>
    <row r="351" customFormat="false" ht="12.8" hidden="false" customHeight="false" outlineLevel="0" collapsed="false">
      <c r="A351" s="80" t="n">
        <v>17</v>
      </c>
      <c r="B351" s="81" t="s">
        <v>64</v>
      </c>
      <c r="C351" s="80" t="n">
        <v>0.1559</v>
      </c>
      <c r="D351" s="80" t="s">
        <v>59</v>
      </c>
    </row>
    <row r="352" customFormat="false" ht="12.8" hidden="false" customHeight="false" outlineLevel="0" collapsed="false">
      <c r="A352" s="80" t="n">
        <v>17</v>
      </c>
      <c r="B352" s="81" t="s">
        <v>65</v>
      </c>
      <c r="C352" s="80" t="n">
        <v>0.1</v>
      </c>
      <c r="D352" s="80" t="s">
        <v>59</v>
      </c>
    </row>
    <row r="353" customFormat="false" ht="12.8" hidden="false" customHeight="false" outlineLevel="0" collapsed="false">
      <c r="A353" s="80" t="n">
        <v>19</v>
      </c>
      <c r="B353" s="81" t="s">
        <v>62</v>
      </c>
      <c r="C353" s="80" t="n">
        <v>0.2064</v>
      </c>
      <c r="D353" s="80" t="s">
        <v>59</v>
      </c>
    </row>
    <row r="354" customFormat="false" ht="12.8" hidden="false" customHeight="false" outlineLevel="0" collapsed="false">
      <c r="A354" s="80" t="n">
        <v>19</v>
      </c>
      <c r="B354" s="81" t="s">
        <v>69</v>
      </c>
      <c r="C354" s="80" t="n">
        <v>0.1874</v>
      </c>
      <c r="D354" s="80" t="s">
        <v>59</v>
      </c>
    </row>
    <row r="355" customFormat="false" ht="12.8" hidden="false" customHeight="false" outlineLevel="0" collapsed="false">
      <c r="A355" s="80" t="n">
        <v>19</v>
      </c>
      <c r="B355" s="81" t="s">
        <v>56</v>
      </c>
      <c r="C355" s="80" t="n">
        <v>0.1778</v>
      </c>
      <c r="D355" s="80" t="s">
        <v>59</v>
      </c>
    </row>
    <row r="356" customFormat="false" ht="12.8" hidden="false" customHeight="false" outlineLevel="0" collapsed="false">
      <c r="A356" s="80" t="n">
        <v>19</v>
      </c>
      <c r="B356" s="81" t="s">
        <v>61</v>
      </c>
      <c r="C356" s="80" t="n">
        <v>0.1665</v>
      </c>
      <c r="D356" s="80" t="s">
        <v>59</v>
      </c>
    </row>
    <row r="357" customFormat="false" ht="12.8" hidden="false" customHeight="false" outlineLevel="0" collapsed="false">
      <c r="A357" s="80" t="n">
        <v>19</v>
      </c>
      <c r="B357" s="81" t="s">
        <v>64</v>
      </c>
      <c r="C357" s="80" t="n">
        <v>0.1619</v>
      </c>
      <c r="D357" s="80" t="s">
        <v>59</v>
      </c>
    </row>
    <row r="358" customFormat="false" ht="12.8" hidden="false" customHeight="false" outlineLevel="0" collapsed="false">
      <c r="A358" s="80" t="n">
        <v>19</v>
      </c>
      <c r="B358" s="81" t="s">
        <v>65</v>
      </c>
      <c r="C358" s="80" t="n">
        <v>0.1</v>
      </c>
      <c r="D358" s="80" t="s">
        <v>59</v>
      </c>
    </row>
    <row r="359" customFormat="false" ht="12.8" hidden="false" customHeight="false" outlineLevel="0" collapsed="false">
      <c r="A359" s="80" t="n">
        <v>21</v>
      </c>
      <c r="B359" s="81" t="s">
        <v>56</v>
      </c>
      <c r="C359" s="80" t="n">
        <v>0.198</v>
      </c>
      <c r="D359" s="80" t="s">
        <v>59</v>
      </c>
    </row>
    <row r="360" customFormat="false" ht="12.8" hidden="false" customHeight="false" outlineLevel="0" collapsed="false">
      <c r="A360" s="80" t="n">
        <v>21</v>
      </c>
      <c r="B360" s="81" t="s">
        <v>62</v>
      </c>
      <c r="C360" s="80" t="n">
        <v>0.1945</v>
      </c>
      <c r="D360" s="80" t="s">
        <v>59</v>
      </c>
    </row>
    <row r="361" customFormat="false" ht="12.8" hidden="false" customHeight="false" outlineLevel="0" collapsed="false">
      <c r="A361" s="80" t="n">
        <v>21</v>
      </c>
      <c r="B361" s="81" t="s">
        <v>61</v>
      </c>
      <c r="C361" s="80" t="n">
        <v>0.1856</v>
      </c>
      <c r="D361" s="80" t="s">
        <v>59</v>
      </c>
    </row>
    <row r="362" customFormat="false" ht="12.8" hidden="false" customHeight="false" outlineLevel="0" collapsed="false">
      <c r="A362" s="80" t="n">
        <v>21</v>
      </c>
      <c r="B362" s="81" t="s">
        <v>63</v>
      </c>
      <c r="C362" s="80" t="n">
        <v>0.1625</v>
      </c>
      <c r="D362" s="80" t="s">
        <v>59</v>
      </c>
    </row>
    <row r="363" customFormat="false" ht="12.8" hidden="false" customHeight="false" outlineLevel="0" collapsed="false">
      <c r="A363" s="80" t="n">
        <v>21</v>
      </c>
      <c r="B363" s="81" t="s">
        <v>67</v>
      </c>
      <c r="C363" s="80" t="n">
        <v>0.1594</v>
      </c>
      <c r="D363" s="80" t="s">
        <v>59</v>
      </c>
    </row>
    <row r="364" customFormat="false" ht="12.8" hidden="false" customHeight="false" outlineLevel="0" collapsed="false">
      <c r="A364" s="80" t="n">
        <v>21</v>
      </c>
      <c r="B364" s="81" t="s">
        <v>65</v>
      </c>
      <c r="C364" s="80" t="n">
        <v>0.1</v>
      </c>
      <c r="D364" s="80" t="s">
        <v>59</v>
      </c>
    </row>
    <row r="365" customFormat="false" ht="12.8" hidden="false" customHeight="false" outlineLevel="0" collapsed="false">
      <c r="A365" s="80" t="n">
        <v>23</v>
      </c>
      <c r="B365" s="81" t="s">
        <v>62</v>
      </c>
      <c r="C365" s="80" t="n">
        <v>0.2107</v>
      </c>
      <c r="D365" s="80" t="s">
        <v>59</v>
      </c>
    </row>
    <row r="366" customFormat="false" ht="12.8" hidden="false" customHeight="false" outlineLevel="0" collapsed="false">
      <c r="A366" s="80" t="n">
        <v>23</v>
      </c>
      <c r="B366" s="81" t="s">
        <v>56</v>
      </c>
      <c r="C366" s="80" t="n">
        <v>0.1879</v>
      </c>
      <c r="D366" s="80" t="s">
        <v>59</v>
      </c>
    </row>
    <row r="367" customFormat="false" ht="12.8" hidden="false" customHeight="false" outlineLevel="0" collapsed="false">
      <c r="A367" s="80" t="n">
        <v>23</v>
      </c>
      <c r="B367" s="81" t="s">
        <v>63</v>
      </c>
      <c r="C367" s="80" t="n">
        <v>0.1737</v>
      </c>
      <c r="D367" s="80" t="s">
        <v>59</v>
      </c>
    </row>
    <row r="368" customFormat="false" ht="12.8" hidden="false" customHeight="false" outlineLevel="0" collapsed="false">
      <c r="A368" s="80" t="n">
        <v>23</v>
      </c>
      <c r="B368" s="81" t="s">
        <v>61</v>
      </c>
      <c r="C368" s="80" t="n">
        <v>0.1644</v>
      </c>
      <c r="D368" s="80" t="s">
        <v>59</v>
      </c>
    </row>
    <row r="369" customFormat="false" ht="12.8" hidden="false" customHeight="false" outlineLevel="0" collapsed="false">
      <c r="A369" s="80" t="n">
        <v>23</v>
      </c>
      <c r="B369" s="81" t="s">
        <v>69</v>
      </c>
      <c r="C369" s="80" t="n">
        <v>0.1633</v>
      </c>
      <c r="D369" s="80" t="s">
        <v>59</v>
      </c>
    </row>
    <row r="370" customFormat="false" ht="12.8" hidden="false" customHeight="false" outlineLevel="0" collapsed="false">
      <c r="A370" s="80" t="n">
        <v>23</v>
      </c>
      <c r="B370" s="81" t="s">
        <v>65</v>
      </c>
      <c r="C370" s="80" t="n">
        <v>0.1</v>
      </c>
      <c r="D370" s="80" t="s">
        <v>59</v>
      </c>
    </row>
    <row r="371" customFormat="false" ht="12.8" hidden="false" customHeight="false" outlineLevel="0" collapsed="false">
      <c r="A371" s="80" t="n">
        <v>25</v>
      </c>
      <c r="B371" s="81" t="s">
        <v>62</v>
      </c>
      <c r="C371" s="80" t="n">
        <v>0.2536</v>
      </c>
      <c r="D371" s="80" t="s">
        <v>59</v>
      </c>
    </row>
    <row r="372" customFormat="false" ht="12.8" hidden="false" customHeight="false" outlineLevel="0" collapsed="false">
      <c r="A372" s="80" t="n">
        <v>25</v>
      </c>
      <c r="B372" s="81" t="s">
        <v>56</v>
      </c>
      <c r="C372" s="80" t="n">
        <v>0.2337</v>
      </c>
      <c r="D372" s="80" t="s">
        <v>59</v>
      </c>
    </row>
    <row r="373" customFormat="false" ht="12.8" hidden="false" customHeight="false" outlineLevel="0" collapsed="false">
      <c r="A373" s="80" t="n">
        <v>25</v>
      </c>
      <c r="B373" s="81" t="s">
        <v>63</v>
      </c>
      <c r="C373" s="80" t="n">
        <v>0.2152</v>
      </c>
      <c r="D373" s="80" t="s">
        <v>59</v>
      </c>
    </row>
    <row r="374" customFormat="false" ht="12.8" hidden="false" customHeight="false" outlineLevel="0" collapsed="false">
      <c r="A374" s="80" t="n">
        <v>25</v>
      </c>
      <c r="B374" s="81" t="s">
        <v>64</v>
      </c>
      <c r="C374" s="80" t="n">
        <v>0.1975</v>
      </c>
      <c r="D374" s="80" t="s">
        <v>59</v>
      </c>
    </row>
    <row r="375" customFormat="false" ht="12.8" hidden="false" customHeight="false" outlineLevel="0" collapsed="false">
      <c r="A375" s="80" t="n">
        <v>25</v>
      </c>
      <c r="B375" s="81" t="s">
        <v>65</v>
      </c>
      <c r="C375" s="80" t="n">
        <v>0.1</v>
      </c>
      <c r="D375" s="80" t="s">
        <v>59</v>
      </c>
    </row>
    <row r="376" customFormat="false" ht="12.8" hidden="false" customHeight="false" outlineLevel="0" collapsed="false">
      <c r="A376" s="80" t="n">
        <v>27</v>
      </c>
      <c r="B376" s="81" t="s">
        <v>62</v>
      </c>
      <c r="C376" s="80" t="n">
        <v>0.209</v>
      </c>
      <c r="D376" s="80" t="s">
        <v>59</v>
      </c>
    </row>
    <row r="377" customFormat="false" ht="12.8" hidden="false" customHeight="false" outlineLevel="0" collapsed="false">
      <c r="A377" s="80" t="n">
        <v>27</v>
      </c>
      <c r="B377" s="81" t="s">
        <v>56</v>
      </c>
      <c r="C377" s="80" t="n">
        <v>0.1821</v>
      </c>
      <c r="D377" s="80" t="s">
        <v>59</v>
      </c>
    </row>
    <row r="378" customFormat="false" ht="12.8" hidden="false" customHeight="false" outlineLevel="0" collapsed="false">
      <c r="A378" s="80" t="n">
        <v>27</v>
      </c>
      <c r="B378" s="81" t="s">
        <v>61</v>
      </c>
      <c r="C378" s="80" t="n">
        <v>0.175</v>
      </c>
      <c r="D378" s="80" t="s">
        <v>59</v>
      </c>
    </row>
    <row r="379" customFormat="false" ht="12.8" hidden="false" customHeight="false" outlineLevel="0" collapsed="false">
      <c r="A379" s="80" t="n">
        <v>27</v>
      </c>
      <c r="B379" s="81" t="s">
        <v>64</v>
      </c>
      <c r="C379" s="80" t="n">
        <v>0.171</v>
      </c>
      <c r="D379" s="80" t="s">
        <v>59</v>
      </c>
    </row>
    <row r="380" customFormat="false" ht="12.8" hidden="false" customHeight="false" outlineLevel="0" collapsed="false">
      <c r="A380" s="80" t="n">
        <v>27</v>
      </c>
      <c r="B380" s="81" t="s">
        <v>63</v>
      </c>
      <c r="C380" s="80" t="n">
        <v>0.1629</v>
      </c>
      <c r="D380" s="80" t="s">
        <v>59</v>
      </c>
    </row>
    <row r="381" customFormat="false" ht="12.8" hidden="false" customHeight="false" outlineLevel="0" collapsed="false">
      <c r="A381" s="80" t="n">
        <v>27</v>
      </c>
      <c r="B381" s="81" t="s">
        <v>65</v>
      </c>
      <c r="C381" s="80" t="n">
        <v>0.1</v>
      </c>
      <c r="D381" s="80" t="s">
        <v>59</v>
      </c>
    </row>
    <row r="382" customFormat="false" ht="12.8" hidden="false" customHeight="false" outlineLevel="0" collapsed="false">
      <c r="A382" s="80" t="n">
        <v>29</v>
      </c>
      <c r="B382" s="81" t="s">
        <v>62</v>
      </c>
      <c r="C382" s="80" t="n">
        <v>0.223</v>
      </c>
      <c r="D382" s="80" t="s">
        <v>59</v>
      </c>
    </row>
    <row r="383" customFormat="false" ht="12.8" hidden="false" customHeight="false" outlineLevel="0" collapsed="false">
      <c r="A383" s="80" t="n">
        <v>29</v>
      </c>
      <c r="B383" s="81" t="s">
        <v>56</v>
      </c>
      <c r="C383" s="80" t="n">
        <v>0.1872</v>
      </c>
      <c r="D383" s="80" t="s">
        <v>59</v>
      </c>
    </row>
    <row r="384" customFormat="false" ht="12.8" hidden="false" customHeight="false" outlineLevel="0" collapsed="false">
      <c r="A384" s="80" t="n">
        <v>29</v>
      </c>
      <c r="B384" s="81" t="s">
        <v>61</v>
      </c>
      <c r="C384" s="80" t="n">
        <v>0.1727</v>
      </c>
      <c r="D384" s="80" t="s">
        <v>59</v>
      </c>
    </row>
    <row r="385" customFormat="false" ht="12.8" hidden="false" customHeight="false" outlineLevel="0" collapsed="false">
      <c r="A385" s="80" t="n">
        <v>29</v>
      </c>
      <c r="B385" s="81" t="s">
        <v>69</v>
      </c>
      <c r="C385" s="80" t="n">
        <v>0.1665</v>
      </c>
      <c r="D385" s="80" t="s">
        <v>59</v>
      </c>
    </row>
    <row r="386" customFormat="false" ht="12.8" hidden="false" customHeight="false" outlineLevel="0" collapsed="false">
      <c r="A386" s="80" t="n">
        <v>29</v>
      </c>
      <c r="B386" s="81" t="s">
        <v>66</v>
      </c>
      <c r="C386" s="80" t="n">
        <v>0.1507</v>
      </c>
      <c r="D386" s="80" t="s">
        <v>59</v>
      </c>
    </row>
    <row r="387" customFormat="false" ht="12.8" hidden="false" customHeight="false" outlineLevel="0" collapsed="false">
      <c r="A387" s="80" t="n">
        <v>29</v>
      </c>
      <c r="B387" s="81" t="s">
        <v>65</v>
      </c>
      <c r="C387" s="80" t="n">
        <v>0.1</v>
      </c>
      <c r="D387" s="80" t="s">
        <v>59</v>
      </c>
    </row>
    <row r="388" customFormat="false" ht="12.8" hidden="false" customHeight="false" outlineLevel="0" collapsed="false">
      <c r="A388" s="80" t="n">
        <v>31</v>
      </c>
      <c r="B388" s="81" t="s">
        <v>62</v>
      </c>
      <c r="C388" s="80" t="n">
        <v>0.2062</v>
      </c>
      <c r="D388" s="80" t="s">
        <v>59</v>
      </c>
    </row>
    <row r="389" customFormat="false" ht="12.8" hidden="false" customHeight="false" outlineLevel="0" collapsed="false">
      <c r="A389" s="80" t="n">
        <v>31</v>
      </c>
      <c r="B389" s="81" t="s">
        <v>56</v>
      </c>
      <c r="C389" s="80" t="n">
        <v>0.1808</v>
      </c>
      <c r="D389" s="80" t="s">
        <v>59</v>
      </c>
    </row>
    <row r="390" customFormat="false" ht="12.8" hidden="false" customHeight="false" outlineLevel="0" collapsed="false">
      <c r="A390" s="80" t="n">
        <v>31</v>
      </c>
      <c r="B390" s="81" t="s">
        <v>61</v>
      </c>
      <c r="C390" s="80" t="n">
        <v>0.1795</v>
      </c>
      <c r="D390" s="80" t="s">
        <v>59</v>
      </c>
    </row>
    <row r="391" customFormat="false" ht="12.8" hidden="false" customHeight="false" outlineLevel="0" collapsed="false">
      <c r="A391" s="80" t="n">
        <v>31</v>
      </c>
      <c r="B391" s="81" t="s">
        <v>67</v>
      </c>
      <c r="C391" s="80" t="n">
        <v>0.1717</v>
      </c>
      <c r="D391" s="80" t="s">
        <v>59</v>
      </c>
    </row>
    <row r="392" customFormat="false" ht="12.8" hidden="false" customHeight="false" outlineLevel="0" collapsed="false">
      <c r="A392" s="80" t="n">
        <v>31</v>
      </c>
      <c r="B392" s="81" t="s">
        <v>69</v>
      </c>
      <c r="C392" s="80" t="n">
        <v>0.1618</v>
      </c>
      <c r="D392" s="80" t="s">
        <v>59</v>
      </c>
    </row>
    <row r="393" customFormat="false" ht="12.8" hidden="false" customHeight="false" outlineLevel="0" collapsed="false">
      <c r="A393" s="80" t="n">
        <v>31</v>
      </c>
      <c r="B393" s="81" t="s">
        <v>65</v>
      </c>
      <c r="C393" s="80" t="n">
        <v>0.1</v>
      </c>
      <c r="D393" s="80" t="s">
        <v>59</v>
      </c>
    </row>
    <row r="394" customFormat="false" ht="12.8" hidden="false" customHeight="false" outlineLevel="0" collapsed="false">
      <c r="A394" s="80" t="n">
        <v>33</v>
      </c>
      <c r="B394" s="81" t="s">
        <v>62</v>
      </c>
      <c r="C394" s="80" t="n">
        <v>0.205</v>
      </c>
      <c r="D394" s="80" t="s">
        <v>59</v>
      </c>
    </row>
    <row r="395" customFormat="false" ht="12.8" hidden="false" customHeight="false" outlineLevel="0" collapsed="false">
      <c r="A395" s="80" t="n">
        <v>33</v>
      </c>
      <c r="B395" s="81" t="s">
        <v>56</v>
      </c>
      <c r="C395" s="80" t="n">
        <v>0.2003</v>
      </c>
      <c r="D395" s="80" t="s">
        <v>59</v>
      </c>
    </row>
    <row r="396" customFormat="false" ht="12.8" hidden="false" customHeight="false" outlineLevel="0" collapsed="false">
      <c r="A396" s="80" t="n">
        <v>33</v>
      </c>
      <c r="B396" s="81" t="s">
        <v>67</v>
      </c>
      <c r="C396" s="80" t="n">
        <v>0.1816</v>
      </c>
      <c r="D396" s="80" t="s">
        <v>59</v>
      </c>
    </row>
    <row r="397" customFormat="false" ht="12.8" hidden="false" customHeight="false" outlineLevel="0" collapsed="false">
      <c r="A397" s="80" t="n">
        <v>33</v>
      </c>
      <c r="B397" s="81" t="s">
        <v>69</v>
      </c>
      <c r="C397" s="80" t="n">
        <v>0.1572</v>
      </c>
      <c r="D397" s="80" t="s">
        <v>59</v>
      </c>
    </row>
    <row r="398" customFormat="false" ht="12.8" hidden="false" customHeight="false" outlineLevel="0" collapsed="false">
      <c r="A398" s="80" t="n">
        <v>33</v>
      </c>
      <c r="B398" s="81" t="s">
        <v>61</v>
      </c>
      <c r="C398" s="80" t="n">
        <v>0.1559</v>
      </c>
      <c r="D398" s="80" t="s">
        <v>59</v>
      </c>
    </row>
    <row r="399" customFormat="false" ht="12.8" hidden="false" customHeight="false" outlineLevel="0" collapsed="false">
      <c r="A399" s="80" t="n">
        <v>33</v>
      </c>
      <c r="B399" s="81" t="s">
        <v>65</v>
      </c>
      <c r="C399" s="80" t="n">
        <v>0.1</v>
      </c>
      <c r="D399" s="80" t="s">
        <v>59</v>
      </c>
    </row>
    <row r="400" customFormat="false" ht="12.8" hidden="false" customHeight="false" outlineLevel="0" collapsed="false">
      <c r="A400" s="80" t="n">
        <v>35</v>
      </c>
      <c r="B400" s="81" t="s">
        <v>62</v>
      </c>
      <c r="C400" s="80" t="n">
        <v>0.2133</v>
      </c>
      <c r="D400" s="80" t="s">
        <v>59</v>
      </c>
    </row>
    <row r="401" customFormat="false" ht="12.8" hidden="false" customHeight="false" outlineLevel="0" collapsed="false">
      <c r="A401" s="80" t="n">
        <v>35</v>
      </c>
      <c r="B401" s="81" t="s">
        <v>56</v>
      </c>
      <c r="C401" s="80" t="n">
        <v>0.2066</v>
      </c>
      <c r="D401" s="80" t="s">
        <v>59</v>
      </c>
    </row>
    <row r="402" customFormat="false" ht="12.8" hidden="false" customHeight="false" outlineLevel="0" collapsed="false">
      <c r="A402" s="80" t="n">
        <v>35</v>
      </c>
      <c r="B402" s="81" t="s">
        <v>61</v>
      </c>
      <c r="C402" s="80" t="n">
        <v>0.1654</v>
      </c>
      <c r="D402" s="80" t="s">
        <v>59</v>
      </c>
    </row>
    <row r="403" customFormat="false" ht="12.8" hidden="false" customHeight="false" outlineLevel="0" collapsed="false">
      <c r="A403" s="80" t="n">
        <v>35</v>
      </c>
      <c r="B403" s="81" t="s">
        <v>69</v>
      </c>
      <c r="C403" s="80" t="n">
        <v>0.1622</v>
      </c>
      <c r="D403" s="80" t="s">
        <v>59</v>
      </c>
    </row>
    <row r="404" customFormat="false" ht="12.8" hidden="false" customHeight="false" outlineLevel="0" collapsed="false">
      <c r="A404" s="80" t="n">
        <v>35</v>
      </c>
      <c r="B404" s="81" t="s">
        <v>64</v>
      </c>
      <c r="C404" s="80" t="n">
        <v>0.1525</v>
      </c>
      <c r="D404" s="80" t="s">
        <v>59</v>
      </c>
    </row>
    <row r="405" customFormat="false" ht="12.8" hidden="false" customHeight="false" outlineLevel="0" collapsed="false">
      <c r="A405" s="80" t="n">
        <v>35</v>
      </c>
      <c r="B405" s="81" t="s">
        <v>65</v>
      </c>
      <c r="C405" s="80" t="n">
        <v>0.1</v>
      </c>
      <c r="D405" s="80" t="s">
        <v>59</v>
      </c>
    </row>
    <row r="406" customFormat="false" ht="12.8" hidden="false" customHeight="false" outlineLevel="0" collapsed="false">
      <c r="A406" s="80" t="n">
        <v>37</v>
      </c>
      <c r="B406" s="81" t="s">
        <v>62</v>
      </c>
      <c r="C406" s="80" t="n">
        <v>0.2171</v>
      </c>
      <c r="D406" s="80" t="s">
        <v>59</v>
      </c>
    </row>
    <row r="407" customFormat="false" ht="12.8" hidden="false" customHeight="false" outlineLevel="0" collapsed="false">
      <c r="A407" s="80" t="n">
        <v>37</v>
      </c>
      <c r="B407" s="81" t="s">
        <v>56</v>
      </c>
      <c r="C407" s="80" t="n">
        <v>0.1769</v>
      </c>
      <c r="D407" s="80" t="s">
        <v>59</v>
      </c>
    </row>
    <row r="408" customFormat="false" ht="12.8" hidden="false" customHeight="false" outlineLevel="0" collapsed="false">
      <c r="A408" s="80" t="n">
        <v>37</v>
      </c>
      <c r="B408" s="81" t="s">
        <v>61</v>
      </c>
      <c r="C408" s="80" t="n">
        <v>0.1757</v>
      </c>
      <c r="D408" s="80" t="s">
        <v>59</v>
      </c>
    </row>
    <row r="409" customFormat="false" ht="12.8" hidden="false" customHeight="false" outlineLevel="0" collapsed="false">
      <c r="A409" s="80" t="n">
        <v>37</v>
      </c>
      <c r="B409" s="81" t="s">
        <v>64</v>
      </c>
      <c r="C409" s="80" t="n">
        <v>0.1715</v>
      </c>
      <c r="D409" s="80" t="s">
        <v>59</v>
      </c>
    </row>
    <row r="410" customFormat="false" ht="12.8" hidden="false" customHeight="false" outlineLevel="0" collapsed="false">
      <c r="A410" s="80" t="n">
        <v>37</v>
      </c>
      <c r="B410" s="81" t="s">
        <v>66</v>
      </c>
      <c r="C410" s="80" t="n">
        <v>0.1588</v>
      </c>
      <c r="D410" s="80" t="s">
        <v>59</v>
      </c>
    </row>
    <row r="411" customFormat="false" ht="12.8" hidden="false" customHeight="false" outlineLevel="0" collapsed="false">
      <c r="A411" s="80" t="n">
        <v>37</v>
      </c>
      <c r="B411" s="81" t="s">
        <v>65</v>
      </c>
      <c r="C411" s="80" t="n">
        <v>0.1</v>
      </c>
      <c r="D411" s="80" t="s">
        <v>59</v>
      </c>
    </row>
    <row r="412" customFormat="false" ht="12.8" hidden="false" customHeight="false" outlineLevel="0" collapsed="false">
      <c r="A412" s="80" t="n">
        <v>39</v>
      </c>
      <c r="B412" s="81" t="s">
        <v>62</v>
      </c>
      <c r="C412" s="80" t="n">
        <v>0.2136</v>
      </c>
      <c r="D412" s="80" t="s">
        <v>59</v>
      </c>
    </row>
    <row r="413" customFormat="false" ht="12.8" hidden="false" customHeight="false" outlineLevel="0" collapsed="false">
      <c r="A413" s="80" t="n">
        <v>39</v>
      </c>
      <c r="B413" s="81" t="s">
        <v>61</v>
      </c>
      <c r="C413" s="80" t="n">
        <v>0.1838</v>
      </c>
      <c r="D413" s="80" t="s">
        <v>59</v>
      </c>
    </row>
    <row r="414" customFormat="false" ht="12.8" hidden="false" customHeight="false" outlineLevel="0" collapsed="false">
      <c r="A414" s="80" t="n">
        <v>39</v>
      </c>
      <c r="B414" s="81" t="s">
        <v>56</v>
      </c>
      <c r="C414" s="80" t="n">
        <v>0.1783</v>
      </c>
      <c r="D414" s="80" t="s">
        <v>59</v>
      </c>
    </row>
    <row r="415" customFormat="false" ht="12.8" hidden="false" customHeight="false" outlineLevel="0" collapsed="false">
      <c r="A415" s="80" t="n">
        <v>39</v>
      </c>
      <c r="B415" s="81" t="s">
        <v>63</v>
      </c>
      <c r="C415" s="80" t="n">
        <v>0.1688</v>
      </c>
      <c r="D415" s="80" t="s">
        <v>59</v>
      </c>
    </row>
    <row r="416" customFormat="false" ht="12.8" hidden="false" customHeight="false" outlineLevel="0" collapsed="false">
      <c r="A416" s="80" t="n">
        <v>39</v>
      </c>
      <c r="B416" s="81" t="s">
        <v>64</v>
      </c>
      <c r="C416" s="80" t="n">
        <v>0.1555</v>
      </c>
      <c r="D416" s="80" t="s">
        <v>59</v>
      </c>
    </row>
    <row r="417" customFormat="false" ht="12.8" hidden="false" customHeight="false" outlineLevel="0" collapsed="false">
      <c r="A417" s="80" t="n">
        <v>39</v>
      </c>
      <c r="B417" s="81" t="s">
        <v>65</v>
      </c>
      <c r="C417" s="80" t="n">
        <v>0.1</v>
      </c>
      <c r="D417" s="80" t="s">
        <v>59</v>
      </c>
    </row>
    <row r="418" customFormat="false" ht="12.8" hidden="false" customHeight="false" outlineLevel="0" collapsed="false">
      <c r="A418" s="80" t="n">
        <v>41</v>
      </c>
      <c r="B418" s="81" t="s">
        <v>62</v>
      </c>
      <c r="C418" s="80" t="n">
        <v>0.205</v>
      </c>
      <c r="D418" s="80" t="s">
        <v>59</v>
      </c>
    </row>
    <row r="419" customFormat="false" ht="12.8" hidden="false" customHeight="false" outlineLevel="0" collapsed="false">
      <c r="A419" s="80" t="n">
        <v>41</v>
      </c>
      <c r="B419" s="81" t="s">
        <v>56</v>
      </c>
      <c r="C419" s="80" t="n">
        <v>0.1814</v>
      </c>
      <c r="D419" s="80" t="s">
        <v>59</v>
      </c>
    </row>
    <row r="420" customFormat="false" ht="12.8" hidden="false" customHeight="false" outlineLevel="0" collapsed="false">
      <c r="A420" s="80" t="n">
        <v>41</v>
      </c>
      <c r="B420" s="81" t="s">
        <v>61</v>
      </c>
      <c r="C420" s="80" t="n">
        <v>0.1807</v>
      </c>
      <c r="D420" s="80" t="s">
        <v>59</v>
      </c>
    </row>
    <row r="421" customFormat="false" ht="12.8" hidden="false" customHeight="false" outlineLevel="0" collapsed="false">
      <c r="A421" s="80" t="n">
        <v>41</v>
      </c>
      <c r="B421" s="81" t="s">
        <v>69</v>
      </c>
      <c r="C421" s="80" t="n">
        <v>0.1729</v>
      </c>
      <c r="D421" s="80" t="s">
        <v>59</v>
      </c>
    </row>
    <row r="422" customFormat="false" ht="12.8" hidden="false" customHeight="false" outlineLevel="0" collapsed="false">
      <c r="A422" s="80" t="n">
        <v>41</v>
      </c>
      <c r="B422" s="81" t="s">
        <v>63</v>
      </c>
      <c r="C422" s="80" t="n">
        <v>0.16</v>
      </c>
      <c r="D422" s="80" t="s">
        <v>59</v>
      </c>
    </row>
    <row r="423" customFormat="false" ht="12.8" hidden="false" customHeight="false" outlineLevel="0" collapsed="false">
      <c r="A423" s="80" t="n">
        <v>41</v>
      </c>
      <c r="B423" s="81" t="s">
        <v>65</v>
      </c>
      <c r="C423" s="80" t="n">
        <v>0.1</v>
      </c>
      <c r="D423" s="80" t="s">
        <v>59</v>
      </c>
    </row>
    <row r="424" customFormat="false" ht="12.8" hidden="false" customHeight="false" outlineLevel="0" collapsed="false">
      <c r="A424" s="80" t="n">
        <v>43</v>
      </c>
      <c r="B424" s="81" t="s">
        <v>62</v>
      </c>
      <c r="C424" s="80" t="n">
        <v>0.1985</v>
      </c>
      <c r="D424" s="80" t="s">
        <v>59</v>
      </c>
    </row>
    <row r="425" customFormat="false" ht="12.8" hidden="false" customHeight="false" outlineLevel="0" collapsed="false">
      <c r="A425" s="80" t="n">
        <v>43</v>
      </c>
      <c r="B425" s="81" t="s">
        <v>61</v>
      </c>
      <c r="C425" s="80" t="n">
        <v>0.1899</v>
      </c>
      <c r="D425" s="80" t="s">
        <v>59</v>
      </c>
    </row>
    <row r="426" customFormat="false" ht="12.8" hidden="false" customHeight="false" outlineLevel="0" collapsed="false">
      <c r="A426" s="80" t="n">
        <v>43</v>
      </c>
      <c r="B426" s="81" t="s">
        <v>66</v>
      </c>
      <c r="C426" s="80" t="n">
        <v>0.174</v>
      </c>
      <c r="D426" s="80" t="s">
        <v>59</v>
      </c>
    </row>
    <row r="427" customFormat="false" ht="12.8" hidden="false" customHeight="false" outlineLevel="0" collapsed="false">
      <c r="A427" s="80" t="n">
        <v>43</v>
      </c>
      <c r="B427" s="81" t="s">
        <v>69</v>
      </c>
      <c r="C427" s="80" t="n">
        <v>0.1701</v>
      </c>
      <c r="D427" s="80" t="s">
        <v>59</v>
      </c>
    </row>
    <row r="428" customFormat="false" ht="12.8" hidden="false" customHeight="false" outlineLevel="0" collapsed="false">
      <c r="A428" s="80" t="n">
        <v>43</v>
      </c>
      <c r="B428" s="81" t="s">
        <v>56</v>
      </c>
      <c r="C428" s="80" t="n">
        <v>0.1676</v>
      </c>
      <c r="D428" s="80" t="s">
        <v>59</v>
      </c>
    </row>
    <row r="429" customFormat="false" ht="12.8" hidden="false" customHeight="false" outlineLevel="0" collapsed="false">
      <c r="A429" s="80" t="n">
        <v>43</v>
      </c>
      <c r="B429" s="81" t="s">
        <v>65</v>
      </c>
      <c r="C429" s="80" t="n">
        <v>0.1</v>
      </c>
      <c r="D429" s="80" t="s">
        <v>59</v>
      </c>
    </row>
    <row r="430" customFormat="false" ht="12.8" hidden="false" customHeight="false" outlineLevel="0" collapsed="false">
      <c r="A430" s="80" t="n">
        <v>45</v>
      </c>
      <c r="B430" s="81" t="s">
        <v>62</v>
      </c>
      <c r="C430" s="80" t="n">
        <v>0.3276</v>
      </c>
      <c r="D430" s="80" t="s">
        <v>59</v>
      </c>
    </row>
    <row r="431" customFormat="false" ht="12.8" hidden="false" customHeight="false" outlineLevel="0" collapsed="false">
      <c r="A431" s="80" t="n">
        <v>45</v>
      </c>
      <c r="B431" s="81" t="s">
        <v>56</v>
      </c>
      <c r="C431" s="80" t="n">
        <v>0.2935</v>
      </c>
      <c r="D431" s="80" t="s">
        <v>59</v>
      </c>
    </row>
    <row r="432" customFormat="false" ht="12.8" hidden="false" customHeight="false" outlineLevel="0" collapsed="false">
      <c r="A432" s="80" t="n">
        <v>45</v>
      </c>
      <c r="B432" s="81" t="s">
        <v>63</v>
      </c>
      <c r="C432" s="80" t="n">
        <v>0.279</v>
      </c>
      <c r="D432" s="80" t="s">
        <v>59</v>
      </c>
    </row>
    <row r="433" customFormat="false" ht="12.8" hidden="false" customHeight="false" outlineLevel="0" collapsed="false">
      <c r="A433" s="80" t="n">
        <v>45</v>
      </c>
      <c r="B433" s="81" t="s">
        <v>65</v>
      </c>
      <c r="C433" s="80" t="n">
        <v>0.1</v>
      </c>
      <c r="D433" s="80" t="s">
        <v>59</v>
      </c>
    </row>
    <row r="434" customFormat="false" ht="12.8" hidden="false" customHeight="false" outlineLevel="0" collapsed="false">
      <c r="A434" s="80" t="n">
        <v>47</v>
      </c>
      <c r="B434" s="81" t="s">
        <v>62</v>
      </c>
      <c r="C434" s="80" t="n">
        <v>0.2004</v>
      </c>
      <c r="D434" s="80" t="s">
        <v>59</v>
      </c>
    </row>
    <row r="435" customFormat="false" ht="12.8" hidden="false" customHeight="false" outlineLevel="0" collapsed="false">
      <c r="A435" s="80" t="n">
        <v>47</v>
      </c>
      <c r="B435" s="81" t="s">
        <v>56</v>
      </c>
      <c r="C435" s="80" t="n">
        <v>0.1772</v>
      </c>
      <c r="D435" s="80" t="s">
        <v>59</v>
      </c>
    </row>
    <row r="436" customFormat="false" ht="12.8" hidden="false" customHeight="false" outlineLevel="0" collapsed="false">
      <c r="A436" s="80" t="n">
        <v>47</v>
      </c>
      <c r="B436" s="81" t="s">
        <v>69</v>
      </c>
      <c r="C436" s="80" t="n">
        <v>0.1745</v>
      </c>
      <c r="D436" s="80" t="s">
        <v>59</v>
      </c>
    </row>
    <row r="437" customFormat="false" ht="12.8" hidden="false" customHeight="false" outlineLevel="0" collapsed="false">
      <c r="A437" s="80" t="n">
        <v>47</v>
      </c>
      <c r="B437" s="81" t="s">
        <v>67</v>
      </c>
      <c r="C437" s="80" t="n">
        <v>0.1741</v>
      </c>
      <c r="D437" s="80" t="s">
        <v>59</v>
      </c>
    </row>
    <row r="438" customFormat="false" ht="12.8" hidden="false" customHeight="false" outlineLevel="0" collapsed="false">
      <c r="A438" s="80" t="n">
        <v>47</v>
      </c>
      <c r="B438" s="81" t="s">
        <v>63</v>
      </c>
      <c r="C438" s="80" t="n">
        <v>0.1739</v>
      </c>
      <c r="D438" s="80" t="s">
        <v>59</v>
      </c>
    </row>
    <row r="439" customFormat="false" ht="12.8" hidden="false" customHeight="false" outlineLevel="0" collapsed="false">
      <c r="A439" s="80" t="n">
        <v>47</v>
      </c>
      <c r="B439" s="81" t="s">
        <v>65</v>
      </c>
      <c r="C439" s="80" t="n">
        <v>0.1</v>
      </c>
      <c r="D439" s="80" t="s">
        <v>59</v>
      </c>
    </row>
    <row r="440" customFormat="false" ht="12.8" hidden="false" customHeight="false" outlineLevel="0" collapsed="false">
      <c r="A440" s="80" t="n">
        <v>49</v>
      </c>
      <c r="B440" s="81" t="s">
        <v>62</v>
      </c>
      <c r="C440" s="80" t="n">
        <v>0.2</v>
      </c>
      <c r="D440" s="80" t="s">
        <v>59</v>
      </c>
    </row>
    <row r="441" customFormat="false" ht="12.8" hidden="false" customHeight="false" outlineLevel="0" collapsed="false">
      <c r="A441" s="80" t="n">
        <v>49</v>
      </c>
      <c r="B441" s="81" t="s">
        <v>63</v>
      </c>
      <c r="C441" s="80" t="n">
        <v>0.1877</v>
      </c>
      <c r="D441" s="80" t="s">
        <v>59</v>
      </c>
    </row>
    <row r="442" customFormat="false" ht="12.8" hidden="false" customHeight="false" outlineLevel="0" collapsed="false">
      <c r="A442" s="80" t="n">
        <v>49</v>
      </c>
      <c r="B442" s="81" t="s">
        <v>56</v>
      </c>
      <c r="C442" s="80" t="n">
        <v>0.1711</v>
      </c>
      <c r="D442" s="80" t="s">
        <v>59</v>
      </c>
    </row>
    <row r="443" customFormat="false" ht="12.8" hidden="false" customHeight="false" outlineLevel="0" collapsed="false">
      <c r="A443" s="80" t="n">
        <v>49</v>
      </c>
      <c r="B443" s="81" t="s">
        <v>69</v>
      </c>
      <c r="C443" s="80" t="n">
        <v>0.171</v>
      </c>
      <c r="D443" s="80" t="s">
        <v>59</v>
      </c>
    </row>
    <row r="444" customFormat="false" ht="12.8" hidden="false" customHeight="false" outlineLevel="0" collapsed="false">
      <c r="A444" s="80" t="n">
        <v>49</v>
      </c>
      <c r="B444" s="81" t="s">
        <v>66</v>
      </c>
      <c r="C444" s="80" t="n">
        <v>0.1703</v>
      </c>
      <c r="D444" s="80" t="s">
        <v>59</v>
      </c>
    </row>
    <row r="445" customFormat="false" ht="12.8" hidden="false" customHeight="false" outlineLevel="0" collapsed="false">
      <c r="A445" s="80" t="n">
        <v>49</v>
      </c>
      <c r="B445" s="81" t="s">
        <v>65</v>
      </c>
      <c r="C445" s="80" t="n">
        <v>0.1</v>
      </c>
      <c r="D445" s="80" t="s">
        <v>59</v>
      </c>
    </row>
    <row r="446" customFormat="false" ht="12.8" hidden="false" customHeight="false" outlineLevel="0" collapsed="false">
      <c r="A446" s="39" t="n">
        <v>1</v>
      </c>
      <c r="B446" s="98" t="s">
        <v>56</v>
      </c>
      <c r="C446" s="39" t="n">
        <v>0.1958</v>
      </c>
      <c r="D446" s="39" t="s">
        <v>60</v>
      </c>
    </row>
    <row r="447" customFormat="false" ht="12.8" hidden="false" customHeight="false" outlineLevel="0" collapsed="false">
      <c r="A447" s="39" t="n">
        <v>1</v>
      </c>
      <c r="B447" s="98" t="s">
        <v>62</v>
      </c>
      <c r="C447" s="39" t="n">
        <v>0.1952</v>
      </c>
      <c r="D447" s="39" t="s">
        <v>60</v>
      </c>
    </row>
    <row r="448" customFormat="false" ht="12.8" hidden="false" customHeight="false" outlineLevel="0" collapsed="false">
      <c r="A448" s="39" t="n">
        <v>1</v>
      </c>
      <c r="B448" s="98" t="s">
        <v>61</v>
      </c>
      <c r="C448" s="39" t="n">
        <v>0.1901</v>
      </c>
      <c r="D448" s="39" t="s">
        <v>60</v>
      </c>
    </row>
    <row r="449" customFormat="false" ht="12.8" hidden="false" customHeight="false" outlineLevel="0" collapsed="false">
      <c r="A449" s="39" t="n">
        <v>1</v>
      </c>
      <c r="B449" s="98" t="s">
        <v>63</v>
      </c>
      <c r="C449" s="39" t="n">
        <v>0.1611</v>
      </c>
      <c r="D449" s="39" t="s">
        <v>60</v>
      </c>
    </row>
    <row r="450" customFormat="false" ht="12.8" hidden="false" customHeight="false" outlineLevel="0" collapsed="false">
      <c r="A450" s="39" t="n">
        <v>1</v>
      </c>
      <c r="B450" s="98" t="s">
        <v>64</v>
      </c>
      <c r="C450" s="39" t="n">
        <v>0.1578</v>
      </c>
      <c r="D450" s="39" t="s">
        <v>60</v>
      </c>
    </row>
    <row r="451" customFormat="false" ht="12.8" hidden="false" customHeight="false" outlineLevel="0" collapsed="false">
      <c r="A451" s="39" t="n">
        <v>1</v>
      </c>
      <c r="B451" s="98" t="s">
        <v>65</v>
      </c>
      <c r="C451" s="39" t="n">
        <v>0.1</v>
      </c>
      <c r="D451" s="39" t="s">
        <v>60</v>
      </c>
    </row>
    <row r="452" customFormat="false" ht="12.8" hidden="false" customHeight="false" outlineLevel="0" collapsed="false">
      <c r="A452" s="39" t="n">
        <v>3</v>
      </c>
      <c r="B452" s="98" t="s">
        <v>62</v>
      </c>
      <c r="C452" s="39" t="n">
        <v>0.2047</v>
      </c>
      <c r="D452" s="39" t="s">
        <v>60</v>
      </c>
    </row>
    <row r="453" customFormat="false" ht="12.8" hidden="false" customHeight="false" outlineLevel="0" collapsed="false">
      <c r="A453" s="39" t="n">
        <v>3</v>
      </c>
      <c r="B453" s="98" t="s">
        <v>56</v>
      </c>
      <c r="C453" s="39" t="n">
        <v>0.1852</v>
      </c>
      <c r="D453" s="39" t="s">
        <v>60</v>
      </c>
    </row>
    <row r="454" customFormat="false" ht="12.8" hidden="false" customHeight="false" outlineLevel="0" collapsed="false">
      <c r="A454" s="39" t="n">
        <v>3</v>
      </c>
      <c r="B454" s="98" t="s">
        <v>61</v>
      </c>
      <c r="C454" s="39" t="n">
        <v>0.1832</v>
      </c>
      <c r="D454" s="39" t="s">
        <v>60</v>
      </c>
    </row>
    <row r="455" customFormat="false" ht="12.8" hidden="false" customHeight="false" outlineLevel="0" collapsed="false">
      <c r="A455" s="39" t="n">
        <v>3</v>
      </c>
      <c r="B455" s="98" t="s">
        <v>63</v>
      </c>
      <c r="C455" s="39" t="n">
        <v>0.1775</v>
      </c>
      <c r="D455" s="39" t="s">
        <v>60</v>
      </c>
    </row>
    <row r="456" customFormat="false" ht="12.8" hidden="false" customHeight="false" outlineLevel="0" collapsed="false">
      <c r="A456" s="39" t="n">
        <v>3</v>
      </c>
      <c r="B456" s="98" t="s">
        <v>67</v>
      </c>
      <c r="C456" s="39" t="n">
        <v>0.1493</v>
      </c>
      <c r="D456" s="39" t="s">
        <v>60</v>
      </c>
    </row>
    <row r="457" customFormat="false" ht="12.8" hidden="false" customHeight="false" outlineLevel="0" collapsed="false">
      <c r="A457" s="39" t="n">
        <v>3</v>
      </c>
      <c r="B457" s="98" t="s">
        <v>65</v>
      </c>
      <c r="C457" s="39" t="n">
        <v>0.1</v>
      </c>
      <c r="D457" s="39" t="s">
        <v>60</v>
      </c>
    </row>
    <row r="458" customFormat="false" ht="12.8" hidden="false" customHeight="false" outlineLevel="0" collapsed="false">
      <c r="A458" s="39" t="n">
        <v>5</v>
      </c>
      <c r="B458" s="98" t="s">
        <v>56</v>
      </c>
      <c r="C458" s="39" t="n">
        <v>0.2024</v>
      </c>
      <c r="D458" s="39" t="s">
        <v>60</v>
      </c>
    </row>
    <row r="459" customFormat="false" ht="12.8" hidden="false" customHeight="false" outlineLevel="0" collapsed="false">
      <c r="A459" s="39" t="n">
        <v>5</v>
      </c>
      <c r="B459" s="98" t="s">
        <v>62</v>
      </c>
      <c r="C459" s="39" t="n">
        <v>0.2014</v>
      </c>
      <c r="D459" s="39" t="s">
        <v>60</v>
      </c>
    </row>
    <row r="460" customFormat="false" ht="12.8" hidden="false" customHeight="false" outlineLevel="0" collapsed="false">
      <c r="A460" s="39" t="n">
        <v>5</v>
      </c>
      <c r="B460" s="98" t="s">
        <v>61</v>
      </c>
      <c r="C460" s="39" t="n">
        <v>0.1805</v>
      </c>
      <c r="D460" s="39" t="s">
        <v>60</v>
      </c>
    </row>
    <row r="461" customFormat="false" ht="12.8" hidden="false" customHeight="false" outlineLevel="0" collapsed="false">
      <c r="A461" s="39" t="n">
        <v>5</v>
      </c>
      <c r="B461" s="98" t="s">
        <v>63</v>
      </c>
      <c r="C461" s="39" t="n">
        <v>0.1599</v>
      </c>
      <c r="D461" s="39" t="s">
        <v>60</v>
      </c>
    </row>
    <row r="462" customFormat="false" ht="12.8" hidden="false" customHeight="false" outlineLevel="0" collapsed="false">
      <c r="A462" s="39" t="n">
        <v>5</v>
      </c>
      <c r="B462" s="98" t="s">
        <v>66</v>
      </c>
      <c r="C462" s="39" t="n">
        <v>0.1558</v>
      </c>
      <c r="D462" s="39" t="s">
        <v>60</v>
      </c>
    </row>
    <row r="463" customFormat="false" ht="12.8" hidden="false" customHeight="false" outlineLevel="0" collapsed="false">
      <c r="A463" s="39" t="n">
        <v>5</v>
      </c>
      <c r="B463" s="98" t="s">
        <v>65</v>
      </c>
      <c r="C463" s="39" t="n">
        <v>0.1</v>
      </c>
      <c r="D463" s="39" t="s">
        <v>60</v>
      </c>
    </row>
    <row r="464" customFormat="false" ht="12.8" hidden="false" customHeight="false" outlineLevel="0" collapsed="false">
      <c r="A464" s="39" t="n">
        <v>7</v>
      </c>
      <c r="B464" s="98" t="s">
        <v>62</v>
      </c>
      <c r="C464" s="39" t="n">
        <v>0.214</v>
      </c>
      <c r="D464" s="39" t="s">
        <v>60</v>
      </c>
    </row>
    <row r="465" customFormat="false" ht="12.8" hidden="false" customHeight="false" outlineLevel="0" collapsed="false">
      <c r="A465" s="39" t="n">
        <v>7</v>
      </c>
      <c r="B465" s="98" t="s">
        <v>56</v>
      </c>
      <c r="C465" s="39" t="n">
        <v>0.198</v>
      </c>
      <c r="D465" s="39" t="s">
        <v>60</v>
      </c>
    </row>
    <row r="466" customFormat="false" ht="12.8" hidden="false" customHeight="false" outlineLevel="0" collapsed="false">
      <c r="A466" s="39" t="n">
        <v>7</v>
      </c>
      <c r="B466" s="98" t="s">
        <v>61</v>
      </c>
      <c r="C466" s="39" t="n">
        <v>0.1784</v>
      </c>
      <c r="D466" s="39" t="s">
        <v>60</v>
      </c>
    </row>
    <row r="467" customFormat="false" ht="12.8" hidden="false" customHeight="false" outlineLevel="0" collapsed="false">
      <c r="A467" s="39" t="n">
        <v>7</v>
      </c>
      <c r="B467" s="98" t="s">
        <v>63</v>
      </c>
      <c r="C467" s="39" t="n">
        <v>0.1675</v>
      </c>
      <c r="D467" s="39" t="s">
        <v>60</v>
      </c>
    </row>
    <row r="468" customFormat="false" ht="12.8" hidden="false" customHeight="false" outlineLevel="0" collapsed="false">
      <c r="A468" s="39" t="n">
        <v>7</v>
      </c>
      <c r="B468" s="98" t="s">
        <v>69</v>
      </c>
      <c r="C468" s="39" t="n">
        <v>0.142</v>
      </c>
      <c r="D468" s="39" t="s">
        <v>60</v>
      </c>
    </row>
    <row r="469" customFormat="false" ht="12.8" hidden="false" customHeight="false" outlineLevel="0" collapsed="false">
      <c r="A469" s="39" t="n">
        <v>7</v>
      </c>
      <c r="B469" s="98" t="s">
        <v>65</v>
      </c>
      <c r="C469" s="39" t="n">
        <v>0.1</v>
      </c>
      <c r="D469" s="39" t="s">
        <v>60</v>
      </c>
    </row>
    <row r="470" customFormat="false" ht="12.8" hidden="false" customHeight="false" outlineLevel="0" collapsed="false">
      <c r="A470" s="39" t="n">
        <v>9</v>
      </c>
      <c r="B470" s="98" t="s">
        <v>62</v>
      </c>
      <c r="C470" s="39" t="n">
        <v>0.2171</v>
      </c>
      <c r="D470" s="39" t="s">
        <v>60</v>
      </c>
    </row>
    <row r="471" customFormat="false" ht="12.8" hidden="false" customHeight="false" outlineLevel="0" collapsed="false">
      <c r="A471" s="39" t="n">
        <v>9</v>
      </c>
      <c r="B471" s="98" t="s">
        <v>61</v>
      </c>
      <c r="C471" s="39" t="n">
        <v>0.1836</v>
      </c>
      <c r="D471" s="39" t="s">
        <v>60</v>
      </c>
    </row>
    <row r="472" customFormat="false" ht="12.8" hidden="false" customHeight="false" outlineLevel="0" collapsed="false">
      <c r="A472" s="39" t="n">
        <v>9</v>
      </c>
      <c r="B472" s="98" t="s">
        <v>56</v>
      </c>
      <c r="C472" s="39" t="n">
        <v>0.1759</v>
      </c>
      <c r="D472" s="39" t="s">
        <v>60</v>
      </c>
    </row>
    <row r="473" customFormat="false" ht="12.8" hidden="false" customHeight="false" outlineLevel="0" collapsed="false">
      <c r="A473" s="39" t="n">
        <v>9</v>
      </c>
      <c r="B473" s="98" t="s">
        <v>64</v>
      </c>
      <c r="C473" s="39" t="n">
        <v>0.1646</v>
      </c>
      <c r="D473" s="39" t="s">
        <v>60</v>
      </c>
    </row>
    <row r="474" customFormat="false" ht="12.8" hidden="false" customHeight="false" outlineLevel="0" collapsed="false">
      <c r="A474" s="39" t="n">
        <v>9</v>
      </c>
      <c r="B474" s="98" t="s">
        <v>63</v>
      </c>
      <c r="C474" s="39" t="n">
        <v>0.1587</v>
      </c>
      <c r="D474" s="39" t="s">
        <v>60</v>
      </c>
    </row>
    <row r="475" customFormat="false" ht="12.8" hidden="false" customHeight="false" outlineLevel="0" collapsed="false">
      <c r="A475" s="39" t="n">
        <v>9</v>
      </c>
      <c r="B475" s="98" t="s">
        <v>65</v>
      </c>
      <c r="C475" s="39" t="n">
        <v>0.1</v>
      </c>
      <c r="D475" s="39" t="s">
        <v>60</v>
      </c>
    </row>
    <row r="476" customFormat="false" ht="12.8" hidden="false" customHeight="false" outlineLevel="0" collapsed="false">
      <c r="A476" s="39" t="n">
        <v>11</v>
      </c>
      <c r="B476" s="98" t="s">
        <v>62</v>
      </c>
      <c r="C476" s="39" t="n">
        <v>0.218</v>
      </c>
      <c r="D476" s="39" t="s">
        <v>60</v>
      </c>
    </row>
    <row r="477" customFormat="false" ht="12.8" hidden="false" customHeight="false" outlineLevel="0" collapsed="false">
      <c r="A477" s="39" t="n">
        <v>11</v>
      </c>
      <c r="B477" s="98" t="s">
        <v>61</v>
      </c>
      <c r="C477" s="39" t="n">
        <v>0.1915</v>
      </c>
      <c r="D477" s="39" t="s">
        <v>60</v>
      </c>
    </row>
    <row r="478" customFormat="false" ht="12.8" hidden="false" customHeight="false" outlineLevel="0" collapsed="false">
      <c r="A478" s="39" t="n">
        <v>11</v>
      </c>
      <c r="B478" s="98" t="s">
        <v>56</v>
      </c>
      <c r="C478" s="39" t="n">
        <v>0.1837</v>
      </c>
      <c r="D478" s="39" t="s">
        <v>60</v>
      </c>
    </row>
    <row r="479" customFormat="false" ht="12.8" hidden="false" customHeight="false" outlineLevel="0" collapsed="false">
      <c r="A479" s="39" t="n">
        <v>11</v>
      </c>
      <c r="B479" s="98" t="s">
        <v>63</v>
      </c>
      <c r="C479" s="39" t="n">
        <v>0.1605</v>
      </c>
      <c r="D479" s="39" t="s">
        <v>60</v>
      </c>
    </row>
    <row r="480" customFormat="false" ht="12.8" hidden="false" customHeight="false" outlineLevel="0" collapsed="false">
      <c r="A480" s="39" t="n">
        <v>11</v>
      </c>
      <c r="B480" s="98" t="s">
        <v>69</v>
      </c>
      <c r="C480" s="39" t="n">
        <v>0.1463</v>
      </c>
      <c r="D480" s="39" t="s">
        <v>60</v>
      </c>
    </row>
    <row r="481" customFormat="false" ht="12.8" hidden="false" customHeight="false" outlineLevel="0" collapsed="false">
      <c r="A481" s="39" t="n">
        <v>11</v>
      </c>
      <c r="B481" s="98" t="s">
        <v>65</v>
      </c>
      <c r="C481" s="39" t="n">
        <v>0.1</v>
      </c>
      <c r="D481" s="39" t="s">
        <v>60</v>
      </c>
    </row>
    <row r="482" customFormat="false" ht="12.8" hidden="false" customHeight="false" outlineLevel="0" collapsed="false">
      <c r="A482" s="39" t="n">
        <v>13</v>
      </c>
      <c r="B482" s="98" t="s">
        <v>62</v>
      </c>
      <c r="C482" s="39" t="n">
        <v>0.2194</v>
      </c>
      <c r="D482" s="39" t="s">
        <v>60</v>
      </c>
    </row>
    <row r="483" customFormat="false" ht="12.8" hidden="false" customHeight="false" outlineLevel="0" collapsed="false">
      <c r="A483" s="39" t="n">
        <v>13</v>
      </c>
      <c r="B483" s="98" t="s">
        <v>56</v>
      </c>
      <c r="C483" s="39" t="n">
        <v>0.1943</v>
      </c>
      <c r="D483" s="39" t="s">
        <v>60</v>
      </c>
    </row>
    <row r="484" customFormat="false" ht="12.8" hidden="false" customHeight="false" outlineLevel="0" collapsed="false">
      <c r="A484" s="39" t="n">
        <v>13</v>
      </c>
      <c r="B484" s="98" t="s">
        <v>61</v>
      </c>
      <c r="C484" s="39" t="n">
        <v>0.1937</v>
      </c>
      <c r="D484" s="39" t="s">
        <v>60</v>
      </c>
    </row>
    <row r="485" customFormat="false" ht="12.8" hidden="false" customHeight="false" outlineLevel="0" collapsed="false">
      <c r="A485" s="39" t="n">
        <v>13</v>
      </c>
      <c r="B485" s="98" t="s">
        <v>67</v>
      </c>
      <c r="C485" s="39" t="n">
        <v>0.1529</v>
      </c>
      <c r="D485" s="39" t="s">
        <v>60</v>
      </c>
    </row>
    <row r="486" customFormat="false" ht="12.8" hidden="false" customHeight="false" outlineLevel="0" collapsed="false">
      <c r="A486" s="39" t="n">
        <v>13</v>
      </c>
      <c r="B486" s="98" t="s">
        <v>63</v>
      </c>
      <c r="C486" s="39" t="n">
        <v>0.1398</v>
      </c>
      <c r="D486" s="39" t="s">
        <v>60</v>
      </c>
    </row>
    <row r="487" customFormat="false" ht="12.8" hidden="false" customHeight="false" outlineLevel="0" collapsed="false">
      <c r="A487" s="39" t="n">
        <v>13</v>
      </c>
      <c r="B487" s="98" t="s">
        <v>65</v>
      </c>
      <c r="C487" s="39" t="n">
        <v>0.1</v>
      </c>
      <c r="D487" s="39" t="s">
        <v>60</v>
      </c>
    </row>
    <row r="488" customFormat="false" ht="12.8" hidden="false" customHeight="false" outlineLevel="0" collapsed="false">
      <c r="A488" s="39" t="n">
        <v>15</v>
      </c>
      <c r="B488" s="98" t="s">
        <v>61</v>
      </c>
      <c r="C488" s="39" t="n">
        <v>0.1944</v>
      </c>
      <c r="D488" s="39" t="s">
        <v>60</v>
      </c>
    </row>
    <row r="489" customFormat="false" ht="12.8" hidden="false" customHeight="false" outlineLevel="0" collapsed="false">
      <c r="A489" s="39" t="n">
        <v>15</v>
      </c>
      <c r="B489" s="98" t="s">
        <v>62</v>
      </c>
      <c r="C489" s="39" t="n">
        <v>0.1943</v>
      </c>
      <c r="D489" s="39" t="s">
        <v>60</v>
      </c>
    </row>
    <row r="490" customFormat="false" ht="12.8" hidden="false" customHeight="false" outlineLevel="0" collapsed="false">
      <c r="A490" s="39" t="n">
        <v>15</v>
      </c>
      <c r="B490" s="98" t="s">
        <v>56</v>
      </c>
      <c r="C490" s="39" t="n">
        <v>0.1761</v>
      </c>
      <c r="D490" s="39" t="s">
        <v>60</v>
      </c>
    </row>
    <row r="491" customFormat="false" ht="12.8" hidden="false" customHeight="false" outlineLevel="0" collapsed="false">
      <c r="A491" s="39" t="n">
        <v>15</v>
      </c>
      <c r="B491" s="98" t="s">
        <v>64</v>
      </c>
      <c r="C491" s="39" t="n">
        <v>0.1718</v>
      </c>
      <c r="D491" s="39" t="s">
        <v>60</v>
      </c>
    </row>
    <row r="492" customFormat="false" ht="12.8" hidden="false" customHeight="false" outlineLevel="0" collapsed="false">
      <c r="A492" s="39" t="n">
        <v>15</v>
      </c>
      <c r="B492" s="98" t="s">
        <v>71</v>
      </c>
      <c r="C492" s="39" t="n">
        <v>0.1634</v>
      </c>
      <c r="D492" s="39" t="s">
        <v>60</v>
      </c>
    </row>
    <row r="493" customFormat="false" ht="12.8" hidden="false" customHeight="false" outlineLevel="0" collapsed="false">
      <c r="A493" s="39" t="n">
        <v>15</v>
      </c>
      <c r="B493" s="98" t="s">
        <v>65</v>
      </c>
      <c r="C493" s="39" t="n">
        <v>0.1</v>
      </c>
      <c r="D493" s="39" t="s">
        <v>60</v>
      </c>
    </row>
    <row r="494" customFormat="false" ht="12.8" hidden="false" customHeight="false" outlineLevel="0" collapsed="false">
      <c r="A494" s="39" t="n">
        <v>17</v>
      </c>
      <c r="B494" s="98" t="s">
        <v>62</v>
      </c>
      <c r="C494" s="39" t="n">
        <v>0.2053</v>
      </c>
      <c r="D494" s="39" t="s">
        <v>60</v>
      </c>
    </row>
    <row r="495" customFormat="false" ht="12.8" hidden="false" customHeight="false" outlineLevel="0" collapsed="false">
      <c r="A495" s="39" t="n">
        <v>17</v>
      </c>
      <c r="B495" s="98" t="s">
        <v>56</v>
      </c>
      <c r="C495" s="39" t="n">
        <v>0.1956</v>
      </c>
      <c r="D495" s="39" t="s">
        <v>60</v>
      </c>
    </row>
    <row r="496" customFormat="false" ht="12.8" hidden="false" customHeight="false" outlineLevel="0" collapsed="false">
      <c r="A496" s="39" t="n">
        <v>17</v>
      </c>
      <c r="B496" s="98" t="s">
        <v>61</v>
      </c>
      <c r="C496" s="39" t="n">
        <v>0.1716</v>
      </c>
      <c r="D496" s="39" t="s">
        <v>60</v>
      </c>
    </row>
    <row r="497" customFormat="false" ht="12.8" hidden="false" customHeight="false" outlineLevel="0" collapsed="false">
      <c r="A497" s="39" t="n">
        <v>17</v>
      </c>
      <c r="B497" s="98" t="s">
        <v>69</v>
      </c>
      <c r="C497" s="39" t="n">
        <v>0.1662</v>
      </c>
      <c r="D497" s="39" t="s">
        <v>60</v>
      </c>
    </row>
    <row r="498" customFormat="false" ht="12.8" hidden="false" customHeight="false" outlineLevel="0" collapsed="false">
      <c r="A498" s="39" t="n">
        <v>17</v>
      </c>
      <c r="B498" s="98" t="s">
        <v>64</v>
      </c>
      <c r="C498" s="39" t="n">
        <v>0.1613</v>
      </c>
      <c r="D498" s="39" t="s">
        <v>60</v>
      </c>
    </row>
    <row r="499" customFormat="false" ht="12.8" hidden="false" customHeight="false" outlineLevel="0" collapsed="false">
      <c r="A499" s="39" t="n">
        <v>17</v>
      </c>
      <c r="B499" s="98" t="s">
        <v>65</v>
      </c>
      <c r="C499" s="39" t="n">
        <v>0.1</v>
      </c>
      <c r="D499" s="39" t="s">
        <v>60</v>
      </c>
    </row>
    <row r="500" customFormat="false" ht="12.8" hidden="false" customHeight="false" outlineLevel="0" collapsed="false">
      <c r="A500" s="39" t="n">
        <v>19</v>
      </c>
      <c r="B500" s="98" t="s">
        <v>62</v>
      </c>
      <c r="C500" s="39" t="n">
        <v>0.2066</v>
      </c>
      <c r="D500" s="39" t="s">
        <v>60</v>
      </c>
    </row>
    <row r="501" customFormat="false" ht="12.8" hidden="false" customHeight="false" outlineLevel="0" collapsed="false">
      <c r="A501" s="39" t="n">
        <v>19</v>
      </c>
      <c r="B501" s="98" t="s">
        <v>56</v>
      </c>
      <c r="C501" s="39" t="n">
        <v>0.1953</v>
      </c>
      <c r="D501" s="39" t="s">
        <v>60</v>
      </c>
    </row>
    <row r="502" customFormat="false" ht="12.8" hidden="false" customHeight="false" outlineLevel="0" collapsed="false">
      <c r="A502" s="39" t="n">
        <v>19</v>
      </c>
      <c r="B502" s="98" t="s">
        <v>61</v>
      </c>
      <c r="C502" s="39" t="n">
        <v>0.1774</v>
      </c>
      <c r="D502" s="39" t="s">
        <v>60</v>
      </c>
    </row>
    <row r="503" customFormat="false" ht="12.8" hidden="false" customHeight="false" outlineLevel="0" collapsed="false">
      <c r="A503" s="39" t="n">
        <v>19</v>
      </c>
      <c r="B503" s="98" t="s">
        <v>69</v>
      </c>
      <c r="C503" s="39" t="n">
        <v>0.1634</v>
      </c>
      <c r="D503" s="39" t="s">
        <v>60</v>
      </c>
    </row>
    <row r="504" customFormat="false" ht="12.8" hidden="false" customHeight="false" outlineLevel="0" collapsed="false">
      <c r="A504" s="39" t="n">
        <v>19</v>
      </c>
      <c r="B504" s="98" t="s">
        <v>63</v>
      </c>
      <c r="C504" s="39" t="n">
        <v>0.1572</v>
      </c>
      <c r="D504" s="39" t="s">
        <v>60</v>
      </c>
    </row>
    <row r="505" customFormat="false" ht="12.8" hidden="false" customHeight="false" outlineLevel="0" collapsed="false">
      <c r="A505" s="39" t="n">
        <v>19</v>
      </c>
      <c r="B505" s="98" t="s">
        <v>65</v>
      </c>
      <c r="C505" s="39" t="n">
        <v>0.1</v>
      </c>
      <c r="D505" s="39" t="s">
        <v>60</v>
      </c>
    </row>
    <row r="506" customFormat="false" ht="12.8" hidden="false" customHeight="false" outlineLevel="0" collapsed="false">
      <c r="A506" s="39" t="n">
        <v>21</v>
      </c>
      <c r="B506" s="98" t="s">
        <v>62</v>
      </c>
      <c r="C506" s="39" t="n">
        <v>0.1988</v>
      </c>
      <c r="D506" s="39" t="s">
        <v>60</v>
      </c>
    </row>
    <row r="507" customFormat="false" ht="12.8" hidden="false" customHeight="false" outlineLevel="0" collapsed="false">
      <c r="A507" s="39" t="n">
        <v>21</v>
      </c>
      <c r="B507" s="98" t="s">
        <v>56</v>
      </c>
      <c r="C507" s="39" t="n">
        <v>0.1917</v>
      </c>
      <c r="D507" s="39" t="s">
        <v>60</v>
      </c>
    </row>
    <row r="508" customFormat="false" ht="12.8" hidden="false" customHeight="false" outlineLevel="0" collapsed="false">
      <c r="A508" s="39" t="n">
        <v>21</v>
      </c>
      <c r="B508" s="98" t="s">
        <v>61</v>
      </c>
      <c r="C508" s="39" t="n">
        <v>0.1833</v>
      </c>
      <c r="D508" s="39" t="s">
        <v>60</v>
      </c>
    </row>
    <row r="509" customFormat="false" ht="12.8" hidden="false" customHeight="false" outlineLevel="0" collapsed="false">
      <c r="A509" s="39" t="n">
        <v>21</v>
      </c>
      <c r="B509" s="98" t="s">
        <v>63</v>
      </c>
      <c r="C509" s="39" t="n">
        <v>0.1692</v>
      </c>
      <c r="D509" s="39" t="s">
        <v>60</v>
      </c>
    </row>
    <row r="510" customFormat="false" ht="12.8" hidden="false" customHeight="false" outlineLevel="0" collapsed="false">
      <c r="A510" s="39" t="n">
        <v>21</v>
      </c>
      <c r="B510" s="98" t="s">
        <v>71</v>
      </c>
      <c r="C510" s="39" t="n">
        <v>0.157</v>
      </c>
      <c r="D510" s="39" t="s">
        <v>60</v>
      </c>
    </row>
    <row r="511" customFormat="false" ht="12.8" hidden="false" customHeight="false" outlineLevel="0" collapsed="false">
      <c r="A511" s="39" t="n">
        <v>21</v>
      </c>
      <c r="B511" s="98" t="s">
        <v>65</v>
      </c>
      <c r="C511" s="39" t="n">
        <v>0.1</v>
      </c>
      <c r="D511" s="39" t="s">
        <v>60</v>
      </c>
    </row>
    <row r="512" customFormat="false" ht="12.8" hidden="false" customHeight="false" outlineLevel="0" collapsed="false">
      <c r="A512" s="39" t="n">
        <v>23</v>
      </c>
      <c r="B512" s="98" t="s">
        <v>62</v>
      </c>
      <c r="C512" s="39" t="n">
        <v>0.2055</v>
      </c>
      <c r="D512" s="39" t="s">
        <v>60</v>
      </c>
    </row>
    <row r="513" customFormat="false" ht="12.8" hidden="false" customHeight="false" outlineLevel="0" collapsed="false">
      <c r="A513" s="39" t="n">
        <v>23</v>
      </c>
      <c r="B513" s="98" t="s">
        <v>63</v>
      </c>
      <c r="C513" s="39" t="n">
        <v>0.1861</v>
      </c>
      <c r="D513" s="39" t="s">
        <v>60</v>
      </c>
    </row>
    <row r="514" customFormat="false" ht="12.8" hidden="false" customHeight="false" outlineLevel="0" collapsed="false">
      <c r="A514" s="39" t="n">
        <v>23</v>
      </c>
      <c r="B514" s="98" t="s">
        <v>56</v>
      </c>
      <c r="C514" s="39" t="n">
        <v>0.1858</v>
      </c>
      <c r="D514" s="39" t="s">
        <v>60</v>
      </c>
    </row>
    <row r="515" customFormat="false" ht="12.8" hidden="false" customHeight="false" outlineLevel="0" collapsed="false">
      <c r="A515" s="39" t="n">
        <v>23</v>
      </c>
      <c r="B515" s="98" t="s">
        <v>61</v>
      </c>
      <c r="C515" s="39" t="n">
        <v>0.1632</v>
      </c>
      <c r="D515" s="39" t="s">
        <v>60</v>
      </c>
    </row>
    <row r="516" customFormat="false" ht="12.8" hidden="false" customHeight="false" outlineLevel="0" collapsed="false">
      <c r="A516" s="39" t="n">
        <v>23</v>
      </c>
      <c r="B516" s="98" t="s">
        <v>64</v>
      </c>
      <c r="C516" s="39" t="n">
        <v>0.1594</v>
      </c>
      <c r="D516" s="39" t="s">
        <v>60</v>
      </c>
    </row>
    <row r="517" customFormat="false" ht="12.8" hidden="false" customHeight="false" outlineLevel="0" collapsed="false">
      <c r="A517" s="39" t="n">
        <v>23</v>
      </c>
      <c r="B517" s="98" t="s">
        <v>65</v>
      </c>
      <c r="C517" s="39" t="n">
        <v>0.1</v>
      </c>
      <c r="D517" s="39" t="s">
        <v>60</v>
      </c>
    </row>
    <row r="518" customFormat="false" ht="12.8" hidden="false" customHeight="false" outlineLevel="0" collapsed="false">
      <c r="A518" s="39" t="n">
        <v>25</v>
      </c>
      <c r="B518" s="98" t="s">
        <v>62</v>
      </c>
      <c r="C518" s="39" t="n">
        <v>0.1988</v>
      </c>
      <c r="D518" s="39" t="s">
        <v>60</v>
      </c>
    </row>
    <row r="519" customFormat="false" ht="12.8" hidden="false" customHeight="false" outlineLevel="0" collapsed="false">
      <c r="A519" s="39" t="n">
        <v>25</v>
      </c>
      <c r="B519" s="98" t="s">
        <v>56</v>
      </c>
      <c r="C519" s="39" t="n">
        <v>0.1901</v>
      </c>
      <c r="D519" s="39" t="s">
        <v>60</v>
      </c>
    </row>
    <row r="520" customFormat="false" ht="12.8" hidden="false" customHeight="false" outlineLevel="0" collapsed="false">
      <c r="A520" s="39" t="n">
        <v>25</v>
      </c>
      <c r="B520" s="98" t="s">
        <v>63</v>
      </c>
      <c r="C520" s="39" t="n">
        <v>0.1852</v>
      </c>
      <c r="D520" s="39" t="s">
        <v>60</v>
      </c>
    </row>
    <row r="521" customFormat="false" ht="12.8" hidden="false" customHeight="false" outlineLevel="0" collapsed="false">
      <c r="A521" s="39" t="n">
        <v>25</v>
      </c>
      <c r="B521" s="98" t="s">
        <v>61</v>
      </c>
      <c r="C521" s="39" t="n">
        <v>0.1677</v>
      </c>
      <c r="D521" s="39" t="s">
        <v>60</v>
      </c>
    </row>
    <row r="522" customFormat="false" ht="12.8" hidden="false" customHeight="false" outlineLevel="0" collapsed="false">
      <c r="A522" s="39" t="n">
        <v>25</v>
      </c>
      <c r="B522" s="98" t="s">
        <v>64</v>
      </c>
      <c r="C522" s="39" t="n">
        <v>0.1583</v>
      </c>
      <c r="D522" s="39" t="s">
        <v>60</v>
      </c>
    </row>
    <row r="523" customFormat="false" ht="12.8" hidden="false" customHeight="false" outlineLevel="0" collapsed="false">
      <c r="A523" s="39" t="n">
        <v>25</v>
      </c>
      <c r="B523" s="98" t="s">
        <v>65</v>
      </c>
      <c r="C523" s="39" t="n">
        <v>0.1</v>
      </c>
      <c r="D523" s="39" t="s">
        <v>60</v>
      </c>
    </row>
    <row r="524" customFormat="false" ht="12.8" hidden="false" customHeight="false" outlineLevel="0" collapsed="false">
      <c r="A524" s="39" t="n">
        <v>27</v>
      </c>
      <c r="B524" s="98" t="s">
        <v>62</v>
      </c>
      <c r="C524" s="39" t="n">
        <v>0.1983</v>
      </c>
      <c r="D524" s="39" t="s">
        <v>60</v>
      </c>
    </row>
    <row r="525" customFormat="false" ht="12.8" hidden="false" customHeight="false" outlineLevel="0" collapsed="false">
      <c r="A525" s="39" t="n">
        <v>27</v>
      </c>
      <c r="B525" s="98" t="s">
        <v>56</v>
      </c>
      <c r="C525" s="39" t="n">
        <v>0.1781</v>
      </c>
      <c r="D525" s="39" t="s">
        <v>60</v>
      </c>
    </row>
    <row r="526" customFormat="false" ht="12.8" hidden="false" customHeight="false" outlineLevel="0" collapsed="false">
      <c r="A526" s="39" t="n">
        <v>27</v>
      </c>
      <c r="B526" s="98" t="s">
        <v>63</v>
      </c>
      <c r="C526" s="39" t="n">
        <v>0.1636</v>
      </c>
      <c r="D526" s="39" t="s">
        <v>60</v>
      </c>
    </row>
    <row r="527" customFormat="false" ht="12.8" hidden="false" customHeight="false" outlineLevel="0" collapsed="false">
      <c r="A527" s="39" t="n">
        <v>27</v>
      </c>
      <c r="B527" s="98" t="s">
        <v>61</v>
      </c>
      <c r="C527" s="39" t="n">
        <v>0.1549</v>
      </c>
      <c r="D527" s="39" t="s">
        <v>60</v>
      </c>
    </row>
    <row r="528" customFormat="false" ht="12.8" hidden="false" customHeight="false" outlineLevel="0" collapsed="false">
      <c r="A528" s="39" t="n">
        <v>27</v>
      </c>
      <c r="B528" s="98" t="s">
        <v>64</v>
      </c>
      <c r="C528" s="39" t="n">
        <v>0.1532</v>
      </c>
      <c r="D528" s="39" t="s">
        <v>60</v>
      </c>
    </row>
    <row r="529" customFormat="false" ht="12.8" hidden="false" customHeight="false" outlineLevel="0" collapsed="false">
      <c r="A529" s="39" t="n">
        <v>27</v>
      </c>
      <c r="B529" s="98" t="s">
        <v>65</v>
      </c>
      <c r="C529" s="39" t="n">
        <v>0.1518</v>
      </c>
      <c r="D529" s="39" t="s">
        <v>60</v>
      </c>
    </row>
    <row r="530" customFormat="false" ht="12.8" hidden="false" customHeight="false" outlineLevel="0" collapsed="false">
      <c r="A530" s="39" t="n">
        <v>29</v>
      </c>
      <c r="B530" s="98" t="s">
        <v>62</v>
      </c>
      <c r="C530" s="39" t="n">
        <v>0.2167</v>
      </c>
      <c r="D530" s="39" t="s">
        <v>60</v>
      </c>
    </row>
    <row r="531" customFormat="false" ht="12.8" hidden="false" customHeight="false" outlineLevel="0" collapsed="false">
      <c r="A531" s="39" t="n">
        <v>29</v>
      </c>
      <c r="B531" s="98" t="s">
        <v>56</v>
      </c>
      <c r="C531" s="39" t="n">
        <v>0.1991</v>
      </c>
      <c r="D531" s="39" t="s">
        <v>60</v>
      </c>
    </row>
    <row r="532" customFormat="false" ht="12.8" hidden="false" customHeight="false" outlineLevel="0" collapsed="false">
      <c r="A532" s="39" t="n">
        <v>29</v>
      </c>
      <c r="B532" s="98" t="s">
        <v>61</v>
      </c>
      <c r="C532" s="39" t="n">
        <v>0.1805</v>
      </c>
      <c r="D532" s="39" t="s">
        <v>60</v>
      </c>
    </row>
    <row r="533" customFormat="false" ht="12.8" hidden="false" customHeight="false" outlineLevel="0" collapsed="false">
      <c r="A533" s="39" t="n">
        <v>29</v>
      </c>
      <c r="B533" s="98" t="s">
        <v>69</v>
      </c>
      <c r="C533" s="39" t="n">
        <v>0.1579</v>
      </c>
      <c r="D533" s="39" t="s">
        <v>60</v>
      </c>
    </row>
    <row r="534" customFormat="false" ht="12.8" hidden="false" customHeight="false" outlineLevel="0" collapsed="false">
      <c r="A534" s="39" t="n">
        <v>29</v>
      </c>
      <c r="B534" s="98" t="s">
        <v>63</v>
      </c>
      <c r="C534" s="39" t="n">
        <v>0.1459</v>
      </c>
      <c r="D534" s="39" t="s">
        <v>60</v>
      </c>
    </row>
    <row r="535" customFormat="false" ht="12.8" hidden="false" customHeight="false" outlineLevel="0" collapsed="false">
      <c r="A535" s="39" t="n">
        <v>29</v>
      </c>
      <c r="B535" s="98" t="s">
        <v>65</v>
      </c>
      <c r="C535" s="39" t="n">
        <v>0.1</v>
      </c>
      <c r="D535" s="39" t="s">
        <v>60</v>
      </c>
    </row>
    <row r="536" customFormat="false" ht="12.8" hidden="false" customHeight="false" outlineLevel="0" collapsed="false">
      <c r="A536" s="39" t="n">
        <v>31</v>
      </c>
      <c r="B536" s="98" t="s">
        <v>62</v>
      </c>
      <c r="C536" s="39" t="n">
        <v>0.2287</v>
      </c>
      <c r="D536" s="39" t="s">
        <v>60</v>
      </c>
    </row>
    <row r="537" customFormat="false" ht="12.8" hidden="false" customHeight="false" outlineLevel="0" collapsed="false">
      <c r="A537" s="39" t="n">
        <v>31</v>
      </c>
      <c r="B537" s="98" t="s">
        <v>61</v>
      </c>
      <c r="C537" s="39" t="n">
        <v>0.1804</v>
      </c>
      <c r="D537" s="39" t="s">
        <v>60</v>
      </c>
    </row>
    <row r="538" customFormat="false" ht="12.8" hidden="false" customHeight="false" outlineLevel="0" collapsed="false">
      <c r="A538" s="39" t="n">
        <v>31</v>
      </c>
      <c r="B538" s="98" t="s">
        <v>56</v>
      </c>
      <c r="C538" s="39" t="n">
        <v>0.1801</v>
      </c>
      <c r="D538" s="39" t="s">
        <v>60</v>
      </c>
    </row>
    <row r="539" customFormat="false" ht="12.8" hidden="false" customHeight="false" outlineLevel="0" collapsed="false">
      <c r="A539" s="39" t="n">
        <v>31</v>
      </c>
      <c r="B539" s="98" t="s">
        <v>67</v>
      </c>
      <c r="C539" s="39" t="n">
        <v>0.1555</v>
      </c>
      <c r="D539" s="39" t="s">
        <v>60</v>
      </c>
    </row>
    <row r="540" customFormat="false" ht="12.8" hidden="false" customHeight="false" outlineLevel="0" collapsed="false">
      <c r="A540" s="39" t="n">
        <v>31</v>
      </c>
      <c r="B540" s="98" t="s">
        <v>63</v>
      </c>
      <c r="C540" s="39" t="n">
        <v>0.1553</v>
      </c>
      <c r="D540" s="39" t="s">
        <v>60</v>
      </c>
    </row>
    <row r="541" customFormat="false" ht="12.8" hidden="false" customHeight="false" outlineLevel="0" collapsed="false">
      <c r="A541" s="39" t="n">
        <v>31</v>
      </c>
      <c r="B541" s="98" t="s">
        <v>65</v>
      </c>
      <c r="C541" s="39" t="n">
        <v>0.1</v>
      </c>
      <c r="D541" s="39" t="s">
        <v>60</v>
      </c>
    </row>
    <row r="542" customFormat="false" ht="12.8" hidden="false" customHeight="false" outlineLevel="0" collapsed="false">
      <c r="A542" s="39" t="n">
        <v>33</v>
      </c>
      <c r="B542" s="98" t="s">
        <v>56</v>
      </c>
      <c r="C542" s="39" t="n">
        <v>0.201</v>
      </c>
      <c r="D542" s="39" t="s">
        <v>60</v>
      </c>
    </row>
    <row r="543" customFormat="false" ht="12.8" hidden="false" customHeight="false" outlineLevel="0" collapsed="false">
      <c r="A543" s="39" t="n">
        <v>33</v>
      </c>
      <c r="B543" s="98" t="s">
        <v>62</v>
      </c>
      <c r="C543" s="39" t="n">
        <v>0.193</v>
      </c>
      <c r="D543" s="39" t="s">
        <v>60</v>
      </c>
    </row>
    <row r="544" customFormat="false" ht="12.8" hidden="false" customHeight="false" outlineLevel="0" collapsed="false">
      <c r="A544" s="39" t="n">
        <v>33</v>
      </c>
      <c r="B544" s="98" t="s">
        <v>67</v>
      </c>
      <c r="C544" s="39" t="n">
        <v>0.1709</v>
      </c>
      <c r="D544" s="39" t="s">
        <v>60</v>
      </c>
    </row>
    <row r="545" customFormat="false" ht="12.8" hidden="false" customHeight="false" outlineLevel="0" collapsed="false">
      <c r="A545" s="39" t="n">
        <v>33</v>
      </c>
      <c r="B545" s="98" t="s">
        <v>61</v>
      </c>
      <c r="C545" s="39" t="n">
        <v>0.1704</v>
      </c>
      <c r="D545" s="39" t="s">
        <v>60</v>
      </c>
    </row>
    <row r="546" customFormat="false" ht="12.8" hidden="false" customHeight="false" outlineLevel="0" collapsed="false">
      <c r="A546" s="39" t="n">
        <v>33</v>
      </c>
      <c r="B546" s="98" t="s">
        <v>64</v>
      </c>
      <c r="C546" s="39" t="n">
        <v>0.1647</v>
      </c>
      <c r="D546" s="39" t="s">
        <v>60</v>
      </c>
    </row>
    <row r="547" customFormat="false" ht="12.8" hidden="false" customHeight="false" outlineLevel="0" collapsed="false">
      <c r="A547" s="39" t="n">
        <v>33</v>
      </c>
      <c r="B547" s="98" t="s">
        <v>65</v>
      </c>
      <c r="C547" s="39" t="n">
        <v>0.1</v>
      </c>
      <c r="D547" s="39" t="s">
        <v>60</v>
      </c>
    </row>
    <row r="548" customFormat="false" ht="12.8" hidden="false" customHeight="false" outlineLevel="0" collapsed="false">
      <c r="A548" s="39" t="n">
        <v>35</v>
      </c>
      <c r="B548" s="98" t="s">
        <v>62</v>
      </c>
      <c r="C548" s="39" t="n">
        <v>0.2046</v>
      </c>
      <c r="D548" s="39" t="s">
        <v>60</v>
      </c>
    </row>
    <row r="549" customFormat="false" ht="12.8" hidden="false" customHeight="false" outlineLevel="0" collapsed="false">
      <c r="A549" s="39" t="n">
        <v>35</v>
      </c>
      <c r="B549" s="98" t="s">
        <v>56</v>
      </c>
      <c r="C549" s="39" t="n">
        <v>0.2032</v>
      </c>
      <c r="D549" s="39" t="s">
        <v>60</v>
      </c>
    </row>
    <row r="550" customFormat="false" ht="12.8" hidden="false" customHeight="false" outlineLevel="0" collapsed="false">
      <c r="A550" s="39" t="n">
        <v>35</v>
      </c>
      <c r="B550" s="98" t="s">
        <v>61</v>
      </c>
      <c r="C550" s="39" t="n">
        <v>0.1801</v>
      </c>
      <c r="D550" s="39" t="s">
        <v>60</v>
      </c>
    </row>
    <row r="551" customFormat="false" ht="12.8" hidden="false" customHeight="false" outlineLevel="0" collapsed="false">
      <c r="A551" s="39" t="n">
        <v>35</v>
      </c>
      <c r="B551" s="98" t="s">
        <v>63</v>
      </c>
      <c r="C551" s="39" t="n">
        <v>0.1625</v>
      </c>
      <c r="D551" s="39" t="s">
        <v>60</v>
      </c>
    </row>
    <row r="552" customFormat="false" ht="12.8" hidden="false" customHeight="false" outlineLevel="0" collapsed="false">
      <c r="A552" s="39" t="n">
        <v>35</v>
      </c>
      <c r="B552" s="98" t="s">
        <v>66</v>
      </c>
      <c r="C552" s="39" t="n">
        <v>0.1495</v>
      </c>
      <c r="D552" s="39" t="s">
        <v>60</v>
      </c>
    </row>
    <row r="553" customFormat="false" ht="12.8" hidden="false" customHeight="false" outlineLevel="0" collapsed="false">
      <c r="A553" s="39" t="n">
        <v>35</v>
      </c>
      <c r="B553" s="98" t="s">
        <v>65</v>
      </c>
      <c r="C553" s="39" t="n">
        <v>0.1</v>
      </c>
      <c r="D553" s="39" t="s">
        <v>60</v>
      </c>
    </row>
    <row r="554" customFormat="false" ht="12.8" hidden="false" customHeight="false" outlineLevel="0" collapsed="false">
      <c r="A554" s="39" t="n">
        <v>37</v>
      </c>
      <c r="B554" s="98" t="s">
        <v>62</v>
      </c>
      <c r="C554" s="39" t="n">
        <v>0.1958</v>
      </c>
      <c r="D554" s="39" t="s">
        <v>60</v>
      </c>
    </row>
    <row r="555" customFormat="false" ht="12.8" hidden="false" customHeight="false" outlineLevel="0" collapsed="false">
      <c r="A555" s="39" t="n">
        <v>37</v>
      </c>
      <c r="B555" s="98" t="s">
        <v>56</v>
      </c>
      <c r="C555" s="39" t="n">
        <v>0.1886</v>
      </c>
      <c r="D555" s="39" t="s">
        <v>60</v>
      </c>
    </row>
    <row r="556" customFormat="false" ht="12.8" hidden="false" customHeight="false" outlineLevel="0" collapsed="false">
      <c r="A556" s="39" t="n">
        <v>37</v>
      </c>
      <c r="B556" s="98" t="s">
        <v>61</v>
      </c>
      <c r="C556" s="39" t="n">
        <v>0.1812</v>
      </c>
      <c r="D556" s="39" t="s">
        <v>60</v>
      </c>
    </row>
    <row r="557" customFormat="false" ht="12.8" hidden="false" customHeight="false" outlineLevel="0" collapsed="false">
      <c r="A557" s="39" t="n">
        <v>37</v>
      </c>
      <c r="B557" s="98" t="s">
        <v>64</v>
      </c>
      <c r="C557" s="39" t="n">
        <v>0.1675</v>
      </c>
      <c r="D557" s="39" t="s">
        <v>60</v>
      </c>
    </row>
    <row r="558" customFormat="false" ht="12.8" hidden="false" customHeight="false" outlineLevel="0" collapsed="false">
      <c r="A558" s="39" t="n">
        <v>37</v>
      </c>
      <c r="B558" s="98" t="s">
        <v>63</v>
      </c>
      <c r="C558" s="39" t="n">
        <v>0.167</v>
      </c>
      <c r="D558" s="39" t="s">
        <v>60</v>
      </c>
    </row>
    <row r="559" customFormat="false" ht="12.8" hidden="false" customHeight="false" outlineLevel="0" collapsed="false">
      <c r="A559" s="39" t="n">
        <v>37</v>
      </c>
      <c r="B559" s="98" t="s">
        <v>65</v>
      </c>
      <c r="C559" s="39" t="n">
        <v>0.1</v>
      </c>
      <c r="D559" s="39" t="s">
        <v>60</v>
      </c>
    </row>
    <row r="560" customFormat="false" ht="12.8" hidden="false" customHeight="false" outlineLevel="0" collapsed="false">
      <c r="A560" s="39" t="n">
        <v>39</v>
      </c>
      <c r="B560" s="98" t="s">
        <v>62</v>
      </c>
      <c r="C560" s="39" t="n">
        <v>0.2076</v>
      </c>
      <c r="D560" s="39" t="s">
        <v>60</v>
      </c>
    </row>
    <row r="561" customFormat="false" ht="12.8" hidden="false" customHeight="false" outlineLevel="0" collapsed="false">
      <c r="A561" s="39" t="n">
        <v>39</v>
      </c>
      <c r="B561" s="98" t="s">
        <v>61</v>
      </c>
      <c r="C561" s="39" t="n">
        <v>0.1954</v>
      </c>
      <c r="D561" s="39" t="s">
        <v>60</v>
      </c>
    </row>
    <row r="562" customFormat="false" ht="12.8" hidden="false" customHeight="false" outlineLevel="0" collapsed="false">
      <c r="A562" s="39" t="n">
        <v>39</v>
      </c>
      <c r="B562" s="98" t="s">
        <v>63</v>
      </c>
      <c r="C562" s="39" t="n">
        <v>0.1765</v>
      </c>
      <c r="D562" s="39" t="s">
        <v>60</v>
      </c>
    </row>
    <row r="563" customFormat="false" ht="12.8" hidden="false" customHeight="false" outlineLevel="0" collapsed="false">
      <c r="A563" s="39" t="n">
        <v>39</v>
      </c>
      <c r="B563" s="98" t="s">
        <v>56</v>
      </c>
      <c r="C563" s="39" t="n">
        <v>0.1648</v>
      </c>
      <c r="D563" s="39" t="s">
        <v>60</v>
      </c>
    </row>
    <row r="564" customFormat="false" ht="12.8" hidden="false" customHeight="false" outlineLevel="0" collapsed="false">
      <c r="A564" s="39" t="n">
        <v>39</v>
      </c>
      <c r="B564" s="98" t="s">
        <v>66</v>
      </c>
      <c r="C564" s="39" t="n">
        <v>0.1557</v>
      </c>
      <c r="D564" s="39" t="s">
        <v>60</v>
      </c>
    </row>
    <row r="565" customFormat="false" ht="12.8" hidden="false" customHeight="false" outlineLevel="0" collapsed="false">
      <c r="A565" s="39" t="n">
        <v>39</v>
      </c>
      <c r="B565" s="98" t="s">
        <v>65</v>
      </c>
      <c r="C565" s="39" t="n">
        <v>0.1</v>
      </c>
      <c r="D565" s="39" t="s">
        <v>60</v>
      </c>
    </row>
    <row r="566" customFormat="false" ht="12.8" hidden="false" customHeight="false" outlineLevel="0" collapsed="false">
      <c r="A566" s="39" t="n">
        <v>41</v>
      </c>
      <c r="B566" s="98" t="s">
        <v>62</v>
      </c>
      <c r="C566" s="39" t="n">
        <v>0.1997</v>
      </c>
      <c r="D566" s="39" t="s">
        <v>60</v>
      </c>
    </row>
    <row r="567" customFormat="false" ht="12.8" hidden="false" customHeight="false" outlineLevel="0" collapsed="false">
      <c r="A567" s="39" t="n">
        <v>41</v>
      </c>
      <c r="B567" s="98" t="s">
        <v>56</v>
      </c>
      <c r="C567" s="39" t="n">
        <v>0.1854</v>
      </c>
      <c r="D567" s="39" t="s">
        <v>60</v>
      </c>
    </row>
    <row r="568" customFormat="false" ht="12.8" hidden="false" customHeight="false" outlineLevel="0" collapsed="false">
      <c r="A568" s="39" t="n">
        <v>41</v>
      </c>
      <c r="B568" s="98" t="s">
        <v>61</v>
      </c>
      <c r="C568" s="39" t="n">
        <v>0.1825</v>
      </c>
      <c r="D568" s="39" t="s">
        <v>60</v>
      </c>
    </row>
    <row r="569" customFormat="false" ht="12.8" hidden="false" customHeight="false" outlineLevel="0" collapsed="false">
      <c r="A569" s="39" t="n">
        <v>41</v>
      </c>
      <c r="B569" s="98" t="s">
        <v>63</v>
      </c>
      <c r="C569" s="39" t="n">
        <v>0.1753</v>
      </c>
      <c r="D569" s="39" t="s">
        <v>60</v>
      </c>
    </row>
    <row r="570" customFormat="false" ht="12.8" hidden="false" customHeight="false" outlineLevel="0" collapsed="false">
      <c r="A570" s="39" t="n">
        <v>41</v>
      </c>
      <c r="B570" s="98" t="s">
        <v>69</v>
      </c>
      <c r="C570" s="39" t="n">
        <v>0.1571</v>
      </c>
      <c r="D570" s="39" t="s">
        <v>60</v>
      </c>
    </row>
    <row r="571" customFormat="false" ht="12.8" hidden="false" customHeight="false" outlineLevel="0" collapsed="false">
      <c r="A571" s="39" t="n">
        <v>41</v>
      </c>
      <c r="B571" s="98" t="s">
        <v>65</v>
      </c>
      <c r="C571" s="39" t="n">
        <v>0.1</v>
      </c>
      <c r="D571" s="39" t="s">
        <v>60</v>
      </c>
    </row>
    <row r="572" customFormat="false" ht="12.8" hidden="false" customHeight="false" outlineLevel="0" collapsed="false">
      <c r="A572" s="39" t="n">
        <v>43</v>
      </c>
      <c r="B572" s="98" t="s">
        <v>62</v>
      </c>
      <c r="C572" s="39" t="n">
        <v>0.1901</v>
      </c>
      <c r="D572" s="39" t="s">
        <v>60</v>
      </c>
    </row>
    <row r="573" customFormat="false" ht="12.8" hidden="false" customHeight="false" outlineLevel="0" collapsed="false">
      <c r="A573" s="39" t="n">
        <v>43</v>
      </c>
      <c r="B573" s="98" t="s">
        <v>56</v>
      </c>
      <c r="C573" s="39" t="n">
        <v>0.1791</v>
      </c>
      <c r="D573" s="39" t="s">
        <v>60</v>
      </c>
    </row>
    <row r="574" customFormat="false" ht="12.8" hidden="false" customHeight="false" outlineLevel="0" collapsed="false">
      <c r="A574" s="39" t="n">
        <v>43</v>
      </c>
      <c r="B574" s="98" t="s">
        <v>61</v>
      </c>
      <c r="C574" s="39" t="n">
        <v>0.173</v>
      </c>
      <c r="D574" s="39" t="s">
        <v>60</v>
      </c>
    </row>
    <row r="575" customFormat="false" ht="12.8" hidden="false" customHeight="false" outlineLevel="0" collapsed="false">
      <c r="A575" s="39" t="n">
        <v>43</v>
      </c>
      <c r="B575" s="98" t="s">
        <v>71</v>
      </c>
      <c r="C575" s="39" t="n">
        <v>0.1574</v>
      </c>
      <c r="D575" s="39" t="s">
        <v>60</v>
      </c>
    </row>
    <row r="576" customFormat="false" ht="12.8" hidden="false" customHeight="false" outlineLevel="0" collapsed="false">
      <c r="A576" s="39" t="n">
        <v>43</v>
      </c>
      <c r="B576" s="98" t="s">
        <v>63</v>
      </c>
      <c r="C576" s="39" t="n">
        <v>0.1539</v>
      </c>
      <c r="D576" s="39" t="s">
        <v>60</v>
      </c>
    </row>
    <row r="577" customFormat="false" ht="12.8" hidden="false" customHeight="false" outlineLevel="0" collapsed="false">
      <c r="A577" s="39" t="n">
        <v>43</v>
      </c>
      <c r="B577" s="98" t="s">
        <v>65</v>
      </c>
      <c r="C577" s="39" t="n">
        <v>0.1465</v>
      </c>
      <c r="D577" s="39" t="s">
        <v>60</v>
      </c>
    </row>
    <row r="578" customFormat="false" ht="12.8" hidden="false" customHeight="false" outlineLevel="0" collapsed="false">
      <c r="A578" s="39" t="n">
        <v>45</v>
      </c>
      <c r="B578" s="98" t="s">
        <v>62</v>
      </c>
      <c r="C578" s="39" t="n">
        <v>0.1934</v>
      </c>
      <c r="D578" s="39" t="s">
        <v>60</v>
      </c>
    </row>
    <row r="579" customFormat="false" ht="12.8" hidden="false" customHeight="false" outlineLevel="0" collapsed="false">
      <c r="A579" s="39" t="n">
        <v>45</v>
      </c>
      <c r="B579" s="98" t="s">
        <v>56</v>
      </c>
      <c r="C579" s="39" t="n">
        <v>0.1922</v>
      </c>
      <c r="D579" s="39" t="s">
        <v>60</v>
      </c>
    </row>
    <row r="580" customFormat="false" ht="12.8" hidden="false" customHeight="false" outlineLevel="0" collapsed="false">
      <c r="A580" s="39" t="n">
        <v>45</v>
      </c>
      <c r="B580" s="98" t="s">
        <v>61</v>
      </c>
      <c r="C580" s="39" t="n">
        <v>0.184</v>
      </c>
      <c r="D580" s="39" t="s">
        <v>60</v>
      </c>
    </row>
    <row r="581" customFormat="false" ht="12.8" hidden="false" customHeight="false" outlineLevel="0" collapsed="false">
      <c r="A581" s="39" t="n">
        <v>45</v>
      </c>
      <c r="B581" s="98" t="s">
        <v>63</v>
      </c>
      <c r="C581" s="39" t="n">
        <v>0.176</v>
      </c>
      <c r="D581" s="39" t="s">
        <v>60</v>
      </c>
    </row>
    <row r="582" customFormat="false" ht="12.8" hidden="false" customHeight="false" outlineLevel="0" collapsed="false">
      <c r="A582" s="39" t="n">
        <v>45</v>
      </c>
      <c r="B582" s="98" t="s">
        <v>64</v>
      </c>
      <c r="C582" s="39" t="n">
        <v>0.1544</v>
      </c>
      <c r="D582" s="39" t="s">
        <v>60</v>
      </c>
    </row>
    <row r="583" customFormat="false" ht="12.8" hidden="false" customHeight="false" outlineLevel="0" collapsed="false">
      <c r="A583" s="39" t="n">
        <v>45</v>
      </c>
      <c r="B583" s="98" t="s">
        <v>65</v>
      </c>
      <c r="C583" s="39" t="n">
        <v>0.1</v>
      </c>
      <c r="D583" s="39" t="s">
        <v>60</v>
      </c>
    </row>
    <row r="584" customFormat="false" ht="12.8" hidden="false" customHeight="false" outlineLevel="0" collapsed="false">
      <c r="A584" s="39" t="n">
        <v>47</v>
      </c>
      <c r="B584" s="98" t="s">
        <v>62</v>
      </c>
      <c r="C584" s="39" t="n">
        <v>0.2033</v>
      </c>
      <c r="D584" s="39" t="s">
        <v>60</v>
      </c>
    </row>
    <row r="585" customFormat="false" ht="12.8" hidden="false" customHeight="false" outlineLevel="0" collapsed="false">
      <c r="A585" s="39" t="n">
        <v>47</v>
      </c>
      <c r="B585" s="98" t="s">
        <v>56</v>
      </c>
      <c r="C585" s="39" t="n">
        <v>0.1888</v>
      </c>
      <c r="D585" s="39" t="s">
        <v>60</v>
      </c>
    </row>
    <row r="586" customFormat="false" ht="12.8" hidden="false" customHeight="false" outlineLevel="0" collapsed="false">
      <c r="A586" s="39" t="n">
        <v>47</v>
      </c>
      <c r="B586" s="98" t="s">
        <v>61</v>
      </c>
      <c r="C586" s="39" t="n">
        <v>0.1849</v>
      </c>
      <c r="D586" s="39" t="s">
        <v>60</v>
      </c>
    </row>
    <row r="587" customFormat="false" ht="12.8" hidden="false" customHeight="false" outlineLevel="0" collapsed="false">
      <c r="A587" s="39" t="n">
        <v>47</v>
      </c>
      <c r="B587" s="98" t="s">
        <v>67</v>
      </c>
      <c r="C587" s="39" t="n">
        <v>0.1681</v>
      </c>
      <c r="D587" s="39" t="s">
        <v>60</v>
      </c>
    </row>
    <row r="588" customFormat="false" ht="12.8" hidden="false" customHeight="false" outlineLevel="0" collapsed="false">
      <c r="A588" s="39" t="n">
        <v>47</v>
      </c>
      <c r="B588" s="98" t="s">
        <v>63</v>
      </c>
      <c r="C588" s="39" t="n">
        <v>0.1548</v>
      </c>
      <c r="D588" s="39" t="s">
        <v>60</v>
      </c>
    </row>
    <row r="589" customFormat="false" ht="12.8" hidden="false" customHeight="false" outlineLevel="0" collapsed="false">
      <c r="A589" s="39" t="n">
        <v>47</v>
      </c>
      <c r="B589" s="98" t="s">
        <v>65</v>
      </c>
      <c r="C589" s="39" t="n">
        <v>0.1</v>
      </c>
      <c r="D589" s="39" t="s">
        <v>60</v>
      </c>
    </row>
    <row r="590" customFormat="false" ht="12.8" hidden="false" customHeight="false" outlineLevel="0" collapsed="false">
      <c r="A590" s="39" t="n">
        <v>49</v>
      </c>
      <c r="B590" s="98" t="s">
        <v>62</v>
      </c>
      <c r="C590" s="39" t="n">
        <v>0.2134</v>
      </c>
      <c r="D590" s="39" t="s">
        <v>60</v>
      </c>
    </row>
    <row r="591" customFormat="false" ht="12.8" hidden="false" customHeight="false" outlineLevel="0" collapsed="false">
      <c r="A591" s="39" t="n">
        <v>49</v>
      </c>
      <c r="B591" s="98" t="s">
        <v>56</v>
      </c>
      <c r="C591" s="39" t="n">
        <v>0.1784</v>
      </c>
      <c r="D591" s="39" t="s">
        <v>60</v>
      </c>
    </row>
    <row r="592" customFormat="false" ht="12.8" hidden="false" customHeight="false" outlineLevel="0" collapsed="false">
      <c r="A592" s="39" t="n">
        <v>49</v>
      </c>
      <c r="B592" s="98" t="s">
        <v>61</v>
      </c>
      <c r="C592" s="39" t="n">
        <v>0.1759</v>
      </c>
      <c r="D592" s="39" t="s">
        <v>60</v>
      </c>
    </row>
    <row r="593" customFormat="false" ht="12.8" hidden="false" customHeight="false" outlineLevel="0" collapsed="false">
      <c r="A593" s="39" t="n">
        <v>49</v>
      </c>
      <c r="B593" s="98" t="s">
        <v>63</v>
      </c>
      <c r="C593" s="39" t="n">
        <v>0.1676</v>
      </c>
      <c r="D593" s="39" t="s">
        <v>60</v>
      </c>
    </row>
    <row r="594" customFormat="false" ht="12.8" hidden="false" customHeight="false" outlineLevel="0" collapsed="false">
      <c r="A594" s="39" t="n">
        <v>49</v>
      </c>
      <c r="B594" s="98" t="s">
        <v>67</v>
      </c>
      <c r="C594" s="39" t="n">
        <v>0.1647</v>
      </c>
      <c r="D594" s="39" t="s">
        <v>60</v>
      </c>
    </row>
    <row r="595" customFormat="false" ht="12.8" hidden="false" customHeight="false" outlineLevel="0" collapsed="false">
      <c r="A595" s="39" t="n">
        <v>49</v>
      </c>
      <c r="B595" s="98" t="s">
        <v>65</v>
      </c>
      <c r="C595" s="39" t="n">
        <v>0.1</v>
      </c>
      <c r="D595" s="39" t="s">
        <v>60</v>
      </c>
    </row>
    <row r="596" customFormat="false" ht="9.55" hidden="false" customHeight="true" outlineLevel="0" collapsed="false">
      <c r="A596" s="99"/>
      <c r="B596" s="100"/>
      <c r="C596" s="100"/>
      <c r="D596" s="100"/>
    </row>
    <row r="597" customFormat="false" ht="12.8" hidden="false" customHeight="false" outlineLevel="0" collapsed="false">
      <c r="A597" s="99"/>
      <c r="B597" s="100"/>
      <c r="C597" s="100"/>
      <c r="D597" s="100"/>
    </row>
    <row r="598" customFormat="false" ht="12.8" hidden="false" customHeight="false" outlineLevel="0" collapsed="false">
      <c r="A598" s="99"/>
      <c r="B598" s="100"/>
      <c r="C598" s="100"/>
      <c r="D598" s="100"/>
    </row>
    <row r="599" customFormat="false" ht="12.8" hidden="false" customHeight="false" outlineLevel="0" collapsed="false">
      <c r="A599" s="99"/>
      <c r="B599" s="100"/>
      <c r="C599" s="100"/>
      <c r="D599" s="100"/>
    </row>
    <row r="600" customFormat="false" ht="12.8" hidden="false" customHeight="false" outlineLevel="0" collapsed="false">
      <c r="A600" s="99"/>
      <c r="B600" s="100"/>
      <c r="C600" s="100"/>
      <c r="D600" s="100"/>
    </row>
    <row r="601" customFormat="false" ht="12.8" hidden="false" customHeight="false" outlineLevel="0" collapsed="false">
      <c r="A601" s="99"/>
      <c r="B601" s="100"/>
      <c r="C601" s="100"/>
      <c r="D601" s="100"/>
    </row>
    <row r="602" customFormat="false" ht="12.8" hidden="false" customHeight="false" outlineLevel="0" collapsed="false">
      <c r="A602" s="99"/>
      <c r="B602" s="100"/>
      <c r="C602" s="100"/>
      <c r="D602" s="100"/>
    </row>
    <row r="603" customFormat="false" ht="12.8" hidden="false" customHeight="false" outlineLevel="0" collapsed="false">
      <c r="A603" s="99"/>
      <c r="B603" s="100"/>
      <c r="C603" s="100"/>
      <c r="D603" s="100"/>
    </row>
    <row r="604" customFormat="false" ht="12.8" hidden="false" customHeight="false" outlineLevel="0" collapsed="false">
      <c r="A604" s="99"/>
      <c r="B604" s="100"/>
      <c r="C604" s="100"/>
      <c r="D604" s="100"/>
    </row>
    <row r="605" customFormat="false" ht="12.8" hidden="false" customHeight="false" outlineLevel="0" collapsed="false">
      <c r="A605" s="99"/>
      <c r="B605" s="100"/>
      <c r="C605" s="100"/>
      <c r="D605" s="100"/>
    </row>
    <row r="606" customFormat="false" ht="12.8" hidden="false" customHeight="false" outlineLevel="0" collapsed="false">
      <c r="A606" s="99"/>
      <c r="B606" s="100"/>
      <c r="C606" s="100"/>
      <c r="D606" s="100"/>
    </row>
    <row r="607" customFormat="false" ht="12.8" hidden="false" customHeight="false" outlineLevel="0" collapsed="false">
      <c r="A607" s="99"/>
      <c r="B607" s="100"/>
      <c r="C607" s="100"/>
      <c r="D607" s="100"/>
    </row>
    <row r="608" customFormat="false" ht="12.8" hidden="false" customHeight="false" outlineLevel="0" collapsed="false">
      <c r="A608" s="99"/>
      <c r="B608" s="100"/>
      <c r="C608" s="100"/>
      <c r="D608" s="100"/>
    </row>
    <row r="609" customFormat="false" ht="12.8" hidden="false" customHeight="false" outlineLevel="0" collapsed="false">
      <c r="A609" s="99"/>
      <c r="B609" s="100"/>
      <c r="C609" s="100"/>
      <c r="D609" s="100"/>
    </row>
    <row r="610" customFormat="false" ht="12.8" hidden="false" customHeight="false" outlineLevel="0" collapsed="false">
      <c r="A610" s="99"/>
      <c r="B610" s="100"/>
      <c r="C610" s="100"/>
      <c r="D610" s="100"/>
    </row>
    <row r="611" customFormat="false" ht="12.8" hidden="false" customHeight="false" outlineLevel="0" collapsed="false">
      <c r="A611" s="99"/>
      <c r="B611" s="100"/>
      <c r="C611" s="100"/>
      <c r="D611" s="100"/>
    </row>
    <row r="612" customFormat="false" ht="12.8" hidden="false" customHeight="false" outlineLevel="0" collapsed="false">
      <c r="A612" s="99"/>
      <c r="B612" s="100"/>
      <c r="C612" s="100"/>
      <c r="D612" s="100"/>
    </row>
    <row r="613" customFormat="false" ht="12.8" hidden="false" customHeight="false" outlineLevel="0" collapsed="false">
      <c r="A613" s="99"/>
      <c r="B613" s="100"/>
      <c r="C613" s="100"/>
      <c r="D613" s="100"/>
    </row>
    <row r="614" customFormat="false" ht="12.8" hidden="false" customHeight="false" outlineLevel="0" collapsed="false">
      <c r="A614" s="99"/>
      <c r="B614" s="100"/>
      <c r="C614" s="100"/>
      <c r="D614" s="100"/>
    </row>
    <row r="615" customFormat="false" ht="12.8" hidden="false" customHeight="false" outlineLevel="0" collapsed="false">
      <c r="A615" s="99"/>
      <c r="B615" s="100"/>
      <c r="C615" s="100"/>
      <c r="D615" s="100"/>
    </row>
    <row r="616" customFormat="false" ht="12.8" hidden="false" customHeight="false" outlineLevel="0" collapsed="false">
      <c r="A616" s="99"/>
      <c r="B616" s="100"/>
      <c r="C616" s="100"/>
      <c r="D616" s="100"/>
    </row>
    <row r="617" customFormat="false" ht="12.8" hidden="false" customHeight="false" outlineLevel="0" collapsed="false">
      <c r="A617" s="99"/>
      <c r="B617" s="100"/>
      <c r="C617" s="100"/>
      <c r="D617" s="100"/>
    </row>
    <row r="618" customFormat="false" ht="12.8" hidden="false" customHeight="false" outlineLevel="0" collapsed="false">
      <c r="A618" s="99"/>
      <c r="B618" s="100"/>
      <c r="C618" s="100"/>
      <c r="D618" s="100"/>
    </row>
    <row r="619" customFormat="false" ht="12.8" hidden="false" customHeight="false" outlineLevel="0" collapsed="false">
      <c r="A619" s="99"/>
      <c r="B619" s="100"/>
      <c r="C619" s="100"/>
      <c r="D619" s="100"/>
    </row>
    <row r="620" customFormat="false" ht="12.8" hidden="false" customHeight="false" outlineLevel="0" collapsed="false">
      <c r="A620" s="99"/>
      <c r="B620" s="100"/>
      <c r="C620" s="100"/>
      <c r="D620" s="100"/>
    </row>
    <row r="621" customFormat="false" ht="12.8" hidden="false" customHeight="false" outlineLevel="0" collapsed="false">
      <c r="A621" s="99"/>
      <c r="B621" s="100"/>
      <c r="C621" s="100"/>
      <c r="D621" s="100"/>
    </row>
    <row r="622" customFormat="false" ht="12.8" hidden="false" customHeight="false" outlineLevel="0" collapsed="false">
      <c r="A622" s="99"/>
      <c r="B622" s="100"/>
      <c r="C622" s="100"/>
      <c r="D622" s="100"/>
    </row>
    <row r="623" customFormat="false" ht="12.8" hidden="false" customHeight="false" outlineLevel="0" collapsed="false">
      <c r="A623" s="99"/>
      <c r="B623" s="100"/>
      <c r="C623" s="100"/>
      <c r="D623" s="100"/>
    </row>
    <row r="624" customFormat="false" ht="12.8" hidden="false" customHeight="false" outlineLevel="0" collapsed="false">
      <c r="A624" s="99"/>
      <c r="B624" s="100"/>
      <c r="C624" s="100"/>
      <c r="D624" s="100"/>
    </row>
    <row r="625" customFormat="false" ht="12.8" hidden="false" customHeight="false" outlineLevel="0" collapsed="false">
      <c r="A625" s="99"/>
      <c r="B625" s="100"/>
      <c r="C625" s="100"/>
      <c r="D625" s="100"/>
    </row>
    <row r="626" customFormat="false" ht="12.8" hidden="false" customHeight="false" outlineLevel="0" collapsed="false">
      <c r="A626" s="99"/>
      <c r="B626" s="100"/>
      <c r="C626" s="100"/>
      <c r="D626" s="100"/>
    </row>
    <row r="627" customFormat="false" ht="12.8" hidden="false" customHeight="false" outlineLevel="0" collapsed="false">
      <c r="A627" s="99"/>
      <c r="B627" s="100"/>
      <c r="C627" s="100"/>
      <c r="D627" s="100"/>
    </row>
    <row r="628" customFormat="false" ht="12.8" hidden="false" customHeight="false" outlineLevel="0" collapsed="false">
      <c r="A628" s="99"/>
      <c r="B628" s="100"/>
      <c r="C628" s="100"/>
      <c r="D628" s="100"/>
    </row>
    <row r="629" customFormat="false" ht="12.8" hidden="false" customHeight="false" outlineLevel="0" collapsed="false">
      <c r="A629" s="99"/>
      <c r="B629" s="100"/>
      <c r="C629" s="100"/>
      <c r="D629" s="100"/>
    </row>
    <row r="630" customFormat="false" ht="12.8" hidden="false" customHeight="false" outlineLevel="0" collapsed="false">
      <c r="A630" s="99"/>
      <c r="B630" s="100"/>
      <c r="C630" s="100"/>
      <c r="D630" s="100"/>
    </row>
    <row r="631" customFormat="false" ht="12.8" hidden="false" customHeight="false" outlineLevel="0" collapsed="false">
      <c r="A631" s="99"/>
      <c r="B631" s="100"/>
      <c r="C631" s="100"/>
      <c r="D631" s="100"/>
    </row>
    <row r="632" customFormat="false" ht="12.8" hidden="false" customHeight="false" outlineLevel="0" collapsed="false">
      <c r="A632" s="99"/>
      <c r="B632" s="100"/>
      <c r="C632" s="100"/>
      <c r="D632" s="100"/>
    </row>
    <row r="633" customFormat="false" ht="12.8" hidden="false" customHeight="false" outlineLevel="0" collapsed="false">
      <c r="A633" s="99"/>
      <c r="B633" s="100"/>
      <c r="C633" s="100"/>
      <c r="D633" s="100"/>
    </row>
    <row r="634" customFormat="false" ht="12.8" hidden="false" customHeight="false" outlineLevel="0" collapsed="false">
      <c r="A634" s="99"/>
      <c r="B634" s="100"/>
      <c r="C634" s="100"/>
      <c r="D634" s="100"/>
    </row>
    <row r="635" customFormat="false" ht="12.8" hidden="false" customHeight="false" outlineLevel="0" collapsed="false">
      <c r="A635" s="99"/>
      <c r="B635" s="100"/>
      <c r="C635" s="100"/>
      <c r="D635" s="100"/>
    </row>
    <row r="636" customFormat="false" ht="12.8" hidden="false" customHeight="false" outlineLevel="0" collapsed="false">
      <c r="A636" s="99"/>
      <c r="B636" s="100"/>
      <c r="C636" s="100"/>
      <c r="D636" s="100"/>
    </row>
    <row r="637" customFormat="false" ht="12.8" hidden="false" customHeight="false" outlineLevel="0" collapsed="false">
      <c r="A637" s="99"/>
      <c r="B637" s="100"/>
      <c r="C637" s="100"/>
      <c r="D637" s="100"/>
    </row>
    <row r="638" customFormat="false" ht="12.8" hidden="false" customHeight="false" outlineLevel="0" collapsed="false">
      <c r="A638" s="99"/>
      <c r="B638" s="100"/>
      <c r="C638" s="100"/>
      <c r="D638" s="100"/>
    </row>
    <row r="639" customFormat="false" ht="12.8" hidden="false" customHeight="false" outlineLevel="0" collapsed="false">
      <c r="A639" s="99"/>
      <c r="B639" s="100"/>
      <c r="C639" s="100"/>
      <c r="D639" s="100"/>
    </row>
    <row r="640" customFormat="false" ht="12.8" hidden="false" customHeight="false" outlineLevel="0" collapsed="false">
      <c r="A640" s="99"/>
      <c r="B640" s="100"/>
      <c r="C640" s="100"/>
      <c r="D640" s="100"/>
    </row>
    <row r="641" customFormat="false" ht="12.8" hidden="false" customHeight="false" outlineLevel="0" collapsed="false">
      <c r="A641" s="99"/>
      <c r="B641" s="100"/>
      <c r="C641" s="100"/>
      <c r="D641" s="100"/>
    </row>
    <row r="642" customFormat="false" ht="12.8" hidden="false" customHeight="false" outlineLevel="0" collapsed="false">
      <c r="A642" s="99"/>
      <c r="B642" s="100"/>
      <c r="C642" s="100"/>
      <c r="D642" s="100"/>
    </row>
    <row r="643" customFormat="false" ht="12.8" hidden="false" customHeight="false" outlineLevel="0" collapsed="false">
      <c r="A643" s="99"/>
      <c r="B643" s="100"/>
      <c r="C643" s="100"/>
      <c r="D643" s="100"/>
    </row>
    <row r="644" customFormat="false" ht="12.8" hidden="false" customHeight="false" outlineLevel="0" collapsed="false">
      <c r="A644" s="99"/>
      <c r="B644" s="100"/>
      <c r="C644" s="100"/>
      <c r="D644" s="100"/>
    </row>
    <row r="645" customFormat="false" ht="12.8" hidden="false" customHeight="false" outlineLevel="0" collapsed="false">
      <c r="A645" s="99"/>
      <c r="B645" s="100"/>
      <c r="C645" s="100"/>
      <c r="D645" s="100"/>
    </row>
    <row r="646" customFormat="false" ht="12.8" hidden="false" customHeight="false" outlineLevel="0" collapsed="false">
      <c r="A646" s="99"/>
      <c r="B646" s="100"/>
      <c r="C646" s="100"/>
      <c r="D646" s="100"/>
    </row>
    <row r="647" customFormat="false" ht="12.8" hidden="false" customHeight="false" outlineLevel="0" collapsed="false">
      <c r="A647" s="99"/>
      <c r="B647" s="100"/>
      <c r="C647" s="100"/>
      <c r="D647" s="100"/>
    </row>
    <row r="648" customFormat="false" ht="12.8" hidden="false" customHeight="false" outlineLevel="0" collapsed="false">
      <c r="A648" s="99"/>
      <c r="B648" s="100"/>
      <c r="C648" s="100"/>
      <c r="D648" s="100"/>
    </row>
    <row r="649" customFormat="false" ht="12.8" hidden="false" customHeight="false" outlineLevel="0" collapsed="false">
      <c r="A649" s="99"/>
      <c r="B649" s="100"/>
      <c r="C649" s="100"/>
      <c r="D649" s="100"/>
    </row>
    <row r="650" customFormat="false" ht="12.8" hidden="false" customHeight="false" outlineLevel="0" collapsed="false">
      <c r="A650" s="99"/>
      <c r="B650" s="100"/>
      <c r="C650" s="100"/>
      <c r="D650" s="100"/>
    </row>
    <row r="651" customFormat="false" ht="12.8" hidden="false" customHeight="false" outlineLevel="0" collapsed="false">
      <c r="A651" s="99"/>
      <c r="B651" s="100"/>
      <c r="C651" s="100"/>
      <c r="D651" s="100"/>
    </row>
    <row r="652" customFormat="false" ht="12.8" hidden="false" customHeight="false" outlineLevel="0" collapsed="false">
      <c r="A652" s="99"/>
      <c r="B652" s="100"/>
      <c r="C652" s="100"/>
      <c r="D652" s="100"/>
    </row>
    <row r="653" customFormat="false" ht="12.8" hidden="false" customHeight="false" outlineLevel="0" collapsed="false">
      <c r="A653" s="99"/>
      <c r="B653" s="100"/>
      <c r="C653" s="100"/>
      <c r="D653" s="100"/>
    </row>
    <row r="654" customFormat="false" ht="12.8" hidden="false" customHeight="false" outlineLevel="0" collapsed="false">
      <c r="A654" s="99"/>
      <c r="B654" s="100"/>
      <c r="C654" s="100"/>
      <c r="D654" s="100"/>
    </row>
    <row r="655" customFormat="false" ht="12.8" hidden="false" customHeight="false" outlineLevel="0" collapsed="false">
      <c r="A655" s="99"/>
      <c r="B655" s="100"/>
      <c r="C655" s="100"/>
      <c r="D655" s="100"/>
    </row>
    <row r="656" customFormat="false" ht="12.8" hidden="false" customHeight="false" outlineLevel="0" collapsed="false">
      <c r="A656" s="99"/>
      <c r="B656" s="100"/>
      <c r="C656" s="100"/>
      <c r="D656" s="100"/>
    </row>
    <row r="657" customFormat="false" ht="12.8" hidden="false" customHeight="false" outlineLevel="0" collapsed="false">
      <c r="A657" s="99"/>
      <c r="B657" s="100"/>
      <c r="C657" s="100"/>
      <c r="D657" s="100"/>
    </row>
    <row r="658" customFormat="false" ht="12.8" hidden="false" customHeight="false" outlineLevel="0" collapsed="false">
      <c r="A658" s="99"/>
      <c r="B658" s="100"/>
      <c r="C658" s="100"/>
      <c r="D658" s="100"/>
    </row>
    <row r="659" customFormat="false" ht="12.8" hidden="false" customHeight="false" outlineLevel="0" collapsed="false">
      <c r="A659" s="99"/>
      <c r="B659" s="100"/>
      <c r="C659" s="100"/>
      <c r="D659" s="100"/>
    </row>
    <row r="660" customFormat="false" ht="12.8" hidden="false" customHeight="false" outlineLevel="0" collapsed="false">
      <c r="A660" s="99"/>
      <c r="B660" s="100"/>
      <c r="C660" s="100"/>
      <c r="D660" s="100"/>
    </row>
    <row r="661" customFormat="false" ht="12.8" hidden="false" customHeight="false" outlineLevel="0" collapsed="false">
      <c r="A661" s="99"/>
      <c r="B661" s="100"/>
      <c r="C661" s="100"/>
      <c r="D661" s="100"/>
    </row>
    <row r="662" customFormat="false" ht="12.8" hidden="false" customHeight="false" outlineLevel="0" collapsed="false">
      <c r="A662" s="99"/>
      <c r="B662" s="100"/>
      <c r="C662" s="100"/>
      <c r="D662" s="100"/>
    </row>
    <row r="663" customFormat="false" ht="12.8" hidden="false" customHeight="false" outlineLevel="0" collapsed="false">
      <c r="A663" s="99"/>
      <c r="B663" s="100"/>
      <c r="C663" s="100"/>
      <c r="D663" s="100"/>
    </row>
    <row r="664" customFormat="false" ht="12.8" hidden="false" customHeight="false" outlineLevel="0" collapsed="false">
      <c r="A664" s="99"/>
      <c r="B664" s="100"/>
      <c r="C664" s="100"/>
      <c r="D664" s="100"/>
    </row>
    <row r="665" customFormat="false" ht="12.8" hidden="false" customHeight="false" outlineLevel="0" collapsed="false">
      <c r="A665" s="99"/>
      <c r="B665" s="100"/>
      <c r="C665" s="100"/>
      <c r="D665" s="100"/>
    </row>
    <row r="666" customFormat="false" ht="12.8" hidden="false" customHeight="false" outlineLevel="0" collapsed="false">
      <c r="A666" s="99"/>
      <c r="B666" s="100"/>
      <c r="C666" s="100"/>
      <c r="D666" s="100"/>
    </row>
    <row r="667" customFormat="false" ht="12.8" hidden="false" customHeight="false" outlineLevel="0" collapsed="false">
      <c r="A667" s="99"/>
      <c r="B667" s="100"/>
      <c r="C667" s="100"/>
      <c r="D667" s="100"/>
    </row>
    <row r="668" customFormat="false" ht="12.8" hidden="false" customHeight="false" outlineLevel="0" collapsed="false">
      <c r="A668" s="99"/>
      <c r="B668" s="100"/>
      <c r="C668" s="100"/>
      <c r="D668" s="100"/>
    </row>
    <row r="669" customFormat="false" ht="12.8" hidden="false" customHeight="false" outlineLevel="0" collapsed="false">
      <c r="A669" s="99"/>
      <c r="B669" s="100"/>
      <c r="C669" s="100"/>
      <c r="D669" s="100"/>
    </row>
    <row r="670" customFormat="false" ht="12.8" hidden="false" customHeight="false" outlineLevel="0" collapsed="false">
      <c r="A670" s="99"/>
      <c r="B670" s="100"/>
      <c r="C670" s="100"/>
      <c r="D670" s="100"/>
    </row>
    <row r="671" customFormat="false" ht="12.8" hidden="false" customHeight="false" outlineLevel="0" collapsed="false">
      <c r="A671" s="99"/>
      <c r="B671" s="100"/>
      <c r="C671" s="100"/>
      <c r="D671" s="100"/>
    </row>
    <row r="672" customFormat="false" ht="12.8" hidden="false" customHeight="false" outlineLevel="0" collapsed="false">
      <c r="A672" s="99"/>
      <c r="B672" s="100"/>
      <c r="C672" s="100"/>
      <c r="D672" s="100"/>
    </row>
    <row r="673" customFormat="false" ht="12.8" hidden="false" customHeight="false" outlineLevel="0" collapsed="false">
      <c r="A673" s="99"/>
      <c r="B673" s="100"/>
      <c r="C673" s="100"/>
      <c r="D673" s="100"/>
    </row>
    <row r="674" customFormat="false" ht="12.8" hidden="false" customHeight="false" outlineLevel="0" collapsed="false">
      <c r="A674" s="99"/>
      <c r="B674" s="100"/>
      <c r="C674" s="100"/>
      <c r="D674" s="100"/>
    </row>
    <row r="675" customFormat="false" ht="12.8" hidden="false" customHeight="false" outlineLevel="0" collapsed="false">
      <c r="A675" s="99"/>
      <c r="B675" s="100"/>
      <c r="C675" s="100"/>
      <c r="D675" s="100"/>
    </row>
    <row r="676" customFormat="false" ht="12.8" hidden="false" customHeight="false" outlineLevel="0" collapsed="false">
      <c r="A676" s="99"/>
      <c r="B676" s="100"/>
      <c r="C676" s="100"/>
      <c r="D676" s="100"/>
    </row>
    <row r="677" customFormat="false" ht="12.8" hidden="false" customHeight="false" outlineLevel="0" collapsed="false">
      <c r="A677" s="99"/>
      <c r="B677" s="100"/>
      <c r="C677" s="100"/>
      <c r="D677" s="100"/>
    </row>
    <row r="678" customFormat="false" ht="12.8" hidden="false" customHeight="false" outlineLevel="0" collapsed="false">
      <c r="A678" s="99"/>
      <c r="B678" s="100"/>
      <c r="C678" s="100"/>
      <c r="D678" s="100"/>
    </row>
    <row r="679" customFormat="false" ht="12.8" hidden="false" customHeight="false" outlineLevel="0" collapsed="false">
      <c r="A679" s="99"/>
      <c r="B679" s="100"/>
      <c r="C679" s="100"/>
      <c r="D679" s="100"/>
    </row>
    <row r="680" customFormat="false" ht="12.8" hidden="false" customHeight="false" outlineLevel="0" collapsed="false">
      <c r="A680" s="99"/>
      <c r="B680" s="100"/>
      <c r="C680" s="100"/>
      <c r="D680" s="100"/>
    </row>
    <row r="681" customFormat="false" ht="12.8" hidden="false" customHeight="false" outlineLevel="0" collapsed="false">
      <c r="A681" s="99"/>
      <c r="B681" s="100"/>
      <c r="C681" s="100"/>
      <c r="D681" s="100"/>
    </row>
    <row r="682" customFormat="false" ht="12.8" hidden="false" customHeight="false" outlineLevel="0" collapsed="false">
      <c r="A682" s="99"/>
      <c r="B682" s="100"/>
      <c r="C682" s="100"/>
      <c r="D682" s="100"/>
    </row>
    <row r="683" customFormat="false" ht="12.8" hidden="false" customHeight="false" outlineLevel="0" collapsed="false">
      <c r="A683" s="99"/>
      <c r="B683" s="100"/>
      <c r="C683" s="100"/>
      <c r="D683" s="100"/>
    </row>
    <row r="684" customFormat="false" ht="12.8" hidden="false" customHeight="false" outlineLevel="0" collapsed="false">
      <c r="A684" s="99"/>
      <c r="B684" s="100"/>
      <c r="C684" s="100"/>
      <c r="D684" s="100"/>
    </row>
    <row r="685" customFormat="false" ht="12.8" hidden="false" customHeight="false" outlineLevel="0" collapsed="false">
      <c r="A685" s="99"/>
      <c r="B685" s="100"/>
      <c r="C685" s="100"/>
      <c r="D685" s="100"/>
    </row>
    <row r="686" customFormat="false" ht="12.8" hidden="false" customHeight="false" outlineLevel="0" collapsed="false">
      <c r="A686" s="99"/>
      <c r="B686" s="100"/>
      <c r="C686" s="100"/>
      <c r="D686" s="100"/>
    </row>
    <row r="687" customFormat="false" ht="12.8" hidden="false" customHeight="false" outlineLevel="0" collapsed="false">
      <c r="A687" s="99"/>
      <c r="B687" s="100"/>
      <c r="C687" s="100"/>
      <c r="D687" s="100"/>
    </row>
    <row r="688" customFormat="false" ht="12.8" hidden="false" customHeight="false" outlineLevel="0" collapsed="false">
      <c r="A688" s="99"/>
      <c r="B688" s="100"/>
      <c r="C688" s="100"/>
      <c r="D688" s="100"/>
    </row>
    <row r="689" customFormat="false" ht="12.8" hidden="false" customHeight="false" outlineLevel="0" collapsed="false">
      <c r="A689" s="99"/>
      <c r="B689" s="100"/>
      <c r="C689" s="100"/>
      <c r="D689" s="100"/>
    </row>
    <row r="690" customFormat="false" ht="12.8" hidden="false" customHeight="false" outlineLevel="0" collapsed="false">
      <c r="A690" s="99"/>
      <c r="B690" s="100"/>
      <c r="C690" s="100"/>
      <c r="D690" s="100"/>
    </row>
    <row r="691" customFormat="false" ht="12.8" hidden="false" customHeight="false" outlineLevel="0" collapsed="false">
      <c r="A691" s="99"/>
      <c r="B691" s="100"/>
      <c r="C691" s="100"/>
      <c r="D691" s="100"/>
    </row>
    <row r="692" customFormat="false" ht="12.8" hidden="false" customHeight="false" outlineLevel="0" collapsed="false">
      <c r="A692" s="99"/>
      <c r="B692" s="100"/>
      <c r="C692" s="100"/>
      <c r="D692" s="100"/>
    </row>
    <row r="693" customFormat="false" ht="12.8" hidden="false" customHeight="false" outlineLevel="0" collapsed="false">
      <c r="A693" s="99"/>
      <c r="B693" s="100"/>
      <c r="C693" s="100"/>
      <c r="D693" s="100"/>
    </row>
    <row r="694" customFormat="false" ht="12.8" hidden="false" customHeight="false" outlineLevel="0" collapsed="false">
      <c r="A694" s="99"/>
      <c r="B694" s="100"/>
      <c r="C694" s="100"/>
      <c r="D694" s="100"/>
    </row>
    <row r="695" customFormat="false" ht="12.8" hidden="false" customHeight="false" outlineLevel="0" collapsed="false">
      <c r="A695" s="99"/>
      <c r="B695" s="100"/>
      <c r="C695" s="100"/>
      <c r="D695" s="100"/>
    </row>
    <row r="696" customFormat="false" ht="12.8" hidden="false" customHeight="false" outlineLevel="0" collapsed="false">
      <c r="A696" s="99"/>
      <c r="B696" s="100"/>
      <c r="C696" s="100"/>
      <c r="D696" s="100"/>
    </row>
    <row r="697" customFormat="false" ht="12.8" hidden="false" customHeight="false" outlineLevel="0" collapsed="false">
      <c r="A697" s="99"/>
      <c r="B697" s="100"/>
      <c r="C697" s="100"/>
      <c r="D697" s="100"/>
    </row>
    <row r="698" customFormat="false" ht="12.8" hidden="false" customHeight="false" outlineLevel="0" collapsed="false">
      <c r="A698" s="99"/>
      <c r="B698" s="100"/>
      <c r="C698" s="100"/>
      <c r="D698" s="100"/>
    </row>
    <row r="699" customFormat="false" ht="12.8" hidden="false" customHeight="false" outlineLevel="0" collapsed="false">
      <c r="A699" s="99"/>
      <c r="B699" s="100"/>
      <c r="C699" s="100"/>
      <c r="D699" s="100"/>
    </row>
    <row r="700" customFormat="false" ht="12.8" hidden="false" customHeight="false" outlineLevel="0" collapsed="false">
      <c r="A700" s="99"/>
      <c r="B700" s="100"/>
      <c r="C700" s="100"/>
      <c r="D700" s="100"/>
    </row>
    <row r="701" customFormat="false" ht="12.8" hidden="false" customHeight="false" outlineLevel="0" collapsed="false">
      <c r="A701" s="99"/>
      <c r="B701" s="100"/>
      <c r="C701" s="100"/>
      <c r="D701" s="100"/>
    </row>
    <row r="702" customFormat="false" ht="12.8" hidden="false" customHeight="false" outlineLevel="0" collapsed="false">
      <c r="A702" s="99"/>
      <c r="B702" s="100"/>
      <c r="C702" s="100"/>
      <c r="D702" s="100"/>
    </row>
    <row r="703" customFormat="false" ht="12.8" hidden="false" customHeight="false" outlineLevel="0" collapsed="false">
      <c r="A703" s="99"/>
      <c r="B703" s="100"/>
      <c r="C703" s="100"/>
      <c r="D703" s="100"/>
    </row>
    <row r="704" customFormat="false" ht="12.8" hidden="false" customHeight="false" outlineLevel="0" collapsed="false">
      <c r="A704" s="99"/>
      <c r="B704" s="100"/>
      <c r="C704" s="100"/>
      <c r="D704" s="100"/>
    </row>
    <row r="705" customFormat="false" ht="12.8" hidden="false" customHeight="false" outlineLevel="0" collapsed="false">
      <c r="A705" s="99"/>
      <c r="B705" s="100"/>
      <c r="C705" s="100"/>
      <c r="D705" s="100"/>
    </row>
    <row r="706" customFormat="false" ht="12.8" hidden="false" customHeight="false" outlineLevel="0" collapsed="false">
      <c r="A706" s="99"/>
      <c r="B706" s="100"/>
      <c r="C706" s="100"/>
      <c r="D706" s="100"/>
    </row>
    <row r="707" customFormat="false" ht="12.8" hidden="false" customHeight="false" outlineLevel="0" collapsed="false">
      <c r="A707" s="99"/>
      <c r="B707" s="100"/>
      <c r="C707" s="100"/>
      <c r="D707" s="100"/>
    </row>
    <row r="708" customFormat="false" ht="12.8" hidden="false" customHeight="false" outlineLevel="0" collapsed="false">
      <c r="A708" s="99"/>
      <c r="B708" s="100"/>
      <c r="C708" s="100"/>
      <c r="D708" s="100"/>
    </row>
    <row r="709" customFormat="false" ht="12.8" hidden="false" customHeight="false" outlineLevel="0" collapsed="false">
      <c r="A709" s="99"/>
      <c r="B709" s="100"/>
      <c r="C709" s="100"/>
      <c r="D709" s="100"/>
    </row>
    <row r="710" customFormat="false" ht="12.8" hidden="false" customHeight="false" outlineLevel="0" collapsed="false">
      <c r="A710" s="99"/>
      <c r="B710" s="100"/>
      <c r="C710" s="100"/>
      <c r="D710" s="100"/>
    </row>
    <row r="711" customFormat="false" ht="12.8" hidden="false" customHeight="false" outlineLevel="0" collapsed="false">
      <c r="A711" s="99"/>
      <c r="B711" s="100"/>
      <c r="C711" s="100"/>
      <c r="D711" s="100"/>
    </row>
    <row r="712" customFormat="false" ht="12.8" hidden="false" customHeight="false" outlineLevel="0" collapsed="false">
      <c r="A712" s="99"/>
      <c r="B712" s="100"/>
      <c r="C712" s="100"/>
      <c r="D712" s="100"/>
    </row>
    <row r="713" customFormat="false" ht="12.8" hidden="false" customHeight="false" outlineLevel="0" collapsed="false">
      <c r="A713" s="99"/>
      <c r="B713" s="100"/>
      <c r="C713" s="100"/>
      <c r="D713" s="100"/>
    </row>
    <row r="714" customFormat="false" ht="12.8" hidden="false" customHeight="false" outlineLevel="0" collapsed="false">
      <c r="A714" s="99"/>
      <c r="B714" s="100"/>
      <c r="C714" s="100"/>
      <c r="D714" s="100"/>
    </row>
    <row r="715" customFormat="false" ht="12.8" hidden="false" customHeight="false" outlineLevel="0" collapsed="false">
      <c r="A715" s="99"/>
      <c r="B715" s="100"/>
      <c r="C715" s="100"/>
      <c r="D715" s="100"/>
    </row>
    <row r="716" customFormat="false" ht="12.8" hidden="false" customHeight="false" outlineLevel="0" collapsed="false">
      <c r="A716" s="99"/>
      <c r="B716" s="100"/>
      <c r="C716" s="100"/>
      <c r="D716" s="100"/>
    </row>
    <row r="717" customFormat="false" ht="12.8" hidden="false" customHeight="false" outlineLevel="0" collapsed="false">
      <c r="A717" s="99"/>
      <c r="B717" s="100"/>
      <c r="C717" s="100"/>
      <c r="D717" s="100"/>
    </row>
    <row r="718" customFormat="false" ht="12.8" hidden="false" customHeight="false" outlineLevel="0" collapsed="false">
      <c r="A718" s="99"/>
      <c r="B718" s="100"/>
      <c r="C718" s="100"/>
      <c r="D718" s="100"/>
    </row>
    <row r="719" customFormat="false" ht="12.8" hidden="false" customHeight="false" outlineLevel="0" collapsed="false">
      <c r="A719" s="99"/>
      <c r="B719" s="100"/>
      <c r="C719" s="100"/>
      <c r="D719" s="100"/>
    </row>
    <row r="720" customFormat="false" ht="12.8" hidden="false" customHeight="false" outlineLevel="0" collapsed="false">
      <c r="A720" s="99"/>
      <c r="B720" s="100"/>
      <c r="C720" s="100"/>
      <c r="D720" s="100"/>
    </row>
    <row r="721" customFormat="false" ht="12.8" hidden="false" customHeight="false" outlineLevel="0" collapsed="false">
      <c r="A721" s="99"/>
      <c r="B721" s="100"/>
      <c r="C721" s="100"/>
      <c r="D721" s="100"/>
    </row>
    <row r="722" customFormat="false" ht="12.8" hidden="false" customHeight="false" outlineLevel="0" collapsed="false">
      <c r="A722" s="99"/>
      <c r="B722" s="100"/>
      <c r="C722" s="100"/>
      <c r="D722" s="100"/>
    </row>
    <row r="723" customFormat="false" ht="12.8" hidden="false" customHeight="false" outlineLevel="0" collapsed="false">
      <c r="A723" s="99"/>
      <c r="B723" s="100"/>
      <c r="C723" s="100"/>
      <c r="D723" s="100"/>
    </row>
    <row r="724" customFormat="false" ht="12.8" hidden="false" customHeight="false" outlineLevel="0" collapsed="false">
      <c r="A724" s="99"/>
      <c r="B724" s="100"/>
      <c r="C724" s="100"/>
      <c r="D724" s="100"/>
    </row>
    <row r="725" customFormat="false" ht="12.8" hidden="false" customHeight="false" outlineLevel="0" collapsed="false">
      <c r="A725" s="99"/>
      <c r="B725" s="100"/>
      <c r="C725" s="100"/>
      <c r="D725" s="100"/>
    </row>
    <row r="726" customFormat="false" ht="12.8" hidden="false" customHeight="false" outlineLevel="0" collapsed="false">
      <c r="A726" s="99"/>
      <c r="B726" s="100"/>
      <c r="C726" s="100"/>
      <c r="D726" s="100"/>
    </row>
    <row r="727" customFormat="false" ht="12.8" hidden="false" customHeight="false" outlineLevel="0" collapsed="false">
      <c r="A727" s="99"/>
      <c r="B727" s="100"/>
      <c r="C727" s="100"/>
      <c r="D727" s="100"/>
    </row>
    <row r="728" customFormat="false" ht="12.8" hidden="false" customHeight="false" outlineLevel="0" collapsed="false">
      <c r="A728" s="99"/>
      <c r="B728" s="100"/>
      <c r="C728" s="100"/>
      <c r="D728" s="100"/>
    </row>
    <row r="729" customFormat="false" ht="12.8" hidden="false" customHeight="false" outlineLevel="0" collapsed="false">
      <c r="A729" s="99"/>
      <c r="B729" s="100"/>
      <c r="C729" s="100"/>
      <c r="D729" s="100"/>
    </row>
    <row r="730" customFormat="false" ht="12.8" hidden="false" customHeight="false" outlineLevel="0" collapsed="false">
      <c r="A730" s="99"/>
      <c r="B730" s="100"/>
      <c r="C730" s="100"/>
      <c r="D730" s="100"/>
    </row>
    <row r="731" customFormat="false" ht="12.8" hidden="false" customHeight="false" outlineLevel="0" collapsed="false">
      <c r="A731" s="99"/>
      <c r="B731" s="100"/>
      <c r="C731" s="100"/>
      <c r="D731" s="100"/>
    </row>
    <row r="732" customFormat="false" ht="12.8" hidden="false" customHeight="false" outlineLevel="0" collapsed="false">
      <c r="A732" s="99"/>
      <c r="B732" s="100"/>
      <c r="C732" s="100"/>
      <c r="D732" s="100"/>
    </row>
    <row r="733" customFormat="false" ht="12.8" hidden="false" customHeight="false" outlineLevel="0" collapsed="false">
      <c r="A733" s="99"/>
      <c r="B733" s="100"/>
      <c r="C733" s="100"/>
      <c r="D733" s="100"/>
    </row>
    <row r="734" customFormat="false" ht="12.8" hidden="false" customHeight="false" outlineLevel="0" collapsed="false">
      <c r="A734" s="99"/>
      <c r="B734" s="100"/>
      <c r="C734" s="100"/>
      <c r="D734" s="100"/>
    </row>
  </sheetData>
  <autoFilter ref="A3:D59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N15" activeCellId="1" sqref="F22:M41 N15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1" min="1" style="8" width="20.13"/>
  </cols>
  <sheetData>
    <row r="2" customFormat="false" ht="22.35" hidden="false" customHeight="false" outlineLevel="0" collapsed="false">
      <c r="A2" s="8" t="s">
        <v>87</v>
      </c>
    </row>
    <row r="4" s="101" customFormat="true" ht="12.8" hidden="false" customHeight="false" outlineLevel="0" collapsed="false">
      <c r="A4" s="101" t="s">
        <v>88</v>
      </c>
    </row>
    <row r="5" customFormat="false" ht="12.8" hidden="false" customHeight="false" outlineLevel="0" collapsed="false">
      <c r="A5" s="8" t="s">
        <v>1</v>
      </c>
      <c r="B5" s="8" t="s">
        <v>2</v>
      </c>
      <c r="C5" s="8" t="s">
        <v>3</v>
      </c>
      <c r="D5" s="8" t="s">
        <v>4</v>
      </c>
    </row>
    <row r="6" customFormat="false" ht="12.8" hidden="false" customHeight="false" outlineLevel="0" collapsed="false">
      <c r="A6" s="8" t="n">
        <v>0.092058481583422</v>
      </c>
      <c r="B6" s="8" t="n">
        <v>0.0799585013225527</v>
      </c>
      <c r="C6" s="8" t="n">
        <v>0.105096259234427</v>
      </c>
      <c r="D6" s="8" t="n">
        <v>0.0915444938739955</v>
      </c>
    </row>
    <row r="9" customFormat="false" ht="12.8" hidden="false" customHeight="false" outlineLevel="0" collapsed="false">
      <c r="A9" s="8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477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2026-02-13T13:47:04Z</dcterms:created>
  <dc:creator/>
  <dc:description/>
  <dc:language>en-US</dc:language>
  <cp:lastModifiedBy/>
  <dcterms:modified xsi:type="dcterms:W3CDTF">2026-06-12T15:28:19Z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
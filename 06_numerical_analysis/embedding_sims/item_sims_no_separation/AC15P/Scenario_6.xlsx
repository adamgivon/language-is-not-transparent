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6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<sst xmlns="http://schemas.openxmlformats.org/spreadsheetml/2006/main" count="781" uniqueCount="120">
  <si>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</si>
  <si>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</si>
  <si>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</si>
  <si>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</si>
  <si>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</si>
  <si>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</si>
  <si>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</si>
  <si>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</si>
  <si>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</si>
  <si>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</si>
  <si>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</si>
  <si>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</si>
  <si>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</si>
  <si>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</si>
  <si>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</si>
  <si>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</si>
  <si>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d24e8912-9929-47bb-b0ba-83db25e87973</t>
  </si>
  <si>
    <t xml:space="preserve">cmjh6uwxm0003zcx2n40vri62</t>
  </si>
  <si>
    <t xml:space="preserve">cmjh6vz2n000kzcx2jolq7htp</t>
  </si>
  <si>
    <t xml:space="preserve">ac15-plain</t>
  </si>
  <si>
    <t xml:space="preserve">Scenario_6</t>
  </si>
  <si>
    <t xml:space="preserve">truth_and_fact</t>
  </si>
  <si>
    <t xml:space="preserve">01ef44b5-421c-46fa-8995-2eeb6d1fddc0</t>
  </si>
  <si>
    <t xml:space="preserve">cmjh6wqbz000ozcx21dw2alti</t>
  </si>
  <si>
    <t xml:space="preserve">cmjh6xh030015zcx2z8g7zz7k</t>
  </si>
  <si>
    <t xml:space="preserve">context_dependent_expression</t>
  </si>
  <si>
    <t xml:space="preserve">practicality_and_feasibility</t>
  </si>
  <si>
    <t xml:space="preserve">temporal_dynamics</t>
  </si>
  <si>
    <t xml:space="preserve">fd5dcec3-b58a-483a-806d-4cfdab259eaf</t>
  </si>
  <si>
    <t xml:space="preserve">cmjh6xwni0019zcx2c1b4fir4</t>
  </si>
  <si>
    <t xml:space="preserve">cmjh6ymha001qzcx2u87adr18</t>
  </si>
  <si>
    <t xml:space="preserve">sovereignty</t>
  </si>
  <si>
    <t xml:space="preserve">freedom_and_limitations</t>
  </si>
  <si>
    <t xml:space="preserve">6dcb1b5d-a36f-472c-8a34-7fb99695ea7e</t>
  </si>
  <si>
    <t xml:space="preserve">cmjh6z47n001uzcx22heg4ru2</t>
  </si>
  <si>
    <t xml:space="preserve">cmjh6zli8002bzcx2y72xrpns</t>
  </si>
  <si>
    <t xml:space="preserve">ea790de3-2751-4e94-897a-89cc1ce2507b</t>
  </si>
  <si>
    <t xml:space="preserve">cmjh704jn002fzcx2io5wx0e8</t>
  </si>
  <si>
    <t xml:space="preserve">cmjh712oo002wzcx2np2p6nu3</t>
  </si>
  <si>
    <t xml:space="preserve">imagination_and_possibility</t>
  </si>
  <si>
    <t xml:space="preserve">affective_interface</t>
  </si>
  <si>
    <t xml:space="preserve">452304c1-18a5-4df4-ba17-cf37b20a89e9</t>
  </si>
  <si>
    <t xml:space="preserve">cmjh71c750030zcx206r28ujb</t>
  </si>
  <si>
    <t xml:space="preserve">cmjh71vwu003hzcx2g16wb9ms</t>
  </si>
  <si>
    <t xml:space="preserve">ce78fd78-53a2-48fb-a578-29bfda39187c</t>
  </si>
  <si>
    <t xml:space="preserve">cmjh72c4u003lzcx2dyfi0z1s</t>
  </si>
  <si>
    <t xml:space="preserve">cmjh72wbr0042zcx25pnrtola</t>
  </si>
  <si>
    <t xml:space="preserve">146ec142-e4c2-48ce-bec1-9ea9641f2923</t>
  </si>
  <si>
    <t xml:space="preserve">cmjh736am0046zcx2cw4rbmx8</t>
  </si>
  <si>
    <t xml:space="preserve">cmjh73t31004nzcx2kdi9zerr</t>
  </si>
  <si>
    <t xml:space="preserve">2cd2892c-0b7f-420f-9a01-5e6a52e40b78</t>
  </si>
  <si>
    <t xml:space="preserve">cmjh73w90004rzcx2fmfpzq8i</t>
  </si>
  <si>
    <t xml:space="preserve">cmjh74hs90058zcx2li59uc7n</t>
  </si>
  <si>
    <t xml:space="preserve">ea55c4c8-86ea-4173-a967-c8fcc215373c</t>
  </si>
  <si>
    <t xml:space="preserve">cmjh750qk005czcx2oudcc8qa</t>
  </si>
  <si>
    <t xml:space="preserve">cmjh75mxx005tzcx2b9stsaak</t>
  </si>
  <si>
    <t xml:space="preserve">mathematics_computer_science_engineering</t>
  </si>
  <si>
    <t xml:space="preserve">4971085b-8b27-49f4-b269-951c49337981</t>
  </si>
  <si>
    <t xml:space="preserve">cmjh75zqq005xzcx2wurm7x50</t>
  </si>
  <si>
    <t xml:space="preserve">cmjh76fea006ezcx2wjt6eqak</t>
  </si>
  <si>
    <t xml:space="preserve">71255f3f-58cd-42a0-842a-6d978ca844a5</t>
  </si>
  <si>
    <t xml:space="preserve">cmjh77j4i006izcx2oowckljg</t>
  </si>
  <si>
    <t xml:space="preserve">cmjh77y29006zzcx2rghrtirh</t>
  </si>
  <si>
    <t xml:space="preserve">identity</t>
  </si>
  <si>
    <t xml:space="preserve">41ab6190-5c05-400d-b180-ea23b353633e</t>
  </si>
  <si>
    <t xml:space="preserve">cmjh788h80073zcx2dxg8cjl2</t>
  </si>
  <si>
    <t xml:space="preserve">cmjh78n3h007kzcx2lvxac65s</t>
  </si>
  <si>
    <t xml:space="preserve">f2331c45-3ec5-4d33-b323-8fc33ca5127d</t>
  </si>
  <si>
    <t xml:space="preserve">cmjh78sjr007ozcx2p3p1cs59</t>
  </si>
  <si>
    <t xml:space="preserve">cmjh79jx20085zcx2johooo7b</t>
  </si>
  <si>
    <t xml:space="preserve">702b7eea-4164-40c3-9f88-6471af27526c</t>
  </si>
  <si>
    <t xml:space="preserve">cmjh79zyg0089zcx2rasf8ggm</t>
  </si>
  <si>
    <t xml:space="preserve">cmjh7amc3008qzcx2z9wawcg4</t>
  </si>
  <si>
    <t xml:space="preserve">da061a5c-0635-4556-98ed-66c3a3ca9e20</t>
  </si>
  <si>
    <t xml:space="preserve">cmjh7b23o008uzcx2zu635m2f</t>
  </si>
  <si>
    <t xml:space="preserve">cmjh7bvev009bzcx2u7g3w54v</t>
  </si>
  <si>
    <t xml:space="preserve">feafacce-2b0b-4cfd-be16-de3ad456830c</t>
  </si>
  <si>
    <t xml:space="preserve">cmjh7bzch009fzcx25qcpsc92</t>
  </si>
  <si>
    <t xml:space="preserve">cmjh7ckxx009wzcx2elwxxdl0</t>
  </si>
  <si>
    <t xml:space="preserve">32cb0a32-7cb6-4718-ad17-b9d0247f0781</t>
  </si>
  <si>
    <t xml:space="preserve">cmjh7csqm00a0zcx2chpodd9h</t>
  </si>
  <si>
    <t xml:space="preserve">cmjh7dij900ahzcx2lfhswgwt</t>
  </si>
  <si>
    <t xml:space="preserve">2e6d02fb-d386-4f06-9a4b-4c2e9d687931</t>
  </si>
  <si>
    <t xml:space="preserve">cmjh7dxiu00alzcx2d1ji93ig</t>
  </si>
  <si>
    <t xml:space="preserve">cmjh7ekgn00b2zcx2784w6q4x</t>
  </si>
  <si>
    <t xml:space="preserve">science</t>
  </si>
  <si>
    <t xml:space="preserve">db806ddd-450b-41bf-aabd-5516f0c19552</t>
  </si>
  <si>
    <t xml:space="preserve">cmjh7eun200b6zcx2d8m3jk2j</t>
  </si>
  <si>
    <t xml:space="preserve">cmjh7fg2g00bnzcx2olt6d86t</t>
  </si>
  <si>
    <t xml:space="preserve">e941180f-2478-4d4f-8471-226f971dca8b</t>
  </si>
  <si>
    <t xml:space="preserve">cmjh7fup500brzcx2r35zomt0</t>
  </si>
  <si>
    <t xml:space="preserve">cmjh7ge4d00c8zcx2jfgii7xw</t>
  </si>
  <si>
    <t xml:space="preserve">9d3318cf-4ff6-41f7-a895-bdd3aebcac61</t>
  </si>
  <si>
    <t xml:space="preserve">cmjh7go1s00cczcx2984uy8yj</t>
  </si>
  <si>
    <t xml:space="preserve">cmjh7h7zh00ctzcx2i0kq57ma</t>
  </si>
  <si>
    <t xml:space="preserve">5c793432-6328-446c-b7c8-16a66a46b590</t>
  </si>
  <si>
    <t xml:space="preserve">cmjh7hgqz00cxzcx26cefrnfb</t>
  </si>
  <si>
    <t xml:space="preserve">cmjh7i11v00dezcx257ddofp2</t>
  </si>
  <si>
    <t xml:space="preserve">7ca22450-be40-4119-96f0-e92d58d8eb78</t>
  </si>
  <si>
    <t xml:space="preserve">cmjh7ihft00dizcx2i4cjkluq</t>
  </si>
  <si>
    <t xml:space="preserve">cmjh7j5d000dzzcx250e1q7up</t>
  </si>
  <si>
    <t xml:space="preserve">88dc849a-5db8-4d8b-8f6b-088df514302d</t>
  </si>
  <si>
    <t xml:space="preserve">cmjh7jips00e3zcx2xdci34ky</t>
  </si>
  <si>
    <t xml:space="preserve">cmjh7k1ic00ekzcx21wvw8b5e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</si>
  <si>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</si>
  <si>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</si>
  <si>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</si>
  <si>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</si>
  <si>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</si>
  <si>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</si>
  <si>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ac15p</t>
  </si>
  <si>
    <t xml:space="preserve">control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</si>
  <si>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</si>
  <si>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</si>
  <si>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</si>
  <si>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</si>
  <si>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</si>
  <si>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</si>
  <si>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scen</t>
  </si>
  <si>
    <t xml:space="preserve">Mean 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</si>
</sst>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2">
    <xf numFmtId="164" fontId="0" fillId="0" borderId="0" xfId="0" applyFont="fals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0.790005749889737</c:v>
                </c:pt>
                <c:pt idx="1">
                  <c:v>0.681735099200446</c:v>
                </c:pt>
                <c:pt idx="2">
                  <c:v>0.736591542434996</c:v>
                </c:pt>
                <c:pt idx="3">
                  <c:v>0.65821229308805</c:v>
                </c:pt>
                <c:pt idx="4">
                  <c:v>0.743184893131854</c:v>
                </c:pt>
                <c:pt idx="5">
                  <c:v>0.738363300257884</c:v>
                </c:pt>
                <c:pt idx="6">
                  <c:v>0.802709380775578</c:v>
                </c:pt>
                <c:pt idx="7">
                  <c:v>0.767137820624339</c:v>
                </c:pt>
                <c:pt idx="8">
                  <c:v>0.655203842604779</c:v>
                </c:pt>
                <c:pt idx="9">
                  <c:v>0.700905183166286</c:v>
                </c:pt>
                <c:pt idx="10">
                  <c:v>0.719629235257693</c:v>
                </c:pt>
                <c:pt idx="11">
                  <c:v>0.831621410337318</c:v>
                </c:pt>
                <c:pt idx="12">
                  <c:v>0.709519501585356</c:v>
                </c:pt>
                <c:pt idx="13">
                  <c:v>0.752588038781123</c:v>
                </c:pt>
                <c:pt idx="14">
                  <c:v>0.742555870420495</c:v>
                </c:pt>
                <c:pt idx="15">
                  <c:v>0.626600189640605</c:v>
                </c:pt>
                <c:pt idx="16">
                  <c:v>0.81814248001184</c:v>
                </c:pt>
                <c:pt idx="17">
                  <c:v>0.647963419254761</c:v>
                </c:pt>
                <c:pt idx="18">
                  <c:v>0.643841741383017</c:v>
                </c:pt>
                <c:pt idx="19">
                  <c:v>0.654547731132537</c:v>
                </c:pt>
                <c:pt idx="20">
                  <c:v>0.737279793404405</c:v>
                </c:pt>
                <c:pt idx="21">
                  <c:v>0.741791001479869</c:v>
                </c:pt>
                <c:pt idx="22">
                  <c:v>0.720324505975325</c:v>
                </c:pt>
                <c:pt idx="23">
                  <c:v>0.85301227080764</c:v>
                </c:pt>
                <c:pt idx="24">
                  <c:v>0.727945465577406</c:v>
                </c:pt>
              </c:numCache>
            </c:numRef>
          </c:yVal>
          <c:smooth val="0"/>
        </c:ser>
        <c:axId val="64700962"/>
        <c:axId val="85334347"/>
      </c:scatterChart>
      <c:valAx>
        <c:axId val="6470096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334347"/>
        <c:crosses val="autoZero"/>
        <c:crossBetween val="midCat"/>
      </c:valAx>
      <c:valAx>
        <c:axId val="853343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7009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0.790005749889737</c:v>
                </c:pt>
                <c:pt idx="1">
                  <c:v>0.681735099200446</c:v>
                </c:pt>
                <c:pt idx="2">
                  <c:v>0.736591542434996</c:v>
                </c:pt>
                <c:pt idx="3">
                  <c:v>0.65821229308805</c:v>
                </c:pt>
                <c:pt idx="4">
                  <c:v>0.743184893131854</c:v>
                </c:pt>
                <c:pt idx="5">
                  <c:v>0.738363300257884</c:v>
                </c:pt>
                <c:pt idx="6">
                  <c:v>0.802709380775578</c:v>
                </c:pt>
                <c:pt idx="7">
                  <c:v>0.767137820624339</c:v>
                </c:pt>
                <c:pt idx="8">
                  <c:v>0.655203842604779</c:v>
                </c:pt>
                <c:pt idx="9">
                  <c:v>0.700905183166286</c:v>
                </c:pt>
                <c:pt idx="10">
                  <c:v>0.719629235257693</c:v>
                </c:pt>
                <c:pt idx="11">
                  <c:v>0.831621410337318</c:v>
                </c:pt>
                <c:pt idx="12">
                  <c:v>0.709519501585356</c:v>
                </c:pt>
                <c:pt idx="13">
                  <c:v>0.752588038781123</c:v>
                </c:pt>
                <c:pt idx="14">
                  <c:v>0.742555870420495</c:v>
                </c:pt>
                <c:pt idx="15">
                  <c:v>0.626600189640605</c:v>
                </c:pt>
                <c:pt idx="16">
                  <c:v>0.81814248001184</c:v>
                </c:pt>
                <c:pt idx="17">
                  <c:v>0.647963419254761</c:v>
                </c:pt>
                <c:pt idx="18">
                  <c:v>0.643841741383017</c:v>
                </c:pt>
                <c:pt idx="19">
                  <c:v>0.654547731132537</c:v>
                </c:pt>
                <c:pt idx="20">
                  <c:v>0.737279793404405</c:v>
                </c:pt>
                <c:pt idx="21">
                  <c:v>0.741791001479869</c:v>
                </c:pt>
                <c:pt idx="22">
                  <c:v>0.720324505975325</c:v>
                </c:pt>
                <c:pt idx="23">
                  <c:v>0.85301227080764</c:v>
                </c:pt>
                <c:pt idx="24">
                  <c:v>0.727945465577406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85565520"/>
        <c:axId val="86764615"/>
      </c:scatterChart>
      <c:valAx>
        <c:axId val="8556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764615"/>
        <c:crosses val="autoZero"/>
        <c:crossBetween val="midCat"/>
      </c:valAx>
      <c:valAx>
        <c:axId val="86764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56552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39600</xdr:colOff>
      <xdr:row>4</xdr:row>
      <xdr:rowOff>46440</xdr:rowOff>
    </xdr:from>
    <xdr:to>
      <xdr:col>10</xdr:col>
      <xdr:colOff>102240</xdr:colOff>
      <xdr:row>24</xdr:row>
      <xdr:rowOff>30600</xdr:rowOff>
    </xdr:to>
    <xdr:graphicFrame>
      <xdr:nvGraphicFramePr>
        <xdr:cNvPr id="1" name=""/>
        <xdr:cNvGraphicFramePr/>
      </xdr:nvGraphicFramePr>
      <xdr:xfrm>
        <a:off x="2477880" y="696600"/>
        <a:ext cx="575244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820440</xdr:colOff>
      <xdr:row>5</xdr:row>
      <xdr:rowOff>131400</xdr:rowOff>
    </xdr:from>
    <xdr:to>
      <xdr:col>9</xdr:col>
      <xdr:colOff>453600</xdr:colOff>
      <xdr:row>25</xdr:row>
      <xdr:rowOff>115560</xdr:rowOff>
    </xdr:to>
    <xdr:graphicFrame>
      <xdr:nvGraphicFramePr>
        <xdr:cNvPr id="2" name=""/>
        <xdr:cNvGraphicFramePr/>
      </xdr:nvGraphicFramePr>
      <xdr:xfrm>
        <a:off x="4071600" y="944280"/>
        <a:ext cx="576612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E4:L4 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5.32"/>
    <col collapsed="false" customWidth="true" hidden="false" outlineLevel="0" max="5" min="5" style="1" width="15.49"/>
    <col collapsed="false" customWidth="false" hidden="false" outlineLevel="0" max="6" min="6" style="1" width="10.58"/>
    <col collapsed="false" customWidth="true" hidden="false" outlineLevel="0" max="7" min="7" style="1" width="39.93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2" min="11" style="1" width="19.22"/>
    <col collapsed="false" customWidth="true" hidden="false" outlineLevel="0" max="17" min="17" style="0" width="18.71"/>
    <col collapsed="false" customWidth="true" hidden="false" outlineLevel="0" max="18" min="18" style="1" width="18.71"/>
    <col collapsed="false" customWidth="true" hidden="false" outlineLevel="0" max="19" min="19" style="1" width="19.74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1" t="n">
        <f aca="false">COUNT(K3:K126)</f>
        <v>124</v>
      </c>
      <c r="Q2" s="1" t="n">
        <f aca="false">AVERAGE(K3:K126)</f>
        <v>0.0457028096907403</v>
      </c>
      <c r="R2" s="1" t="n">
        <f aca="false">CORREL(H3:H126,K3:K126)</f>
        <v>0.257772422758417</v>
      </c>
      <c r="S2" s="1" t="n">
        <f aca="false">notes!B5</f>
        <v>0.0038478417209188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4" t="s">
        <v>21</v>
      </c>
      <c r="H3" s="1" t="n">
        <v>0.1</v>
      </c>
      <c r="I3" s="1" t="n">
        <v>0.11194797229434</v>
      </c>
      <c r="J3" s="1" t="n">
        <v>0.20788923902822</v>
      </c>
      <c r="K3" s="1" t="n">
        <f aca="false">J3-I3</f>
        <v>0.0959412667338794</v>
      </c>
      <c r="L3" s="1" t="n">
        <v>0.790005749889737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19</v>
      </c>
      <c r="E4" s="1" t="s">
        <v>20</v>
      </c>
      <c r="F4" s="1" t="n">
        <v>2</v>
      </c>
      <c r="G4" s="4" t="s">
        <v>25</v>
      </c>
      <c r="H4" s="1" t="n">
        <v>0.3097</v>
      </c>
      <c r="I4" s="1" t="n">
        <v>0.225503598073986</v>
      </c>
      <c r="J4" s="1" t="n">
        <v>0.301498417691943</v>
      </c>
      <c r="K4" s="1" t="n">
        <f aca="false">J4-I4</f>
        <v>0.0759948196179568</v>
      </c>
      <c r="L4" s="1" t="n">
        <v>0.681735099200446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19</v>
      </c>
      <c r="E5" s="1" t="s">
        <v>20</v>
      </c>
      <c r="F5" s="1" t="n">
        <v>2</v>
      </c>
      <c r="G5" s="4" t="s">
        <v>26</v>
      </c>
      <c r="H5" s="1" t="n">
        <v>0.3021</v>
      </c>
      <c r="I5" s="1" t="n">
        <v>0.219938774622866</v>
      </c>
      <c r="J5" s="1" t="n">
        <v>0.353986357139642</v>
      </c>
      <c r="K5" s="1" t="n">
        <f aca="false">J5-I5</f>
        <v>0.134047582516776</v>
      </c>
      <c r="L5" s="1" t="n">
        <v>0.681735099200446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19</v>
      </c>
      <c r="E6" s="1" t="s">
        <v>20</v>
      </c>
      <c r="F6" s="1" t="n">
        <v>2</v>
      </c>
      <c r="G6" s="4" t="s">
        <v>27</v>
      </c>
      <c r="H6" s="1" t="n">
        <v>0.2882</v>
      </c>
      <c r="I6" s="1" t="n">
        <v>0.209853849202694</v>
      </c>
      <c r="J6" s="1" t="n">
        <v>0.305154706264747</v>
      </c>
      <c r="K6" s="1" t="n">
        <f aca="false">J6-I6</f>
        <v>0.0953008570620523</v>
      </c>
      <c r="L6" s="1" t="n">
        <v>0.681735099200446</v>
      </c>
    </row>
    <row r="7" customFormat="false" ht="1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19</v>
      </c>
      <c r="E7" s="1" t="s">
        <v>20</v>
      </c>
      <c r="F7" s="1" t="n">
        <v>2</v>
      </c>
      <c r="G7" s="4" t="s">
        <v>21</v>
      </c>
      <c r="H7" s="1" t="n">
        <v>0.1</v>
      </c>
      <c r="I7" s="1" t="n">
        <v>0.134305799158635</v>
      </c>
      <c r="J7" s="1" t="n">
        <v>0.231595435050441</v>
      </c>
      <c r="K7" s="1" t="n">
        <f aca="false">J7-I7</f>
        <v>0.0972896358918062</v>
      </c>
      <c r="L7" s="1" t="n">
        <v>0.681735099200446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30</v>
      </c>
      <c r="D8" s="1" t="s">
        <v>19</v>
      </c>
      <c r="E8" s="1" t="s">
        <v>20</v>
      </c>
      <c r="F8" s="1" t="n">
        <v>4</v>
      </c>
      <c r="G8" s="4" t="s">
        <v>26</v>
      </c>
      <c r="H8" s="1" t="n">
        <v>0.2081</v>
      </c>
      <c r="I8" s="1" t="n">
        <v>0.270774122023401</v>
      </c>
      <c r="J8" s="1" t="n">
        <v>0.298994967947767</v>
      </c>
      <c r="K8" s="1" t="n">
        <f aca="false">J8-I8</f>
        <v>0.0282208459243662</v>
      </c>
      <c r="L8" s="1" t="n">
        <v>0.736591542434996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19</v>
      </c>
      <c r="E9" s="1" t="s">
        <v>20</v>
      </c>
      <c r="F9" s="1" t="n">
        <v>4</v>
      </c>
      <c r="G9" s="4" t="s">
        <v>31</v>
      </c>
      <c r="H9" s="1" t="n">
        <v>0.1881</v>
      </c>
      <c r="I9" s="1" t="n">
        <v>0.244718304793436</v>
      </c>
      <c r="J9" s="1" t="n">
        <v>0.257805756607753</v>
      </c>
      <c r="K9" s="1" t="n">
        <f aca="false">J9-I9</f>
        <v>0.0130874518143169</v>
      </c>
      <c r="L9" s="1" t="n">
        <v>0.736591542434996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19</v>
      </c>
      <c r="E10" s="1" t="s">
        <v>20</v>
      </c>
      <c r="F10" s="1" t="n">
        <v>4</v>
      </c>
      <c r="G10" s="4" t="s">
        <v>27</v>
      </c>
      <c r="H10" s="1" t="n">
        <v>0.1785</v>
      </c>
      <c r="I10" s="1" t="n">
        <v>0.232238072421595</v>
      </c>
      <c r="J10" s="1" t="n">
        <v>0.256099153344927</v>
      </c>
      <c r="K10" s="1" t="n">
        <f aca="false">J10-I10</f>
        <v>0.023861080923332</v>
      </c>
      <c r="L10" s="1" t="n">
        <v>0.736591542434996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1" t="s">
        <v>19</v>
      </c>
      <c r="E11" s="1" t="s">
        <v>20</v>
      </c>
      <c r="F11" s="1" t="n">
        <v>4</v>
      </c>
      <c r="G11" s="4" t="s">
        <v>25</v>
      </c>
      <c r="H11" s="1" t="n">
        <v>0.164</v>
      </c>
      <c r="I11" s="1" t="n">
        <v>0.213301128331751</v>
      </c>
      <c r="J11" s="1" t="n">
        <v>0.255468555331723</v>
      </c>
      <c r="K11" s="1" t="n">
        <f aca="false">J11-I11</f>
        <v>0.0421674269999723</v>
      </c>
      <c r="L11" s="1" t="n">
        <v>0.736591542434996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19</v>
      </c>
      <c r="E12" s="1" t="s">
        <v>20</v>
      </c>
      <c r="F12" s="1" t="n">
        <v>4</v>
      </c>
      <c r="G12" s="4" t="s">
        <v>32</v>
      </c>
      <c r="H12" s="1" t="n">
        <v>0.1613</v>
      </c>
      <c r="I12" s="1" t="n">
        <v>0.209845304718036</v>
      </c>
      <c r="J12" s="1" t="n">
        <v>0.235825174677237</v>
      </c>
      <c r="K12" s="1" t="n">
        <f aca="false">J12-I12</f>
        <v>0.0259798699592016</v>
      </c>
      <c r="L12" s="1" t="n">
        <v>0.736591542434996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30</v>
      </c>
      <c r="D13" s="1" t="s">
        <v>19</v>
      </c>
      <c r="E13" s="1" t="s">
        <v>20</v>
      </c>
      <c r="F13" s="1" t="n">
        <v>4</v>
      </c>
      <c r="G13" s="4" t="s">
        <v>21</v>
      </c>
      <c r="H13" s="1" t="n">
        <v>0.1</v>
      </c>
      <c r="I13" s="1" t="n">
        <v>0.168111004340685</v>
      </c>
      <c r="J13" s="1" t="n">
        <v>0.209169947209711</v>
      </c>
      <c r="K13" s="1" t="n">
        <f aca="false">J13-I13</f>
        <v>0.0410589428690254</v>
      </c>
      <c r="L13" s="1" t="n">
        <v>0.736591542434996</v>
      </c>
    </row>
    <row r="14" customFormat="false" ht="15" hidden="false" customHeight="false" outlineLevel="0" collapsed="false">
      <c r="A14" s="1" t="s">
        <v>33</v>
      </c>
      <c r="B14" s="1" t="s">
        <v>34</v>
      </c>
      <c r="C14" s="1" t="s">
        <v>35</v>
      </c>
      <c r="D14" s="1" t="s">
        <v>19</v>
      </c>
      <c r="E14" s="1" t="s">
        <v>20</v>
      </c>
      <c r="F14" s="1" t="n">
        <v>6</v>
      </c>
      <c r="G14" s="4" t="s">
        <v>26</v>
      </c>
      <c r="H14" s="1" t="n">
        <v>0.9</v>
      </c>
      <c r="I14" s="1" t="n">
        <v>0.210598613420157</v>
      </c>
      <c r="J14" s="1" t="n">
        <v>0.356256536791345</v>
      </c>
      <c r="K14" s="1" t="n">
        <f aca="false">J14-I14</f>
        <v>0.145657923371188</v>
      </c>
      <c r="L14" s="1" t="n">
        <v>0.65821229308805</v>
      </c>
    </row>
    <row r="15" customFormat="false" ht="15" hidden="false" customHeight="false" outlineLevel="0" collapsed="false">
      <c r="A15" s="1" t="s">
        <v>33</v>
      </c>
      <c r="B15" s="1" t="s">
        <v>34</v>
      </c>
      <c r="C15" s="1" t="s">
        <v>35</v>
      </c>
      <c r="D15" s="1" t="s">
        <v>19</v>
      </c>
      <c r="E15" s="1" t="s">
        <v>20</v>
      </c>
      <c r="F15" s="1" t="n">
        <v>6</v>
      </c>
      <c r="G15" s="4" t="s">
        <v>21</v>
      </c>
      <c r="H15" s="1" t="n">
        <v>0.1</v>
      </c>
      <c r="I15" s="1" t="n">
        <v>0.147979956657593</v>
      </c>
      <c r="J15" s="1" t="n">
        <v>0.245842952461867</v>
      </c>
      <c r="K15" s="1" t="n">
        <f aca="false">J15-I15</f>
        <v>0.0978629958042743</v>
      </c>
      <c r="L15" s="1" t="n">
        <v>0.65821229308805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19</v>
      </c>
      <c r="E16" s="1" t="s">
        <v>20</v>
      </c>
      <c r="F16" s="1" t="n">
        <v>8</v>
      </c>
      <c r="G16" s="4" t="s">
        <v>26</v>
      </c>
      <c r="H16" s="1" t="n">
        <v>0.2263</v>
      </c>
      <c r="I16" s="1" t="n">
        <v>0.35774451238823</v>
      </c>
      <c r="J16" s="1" t="n">
        <v>0.308435302705354</v>
      </c>
      <c r="K16" s="1" t="n">
        <f aca="false">J16-I16</f>
        <v>-0.049309209682876</v>
      </c>
      <c r="L16" s="1" t="n">
        <v>0.743184893131854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19</v>
      </c>
      <c r="E17" s="1" t="s">
        <v>20</v>
      </c>
      <c r="F17" s="1" t="n">
        <v>8</v>
      </c>
      <c r="G17" s="4" t="s">
        <v>31</v>
      </c>
      <c r="H17" s="1" t="n">
        <v>0.1824</v>
      </c>
      <c r="I17" s="1" t="n">
        <v>0.288321956615456</v>
      </c>
      <c r="J17" s="1" t="n">
        <v>0.267413913907159</v>
      </c>
      <c r="K17" s="1" t="n">
        <f aca="false">J17-I17</f>
        <v>-0.0209080427082967</v>
      </c>
      <c r="L17" s="1" t="n">
        <v>0.743184893131854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1" t="s">
        <v>38</v>
      </c>
      <c r="D18" s="1" t="s">
        <v>19</v>
      </c>
      <c r="E18" s="1" t="s">
        <v>20</v>
      </c>
      <c r="F18" s="1" t="n">
        <v>8</v>
      </c>
      <c r="G18" s="4" t="s">
        <v>27</v>
      </c>
      <c r="H18" s="1" t="n">
        <v>0.1738</v>
      </c>
      <c r="I18" s="1" t="n">
        <v>0.274853064841873</v>
      </c>
      <c r="J18" s="1" t="n">
        <v>0.284283628055606</v>
      </c>
      <c r="K18" s="1" t="n">
        <f aca="false">J18-I18</f>
        <v>0.0094305632137332</v>
      </c>
      <c r="L18" s="1" t="n">
        <v>0.743184893131854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 t="s">
        <v>19</v>
      </c>
      <c r="E19" s="1" t="s">
        <v>20</v>
      </c>
      <c r="F19" s="1" t="n">
        <v>8</v>
      </c>
      <c r="G19" s="4" t="s">
        <v>39</v>
      </c>
      <c r="H19" s="1" t="n">
        <v>0.1621</v>
      </c>
      <c r="I19" s="1" t="n">
        <v>0.25622459653635</v>
      </c>
      <c r="J19" s="1" t="n">
        <v>0.256016340683198</v>
      </c>
      <c r="K19" s="1" t="n">
        <f aca="false">J19-I19</f>
        <v>-0.000208255853151706</v>
      </c>
      <c r="L19" s="1" t="n">
        <v>0.743184893131854</v>
      </c>
    </row>
    <row r="20" customFormat="false" ht="15" hidden="false" customHeight="false" outlineLevel="0" collapsed="false">
      <c r="A20" s="1" t="s">
        <v>36</v>
      </c>
      <c r="B20" s="1" t="s">
        <v>37</v>
      </c>
      <c r="C20" s="1" t="s">
        <v>38</v>
      </c>
      <c r="D20" s="1" t="s">
        <v>19</v>
      </c>
      <c r="E20" s="1" t="s">
        <v>20</v>
      </c>
      <c r="F20" s="1" t="n">
        <v>8</v>
      </c>
      <c r="G20" s="4" t="s">
        <v>40</v>
      </c>
      <c r="H20" s="1" t="n">
        <v>0.1554</v>
      </c>
      <c r="I20" s="1" t="n">
        <v>0.245762713781627</v>
      </c>
      <c r="J20" s="1" t="n">
        <v>0.246836527536846</v>
      </c>
      <c r="K20" s="1" t="n">
        <f aca="false">J20-I20</f>
        <v>0.0010738137552187</v>
      </c>
      <c r="L20" s="1" t="n">
        <v>0.743184893131854</v>
      </c>
    </row>
    <row r="21" customFormat="false" ht="15" hidden="false" customHeight="false" outlineLevel="0" collapsed="false">
      <c r="A21" s="1" t="s">
        <v>36</v>
      </c>
      <c r="B21" s="1" t="s">
        <v>37</v>
      </c>
      <c r="C21" s="1" t="s">
        <v>38</v>
      </c>
      <c r="D21" s="1" t="s">
        <v>19</v>
      </c>
      <c r="E21" s="1" t="s">
        <v>20</v>
      </c>
      <c r="F21" s="1" t="n">
        <v>8</v>
      </c>
      <c r="G21" s="4" t="s">
        <v>21</v>
      </c>
      <c r="H21" s="1" t="n">
        <v>0.1</v>
      </c>
      <c r="I21" s="1" t="n">
        <v>0.238977474649598</v>
      </c>
      <c r="J21" s="1" t="n">
        <v>0.224653957526489</v>
      </c>
      <c r="K21" s="1" t="n">
        <f aca="false">J21-I21</f>
        <v>-0.0143235171231082</v>
      </c>
      <c r="L21" s="1" t="n">
        <v>0.743184893131854</v>
      </c>
    </row>
    <row r="22" customFormat="false" ht="15" hidden="false" customHeight="false" outlineLevel="0" collapsed="false">
      <c r="A22" s="1" t="s">
        <v>41</v>
      </c>
      <c r="B22" s="1" t="s">
        <v>42</v>
      </c>
      <c r="C22" s="1" t="s">
        <v>43</v>
      </c>
      <c r="D22" s="1" t="s">
        <v>19</v>
      </c>
      <c r="E22" s="1" t="s">
        <v>20</v>
      </c>
      <c r="F22" s="1" t="n">
        <v>10</v>
      </c>
      <c r="G22" s="4" t="s">
        <v>31</v>
      </c>
      <c r="H22" s="1" t="n">
        <v>0.9</v>
      </c>
      <c r="I22" s="1" t="n">
        <v>0.20375530777943</v>
      </c>
      <c r="J22" s="1" t="n">
        <v>0.300234959381064</v>
      </c>
      <c r="K22" s="1" t="n">
        <f aca="false">J22-I22</f>
        <v>0.0964796516016336</v>
      </c>
      <c r="L22" s="1" t="n">
        <v>0.738363300257884</v>
      </c>
    </row>
    <row r="23" customFormat="false" ht="15" hidden="false" customHeight="false" outlineLevel="0" collapsed="false">
      <c r="A23" s="1" t="s">
        <v>41</v>
      </c>
      <c r="B23" s="1" t="s">
        <v>42</v>
      </c>
      <c r="C23" s="1" t="s">
        <v>43</v>
      </c>
      <c r="D23" s="1" t="s">
        <v>19</v>
      </c>
      <c r="E23" s="1" t="s">
        <v>20</v>
      </c>
      <c r="F23" s="1" t="n">
        <v>10</v>
      </c>
      <c r="G23" s="4" t="s">
        <v>21</v>
      </c>
      <c r="H23" s="1" t="n">
        <v>0.1</v>
      </c>
      <c r="I23" s="1" t="n">
        <v>0.141811078513254</v>
      </c>
      <c r="J23" s="1" t="n">
        <v>0.227758512565216</v>
      </c>
      <c r="K23" s="1" t="n">
        <f aca="false">J23-I23</f>
        <v>0.0859474340519623</v>
      </c>
      <c r="L23" s="1" t="n">
        <v>0.738363300257884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19</v>
      </c>
      <c r="E24" s="1" t="s">
        <v>20</v>
      </c>
      <c r="F24" s="1" t="n">
        <v>12</v>
      </c>
      <c r="G24" s="4" t="s">
        <v>31</v>
      </c>
      <c r="H24" s="1" t="n">
        <v>0.2075</v>
      </c>
      <c r="I24" s="1" t="n">
        <v>0.258282844387877</v>
      </c>
      <c r="J24" s="1" t="n">
        <v>0.309950525378099</v>
      </c>
      <c r="K24" s="1" t="n">
        <f aca="false">J24-I24</f>
        <v>0.051667680990222</v>
      </c>
      <c r="L24" s="1" t="n">
        <v>0.802709380775578</v>
      </c>
    </row>
    <row r="25" customFormat="false" ht="15" hidden="false" customHeight="false" outlineLevel="0" collapsed="false">
      <c r="A25" s="1" t="s">
        <v>44</v>
      </c>
      <c r="B25" s="1" t="s">
        <v>45</v>
      </c>
      <c r="C25" s="1" t="s">
        <v>46</v>
      </c>
      <c r="D25" s="1" t="s">
        <v>19</v>
      </c>
      <c r="E25" s="1" t="s">
        <v>20</v>
      </c>
      <c r="F25" s="1" t="n">
        <v>12</v>
      </c>
      <c r="G25" s="4" t="s">
        <v>26</v>
      </c>
      <c r="H25" s="1" t="n">
        <v>0.188</v>
      </c>
      <c r="I25" s="1" t="n">
        <v>0.233952129921898</v>
      </c>
      <c r="J25" s="1" t="n">
        <v>0.295338684771458</v>
      </c>
      <c r="K25" s="1" t="n">
        <f aca="false">J25-I25</f>
        <v>0.06138655484956</v>
      </c>
      <c r="L25" s="1" t="n">
        <v>0.802709380775578</v>
      </c>
    </row>
    <row r="26" customFormat="false" ht="15" hidden="false" customHeight="false" outlineLevel="0" collapsed="false">
      <c r="A26" s="1" t="s">
        <v>44</v>
      </c>
      <c r="B26" s="1" t="s">
        <v>45</v>
      </c>
      <c r="C26" s="1" t="s">
        <v>46</v>
      </c>
      <c r="D26" s="1" t="s">
        <v>19</v>
      </c>
      <c r="E26" s="1" t="s">
        <v>20</v>
      </c>
      <c r="F26" s="1" t="n">
        <v>12</v>
      </c>
      <c r="G26" s="4" t="s">
        <v>40</v>
      </c>
      <c r="H26" s="1" t="n">
        <v>0.1702</v>
      </c>
      <c r="I26" s="1" t="n">
        <v>0.211896292553743</v>
      </c>
      <c r="J26" s="1" t="n">
        <v>0.287968708769081</v>
      </c>
      <c r="K26" s="1" t="n">
        <f aca="false">J26-I26</f>
        <v>0.0760724162153373</v>
      </c>
      <c r="L26" s="1" t="n">
        <v>0.802709380775578</v>
      </c>
    </row>
    <row r="27" customFormat="false" ht="15" hidden="false" customHeight="false" outlineLevel="0" collapsed="false">
      <c r="A27" s="1" t="s">
        <v>44</v>
      </c>
      <c r="B27" s="1" t="s">
        <v>45</v>
      </c>
      <c r="C27" s="1" t="s">
        <v>46</v>
      </c>
      <c r="D27" s="1" t="s">
        <v>19</v>
      </c>
      <c r="E27" s="1" t="s">
        <v>20</v>
      </c>
      <c r="F27" s="1" t="n">
        <v>12</v>
      </c>
      <c r="G27" s="4" t="s">
        <v>25</v>
      </c>
      <c r="H27" s="1" t="n">
        <v>0.1693</v>
      </c>
      <c r="I27" s="1" t="n">
        <v>0.210774099750911</v>
      </c>
      <c r="J27" s="1" t="n">
        <v>0.245986170216839</v>
      </c>
      <c r="K27" s="1" t="n">
        <f aca="false">J27-I27</f>
        <v>0.0352120704659281</v>
      </c>
      <c r="L27" s="1" t="n">
        <v>0.802709380775578</v>
      </c>
    </row>
    <row r="28" customFormat="false" ht="15" hidden="false" customHeight="false" outlineLevel="0" collapsed="false">
      <c r="A28" s="1" t="s">
        <v>44</v>
      </c>
      <c r="B28" s="1" t="s">
        <v>45</v>
      </c>
      <c r="C28" s="1" t="s">
        <v>46</v>
      </c>
      <c r="D28" s="1" t="s">
        <v>19</v>
      </c>
      <c r="E28" s="1" t="s">
        <v>20</v>
      </c>
      <c r="F28" s="1" t="n">
        <v>12</v>
      </c>
      <c r="G28" s="4" t="s">
        <v>27</v>
      </c>
      <c r="H28" s="1" t="n">
        <v>0.165</v>
      </c>
      <c r="I28" s="1" t="n">
        <v>0.205334744524494</v>
      </c>
      <c r="J28" s="1" t="n">
        <v>0.239951657110113</v>
      </c>
      <c r="K28" s="1" t="n">
        <f aca="false">J28-I28</f>
        <v>0.0346169125856182</v>
      </c>
      <c r="L28" s="1" t="n">
        <v>0.802709380775578</v>
      </c>
    </row>
    <row r="29" customFormat="false" ht="15" hidden="false" customHeight="false" outlineLevel="0" collapsed="false">
      <c r="A29" s="1" t="s">
        <v>44</v>
      </c>
      <c r="B29" s="1" t="s">
        <v>45</v>
      </c>
      <c r="C29" s="1" t="s">
        <v>46</v>
      </c>
      <c r="D29" s="1" t="s">
        <v>19</v>
      </c>
      <c r="E29" s="1" t="s">
        <v>20</v>
      </c>
      <c r="F29" s="1" t="n">
        <v>12</v>
      </c>
      <c r="G29" s="4" t="s">
        <v>21</v>
      </c>
      <c r="H29" s="1" t="n">
        <v>0.1</v>
      </c>
      <c r="I29" s="1" t="n">
        <v>0.161597470935125</v>
      </c>
      <c r="J29" s="1" t="n">
        <v>0.260182295652621</v>
      </c>
      <c r="K29" s="1" t="n">
        <f aca="false">J29-I29</f>
        <v>0.0985848247174966</v>
      </c>
      <c r="L29" s="1" t="n">
        <v>0.802709380775578</v>
      </c>
    </row>
    <row r="30" customFormat="false" ht="15" hidden="false" customHeight="false" outlineLevel="0" collapsed="false">
      <c r="A30" s="1" t="s">
        <v>47</v>
      </c>
      <c r="B30" s="1" t="s">
        <v>48</v>
      </c>
      <c r="C30" s="1" t="s">
        <v>49</v>
      </c>
      <c r="D30" s="1" t="s">
        <v>19</v>
      </c>
      <c r="E30" s="1" t="s">
        <v>20</v>
      </c>
      <c r="F30" s="1" t="n">
        <v>14</v>
      </c>
      <c r="G30" s="4" t="s">
        <v>26</v>
      </c>
      <c r="H30" s="1" t="n">
        <v>0.1843</v>
      </c>
      <c r="I30" s="1" t="n">
        <v>0.264889510633239</v>
      </c>
      <c r="J30" s="1" t="n">
        <v>0.278087074483783</v>
      </c>
      <c r="K30" s="1" t="n">
        <f aca="false">J30-I30</f>
        <v>0.0131975638505438</v>
      </c>
      <c r="L30" s="1" t="n">
        <v>0.767137820624339</v>
      </c>
    </row>
    <row r="31" customFormat="false" ht="15" hidden="false" customHeight="false" outlineLevel="0" collapsed="false">
      <c r="A31" s="1" t="s">
        <v>47</v>
      </c>
      <c r="B31" s="1" t="s">
        <v>48</v>
      </c>
      <c r="C31" s="1" t="s">
        <v>49</v>
      </c>
      <c r="D31" s="1" t="s">
        <v>19</v>
      </c>
      <c r="E31" s="1" t="s">
        <v>20</v>
      </c>
      <c r="F31" s="1" t="n">
        <v>14</v>
      </c>
      <c r="G31" s="4" t="s">
        <v>31</v>
      </c>
      <c r="H31" s="1" t="n">
        <v>0.1781</v>
      </c>
      <c r="I31" s="1" t="n">
        <v>0.255938008722118</v>
      </c>
      <c r="J31" s="1" t="n">
        <v>0.261673190415837</v>
      </c>
      <c r="K31" s="1" t="n">
        <f aca="false">J31-I31</f>
        <v>0.00573518169371889</v>
      </c>
      <c r="L31" s="1" t="n">
        <v>0.767137820624339</v>
      </c>
    </row>
    <row r="32" customFormat="false" ht="15" hidden="false" customHeight="false" outlineLevel="0" collapsed="false">
      <c r="A32" s="1" t="s">
        <v>47</v>
      </c>
      <c r="B32" s="1" t="s">
        <v>48</v>
      </c>
      <c r="C32" s="1" t="s">
        <v>49</v>
      </c>
      <c r="D32" s="1" t="s">
        <v>19</v>
      </c>
      <c r="E32" s="1" t="s">
        <v>20</v>
      </c>
      <c r="F32" s="1" t="n">
        <v>14</v>
      </c>
      <c r="G32" s="4" t="s">
        <v>32</v>
      </c>
      <c r="H32" s="1" t="n">
        <v>0.1674</v>
      </c>
      <c r="I32" s="1" t="n">
        <v>0.240500108882686</v>
      </c>
      <c r="J32" s="1" t="n">
        <v>0.241093975640732</v>
      </c>
      <c r="K32" s="1" t="n">
        <f aca="false">J32-I32</f>
        <v>0.000593866758046485</v>
      </c>
      <c r="L32" s="1" t="n">
        <v>0.767137820624339</v>
      </c>
    </row>
    <row r="33" customFormat="false" ht="15" hidden="false" customHeight="false" outlineLevel="0" collapsed="false">
      <c r="A33" s="1" t="s">
        <v>47</v>
      </c>
      <c r="B33" s="1" t="s">
        <v>48</v>
      </c>
      <c r="C33" s="1" t="s">
        <v>49</v>
      </c>
      <c r="D33" s="1" t="s">
        <v>19</v>
      </c>
      <c r="E33" s="1" t="s">
        <v>20</v>
      </c>
      <c r="F33" s="1" t="n">
        <v>14</v>
      </c>
      <c r="G33" s="4" t="s">
        <v>40</v>
      </c>
      <c r="H33" s="1" t="n">
        <v>0.1663</v>
      </c>
      <c r="I33" s="1" t="n">
        <v>0.238937578604458</v>
      </c>
      <c r="J33" s="1" t="n">
        <v>0.258266410649543</v>
      </c>
      <c r="K33" s="1" t="n">
        <f aca="false">J33-I33</f>
        <v>0.0193288320450852</v>
      </c>
      <c r="L33" s="1" t="n">
        <v>0.767137820624339</v>
      </c>
    </row>
    <row r="34" customFormat="false" ht="15" hidden="false" customHeight="false" outlineLevel="0" collapsed="false">
      <c r="A34" s="1" t="s">
        <v>47</v>
      </c>
      <c r="B34" s="1" t="s">
        <v>48</v>
      </c>
      <c r="C34" s="1" t="s">
        <v>49</v>
      </c>
      <c r="D34" s="1" t="s">
        <v>19</v>
      </c>
      <c r="E34" s="1" t="s">
        <v>20</v>
      </c>
      <c r="F34" s="1" t="n">
        <v>14</v>
      </c>
      <c r="G34" s="4" t="s">
        <v>21</v>
      </c>
      <c r="H34" s="1" t="n">
        <v>0.1559</v>
      </c>
      <c r="I34" s="1" t="n">
        <v>0.224084726586408</v>
      </c>
      <c r="J34" s="1" t="n">
        <v>0.229609991832573</v>
      </c>
      <c r="K34" s="1" t="n">
        <f aca="false">J34-I34</f>
        <v>0.00552526524616509</v>
      </c>
      <c r="L34" s="1" t="n">
        <v>0.767137820624339</v>
      </c>
    </row>
    <row r="35" customFormat="false" ht="15" hidden="false" customHeight="false" outlineLevel="0" collapsed="false">
      <c r="A35" s="1" t="s">
        <v>47</v>
      </c>
      <c r="B35" s="1" t="s">
        <v>48</v>
      </c>
      <c r="C35" s="1" t="s">
        <v>49</v>
      </c>
      <c r="D35" s="1" t="s">
        <v>19</v>
      </c>
      <c r="E35" s="1" t="s">
        <v>20</v>
      </c>
      <c r="F35" s="1" t="n">
        <v>14</v>
      </c>
      <c r="G35" s="4" t="s">
        <v>39</v>
      </c>
      <c r="H35" s="1" t="n">
        <v>0.148</v>
      </c>
      <c r="I35" s="1" t="n">
        <v>0.212660979163469</v>
      </c>
      <c r="J35" s="1" t="n">
        <v>0.224729971911075</v>
      </c>
      <c r="K35" s="1" t="n">
        <f aca="false">J35-I35</f>
        <v>0.0120689927476056</v>
      </c>
      <c r="L35" s="1" t="n">
        <v>0.767137820624339</v>
      </c>
    </row>
    <row r="36" customFormat="false" ht="15" hidden="false" customHeight="false" outlineLevel="0" collapsed="false">
      <c r="A36" s="1" t="s">
        <v>50</v>
      </c>
      <c r="B36" s="1" t="s">
        <v>51</v>
      </c>
      <c r="C36" s="1" t="s">
        <v>52</v>
      </c>
      <c r="D36" s="1" t="s">
        <v>19</v>
      </c>
      <c r="E36" s="1" t="s">
        <v>20</v>
      </c>
      <c r="F36" s="1" t="n">
        <v>16</v>
      </c>
      <c r="G36" s="4" t="s">
        <v>21</v>
      </c>
      <c r="H36" s="1" t="n">
        <v>0.1</v>
      </c>
      <c r="I36" s="1" t="n">
        <v>0.122886938372689</v>
      </c>
      <c r="J36" s="1" t="n">
        <v>0.203611577069626</v>
      </c>
      <c r="K36" s="1" t="n">
        <f aca="false">J36-I36</f>
        <v>0.0807246386969375</v>
      </c>
      <c r="L36" s="1" t="n">
        <v>0.655203842604779</v>
      </c>
    </row>
    <row r="37" customFormat="false" ht="15" hidden="false" customHeight="false" outlineLevel="0" collapsed="false">
      <c r="A37" s="1" t="s">
        <v>53</v>
      </c>
      <c r="B37" s="1" t="s">
        <v>54</v>
      </c>
      <c r="C37" s="1" t="s">
        <v>55</v>
      </c>
      <c r="D37" s="1" t="s">
        <v>19</v>
      </c>
      <c r="E37" s="1" t="s">
        <v>20</v>
      </c>
      <c r="F37" s="1" t="n">
        <v>18</v>
      </c>
      <c r="G37" s="4" t="s">
        <v>26</v>
      </c>
      <c r="H37" s="1" t="n">
        <v>0.196</v>
      </c>
      <c r="I37" s="1" t="n">
        <v>0.314196668517474</v>
      </c>
      <c r="J37" s="1" t="n">
        <v>0.317711753493942</v>
      </c>
      <c r="K37" s="1" t="n">
        <f aca="false">J37-I37</f>
        <v>0.0035150849764678</v>
      </c>
      <c r="L37" s="1" t="n">
        <v>0.700905183166286</v>
      </c>
    </row>
    <row r="38" customFormat="false" ht="15" hidden="false" customHeight="false" outlineLevel="0" collapsed="false">
      <c r="A38" s="1" t="s">
        <v>53</v>
      </c>
      <c r="B38" s="1" t="s">
        <v>54</v>
      </c>
      <c r="C38" s="1" t="s">
        <v>55</v>
      </c>
      <c r="D38" s="1" t="s">
        <v>19</v>
      </c>
      <c r="E38" s="1" t="s">
        <v>20</v>
      </c>
      <c r="F38" s="1" t="n">
        <v>18</v>
      </c>
      <c r="G38" s="4" t="s">
        <v>31</v>
      </c>
      <c r="H38" s="1" t="n">
        <v>0.1806</v>
      </c>
      <c r="I38" s="1" t="n">
        <v>0.289559047199778</v>
      </c>
      <c r="J38" s="1" t="n">
        <v>0.342849013134979</v>
      </c>
      <c r="K38" s="1" t="n">
        <f aca="false">J38-I38</f>
        <v>0.0532899659352007</v>
      </c>
      <c r="L38" s="1" t="n">
        <v>0.700905183166286</v>
      </c>
    </row>
    <row r="39" customFormat="false" ht="15" hidden="false" customHeight="false" outlineLevel="0" collapsed="false">
      <c r="A39" s="1" t="s">
        <v>53</v>
      </c>
      <c r="B39" s="1" t="s">
        <v>54</v>
      </c>
      <c r="C39" s="1" t="s">
        <v>55</v>
      </c>
      <c r="D39" s="1" t="s">
        <v>19</v>
      </c>
      <c r="E39" s="1" t="s">
        <v>20</v>
      </c>
      <c r="F39" s="1" t="n">
        <v>18</v>
      </c>
      <c r="G39" s="4" t="s">
        <v>56</v>
      </c>
      <c r="H39" s="1" t="n">
        <v>0.1579</v>
      </c>
      <c r="I39" s="1" t="n">
        <v>0.253119122739134</v>
      </c>
      <c r="J39" s="1" t="n">
        <v>0.278365192377028</v>
      </c>
      <c r="K39" s="1" t="n">
        <f aca="false">J39-I39</f>
        <v>0.0252460696378944</v>
      </c>
      <c r="L39" s="1" t="n">
        <v>0.700905183166286</v>
      </c>
    </row>
    <row r="40" customFormat="false" ht="15" hidden="false" customHeight="false" outlineLevel="0" collapsed="false">
      <c r="A40" s="1" t="s">
        <v>53</v>
      </c>
      <c r="B40" s="1" t="s">
        <v>54</v>
      </c>
      <c r="C40" s="1" t="s">
        <v>55</v>
      </c>
      <c r="D40" s="1" t="s">
        <v>19</v>
      </c>
      <c r="E40" s="1" t="s">
        <v>20</v>
      </c>
      <c r="F40" s="1" t="n">
        <v>18</v>
      </c>
      <c r="G40" s="4" t="s">
        <v>40</v>
      </c>
      <c r="H40" s="1" t="n">
        <v>0.1573</v>
      </c>
      <c r="I40" s="1" t="n">
        <v>0.252099970955995</v>
      </c>
      <c r="J40" s="1" t="n">
        <v>0.3015218966239</v>
      </c>
      <c r="K40" s="1" t="n">
        <f aca="false">J40-I40</f>
        <v>0.049421925667905</v>
      </c>
      <c r="L40" s="1" t="n">
        <v>0.700905183166286</v>
      </c>
    </row>
    <row r="41" customFormat="false" ht="15" hidden="false" customHeight="false" outlineLevel="0" collapsed="false">
      <c r="A41" s="1" t="s">
        <v>53</v>
      </c>
      <c r="B41" s="1" t="s">
        <v>54</v>
      </c>
      <c r="C41" s="1" t="s">
        <v>55</v>
      </c>
      <c r="D41" s="1" t="s">
        <v>19</v>
      </c>
      <c r="E41" s="1" t="s">
        <v>20</v>
      </c>
      <c r="F41" s="1" t="n">
        <v>18</v>
      </c>
      <c r="G41" s="4" t="s">
        <v>21</v>
      </c>
      <c r="H41" s="1" t="n">
        <v>0.1555</v>
      </c>
      <c r="I41" s="1" t="n">
        <v>0.249296398158718</v>
      </c>
      <c r="J41" s="1" t="n">
        <v>0.279571396906327</v>
      </c>
      <c r="K41" s="1" t="n">
        <f aca="false">J41-I41</f>
        <v>0.0302749987476098</v>
      </c>
      <c r="L41" s="1" t="n">
        <v>0.700905183166286</v>
      </c>
    </row>
    <row r="42" customFormat="false" ht="15" hidden="false" customHeight="false" outlineLevel="0" collapsed="false">
      <c r="A42" s="1" t="s">
        <v>53</v>
      </c>
      <c r="B42" s="1" t="s">
        <v>54</v>
      </c>
      <c r="C42" s="1" t="s">
        <v>55</v>
      </c>
      <c r="D42" s="1" t="s">
        <v>19</v>
      </c>
      <c r="E42" s="1" t="s">
        <v>20</v>
      </c>
      <c r="F42" s="1" t="n">
        <v>18</v>
      </c>
      <c r="G42" s="4" t="s">
        <v>25</v>
      </c>
      <c r="H42" s="1" t="n">
        <v>0.1526</v>
      </c>
      <c r="I42" s="1" t="n">
        <v>0.244683640130422</v>
      </c>
      <c r="J42" s="1" t="n">
        <v>0.270962158567274</v>
      </c>
      <c r="K42" s="1" t="n">
        <f aca="false">J42-I42</f>
        <v>0.026278518436852</v>
      </c>
      <c r="L42" s="1" t="n">
        <v>0.700905183166286</v>
      </c>
    </row>
    <row r="43" customFormat="false" ht="15" hidden="false" customHeight="false" outlineLevel="0" collapsed="false">
      <c r="A43" s="1" t="s">
        <v>57</v>
      </c>
      <c r="B43" s="1" t="s">
        <v>58</v>
      </c>
      <c r="C43" s="1" t="s">
        <v>59</v>
      </c>
      <c r="D43" s="1" t="s">
        <v>19</v>
      </c>
      <c r="E43" s="1" t="s">
        <v>20</v>
      </c>
      <c r="F43" s="1" t="n">
        <v>20</v>
      </c>
      <c r="G43" s="4" t="s">
        <v>26</v>
      </c>
      <c r="H43" s="1" t="n">
        <v>0.1925</v>
      </c>
      <c r="I43" s="1" t="n">
        <v>0.263793140412442</v>
      </c>
      <c r="J43" s="1" t="n">
        <v>0.33384628485305</v>
      </c>
      <c r="K43" s="1" t="n">
        <f aca="false">J43-I43</f>
        <v>0.0700531444406083</v>
      </c>
      <c r="L43" s="1" t="n">
        <v>0.719629235257693</v>
      </c>
    </row>
    <row r="44" customFormat="false" ht="15" hidden="false" customHeight="false" outlineLevel="0" collapsed="false">
      <c r="A44" s="1" t="s">
        <v>57</v>
      </c>
      <c r="B44" s="1" t="s">
        <v>58</v>
      </c>
      <c r="C44" s="1" t="s">
        <v>59</v>
      </c>
      <c r="D44" s="1" t="s">
        <v>19</v>
      </c>
      <c r="E44" s="1" t="s">
        <v>20</v>
      </c>
      <c r="F44" s="1" t="n">
        <v>20</v>
      </c>
      <c r="G44" s="4" t="s">
        <v>31</v>
      </c>
      <c r="H44" s="1" t="n">
        <v>0.1921</v>
      </c>
      <c r="I44" s="1" t="n">
        <v>0.263222354827961</v>
      </c>
      <c r="J44" s="1" t="n">
        <v>0.31443274267401</v>
      </c>
      <c r="K44" s="1" t="n">
        <f aca="false">J44-I44</f>
        <v>0.0512103878460487</v>
      </c>
      <c r="L44" s="1" t="n">
        <v>0.719629235257693</v>
      </c>
    </row>
    <row r="45" customFormat="false" ht="15" hidden="false" customHeight="false" outlineLevel="0" collapsed="false">
      <c r="A45" s="1" t="s">
        <v>57</v>
      </c>
      <c r="B45" s="1" t="s">
        <v>58</v>
      </c>
      <c r="C45" s="1" t="s">
        <v>59</v>
      </c>
      <c r="D45" s="1" t="s">
        <v>19</v>
      </c>
      <c r="E45" s="1" t="s">
        <v>20</v>
      </c>
      <c r="F45" s="1" t="n">
        <v>20</v>
      </c>
      <c r="G45" s="4" t="s">
        <v>40</v>
      </c>
      <c r="H45" s="1" t="n">
        <v>0.1811</v>
      </c>
      <c r="I45" s="1" t="n">
        <v>0.248149217736206</v>
      </c>
      <c r="J45" s="1" t="n">
        <v>0.350942976729002</v>
      </c>
      <c r="K45" s="1" t="n">
        <f aca="false">J45-I45</f>
        <v>0.102793758992796</v>
      </c>
      <c r="L45" s="1" t="n">
        <v>0.719629235257693</v>
      </c>
    </row>
    <row r="46" customFormat="false" ht="15" hidden="false" customHeight="false" outlineLevel="0" collapsed="false">
      <c r="A46" s="1" t="s">
        <v>57</v>
      </c>
      <c r="B46" s="1" t="s">
        <v>58</v>
      </c>
      <c r="C46" s="1" t="s">
        <v>59</v>
      </c>
      <c r="D46" s="1" t="s">
        <v>19</v>
      </c>
      <c r="E46" s="1" t="s">
        <v>20</v>
      </c>
      <c r="F46" s="1" t="n">
        <v>20</v>
      </c>
      <c r="G46" s="4" t="s">
        <v>32</v>
      </c>
      <c r="H46" s="1" t="n">
        <v>0.1739</v>
      </c>
      <c r="I46" s="1" t="n">
        <v>0.23827981465876</v>
      </c>
      <c r="J46" s="1" t="n">
        <v>0.286313904599762</v>
      </c>
      <c r="K46" s="1" t="n">
        <f aca="false">J46-I46</f>
        <v>0.048034089941002</v>
      </c>
      <c r="L46" s="1" t="n">
        <v>0.719629235257693</v>
      </c>
    </row>
    <row r="47" customFormat="false" ht="15" hidden="false" customHeight="false" outlineLevel="0" collapsed="false">
      <c r="A47" s="1" t="s">
        <v>57</v>
      </c>
      <c r="B47" s="1" t="s">
        <v>58</v>
      </c>
      <c r="C47" s="1" t="s">
        <v>59</v>
      </c>
      <c r="D47" s="1" t="s">
        <v>19</v>
      </c>
      <c r="E47" s="1" t="s">
        <v>20</v>
      </c>
      <c r="F47" s="1" t="n">
        <v>20</v>
      </c>
      <c r="G47" s="4" t="s">
        <v>27</v>
      </c>
      <c r="H47" s="1" t="n">
        <v>0.1605</v>
      </c>
      <c r="I47" s="1" t="n">
        <v>0.220005586155915</v>
      </c>
      <c r="J47" s="1" t="n">
        <v>0.276672905787009</v>
      </c>
      <c r="K47" s="1" t="n">
        <f aca="false">J47-I47</f>
        <v>0.0566673196310937</v>
      </c>
      <c r="L47" s="1" t="n">
        <v>0.719629235257693</v>
      </c>
    </row>
    <row r="48" customFormat="false" ht="15" hidden="false" customHeight="false" outlineLevel="0" collapsed="false">
      <c r="A48" s="1" t="s">
        <v>57</v>
      </c>
      <c r="B48" s="1" t="s">
        <v>58</v>
      </c>
      <c r="C48" s="1" t="s">
        <v>59</v>
      </c>
      <c r="D48" s="1" t="s">
        <v>19</v>
      </c>
      <c r="E48" s="1" t="s">
        <v>20</v>
      </c>
      <c r="F48" s="1" t="n">
        <v>20</v>
      </c>
      <c r="G48" s="4" t="s">
        <v>21</v>
      </c>
      <c r="H48" s="1" t="n">
        <v>0.1</v>
      </c>
      <c r="I48" s="1" t="n">
        <v>0.208622980139476</v>
      </c>
      <c r="J48" s="1" t="n">
        <v>0.289889575950471</v>
      </c>
      <c r="K48" s="1" t="n">
        <f aca="false">J48-I48</f>
        <v>0.0812665958109945</v>
      </c>
      <c r="L48" s="1" t="n">
        <v>0.719629235257693</v>
      </c>
    </row>
    <row r="49" customFormat="false" ht="15" hidden="false" customHeight="false" outlineLevel="0" collapsed="false">
      <c r="A49" s="1" t="s">
        <v>60</v>
      </c>
      <c r="B49" s="1" t="s">
        <v>61</v>
      </c>
      <c r="C49" s="1" t="s">
        <v>62</v>
      </c>
      <c r="D49" s="1" t="s">
        <v>19</v>
      </c>
      <c r="E49" s="1" t="s">
        <v>20</v>
      </c>
      <c r="F49" s="1" t="n">
        <v>22</v>
      </c>
      <c r="G49" s="4" t="s">
        <v>40</v>
      </c>
      <c r="H49" s="1" t="n">
        <v>0.1967</v>
      </c>
      <c r="I49" s="1" t="n">
        <v>0.303523024648015</v>
      </c>
      <c r="J49" s="1" t="n">
        <v>0.362218468087335</v>
      </c>
      <c r="K49" s="1" t="n">
        <f aca="false">J49-I49</f>
        <v>0.0586954434393207</v>
      </c>
      <c r="L49" s="1" t="n">
        <v>0.831621410337318</v>
      </c>
    </row>
    <row r="50" customFormat="false" ht="15" hidden="false" customHeight="false" outlineLevel="0" collapsed="false">
      <c r="A50" s="1" t="s">
        <v>60</v>
      </c>
      <c r="B50" s="1" t="s">
        <v>61</v>
      </c>
      <c r="C50" s="1" t="s">
        <v>62</v>
      </c>
      <c r="D50" s="1" t="s">
        <v>19</v>
      </c>
      <c r="E50" s="1" t="s">
        <v>20</v>
      </c>
      <c r="F50" s="1" t="n">
        <v>22</v>
      </c>
      <c r="G50" s="4" t="s">
        <v>31</v>
      </c>
      <c r="H50" s="1" t="n">
        <v>0.1713</v>
      </c>
      <c r="I50" s="1" t="n">
        <v>0.264359242121324</v>
      </c>
      <c r="J50" s="1" t="n">
        <v>0.337379839792236</v>
      </c>
      <c r="K50" s="1" t="n">
        <f aca="false">J50-I50</f>
        <v>0.0730205976709116</v>
      </c>
      <c r="L50" s="1" t="n">
        <v>0.831621410337318</v>
      </c>
    </row>
    <row r="51" customFormat="false" ht="15" hidden="false" customHeight="false" outlineLevel="0" collapsed="false">
      <c r="A51" s="1" t="s">
        <v>60</v>
      </c>
      <c r="B51" s="1" t="s">
        <v>61</v>
      </c>
      <c r="C51" s="1" t="s">
        <v>62</v>
      </c>
      <c r="D51" s="1" t="s">
        <v>19</v>
      </c>
      <c r="E51" s="1" t="s">
        <v>20</v>
      </c>
      <c r="F51" s="1" t="n">
        <v>22</v>
      </c>
      <c r="G51" s="4" t="s">
        <v>21</v>
      </c>
      <c r="H51" s="1" t="n">
        <v>0.1657</v>
      </c>
      <c r="I51" s="1" t="n">
        <v>0.255744492408666</v>
      </c>
      <c r="J51" s="1" t="n">
        <v>0.292975616214311</v>
      </c>
      <c r="K51" s="1" t="n">
        <f aca="false">J51-I51</f>
        <v>0.0372311238056458</v>
      </c>
      <c r="L51" s="1" t="n">
        <v>0.831621410337318</v>
      </c>
    </row>
    <row r="52" customFormat="false" ht="15" hidden="false" customHeight="false" outlineLevel="0" collapsed="false">
      <c r="A52" s="1" t="s">
        <v>60</v>
      </c>
      <c r="B52" s="1" t="s">
        <v>61</v>
      </c>
      <c r="C52" s="1" t="s">
        <v>62</v>
      </c>
      <c r="D52" s="1" t="s">
        <v>19</v>
      </c>
      <c r="E52" s="1" t="s">
        <v>20</v>
      </c>
      <c r="F52" s="1" t="n">
        <v>22</v>
      </c>
      <c r="G52" s="4" t="s">
        <v>26</v>
      </c>
      <c r="H52" s="1" t="n">
        <v>0.1567</v>
      </c>
      <c r="I52" s="1" t="n">
        <v>0.241821636012554</v>
      </c>
      <c r="J52" s="1" t="n">
        <v>0.309220702568104</v>
      </c>
      <c r="K52" s="1" t="n">
        <f aca="false">J52-I52</f>
        <v>0.06739906655555</v>
      </c>
      <c r="L52" s="1" t="n">
        <v>0.831621410337318</v>
      </c>
    </row>
    <row r="53" customFormat="false" ht="15" hidden="false" customHeight="false" outlineLevel="0" collapsed="false">
      <c r="A53" s="1" t="s">
        <v>60</v>
      </c>
      <c r="B53" s="1" t="s">
        <v>61</v>
      </c>
      <c r="C53" s="1" t="s">
        <v>62</v>
      </c>
      <c r="D53" s="1" t="s">
        <v>19</v>
      </c>
      <c r="E53" s="1" t="s">
        <v>20</v>
      </c>
      <c r="F53" s="1" t="n">
        <v>22</v>
      </c>
      <c r="G53" s="4" t="s">
        <v>32</v>
      </c>
      <c r="H53" s="1" t="n">
        <v>0.1556</v>
      </c>
      <c r="I53" s="1" t="n">
        <v>0.240189885028324</v>
      </c>
      <c r="J53" s="1" t="n">
        <v>0.325157289381524</v>
      </c>
      <c r="K53" s="1" t="n">
        <f aca="false">J53-I53</f>
        <v>0.0849674043532005</v>
      </c>
      <c r="L53" s="1" t="n">
        <v>0.831621410337318</v>
      </c>
    </row>
    <row r="54" customFormat="false" ht="15" hidden="false" customHeight="false" outlineLevel="0" collapsed="false">
      <c r="A54" s="1" t="s">
        <v>60</v>
      </c>
      <c r="B54" s="1" t="s">
        <v>61</v>
      </c>
      <c r="C54" s="1" t="s">
        <v>62</v>
      </c>
      <c r="D54" s="1" t="s">
        <v>19</v>
      </c>
      <c r="E54" s="1" t="s">
        <v>20</v>
      </c>
      <c r="F54" s="1" t="n">
        <v>22</v>
      </c>
      <c r="G54" s="4" t="s">
        <v>63</v>
      </c>
      <c r="H54" s="1" t="n">
        <v>0.154</v>
      </c>
      <c r="I54" s="1" t="n">
        <v>0.237624034346491</v>
      </c>
      <c r="J54" s="1" t="n">
        <v>0.291188664379102</v>
      </c>
      <c r="K54" s="1" t="n">
        <f aca="false">J54-I54</f>
        <v>0.0535646300326103</v>
      </c>
      <c r="L54" s="1" t="n">
        <v>0.831621410337318</v>
      </c>
    </row>
    <row r="55" customFormat="false" ht="15" hidden="false" customHeight="false" outlineLevel="0" collapsed="false">
      <c r="A55" s="1" t="s">
        <v>64</v>
      </c>
      <c r="B55" s="1" t="s">
        <v>65</v>
      </c>
      <c r="C55" s="1" t="s">
        <v>66</v>
      </c>
      <c r="D55" s="1" t="s">
        <v>19</v>
      </c>
      <c r="E55" s="1" t="s">
        <v>20</v>
      </c>
      <c r="F55" s="1" t="n">
        <v>24</v>
      </c>
      <c r="G55" s="4" t="s">
        <v>40</v>
      </c>
      <c r="H55" s="1" t="n">
        <v>0.1952</v>
      </c>
      <c r="I55" s="1" t="n">
        <v>0.319722717695589</v>
      </c>
      <c r="J55" s="1" t="n">
        <v>0.310998569146755</v>
      </c>
      <c r="K55" s="1" t="n">
        <f aca="false">J55-I55</f>
        <v>-0.00872414854883447</v>
      </c>
      <c r="L55" s="1" t="n">
        <v>0.709519501585356</v>
      </c>
    </row>
    <row r="56" customFormat="false" ht="15" hidden="false" customHeight="false" outlineLevel="0" collapsed="false">
      <c r="A56" s="1" t="s">
        <v>64</v>
      </c>
      <c r="B56" s="1" t="s">
        <v>65</v>
      </c>
      <c r="C56" s="1" t="s">
        <v>66</v>
      </c>
      <c r="D56" s="1" t="s">
        <v>19</v>
      </c>
      <c r="E56" s="1" t="s">
        <v>20</v>
      </c>
      <c r="F56" s="1" t="n">
        <v>24</v>
      </c>
      <c r="G56" s="4" t="s">
        <v>31</v>
      </c>
      <c r="H56" s="1" t="n">
        <v>0.1916</v>
      </c>
      <c r="I56" s="1" t="n">
        <v>0.313777507343004</v>
      </c>
      <c r="J56" s="1" t="n">
        <v>0.332347499434943</v>
      </c>
      <c r="K56" s="1" t="n">
        <f aca="false">J56-I56</f>
        <v>0.0185699920919383</v>
      </c>
      <c r="L56" s="1" t="n">
        <v>0.709519501585356</v>
      </c>
    </row>
    <row r="57" customFormat="false" ht="15" hidden="false" customHeight="false" outlineLevel="0" collapsed="false">
      <c r="A57" s="1" t="s">
        <v>64</v>
      </c>
      <c r="B57" s="1" t="s">
        <v>65</v>
      </c>
      <c r="C57" s="1" t="s">
        <v>66</v>
      </c>
      <c r="D57" s="1" t="s">
        <v>19</v>
      </c>
      <c r="E57" s="1" t="s">
        <v>20</v>
      </c>
      <c r="F57" s="1" t="n">
        <v>24</v>
      </c>
      <c r="G57" s="4" t="s">
        <v>32</v>
      </c>
      <c r="H57" s="1" t="n">
        <v>0.1742</v>
      </c>
      <c r="I57" s="1" t="n">
        <v>0.28535842391444</v>
      </c>
      <c r="J57" s="1" t="n">
        <v>0.286121874935855</v>
      </c>
      <c r="K57" s="1" t="n">
        <f aca="false">J57-I57</f>
        <v>0.000763451021414952</v>
      </c>
      <c r="L57" s="1" t="n">
        <v>0.709519501585356</v>
      </c>
    </row>
    <row r="58" customFormat="false" ht="15" hidden="false" customHeight="false" outlineLevel="0" collapsed="false">
      <c r="A58" s="1" t="s">
        <v>64</v>
      </c>
      <c r="B58" s="1" t="s">
        <v>65</v>
      </c>
      <c r="C58" s="1" t="s">
        <v>66</v>
      </c>
      <c r="D58" s="1" t="s">
        <v>19</v>
      </c>
      <c r="E58" s="1" t="s">
        <v>20</v>
      </c>
      <c r="F58" s="1" t="n">
        <v>24</v>
      </c>
      <c r="G58" s="4" t="s">
        <v>25</v>
      </c>
      <c r="H58" s="1" t="n">
        <v>0.1717</v>
      </c>
      <c r="I58" s="1" t="n">
        <v>0.281201974388895</v>
      </c>
      <c r="J58" s="1" t="n">
        <v>0.354659951676786</v>
      </c>
      <c r="K58" s="1" t="n">
        <f aca="false">J58-I58</f>
        <v>0.0734579772878911</v>
      </c>
      <c r="L58" s="1" t="n">
        <v>0.709519501585356</v>
      </c>
    </row>
    <row r="59" customFormat="false" ht="15" hidden="false" customHeight="false" outlineLevel="0" collapsed="false">
      <c r="A59" s="1" t="s">
        <v>64</v>
      </c>
      <c r="B59" s="1" t="s">
        <v>65</v>
      </c>
      <c r="C59" s="1" t="s">
        <v>66</v>
      </c>
      <c r="D59" s="1" t="s">
        <v>19</v>
      </c>
      <c r="E59" s="1" t="s">
        <v>20</v>
      </c>
      <c r="F59" s="1" t="n">
        <v>24</v>
      </c>
      <c r="G59" s="4" t="s">
        <v>26</v>
      </c>
      <c r="H59" s="1" t="n">
        <v>0.1673</v>
      </c>
      <c r="I59" s="1" t="n">
        <v>0.273993017429578</v>
      </c>
      <c r="J59" s="1" t="n">
        <v>0.365530452142289</v>
      </c>
      <c r="K59" s="1" t="n">
        <f aca="false">J59-I59</f>
        <v>0.0915374347127108</v>
      </c>
      <c r="L59" s="1" t="n">
        <v>0.709519501585356</v>
      </c>
    </row>
    <row r="60" customFormat="false" ht="15" hidden="false" customHeight="false" outlineLevel="0" collapsed="false">
      <c r="A60" s="1" t="s">
        <v>64</v>
      </c>
      <c r="B60" s="1" t="s">
        <v>65</v>
      </c>
      <c r="C60" s="1" t="s">
        <v>66</v>
      </c>
      <c r="D60" s="1" t="s">
        <v>19</v>
      </c>
      <c r="E60" s="1" t="s">
        <v>20</v>
      </c>
      <c r="F60" s="1" t="n">
        <v>24</v>
      </c>
      <c r="G60" s="4" t="s">
        <v>21</v>
      </c>
      <c r="H60" s="1" t="n">
        <v>0.1</v>
      </c>
      <c r="I60" s="1" t="n">
        <v>0.234636013465878</v>
      </c>
      <c r="J60" s="1" t="n">
        <v>0.275926182766515</v>
      </c>
      <c r="K60" s="1" t="n">
        <f aca="false">J60-I60</f>
        <v>0.0412901693006362</v>
      </c>
      <c r="L60" s="1" t="n">
        <v>0.709519501585356</v>
      </c>
    </row>
    <row r="61" customFormat="false" ht="15" hidden="false" customHeight="false" outlineLevel="0" collapsed="false">
      <c r="A61" s="1" t="s">
        <v>67</v>
      </c>
      <c r="B61" s="1" t="s">
        <v>68</v>
      </c>
      <c r="C61" s="1" t="s">
        <v>69</v>
      </c>
      <c r="D61" s="1" t="s">
        <v>19</v>
      </c>
      <c r="E61" s="1" t="s">
        <v>20</v>
      </c>
      <c r="F61" s="1" t="n">
        <v>26</v>
      </c>
      <c r="G61" s="4" t="s">
        <v>26</v>
      </c>
      <c r="H61" s="1" t="n">
        <v>0.1989</v>
      </c>
      <c r="I61" s="1" t="n">
        <v>0.285644073288327</v>
      </c>
      <c r="J61" s="1" t="n">
        <v>0.349442102443485</v>
      </c>
      <c r="K61" s="1" t="n">
        <f aca="false">J61-I61</f>
        <v>0.0637980291551581</v>
      </c>
      <c r="L61" s="1" t="n">
        <v>0.752588038781123</v>
      </c>
    </row>
    <row r="62" customFormat="false" ht="15" hidden="false" customHeight="false" outlineLevel="0" collapsed="false">
      <c r="A62" s="1" t="s">
        <v>67</v>
      </c>
      <c r="B62" s="1" t="s">
        <v>68</v>
      </c>
      <c r="C62" s="1" t="s">
        <v>69</v>
      </c>
      <c r="D62" s="1" t="s">
        <v>19</v>
      </c>
      <c r="E62" s="1" t="s">
        <v>20</v>
      </c>
      <c r="F62" s="1" t="n">
        <v>26</v>
      </c>
      <c r="G62" s="4" t="s">
        <v>31</v>
      </c>
      <c r="H62" s="1" t="n">
        <v>0.1875</v>
      </c>
      <c r="I62" s="1" t="n">
        <v>0.269394541557554</v>
      </c>
      <c r="J62" s="1" t="n">
        <v>0.319636953813945</v>
      </c>
      <c r="K62" s="1" t="n">
        <f aca="false">J62-I62</f>
        <v>0.0502424122563906</v>
      </c>
      <c r="L62" s="1" t="n">
        <v>0.752588038781123</v>
      </c>
    </row>
    <row r="63" customFormat="false" ht="15" hidden="false" customHeight="false" outlineLevel="0" collapsed="false">
      <c r="A63" s="1" t="s">
        <v>67</v>
      </c>
      <c r="B63" s="1" t="s">
        <v>68</v>
      </c>
      <c r="C63" s="1" t="s">
        <v>69</v>
      </c>
      <c r="D63" s="1" t="s">
        <v>19</v>
      </c>
      <c r="E63" s="1" t="s">
        <v>20</v>
      </c>
      <c r="F63" s="1" t="n">
        <v>26</v>
      </c>
      <c r="G63" s="4" t="s">
        <v>27</v>
      </c>
      <c r="H63" s="1" t="n">
        <v>0.1758</v>
      </c>
      <c r="I63" s="1" t="n">
        <v>0.252506349467435</v>
      </c>
      <c r="J63" s="1" t="n">
        <v>0.29765596074905</v>
      </c>
      <c r="K63" s="1" t="n">
        <f aca="false">J63-I63</f>
        <v>0.0451496112816155</v>
      </c>
      <c r="L63" s="1" t="n">
        <v>0.752588038781123</v>
      </c>
    </row>
    <row r="64" customFormat="false" ht="15" hidden="false" customHeight="false" outlineLevel="0" collapsed="false">
      <c r="A64" s="1" t="s">
        <v>67</v>
      </c>
      <c r="B64" s="1" t="s">
        <v>68</v>
      </c>
      <c r="C64" s="1" t="s">
        <v>69</v>
      </c>
      <c r="D64" s="1" t="s">
        <v>19</v>
      </c>
      <c r="E64" s="1" t="s">
        <v>20</v>
      </c>
      <c r="F64" s="1" t="n">
        <v>26</v>
      </c>
      <c r="G64" s="4" t="s">
        <v>25</v>
      </c>
      <c r="H64" s="1" t="n">
        <v>0.1733</v>
      </c>
      <c r="I64" s="1" t="n">
        <v>0.248913576313795</v>
      </c>
      <c r="J64" s="1" t="n">
        <v>0.27476543939656</v>
      </c>
      <c r="K64" s="1" t="n">
        <f aca="false">J64-I64</f>
        <v>0.0258518630827648</v>
      </c>
      <c r="L64" s="1" t="n">
        <v>0.752588038781123</v>
      </c>
    </row>
    <row r="65" customFormat="false" ht="15" hidden="false" customHeight="false" outlineLevel="0" collapsed="false">
      <c r="A65" s="1" t="s">
        <v>67</v>
      </c>
      <c r="B65" s="1" t="s">
        <v>68</v>
      </c>
      <c r="C65" s="1" t="s">
        <v>69</v>
      </c>
      <c r="D65" s="1" t="s">
        <v>19</v>
      </c>
      <c r="E65" s="1" t="s">
        <v>20</v>
      </c>
      <c r="F65" s="1" t="n">
        <v>26</v>
      </c>
      <c r="G65" s="4" t="s">
        <v>32</v>
      </c>
      <c r="H65" s="1" t="n">
        <v>0.1645</v>
      </c>
      <c r="I65" s="1" t="n">
        <v>0.236297462788445</v>
      </c>
      <c r="J65" s="1" t="n">
        <v>0.294858927680817</v>
      </c>
      <c r="K65" s="1" t="n">
        <f aca="false">J65-I65</f>
        <v>0.0585614648923717</v>
      </c>
      <c r="L65" s="1" t="n">
        <v>0.752588038781123</v>
      </c>
    </row>
    <row r="66" customFormat="false" ht="15" hidden="false" customHeight="false" outlineLevel="0" collapsed="false">
      <c r="A66" s="1" t="s">
        <v>67</v>
      </c>
      <c r="B66" s="1" t="s">
        <v>68</v>
      </c>
      <c r="C66" s="1" t="s">
        <v>69</v>
      </c>
      <c r="D66" s="1" t="s">
        <v>19</v>
      </c>
      <c r="E66" s="1" t="s">
        <v>20</v>
      </c>
      <c r="F66" s="1" t="n">
        <v>26</v>
      </c>
      <c r="G66" s="4" t="s">
        <v>21</v>
      </c>
      <c r="H66" s="1" t="n">
        <v>0.1</v>
      </c>
      <c r="I66" s="1" t="n">
        <v>0.188181295933176</v>
      </c>
      <c r="J66" s="1" t="n">
        <v>0.247868751734773</v>
      </c>
      <c r="K66" s="1" t="n">
        <f aca="false">J66-I66</f>
        <v>0.0596874558015965</v>
      </c>
      <c r="L66" s="1" t="n">
        <v>0.752588038781123</v>
      </c>
    </row>
    <row r="67" customFormat="false" ht="15" hidden="false" customHeight="false" outlineLevel="0" collapsed="false">
      <c r="A67" s="1" t="s">
        <v>70</v>
      </c>
      <c r="B67" s="1" t="s">
        <v>71</v>
      </c>
      <c r="C67" s="1" t="s">
        <v>72</v>
      </c>
      <c r="D67" s="1" t="s">
        <v>19</v>
      </c>
      <c r="E67" s="1" t="s">
        <v>20</v>
      </c>
      <c r="F67" s="1" t="n">
        <v>28</v>
      </c>
      <c r="G67" s="4" t="s">
        <v>26</v>
      </c>
      <c r="H67" s="1" t="n">
        <v>0.2115</v>
      </c>
      <c r="I67" s="1" t="n">
        <v>0.344042758985762</v>
      </c>
      <c r="J67" s="1" t="n">
        <v>0.413943179147178</v>
      </c>
      <c r="K67" s="1" t="n">
        <f aca="false">J67-I67</f>
        <v>0.0699004201614159</v>
      </c>
      <c r="L67" s="1" t="n">
        <v>0.742555870420495</v>
      </c>
    </row>
    <row r="68" customFormat="false" ht="15" hidden="false" customHeight="false" outlineLevel="0" collapsed="false">
      <c r="A68" s="1" t="s">
        <v>70</v>
      </c>
      <c r="B68" s="1" t="s">
        <v>71</v>
      </c>
      <c r="C68" s="1" t="s">
        <v>72</v>
      </c>
      <c r="D68" s="1" t="s">
        <v>19</v>
      </c>
      <c r="E68" s="1" t="s">
        <v>20</v>
      </c>
      <c r="F68" s="1" t="n">
        <v>28</v>
      </c>
      <c r="G68" s="4" t="s">
        <v>27</v>
      </c>
      <c r="H68" s="1" t="n">
        <v>0.1854</v>
      </c>
      <c r="I68" s="1" t="n">
        <v>0.301548440895423</v>
      </c>
      <c r="J68" s="1" t="n">
        <v>0.339150923267672</v>
      </c>
      <c r="K68" s="1" t="n">
        <f aca="false">J68-I68</f>
        <v>0.0376024823722488</v>
      </c>
      <c r="L68" s="1" t="n">
        <v>0.742555870420495</v>
      </c>
    </row>
    <row r="69" customFormat="false" ht="15" hidden="false" customHeight="false" outlineLevel="0" collapsed="false">
      <c r="A69" s="1" t="s">
        <v>70</v>
      </c>
      <c r="B69" s="1" t="s">
        <v>71</v>
      </c>
      <c r="C69" s="1" t="s">
        <v>72</v>
      </c>
      <c r="D69" s="1" t="s">
        <v>19</v>
      </c>
      <c r="E69" s="1" t="s">
        <v>20</v>
      </c>
      <c r="F69" s="1" t="n">
        <v>28</v>
      </c>
      <c r="G69" s="4" t="s">
        <v>31</v>
      </c>
      <c r="H69" s="1" t="n">
        <v>0.1813</v>
      </c>
      <c r="I69" s="1" t="n">
        <v>0.294904742255957</v>
      </c>
      <c r="J69" s="1" t="n">
        <v>0.382051132272075</v>
      </c>
      <c r="K69" s="1" t="n">
        <f aca="false">J69-I69</f>
        <v>0.0871463900161189</v>
      </c>
      <c r="L69" s="1" t="n">
        <v>0.742555870420495</v>
      </c>
    </row>
    <row r="70" customFormat="false" ht="15" hidden="false" customHeight="false" outlineLevel="0" collapsed="false">
      <c r="A70" s="1" t="s">
        <v>70</v>
      </c>
      <c r="B70" s="1" t="s">
        <v>71</v>
      </c>
      <c r="C70" s="1" t="s">
        <v>72</v>
      </c>
      <c r="D70" s="1" t="s">
        <v>19</v>
      </c>
      <c r="E70" s="1" t="s">
        <v>20</v>
      </c>
      <c r="F70" s="1" t="n">
        <v>28</v>
      </c>
      <c r="G70" s="4" t="s">
        <v>32</v>
      </c>
      <c r="H70" s="1" t="n">
        <v>0.1651</v>
      </c>
      <c r="I70" s="1" t="n">
        <v>0.268524357976606</v>
      </c>
      <c r="J70" s="1" t="n">
        <v>0.325624688874626</v>
      </c>
      <c r="K70" s="1" t="n">
        <f aca="false">J70-I70</f>
        <v>0.0571003308980206</v>
      </c>
      <c r="L70" s="1" t="n">
        <v>0.742555870420495</v>
      </c>
    </row>
    <row r="71" customFormat="false" ht="15" hidden="false" customHeight="false" outlineLevel="0" collapsed="false">
      <c r="A71" s="1" t="s">
        <v>70</v>
      </c>
      <c r="B71" s="1" t="s">
        <v>71</v>
      </c>
      <c r="C71" s="1" t="s">
        <v>72</v>
      </c>
      <c r="D71" s="1" t="s">
        <v>19</v>
      </c>
      <c r="E71" s="1" t="s">
        <v>20</v>
      </c>
      <c r="F71" s="1" t="n">
        <v>28</v>
      </c>
      <c r="G71" s="4" t="s">
        <v>40</v>
      </c>
      <c r="H71" s="1" t="n">
        <v>0.1567</v>
      </c>
      <c r="I71" s="1" t="n">
        <v>0.254944048013777</v>
      </c>
      <c r="J71" s="1" t="n">
        <v>0.321486121312929</v>
      </c>
      <c r="K71" s="1" t="n">
        <f aca="false">J71-I71</f>
        <v>0.0665420732991514</v>
      </c>
      <c r="L71" s="1" t="n">
        <v>0.742555870420495</v>
      </c>
    </row>
    <row r="72" customFormat="false" ht="15" hidden="false" customHeight="false" outlineLevel="0" collapsed="false">
      <c r="A72" s="1" t="s">
        <v>70</v>
      </c>
      <c r="B72" s="1" t="s">
        <v>71</v>
      </c>
      <c r="C72" s="1" t="s">
        <v>72</v>
      </c>
      <c r="D72" s="1" t="s">
        <v>19</v>
      </c>
      <c r="E72" s="1" t="s">
        <v>20</v>
      </c>
      <c r="F72" s="1" t="n">
        <v>28</v>
      </c>
      <c r="G72" s="4" t="s">
        <v>21</v>
      </c>
      <c r="H72" s="1" t="n">
        <v>0.1</v>
      </c>
      <c r="I72" s="1" t="n">
        <v>0.218424644526717</v>
      </c>
      <c r="J72" s="1" t="n">
        <v>0.297966977455262</v>
      </c>
      <c r="K72" s="1" t="n">
        <f aca="false">J72-I72</f>
        <v>0.0795423329285449</v>
      </c>
      <c r="L72" s="1" t="n">
        <v>0.742555870420495</v>
      </c>
    </row>
    <row r="73" customFormat="false" ht="15" hidden="false" customHeight="false" outlineLevel="0" collapsed="false">
      <c r="A73" s="1" t="s">
        <v>73</v>
      </c>
      <c r="B73" s="1" t="s">
        <v>74</v>
      </c>
      <c r="C73" s="1" t="s">
        <v>75</v>
      </c>
      <c r="D73" s="1" t="s">
        <v>19</v>
      </c>
      <c r="E73" s="1" t="s">
        <v>20</v>
      </c>
      <c r="F73" s="1" t="n">
        <v>30</v>
      </c>
      <c r="G73" s="4" t="s">
        <v>26</v>
      </c>
      <c r="H73" s="1" t="n">
        <v>0.2246</v>
      </c>
      <c r="I73" s="1" t="n">
        <v>0.366603834708379</v>
      </c>
      <c r="J73" s="1" t="n">
        <v>0.330376406706863</v>
      </c>
      <c r="K73" s="1" t="n">
        <f aca="false">J73-I73</f>
        <v>-0.036227428001516</v>
      </c>
      <c r="L73" s="1" t="n">
        <v>0.626600189640605</v>
      </c>
    </row>
    <row r="74" customFormat="false" ht="15" hidden="false" customHeight="false" outlineLevel="0" collapsed="false">
      <c r="A74" s="1" t="s">
        <v>73</v>
      </c>
      <c r="B74" s="1" t="s">
        <v>74</v>
      </c>
      <c r="C74" s="1" t="s">
        <v>75</v>
      </c>
      <c r="D74" s="1" t="s">
        <v>19</v>
      </c>
      <c r="E74" s="1" t="s">
        <v>20</v>
      </c>
      <c r="F74" s="1" t="n">
        <v>30</v>
      </c>
      <c r="G74" s="4" t="s">
        <v>31</v>
      </c>
      <c r="H74" s="1" t="n">
        <v>0.1873</v>
      </c>
      <c r="I74" s="1" t="n">
        <v>0.305719660802336</v>
      </c>
      <c r="J74" s="1" t="n">
        <v>0.313576850667785</v>
      </c>
      <c r="K74" s="1" t="n">
        <f aca="false">J74-I74</f>
        <v>0.00785718986544948</v>
      </c>
      <c r="L74" s="1" t="n">
        <v>0.626600189640605</v>
      </c>
    </row>
    <row r="75" customFormat="false" ht="15" hidden="false" customHeight="false" outlineLevel="0" collapsed="false">
      <c r="A75" s="1" t="s">
        <v>73</v>
      </c>
      <c r="B75" s="1" t="s">
        <v>74</v>
      </c>
      <c r="C75" s="1" t="s">
        <v>75</v>
      </c>
      <c r="D75" s="1" t="s">
        <v>19</v>
      </c>
      <c r="E75" s="1" t="s">
        <v>20</v>
      </c>
      <c r="F75" s="1" t="n">
        <v>30</v>
      </c>
      <c r="G75" s="4" t="s">
        <v>27</v>
      </c>
      <c r="H75" s="1" t="n">
        <v>0.1665</v>
      </c>
      <c r="I75" s="1" t="n">
        <v>0.271743872346998</v>
      </c>
      <c r="J75" s="1" t="n">
        <v>0.265009725154034</v>
      </c>
      <c r="K75" s="1" t="n">
        <f aca="false">J75-I75</f>
        <v>-0.00673414719296378</v>
      </c>
      <c r="L75" s="1" t="n">
        <v>0.626600189640605</v>
      </c>
    </row>
    <row r="76" customFormat="false" ht="15" hidden="false" customHeight="false" outlineLevel="0" collapsed="false">
      <c r="A76" s="1" t="s">
        <v>73</v>
      </c>
      <c r="B76" s="1" t="s">
        <v>74</v>
      </c>
      <c r="C76" s="1" t="s">
        <v>75</v>
      </c>
      <c r="D76" s="1" t="s">
        <v>19</v>
      </c>
      <c r="E76" s="1" t="s">
        <v>20</v>
      </c>
      <c r="F76" s="1" t="n">
        <v>30</v>
      </c>
      <c r="G76" s="4" t="s">
        <v>32</v>
      </c>
      <c r="H76" s="1" t="n">
        <v>0.1655</v>
      </c>
      <c r="I76" s="1" t="n">
        <v>0.270175669136763</v>
      </c>
      <c r="J76" s="1" t="n">
        <v>0.309873356079613</v>
      </c>
      <c r="K76" s="1" t="n">
        <f aca="false">J76-I76</f>
        <v>0.0396976869428503</v>
      </c>
      <c r="L76" s="1" t="n">
        <v>0.626600189640605</v>
      </c>
    </row>
    <row r="77" customFormat="false" ht="15" hidden="false" customHeight="false" outlineLevel="0" collapsed="false">
      <c r="A77" s="1" t="s">
        <v>73</v>
      </c>
      <c r="B77" s="1" t="s">
        <v>74</v>
      </c>
      <c r="C77" s="1" t="s">
        <v>75</v>
      </c>
      <c r="D77" s="1" t="s">
        <v>19</v>
      </c>
      <c r="E77" s="1" t="s">
        <v>20</v>
      </c>
      <c r="F77" s="1" t="n">
        <v>30</v>
      </c>
      <c r="G77" s="4" t="s">
        <v>39</v>
      </c>
      <c r="H77" s="1" t="n">
        <v>0.1561</v>
      </c>
      <c r="I77" s="1" t="n">
        <v>0.254864356145007</v>
      </c>
      <c r="J77" s="1" t="n">
        <v>0.269338809023878</v>
      </c>
      <c r="K77" s="1" t="n">
        <f aca="false">J77-I77</f>
        <v>0.014474452878871</v>
      </c>
      <c r="L77" s="1" t="n">
        <v>0.626600189640605</v>
      </c>
    </row>
    <row r="78" customFormat="false" ht="15" hidden="false" customHeight="false" outlineLevel="0" collapsed="false">
      <c r="A78" s="1" t="s">
        <v>73</v>
      </c>
      <c r="B78" s="1" t="s">
        <v>74</v>
      </c>
      <c r="C78" s="1" t="s">
        <v>75</v>
      </c>
      <c r="D78" s="1" t="s">
        <v>19</v>
      </c>
      <c r="E78" s="1" t="s">
        <v>20</v>
      </c>
      <c r="F78" s="1" t="n">
        <v>30</v>
      </c>
      <c r="G78" s="4" t="s">
        <v>21</v>
      </c>
      <c r="H78" s="1" t="n">
        <v>0.1</v>
      </c>
      <c r="I78" s="1" t="n">
        <v>0.213292243933296</v>
      </c>
      <c r="J78" s="1" t="n">
        <v>0.242164562223109</v>
      </c>
      <c r="K78" s="1" t="n">
        <f aca="false">J78-I78</f>
        <v>0.0288723182898125</v>
      </c>
      <c r="L78" s="1" t="n">
        <v>0.626600189640605</v>
      </c>
    </row>
    <row r="79" customFormat="false" ht="15" hidden="false" customHeight="false" outlineLevel="0" collapsed="false">
      <c r="A79" s="1" t="s">
        <v>76</v>
      </c>
      <c r="B79" s="1" t="s">
        <v>77</v>
      </c>
      <c r="C79" s="1" t="s">
        <v>78</v>
      </c>
      <c r="D79" s="1" t="s">
        <v>19</v>
      </c>
      <c r="E79" s="1" t="s">
        <v>20</v>
      </c>
      <c r="F79" s="1" t="n">
        <v>32</v>
      </c>
      <c r="G79" s="4" t="s">
        <v>31</v>
      </c>
      <c r="H79" s="1" t="n">
        <v>0.203</v>
      </c>
      <c r="I79" s="1" t="n">
        <v>0.273375164516215</v>
      </c>
      <c r="J79" s="1" t="n">
        <v>0.328040325746738</v>
      </c>
      <c r="K79" s="1" t="n">
        <f aca="false">J79-I79</f>
        <v>0.0546651612305237</v>
      </c>
      <c r="L79" s="1" t="n">
        <v>0.81814248001184</v>
      </c>
    </row>
    <row r="80" customFormat="false" ht="15" hidden="false" customHeight="false" outlineLevel="0" collapsed="false">
      <c r="A80" s="1" t="s">
        <v>76</v>
      </c>
      <c r="B80" s="1" t="s">
        <v>77</v>
      </c>
      <c r="C80" s="1" t="s">
        <v>78</v>
      </c>
      <c r="D80" s="1" t="s">
        <v>19</v>
      </c>
      <c r="E80" s="1" t="s">
        <v>20</v>
      </c>
      <c r="F80" s="1" t="n">
        <v>32</v>
      </c>
      <c r="G80" s="4" t="s">
        <v>26</v>
      </c>
      <c r="H80" s="1" t="n">
        <v>0.1941</v>
      </c>
      <c r="I80" s="1" t="n">
        <v>0.261352461635499</v>
      </c>
      <c r="J80" s="1" t="n">
        <v>0.342379074853453</v>
      </c>
      <c r="K80" s="1" t="n">
        <f aca="false">J80-I80</f>
        <v>0.0810266132179539</v>
      </c>
      <c r="L80" s="1" t="n">
        <v>0.81814248001184</v>
      </c>
    </row>
    <row r="81" customFormat="false" ht="15" hidden="false" customHeight="false" outlineLevel="0" collapsed="false">
      <c r="A81" s="1" t="s">
        <v>76</v>
      </c>
      <c r="B81" s="1" t="s">
        <v>77</v>
      </c>
      <c r="C81" s="1" t="s">
        <v>78</v>
      </c>
      <c r="D81" s="1" t="s">
        <v>19</v>
      </c>
      <c r="E81" s="1" t="s">
        <v>20</v>
      </c>
      <c r="F81" s="1" t="n">
        <v>32</v>
      </c>
      <c r="G81" s="4" t="s">
        <v>32</v>
      </c>
      <c r="H81" s="1" t="n">
        <v>0.182</v>
      </c>
      <c r="I81" s="1" t="n">
        <v>0.245089730696329</v>
      </c>
      <c r="J81" s="1" t="n">
        <v>0.318568175479967</v>
      </c>
      <c r="K81" s="1" t="n">
        <f aca="false">J81-I81</f>
        <v>0.0734784447836372</v>
      </c>
      <c r="L81" s="1" t="n">
        <v>0.81814248001184</v>
      </c>
    </row>
    <row r="82" customFormat="false" ht="15" hidden="false" customHeight="false" outlineLevel="0" collapsed="false">
      <c r="A82" s="1" t="s">
        <v>76</v>
      </c>
      <c r="B82" s="1" t="s">
        <v>77</v>
      </c>
      <c r="C82" s="1" t="s">
        <v>78</v>
      </c>
      <c r="D82" s="1" t="s">
        <v>19</v>
      </c>
      <c r="E82" s="1" t="s">
        <v>20</v>
      </c>
      <c r="F82" s="1" t="n">
        <v>32</v>
      </c>
      <c r="G82" s="4" t="s">
        <v>40</v>
      </c>
      <c r="H82" s="1" t="n">
        <v>0.1607</v>
      </c>
      <c r="I82" s="1" t="n">
        <v>0.216438181494845</v>
      </c>
      <c r="J82" s="1" t="n">
        <v>0.313647452513297</v>
      </c>
      <c r="K82" s="1" t="n">
        <f aca="false">J82-I82</f>
        <v>0.0972092710184526</v>
      </c>
      <c r="L82" s="1" t="n">
        <v>0.81814248001184</v>
      </c>
    </row>
    <row r="83" customFormat="false" ht="15" hidden="false" customHeight="false" outlineLevel="0" collapsed="false">
      <c r="A83" s="1" t="s">
        <v>76</v>
      </c>
      <c r="B83" s="1" t="s">
        <v>77</v>
      </c>
      <c r="C83" s="1" t="s">
        <v>78</v>
      </c>
      <c r="D83" s="1" t="s">
        <v>19</v>
      </c>
      <c r="E83" s="1" t="s">
        <v>20</v>
      </c>
      <c r="F83" s="1" t="n">
        <v>32</v>
      </c>
      <c r="G83" s="4" t="s">
        <v>63</v>
      </c>
      <c r="H83" s="1" t="n">
        <v>0.1602</v>
      </c>
      <c r="I83" s="1" t="n">
        <v>0.215694422063692</v>
      </c>
      <c r="J83" s="1" t="n">
        <v>0.262307207080527</v>
      </c>
      <c r="K83" s="1" t="n">
        <f aca="false">J83-I83</f>
        <v>0.0466127850168354</v>
      </c>
      <c r="L83" s="1" t="n">
        <v>0.81814248001184</v>
      </c>
    </row>
    <row r="84" customFormat="false" ht="15" hidden="false" customHeight="false" outlineLevel="0" collapsed="false">
      <c r="A84" s="1" t="s">
        <v>76</v>
      </c>
      <c r="B84" s="1" t="s">
        <v>77</v>
      </c>
      <c r="C84" s="1" t="s">
        <v>78</v>
      </c>
      <c r="D84" s="1" t="s">
        <v>19</v>
      </c>
      <c r="E84" s="1" t="s">
        <v>20</v>
      </c>
      <c r="F84" s="1" t="n">
        <v>32</v>
      </c>
      <c r="G84" s="4" t="s">
        <v>21</v>
      </c>
      <c r="H84" s="1" t="n">
        <v>0.1</v>
      </c>
      <c r="I84" s="1" t="n">
        <v>0.181868213267317</v>
      </c>
      <c r="J84" s="1" t="n">
        <v>0.259146551413583</v>
      </c>
      <c r="K84" s="1" t="n">
        <f aca="false">J84-I84</f>
        <v>0.0772783381462664</v>
      </c>
      <c r="L84" s="1" t="n">
        <v>0.81814248001184</v>
      </c>
    </row>
    <row r="85" customFormat="false" ht="15" hidden="false" customHeight="false" outlineLevel="0" collapsed="false">
      <c r="A85" s="1" t="s">
        <v>79</v>
      </c>
      <c r="B85" s="1" t="s">
        <v>80</v>
      </c>
      <c r="C85" s="1" t="s">
        <v>81</v>
      </c>
      <c r="D85" s="1" t="s">
        <v>19</v>
      </c>
      <c r="E85" s="1" t="s">
        <v>20</v>
      </c>
      <c r="F85" s="1" t="n">
        <v>34</v>
      </c>
      <c r="G85" s="4" t="s">
        <v>31</v>
      </c>
      <c r="H85" s="1" t="n">
        <v>0.1942</v>
      </c>
      <c r="I85" s="1" t="n">
        <v>0.302632160733338</v>
      </c>
      <c r="J85" s="1" t="n">
        <v>0.278003805236425</v>
      </c>
      <c r="K85" s="1" t="n">
        <f aca="false">J85-I85</f>
        <v>-0.024628355496913</v>
      </c>
      <c r="L85" s="1" t="n">
        <v>0.647963419254761</v>
      </c>
    </row>
    <row r="86" customFormat="false" ht="15" hidden="false" customHeight="false" outlineLevel="0" collapsed="false">
      <c r="A86" s="1" t="s">
        <v>79</v>
      </c>
      <c r="B86" s="1" t="s">
        <v>80</v>
      </c>
      <c r="C86" s="1" t="s">
        <v>81</v>
      </c>
      <c r="D86" s="1" t="s">
        <v>19</v>
      </c>
      <c r="E86" s="1" t="s">
        <v>20</v>
      </c>
      <c r="F86" s="1" t="n">
        <v>34</v>
      </c>
      <c r="G86" s="4" t="s">
        <v>26</v>
      </c>
      <c r="H86" s="1" t="n">
        <v>0.1909</v>
      </c>
      <c r="I86" s="1" t="n">
        <v>0.297443589815504</v>
      </c>
      <c r="J86" s="1" t="n">
        <v>0.359470206516095</v>
      </c>
      <c r="K86" s="1" t="n">
        <f aca="false">J86-I86</f>
        <v>0.0620266167005913</v>
      </c>
      <c r="L86" s="1" t="n">
        <v>0.647963419254761</v>
      </c>
    </row>
    <row r="87" customFormat="false" ht="15" hidden="false" customHeight="false" outlineLevel="0" collapsed="false">
      <c r="A87" s="1" t="s">
        <v>79</v>
      </c>
      <c r="B87" s="1" t="s">
        <v>80</v>
      </c>
      <c r="C87" s="1" t="s">
        <v>81</v>
      </c>
      <c r="D87" s="1" t="s">
        <v>19</v>
      </c>
      <c r="E87" s="1" t="s">
        <v>20</v>
      </c>
      <c r="F87" s="1" t="n">
        <v>34</v>
      </c>
      <c r="G87" s="4" t="s">
        <v>32</v>
      </c>
      <c r="H87" s="1" t="n">
        <v>0.1878</v>
      </c>
      <c r="I87" s="1" t="n">
        <v>0.292643073028305</v>
      </c>
      <c r="J87" s="1" t="n">
        <v>0.264036320934431</v>
      </c>
      <c r="K87" s="1" t="n">
        <f aca="false">J87-I87</f>
        <v>-0.0286067520938738</v>
      </c>
      <c r="L87" s="1" t="n">
        <v>0.647963419254761</v>
      </c>
    </row>
    <row r="88" customFormat="false" ht="15" hidden="false" customHeight="false" outlineLevel="0" collapsed="false">
      <c r="A88" s="1" t="s">
        <v>79</v>
      </c>
      <c r="B88" s="1" t="s">
        <v>80</v>
      </c>
      <c r="C88" s="1" t="s">
        <v>81</v>
      </c>
      <c r="D88" s="1" t="s">
        <v>19</v>
      </c>
      <c r="E88" s="1" t="s">
        <v>20</v>
      </c>
      <c r="F88" s="1" t="n">
        <v>34</v>
      </c>
      <c r="G88" s="4" t="s">
        <v>40</v>
      </c>
      <c r="H88" s="1" t="n">
        <v>0.1665</v>
      </c>
      <c r="I88" s="1" t="n">
        <v>0.259518687025235</v>
      </c>
      <c r="J88" s="1" t="n">
        <v>0.261288759939597</v>
      </c>
      <c r="K88" s="1" t="n">
        <f aca="false">J88-I88</f>
        <v>0.00177007291436221</v>
      </c>
      <c r="L88" s="1" t="n">
        <v>0.647963419254761</v>
      </c>
    </row>
    <row r="89" customFormat="false" ht="15" hidden="false" customHeight="false" outlineLevel="0" collapsed="false">
      <c r="A89" s="1" t="s">
        <v>79</v>
      </c>
      <c r="B89" s="1" t="s">
        <v>80</v>
      </c>
      <c r="C89" s="1" t="s">
        <v>81</v>
      </c>
      <c r="D89" s="1" t="s">
        <v>19</v>
      </c>
      <c r="E89" s="1" t="s">
        <v>20</v>
      </c>
      <c r="F89" s="1" t="n">
        <v>34</v>
      </c>
      <c r="G89" s="4" t="s">
        <v>56</v>
      </c>
      <c r="H89" s="1" t="n">
        <v>0.1606</v>
      </c>
      <c r="I89" s="1" t="n">
        <v>0.250224185996273</v>
      </c>
      <c r="J89" s="1" t="n">
        <v>0.265741320597233</v>
      </c>
      <c r="K89" s="1" t="n">
        <f aca="false">J89-I89</f>
        <v>0.0155171346009605</v>
      </c>
      <c r="L89" s="1" t="n">
        <v>0.647963419254761</v>
      </c>
    </row>
    <row r="90" customFormat="false" ht="15" hidden="false" customHeight="false" outlineLevel="0" collapsed="false">
      <c r="A90" s="1" t="s">
        <v>79</v>
      </c>
      <c r="B90" s="1" t="s">
        <v>80</v>
      </c>
      <c r="C90" s="1" t="s">
        <v>81</v>
      </c>
      <c r="D90" s="1" t="s">
        <v>19</v>
      </c>
      <c r="E90" s="1" t="s">
        <v>20</v>
      </c>
      <c r="F90" s="1" t="n">
        <v>34</v>
      </c>
      <c r="G90" s="4" t="s">
        <v>21</v>
      </c>
      <c r="H90" s="1" t="n">
        <v>0.1</v>
      </c>
      <c r="I90" s="1" t="n">
        <v>0.231980580996323</v>
      </c>
      <c r="J90" s="1" t="n">
        <v>0.263423378153121</v>
      </c>
      <c r="K90" s="1" t="n">
        <f aca="false">J90-I90</f>
        <v>0.031442797156798</v>
      </c>
      <c r="L90" s="1" t="n">
        <v>0.647963419254761</v>
      </c>
    </row>
    <row r="91" customFormat="false" ht="15" hidden="false" customHeight="false" outlineLevel="0" collapsed="false">
      <c r="A91" s="1" t="s">
        <v>82</v>
      </c>
      <c r="B91" s="1" t="s">
        <v>83</v>
      </c>
      <c r="C91" s="1" t="s">
        <v>84</v>
      </c>
      <c r="D91" s="1" t="s">
        <v>19</v>
      </c>
      <c r="E91" s="1" t="s">
        <v>20</v>
      </c>
      <c r="F91" s="1" t="n">
        <v>36</v>
      </c>
      <c r="G91" s="4" t="s">
        <v>26</v>
      </c>
      <c r="H91" s="1" t="n">
        <v>0.198</v>
      </c>
      <c r="I91" s="1" t="n">
        <v>0.308751760332608</v>
      </c>
      <c r="J91" s="1" t="n">
        <v>0.280502806298661</v>
      </c>
      <c r="K91" s="1" t="n">
        <f aca="false">J91-I91</f>
        <v>-0.028248954033947</v>
      </c>
      <c r="L91" s="1" t="n">
        <v>0.643841741383017</v>
      </c>
    </row>
    <row r="92" customFormat="false" ht="15" hidden="false" customHeight="false" outlineLevel="0" collapsed="false">
      <c r="A92" s="1" t="s">
        <v>82</v>
      </c>
      <c r="B92" s="1" t="s">
        <v>83</v>
      </c>
      <c r="C92" s="1" t="s">
        <v>84</v>
      </c>
      <c r="D92" s="1" t="s">
        <v>19</v>
      </c>
      <c r="E92" s="1" t="s">
        <v>20</v>
      </c>
      <c r="F92" s="1" t="n">
        <v>36</v>
      </c>
      <c r="G92" s="4" t="s">
        <v>27</v>
      </c>
      <c r="H92" s="1" t="n">
        <v>0.1912</v>
      </c>
      <c r="I92" s="1" t="n">
        <v>0.298122422533956</v>
      </c>
      <c r="J92" s="1" t="n">
        <v>0.29848451859906</v>
      </c>
      <c r="K92" s="1" t="n">
        <f aca="false">J92-I92</f>
        <v>0.000362096065104012</v>
      </c>
      <c r="L92" s="1" t="n">
        <v>0.643841741383017</v>
      </c>
    </row>
    <row r="93" customFormat="false" ht="15" hidden="false" customHeight="false" outlineLevel="0" collapsed="false">
      <c r="A93" s="1" t="s">
        <v>82</v>
      </c>
      <c r="B93" s="1" t="s">
        <v>83</v>
      </c>
      <c r="C93" s="1" t="s">
        <v>84</v>
      </c>
      <c r="D93" s="1" t="s">
        <v>19</v>
      </c>
      <c r="E93" s="1" t="s">
        <v>20</v>
      </c>
      <c r="F93" s="1" t="n">
        <v>36</v>
      </c>
      <c r="G93" s="4" t="s">
        <v>31</v>
      </c>
      <c r="H93" s="1" t="n">
        <v>0.1724</v>
      </c>
      <c r="I93" s="1" t="n">
        <v>0.268790702602134</v>
      </c>
      <c r="J93" s="1" t="n">
        <v>0.260071796883495</v>
      </c>
      <c r="K93" s="1" t="n">
        <f aca="false">J93-I93</f>
        <v>-0.00871890571863931</v>
      </c>
      <c r="L93" s="1" t="n">
        <v>0.643841741383017</v>
      </c>
    </row>
    <row r="94" customFormat="false" ht="15" hidden="false" customHeight="false" outlineLevel="0" collapsed="false">
      <c r="A94" s="1" t="s">
        <v>82</v>
      </c>
      <c r="B94" s="1" t="s">
        <v>83</v>
      </c>
      <c r="C94" s="1" t="s">
        <v>84</v>
      </c>
      <c r="D94" s="1" t="s">
        <v>19</v>
      </c>
      <c r="E94" s="1" t="s">
        <v>20</v>
      </c>
      <c r="F94" s="1" t="n">
        <v>36</v>
      </c>
      <c r="G94" s="4" t="s">
        <v>25</v>
      </c>
      <c r="H94" s="1" t="n">
        <v>0.1692</v>
      </c>
      <c r="I94" s="1" t="n">
        <v>0.263755221647493</v>
      </c>
      <c r="J94" s="1" t="n">
        <v>0.236244981622603</v>
      </c>
      <c r="K94" s="1" t="n">
        <f aca="false">J94-I94</f>
        <v>-0.0275102400248907</v>
      </c>
      <c r="L94" s="1" t="n">
        <v>0.643841741383017</v>
      </c>
    </row>
    <row r="95" customFormat="false" ht="15" hidden="false" customHeight="false" outlineLevel="0" collapsed="false">
      <c r="A95" s="1" t="s">
        <v>82</v>
      </c>
      <c r="B95" s="1" t="s">
        <v>83</v>
      </c>
      <c r="C95" s="1" t="s">
        <v>84</v>
      </c>
      <c r="D95" s="1" t="s">
        <v>19</v>
      </c>
      <c r="E95" s="1" t="s">
        <v>20</v>
      </c>
      <c r="F95" s="1" t="n">
        <v>36</v>
      </c>
      <c r="G95" s="4" t="s">
        <v>85</v>
      </c>
      <c r="H95" s="1" t="n">
        <v>0.1692</v>
      </c>
      <c r="I95" s="1" t="n">
        <v>0.263777182330544</v>
      </c>
      <c r="J95" s="1" t="n">
        <v>0.268951657666947</v>
      </c>
      <c r="K95" s="1" t="n">
        <f aca="false">J95-I95</f>
        <v>0.0051744753364027</v>
      </c>
      <c r="L95" s="1" t="n">
        <v>0.643841741383017</v>
      </c>
    </row>
    <row r="96" customFormat="false" ht="15" hidden="false" customHeight="false" outlineLevel="0" collapsed="false">
      <c r="A96" s="1" t="s">
        <v>82</v>
      </c>
      <c r="B96" s="1" t="s">
        <v>83</v>
      </c>
      <c r="C96" s="1" t="s">
        <v>84</v>
      </c>
      <c r="D96" s="1" t="s">
        <v>19</v>
      </c>
      <c r="E96" s="1" t="s">
        <v>20</v>
      </c>
      <c r="F96" s="1" t="n">
        <v>36</v>
      </c>
      <c r="G96" s="4" t="s">
        <v>21</v>
      </c>
      <c r="H96" s="1" t="n">
        <v>0.1</v>
      </c>
      <c r="I96" s="1" t="n">
        <v>0.222183157661371</v>
      </c>
      <c r="J96" s="1" t="n">
        <v>0.25826262510805</v>
      </c>
      <c r="K96" s="1" t="n">
        <f aca="false">J96-I96</f>
        <v>0.0360794674466787</v>
      </c>
      <c r="L96" s="1" t="n">
        <v>0.643841741383017</v>
      </c>
    </row>
    <row r="97" customFormat="false" ht="15" hidden="false" customHeight="false" outlineLevel="0" collapsed="false">
      <c r="A97" s="1" t="s">
        <v>86</v>
      </c>
      <c r="B97" s="1" t="s">
        <v>87</v>
      </c>
      <c r="C97" s="1" t="s">
        <v>88</v>
      </c>
      <c r="D97" s="1" t="s">
        <v>19</v>
      </c>
      <c r="E97" s="1" t="s">
        <v>20</v>
      </c>
      <c r="F97" s="1" t="n">
        <v>38</v>
      </c>
      <c r="G97" s="4" t="s">
        <v>27</v>
      </c>
      <c r="H97" s="1" t="n">
        <v>0.3519</v>
      </c>
      <c r="I97" s="1" t="n">
        <v>0.23152960442797</v>
      </c>
      <c r="J97" s="1" t="n">
        <v>0.277470963134692</v>
      </c>
      <c r="K97" s="1" t="n">
        <f aca="false">J97-I97</f>
        <v>0.0459413587067225</v>
      </c>
      <c r="L97" s="1" t="n">
        <v>0.654547731132537</v>
      </c>
    </row>
    <row r="98" customFormat="false" ht="15" hidden="false" customHeight="false" outlineLevel="0" collapsed="false">
      <c r="A98" s="1" t="s">
        <v>86</v>
      </c>
      <c r="B98" s="1" t="s">
        <v>87</v>
      </c>
      <c r="C98" s="1" t="s">
        <v>88</v>
      </c>
      <c r="D98" s="1" t="s">
        <v>19</v>
      </c>
      <c r="E98" s="1" t="s">
        <v>20</v>
      </c>
      <c r="F98" s="1" t="n">
        <v>38</v>
      </c>
      <c r="G98" s="4" t="s">
        <v>26</v>
      </c>
      <c r="H98" s="1" t="n">
        <v>0.331</v>
      </c>
      <c r="I98" s="1" t="n">
        <v>0.217806532750715</v>
      </c>
      <c r="J98" s="1" t="n">
        <v>0.312802004219212</v>
      </c>
      <c r="K98" s="1" t="n">
        <f aca="false">J98-I98</f>
        <v>0.0949954714684964</v>
      </c>
      <c r="L98" s="1" t="n">
        <v>0.654547731132537</v>
      </c>
    </row>
    <row r="99" customFormat="false" ht="15" hidden="false" customHeight="false" outlineLevel="0" collapsed="false">
      <c r="A99" s="1" t="s">
        <v>86</v>
      </c>
      <c r="B99" s="1" t="s">
        <v>87</v>
      </c>
      <c r="C99" s="1" t="s">
        <v>88</v>
      </c>
      <c r="D99" s="1" t="s">
        <v>19</v>
      </c>
      <c r="E99" s="1" t="s">
        <v>20</v>
      </c>
      <c r="F99" s="1" t="n">
        <v>38</v>
      </c>
      <c r="G99" s="4" t="s">
        <v>21</v>
      </c>
      <c r="H99" s="1" t="n">
        <v>0.3171</v>
      </c>
      <c r="I99" s="1" t="n">
        <v>0.208635066559422</v>
      </c>
      <c r="J99" s="1" t="n">
        <v>0.215011716896677</v>
      </c>
      <c r="K99" s="1" t="n">
        <f aca="false">J99-I99</f>
        <v>0.00637665033725471</v>
      </c>
      <c r="L99" s="1" t="n">
        <v>0.654547731132537</v>
      </c>
    </row>
    <row r="100" customFormat="false" ht="15" hidden="false" customHeight="false" outlineLevel="0" collapsed="false">
      <c r="A100" s="1" t="s">
        <v>89</v>
      </c>
      <c r="B100" s="1" t="s">
        <v>90</v>
      </c>
      <c r="C100" s="1" t="s">
        <v>91</v>
      </c>
      <c r="D100" s="1" t="s">
        <v>19</v>
      </c>
      <c r="E100" s="1" t="s">
        <v>20</v>
      </c>
      <c r="F100" s="1" t="n">
        <v>40</v>
      </c>
      <c r="G100" s="4" t="s">
        <v>26</v>
      </c>
      <c r="H100" s="1" t="n">
        <v>0.4576</v>
      </c>
      <c r="I100" s="1" t="n">
        <v>0.234570561598675</v>
      </c>
      <c r="J100" s="1" t="n">
        <v>0.395229001515154</v>
      </c>
      <c r="K100" s="1" t="n">
        <f aca="false">J100-I100</f>
        <v>0.160658439916478</v>
      </c>
      <c r="L100" s="1" t="n">
        <v>0.737279793404405</v>
      </c>
    </row>
    <row r="101" customFormat="false" ht="15" hidden="false" customHeight="false" outlineLevel="0" collapsed="false">
      <c r="A101" s="1" t="s">
        <v>89</v>
      </c>
      <c r="B101" s="1" t="s">
        <v>90</v>
      </c>
      <c r="C101" s="1" t="s">
        <v>91</v>
      </c>
      <c r="D101" s="1" t="s">
        <v>19</v>
      </c>
      <c r="E101" s="1" t="s">
        <v>20</v>
      </c>
      <c r="F101" s="1" t="n">
        <v>40</v>
      </c>
      <c r="G101" s="4" t="s">
        <v>27</v>
      </c>
      <c r="H101" s="1" t="n">
        <v>0.4424</v>
      </c>
      <c r="I101" s="1" t="n">
        <v>0.226801293100615</v>
      </c>
      <c r="J101" s="1" t="n">
        <v>0.356424139134565</v>
      </c>
      <c r="K101" s="1" t="n">
        <f aca="false">J101-I101</f>
        <v>0.12962284603395</v>
      </c>
      <c r="L101" s="1" t="n">
        <v>0.737279793404405</v>
      </c>
    </row>
    <row r="102" customFormat="false" ht="15" hidden="false" customHeight="false" outlineLevel="0" collapsed="false">
      <c r="A102" s="1" t="s">
        <v>89</v>
      </c>
      <c r="B102" s="1" t="s">
        <v>90</v>
      </c>
      <c r="C102" s="1" t="s">
        <v>91</v>
      </c>
      <c r="D102" s="1" t="s">
        <v>19</v>
      </c>
      <c r="E102" s="1" t="s">
        <v>20</v>
      </c>
      <c r="F102" s="1" t="n">
        <v>40</v>
      </c>
      <c r="G102" s="4" t="s">
        <v>21</v>
      </c>
      <c r="H102" s="1" t="n">
        <v>0.1</v>
      </c>
      <c r="I102" s="1" t="n">
        <v>0.117486151660058</v>
      </c>
      <c r="J102" s="1" t="n">
        <v>0.276516279545167</v>
      </c>
      <c r="K102" s="1" t="n">
        <f aca="false">J102-I102</f>
        <v>0.15903012788511</v>
      </c>
      <c r="L102" s="1" t="n">
        <v>0.737279793404405</v>
      </c>
    </row>
    <row r="103" customFormat="false" ht="15" hidden="false" customHeight="false" outlineLevel="0" collapsed="false">
      <c r="A103" s="1" t="s">
        <v>92</v>
      </c>
      <c r="B103" s="1" t="s">
        <v>93</v>
      </c>
      <c r="C103" s="1" t="s">
        <v>94</v>
      </c>
      <c r="D103" s="1" t="s">
        <v>19</v>
      </c>
      <c r="E103" s="1" t="s">
        <v>20</v>
      </c>
      <c r="F103" s="1" t="n">
        <v>42</v>
      </c>
      <c r="G103" s="4" t="s">
        <v>26</v>
      </c>
      <c r="H103" s="1" t="n">
        <v>0.1897</v>
      </c>
      <c r="I103" s="1" t="n">
        <v>0.331895226413673</v>
      </c>
      <c r="J103" s="1" t="n">
        <v>0.349729126675631</v>
      </c>
      <c r="K103" s="1" t="n">
        <f aca="false">J103-I103</f>
        <v>0.017833900261958</v>
      </c>
      <c r="L103" s="1" t="n">
        <v>0.741791001479869</v>
      </c>
    </row>
    <row r="104" customFormat="false" ht="15" hidden="false" customHeight="false" outlineLevel="0" collapsed="false">
      <c r="A104" s="1" t="s">
        <v>92</v>
      </c>
      <c r="B104" s="1" t="s">
        <v>93</v>
      </c>
      <c r="C104" s="1" t="s">
        <v>94</v>
      </c>
      <c r="D104" s="1" t="s">
        <v>19</v>
      </c>
      <c r="E104" s="1" t="s">
        <v>20</v>
      </c>
      <c r="F104" s="1" t="n">
        <v>42</v>
      </c>
      <c r="G104" s="4" t="s">
        <v>31</v>
      </c>
      <c r="H104" s="1" t="n">
        <v>0.1707</v>
      </c>
      <c r="I104" s="1" t="n">
        <v>0.298585860575067</v>
      </c>
      <c r="J104" s="1" t="n">
        <v>0.322454575307334</v>
      </c>
      <c r="K104" s="1" t="n">
        <f aca="false">J104-I104</f>
        <v>0.0238687147322673</v>
      </c>
      <c r="L104" s="1" t="n">
        <v>0.741791001479869</v>
      </c>
    </row>
    <row r="105" customFormat="false" ht="15" hidden="false" customHeight="false" outlineLevel="0" collapsed="false">
      <c r="A105" s="1" t="s">
        <v>92</v>
      </c>
      <c r="B105" s="1" t="s">
        <v>93</v>
      </c>
      <c r="C105" s="1" t="s">
        <v>94</v>
      </c>
      <c r="D105" s="1" t="s">
        <v>19</v>
      </c>
      <c r="E105" s="1" t="s">
        <v>20</v>
      </c>
      <c r="F105" s="1" t="n">
        <v>42</v>
      </c>
      <c r="G105" s="4" t="s">
        <v>40</v>
      </c>
      <c r="H105" s="1" t="n">
        <v>0.162</v>
      </c>
      <c r="I105" s="1" t="n">
        <v>0.283403824720535</v>
      </c>
      <c r="J105" s="1" t="n">
        <v>0.267533416510446</v>
      </c>
      <c r="K105" s="1" t="n">
        <f aca="false">J105-I105</f>
        <v>-0.0158704082100887</v>
      </c>
      <c r="L105" s="1" t="n">
        <v>0.741791001479869</v>
      </c>
    </row>
    <row r="106" customFormat="false" ht="15" hidden="false" customHeight="false" outlineLevel="0" collapsed="false">
      <c r="A106" s="1" t="s">
        <v>92</v>
      </c>
      <c r="B106" s="1" t="s">
        <v>93</v>
      </c>
      <c r="C106" s="1" t="s">
        <v>94</v>
      </c>
      <c r="D106" s="1" t="s">
        <v>19</v>
      </c>
      <c r="E106" s="1" t="s">
        <v>20</v>
      </c>
      <c r="F106" s="1" t="n">
        <v>42</v>
      </c>
      <c r="G106" s="4" t="s">
        <v>27</v>
      </c>
      <c r="H106" s="1" t="n">
        <v>0.1619</v>
      </c>
      <c r="I106" s="1" t="n">
        <v>0.28320764492439</v>
      </c>
      <c r="J106" s="1" t="n">
        <v>0.262501887417117</v>
      </c>
      <c r="K106" s="1" t="n">
        <f aca="false">J106-I106</f>
        <v>-0.020705757507273</v>
      </c>
      <c r="L106" s="1" t="n">
        <v>0.741791001479869</v>
      </c>
    </row>
    <row r="107" customFormat="false" ht="15" hidden="false" customHeight="false" outlineLevel="0" collapsed="false">
      <c r="A107" s="1" t="s">
        <v>92</v>
      </c>
      <c r="B107" s="1" t="s">
        <v>93</v>
      </c>
      <c r="C107" s="1" t="s">
        <v>94</v>
      </c>
      <c r="D107" s="1" t="s">
        <v>19</v>
      </c>
      <c r="E107" s="1" t="s">
        <v>20</v>
      </c>
      <c r="F107" s="1" t="n">
        <v>42</v>
      </c>
      <c r="G107" s="4" t="s">
        <v>25</v>
      </c>
      <c r="H107" s="1" t="n">
        <v>0.1586</v>
      </c>
      <c r="I107" s="1" t="n">
        <v>0.277464658714752</v>
      </c>
      <c r="J107" s="1" t="n">
        <v>0.285646735953535</v>
      </c>
      <c r="K107" s="1" t="n">
        <f aca="false">J107-I107</f>
        <v>0.00818207723878339</v>
      </c>
      <c r="L107" s="1" t="n">
        <v>0.741791001479869</v>
      </c>
    </row>
    <row r="108" customFormat="false" ht="15" hidden="false" customHeight="false" outlineLevel="0" collapsed="false">
      <c r="A108" s="1" t="s">
        <v>92</v>
      </c>
      <c r="B108" s="1" t="s">
        <v>93</v>
      </c>
      <c r="C108" s="1" t="s">
        <v>94</v>
      </c>
      <c r="D108" s="1" t="s">
        <v>19</v>
      </c>
      <c r="E108" s="1" t="s">
        <v>20</v>
      </c>
      <c r="F108" s="1" t="n">
        <v>42</v>
      </c>
      <c r="G108" s="4" t="s">
        <v>21</v>
      </c>
      <c r="H108" s="1" t="n">
        <v>0.1571</v>
      </c>
      <c r="I108" s="1" t="n">
        <v>0.274742065611662</v>
      </c>
      <c r="J108" s="1" t="n">
        <v>0.251066024983133</v>
      </c>
      <c r="K108" s="1" t="n">
        <f aca="false">J108-I108</f>
        <v>-0.0236760406285294</v>
      </c>
      <c r="L108" s="1" t="n">
        <v>0.741791001479869</v>
      </c>
    </row>
    <row r="109" customFormat="false" ht="15" hidden="false" customHeight="false" outlineLevel="0" collapsed="false">
      <c r="A109" s="1" t="s">
        <v>95</v>
      </c>
      <c r="B109" s="1" t="s">
        <v>96</v>
      </c>
      <c r="C109" s="1" t="s">
        <v>97</v>
      </c>
      <c r="D109" s="1" t="s">
        <v>19</v>
      </c>
      <c r="E109" s="1" t="s">
        <v>20</v>
      </c>
      <c r="F109" s="1" t="n">
        <v>44</v>
      </c>
      <c r="G109" s="4" t="s">
        <v>26</v>
      </c>
      <c r="H109" s="1" t="n">
        <v>0.213</v>
      </c>
      <c r="I109" s="1" t="n">
        <v>0.317520405690724</v>
      </c>
      <c r="J109" s="1" t="n">
        <v>0.368131706509434</v>
      </c>
      <c r="K109" s="1" t="n">
        <f aca="false">J109-I109</f>
        <v>0.05061130081871</v>
      </c>
      <c r="L109" s="1" t="n">
        <v>0.720324505975325</v>
      </c>
    </row>
    <row r="110" customFormat="false" ht="15" hidden="false" customHeight="false" outlineLevel="0" collapsed="false">
      <c r="A110" s="1" t="s">
        <v>95</v>
      </c>
      <c r="B110" s="1" t="s">
        <v>96</v>
      </c>
      <c r="C110" s="1" t="s">
        <v>97</v>
      </c>
      <c r="D110" s="1" t="s">
        <v>19</v>
      </c>
      <c r="E110" s="1" t="s">
        <v>20</v>
      </c>
      <c r="F110" s="1" t="n">
        <v>44</v>
      </c>
      <c r="G110" s="4" t="s">
        <v>31</v>
      </c>
      <c r="H110" s="1" t="n">
        <v>0.1872</v>
      </c>
      <c r="I110" s="1" t="n">
        <v>0.27910988688137</v>
      </c>
      <c r="J110" s="1" t="n">
        <v>0.327236189852832</v>
      </c>
      <c r="K110" s="1" t="n">
        <f aca="false">J110-I110</f>
        <v>0.048126302971462</v>
      </c>
      <c r="L110" s="1" t="n">
        <v>0.720324505975325</v>
      </c>
    </row>
    <row r="111" customFormat="false" ht="15" hidden="false" customHeight="false" outlineLevel="0" collapsed="false">
      <c r="A111" s="1" t="s">
        <v>95</v>
      </c>
      <c r="B111" s="1" t="s">
        <v>96</v>
      </c>
      <c r="C111" s="1" t="s">
        <v>97</v>
      </c>
      <c r="D111" s="1" t="s">
        <v>19</v>
      </c>
      <c r="E111" s="1" t="s">
        <v>20</v>
      </c>
      <c r="F111" s="1" t="n">
        <v>44</v>
      </c>
      <c r="G111" s="4" t="s">
        <v>25</v>
      </c>
      <c r="H111" s="1" t="n">
        <v>0.1681</v>
      </c>
      <c r="I111" s="1" t="n">
        <v>0.250661710878653</v>
      </c>
      <c r="J111" s="1" t="n">
        <v>0.284377953589114</v>
      </c>
      <c r="K111" s="1" t="n">
        <f aca="false">J111-I111</f>
        <v>0.033716242710461</v>
      </c>
      <c r="L111" s="1" t="n">
        <v>0.720324505975325</v>
      </c>
    </row>
    <row r="112" customFormat="false" ht="15" hidden="false" customHeight="false" outlineLevel="0" collapsed="false">
      <c r="A112" s="1" t="s">
        <v>95</v>
      </c>
      <c r="B112" s="1" t="s">
        <v>96</v>
      </c>
      <c r="C112" s="1" t="s">
        <v>97</v>
      </c>
      <c r="D112" s="1" t="s">
        <v>19</v>
      </c>
      <c r="E112" s="1" t="s">
        <v>20</v>
      </c>
      <c r="F112" s="1" t="n">
        <v>44</v>
      </c>
      <c r="G112" s="4" t="s">
        <v>32</v>
      </c>
      <c r="H112" s="1" t="n">
        <v>0.1668</v>
      </c>
      <c r="I112" s="1" t="n">
        <v>0.248612159511315</v>
      </c>
      <c r="J112" s="1" t="n">
        <v>0.294281629810779</v>
      </c>
      <c r="K112" s="1" t="n">
        <f aca="false">J112-I112</f>
        <v>0.0456694702994646</v>
      </c>
      <c r="L112" s="1" t="n">
        <v>0.720324505975325</v>
      </c>
    </row>
    <row r="113" customFormat="false" ht="15" hidden="false" customHeight="false" outlineLevel="0" collapsed="false">
      <c r="A113" s="1" t="s">
        <v>95</v>
      </c>
      <c r="B113" s="1" t="s">
        <v>96</v>
      </c>
      <c r="C113" s="1" t="s">
        <v>97</v>
      </c>
      <c r="D113" s="1" t="s">
        <v>19</v>
      </c>
      <c r="E113" s="1" t="s">
        <v>20</v>
      </c>
      <c r="F113" s="1" t="n">
        <v>44</v>
      </c>
      <c r="G113" s="4" t="s">
        <v>56</v>
      </c>
      <c r="H113" s="1" t="n">
        <v>0.1649</v>
      </c>
      <c r="I113" s="1" t="n">
        <v>0.245830843471012</v>
      </c>
      <c r="J113" s="1" t="n">
        <v>0.28478886450336</v>
      </c>
      <c r="K113" s="1" t="n">
        <f aca="false">J113-I113</f>
        <v>0.0389580210323477</v>
      </c>
      <c r="L113" s="1" t="n">
        <v>0.720324505975325</v>
      </c>
    </row>
    <row r="114" customFormat="false" ht="15" hidden="false" customHeight="false" outlineLevel="0" collapsed="false">
      <c r="A114" s="1" t="s">
        <v>95</v>
      </c>
      <c r="B114" s="1" t="s">
        <v>96</v>
      </c>
      <c r="C114" s="1" t="s">
        <v>97</v>
      </c>
      <c r="D114" s="1" t="s">
        <v>19</v>
      </c>
      <c r="E114" s="1" t="s">
        <v>20</v>
      </c>
      <c r="F114" s="1" t="n">
        <v>44</v>
      </c>
      <c r="G114" s="4" t="s">
        <v>21</v>
      </c>
      <c r="H114" s="1" t="n">
        <v>0.1</v>
      </c>
      <c r="I114" s="1" t="n">
        <v>0.209844893213018</v>
      </c>
      <c r="J114" s="1" t="n">
        <v>0.257404309899602</v>
      </c>
      <c r="K114" s="1" t="n">
        <f aca="false">J114-I114</f>
        <v>0.0475594166865846</v>
      </c>
      <c r="L114" s="1" t="n">
        <v>0.720324505975325</v>
      </c>
    </row>
    <row r="115" customFormat="false" ht="15" hidden="false" customHeight="false" outlineLevel="0" collapsed="false">
      <c r="A115" s="1" t="s">
        <v>98</v>
      </c>
      <c r="B115" s="1" t="s">
        <v>99</v>
      </c>
      <c r="C115" s="1" t="s">
        <v>100</v>
      </c>
      <c r="D115" s="1" t="s">
        <v>19</v>
      </c>
      <c r="E115" s="1" t="s">
        <v>20</v>
      </c>
      <c r="F115" s="1" t="n">
        <v>46</v>
      </c>
      <c r="G115" s="4" t="s">
        <v>26</v>
      </c>
      <c r="H115" s="1" t="n">
        <v>0.2094</v>
      </c>
      <c r="I115" s="1" t="n">
        <v>0.286826179061609</v>
      </c>
      <c r="J115" s="1" t="n">
        <v>0.323682788797194</v>
      </c>
      <c r="K115" s="1" t="n">
        <f aca="false">J115-I115</f>
        <v>0.0368566097355853</v>
      </c>
      <c r="L115" s="1" t="n">
        <v>0.85301227080764</v>
      </c>
    </row>
    <row r="116" customFormat="false" ht="15" hidden="false" customHeight="false" outlineLevel="0" collapsed="false">
      <c r="A116" s="1" t="s">
        <v>98</v>
      </c>
      <c r="B116" s="1" t="s">
        <v>99</v>
      </c>
      <c r="C116" s="1" t="s">
        <v>100</v>
      </c>
      <c r="D116" s="1" t="s">
        <v>19</v>
      </c>
      <c r="E116" s="1" t="s">
        <v>20</v>
      </c>
      <c r="F116" s="1" t="n">
        <v>46</v>
      </c>
      <c r="G116" s="4" t="s">
        <v>31</v>
      </c>
      <c r="H116" s="1" t="n">
        <v>0.1914</v>
      </c>
      <c r="I116" s="1" t="n">
        <v>0.262236117632268</v>
      </c>
      <c r="J116" s="1" t="n">
        <v>0.30754182878453</v>
      </c>
      <c r="K116" s="1" t="n">
        <f aca="false">J116-I116</f>
        <v>0.045305711152262</v>
      </c>
      <c r="L116" s="1" t="n">
        <v>0.85301227080764</v>
      </c>
    </row>
    <row r="117" customFormat="false" ht="15" hidden="false" customHeight="false" outlineLevel="0" collapsed="false">
      <c r="A117" s="1" t="s">
        <v>98</v>
      </c>
      <c r="B117" s="1" t="s">
        <v>99</v>
      </c>
      <c r="C117" s="1" t="s">
        <v>100</v>
      </c>
      <c r="D117" s="1" t="s">
        <v>19</v>
      </c>
      <c r="E117" s="1" t="s">
        <v>20</v>
      </c>
      <c r="F117" s="1" t="n">
        <v>46</v>
      </c>
      <c r="G117" s="4" t="s">
        <v>27</v>
      </c>
      <c r="H117" s="1" t="n">
        <v>0.1764</v>
      </c>
      <c r="I117" s="1" t="n">
        <v>0.241609287944861</v>
      </c>
      <c r="J117" s="1" t="n">
        <v>0.266764809869383</v>
      </c>
      <c r="K117" s="1" t="n">
        <f aca="false">J117-I117</f>
        <v>0.0251555219245222</v>
      </c>
      <c r="L117" s="1" t="n">
        <v>0.85301227080764</v>
      </c>
    </row>
    <row r="118" customFormat="false" ht="15" hidden="false" customHeight="false" outlineLevel="0" collapsed="false">
      <c r="A118" s="1" t="s">
        <v>98</v>
      </c>
      <c r="B118" s="1" t="s">
        <v>99</v>
      </c>
      <c r="C118" s="1" t="s">
        <v>100</v>
      </c>
      <c r="D118" s="1" t="s">
        <v>19</v>
      </c>
      <c r="E118" s="1" t="s">
        <v>20</v>
      </c>
      <c r="F118" s="1" t="n">
        <v>46</v>
      </c>
      <c r="G118" s="4" t="s">
        <v>40</v>
      </c>
      <c r="H118" s="1" t="n">
        <v>0.1702</v>
      </c>
      <c r="I118" s="1" t="n">
        <v>0.233226878078824</v>
      </c>
      <c r="J118" s="1" t="n">
        <v>0.281213922637222</v>
      </c>
      <c r="K118" s="1" t="n">
        <f aca="false">J118-I118</f>
        <v>0.0479870445583974</v>
      </c>
      <c r="L118" s="1" t="n">
        <v>0.85301227080764</v>
      </c>
    </row>
    <row r="119" customFormat="false" ht="15" hidden="false" customHeight="false" outlineLevel="0" collapsed="false">
      <c r="A119" s="1" t="s">
        <v>98</v>
      </c>
      <c r="B119" s="1" t="s">
        <v>99</v>
      </c>
      <c r="C119" s="1" t="s">
        <v>100</v>
      </c>
      <c r="D119" s="1" t="s">
        <v>19</v>
      </c>
      <c r="E119" s="1" t="s">
        <v>20</v>
      </c>
      <c r="F119" s="1" t="n">
        <v>46</v>
      </c>
      <c r="G119" s="4" t="s">
        <v>32</v>
      </c>
      <c r="H119" s="1" t="n">
        <v>0.1526</v>
      </c>
      <c r="I119" s="1" t="n">
        <v>0.209038607197926</v>
      </c>
      <c r="J119" s="1" t="n">
        <v>0.281017312265344</v>
      </c>
      <c r="K119" s="1" t="n">
        <f aca="false">J119-I119</f>
        <v>0.0719787050674181</v>
      </c>
      <c r="L119" s="1" t="n">
        <v>0.85301227080764</v>
      </c>
    </row>
    <row r="120" customFormat="false" ht="15" hidden="false" customHeight="false" outlineLevel="0" collapsed="false">
      <c r="A120" s="1" t="s">
        <v>98</v>
      </c>
      <c r="B120" s="1" t="s">
        <v>99</v>
      </c>
      <c r="C120" s="1" t="s">
        <v>100</v>
      </c>
      <c r="D120" s="1" t="s">
        <v>19</v>
      </c>
      <c r="E120" s="1" t="s">
        <v>20</v>
      </c>
      <c r="F120" s="1" t="n">
        <v>46</v>
      </c>
      <c r="G120" s="4" t="s">
        <v>21</v>
      </c>
      <c r="H120" s="1" t="n">
        <v>0.1</v>
      </c>
      <c r="I120" s="1" t="n">
        <v>0.183819722116733</v>
      </c>
      <c r="J120" s="1" t="n">
        <v>0.264223482737056</v>
      </c>
      <c r="K120" s="1" t="n">
        <f aca="false">J120-I120</f>
        <v>0.0804037606203238</v>
      </c>
      <c r="L120" s="1" t="n">
        <v>0.85301227080764</v>
      </c>
    </row>
    <row r="121" customFormat="false" ht="15" hidden="false" customHeight="false" outlineLevel="0" collapsed="false">
      <c r="A121" s="1" t="s">
        <v>101</v>
      </c>
      <c r="B121" s="1" t="s">
        <v>102</v>
      </c>
      <c r="C121" s="1" t="s">
        <v>103</v>
      </c>
      <c r="D121" s="1" t="s">
        <v>19</v>
      </c>
      <c r="E121" s="1" t="s">
        <v>20</v>
      </c>
      <c r="F121" s="1" t="n">
        <v>48</v>
      </c>
      <c r="G121" s="4" t="s">
        <v>26</v>
      </c>
      <c r="H121" s="1" t="n">
        <v>0.1947</v>
      </c>
      <c r="I121" s="1" t="n">
        <v>0.283204310914728</v>
      </c>
      <c r="J121" s="1" t="n">
        <v>0.390102531781107</v>
      </c>
      <c r="K121" s="1" t="n">
        <f aca="false">J121-I121</f>
        <v>0.106898220866378</v>
      </c>
      <c r="L121" s="1" t="n">
        <v>0.727945465577406</v>
      </c>
    </row>
    <row r="122" customFormat="false" ht="15" hidden="false" customHeight="false" outlineLevel="0" collapsed="false">
      <c r="A122" s="1" t="s">
        <v>101</v>
      </c>
      <c r="B122" s="1" t="s">
        <v>102</v>
      </c>
      <c r="C122" s="1" t="s">
        <v>103</v>
      </c>
      <c r="D122" s="1" t="s">
        <v>19</v>
      </c>
      <c r="E122" s="1" t="s">
        <v>20</v>
      </c>
      <c r="F122" s="1" t="n">
        <v>48</v>
      </c>
      <c r="G122" s="4" t="s">
        <v>31</v>
      </c>
      <c r="H122" s="1" t="n">
        <v>0.1924</v>
      </c>
      <c r="I122" s="1" t="n">
        <v>0.279912955293656</v>
      </c>
      <c r="J122" s="1" t="n">
        <v>0.380547324695841</v>
      </c>
      <c r="K122" s="1" t="n">
        <f aca="false">J122-I122</f>
        <v>0.100634369402184</v>
      </c>
      <c r="L122" s="1" t="n">
        <v>0.727945465577406</v>
      </c>
    </row>
    <row r="123" customFormat="false" ht="15" hidden="false" customHeight="false" outlineLevel="0" collapsed="false">
      <c r="A123" s="1" t="s">
        <v>101</v>
      </c>
      <c r="B123" s="1" t="s">
        <v>102</v>
      </c>
      <c r="C123" s="1" t="s">
        <v>103</v>
      </c>
      <c r="D123" s="1" t="s">
        <v>19</v>
      </c>
      <c r="E123" s="1" t="s">
        <v>20</v>
      </c>
      <c r="F123" s="1" t="n">
        <v>48</v>
      </c>
      <c r="G123" s="4" t="s">
        <v>32</v>
      </c>
      <c r="H123" s="1" t="n">
        <v>0.1745</v>
      </c>
      <c r="I123" s="1" t="n">
        <v>0.253876368132142</v>
      </c>
      <c r="J123" s="1" t="n">
        <v>0.326527511689119</v>
      </c>
      <c r="K123" s="1" t="n">
        <f aca="false">J123-I123</f>
        <v>0.0726511435569768</v>
      </c>
      <c r="L123" s="1" t="n">
        <v>0.727945465577406</v>
      </c>
    </row>
    <row r="124" customFormat="false" ht="15" hidden="false" customHeight="false" outlineLevel="0" collapsed="false">
      <c r="A124" s="1" t="s">
        <v>101</v>
      </c>
      <c r="B124" s="1" t="s">
        <v>102</v>
      </c>
      <c r="C124" s="1" t="s">
        <v>103</v>
      </c>
      <c r="D124" s="1" t="s">
        <v>19</v>
      </c>
      <c r="E124" s="1" t="s">
        <v>20</v>
      </c>
      <c r="F124" s="1" t="n">
        <v>48</v>
      </c>
      <c r="G124" s="4" t="s">
        <v>27</v>
      </c>
      <c r="H124" s="1" t="n">
        <v>0.1728</v>
      </c>
      <c r="I124" s="1" t="n">
        <v>0.251336000712021</v>
      </c>
      <c r="J124" s="1" t="n">
        <v>0.34208293926363</v>
      </c>
      <c r="K124" s="1" t="n">
        <f aca="false">J124-I124</f>
        <v>0.0907469385516091</v>
      </c>
      <c r="L124" s="1" t="n">
        <v>0.727945465577406</v>
      </c>
    </row>
    <row r="125" customFormat="false" ht="15" hidden="false" customHeight="false" outlineLevel="0" collapsed="false">
      <c r="A125" s="1" t="s">
        <v>101</v>
      </c>
      <c r="B125" s="1" t="s">
        <v>102</v>
      </c>
      <c r="C125" s="1" t="s">
        <v>103</v>
      </c>
      <c r="D125" s="1" t="s">
        <v>19</v>
      </c>
      <c r="E125" s="1" t="s">
        <v>20</v>
      </c>
      <c r="F125" s="1" t="n">
        <v>48</v>
      </c>
      <c r="G125" s="4" t="s">
        <v>40</v>
      </c>
      <c r="H125" s="1" t="n">
        <v>0.1657</v>
      </c>
      <c r="I125" s="1" t="n">
        <v>0.241059108533048</v>
      </c>
      <c r="J125" s="1" t="n">
        <v>0.356022575689771</v>
      </c>
      <c r="K125" s="1" t="n">
        <f aca="false">J125-I125</f>
        <v>0.114963467156723</v>
      </c>
      <c r="L125" s="1" t="n">
        <v>0.727945465577406</v>
      </c>
    </row>
    <row r="126" customFormat="false" ht="15" hidden="false" customHeight="false" outlineLevel="0" collapsed="false">
      <c r="A126" s="1" t="s">
        <v>101</v>
      </c>
      <c r="B126" s="1" t="s">
        <v>102</v>
      </c>
      <c r="C126" s="1" t="s">
        <v>103</v>
      </c>
      <c r="D126" s="1" t="s">
        <v>19</v>
      </c>
      <c r="E126" s="1" t="s">
        <v>20</v>
      </c>
      <c r="F126" s="1" t="n">
        <v>48</v>
      </c>
      <c r="G126" s="4" t="s">
        <v>21</v>
      </c>
      <c r="H126" s="1" t="n">
        <v>0.1</v>
      </c>
      <c r="I126" s="1" t="n">
        <v>0.207739113329303</v>
      </c>
      <c r="J126" s="1" t="n">
        <v>0.307219943047356</v>
      </c>
      <c r="K126" s="1" t="n">
        <f aca="false">J126-I126</f>
        <v>0.099480829718053</v>
      </c>
      <c r="L126" s="1" t="n">
        <v>0.727945465577406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1" sqref="E4:L4 B5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0.79"/>
  </cols>
  <sheetData>
    <row r="1" customFormat="false" ht="12.8" hidden="false" customHeight="false" outlineLevel="0" collapsed="false">
      <c r="A1" s="5" t="s">
        <v>104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105</v>
      </c>
      <c r="B3" s="6" t="n">
        <f aca="false">scen6_ac15p!P2</f>
        <v>124</v>
      </c>
    </row>
    <row r="4" customFormat="false" ht="12.8" hidden="false" customHeight="false" outlineLevel="0" collapsed="false">
      <c r="A4" s="5" t="s">
        <v>106</v>
      </c>
      <c r="B4" s="5" t="n">
        <f aca="false">B10*SQRT((B3-2)/(1-B10^2))</f>
        <v>2.94677374240565</v>
      </c>
    </row>
    <row r="5" customFormat="false" ht="12.8" hidden="false" customHeight="false" outlineLevel="0" collapsed="false">
      <c r="A5" s="5" t="s">
        <v>107</v>
      </c>
      <c r="B5" s="5" t="n">
        <f aca="false">_xlfn.T.DIST.2T(ABS(B4),B3-2)</f>
        <v>0.0038478417209188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124</v>
      </c>
      <c r="B10" s="8" t="n">
        <f aca="false">scen6_ac15p!R2</f>
        <v>0.257772422758417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4" activeCellId="1" sqref="E4:L4 B4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A2" s="9" t="s">
        <v>108</v>
      </c>
      <c r="B2" s="9"/>
    </row>
    <row r="3" customFormat="false" ht="12.8" hidden="false" customHeight="false" outlineLevel="0" collapsed="false">
      <c r="A3" s="10" t="s">
        <v>109</v>
      </c>
      <c r="B3" s="1" t="s">
        <v>110</v>
      </c>
    </row>
    <row r="4" customFormat="false" ht="12.8" hidden="false" customHeight="false" outlineLevel="0" collapsed="false">
      <c r="A4" s="7" t="n">
        <v>1</v>
      </c>
      <c r="B4" s="1" t="n">
        <v>0.790005749889737</v>
      </c>
    </row>
    <row r="5" customFormat="false" ht="12.8" hidden="false" customHeight="false" outlineLevel="0" collapsed="false">
      <c r="A5" s="7" t="n">
        <v>2</v>
      </c>
      <c r="B5" s="1" t="n">
        <v>0.681735099200446</v>
      </c>
    </row>
    <row r="6" customFormat="false" ht="12.8" hidden="false" customHeight="false" outlineLevel="0" collapsed="false">
      <c r="A6" s="7" t="n">
        <v>3</v>
      </c>
      <c r="B6" s="1" t="n">
        <v>0.736591542434996</v>
      </c>
    </row>
    <row r="7" customFormat="false" ht="12.8" hidden="false" customHeight="false" outlineLevel="0" collapsed="false">
      <c r="A7" s="7" t="n">
        <v>4</v>
      </c>
      <c r="B7" s="1" t="n">
        <v>0.65821229308805</v>
      </c>
    </row>
    <row r="8" customFormat="false" ht="12.8" hidden="false" customHeight="false" outlineLevel="0" collapsed="false">
      <c r="A8" s="7" t="n">
        <v>5</v>
      </c>
      <c r="B8" s="1" t="n">
        <v>0.743184893131854</v>
      </c>
    </row>
    <row r="9" customFormat="false" ht="12.8" hidden="false" customHeight="false" outlineLevel="0" collapsed="false">
      <c r="A9" s="7" t="n">
        <v>6</v>
      </c>
      <c r="B9" s="1" t="n">
        <v>0.738363300257884</v>
      </c>
    </row>
    <row r="10" customFormat="false" ht="12.8" hidden="false" customHeight="false" outlineLevel="0" collapsed="false">
      <c r="A10" s="7" t="n">
        <v>7</v>
      </c>
      <c r="B10" s="1" t="n">
        <v>0.802709380775578</v>
      </c>
    </row>
    <row r="11" customFormat="false" ht="12.8" hidden="false" customHeight="false" outlineLevel="0" collapsed="false">
      <c r="A11" s="7" t="n">
        <v>8</v>
      </c>
      <c r="B11" s="1" t="n">
        <v>0.767137820624339</v>
      </c>
    </row>
    <row r="12" customFormat="false" ht="12.8" hidden="false" customHeight="false" outlineLevel="0" collapsed="false">
      <c r="A12" s="7" t="n">
        <v>9</v>
      </c>
      <c r="B12" s="1" t="n">
        <v>0.655203842604779</v>
      </c>
    </row>
    <row r="13" customFormat="false" ht="12.8" hidden="false" customHeight="false" outlineLevel="0" collapsed="false">
      <c r="A13" s="7" t="n">
        <v>10</v>
      </c>
      <c r="B13" s="1" t="n">
        <v>0.700905183166286</v>
      </c>
    </row>
    <row r="14" customFormat="false" ht="12.8" hidden="false" customHeight="false" outlineLevel="0" collapsed="false">
      <c r="A14" s="7" t="n">
        <v>11</v>
      </c>
      <c r="B14" s="1" t="n">
        <v>0.719629235257693</v>
      </c>
    </row>
    <row r="15" customFormat="false" ht="12.8" hidden="false" customHeight="false" outlineLevel="0" collapsed="false">
      <c r="A15" s="7" t="n">
        <v>12</v>
      </c>
      <c r="B15" s="1" t="n">
        <v>0.831621410337318</v>
      </c>
    </row>
    <row r="16" customFormat="false" ht="12.8" hidden="false" customHeight="false" outlineLevel="0" collapsed="false">
      <c r="A16" s="7" t="n">
        <v>13</v>
      </c>
      <c r="B16" s="1" t="n">
        <v>0.709519501585356</v>
      </c>
    </row>
    <row r="17" customFormat="false" ht="12.8" hidden="false" customHeight="false" outlineLevel="0" collapsed="false">
      <c r="A17" s="7" t="n">
        <v>14</v>
      </c>
      <c r="B17" s="1" t="n">
        <v>0.752588038781123</v>
      </c>
    </row>
    <row r="18" customFormat="false" ht="12.8" hidden="false" customHeight="false" outlineLevel="0" collapsed="false">
      <c r="A18" s="7" t="n">
        <v>15</v>
      </c>
      <c r="B18" s="1" t="n">
        <v>0.742555870420495</v>
      </c>
    </row>
    <row r="19" customFormat="false" ht="12.8" hidden="false" customHeight="false" outlineLevel="0" collapsed="false">
      <c r="A19" s="7" t="n">
        <v>16</v>
      </c>
      <c r="B19" s="1" t="n">
        <v>0.626600189640605</v>
      </c>
    </row>
    <row r="20" customFormat="false" ht="12.8" hidden="false" customHeight="false" outlineLevel="0" collapsed="false">
      <c r="A20" s="7" t="n">
        <v>17</v>
      </c>
      <c r="B20" s="1" t="n">
        <v>0.81814248001184</v>
      </c>
    </row>
    <row r="21" customFormat="false" ht="12.8" hidden="false" customHeight="false" outlineLevel="0" collapsed="false">
      <c r="A21" s="7" t="n">
        <v>18</v>
      </c>
      <c r="B21" s="1" t="n">
        <v>0.647963419254761</v>
      </c>
    </row>
    <row r="22" customFormat="false" ht="12.8" hidden="false" customHeight="false" outlineLevel="0" collapsed="false">
      <c r="A22" s="7" t="n">
        <v>19</v>
      </c>
      <c r="B22" s="1" t="n">
        <v>0.643841741383017</v>
      </c>
    </row>
    <row r="23" customFormat="false" ht="12.8" hidden="false" customHeight="false" outlineLevel="0" collapsed="false">
      <c r="A23" s="7" t="n">
        <v>20</v>
      </c>
      <c r="B23" s="1" t="n">
        <v>0.654547731132537</v>
      </c>
    </row>
    <row r="24" customFormat="false" ht="12.8" hidden="false" customHeight="false" outlineLevel="0" collapsed="false">
      <c r="A24" s="7" t="n">
        <v>21</v>
      </c>
      <c r="B24" s="1" t="n">
        <v>0.737279793404405</v>
      </c>
    </row>
    <row r="25" customFormat="false" ht="12.8" hidden="false" customHeight="false" outlineLevel="0" collapsed="false">
      <c r="A25" s="7" t="n">
        <v>22</v>
      </c>
      <c r="B25" s="1" t="n">
        <v>0.741791001479869</v>
      </c>
    </row>
    <row r="26" customFormat="false" ht="12.8" hidden="false" customHeight="false" outlineLevel="0" collapsed="false">
      <c r="A26" s="7" t="n">
        <v>23</v>
      </c>
      <c r="B26" s="1" t="n">
        <v>0.720324505975325</v>
      </c>
    </row>
    <row r="27" customFormat="false" ht="12.8" hidden="false" customHeight="false" outlineLevel="0" collapsed="false">
      <c r="A27" s="7" t="n">
        <v>24</v>
      </c>
      <c r="B27" s="1" t="n">
        <v>0.85301227080764</v>
      </c>
    </row>
    <row r="28" customFormat="false" ht="12.8" hidden="false" customHeight="false" outlineLevel="0" collapsed="false">
      <c r="A28" s="11" t="n">
        <v>25</v>
      </c>
      <c r="B28" s="1" t="n">
        <v>0.727945465577406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:L4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6" min="5" style="1" width="19.71"/>
    <col collapsed="false" customWidth="true" hidden="false" outlineLevel="0" max="7" min="7" style="1" width="21.87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2" customFormat="false" ht="12.8" hidden="false" customHeight="false" outlineLevel="0" collapsed="false">
      <c r="A2" s="9" t="s">
        <v>108</v>
      </c>
      <c r="B2" s="9"/>
    </row>
    <row r="3" customFormat="false" ht="12.8" hidden="false" customHeight="false" outlineLevel="0" collapsed="false">
      <c r="A3" s="10" t="s">
        <v>109</v>
      </c>
      <c r="B3" s="1" t="s">
        <v>110</v>
      </c>
      <c r="C3" s="11" t="s">
        <v>111</v>
      </c>
      <c r="E3" s="11" t="s">
        <v>112</v>
      </c>
      <c r="F3" s="11" t="s">
        <v>113</v>
      </c>
      <c r="G3" s="11" t="s">
        <v>114</v>
      </c>
      <c r="H3" s="11" t="s">
        <v>115</v>
      </c>
      <c r="I3" s="11" t="s">
        <v>116</v>
      </c>
      <c r="J3" s="11" t="s">
        <v>117</v>
      </c>
      <c r="K3" s="0" t="s">
        <v>118</v>
      </c>
      <c r="L3" s="0" t="s">
        <v>119</v>
      </c>
    </row>
    <row r="4" customFormat="false" ht="12.8" hidden="false" customHeight="false" outlineLevel="0" collapsed="false">
      <c r="A4" s="7" t="n">
        <v>1</v>
      </c>
      <c r="B4" s="1" t="n">
        <v>0.790005749889737</v>
      </c>
      <c r="C4" s="1" t="n">
        <v>0.820530604737196</v>
      </c>
      <c r="E4" s="11" t="n">
        <f aca="false">_xlfn.STDEV.S(B4:B28)</f>
        <v>0.061112561276799</v>
      </c>
      <c r="F4" s="11" t="n">
        <f aca="false">_xlfn.STDEV.S(C4:C28)</f>
        <v>0.110296896441833</v>
      </c>
      <c r="G4" s="11" t="n">
        <f aca="false">_xlfn.F.TEST(B4:B28,C4:C28)</f>
        <v>0.00533177209839873</v>
      </c>
      <c r="H4" s="11" t="n">
        <f aca="false">_xlfn.T.TEST(B4:B28, C4:C28, 2,2)</f>
        <v>4.43223523544308E-008</v>
      </c>
      <c r="I4" s="11" t="n">
        <f aca="false">_xlfn.T.TEST(B4:B28,C4:C28, 2,3)</f>
        <v>1.28710704947542E-007</v>
      </c>
      <c r="J4" s="11" t="n">
        <f aca="false">AVERAGE(B4:B28)-AVERAGE(C4:C28)</f>
        <v>0.163709524576072</v>
      </c>
      <c r="K4" s="0" t="n">
        <f aca="false">AVERAGE(B4:B28)</f>
        <v>0.728056470408934</v>
      </c>
      <c r="L4" s="0" t="n">
        <f aca="false">AVERAGE(C4:C28)</f>
        <v>0.564346945832861</v>
      </c>
    </row>
    <row r="5" customFormat="false" ht="12.8" hidden="false" customHeight="false" outlineLevel="0" collapsed="false">
      <c r="A5" s="7" t="n">
        <v>2</v>
      </c>
      <c r="B5" s="1" t="n">
        <v>0.681735099200446</v>
      </c>
      <c r="C5" s="1" t="n">
        <v>0.407777700566947</v>
      </c>
    </row>
    <row r="6" customFormat="false" ht="12.8" hidden="false" customHeight="false" outlineLevel="0" collapsed="false">
      <c r="A6" s="7" t="n">
        <v>3</v>
      </c>
      <c r="B6" s="1" t="n">
        <v>0.736591542434996</v>
      </c>
      <c r="C6" s="1" t="n">
        <v>0.64741533537976</v>
      </c>
    </row>
    <row r="7" customFormat="false" ht="12.8" hidden="false" customHeight="false" outlineLevel="0" collapsed="false">
      <c r="A7" s="7" t="n">
        <v>4</v>
      </c>
      <c r="B7" s="1" t="n">
        <v>0.65821229308805</v>
      </c>
      <c r="C7" s="1" t="n">
        <v>0.492147299468326</v>
      </c>
    </row>
    <row r="8" customFormat="false" ht="12.8" hidden="false" customHeight="false" outlineLevel="0" collapsed="false">
      <c r="A8" s="7" t="n">
        <v>5</v>
      </c>
      <c r="B8" s="1" t="n">
        <v>0.743184893131854</v>
      </c>
      <c r="C8" s="1" t="n">
        <v>0.536862868469305</v>
      </c>
    </row>
    <row r="9" customFormat="false" ht="12.8" hidden="false" customHeight="false" outlineLevel="0" collapsed="false">
      <c r="A9" s="7" t="n">
        <v>6</v>
      </c>
      <c r="B9" s="1" t="n">
        <v>0.738363300257884</v>
      </c>
      <c r="C9" s="1" t="n">
        <v>0.63772449375854</v>
      </c>
    </row>
    <row r="10" customFormat="false" ht="12.8" hidden="false" customHeight="false" outlineLevel="0" collapsed="false">
      <c r="A10" s="7" t="n">
        <v>7</v>
      </c>
      <c r="B10" s="1" t="n">
        <v>0.802709380775578</v>
      </c>
      <c r="C10" s="1" t="n">
        <v>0.616656606375133</v>
      </c>
    </row>
    <row r="11" customFormat="false" ht="12.8" hidden="false" customHeight="false" outlineLevel="0" collapsed="false">
      <c r="A11" s="7" t="n">
        <v>8</v>
      </c>
      <c r="B11" s="1" t="n">
        <v>0.767137820624339</v>
      </c>
      <c r="C11" s="1" t="n">
        <v>0.626592572489672</v>
      </c>
    </row>
    <row r="12" customFormat="false" ht="12.8" hidden="false" customHeight="false" outlineLevel="0" collapsed="false">
      <c r="A12" s="7" t="n">
        <v>9</v>
      </c>
      <c r="B12" s="1" t="n">
        <v>0.655203842604779</v>
      </c>
      <c r="C12" s="1" t="n">
        <v>0.648034250961909</v>
      </c>
    </row>
    <row r="13" customFormat="false" ht="12.8" hidden="false" customHeight="false" outlineLevel="0" collapsed="false">
      <c r="A13" s="7" t="n">
        <v>10</v>
      </c>
      <c r="B13" s="1" t="n">
        <v>0.700905183166286</v>
      </c>
      <c r="C13" s="1" t="n">
        <v>0.506323646773135</v>
      </c>
    </row>
    <row r="14" customFormat="false" ht="12.8" hidden="false" customHeight="false" outlineLevel="0" collapsed="false">
      <c r="A14" s="7" t="n">
        <v>11</v>
      </c>
      <c r="B14" s="1" t="n">
        <v>0.719629235257693</v>
      </c>
      <c r="C14" s="1" t="n">
        <v>0.585612272734794</v>
      </c>
    </row>
    <row r="15" customFormat="false" ht="12.8" hidden="false" customHeight="false" outlineLevel="0" collapsed="false">
      <c r="A15" s="7" t="n">
        <v>12</v>
      </c>
      <c r="B15" s="1" t="n">
        <v>0.831621410337318</v>
      </c>
      <c r="C15" s="1" t="n">
        <v>0.522675525488207</v>
      </c>
    </row>
    <row r="16" customFormat="false" ht="12.8" hidden="false" customHeight="false" outlineLevel="0" collapsed="false">
      <c r="A16" s="7" t="n">
        <v>13</v>
      </c>
      <c r="B16" s="1" t="n">
        <v>0.709519501585356</v>
      </c>
      <c r="C16" s="1" t="n">
        <v>0.59336895192208</v>
      </c>
    </row>
    <row r="17" customFormat="false" ht="12.8" hidden="false" customHeight="false" outlineLevel="0" collapsed="false">
      <c r="A17" s="7" t="n">
        <v>14</v>
      </c>
      <c r="B17" s="1" t="n">
        <v>0.752588038781123</v>
      </c>
      <c r="C17" s="1" t="n">
        <v>0.712010193857469</v>
      </c>
    </row>
    <row r="18" customFormat="false" ht="12.8" hidden="false" customHeight="false" outlineLevel="0" collapsed="false">
      <c r="A18" s="7" t="n">
        <v>15</v>
      </c>
      <c r="B18" s="1" t="n">
        <v>0.742555870420495</v>
      </c>
      <c r="C18" s="1" t="n">
        <v>0.389590431331602</v>
      </c>
    </row>
    <row r="19" customFormat="false" ht="12.8" hidden="false" customHeight="false" outlineLevel="0" collapsed="false">
      <c r="A19" s="7" t="n">
        <v>16</v>
      </c>
      <c r="B19" s="1" t="n">
        <v>0.626600189640605</v>
      </c>
      <c r="C19" s="1" t="n">
        <v>0.538461186911437</v>
      </c>
    </row>
    <row r="20" customFormat="false" ht="12.8" hidden="false" customHeight="false" outlineLevel="0" collapsed="false">
      <c r="A20" s="7" t="n">
        <v>17</v>
      </c>
      <c r="B20" s="1" t="n">
        <v>0.81814248001184</v>
      </c>
      <c r="C20" s="1" t="n">
        <v>0.562352229380074</v>
      </c>
    </row>
    <row r="21" customFormat="false" ht="12.8" hidden="false" customHeight="false" outlineLevel="0" collapsed="false">
      <c r="A21" s="7" t="n">
        <v>18</v>
      </c>
      <c r="B21" s="1" t="n">
        <v>0.647963419254761</v>
      </c>
      <c r="C21" s="1" t="n">
        <v>0.449019179327942</v>
      </c>
    </row>
    <row r="22" customFormat="false" ht="12.8" hidden="false" customHeight="false" outlineLevel="0" collapsed="false">
      <c r="A22" s="7" t="n">
        <v>19</v>
      </c>
      <c r="B22" s="1" t="n">
        <v>0.643841741383017</v>
      </c>
      <c r="C22" s="1" t="n">
        <v>0.547046967409802</v>
      </c>
    </row>
    <row r="23" customFormat="false" ht="12.8" hidden="false" customHeight="false" outlineLevel="0" collapsed="false">
      <c r="A23" s="7" t="n">
        <v>20</v>
      </c>
      <c r="B23" s="1" t="n">
        <v>0.654547731132537</v>
      </c>
      <c r="C23" s="1" t="n">
        <v>0.566106097857875</v>
      </c>
    </row>
    <row r="24" customFormat="false" ht="12.8" hidden="false" customHeight="false" outlineLevel="0" collapsed="false">
      <c r="A24" s="7" t="n">
        <v>21</v>
      </c>
      <c r="B24" s="1" t="n">
        <v>0.737279793404405</v>
      </c>
      <c r="C24" s="1" t="n">
        <v>0.404581945723551</v>
      </c>
    </row>
    <row r="25" customFormat="false" ht="12.8" hidden="false" customHeight="false" outlineLevel="0" collapsed="false">
      <c r="A25" s="7" t="n">
        <v>22</v>
      </c>
      <c r="B25" s="1" t="n">
        <v>0.741791001479869</v>
      </c>
      <c r="C25" s="1" t="n">
        <v>0.662444425177304</v>
      </c>
    </row>
    <row r="26" customFormat="false" ht="12.8" hidden="false" customHeight="false" outlineLevel="0" collapsed="false">
      <c r="A26" s="7" t="n">
        <v>23</v>
      </c>
      <c r="B26" s="1" t="n">
        <v>0.720324505975325</v>
      </c>
      <c r="C26" s="1" t="n">
        <v>0.42157129852119</v>
      </c>
    </row>
    <row r="27" customFormat="false" ht="12.8" hidden="false" customHeight="false" outlineLevel="0" collapsed="false">
      <c r="A27" s="7" t="n">
        <v>24</v>
      </c>
      <c r="B27" s="1" t="n">
        <v>0.85301227080764</v>
      </c>
      <c r="C27" s="1" t="n">
        <v>0.744339298226825</v>
      </c>
    </row>
    <row r="28" customFormat="false" ht="12.8" hidden="false" customHeight="false" outlineLevel="0" collapsed="false">
      <c r="A28" s="11" t="n">
        <v>25</v>
      </c>
      <c r="B28" s="1" t="n">
        <v>0.727945465577406</v>
      </c>
      <c r="C28" s="1" t="n">
        <v>0.469428262971454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2026-02-20T16:25:36Z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
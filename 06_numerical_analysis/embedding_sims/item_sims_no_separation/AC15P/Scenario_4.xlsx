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4_ac15p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<sst xmlns="http://schemas.openxmlformats.org/spreadsheetml/2006/main" count="937" uniqueCount="120">
  <si>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</si>
  <si>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</si>
  <si>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</si>
  <si>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</si>
  <si>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</si>
  <si>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</si>
  <si>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</si>
  <si>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</si>
  <si>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</si>
  <si>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</si>
  <si>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</si>
  <si>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</si>
  <si>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 delta</t>
  </si>
  <si>
    <t xml:space="preserve">count</t>
  </si>
  <si>
    <t xml:space="preserve">correlation weights / activation delta</t>
  </si>
  <si>
    <t xml:space="preserve">p</t>
  </si>
  <si>
    <t xml:space="preserve">5192d509-58d1-4e51-9806-052dcac0c03b</t>
  </si>
  <si>
    <t xml:space="preserve">cmjcgfmwp0003zcy01pd2cu54</t>
  </si>
  <si>
    <t xml:space="preserve">cmjcggl2d000kzcy0ltne5w1h</t>
  </si>
  <si>
    <t xml:space="preserve">ac15-plain</t>
  </si>
  <si>
    <t xml:space="preserve">Scenario_4</t>
  </si>
  <si>
    <t xml:space="preserve">practicality_and_feasibility</t>
  </si>
  <si>
    <t xml:space="preserve">identity</t>
  </si>
  <si>
    <t xml:space="preserve">sovereignty</t>
  </si>
  <si>
    <t xml:space="preserve">mathematics_computer_science_engineering</t>
  </si>
  <si>
    <t xml:space="preserve">imagination_and_possibility</t>
  </si>
  <si>
    <t xml:space="preserve">truth_and_fact</t>
  </si>
  <si>
    <t xml:space="preserve">d2bf8be7-2c97-4e4f-b3ed-fb0e2e71b4d6</t>
  </si>
  <si>
    <t xml:space="preserve">cmjcglrbo000ozcy0k93e7fsp</t>
  </si>
  <si>
    <t xml:space="preserve">cmjcgmbxd0015zcy02aqv18nl</t>
  </si>
  <si>
    <t xml:space="preserve">affective_interface</t>
  </si>
  <si>
    <t xml:space="preserve">cdeca597-e455-4085-9172-83b570da8958</t>
  </si>
  <si>
    <t xml:space="preserve">cmjcgmu9h0019zcy0k6sks1py</t>
  </si>
  <si>
    <t xml:space="preserve">cmjcgnput001qzcy0q495nqqu</t>
  </si>
  <si>
    <t xml:space="preserve">408324b1-4434-4f78-bc26-efd2797c2324</t>
  </si>
  <si>
    <t xml:space="preserve">cmjcgsa4f001uzcy0dkkkzqiz</t>
  </si>
  <si>
    <t xml:space="preserve">cmjcgstnz002bzcy0ivj0xyp9</t>
  </si>
  <si>
    <t xml:space="preserve">90938825-8f2a-4cbb-a3b3-816d1bb32c45</t>
  </si>
  <si>
    <t xml:space="preserve">cmjcgv41q002fzcy05269bm2m</t>
  </si>
  <si>
    <t xml:space="preserve">cmjcgvl88002wzcy0evg3e3ao</t>
  </si>
  <si>
    <t xml:space="preserve">freedom_and_limitations</t>
  </si>
  <si>
    <t xml:space="preserve">47b74ea5-e38d-447d-a9e2-a24dde840ddb</t>
  </si>
  <si>
    <t xml:space="preserve">cmjcgvsaq0030zcy0pukfs4wv</t>
  </si>
  <si>
    <t xml:space="preserve">cmjcgwjhv003hzcy0divt2943</t>
  </si>
  <si>
    <t xml:space="preserve">metaphorical_scaffolding</t>
  </si>
  <si>
    <t xml:space="preserve">12e86365-8b76-4427-8312-3ddefe368190</t>
  </si>
  <si>
    <t xml:space="preserve">cmjcgx3ki003lzcy005m8zvn8</t>
  </si>
  <si>
    <t xml:space="preserve">cmjcgxqsp0042zcy0zwe6nmwv</t>
  </si>
  <si>
    <t xml:space="preserve">1b191984-fa6a-4db6-9578-9c8e32b1737d</t>
  </si>
  <si>
    <t xml:space="preserve">cmjcgz56z0046zcy0xyggs89l</t>
  </si>
  <si>
    <t xml:space="preserve">cmjcgzu8y004nzcy0q4gyp4tn</t>
  </si>
  <si>
    <t xml:space="preserve">ebc45c6b-7d0c-4b15-9b5d-5e59af379719</t>
  </si>
  <si>
    <t xml:space="preserve">cmjch0cvx004rzcy0w3r7feux</t>
  </si>
  <si>
    <t xml:space="preserve">cmjch0x720058zcy05632r5iw</t>
  </si>
  <si>
    <t xml:space="preserve">43fc7da0-a9af-47c6-9881-6608dea1d7c7</t>
  </si>
  <si>
    <t xml:space="preserve">cmjch1bf5005czcy0dcnnqliv</t>
  </si>
  <si>
    <t xml:space="preserve">cmjch1iar005tzcy04ec7rx76</t>
  </si>
  <si>
    <t xml:space="preserve">a0a40ca4-c4a7-4dfc-ae65-06d2647d91d6</t>
  </si>
  <si>
    <t xml:space="preserve">cmjch1us8005xzcy0rpxj6j2l</t>
  </si>
  <si>
    <t xml:space="preserve">cmjch2azf006ezcy0vst88i25</t>
  </si>
  <si>
    <t xml:space="preserve">6362864a-4cb6-47cf-b9b2-283e8ade40b4</t>
  </si>
  <si>
    <t xml:space="preserve">cmjch2rl1006izcy0ib1d00wc</t>
  </si>
  <si>
    <t xml:space="preserve">cmjch38ds006zzcy0cby77umz</t>
  </si>
  <si>
    <t xml:space="preserve">temporal_dynamics</t>
  </si>
  <si>
    <t xml:space="preserve">74d14d51-71ca-40d4-be26-2168079eea4b</t>
  </si>
  <si>
    <t xml:space="preserve">cmjch3y570073zcy04tdmc4a4</t>
  </si>
  <si>
    <t xml:space="preserve">cmjch4j30007kzcy0mu6bv09v</t>
  </si>
  <si>
    <t xml:space="preserve">f2feff87-1baf-47d3-8783-656481529de7</t>
  </si>
  <si>
    <t xml:space="preserve">cmjch808w007ozcy0ervh37yr</t>
  </si>
  <si>
    <t xml:space="preserve">cmjch8jo20085zcy0vthp892z</t>
  </si>
  <si>
    <t xml:space="preserve">ed6058ec-26f4-4696-a93f-1f164af33546</t>
  </si>
  <si>
    <t xml:space="preserve">cmjch8rtz0089zcy00nqsuiy7</t>
  </si>
  <si>
    <t xml:space="preserve">cmjch9flm008qzcy0dernlqh8</t>
  </si>
  <si>
    <t xml:space="preserve">8acaba66-a00a-43ed-a952-1600ca54be0b</t>
  </si>
  <si>
    <t xml:space="preserve">cmjch9pqv008uzcy0hpk6ikhx</t>
  </si>
  <si>
    <t xml:space="preserve">cmjchaerz009bzcy0hgzc0lyk</t>
  </si>
  <si>
    <t xml:space="preserve">fc8bb7df-b2f8-4c9c-8713-7bc8281fe896</t>
  </si>
  <si>
    <t xml:space="preserve">cmjchauox009fzcy0z7ep3v44</t>
  </si>
  <si>
    <t xml:space="preserve">cmjchba5b009wzcy03vpdycs1</t>
  </si>
  <si>
    <t xml:space="preserve">58256755-742d-43ae-8cff-7c58fa02891c</t>
  </si>
  <si>
    <t xml:space="preserve">cmjchbifn00a0zcy083dbried</t>
  </si>
  <si>
    <t xml:space="preserve">cmjchc53r00ahzcy0qt2zfb4y</t>
  </si>
  <si>
    <t xml:space="preserve">cba14556-18fd-4475-a0e3-253dd6f7cd7d</t>
  </si>
  <si>
    <t xml:space="preserve">cmjchcebs00alzcy0uu7r80ka</t>
  </si>
  <si>
    <t xml:space="preserve">cmjchcxsn00b2zcy0yzqlgqwy</t>
  </si>
  <si>
    <t xml:space="preserve">8238b3dc-80ee-4d11-9c92-2f406d5f0e50</t>
  </si>
  <si>
    <t xml:space="preserve">cmjchd62a00b6zcy0smgkz6b8</t>
  </si>
  <si>
    <t xml:space="preserve">cmjchdpgd00bnzcy0q36lf1fw</t>
  </si>
  <si>
    <t xml:space="preserve">b062297a-c2a4-4bcc-a1c5-88a51434f072</t>
  </si>
  <si>
    <t xml:space="preserve">cmjchdx3c00brzcy0v8oa814a</t>
  </si>
  <si>
    <t xml:space="preserve">cmjchedgp00c8zcy0mnej3fa8</t>
  </si>
  <si>
    <t xml:space="preserve">f8e9c9d3-d4f6-4506-89f8-95828fa35a33</t>
  </si>
  <si>
    <t xml:space="preserve">cmjchf7qw00cczcy09ynjazgc</t>
  </si>
  <si>
    <t xml:space="preserve">cmjchfomp00ctzcy06lla4dir</t>
  </si>
  <si>
    <t xml:space="preserve">science</t>
  </si>
  <si>
    <t xml:space="preserve">6d22bb26-1ba2-44f2-b283-b5b6ed77ff73</t>
  </si>
  <si>
    <t xml:space="preserve">cmjchg6oy00cxzcy0movu6rh8</t>
  </si>
  <si>
    <t xml:space="preserve">cmjchgrik00dezcy0zw7s2i70</t>
  </si>
  <si>
    <t xml:space="preserve">479d3bf4-5a23-4a2f-b24f-4694e76abdcb</t>
  </si>
  <si>
    <t xml:space="preserve">cmjchh5w300dizcy08ot7fv5b</t>
  </si>
  <si>
    <t xml:space="preserve">cmjchhlgm00dzzcy07wgm375i</t>
  </si>
  <si>
    <t xml:space="preserve">03c0bd8a-e6c4-4683-88b5-f5dbad1d9272</t>
  </si>
  <si>
    <t xml:space="preserve">cmjchhqo400e3zcy0ya5lk8x9</t>
  </si>
  <si>
    <t xml:space="preserve">cmjchi5xm00ekzcy06l89kj7r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</si>
  <si>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</si>
  <si>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</si>
  <si>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</si>
  <si>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</si>
  <si>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</si>
  <si>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</si>
  <si>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ac15p</t>
  </si>
  <si>
    <t xml:space="preserve">control</t>
  </si>
  <si>
    <t xml:space="preserve">std.ac15p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</si>
  <si>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</si>
  <si>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</si>
  <si>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</si>
  <si>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</si>
  <si>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</si>
  <si>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scenario</t>
  </si>
  <si>
    <t xml:space="preserve">average control</t>
  </si>
</sst>
</file>

<file path=xl/styles.xml><?xml version="1.0" encoding="utf-8"?>
<styleSheet xmlns="http://schemas.openxmlformats.org/spreadsheetml/2006/main">
  <numFmts count="2">
    <numFmt numFmtId="164" formatCode="0.000000;[RED]\-0.000000"/>
    <numFmt numFmtId="165" formatCode="General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0.000000;[RED]\-0.000000</c:formatCode>
                <c:ptCount val="25"/>
                <c:pt idx="0">
                  <c:v>0.782943341241136</c:v>
                </c:pt>
                <c:pt idx="1">
                  <c:v>0.72616787514369</c:v>
                </c:pt>
                <c:pt idx="2">
                  <c:v>0.762384843564062</c:v>
                </c:pt>
                <c:pt idx="3">
                  <c:v>0.703293963123335</c:v>
                </c:pt>
                <c:pt idx="4">
                  <c:v>0.729690702766813</c:v>
                </c:pt>
                <c:pt idx="5">
                  <c:v>0.752076127330993</c:v>
                </c:pt>
                <c:pt idx="6">
                  <c:v>0.811772559323065</c:v>
                </c:pt>
                <c:pt idx="7">
                  <c:v>0.718329243982785</c:v>
                </c:pt>
                <c:pt idx="8">
                  <c:v>0.750898507673254</c:v>
                </c:pt>
                <c:pt idx="9">
                  <c:v>0.712335367494729</c:v>
                </c:pt>
                <c:pt idx="10">
                  <c:v>0.77617002993037</c:v>
                </c:pt>
                <c:pt idx="11">
                  <c:v>0.770418007906113</c:v>
                </c:pt>
                <c:pt idx="12">
                  <c:v>0.687181835442281</c:v>
                </c:pt>
                <c:pt idx="13">
                  <c:v>0.81381364646817</c:v>
                </c:pt>
                <c:pt idx="14">
                  <c:v>0.78154173279719</c:v>
                </c:pt>
                <c:pt idx="15">
                  <c:v>0.679973262997131</c:v>
                </c:pt>
                <c:pt idx="16">
                  <c:v>0.804539740964931</c:v>
                </c:pt>
                <c:pt idx="17">
                  <c:v>0.575788380252692</c:v>
                </c:pt>
                <c:pt idx="18">
                  <c:v>0.808293439836629</c:v>
                </c:pt>
                <c:pt idx="19">
                  <c:v>0.631098700615939</c:v>
                </c:pt>
                <c:pt idx="20">
                  <c:v>0.723521456744309</c:v>
                </c:pt>
                <c:pt idx="21">
                  <c:v>0.667636089020494</c:v>
                </c:pt>
                <c:pt idx="22">
                  <c:v>0.729145136576755</c:v>
                </c:pt>
                <c:pt idx="23">
                  <c:v>0.768909591560026</c:v>
                </c:pt>
                <c:pt idx="24">
                  <c:v>0.694335761858647</c:v>
                </c:pt>
              </c:numCache>
            </c:numRef>
          </c:yVal>
          <c:smooth val="0"/>
        </c:ser>
        <c:axId val="26510606"/>
        <c:axId val="24299991"/>
      </c:scatterChart>
      <c:valAx>
        <c:axId val="2651060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299991"/>
        <c:crosses val="autoZero"/>
        <c:crossBetween val="midCat"/>
      </c:valAx>
      <c:valAx>
        <c:axId val="242999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51060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17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0.000000;[RED]\-0.000000</c:formatCode>
                <c:ptCount val="25"/>
                <c:pt idx="0">
                  <c:v>0.782943341241136</c:v>
                </c:pt>
                <c:pt idx="1">
                  <c:v>0.72616787514369</c:v>
                </c:pt>
                <c:pt idx="2">
                  <c:v>0.762384843564062</c:v>
                </c:pt>
                <c:pt idx="3">
                  <c:v>0.703293963123335</c:v>
                </c:pt>
                <c:pt idx="4">
                  <c:v>0.729690702766813</c:v>
                </c:pt>
                <c:pt idx="5">
                  <c:v>0.752076127330993</c:v>
                </c:pt>
                <c:pt idx="6">
                  <c:v>0.811772559323065</c:v>
                </c:pt>
                <c:pt idx="7">
                  <c:v>0.718329243982785</c:v>
                </c:pt>
                <c:pt idx="8">
                  <c:v>0.750898507673254</c:v>
                </c:pt>
                <c:pt idx="9">
                  <c:v>0.712335367494729</c:v>
                </c:pt>
                <c:pt idx="10">
                  <c:v>0.77617002993037</c:v>
                </c:pt>
                <c:pt idx="11">
                  <c:v>0.770418007906113</c:v>
                </c:pt>
                <c:pt idx="12">
                  <c:v>0.687181835442281</c:v>
                </c:pt>
                <c:pt idx="13">
                  <c:v>0.81381364646817</c:v>
                </c:pt>
                <c:pt idx="14">
                  <c:v>0.78154173279719</c:v>
                </c:pt>
                <c:pt idx="15">
                  <c:v>0.679973262997131</c:v>
                </c:pt>
                <c:pt idx="16">
                  <c:v>0.804539740964931</c:v>
                </c:pt>
                <c:pt idx="17">
                  <c:v>0.575788380252692</c:v>
                </c:pt>
                <c:pt idx="18">
                  <c:v>0.808293439836629</c:v>
                </c:pt>
                <c:pt idx="19">
                  <c:v>0.631098700615939</c:v>
                </c:pt>
                <c:pt idx="20">
                  <c:v>0.723521456744309</c:v>
                </c:pt>
                <c:pt idx="21">
                  <c:v>0.667636089020494</c:v>
                </c:pt>
                <c:pt idx="22">
                  <c:v>0.729145136576755</c:v>
                </c:pt>
                <c:pt idx="23">
                  <c:v>0.768909591560026</c:v>
                </c:pt>
                <c:pt idx="24">
                  <c:v>0.694335761858647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0.000000;[RED]\-0.000000</c:formatCode>
                <c:ptCount val="25"/>
                <c:pt idx="0">
                  <c:v>0.820620353982448</c:v>
                </c:pt>
                <c:pt idx="1">
                  <c:v>0.677850780887192</c:v>
                </c:pt>
                <c:pt idx="2">
                  <c:v>0.677952285287439</c:v>
                </c:pt>
                <c:pt idx="3">
                  <c:v>0.661353165434158</c:v>
                </c:pt>
                <c:pt idx="4">
                  <c:v>0.593991040073877</c:v>
                </c:pt>
                <c:pt idx="5">
                  <c:v>0.608645298556612</c:v>
                </c:pt>
                <c:pt idx="6">
                  <c:v>0.574818823501635</c:v>
                </c:pt>
                <c:pt idx="7">
                  <c:v>0.522250049685591</c:v>
                </c:pt>
                <c:pt idx="8">
                  <c:v>0.763435630553549</c:v>
                </c:pt>
                <c:pt idx="9">
                  <c:v>0.690362904205506</c:v>
                </c:pt>
                <c:pt idx="10">
                  <c:v>0.669616305799924</c:v>
                </c:pt>
                <c:pt idx="11">
                  <c:v>0.750515577717232</c:v>
                </c:pt>
                <c:pt idx="12">
                  <c:v>0.709222966214306</c:v>
                </c:pt>
                <c:pt idx="13">
                  <c:v>0.526107506619162</c:v>
                </c:pt>
                <c:pt idx="14">
                  <c:v>0.568606644280233</c:v>
                </c:pt>
                <c:pt idx="15">
                  <c:v>0.495011712365797</c:v>
                </c:pt>
                <c:pt idx="16">
                  <c:v>0.672995011679508</c:v>
                </c:pt>
                <c:pt idx="17">
                  <c:v>0.637832242885566</c:v>
                </c:pt>
                <c:pt idx="18">
                  <c:v>0.677348078562667</c:v>
                </c:pt>
                <c:pt idx="19">
                  <c:v>0.675947228908232</c:v>
                </c:pt>
                <c:pt idx="20">
                  <c:v>0.610943329404948</c:v>
                </c:pt>
                <c:pt idx="21">
                  <c:v>0.750091190228488</c:v>
                </c:pt>
                <c:pt idx="22">
                  <c:v>0.569584008433566</c:v>
                </c:pt>
                <c:pt idx="23">
                  <c:v>0.517039819129782</c:v>
                </c:pt>
                <c:pt idx="24">
                  <c:v>0.629656577085868</c:v>
                </c:pt>
              </c:numCache>
            </c:numRef>
          </c:yVal>
          <c:smooth val="0"/>
        </c:ser>
        <c:axId val="20381566"/>
        <c:axId val="93211664"/>
      </c:scatterChart>
      <c:valAx>
        <c:axId val="203815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211664"/>
        <c:crosses val="autoZero"/>
        <c:crossBetween val="midCat"/>
      </c:valAx>
      <c:valAx>
        <c:axId val="932116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3815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186840</xdr:colOff>
      <xdr:row>4</xdr:row>
      <xdr:rowOff>112320</xdr:rowOff>
    </xdr:from>
    <xdr:to>
      <xdr:col>10</xdr:col>
      <xdr:colOff>254880</xdr:colOff>
      <xdr:row>24</xdr:row>
      <xdr:rowOff>94320</xdr:rowOff>
    </xdr:to>
    <xdr:graphicFrame>
      <xdr:nvGraphicFramePr>
        <xdr:cNvPr id="1" name=""/>
        <xdr:cNvGraphicFramePr/>
      </xdr:nvGraphicFramePr>
      <xdr:xfrm>
        <a:off x="2732400" y="762480"/>
        <a:ext cx="5095440" cy="323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288000</xdr:colOff>
      <xdr:row>5</xdr:row>
      <xdr:rowOff>72360</xdr:rowOff>
    </xdr:from>
    <xdr:to>
      <xdr:col>9</xdr:col>
      <xdr:colOff>509400</xdr:colOff>
      <xdr:row>25</xdr:row>
      <xdr:rowOff>55800</xdr:rowOff>
    </xdr:to>
    <xdr:graphicFrame>
      <xdr:nvGraphicFramePr>
        <xdr:cNvPr id="2" name=""/>
        <xdr:cNvGraphicFramePr/>
      </xdr:nvGraphicFramePr>
      <xdr:xfrm>
        <a:off x="4339440" y="885240"/>
        <a:ext cx="511596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2" activeCellId="1" sqref="E4:L4 O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15.05"/>
    <col collapsed="false" customWidth="true" hidden="false" outlineLevel="0" max="5" min="5" style="1" width="15.48"/>
    <col collapsed="false" customWidth="false" hidden="false" outlineLevel="0" max="6" min="6" style="1" width="10.5"/>
    <col collapsed="false" customWidth="true" hidden="false" outlineLevel="0" max="7" min="7" style="1" width="48.16"/>
    <col collapsed="false" customWidth="true" hidden="false" outlineLevel="0" max="8" min="8" style="1" width="9.05"/>
    <col collapsed="false" customWidth="true" hidden="false" outlineLevel="0" max="10" min="9" style="1" width="23.88"/>
    <col collapsed="false" customWidth="true" hidden="false" outlineLevel="0" max="11" min="11" style="1" width="27.33"/>
    <col collapsed="false" customWidth="true" hidden="false" outlineLevel="0" max="12" min="12" style="1" width="23.88"/>
    <col collapsed="false" customWidth="true" hidden="false" outlineLevel="0" max="15" min="15" style="0" width="22.11"/>
    <col collapsed="false" customWidth="true" hidden="false" outlineLevel="0" max="17" min="17" style="1" width="24.63"/>
  </cols>
  <sheetData>
    <row r="1" customFormat="false" ht="26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O1" s="0" t="s">
        <v>12</v>
      </c>
      <c r="P1" s="3" t="s">
        <v>13</v>
      </c>
      <c r="Q1" s="3" t="s">
        <v>14</v>
      </c>
      <c r="R1" s="4" t="s">
        <v>15</v>
      </c>
    </row>
    <row r="2" customFormat="false" ht="15" hidden="false" customHeight="false" outlineLevel="0" collapsed="false">
      <c r="G2" s="2"/>
      <c r="O2" s="0" t="n">
        <f aca="false">AVERAGE(K3:K152)</f>
        <v>0.0522282945400777</v>
      </c>
      <c r="P2" s="5" t="n">
        <f aca="false">COUNT(K3:K152)</f>
        <v>150</v>
      </c>
      <c r="Q2" s="5" t="n">
        <f aca="false">CORREL(H3:H152,K3:K152)</f>
        <v>-0.059158261903144</v>
      </c>
      <c r="R2" s="5" t="n">
        <v>0.472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0.2051</v>
      </c>
      <c r="I3" s="1" t="n">
        <v>0.336389138522813</v>
      </c>
      <c r="J3" s="1" t="n">
        <v>0.430807044110638</v>
      </c>
      <c r="K3" s="1" t="n">
        <f aca="false">J3-I3</f>
        <v>0.0944179055878258</v>
      </c>
      <c r="L3" s="1" t="n">
        <v>0.782943341241136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1" t="s">
        <v>22</v>
      </c>
      <c r="H4" s="1" t="n">
        <v>0.1784</v>
      </c>
      <c r="I4" s="1" t="n">
        <v>0.292636807755719</v>
      </c>
      <c r="J4" s="1" t="n">
        <v>0.302321341816098</v>
      </c>
      <c r="K4" s="1" t="n">
        <f aca="false">J4-I4</f>
        <v>0.009684534060379</v>
      </c>
      <c r="L4" s="1" t="n">
        <v>0.782943341241136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1" t="s">
        <v>23</v>
      </c>
      <c r="H5" s="1" t="n">
        <v>0.1734</v>
      </c>
      <c r="I5" s="1" t="n">
        <v>0.28434081765267</v>
      </c>
      <c r="J5" s="1" t="n">
        <v>0.364121782021573</v>
      </c>
      <c r="K5" s="1" t="n">
        <f aca="false">J5-I5</f>
        <v>0.0797809643689029</v>
      </c>
      <c r="L5" s="1" t="n">
        <v>0.782943341241136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1" t="s">
        <v>24</v>
      </c>
      <c r="H6" s="1" t="n">
        <v>0.1731</v>
      </c>
      <c r="I6" s="1" t="n">
        <v>0.28387276782863</v>
      </c>
      <c r="J6" s="1" t="n">
        <v>0.34630606789939</v>
      </c>
      <c r="K6" s="1" t="n">
        <f aca="false">J6-I6</f>
        <v>0.0624333000707599</v>
      </c>
      <c r="L6" s="1" t="n">
        <v>0.782943341241136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n">
        <v>0</v>
      </c>
      <c r="G7" s="1" t="s">
        <v>25</v>
      </c>
      <c r="H7" s="1" t="n">
        <v>0.17</v>
      </c>
      <c r="I7" s="1" t="n">
        <v>0.278877173841682</v>
      </c>
      <c r="J7" s="1" t="n">
        <v>0.340189282614414</v>
      </c>
      <c r="K7" s="1" t="n">
        <f aca="false">J7-I7</f>
        <v>0.0613121087727316</v>
      </c>
      <c r="L7" s="1" t="n">
        <v>0.782943341241136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n">
        <v>0</v>
      </c>
      <c r="G8" s="1" t="s">
        <v>26</v>
      </c>
      <c r="H8" s="1" t="n">
        <v>0.1</v>
      </c>
      <c r="I8" s="1" t="n">
        <v>0.208579685433732</v>
      </c>
      <c r="J8" s="1" t="n">
        <v>0.290496906444268</v>
      </c>
      <c r="K8" s="1" t="n">
        <f aca="false">J8-I8</f>
        <v>0.0819172210105353</v>
      </c>
      <c r="L8" s="1" t="n">
        <v>0.782943341241136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 t="n">
        <v>2</v>
      </c>
      <c r="G9" s="1" t="s">
        <v>21</v>
      </c>
      <c r="H9" s="1" t="n">
        <v>0.2205</v>
      </c>
      <c r="I9" s="1" t="n">
        <v>0.397768359376263</v>
      </c>
      <c r="J9" s="1" t="n">
        <v>0.406677240259791</v>
      </c>
      <c r="K9" s="1" t="n">
        <f aca="false">J9-I9</f>
        <v>0.00890888088352765</v>
      </c>
      <c r="L9" s="1" t="n">
        <v>0.72616787514369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1" t="n">
        <v>2</v>
      </c>
      <c r="G10" s="1" t="s">
        <v>30</v>
      </c>
      <c r="H10" s="1" t="n">
        <v>0.1768</v>
      </c>
      <c r="I10" s="1" t="n">
        <v>0.318876776993374</v>
      </c>
      <c r="J10" s="1" t="n">
        <v>0.389535967666846</v>
      </c>
      <c r="K10" s="1" t="n">
        <f aca="false">J10-I10</f>
        <v>0.0706591906734723</v>
      </c>
      <c r="L10" s="1" t="n">
        <v>0.72616787514369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1" t="n">
        <v>2</v>
      </c>
      <c r="G11" s="1" t="s">
        <v>23</v>
      </c>
      <c r="H11" s="1" t="n">
        <v>0.1714</v>
      </c>
      <c r="I11" s="1" t="n">
        <v>0.309114314456099</v>
      </c>
      <c r="J11" s="1" t="n">
        <v>0.367654150631114</v>
      </c>
      <c r="K11" s="1" t="n">
        <f aca="false">J11-I11</f>
        <v>0.0585398361750146</v>
      </c>
      <c r="L11" s="1" t="n">
        <v>0.72616787514369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1" t="n">
        <v>2</v>
      </c>
      <c r="G12" s="1" t="s">
        <v>24</v>
      </c>
      <c r="H12" s="1" t="n">
        <v>0.1692</v>
      </c>
      <c r="I12" s="1" t="n">
        <v>0.305124678686786</v>
      </c>
      <c r="J12" s="1" t="n">
        <v>0.334489669286175</v>
      </c>
      <c r="K12" s="1" t="n">
        <f aca="false">J12-I12</f>
        <v>0.0293649905993887</v>
      </c>
      <c r="L12" s="1" t="n">
        <v>0.72616787514369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1" t="n">
        <v>2</v>
      </c>
      <c r="G13" s="1" t="s">
        <v>25</v>
      </c>
      <c r="H13" s="1" t="n">
        <v>0.1621</v>
      </c>
      <c r="I13" s="1" t="n">
        <v>0.292376970641118</v>
      </c>
      <c r="J13" s="1" t="n">
        <v>0.338552672183356</v>
      </c>
      <c r="K13" s="1" t="n">
        <f aca="false">J13-I13</f>
        <v>0.0461757015422381</v>
      </c>
      <c r="L13" s="1" t="n">
        <v>0.72616787514369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1" t="n">
        <v>2</v>
      </c>
      <c r="G14" s="1" t="s">
        <v>26</v>
      </c>
      <c r="H14" s="1" t="n">
        <v>0.1</v>
      </c>
      <c r="I14" s="1" t="n">
        <v>0.273327883456508</v>
      </c>
      <c r="J14" s="1" t="n">
        <v>0.307598746682922</v>
      </c>
      <c r="K14" s="1" t="n">
        <f aca="false">J14-I14</f>
        <v>0.0342708632264141</v>
      </c>
      <c r="L14" s="1" t="n">
        <v>0.72616787514369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1" t="n">
        <v>4</v>
      </c>
      <c r="G15" s="1" t="s">
        <v>21</v>
      </c>
      <c r="H15" s="1" t="n">
        <v>0.1959</v>
      </c>
      <c r="I15" s="1" t="n">
        <v>0.333760046021243</v>
      </c>
      <c r="J15" s="1" t="n">
        <v>0.422814352902514</v>
      </c>
      <c r="K15" s="1" t="n">
        <f aca="false">J15-I15</f>
        <v>0.0890543068812711</v>
      </c>
      <c r="L15" s="1" t="n">
        <v>0.762384843564062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19</v>
      </c>
      <c r="E16" s="1" t="s">
        <v>20</v>
      </c>
      <c r="F16" s="1" t="n">
        <v>4</v>
      </c>
      <c r="G16" s="1" t="s">
        <v>22</v>
      </c>
      <c r="H16" s="1" t="n">
        <v>0.1859</v>
      </c>
      <c r="I16" s="1" t="n">
        <v>0.316674707496615</v>
      </c>
      <c r="J16" s="1" t="n">
        <v>0.351474213517375</v>
      </c>
      <c r="K16" s="1" t="n">
        <f aca="false">J16-I16</f>
        <v>0.03479950602076</v>
      </c>
      <c r="L16" s="1" t="n">
        <v>0.762384843564062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19</v>
      </c>
      <c r="E17" s="1" t="s">
        <v>20</v>
      </c>
      <c r="F17" s="1" t="n">
        <v>4</v>
      </c>
      <c r="G17" s="1" t="s">
        <v>30</v>
      </c>
      <c r="H17" s="1" t="n">
        <v>0.1794</v>
      </c>
      <c r="I17" s="1" t="n">
        <v>0.305734324952162</v>
      </c>
      <c r="J17" s="1" t="n">
        <v>0.375720636628375</v>
      </c>
      <c r="K17" s="1" t="n">
        <f aca="false">J17-I17</f>
        <v>0.0699863116762131</v>
      </c>
      <c r="L17" s="1" t="n">
        <v>0.762384843564062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19</v>
      </c>
      <c r="E18" s="1" t="s">
        <v>20</v>
      </c>
      <c r="F18" s="1" t="n">
        <v>4</v>
      </c>
      <c r="G18" s="1" t="s">
        <v>23</v>
      </c>
      <c r="H18" s="1" t="n">
        <v>0.1785</v>
      </c>
      <c r="I18" s="1" t="n">
        <v>0.304073455629048</v>
      </c>
      <c r="J18" s="1" t="n">
        <v>0.379777251265173</v>
      </c>
      <c r="K18" s="1" t="n">
        <f aca="false">J18-I18</f>
        <v>0.0757037956361255</v>
      </c>
      <c r="L18" s="1" t="n">
        <v>0.762384843564062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19</v>
      </c>
      <c r="E19" s="1" t="s">
        <v>20</v>
      </c>
      <c r="F19" s="1" t="n">
        <v>4</v>
      </c>
      <c r="G19" s="1" t="s">
        <v>25</v>
      </c>
      <c r="H19" s="1" t="n">
        <v>0.1603</v>
      </c>
      <c r="I19" s="1" t="n">
        <v>0.273176303133004</v>
      </c>
      <c r="J19" s="1" t="n">
        <v>0.365682403594603</v>
      </c>
      <c r="K19" s="1" t="n">
        <f aca="false">J19-I19</f>
        <v>0.0925061004615996</v>
      </c>
      <c r="L19" s="1" t="n">
        <v>0.762384843564062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19</v>
      </c>
      <c r="E20" s="1" t="s">
        <v>20</v>
      </c>
      <c r="F20" s="1" t="n">
        <v>4</v>
      </c>
      <c r="G20" s="1" t="s">
        <v>26</v>
      </c>
      <c r="H20" s="1" t="n">
        <v>0.1</v>
      </c>
      <c r="I20" s="1" t="n">
        <v>0.228880558110619</v>
      </c>
      <c r="J20" s="1" t="n">
        <v>0.305255448031761</v>
      </c>
      <c r="K20" s="1" t="n">
        <f aca="false">J20-I20</f>
        <v>0.0763748899211425</v>
      </c>
      <c r="L20" s="1" t="n">
        <v>0.762384843564062</v>
      </c>
    </row>
    <row r="21" customFormat="false" ht="15" hidden="false" customHeight="false" outlineLevel="0" collapsed="false">
      <c r="A21" s="1" t="s">
        <v>34</v>
      </c>
      <c r="B21" s="1" t="s">
        <v>35</v>
      </c>
      <c r="C21" s="1" t="s">
        <v>36</v>
      </c>
      <c r="D21" s="1" t="s">
        <v>19</v>
      </c>
      <c r="E21" s="1" t="s">
        <v>20</v>
      </c>
      <c r="F21" s="1" t="n">
        <v>6</v>
      </c>
      <c r="G21" s="1" t="s">
        <v>21</v>
      </c>
      <c r="H21" s="1" t="n">
        <v>0.1934</v>
      </c>
      <c r="I21" s="1" t="n">
        <v>0.369450009114084</v>
      </c>
      <c r="J21" s="1" t="n">
        <v>0.393557442644717</v>
      </c>
      <c r="K21" s="1" t="n">
        <f aca="false">J21-I21</f>
        <v>0.0241074335306328</v>
      </c>
      <c r="L21" s="1" t="n">
        <v>0.703293963123335</v>
      </c>
    </row>
    <row r="22" customFormat="false" ht="15" hidden="false" customHeight="false" outlineLevel="0" collapsed="false">
      <c r="A22" s="1" t="s">
        <v>34</v>
      </c>
      <c r="B22" s="1" t="s">
        <v>35</v>
      </c>
      <c r="C22" s="1" t="s">
        <v>36</v>
      </c>
      <c r="D22" s="1" t="s">
        <v>19</v>
      </c>
      <c r="E22" s="1" t="s">
        <v>20</v>
      </c>
      <c r="F22" s="1" t="n">
        <v>6</v>
      </c>
      <c r="G22" s="1" t="s">
        <v>22</v>
      </c>
      <c r="H22" s="1" t="n">
        <v>0.189</v>
      </c>
      <c r="I22" s="1" t="n">
        <v>0.360963122806009</v>
      </c>
      <c r="J22" s="1" t="n">
        <v>0.254139611287794</v>
      </c>
      <c r="K22" s="1" t="n">
        <f aca="false">J22-I22</f>
        <v>-0.106823511518215</v>
      </c>
      <c r="L22" s="1" t="n">
        <v>0.703293963123335</v>
      </c>
    </row>
    <row r="23" customFormat="false" ht="15" hidden="false" customHeight="false" outlineLevel="0" collapsed="false">
      <c r="A23" s="1" t="s">
        <v>34</v>
      </c>
      <c r="B23" s="1" t="s">
        <v>35</v>
      </c>
      <c r="C23" s="1" t="s">
        <v>36</v>
      </c>
      <c r="D23" s="1" t="s">
        <v>19</v>
      </c>
      <c r="E23" s="1" t="s">
        <v>20</v>
      </c>
      <c r="F23" s="1" t="n">
        <v>6</v>
      </c>
      <c r="G23" s="1" t="s">
        <v>23</v>
      </c>
      <c r="H23" s="1" t="n">
        <v>0.1805</v>
      </c>
      <c r="I23" s="1" t="n">
        <v>0.34486774259514</v>
      </c>
      <c r="J23" s="1" t="n">
        <v>0.285340248950469</v>
      </c>
      <c r="K23" s="1" t="n">
        <f aca="false">J23-I23</f>
        <v>-0.0595274936446703</v>
      </c>
      <c r="L23" s="1" t="n">
        <v>0.703293963123335</v>
      </c>
    </row>
    <row r="24" customFormat="false" ht="15" hidden="false" customHeight="false" outlineLevel="0" collapsed="false">
      <c r="A24" s="1" t="s">
        <v>34</v>
      </c>
      <c r="B24" s="1" t="s">
        <v>35</v>
      </c>
      <c r="C24" s="1" t="s">
        <v>36</v>
      </c>
      <c r="D24" s="1" t="s">
        <v>19</v>
      </c>
      <c r="E24" s="1" t="s">
        <v>20</v>
      </c>
      <c r="F24" s="1" t="n">
        <v>6</v>
      </c>
      <c r="G24" s="1" t="s">
        <v>25</v>
      </c>
      <c r="H24" s="1" t="n">
        <v>0.1707</v>
      </c>
      <c r="I24" s="1" t="n">
        <v>0.32609569501596</v>
      </c>
      <c r="J24" s="1" t="n">
        <v>0.305109835694389</v>
      </c>
      <c r="K24" s="1" t="n">
        <f aca="false">J24-I24</f>
        <v>-0.0209858593215719</v>
      </c>
      <c r="L24" s="1" t="n">
        <v>0.703293963123335</v>
      </c>
    </row>
    <row r="25" customFormat="false" ht="15" hidden="false" customHeight="false" outlineLevel="0" collapsed="false">
      <c r="A25" s="1" t="s">
        <v>34</v>
      </c>
      <c r="B25" s="1" t="s">
        <v>35</v>
      </c>
      <c r="C25" s="1" t="s">
        <v>36</v>
      </c>
      <c r="D25" s="1" t="s">
        <v>19</v>
      </c>
      <c r="E25" s="1" t="s">
        <v>20</v>
      </c>
      <c r="F25" s="1" t="n">
        <v>6</v>
      </c>
      <c r="G25" s="1" t="s">
        <v>30</v>
      </c>
      <c r="H25" s="1" t="n">
        <v>0.1664</v>
      </c>
      <c r="I25" s="1" t="n">
        <v>0.31777672174329</v>
      </c>
      <c r="J25" s="1" t="n">
        <v>0.27379415715876</v>
      </c>
      <c r="K25" s="1" t="n">
        <f aca="false">J25-I25</f>
        <v>-0.0439825645845301</v>
      </c>
      <c r="L25" s="1" t="n">
        <v>0.703293963123335</v>
      </c>
    </row>
    <row r="26" customFormat="false" ht="15" hidden="false" customHeight="false" outlineLevel="0" collapsed="false">
      <c r="A26" s="1" t="s">
        <v>34</v>
      </c>
      <c r="B26" s="1" t="s">
        <v>35</v>
      </c>
      <c r="C26" s="1" t="s">
        <v>36</v>
      </c>
      <c r="D26" s="1" t="s">
        <v>19</v>
      </c>
      <c r="E26" s="1" t="s">
        <v>20</v>
      </c>
      <c r="F26" s="1" t="n">
        <v>6</v>
      </c>
      <c r="G26" s="1" t="s">
        <v>26</v>
      </c>
      <c r="H26" s="1" t="n">
        <v>0.1</v>
      </c>
      <c r="I26" s="1" t="n">
        <v>0.264099041586706</v>
      </c>
      <c r="J26" s="1" t="n">
        <v>0.23505266729901</v>
      </c>
      <c r="K26" s="1" t="n">
        <f aca="false">J26-I26</f>
        <v>-0.0290463742876959</v>
      </c>
      <c r="L26" s="1" t="n">
        <v>0.703293963123335</v>
      </c>
    </row>
    <row r="27" customFormat="false" ht="15" hidden="false" customHeight="false" outlineLevel="0" collapsed="false">
      <c r="A27" s="1" t="s">
        <v>37</v>
      </c>
      <c r="B27" s="1" t="s">
        <v>38</v>
      </c>
      <c r="C27" s="1" t="s">
        <v>39</v>
      </c>
      <c r="D27" s="1" t="s">
        <v>19</v>
      </c>
      <c r="E27" s="1" t="s">
        <v>20</v>
      </c>
      <c r="F27" s="1" t="n">
        <v>8</v>
      </c>
      <c r="G27" s="1" t="s">
        <v>21</v>
      </c>
      <c r="H27" s="1" t="n">
        <v>0.2338</v>
      </c>
      <c r="I27" s="1" t="n">
        <v>0.369774290357533</v>
      </c>
      <c r="J27" s="1" t="n">
        <v>0.463871824571798</v>
      </c>
      <c r="K27" s="1" t="n">
        <f aca="false">J27-I27</f>
        <v>0.0940975342142654</v>
      </c>
      <c r="L27" s="1" t="n">
        <v>0.729690702766813</v>
      </c>
    </row>
    <row r="28" customFormat="false" ht="15" hidden="false" customHeight="false" outlineLevel="0" collapsed="false">
      <c r="A28" s="1" t="s">
        <v>37</v>
      </c>
      <c r="B28" s="1" t="s">
        <v>38</v>
      </c>
      <c r="C28" s="1" t="s">
        <v>39</v>
      </c>
      <c r="D28" s="1" t="s">
        <v>19</v>
      </c>
      <c r="E28" s="1" t="s">
        <v>20</v>
      </c>
      <c r="F28" s="1" t="n">
        <v>8</v>
      </c>
      <c r="G28" s="1" t="s">
        <v>25</v>
      </c>
      <c r="H28" s="1" t="n">
        <v>0.1725</v>
      </c>
      <c r="I28" s="1" t="n">
        <v>0.272720335788327</v>
      </c>
      <c r="J28" s="1" t="n">
        <v>0.339536838910403</v>
      </c>
      <c r="K28" s="1" t="n">
        <f aca="false">J28-I28</f>
        <v>0.066816503122076</v>
      </c>
      <c r="L28" s="1" t="n">
        <v>0.729690702766813</v>
      </c>
    </row>
    <row r="29" customFormat="false" ht="15" hidden="false" customHeight="false" outlineLevel="0" collapsed="false">
      <c r="A29" s="1" t="s">
        <v>37</v>
      </c>
      <c r="B29" s="1" t="s">
        <v>38</v>
      </c>
      <c r="C29" s="1" t="s">
        <v>39</v>
      </c>
      <c r="D29" s="1" t="s">
        <v>19</v>
      </c>
      <c r="E29" s="1" t="s">
        <v>20</v>
      </c>
      <c r="F29" s="1" t="n">
        <v>8</v>
      </c>
      <c r="G29" s="1" t="s">
        <v>24</v>
      </c>
      <c r="H29" s="1" t="n">
        <v>0.1666</v>
      </c>
      <c r="I29" s="1" t="n">
        <v>0.263376276589016</v>
      </c>
      <c r="J29" s="1" t="n">
        <v>0.364930441385651</v>
      </c>
      <c r="K29" s="1" t="n">
        <f aca="false">J29-I29</f>
        <v>0.101554164796635</v>
      </c>
      <c r="L29" s="1" t="n">
        <v>0.729690702766813</v>
      </c>
    </row>
    <row r="30" customFormat="false" ht="15" hidden="false" customHeight="false" outlineLevel="0" collapsed="false">
      <c r="A30" s="1" t="s">
        <v>37</v>
      </c>
      <c r="B30" s="1" t="s">
        <v>38</v>
      </c>
      <c r="C30" s="1" t="s">
        <v>39</v>
      </c>
      <c r="D30" s="1" t="s">
        <v>19</v>
      </c>
      <c r="E30" s="1" t="s">
        <v>20</v>
      </c>
      <c r="F30" s="1" t="n">
        <v>8</v>
      </c>
      <c r="G30" s="1" t="s">
        <v>23</v>
      </c>
      <c r="H30" s="1" t="n">
        <v>0.1646</v>
      </c>
      <c r="I30" s="1" t="n">
        <v>0.260249465050657</v>
      </c>
      <c r="J30" s="1" t="n">
        <v>0.375974874002871</v>
      </c>
      <c r="K30" s="1" t="n">
        <f aca="false">J30-I30</f>
        <v>0.115725408952214</v>
      </c>
      <c r="L30" s="1" t="n">
        <v>0.729690702766813</v>
      </c>
    </row>
    <row r="31" customFormat="false" ht="15" hidden="false" customHeight="false" outlineLevel="0" collapsed="false">
      <c r="A31" s="1" t="s">
        <v>37</v>
      </c>
      <c r="B31" s="1" t="s">
        <v>38</v>
      </c>
      <c r="C31" s="1" t="s">
        <v>39</v>
      </c>
      <c r="D31" s="1" t="s">
        <v>19</v>
      </c>
      <c r="E31" s="1" t="s">
        <v>20</v>
      </c>
      <c r="F31" s="1" t="n">
        <v>8</v>
      </c>
      <c r="G31" s="1" t="s">
        <v>40</v>
      </c>
      <c r="H31" s="1" t="n">
        <v>0.1626</v>
      </c>
      <c r="I31" s="1" t="n">
        <v>0.257042932431412</v>
      </c>
      <c r="J31" s="1" t="n">
        <v>0.323051081333008</v>
      </c>
      <c r="K31" s="1" t="n">
        <f aca="false">J31-I31</f>
        <v>0.0660081489015961</v>
      </c>
      <c r="L31" s="1" t="n">
        <v>0.729690702766813</v>
      </c>
    </row>
    <row r="32" customFormat="false" ht="15" hidden="false" customHeight="false" outlineLevel="0" collapsed="false">
      <c r="A32" s="1" t="s">
        <v>37</v>
      </c>
      <c r="B32" s="1" t="s">
        <v>38</v>
      </c>
      <c r="C32" s="1" t="s">
        <v>39</v>
      </c>
      <c r="D32" s="1" t="s">
        <v>19</v>
      </c>
      <c r="E32" s="1" t="s">
        <v>20</v>
      </c>
      <c r="F32" s="1" t="n">
        <v>8</v>
      </c>
      <c r="G32" s="1" t="s">
        <v>26</v>
      </c>
      <c r="H32" s="1" t="n">
        <v>0.1</v>
      </c>
      <c r="I32" s="1" t="n">
        <v>0.215298710887398</v>
      </c>
      <c r="J32" s="1" t="n">
        <v>0.328270816701678</v>
      </c>
      <c r="K32" s="1" t="n">
        <f aca="false">J32-I32</f>
        <v>0.11297210581428</v>
      </c>
      <c r="L32" s="1" t="n">
        <v>0.729690702766813</v>
      </c>
    </row>
    <row r="33" customFormat="false" ht="15" hidden="false" customHeight="false" outlineLevel="0" collapsed="false">
      <c r="A33" s="1" t="s">
        <v>41</v>
      </c>
      <c r="B33" s="1" t="s">
        <v>42</v>
      </c>
      <c r="C33" s="1" t="s">
        <v>43</v>
      </c>
      <c r="D33" s="1" t="s">
        <v>19</v>
      </c>
      <c r="E33" s="1" t="s">
        <v>20</v>
      </c>
      <c r="F33" s="1" t="n">
        <v>10</v>
      </c>
      <c r="G33" s="1" t="s">
        <v>21</v>
      </c>
      <c r="H33" s="1" t="n">
        <v>0.2116</v>
      </c>
      <c r="I33" s="1" t="n">
        <v>0.368224797868028</v>
      </c>
      <c r="J33" s="1" t="n">
        <v>0.467594018821167</v>
      </c>
      <c r="K33" s="1" t="n">
        <f aca="false">J33-I33</f>
        <v>0.0993692209531393</v>
      </c>
      <c r="L33" s="1" t="n">
        <v>0.752076127330993</v>
      </c>
    </row>
    <row r="34" customFormat="false" ht="15" hidden="false" customHeight="false" outlineLevel="0" collapsed="false">
      <c r="A34" s="1" t="s">
        <v>41</v>
      </c>
      <c r="B34" s="1" t="s">
        <v>42</v>
      </c>
      <c r="C34" s="1" t="s">
        <v>43</v>
      </c>
      <c r="D34" s="1" t="s">
        <v>19</v>
      </c>
      <c r="E34" s="1" t="s">
        <v>20</v>
      </c>
      <c r="F34" s="1" t="n">
        <v>10</v>
      </c>
      <c r="G34" s="1" t="s">
        <v>23</v>
      </c>
      <c r="H34" s="1" t="n">
        <v>0.1821</v>
      </c>
      <c r="I34" s="1" t="n">
        <v>0.316843922647543</v>
      </c>
      <c r="J34" s="1" t="n">
        <v>0.403003851833918</v>
      </c>
      <c r="K34" s="1" t="n">
        <f aca="false">J34-I34</f>
        <v>0.0861599291863747</v>
      </c>
      <c r="L34" s="1" t="n">
        <v>0.752076127330993</v>
      </c>
    </row>
    <row r="35" customFormat="false" ht="15" hidden="false" customHeight="false" outlineLevel="0" collapsed="false">
      <c r="A35" s="1" t="s">
        <v>41</v>
      </c>
      <c r="B35" s="1" t="s">
        <v>42</v>
      </c>
      <c r="C35" s="1" t="s">
        <v>43</v>
      </c>
      <c r="D35" s="1" t="s">
        <v>19</v>
      </c>
      <c r="E35" s="1" t="s">
        <v>20</v>
      </c>
      <c r="F35" s="1" t="n">
        <v>10</v>
      </c>
      <c r="G35" s="1" t="s">
        <v>24</v>
      </c>
      <c r="H35" s="1" t="n">
        <v>0.1751</v>
      </c>
      <c r="I35" s="1" t="n">
        <v>0.304708786154533</v>
      </c>
      <c r="J35" s="1" t="n">
        <v>0.364027805093666</v>
      </c>
      <c r="K35" s="1" t="n">
        <f aca="false">J35-I35</f>
        <v>0.0593190189391336</v>
      </c>
      <c r="L35" s="1" t="n">
        <v>0.752076127330993</v>
      </c>
    </row>
    <row r="36" customFormat="false" ht="15" hidden="false" customHeight="false" outlineLevel="0" collapsed="false">
      <c r="A36" s="1" t="s">
        <v>41</v>
      </c>
      <c r="B36" s="1" t="s">
        <v>42</v>
      </c>
      <c r="C36" s="1" t="s">
        <v>43</v>
      </c>
      <c r="D36" s="1" t="s">
        <v>19</v>
      </c>
      <c r="E36" s="1" t="s">
        <v>20</v>
      </c>
      <c r="F36" s="1" t="n">
        <v>10</v>
      </c>
      <c r="G36" s="1" t="s">
        <v>30</v>
      </c>
      <c r="H36" s="1" t="n">
        <v>0.1661</v>
      </c>
      <c r="I36" s="1" t="n">
        <v>0.289019566748287</v>
      </c>
      <c r="J36" s="1" t="n">
        <v>0.373068091812728</v>
      </c>
      <c r="K36" s="1" t="n">
        <f aca="false">J36-I36</f>
        <v>0.0840485250644416</v>
      </c>
      <c r="L36" s="1" t="n">
        <v>0.752076127330993</v>
      </c>
    </row>
    <row r="37" customFormat="false" ht="15" hidden="false" customHeight="false" outlineLevel="0" collapsed="false">
      <c r="A37" s="1" t="s">
        <v>41</v>
      </c>
      <c r="B37" s="1" t="s">
        <v>42</v>
      </c>
      <c r="C37" s="1" t="s">
        <v>43</v>
      </c>
      <c r="D37" s="1" t="s">
        <v>19</v>
      </c>
      <c r="E37" s="1" t="s">
        <v>20</v>
      </c>
      <c r="F37" s="1" t="n">
        <v>10</v>
      </c>
      <c r="G37" s="1" t="s">
        <v>44</v>
      </c>
      <c r="H37" s="1" t="n">
        <v>0.1651</v>
      </c>
      <c r="I37" s="1" t="n">
        <v>0.287262634878876</v>
      </c>
      <c r="J37" s="1" t="n">
        <v>0.3445714905031</v>
      </c>
      <c r="K37" s="1" t="n">
        <f aca="false">J37-I37</f>
        <v>0.0573088556242237</v>
      </c>
      <c r="L37" s="1" t="n">
        <v>0.752076127330993</v>
      </c>
    </row>
    <row r="38" customFormat="false" ht="15" hidden="false" customHeight="false" outlineLevel="0" collapsed="false">
      <c r="A38" s="1" t="s">
        <v>41</v>
      </c>
      <c r="B38" s="1" t="s">
        <v>42</v>
      </c>
      <c r="C38" s="1" t="s">
        <v>43</v>
      </c>
      <c r="D38" s="1" t="s">
        <v>19</v>
      </c>
      <c r="E38" s="1" t="s">
        <v>20</v>
      </c>
      <c r="F38" s="1" t="n">
        <v>10</v>
      </c>
      <c r="G38" s="1" t="s">
        <v>26</v>
      </c>
      <c r="H38" s="1" t="n">
        <v>0.1</v>
      </c>
      <c r="I38" s="1" t="n">
        <v>0.238320989626568</v>
      </c>
      <c r="J38" s="1" t="n">
        <v>0.308325244551887</v>
      </c>
      <c r="K38" s="1" t="n">
        <f aca="false">J38-I38</f>
        <v>0.0700042549253192</v>
      </c>
      <c r="L38" s="1" t="n">
        <v>0.752076127330993</v>
      </c>
    </row>
    <row r="39" customFormat="false" ht="15" hidden="false" customHeight="false" outlineLevel="0" collapsed="false">
      <c r="A39" s="1" t="s">
        <v>45</v>
      </c>
      <c r="B39" s="1" t="s">
        <v>46</v>
      </c>
      <c r="C39" s="1" t="s">
        <v>47</v>
      </c>
      <c r="D39" s="1" t="s">
        <v>19</v>
      </c>
      <c r="E39" s="1" t="s">
        <v>20</v>
      </c>
      <c r="F39" s="1" t="n">
        <v>12</v>
      </c>
      <c r="G39" s="1" t="s">
        <v>21</v>
      </c>
      <c r="H39" s="1" t="n">
        <v>0.2297</v>
      </c>
      <c r="I39" s="1" t="n">
        <v>0.406152576428069</v>
      </c>
      <c r="J39" s="1" t="n">
        <v>0.440740966807868</v>
      </c>
      <c r="K39" s="1" t="n">
        <f aca="false">J39-I39</f>
        <v>0.0345883903797991</v>
      </c>
      <c r="L39" s="1" t="n">
        <v>0.811772559323065</v>
      </c>
    </row>
    <row r="40" customFormat="false" ht="15" hidden="false" customHeight="false" outlineLevel="0" collapsed="false">
      <c r="A40" s="1" t="s">
        <v>45</v>
      </c>
      <c r="B40" s="1" t="s">
        <v>46</v>
      </c>
      <c r="C40" s="1" t="s">
        <v>47</v>
      </c>
      <c r="D40" s="1" t="s">
        <v>19</v>
      </c>
      <c r="E40" s="1" t="s">
        <v>20</v>
      </c>
      <c r="F40" s="1" t="n">
        <v>12</v>
      </c>
      <c r="G40" s="1" t="s">
        <v>23</v>
      </c>
      <c r="H40" s="1" t="n">
        <v>0.1882</v>
      </c>
      <c r="I40" s="1" t="n">
        <v>0.332884810455158</v>
      </c>
      <c r="J40" s="1" t="n">
        <v>0.380621660527905</v>
      </c>
      <c r="K40" s="1" t="n">
        <f aca="false">J40-I40</f>
        <v>0.0477368500727471</v>
      </c>
      <c r="L40" s="1" t="n">
        <v>0.811772559323065</v>
      </c>
    </row>
    <row r="41" customFormat="false" ht="15" hidden="false" customHeight="false" outlineLevel="0" collapsed="false">
      <c r="A41" s="1" t="s">
        <v>45</v>
      </c>
      <c r="B41" s="1" t="s">
        <v>46</v>
      </c>
      <c r="C41" s="1" t="s">
        <v>47</v>
      </c>
      <c r="D41" s="1" t="s">
        <v>19</v>
      </c>
      <c r="E41" s="1" t="s">
        <v>20</v>
      </c>
      <c r="F41" s="1" t="n">
        <v>12</v>
      </c>
      <c r="G41" s="1" t="s">
        <v>40</v>
      </c>
      <c r="H41" s="1" t="n">
        <v>0.164</v>
      </c>
      <c r="I41" s="1" t="n">
        <v>0.290063763469783</v>
      </c>
      <c r="J41" s="1" t="n">
        <v>0.32873697011438</v>
      </c>
      <c r="K41" s="1" t="n">
        <f aca="false">J41-I41</f>
        <v>0.0386732066445966</v>
      </c>
      <c r="L41" s="1" t="n">
        <v>0.811772559323065</v>
      </c>
    </row>
    <row r="42" customFormat="false" ht="15" hidden="false" customHeight="false" outlineLevel="0" collapsed="false">
      <c r="A42" s="1" t="s">
        <v>45</v>
      </c>
      <c r="B42" s="1" t="s">
        <v>46</v>
      </c>
      <c r="C42" s="1" t="s">
        <v>47</v>
      </c>
      <c r="D42" s="1" t="s">
        <v>19</v>
      </c>
      <c r="E42" s="1" t="s">
        <v>20</v>
      </c>
      <c r="F42" s="1" t="n">
        <v>12</v>
      </c>
      <c r="G42" s="1" t="s">
        <v>24</v>
      </c>
      <c r="H42" s="1" t="n">
        <v>0.1602</v>
      </c>
      <c r="I42" s="1" t="n">
        <v>0.28324014601547</v>
      </c>
      <c r="J42" s="1" t="n">
        <v>0.341681564201803</v>
      </c>
      <c r="K42" s="1" t="n">
        <f aca="false">J42-I42</f>
        <v>0.058441418186333</v>
      </c>
      <c r="L42" s="1" t="n">
        <v>0.811772559323065</v>
      </c>
    </row>
    <row r="43" customFormat="false" ht="15" hidden="false" customHeight="false" outlineLevel="0" collapsed="false">
      <c r="A43" s="1" t="s">
        <v>45</v>
      </c>
      <c r="B43" s="1" t="s">
        <v>46</v>
      </c>
      <c r="C43" s="1" t="s">
        <v>47</v>
      </c>
      <c r="D43" s="1" t="s">
        <v>19</v>
      </c>
      <c r="E43" s="1" t="s">
        <v>20</v>
      </c>
      <c r="F43" s="1" t="n">
        <v>12</v>
      </c>
      <c r="G43" s="1" t="s">
        <v>25</v>
      </c>
      <c r="H43" s="1" t="n">
        <v>0.1579</v>
      </c>
      <c r="I43" s="1" t="n">
        <v>0.279213109626507</v>
      </c>
      <c r="J43" s="1" t="n">
        <v>0.35110910555157</v>
      </c>
      <c r="K43" s="1" t="n">
        <f aca="false">J43-I43</f>
        <v>0.071895995925063</v>
      </c>
      <c r="L43" s="1" t="n">
        <v>0.811772559323065</v>
      </c>
    </row>
    <row r="44" customFormat="false" ht="15" hidden="false" customHeight="false" outlineLevel="0" collapsed="false">
      <c r="A44" s="1" t="s">
        <v>45</v>
      </c>
      <c r="B44" s="1" t="s">
        <v>46</v>
      </c>
      <c r="C44" s="1" t="s">
        <v>47</v>
      </c>
      <c r="D44" s="1" t="s">
        <v>19</v>
      </c>
      <c r="E44" s="1" t="s">
        <v>20</v>
      </c>
      <c r="F44" s="1" t="n">
        <v>12</v>
      </c>
      <c r="G44" s="1" t="s">
        <v>26</v>
      </c>
      <c r="H44" s="1" t="n">
        <v>0.1</v>
      </c>
      <c r="I44" s="1" t="n">
        <v>0.240900865512991</v>
      </c>
      <c r="J44" s="1" t="n">
        <v>0.294041553013958</v>
      </c>
      <c r="K44" s="1" t="n">
        <f aca="false">J44-I44</f>
        <v>0.0531406875009673</v>
      </c>
      <c r="L44" s="1" t="n">
        <v>0.811772559323065</v>
      </c>
    </row>
    <row r="45" customFormat="false" ht="15" hidden="false" customHeight="false" outlineLevel="0" collapsed="false">
      <c r="A45" s="1" t="s">
        <v>48</v>
      </c>
      <c r="B45" s="1" t="s">
        <v>49</v>
      </c>
      <c r="C45" s="1" t="s">
        <v>50</v>
      </c>
      <c r="D45" s="1" t="s">
        <v>19</v>
      </c>
      <c r="E45" s="1" t="s">
        <v>20</v>
      </c>
      <c r="F45" s="1" t="n">
        <v>14</v>
      </c>
      <c r="G45" s="1" t="s">
        <v>21</v>
      </c>
      <c r="H45" s="1" t="n">
        <v>0.2059</v>
      </c>
      <c r="I45" s="1" t="n">
        <v>0.363506974947988</v>
      </c>
      <c r="J45" s="1" t="n">
        <v>0.429625552432079</v>
      </c>
      <c r="K45" s="1" t="n">
        <f aca="false">J45-I45</f>
        <v>0.0661185774840901</v>
      </c>
      <c r="L45" s="1" t="n">
        <v>0.718329243982785</v>
      </c>
    </row>
    <row r="46" customFormat="false" ht="15" hidden="false" customHeight="false" outlineLevel="0" collapsed="false">
      <c r="A46" s="1" t="s">
        <v>48</v>
      </c>
      <c r="B46" s="1" t="s">
        <v>49</v>
      </c>
      <c r="C46" s="1" t="s">
        <v>50</v>
      </c>
      <c r="D46" s="1" t="s">
        <v>19</v>
      </c>
      <c r="E46" s="1" t="s">
        <v>20</v>
      </c>
      <c r="F46" s="1" t="n">
        <v>14</v>
      </c>
      <c r="G46" s="1" t="s">
        <v>23</v>
      </c>
      <c r="H46" s="1" t="n">
        <v>0.1897</v>
      </c>
      <c r="I46" s="1" t="n">
        <v>0.334866295497901</v>
      </c>
      <c r="J46" s="1" t="n">
        <v>0.400499189013501</v>
      </c>
      <c r="K46" s="1" t="n">
        <f aca="false">J46-I46</f>
        <v>0.0656328935156001</v>
      </c>
      <c r="L46" s="1" t="n">
        <v>0.718329243982785</v>
      </c>
    </row>
    <row r="47" customFormat="false" ht="15" hidden="false" customHeight="false" outlineLevel="0" collapsed="false">
      <c r="A47" s="1" t="s">
        <v>48</v>
      </c>
      <c r="B47" s="1" t="s">
        <v>49</v>
      </c>
      <c r="C47" s="1" t="s">
        <v>50</v>
      </c>
      <c r="D47" s="1" t="s">
        <v>19</v>
      </c>
      <c r="E47" s="1" t="s">
        <v>20</v>
      </c>
      <c r="F47" s="1" t="n">
        <v>14</v>
      </c>
      <c r="G47" s="1" t="s">
        <v>44</v>
      </c>
      <c r="H47" s="1" t="n">
        <v>0.1709</v>
      </c>
      <c r="I47" s="1" t="n">
        <v>0.301768999313851</v>
      </c>
      <c r="J47" s="1" t="n">
        <v>0.363977509565859</v>
      </c>
      <c r="K47" s="1" t="n">
        <f aca="false">J47-I47</f>
        <v>0.0622085102520082</v>
      </c>
      <c r="L47" s="1" t="n">
        <v>0.718329243982785</v>
      </c>
    </row>
    <row r="48" customFormat="false" ht="15" hidden="false" customHeight="false" outlineLevel="0" collapsed="false">
      <c r="A48" s="1" t="s">
        <v>48</v>
      </c>
      <c r="B48" s="1" t="s">
        <v>49</v>
      </c>
      <c r="C48" s="1" t="s">
        <v>50</v>
      </c>
      <c r="D48" s="1" t="s">
        <v>19</v>
      </c>
      <c r="E48" s="1" t="s">
        <v>20</v>
      </c>
      <c r="F48" s="1" t="n">
        <v>14</v>
      </c>
      <c r="G48" s="1" t="s">
        <v>25</v>
      </c>
      <c r="H48" s="1" t="n">
        <v>0.1688</v>
      </c>
      <c r="I48" s="1" t="n">
        <v>0.298006178219612</v>
      </c>
      <c r="J48" s="1" t="n">
        <v>0.36701087239707</v>
      </c>
      <c r="K48" s="1" t="n">
        <f aca="false">J48-I48</f>
        <v>0.0690046941774583</v>
      </c>
      <c r="L48" s="1" t="n">
        <v>0.718329243982785</v>
      </c>
    </row>
    <row r="49" customFormat="false" ht="15" hidden="false" customHeight="false" outlineLevel="0" collapsed="false">
      <c r="A49" s="1" t="s">
        <v>48</v>
      </c>
      <c r="B49" s="1" t="s">
        <v>49</v>
      </c>
      <c r="C49" s="1" t="s">
        <v>50</v>
      </c>
      <c r="D49" s="1" t="s">
        <v>19</v>
      </c>
      <c r="E49" s="1" t="s">
        <v>20</v>
      </c>
      <c r="F49" s="1" t="n">
        <v>14</v>
      </c>
      <c r="G49" s="1" t="s">
        <v>40</v>
      </c>
      <c r="H49" s="1" t="n">
        <v>0.1647</v>
      </c>
      <c r="I49" s="1" t="n">
        <v>0.290856654704663</v>
      </c>
      <c r="J49" s="1" t="n">
        <v>0.368803461401647</v>
      </c>
      <c r="K49" s="1" t="n">
        <f aca="false">J49-I49</f>
        <v>0.0779468066969843</v>
      </c>
      <c r="L49" s="1" t="n">
        <v>0.718329243982785</v>
      </c>
    </row>
    <row r="50" customFormat="false" ht="15" hidden="false" customHeight="false" outlineLevel="0" collapsed="false">
      <c r="A50" s="1" t="s">
        <v>48</v>
      </c>
      <c r="B50" s="1" t="s">
        <v>49</v>
      </c>
      <c r="C50" s="1" t="s">
        <v>50</v>
      </c>
      <c r="D50" s="1" t="s">
        <v>19</v>
      </c>
      <c r="E50" s="1" t="s">
        <v>20</v>
      </c>
      <c r="F50" s="1" t="n">
        <v>14</v>
      </c>
      <c r="G50" s="1" t="s">
        <v>26</v>
      </c>
      <c r="H50" s="1" t="n">
        <v>0.1</v>
      </c>
      <c r="I50" s="1" t="n">
        <v>0.230988449522052</v>
      </c>
      <c r="J50" s="1" t="n">
        <v>0.329966862857665</v>
      </c>
      <c r="K50" s="1" t="n">
        <f aca="false">J50-I50</f>
        <v>0.0989784133356124</v>
      </c>
      <c r="L50" s="1" t="n">
        <v>0.718329243982785</v>
      </c>
    </row>
    <row r="51" customFormat="false" ht="15" hidden="false" customHeight="false" outlineLevel="0" collapsed="false">
      <c r="A51" s="1" t="s">
        <v>51</v>
      </c>
      <c r="B51" s="1" t="s">
        <v>52</v>
      </c>
      <c r="C51" s="1" t="s">
        <v>53</v>
      </c>
      <c r="D51" s="1" t="s">
        <v>19</v>
      </c>
      <c r="E51" s="1" t="s">
        <v>20</v>
      </c>
      <c r="F51" s="1" t="n">
        <v>16</v>
      </c>
      <c r="G51" s="1" t="s">
        <v>21</v>
      </c>
      <c r="H51" s="1" t="n">
        <v>0.1926</v>
      </c>
      <c r="I51" s="1" t="n">
        <v>0.370582753874844</v>
      </c>
      <c r="J51" s="1" t="n">
        <v>0.394920671089462</v>
      </c>
      <c r="K51" s="1" t="n">
        <f aca="false">J51-I51</f>
        <v>0.0243379172146181</v>
      </c>
      <c r="L51" s="1" t="n">
        <v>0.750898507673254</v>
      </c>
    </row>
    <row r="52" customFormat="false" ht="15" hidden="false" customHeight="false" outlineLevel="0" collapsed="false">
      <c r="A52" s="1" t="s">
        <v>51</v>
      </c>
      <c r="B52" s="1" t="s">
        <v>52</v>
      </c>
      <c r="C52" s="1" t="s">
        <v>53</v>
      </c>
      <c r="D52" s="1" t="s">
        <v>19</v>
      </c>
      <c r="E52" s="1" t="s">
        <v>20</v>
      </c>
      <c r="F52" s="1" t="n">
        <v>16</v>
      </c>
      <c r="G52" s="1" t="s">
        <v>23</v>
      </c>
      <c r="H52" s="1" t="n">
        <v>0.188</v>
      </c>
      <c r="I52" s="1" t="n">
        <v>0.361811552055057</v>
      </c>
      <c r="J52" s="1" t="n">
        <v>0.393893577237655</v>
      </c>
      <c r="K52" s="1" t="n">
        <f aca="false">J52-I52</f>
        <v>0.0320820251825978</v>
      </c>
      <c r="L52" s="1" t="n">
        <v>0.750898507673254</v>
      </c>
    </row>
    <row r="53" customFormat="false" ht="15" hidden="false" customHeight="false" outlineLevel="0" collapsed="false">
      <c r="A53" s="1" t="s">
        <v>51</v>
      </c>
      <c r="B53" s="1" t="s">
        <v>52</v>
      </c>
      <c r="C53" s="1" t="s">
        <v>53</v>
      </c>
      <c r="D53" s="1" t="s">
        <v>19</v>
      </c>
      <c r="E53" s="1" t="s">
        <v>20</v>
      </c>
      <c r="F53" s="1" t="n">
        <v>16</v>
      </c>
      <c r="G53" s="1" t="s">
        <v>30</v>
      </c>
      <c r="H53" s="1" t="n">
        <v>0.1788</v>
      </c>
      <c r="I53" s="1" t="n">
        <v>0.344120144599204</v>
      </c>
      <c r="J53" s="1" t="n">
        <v>0.382814404216326</v>
      </c>
      <c r="K53" s="1" t="n">
        <f aca="false">J53-I53</f>
        <v>0.0386942596171218</v>
      </c>
      <c r="L53" s="1" t="n">
        <v>0.750898507673254</v>
      </c>
    </row>
    <row r="54" customFormat="false" ht="15" hidden="false" customHeight="false" outlineLevel="0" collapsed="false">
      <c r="A54" s="1" t="s">
        <v>51</v>
      </c>
      <c r="B54" s="1" t="s">
        <v>52</v>
      </c>
      <c r="C54" s="1" t="s">
        <v>53</v>
      </c>
      <c r="D54" s="1" t="s">
        <v>19</v>
      </c>
      <c r="E54" s="1" t="s">
        <v>20</v>
      </c>
      <c r="F54" s="1" t="n">
        <v>16</v>
      </c>
      <c r="G54" s="1" t="s">
        <v>22</v>
      </c>
      <c r="H54" s="1" t="n">
        <v>0.1706</v>
      </c>
      <c r="I54" s="1" t="n">
        <v>0.328340588476135</v>
      </c>
      <c r="J54" s="1" t="n">
        <v>0.33501897817332</v>
      </c>
      <c r="K54" s="1" t="n">
        <f aca="false">J54-I54</f>
        <v>0.00667838969718493</v>
      </c>
      <c r="L54" s="1" t="n">
        <v>0.750898507673254</v>
      </c>
    </row>
    <row r="55" customFormat="false" ht="15" hidden="false" customHeight="false" outlineLevel="0" collapsed="false">
      <c r="A55" s="1" t="s">
        <v>51</v>
      </c>
      <c r="B55" s="1" t="s">
        <v>52</v>
      </c>
      <c r="C55" s="1" t="s">
        <v>53</v>
      </c>
      <c r="D55" s="1" t="s">
        <v>19</v>
      </c>
      <c r="E55" s="1" t="s">
        <v>20</v>
      </c>
      <c r="F55" s="1" t="n">
        <v>16</v>
      </c>
      <c r="G55" s="1" t="s">
        <v>40</v>
      </c>
      <c r="H55" s="1" t="n">
        <v>0.17</v>
      </c>
      <c r="I55" s="1" t="n">
        <v>0.327178908965762</v>
      </c>
      <c r="J55" s="1" t="n">
        <v>0.363209228056367</v>
      </c>
      <c r="K55" s="1" t="n">
        <f aca="false">J55-I55</f>
        <v>0.0360303190906049</v>
      </c>
      <c r="L55" s="1" t="n">
        <v>0.750898507673254</v>
      </c>
    </row>
    <row r="56" customFormat="false" ht="15" hidden="false" customHeight="false" outlineLevel="0" collapsed="false">
      <c r="A56" s="1" t="s">
        <v>51</v>
      </c>
      <c r="B56" s="1" t="s">
        <v>52</v>
      </c>
      <c r="C56" s="1" t="s">
        <v>53</v>
      </c>
      <c r="D56" s="1" t="s">
        <v>19</v>
      </c>
      <c r="E56" s="1" t="s">
        <v>20</v>
      </c>
      <c r="F56" s="1" t="n">
        <v>16</v>
      </c>
      <c r="G56" s="1" t="s">
        <v>26</v>
      </c>
      <c r="H56" s="1" t="n">
        <v>0.1</v>
      </c>
      <c r="I56" s="1" t="n">
        <v>0.289114713114532</v>
      </c>
      <c r="J56" s="1" t="n">
        <v>0.314602802843948</v>
      </c>
      <c r="K56" s="1" t="n">
        <f aca="false">J56-I56</f>
        <v>0.0254880897294155</v>
      </c>
      <c r="L56" s="1" t="n">
        <v>0.750898507673254</v>
      </c>
    </row>
    <row r="57" customFormat="false" ht="15" hidden="false" customHeight="false" outlineLevel="0" collapsed="false">
      <c r="A57" s="1" t="s">
        <v>54</v>
      </c>
      <c r="B57" s="1" t="s">
        <v>55</v>
      </c>
      <c r="C57" s="1" t="s">
        <v>56</v>
      </c>
      <c r="D57" s="1" t="s">
        <v>19</v>
      </c>
      <c r="E57" s="1" t="s">
        <v>20</v>
      </c>
      <c r="F57" s="1" t="n">
        <v>18</v>
      </c>
      <c r="G57" s="1" t="s">
        <v>21</v>
      </c>
      <c r="H57" s="1" t="n">
        <v>0.1907</v>
      </c>
      <c r="I57" s="1" t="n">
        <v>0.350745741859007</v>
      </c>
      <c r="J57" s="1" t="n">
        <v>0.451583335055885</v>
      </c>
      <c r="K57" s="1" t="n">
        <f aca="false">J57-I57</f>
        <v>0.100837593196878</v>
      </c>
      <c r="L57" s="1" t="n">
        <v>0.712335367494729</v>
      </c>
    </row>
    <row r="58" customFormat="false" ht="15" hidden="false" customHeight="false" outlineLevel="0" collapsed="false">
      <c r="A58" s="1" t="s">
        <v>54</v>
      </c>
      <c r="B58" s="1" t="s">
        <v>55</v>
      </c>
      <c r="C58" s="1" t="s">
        <v>56</v>
      </c>
      <c r="D58" s="1" t="s">
        <v>19</v>
      </c>
      <c r="E58" s="1" t="s">
        <v>20</v>
      </c>
      <c r="F58" s="1" t="n">
        <v>18</v>
      </c>
      <c r="G58" s="1" t="s">
        <v>30</v>
      </c>
      <c r="H58" s="1" t="n">
        <v>0.1832</v>
      </c>
      <c r="I58" s="1" t="n">
        <v>0.33699406704416</v>
      </c>
      <c r="J58" s="1" t="n">
        <v>0.349341688517341</v>
      </c>
      <c r="K58" s="1" t="n">
        <f aca="false">J58-I58</f>
        <v>0.0123476214731809</v>
      </c>
      <c r="L58" s="1" t="n">
        <v>0.712335367494729</v>
      </c>
    </row>
    <row r="59" customFormat="false" ht="15" hidden="false" customHeight="false" outlineLevel="0" collapsed="false">
      <c r="A59" s="1" t="s">
        <v>54</v>
      </c>
      <c r="B59" s="1" t="s">
        <v>55</v>
      </c>
      <c r="C59" s="1" t="s">
        <v>56</v>
      </c>
      <c r="D59" s="1" t="s">
        <v>19</v>
      </c>
      <c r="E59" s="1" t="s">
        <v>20</v>
      </c>
      <c r="F59" s="1" t="n">
        <v>18</v>
      </c>
      <c r="G59" s="1" t="s">
        <v>23</v>
      </c>
      <c r="H59" s="1" t="n">
        <v>0.1773</v>
      </c>
      <c r="I59" s="1" t="n">
        <v>0.326098124069736</v>
      </c>
      <c r="J59" s="1" t="n">
        <v>0.393734638593917</v>
      </c>
      <c r="K59" s="1" t="n">
        <f aca="false">J59-I59</f>
        <v>0.0676365145241811</v>
      </c>
      <c r="L59" s="1" t="n">
        <v>0.712335367494729</v>
      </c>
    </row>
    <row r="60" customFormat="false" ht="15" hidden="false" customHeight="false" outlineLevel="0" collapsed="false">
      <c r="A60" s="1" t="s">
        <v>54</v>
      </c>
      <c r="B60" s="1" t="s">
        <v>55</v>
      </c>
      <c r="C60" s="1" t="s">
        <v>56</v>
      </c>
      <c r="D60" s="1" t="s">
        <v>19</v>
      </c>
      <c r="E60" s="1" t="s">
        <v>20</v>
      </c>
      <c r="F60" s="1" t="n">
        <v>18</v>
      </c>
      <c r="G60" s="1" t="s">
        <v>25</v>
      </c>
      <c r="H60" s="1" t="n">
        <v>0.1763</v>
      </c>
      <c r="I60" s="1" t="n">
        <v>0.324258881992034</v>
      </c>
      <c r="J60" s="1" t="n">
        <v>0.355459167141241</v>
      </c>
      <c r="K60" s="1" t="n">
        <f aca="false">J60-I60</f>
        <v>0.0312002851492075</v>
      </c>
      <c r="L60" s="1" t="n">
        <v>0.712335367494729</v>
      </c>
    </row>
    <row r="61" customFormat="false" ht="15" hidden="false" customHeight="false" outlineLevel="0" collapsed="false">
      <c r="A61" s="1" t="s">
        <v>54</v>
      </c>
      <c r="B61" s="1" t="s">
        <v>55</v>
      </c>
      <c r="C61" s="1" t="s">
        <v>56</v>
      </c>
      <c r="D61" s="1" t="s">
        <v>19</v>
      </c>
      <c r="E61" s="1" t="s">
        <v>20</v>
      </c>
      <c r="F61" s="1" t="n">
        <v>18</v>
      </c>
      <c r="G61" s="1" t="s">
        <v>44</v>
      </c>
      <c r="H61" s="1" t="n">
        <v>0.1725</v>
      </c>
      <c r="I61" s="1" t="n">
        <v>0.317318696395582</v>
      </c>
      <c r="J61" s="1" t="n">
        <v>0.37586291825823</v>
      </c>
      <c r="K61" s="1" t="n">
        <f aca="false">J61-I61</f>
        <v>0.0585442218626478</v>
      </c>
      <c r="L61" s="1" t="n">
        <v>0.712335367494729</v>
      </c>
    </row>
    <row r="62" customFormat="false" ht="15" hidden="false" customHeight="false" outlineLevel="0" collapsed="false">
      <c r="A62" s="1" t="s">
        <v>54</v>
      </c>
      <c r="B62" s="1" t="s">
        <v>55</v>
      </c>
      <c r="C62" s="1" t="s">
        <v>56</v>
      </c>
      <c r="D62" s="1" t="s">
        <v>19</v>
      </c>
      <c r="E62" s="1" t="s">
        <v>20</v>
      </c>
      <c r="F62" s="1" t="n">
        <v>18</v>
      </c>
      <c r="G62" s="1" t="s">
        <v>26</v>
      </c>
      <c r="H62" s="1" t="n">
        <v>0.1</v>
      </c>
      <c r="I62" s="1" t="n">
        <v>0.253391047615698</v>
      </c>
      <c r="J62" s="1" t="n">
        <v>0.304978786538059</v>
      </c>
      <c r="K62" s="1" t="n">
        <f aca="false">J62-I62</f>
        <v>0.0515877389223611</v>
      </c>
      <c r="L62" s="1" t="n">
        <v>0.712335367494729</v>
      </c>
    </row>
    <row r="63" customFormat="false" ht="15" hidden="false" customHeight="false" outlineLevel="0" collapsed="false">
      <c r="A63" s="1" t="s">
        <v>57</v>
      </c>
      <c r="B63" s="1" t="s">
        <v>58</v>
      </c>
      <c r="C63" s="1" t="s">
        <v>59</v>
      </c>
      <c r="D63" s="1" t="s">
        <v>19</v>
      </c>
      <c r="E63" s="1" t="s">
        <v>20</v>
      </c>
      <c r="F63" s="1" t="n">
        <v>20</v>
      </c>
      <c r="G63" s="1" t="s">
        <v>21</v>
      </c>
      <c r="H63" s="1" t="n">
        <v>0.2191</v>
      </c>
      <c r="I63" s="1" t="n">
        <v>0.38443073813876</v>
      </c>
      <c r="J63" s="1" t="n">
        <v>0.444779789506238</v>
      </c>
      <c r="K63" s="1" t="n">
        <f aca="false">J63-I63</f>
        <v>0.0603490513674775</v>
      </c>
      <c r="L63" s="1" t="n">
        <v>0.77617002993037</v>
      </c>
    </row>
    <row r="64" customFormat="false" ht="15" hidden="false" customHeight="false" outlineLevel="0" collapsed="false">
      <c r="A64" s="1" t="s">
        <v>57</v>
      </c>
      <c r="B64" s="1" t="s">
        <v>58</v>
      </c>
      <c r="C64" s="1" t="s">
        <v>59</v>
      </c>
      <c r="D64" s="1" t="s">
        <v>19</v>
      </c>
      <c r="E64" s="1" t="s">
        <v>20</v>
      </c>
      <c r="F64" s="1" t="n">
        <v>20</v>
      </c>
      <c r="G64" s="1" t="s">
        <v>23</v>
      </c>
      <c r="H64" s="1" t="n">
        <v>0.1788</v>
      </c>
      <c r="I64" s="1" t="n">
        <v>0.313717048815009</v>
      </c>
      <c r="J64" s="1" t="n">
        <v>0.308471574914421</v>
      </c>
      <c r="K64" s="1" t="n">
        <f aca="false">J64-I64</f>
        <v>-0.00524547390058761</v>
      </c>
      <c r="L64" s="1" t="n">
        <v>0.77617002993037</v>
      </c>
    </row>
    <row r="65" customFormat="false" ht="15" hidden="false" customHeight="false" outlineLevel="0" collapsed="false">
      <c r="A65" s="1" t="s">
        <v>57</v>
      </c>
      <c r="B65" s="1" t="s">
        <v>58</v>
      </c>
      <c r="C65" s="1" t="s">
        <v>59</v>
      </c>
      <c r="D65" s="1" t="s">
        <v>19</v>
      </c>
      <c r="E65" s="1" t="s">
        <v>20</v>
      </c>
      <c r="F65" s="1" t="n">
        <v>20</v>
      </c>
      <c r="G65" s="1" t="s">
        <v>24</v>
      </c>
      <c r="H65" s="1" t="n">
        <v>0.1731</v>
      </c>
      <c r="I65" s="1" t="n">
        <v>0.303838819456133</v>
      </c>
      <c r="J65" s="1" t="n">
        <v>0.347222864316619</v>
      </c>
      <c r="K65" s="1" t="n">
        <f aca="false">J65-I65</f>
        <v>0.0433840448604861</v>
      </c>
      <c r="L65" s="1" t="n">
        <v>0.77617002993037</v>
      </c>
    </row>
    <row r="66" customFormat="false" ht="15" hidden="false" customHeight="false" outlineLevel="0" collapsed="false">
      <c r="A66" s="1" t="s">
        <v>57</v>
      </c>
      <c r="B66" s="1" t="s">
        <v>58</v>
      </c>
      <c r="C66" s="1" t="s">
        <v>59</v>
      </c>
      <c r="D66" s="1" t="s">
        <v>19</v>
      </c>
      <c r="E66" s="1" t="s">
        <v>20</v>
      </c>
      <c r="F66" s="1" t="n">
        <v>20</v>
      </c>
      <c r="G66" s="1" t="s">
        <v>40</v>
      </c>
      <c r="H66" s="1" t="n">
        <v>0.1714</v>
      </c>
      <c r="I66" s="1" t="n">
        <v>0.300800336853409</v>
      </c>
      <c r="J66" s="1" t="n">
        <v>0.289545675058016</v>
      </c>
      <c r="K66" s="1" t="n">
        <f aca="false">J66-I66</f>
        <v>-0.0112546617953922</v>
      </c>
      <c r="L66" s="1" t="n">
        <v>0.77617002993037</v>
      </c>
    </row>
    <row r="67" customFormat="false" ht="15" hidden="false" customHeight="false" outlineLevel="0" collapsed="false">
      <c r="A67" s="1" t="s">
        <v>57</v>
      </c>
      <c r="B67" s="1" t="s">
        <v>58</v>
      </c>
      <c r="C67" s="1" t="s">
        <v>59</v>
      </c>
      <c r="D67" s="1" t="s">
        <v>19</v>
      </c>
      <c r="E67" s="1" t="s">
        <v>20</v>
      </c>
      <c r="F67" s="1" t="n">
        <v>20</v>
      </c>
      <c r="G67" s="1" t="s">
        <v>25</v>
      </c>
      <c r="H67" s="1" t="n">
        <v>0.1576</v>
      </c>
      <c r="I67" s="1" t="n">
        <v>0.276545174122376</v>
      </c>
      <c r="J67" s="1" t="n">
        <v>0.296648155626153</v>
      </c>
      <c r="K67" s="1" t="n">
        <f aca="false">J67-I67</f>
        <v>0.0201029815037775</v>
      </c>
      <c r="L67" s="1" t="n">
        <v>0.77617002993037</v>
      </c>
    </row>
    <row r="68" customFormat="false" ht="15" hidden="false" customHeight="false" outlineLevel="0" collapsed="false">
      <c r="A68" s="1" t="s">
        <v>57</v>
      </c>
      <c r="B68" s="1" t="s">
        <v>58</v>
      </c>
      <c r="C68" s="1" t="s">
        <v>59</v>
      </c>
      <c r="D68" s="1" t="s">
        <v>19</v>
      </c>
      <c r="E68" s="1" t="s">
        <v>20</v>
      </c>
      <c r="F68" s="1" t="n">
        <v>20</v>
      </c>
      <c r="G68" s="1" t="s">
        <v>26</v>
      </c>
      <c r="H68" s="1" t="n">
        <v>0.1</v>
      </c>
      <c r="I68" s="1" t="n">
        <v>0.231182437383757</v>
      </c>
      <c r="J68" s="1" t="n">
        <v>0.265836777001575</v>
      </c>
      <c r="K68" s="1" t="n">
        <f aca="false">J68-I68</f>
        <v>0.0346543396178181</v>
      </c>
      <c r="L68" s="1" t="n">
        <v>0.77617002993037</v>
      </c>
    </row>
    <row r="69" customFormat="false" ht="15" hidden="false" customHeight="false" outlineLevel="0" collapsed="false">
      <c r="A69" s="1" t="s">
        <v>60</v>
      </c>
      <c r="B69" s="1" t="s">
        <v>61</v>
      </c>
      <c r="C69" s="1" t="s">
        <v>62</v>
      </c>
      <c r="D69" s="1" t="s">
        <v>19</v>
      </c>
      <c r="E69" s="1" t="s">
        <v>20</v>
      </c>
      <c r="F69" s="1" t="n">
        <v>22</v>
      </c>
      <c r="G69" s="1" t="s">
        <v>21</v>
      </c>
      <c r="H69" s="1" t="n">
        <v>0.2395</v>
      </c>
      <c r="I69" s="1" t="n">
        <v>0.346831099276688</v>
      </c>
      <c r="J69" s="1" t="n">
        <v>0.41965611410005</v>
      </c>
      <c r="K69" s="1" t="n">
        <f aca="false">J69-I69</f>
        <v>0.072825014823362</v>
      </c>
      <c r="L69" s="1" t="n">
        <v>0.770418007906113</v>
      </c>
    </row>
    <row r="70" customFormat="false" ht="15" hidden="false" customHeight="false" outlineLevel="0" collapsed="false">
      <c r="A70" s="1" t="s">
        <v>60</v>
      </c>
      <c r="B70" s="1" t="s">
        <v>61</v>
      </c>
      <c r="C70" s="1" t="s">
        <v>62</v>
      </c>
      <c r="D70" s="1" t="s">
        <v>19</v>
      </c>
      <c r="E70" s="1" t="s">
        <v>20</v>
      </c>
      <c r="F70" s="1" t="n">
        <v>22</v>
      </c>
      <c r="G70" s="1" t="s">
        <v>24</v>
      </c>
      <c r="H70" s="1" t="n">
        <v>0.1824</v>
      </c>
      <c r="I70" s="1" t="n">
        <v>0.26408807696833</v>
      </c>
      <c r="J70" s="1" t="n">
        <v>0.320869372543392</v>
      </c>
      <c r="K70" s="1" t="n">
        <f aca="false">J70-I70</f>
        <v>0.0567812955750618</v>
      </c>
      <c r="L70" s="1" t="n">
        <v>0.770418007906113</v>
      </c>
    </row>
    <row r="71" customFormat="false" ht="15" hidden="false" customHeight="false" outlineLevel="0" collapsed="false">
      <c r="A71" s="1" t="s">
        <v>60</v>
      </c>
      <c r="B71" s="1" t="s">
        <v>61</v>
      </c>
      <c r="C71" s="1" t="s">
        <v>62</v>
      </c>
      <c r="D71" s="1" t="s">
        <v>19</v>
      </c>
      <c r="E71" s="1" t="s">
        <v>20</v>
      </c>
      <c r="F71" s="1" t="n">
        <v>22</v>
      </c>
      <c r="G71" s="1" t="s">
        <v>23</v>
      </c>
      <c r="H71" s="1" t="n">
        <v>0.1621</v>
      </c>
      <c r="I71" s="1" t="n">
        <v>0.234766503354412</v>
      </c>
      <c r="J71" s="1" t="n">
        <v>0.305589213605916</v>
      </c>
      <c r="K71" s="1" t="n">
        <f aca="false">J71-I71</f>
        <v>0.0708227102515038</v>
      </c>
      <c r="L71" s="1" t="n">
        <v>0.770418007906113</v>
      </c>
    </row>
    <row r="72" customFormat="false" ht="15" hidden="false" customHeight="false" outlineLevel="0" collapsed="false">
      <c r="A72" s="1" t="s">
        <v>60</v>
      </c>
      <c r="B72" s="1" t="s">
        <v>61</v>
      </c>
      <c r="C72" s="1" t="s">
        <v>62</v>
      </c>
      <c r="D72" s="1" t="s">
        <v>19</v>
      </c>
      <c r="E72" s="1" t="s">
        <v>20</v>
      </c>
      <c r="F72" s="1" t="n">
        <v>22</v>
      </c>
      <c r="G72" s="1" t="s">
        <v>25</v>
      </c>
      <c r="H72" s="1" t="n">
        <v>0.1617</v>
      </c>
      <c r="I72" s="1" t="n">
        <v>0.234203537988467</v>
      </c>
      <c r="J72" s="1" t="n">
        <v>0.321913866156703</v>
      </c>
      <c r="K72" s="1" t="n">
        <f aca="false">J72-I72</f>
        <v>0.0877103281682359</v>
      </c>
      <c r="L72" s="1" t="n">
        <v>0.770418007906113</v>
      </c>
    </row>
    <row r="73" customFormat="false" ht="15" hidden="false" customHeight="false" outlineLevel="0" collapsed="false">
      <c r="A73" s="1" t="s">
        <v>60</v>
      </c>
      <c r="B73" s="1" t="s">
        <v>61</v>
      </c>
      <c r="C73" s="1" t="s">
        <v>62</v>
      </c>
      <c r="D73" s="1" t="s">
        <v>19</v>
      </c>
      <c r="E73" s="1" t="s">
        <v>20</v>
      </c>
      <c r="F73" s="1" t="n">
        <v>22</v>
      </c>
      <c r="G73" s="1" t="s">
        <v>63</v>
      </c>
      <c r="H73" s="1" t="n">
        <v>0.1543</v>
      </c>
      <c r="I73" s="1" t="n">
        <v>0.223406255386988</v>
      </c>
      <c r="J73" s="1" t="n">
        <v>0.303290951063314</v>
      </c>
      <c r="K73" s="1" t="n">
        <f aca="false">J73-I73</f>
        <v>0.0798846956763266</v>
      </c>
      <c r="L73" s="1" t="n">
        <v>0.770418007906113</v>
      </c>
    </row>
    <row r="74" customFormat="false" ht="15" hidden="false" customHeight="false" outlineLevel="0" collapsed="false">
      <c r="A74" s="1" t="s">
        <v>60</v>
      </c>
      <c r="B74" s="1" t="s">
        <v>61</v>
      </c>
      <c r="C74" s="1" t="s">
        <v>62</v>
      </c>
      <c r="D74" s="1" t="s">
        <v>19</v>
      </c>
      <c r="E74" s="1" t="s">
        <v>20</v>
      </c>
      <c r="F74" s="1" t="n">
        <v>22</v>
      </c>
      <c r="G74" s="1" t="s">
        <v>26</v>
      </c>
      <c r="H74" s="1" t="n">
        <v>0.1</v>
      </c>
      <c r="I74" s="1" t="n">
        <v>0.185146194704366</v>
      </c>
      <c r="J74" s="1" t="n">
        <v>0.265852192222356</v>
      </c>
      <c r="K74" s="1" t="n">
        <f aca="false">J74-I74</f>
        <v>0.0807059975179901</v>
      </c>
      <c r="L74" s="1" t="n">
        <v>0.770418007906113</v>
      </c>
    </row>
    <row r="75" customFormat="false" ht="15" hidden="false" customHeight="false" outlineLevel="0" collapsed="false">
      <c r="A75" s="1" t="s">
        <v>64</v>
      </c>
      <c r="B75" s="1" t="s">
        <v>65</v>
      </c>
      <c r="C75" s="1" t="s">
        <v>66</v>
      </c>
      <c r="D75" s="1" t="s">
        <v>19</v>
      </c>
      <c r="E75" s="1" t="s">
        <v>20</v>
      </c>
      <c r="F75" s="1" t="n">
        <v>24</v>
      </c>
      <c r="G75" s="1" t="s">
        <v>21</v>
      </c>
      <c r="H75" s="1" t="n">
        <v>0.2287</v>
      </c>
      <c r="I75" s="1" t="n">
        <v>0.342622883040725</v>
      </c>
      <c r="J75" s="1" t="n">
        <v>0.355821839156929</v>
      </c>
      <c r="K75" s="1" t="n">
        <f aca="false">J75-I75</f>
        <v>0.0131989561162041</v>
      </c>
      <c r="L75" s="1" t="n">
        <v>0.687181835442281</v>
      </c>
    </row>
    <row r="76" customFormat="false" ht="15" hidden="false" customHeight="false" outlineLevel="0" collapsed="false">
      <c r="A76" s="1" t="s">
        <v>64</v>
      </c>
      <c r="B76" s="1" t="s">
        <v>65</v>
      </c>
      <c r="C76" s="1" t="s">
        <v>66</v>
      </c>
      <c r="D76" s="1" t="s">
        <v>19</v>
      </c>
      <c r="E76" s="1" t="s">
        <v>20</v>
      </c>
      <c r="F76" s="1" t="n">
        <v>24</v>
      </c>
      <c r="G76" s="1" t="s">
        <v>23</v>
      </c>
      <c r="H76" s="1" t="n">
        <v>0.1728</v>
      </c>
      <c r="I76" s="1" t="n">
        <v>0.258858469471115</v>
      </c>
      <c r="J76" s="1" t="n">
        <v>0.315085790319118</v>
      </c>
      <c r="K76" s="1" t="n">
        <f aca="false">J76-I76</f>
        <v>0.0562273208480036</v>
      </c>
      <c r="L76" s="1" t="n">
        <v>0.687181835442281</v>
      </c>
    </row>
    <row r="77" customFormat="false" ht="15" hidden="false" customHeight="false" outlineLevel="0" collapsed="false">
      <c r="A77" s="1" t="s">
        <v>64</v>
      </c>
      <c r="B77" s="1" t="s">
        <v>65</v>
      </c>
      <c r="C77" s="1" t="s">
        <v>66</v>
      </c>
      <c r="D77" s="1" t="s">
        <v>19</v>
      </c>
      <c r="E77" s="1" t="s">
        <v>20</v>
      </c>
      <c r="F77" s="1" t="n">
        <v>24</v>
      </c>
      <c r="G77" s="1" t="s">
        <v>24</v>
      </c>
      <c r="H77" s="1" t="n">
        <v>0.1716</v>
      </c>
      <c r="I77" s="1" t="n">
        <v>0.257154847595789</v>
      </c>
      <c r="J77" s="1" t="n">
        <v>0.281844475321126</v>
      </c>
      <c r="K77" s="1" t="n">
        <f aca="false">J77-I77</f>
        <v>0.024689627725337</v>
      </c>
      <c r="L77" s="1" t="n">
        <v>0.687181835442281</v>
      </c>
    </row>
    <row r="78" customFormat="false" ht="15" hidden="false" customHeight="false" outlineLevel="0" collapsed="false">
      <c r="A78" s="1" t="s">
        <v>64</v>
      </c>
      <c r="B78" s="1" t="s">
        <v>65</v>
      </c>
      <c r="C78" s="1" t="s">
        <v>66</v>
      </c>
      <c r="D78" s="1" t="s">
        <v>19</v>
      </c>
      <c r="E78" s="1" t="s">
        <v>20</v>
      </c>
      <c r="F78" s="1" t="n">
        <v>24</v>
      </c>
      <c r="G78" s="1" t="s">
        <v>25</v>
      </c>
      <c r="H78" s="1" t="n">
        <v>0.1682</v>
      </c>
      <c r="I78" s="1" t="n">
        <v>0.252094628776774</v>
      </c>
      <c r="J78" s="1" t="n">
        <v>0.286638026622878</v>
      </c>
      <c r="K78" s="1" t="n">
        <f aca="false">J78-I78</f>
        <v>0.0345433978461043</v>
      </c>
      <c r="L78" s="1" t="n">
        <v>0.687181835442281</v>
      </c>
    </row>
    <row r="79" customFormat="false" ht="15" hidden="false" customHeight="false" outlineLevel="0" collapsed="false">
      <c r="A79" s="1" t="s">
        <v>64</v>
      </c>
      <c r="B79" s="1" t="s">
        <v>65</v>
      </c>
      <c r="C79" s="1" t="s">
        <v>66</v>
      </c>
      <c r="D79" s="1" t="s">
        <v>19</v>
      </c>
      <c r="E79" s="1" t="s">
        <v>20</v>
      </c>
      <c r="F79" s="1" t="n">
        <v>24</v>
      </c>
      <c r="G79" s="1" t="s">
        <v>44</v>
      </c>
      <c r="H79" s="1" t="n">
        <v>0.1587</v>
      </c>
      <c r="I79" s="1" t="n">
        <v>0.237800403406869</v>
      </c>
      <c r="J79" s="1" t="n">
        <v>0.302464714468325</v>
      </c>
      <c r="K79" s="1" t="n">
        <f aca="false">J79-I79</f>
        <v>0.0646643110614553</v>
      </c>
      <c r="L79" s="1" t="n">
        <v>0.687181835442281</v>
      </c>
    </row>
    <row r="80" customFormat="false" ht="15" hidden="false" customHeight="false" outlineLevel="0" collapsed="false">
      <c r="A80" s="1" t="s">
        <v>64</v>
      </c>
      <c r="B80" s="1" t="s">
        <v>65</v>
      </c>
      <c r="C80" s="1" t="s">
        <v>66</v>
      </c>
      <c r="D80" s="1" t="s">
        <v>19</v>
      </c>
      <c r="E80" s="1" t="s">
        <v>20</v>
      </c>
      <c r="F80" s="1" t="n">
        <v>24</v>
      </c>
      <c r="G80" s="1" t="s">
        <v>26</v>
      </c>
      <c r="H80" s="1" t="n">
        <v>0.1</v>
      </c>
      <c r="I80" s="1" t="n">
        <v>0.190659189615071</v>
      </c>
      <c r="J80" s="1" t="n">
        <v>0.240500337525419</v>
      </c>
      <c r="K80" s="1" t="n">
        <f aca="false">J80-I80</f>
        <v>0.0498411479103474</v>
      </c>
      <c r="L80" s="1" t="n">
        <v>0.687181835442281</v>
      </c>
    </row>
    <row r="81" customFormat="false" ht="15" hidden="false" customHeight="false" outlineLevel="0" collapsed="false">
      <c r="A81" s="1" t="s">
        <v>67</v>
      </c>
      <c r="B81" s="1" t="s">
        <v>68</v>
      </c>
      <c r="C81" s="1" t="s">
        <v>69</v>
      </c>
      <c r="D81" s="1" t="s">
        <v>19</v>
      </c>
      <c r="E81" s="1" t="s">
        <v>20</v>
      </c>
      <c r="F81" s="1" t="n">
        <v>26</v>
      </c>
      <c r="G81" s="1" t="s">
        <v>21</v>
      </c>
      <c r="H81" s="1" t="n">
        <v>0.219</v>
      </c>
      <c r="I81" s="1" t="n">
        <v>0.283757212667533</v>
      </c>
      <c r="J81" s="1" t="n">
        <v>0.370343312132105</v>
      </c>
      <c r="K81" s="1" t="n">
        <f aca="false">J81-I81</f>
        <v>0.0865860994645722</v>
      </c>
      <c r="L81" s="1" t="n">
        <v>0.81381364646817</v>
      </c>
    </row>
    <row r="82" customFormat="false" ht="15" hidden="false" customHeight="false" outlineLevel="0" collapsed="false">
      <c r="A82" s="1" t="s">
        <v>67</v>
      </c>
      <c r="B82" s="1" t="s">
        <v>68</v>
      </c>
      <c r="C82" s="1" t="s">
        <v>69</v>
      </c>
      <c r="D82" s="1" t="s">
        <v>19</v>
      </c>
      <c r="E82" s="1" t="s">
        <v>20</v>
      </c>
      <c r="F82" s="1" t="n">
        <v>26</v>
      </c>
      <c r="G82" s="1" t="s">
        <v>40</v>
      </c>
      <c r="H82" s="1" t="n">
        <v>0.1764</v>
      </c>
      <c r="I82" s="1" t="n">
        <v>0.228527912942909</v>
      </c>
      <c r="J82" s="1" t="n">
        <v>0.31781076857131</v>
      </c>
      <c r="K82" s="1" t="n">
        <f aca="false">J82-I82</f>
        <v>0.0892828556284012</v>
      </c>
      <c r="L82" s="1" t="n">
        <v>0.81381364646817</v>
      </c>
    </row>
    <row r="83" customFormat="false" ht="15" hidden="false" customHeight="false" outlineLevel="0" collapsed="false">
      <c r="A83" s="1" t="s">
        <v>67</v>
      </c>
      <c r="B83" s="1" t="s">
        <v>68</v>
      </c>
      <c r="C83" s="1" t="s">
        <v>69</v>
      </c>
      <c r="D83" s="1" t="s">
        <v>19</v>
      </c>
      <c r="E83" s="1" t="s">
        <v>20</v>
      </c>
      <c r="F83" s="1" t="n">
        <v>26</v>
      </c>
      <c r="G83" s="1" t="s">
        <v>63</v>
      </c>
      <c r="H83" s="1" t="n">
        <v>0.1738</v>
      </c>
      <c r="I83" s="1" t="n">
        <v>0.225207168415406</v>
      </c>
      <c r="J83" s="1" t="n">
        <v>0.265858022037168</v>
      </c>
      <c r="K83" s="1" t="n">
        <f aca="false">J83-I83</f>
        <v>0.0406508536217619</v>
      </c>
      <c r="L83" s="1" t="n">
        <v>0.81381364646817</v>
      </c>
    </row>
    <row r="84" customFormat="false" ht="15" hidden="false" customHeight="false" outlineLevel="0" collapsed="false">
      <c r="A84" s="1" t="s">
        <v>67</v>
      </c>
      <c r="B84" s="1" t="s">
        <v>68</v>
      </c>
      <c r="C84" s="1" t="s">
        <v>69</v>
      </c>
      <c r="D84" s="1" t="s">
        <v>19</v>
      </c>
      <c r="E84" s="1" t="s">
        <v>20</v>
      </c>
      <c r="F84" s="1" t="n">
        <v>26</v>
      </c>
      <c r="G84" s="1" t="s">
        <v>23</v>
      </c>
      <c r="H84" s="1" t="n">
        <v>0.1703</v>
      </c>
      <c r="I84" s="1" t="n">
        <v>0.220705870167221</v>
      </c>
      <c r="J84" s="1" t="n">
        <v>0.310563808571584</v>
      </c>
      <c r="K84" s="1" t="n">
        <f aca="false">J84-I84</f>
        <v>0.0898579384043634</v>
      </c>
      <c r="L84" s="1" t="n">
        <v>0.81381364646817</v>
      </c>
    </row>
    <row r="85" customFormat="false" ht="15" hidden="false" customHeight="false" outlineLevel="0" collapsed="false">
      <c r="A85" s="1" t="s">
        <v>67</v>
      </c>
      <c r="B85" s="1" t="s">
        <v>68</v>
      </c>
      <c r="C85" s="1" t="s">
        <v>69</v>
      </c>
      <c r="D85" s="1" t="s">
        <v>19</v>
      </c>
      <c r="E85" s="1" t="s">
        <v>20</v>
      </c>
      <c r="F85" s="1" t="n">
        <v>26</v>
      </c>
      <c r="G85" s="1" t="s">
        <v>25</v>
      </c>
      <c r="H85" s="1" t="n">
        <v>0.1605</v>
      </c>
      <c r="I85" s="1" t="n">
        <v>0.207938562719808</v>
      </c>
      <c r="J85" s="1" t="n">
        <v>0.27887935915508</v>
      </c>
      <c r="K85" s="1" t="n">
        <f aca="false">J85-I85</f>
        <v>0.0709407964352714</v>
      </c>
      <c r="L85" s="1" t="n">
        <v>0.81381364646817</v>
      </c>
    </row>
    <row r="86" customFormat="false" ht="15" hidden="false" customHeight="false" outlineLevel="0" collapsed="false">
      <c r="A86" s="1" t="s">
        <v>67</v>
      </c>
      <c r="B86" s="1" t="s">
        <v>68</v>
      </c>
      <c r="C86" s="1" t="s">
        <v>69</v>
      </c>
      <c r="D86" s="1" t="s">
        <v>19</v>
      </c>
      <c r="E86" s="1" t="s">
        <v>20</v>
      </c>
      <c r="F86" s="1" t="n">
        <v>26</v>
      </c>
      <c r="G86" s="1" t="s">
        <v>26</v>
      </c>
      <c r="H86" s="1" t="n">
        <v>0.1</v>
      </c>
      <c r="I86" s="1" t="n">
        <v>0.163453104029648</v>
      </c>
      <c r="J86" s="1" t="n">
        <v>0.240691792639762</v>
      </c>
      <c r="K86" s="1" t="n">
        <f aca="false">J86-I86</f>
        <v>0.0772386886101135</v>
      </c>
      <c r="L86" s="1" t="n">
        <v>0.81381364646817</v>
      </c>
    </row>
    <row r="87" customFormat="false" ht="15" hidden="false" customHeight="false" outlineLevel="0" collapsed="false">
      <c r="A87" s="1" t="s">
        <v>70</v>
      </c>
      <c r="B87" s="1" t="s">
        <v>71</v>
      </c>
      <c r="C87" s="1" t="s">
        <v>72</v>
      </c>
      <c r="D87" s="1" t="s">
        <v>19</v>
      </c>
      <c r="E87" s="1" t="s">
        <v>20</v>
      </c>
      <c r="F87" s="1" t="n">
        <v>28</v>
      </c>
      <c r="G87" s="1" t="s">
        <v>21</v>
      </c>
      <c r="H87" s="1" t="n">
        <v>0.215</v>
      </c>
      <c r="I87" s="1" t="n">
        <v>0.327698767655776</v>
      </c>
      <c r="J87" s="1" t="n">
        <v>0.390393022692427</v>
      </c>
      <c r="K87" s="1" t="n">
        <f aca="false">J87-I87</f>
        <v>0.0626942550366503</v>
      </c>
      <c r="L87" s="1" t="n">
        <v>0.78154173279719</v>
      </c>
    </row>
    <row r="88" customFormat="false" ht="15" hidden="false" customHeight="false" outlineLevel="0" collapsed="false">
      <c r="A88" s="1" t="s">
        <v>70</v>
      </c>
      <c r="B88" s="1" t="s">
        <v>71</v>
      </c>
      <c r="C88" s="1" t="s">
        <v>72</v>
      </c>
      <c r="D88" s="1" t="s">
        <v>19</v>
      </c>
      <c r="E88" s="1" t="s">
        <v>20</v>
      </c>
      <c r="F88" s="1" t="n">
        <v>28</v>
      </c>
      <c r="G88" s="1" t="s">
        <v>40</v>
      </c>
      <c r="H88" s="1" t="n">
        <v>0.1978</v>
      </c>
      <c r="I88" s="1" t="n">
        <v>0.301534693930271</v>
      </c>
      <c r="J88" s="1" t="n">
        <v>0.355055969721204</v>
      </c>
      <c r="K88" s="1" t="n">
        <f aca="false">J88-I88</f>
        <v>0.0535212757909322</v>
      </c>
      <c r="L88" s="1" t="n">
        <v>0.78154173279719</v>
      </c>
    </row>
    <row r="89" customFormat="false" ht="15" hidden="false" customHeight="false" outlineLevel="0" collapsed="false">
      <c r="A89" s="1" t="s">
        <v>70</v>
      </c>
      <c r="B89" s="1" t="s">
        <v>71</v>
      </c>
      <c r="C89" s="1" t="s">
        <v>72</v>
      </c>
      <c r="D89" s="1" t="s">
        <v>19</v>
      </c>
      <c r="E89" s="1" t="s">
        <v>20</v>
      </c>
      <c r="F89" s="1" t="n">
        <v>28</v>
      </c>
      <c r="G89" s="1" t="s">
        <v>25</v>
      </c>
      <c r="H89" s="1" t="n">
        <v>0.1679</v>
      </c>
      <c r="I89" s="1" t="n">
        <v>0.255895056389597</v>
      </c>
      <c r="J89" s="1" t="n">
        <v>0.313959136119349</v>
      </c>
      <c r="K89" s="1" t="n">
        <f aca="false">J89-I89</f>
        <v>0.058064079729752</v>
      </c>
      <c r="L89" s="1" t="n">
        <v>0.78154173279719</v>
      </c>
    </row>
    <row r="90" customFormat="false" ht="15" hidden="false" customHeight="false" outlineLevel="0" collapsed="false">
      <c r="A90" s="1" t="s">
        <v>70</v>
      </c>
      <c r="B90" s="1" t="s">
        <v>71</v>
      </c>
      <c r="C90" s="1" t="s">
        <v>72</v>
      </c>
      <c r="D90" s="1" t="s">
        <v>19</v>
      </c>
      <c r="E90" s="1" t="s">
        <v>20</v>
      </c>
      <c r="F90" s="1" t="n">
        <v>28</v>
      </c>
      <c r="G90" s="1" t="s">
        <v>23</v>
      </c>
      <c r="H90" s="1" t="n">
        <v>0.167</v>
      </c>
      <c r="I90" s="1" t="n">
        <v>0.254603413480739</v>
      </c>
      <c r="J90" s="1" t="n">
        <v>0.336462970295607</v>
      </c>
      <c r="K90" s="1" t="n">
        <f aca="false">J90-I90</f>
        <v>0.0818595568148678</v>
      </c>
      <c r="L90" s="1" t="n">
        <v>0.78154173279719</v>
      </c>
    </row>
    <row r="91" customFormat="false" ht="15" hidden="false" customHeight="false" outlineLevel="0" collapsed="false">
      <c r="A91" s="1" t="s">
        <v>70</v>
      </c>
      <c r="B91" s="1" t="s">
        <v>71</v>
      </c>
      <c r="C91" s="1" t="s">
        <v>72</v>
      </c>
      <c r="D91" s="1" t="s">
        <v>19</v>
      </c>
      <c r="E91" s="1" t="s">
        <v>20</v>
      </c>
      <c r="F91" s="1" t="n">
        <v>28</v>
      </c>
      <c r="G91" s="1" t="s">
        <v>44</v>
      </c>
      <c r="H91" s="1" t="n">
        <v>0.1523</v>
      </c>
      <c r="I91" s="1" t="n">
        <v>0.232145167128304</v>
      </c>
      <c r="J91" s="1" t="n">
        <v>0.29929330350959</v>
      </c>
      <c r="K91" s="1" t="n">
        <f aca="false">J91-I91</f>
        <v>0.0671481363812869</v>
      </c>
      <c r="L91" s="1" t="n">
        <v>0.78154173279719</v>
      </c>
    </row>
    <row r="92" customFormat="false" ht="15" hidden="false" customHeight="false" outlineLevel="0" collapsed="false">
      <c r="A92" s="1" t="s">
        <v>70</v>
      </c>
      <c r="B92" s="1" t="s">
        <v>71</v>
      </c>
      <c r="C92" s="1" t="s">
        <v>72</v>
      </c>
      <c r="D92" s="1" t="s">
        <v>19</v>
      </c>
      <c r="E92" s="1" t="s">
        <v>20</v>
      </c>
      <c r="F92" s="1" t="n">
        <v>28</v>
      </c>
      <c r="G92" s="1" t="s">
        <v>26</v>
      </c>
      <c r="H92" s="1" t="n">
        <v>0.1</v>
      </c>
      <c r="I92" s="1" t="n">
        <v>0.200051590914088</v>
      </c>
      <c r="J92" s="1" t="n">
        <v>0.26600261261388</v>
      </c>
      <c r="K92" s="1" t="n">
        <f aca="false">J92-I92</f>
        <v>0.0659510216997916</v>
      </c>
      <c r="L92" s="1" t="n">
        <v>0.78154173279719</v>
      </c>
    </row>
    <row r="93" customFormat="false" ht="15" hidden="false" customHeight="false" outlineLevel="0" collapsed="false">
      <c r="A93" s="1" t="s">
        <v>73</v>
      </c>
      <c r="B93" s="1" t="s">
        <v>74</v>
      </c>
      <c r="C93" s="1" t="s">
        <v>75</v>
      </c>
      <c r="D93" s="1" t="s">
        <v>19</v>
      </c>
      <c r="E93" s="1" t="s">
        <v>20</v>
      </c>
      <c r="F93" s="1" t="n">
        <v>30</v>
      </c>
      <c r="G93" s="1" t="s">
        <v>21</v>
      </c>
      <c r="H93" s="1" t="n">
        <v>0.2041</v>
      </c>
      <c r="I93" s="1" t="n">
        <v>0.306571152736589</v>
      </c>
      <c r="J93" s="1" t="n">
        <v>0.393847806905104</v>
      </c>
      <c r="K93" s="1" t="n">
        <f aca="false">J93-I93</f>
        <v>0.0872766541685144</v>
      </c>
      <c r="L93" s="1" t="n">
        <v>0.679973262997131</v>
      </c>
    </row>
    <row r="94" customFormat="false" ht="15" hidden="false" customHeight="false" outlineLevel="0" collapsed="false">
      <c r="A94" s="1" t="s">
        <v>73</v>
      </c>
      <c r="B94" s="1" t="s">
        <v>74</v>
      </c>
      <c r="C94" s="1" t="s">
        <v>75</v>
      </c>
      <c r="D94" s="1" t="s">
        <v>19</v>
      </c>
      <c r="E94" s="1" t="s">
        <v>20</v>
      </c>
      <c r="F94" s="1" t="n">
        <v>30</v>
      </c>
      <c r="G94" s="1" t="s">
        <v>23</v>
      </c>
      <c r="H94" s="1" t="n">
        <v>0.1848</v>
      </c>
      <c r="I94" s="1" t="n">
        <v>0.277599264614256</v>
      </c>
      <c r="J94" s="1" t="n">
        <v>0.319668367718404</v>
      </c>
      <c r="K94" s="1" t="n">
        <f aca="false">J94-I94</f>
        <v>0.0420691031041484</v>
      </c>
      <c r="L94" s="1" t="n">
        <v>0.679973262997131</v>
      </c>
    </row>
    <row r="95" customFormat="false" ht="15" hidden="false" customHeight="false" outlineLevel="0" collapsed="false">
      <c r="A95" s="1" t="s">
        <v>73</v>
      </c>
      <c r="B95" s="1" t="s">
        <v>74</v>
      </c>
      <c r="C95" s="1" t="s">
        <v>75</v>
      </c>
      <c r="D95" s="1" t="s">
        <v>19</v>
      </c>
      <c r="E95" s="1" t="s">
        <v>20</v>
      </c>
      <c r="F95" s="1" t="n">
        <v>30</v>
      </c>
      <c r="G95" s="1" t="s">
        <v>25</v>
      </c>
      <c r="H95" s="1" t="n">
        <v>0.1806</v>
      </c>
      <c r="I95" s="1" t="n">
        <v>0.271310576009918</v>
      </c>
      <c r="J95" s="1" t="n">
        <v>0.306434798891111</v>
      </c>
      <c r="K95" s="1" t="n">
        <f aca="false">J95-I95</f>
        <v>0.0351242228811929</v>
      </c>
      <c r="L95" s="1" t="n">
        <v>0.679973262997131</v>
      </c>
    </row>
    <row r="96" customFormat="false" ht="15" hidden="false" customHeight="false" outlineLevel="0" collapsed="false">
      <c r="A96" s="1" t="s">
        <v>73</v>
      </c>
      <c r="B96" s="1" t="s">
        <v>74</v>
      </c>
      <c r="C96" s="1" t="s">
        <v>75</v>
      </c>
      <c r="D96" s="1" t="s">
        <v>19</v>
      </c>
      <c r="E96" s="1" t="s">
        <v>20</v>
      </c>
      <c r="F96" s="1" t="n">
        <v>30</v>
      </c>
      <c r="G96" s="1" t="s">
        <v>40</v>
      </c>
      <c r="H96" s="1" t="n">
        <v>0.1702</v>
      </c>
      <c r="I96" s="1" t="n">
        <v>0.255615992238407</v>
      </c>
      <c r="J96" s="1" t="n">
        <v>0.247002498609225</v>
      </c>
      <c r="K96" s="1" t="n">
        <f aca="false">J96-I96</f>
        <v>-0.0086134936291821</v>
      </c>
      <c r="L96" s="1" t="n">
        <v>0.679973262997131</v>
      </c>
    </row>
    <row r="97" customFormat="false" ht="15" hidden="false" customHeight="false" outlineLevel="0" collapsed="false">
      <c r="A97" s="1" t="s">
        <v>73</v>
      </c>
      <c r="B97" s="1" t="s">
        <v>74</v>
      </c>
      <c r="C97" s="1" t="s">
        <v>75</v>
      </c>
      <c r="D97" s="1" t="s">
        <v>19</v>
      </c>
      <c r="E97" s="1" t="s">
        <v>20</v>
      </c>
      <c r="F97" s="1" t="n">
        <v>30</v>
      </c>
      <c r="G97" s="1" t="s">
        <v>63</v>
      </c>
      <c r="H97" s="1" t="n">
        <v>0.1602</v>
      </c>
      <c r="I97" s="1" t="n">
        <v>0.240623613903731</v>
      </c>
      <c r="J97" s="1" t="n">
        <v>0.295517461377204</v>
      </c>
      <c r="K97" s="1" t="n">
        <f aca="false">J97-I97</f>
        <v>0.054893847473473</v>
      </c>
      <c r="L97" s="1" t="n">
        <v>0.679973262997131</v>
      </c>
    </row>
    <row r="98" customFormat="false" ht="15" hidden="false" customHeight="false" outlineLevel="0" collapsed="false">
      <c r="A98" s="1" t="s">
        <v>73</v>
      </c>
      <c r="B98" s="1" t="s">
        <v>74</v>
      </c>
      <c r="C98" s="1" t="s">
        <v>75</v>
      </c>
      <c r="D98" s="1" t="s">
        <v>19</v>
      </c>
      <c r="E98" s="1" t="s">
        <v>20</v>
      </c>
      <c r="F98" s="1" t="n">
        <v>30</v>
      </c>
      <c r="G98" s="1" t="s">
        <v>26</v>
      </c>
      <c r="H98" s="1" t="n">
        <v>0.1</v>
      </c>
      <c r="I98" s="1" t="n">
        <v>0.180556031246001</v>
      </c>
      <c r="J98" s="1" t="n">
        <v>0.261571759566882</v>
      </c>
      <c r="K98" s="1" t="n">
        <f aca="false">J98-I98</f>
        <v>0.0810157283208809</v>
      </c>
      <c r="L98" s="1" t="n">
        <v>0.679973262997131</v>
      </c>
    </row>
    <row r="99" customFormat="false" ht="15" hidden="false" customHeight="false" outlineLevel="0" collapsed="false">
      <c r="A99" s="1" t="s">
        <v>76</v>
      </c>
      <c r="B99" s="1" t="s">
        <v>77</v>
      </c>
      <c r="C99" s="1" t="s">
        <v>78</v>
      </c>
      <c r="D99" s="1" t="s">
        <v>19</v>
      </c>
      <c r="E99" s="1" t="s">
        <v>20</v>
      </c>
      <c r="F99" s="1" t="n">
        <v>32</v>
      </c>
      <c r="G99" s="1" t="s">
        <v>21</v>
      </c>
      <c r="H99" s="1" t="n">
        <v>0.2308</v>
      </c>
      <c r="I99" s="1" t="n">
        <v>0.327959667638263</v>
      </c>
      <c r="J99" s="1" t="n">
        <v>0.37045978221167</v>
      </c>
      <c r="K99" s="1" t="n">
        <f aca="false">J99-I99</f>
        <v>0.042500114573407</v>
      </c>
      <c r="L99" s="1" t="n">
        <v>0.804539740964931</v>
      </c>
    </row>
    <row r="100" customFormat="false" ht="15" hidden="false" customHeight="false" outlineLevel="0" collapsed="false">
      <c r="A100" s="1" t="s">
        <v>76</v>
      </c>
      <c r="B100" s="1" t="s">
        <v>77</v>
      </c>
      <c r="C100" s="1" t="s">
        <v>78</v>
      </c>
      <c r="D100" s="1" t="s">
        <v>19</v>
      </c>
      <c r="E100" s="1" t="s">
        <v>20</v>
      </c>
      <c r="F100" s="1" t="n">
        <v>32</v>
      </c>
      <c r="G100" s="1" t="s">
        <v>23</v>
      </c>
      <c r="H100" s="1" t="n">
        <v>0.1793</v>
      </c>
      <c r="I100" s="1" t="n">
        <v>0.254880182389451</v>
      </c>
      <c r="J100" s="1" t="n">
        <v>0.306214689708511</v>
      </c>
      <c r="K100" s="1" t="n">
        <f aca="false">J100-I100</f>
        <v>0.0513345073190605</v>
      </c>
      <c r="L100" s="1" t="n">
        <v>0.804539740964931</v>
      </c>
    </row>
    <row r="101" customFormat="false" ht="15" hidden="false" customHeight="false" outlineLevel="0" collapsed="false">
      <c r="A101" s="1" t="s">
        <v>76</v>
      </c>
      <c r="B101" s="1" t="s">
        <v>77</v>
      </c>
      <c r="C101" s="1" t="s">
        <v>78</v>
      </c>
      <c r="D101" s="1" t="s">
        <v>19</v>
      </c>
      <c r="E101" s="1" t="s">
        <v>20</v>
      </c>
      <c r="F101" s="1" t="n">
        <v>32</v>
      </c>
      <c r="G101" s="1" t="s">
        <v>25</v>
      </c>
      <c r="H101" s="1" t="n">
        <v>0.1703</v>
      </c>
      <c r="I101" s="1" t="n">
        <v>0.242095941521976</v>
      </c>
      <c r="J101" s="1" t="n">
        <v>0.296468280067063</v>
      </c>
      <c r="K101" s="1" t="n">
        <f aca="false">J101-I101</f>
        <v>0.0543723385450869</v>
      </c>
      <c r="L101" s="1" t="n">
        <v>0.804539740964931</v>
      </c>
    </row>
    <row r="102" customFormat="false" ht="15" hidden="false" customHeight="false" outlineLevel="0" collapsed="false">
      <c r="A102" s="1" t="s">
        <v>76</v>
      </c>
      <c r="B102" s="1" t="s">
        <v>77</v>
      </c>
      <c r="C102" s="1" t="s">
        <v>78</v>
      </c>
      <c r="D102" s="1" t="s">
        <v>19</v>
      </c>
      <c r="E102" s="1" t="s">
        <v>20</v>
      </c>
      <c r="F102" s="1" t="n">
        <v>32</v>
      </c>
      <c r="G102" s="1" t="s">
        <v>24</v>
      </c>
      <c r="H102" s="1" t="n">
        <v>0.1604</v>
      </c>
      <c r="I102" s="1" t="n">
        <v>0.227887071008145</v>
      </c>
      <c r="J102" s="1" t="n">
        <v>0.280075004811939</v>
      </c>
      <c r="K102" s="1" t="n">
        <f aca="false">J102-I102</f>
        <v>0.0521879338037935</v>
      </c>
      <c r="L102" s="1" t="n">
        <v>0.804539740964931</v>
      </c>
    </row>
    <row r="103" customFormat="false" ht="15" hidden="false" customHeight="false" outlineLevel="0" collapsed="false">
      <c r="A103" s="1" t="s">
        <v>76</v>
      </c>
      <c r="B103" s="1" t="s">
        <v>77</v>
      </c>
      <c r="C103" s="1" t="s">
        <v>78</v>
      </c>
      <c r="D103" s="1" t="s">
        <v>19</v>
      </c>
      <c r="E103" s="1" t="s">
        <v>20</v>
      </c>
      <c r="F103" s="1" t="n">
        <v>32</v>
      </c>
      <c r="G103" s="1" t="s">
        <v>30</v>
      </c>
      <c r="H103" s="1" t="n">
        <v>0.1592</v>
      </c>
      <c r="I103" s="1" t="n">
        <v>0.226231835841195</v>
      </c>
      <c r="J103" s="1" t="n">
        <v>0.258865181813225</v>
      </c>
      <c r="K103" s="1" t="n">
        <f aca="false">J103-I103</f>
        <v>0.0326333459720304</v>
      </c>
      <c r="L103" s="1" t="n">
        <v>0.804539740964931</v>
      </c>
    </row>
    <row r="104" customFormat="false" ht="15" hidden="false" customHeight="false" outlineLevel="0" collapsed="false">
      <c r="A104" s="1" t="s">
        <v>76</v>
      </c>
      <c r="B104" s="1" t="s">
        <v>77</v>
      </c>
      <c r="C104" s="1" t="s">
        <v>78</v>
      </c>
      <c r="D104" s="1" t="s">
        <v>19</v>
      </c>
      <c r="E104" s="1" t="s">
        <v>20</v>
      </c>
      <c r="F104" s="1" t="n">
        <v>32</v>
      </c>
      <c r="G104" s="1" t="s">
        <v>26</v>
      </c>
      <c r="H104" s="1" t="n">
        <v>0.1</v>
      </c>
      <c r="I104" s="1" t="n">
        <v>0.211154656717021</v>
      </c>
      <c r="J104" s="1" t="n">
        <v>0.250675519513188</v>
      </c>
      <c r="K104" s="1" t="n">
        <f aca="false">J104-I104</f>
        <v>0.0395208627961669</v>
      </c>
      <c r="L104" s="1" t="n">
        <v>0.804539740964931</v>
      </c>
    </row>
    <row r="105" customFormat="false" ht="15" hidden="false" customHeight="false" outlineLevel="0" collapsed="false">
      <c r="A105" s="1" t="s">
        <v>79</v>
      </c>
      <c r="B105" s="1" t="s">
        <v>80</v>
      </c>
      <c r="C105" s="1" t="s">
        <v>81</v>
      </c>
      <c r="D105" s="1" t="s">
        <v>19</v>
      </c>
      <c r="E105" s="1" t="s">
        <v>20</v>
      </c>
      <c r="F105" s="1" t="n">
        <v>34</v>
      </c>
      <c r="G105" s="1" t="s">
        <v>21</v>
      </c>
      <c r="H105" s="1" t="n">
        <v>0.2101</v>
      </c>
      <c r="I105" s="1" t="n">
        <v>0.340067785577068</v>
      </c>
      <c r="J105" s="1" t="n">
        <v>0.436548351222821</v>
      </c>
      <c r="K105" s="1" t="n">
        <f aca="false">J105-I105</f>
        <v>0.0964805656457533</v>
      </c>
      <c r="L105" s="1" t="n">
        <v>0.575788380252692</v>
      </c>
    </row>
    <row r="106" customFormat="false" ht="15" hidden="false" customHeight="false" outlineLevel="0" collapsed="false">
      <c r="A106" s="1" t="s">
        <v>79</v>
      </c>
      <c r="B106" s="1" t="s">
        <v>80</v>
      </c>
      <c r="C106" s="1" t="s">
        <v>81</v>
      </c>
      <c r="D106" s="1" t="s">
        <v>19</v>
      </c>
      <c r="E106" s="1" t="s">
        <v>20</v>
      </c>
      <c r="F106" s="1" t="n">
        <v>34</v>
      </c>
      <c r="G106" s="1" t="s">
        <v>23</v>
      </c>
      <c r="H106" s="1" t="n">
        <v>0.1908</v>
      </c>
      <c r="I106" s="1" t="n">
        <v>0.308807688924135</v>
      </c>
      <c r="J106" s="1" t="n">
        <v>0.407296167267964</v>
      </c>
      <c r="K106" s="1" t="n">
        <f aca="false">J106-I106</f>
        <v>0.0984884783438286</v>
      </c>
      <c r="L106" s="1" t="n">
        <v>0.575788380252692</v>
      </c>
    </row>
    <row r="107" customFormat="false" ht="15" hidden="false" customHeight="false" outlineLevel="0" collapsed="false">
      <c r="A107" s="1" t="s">
        <v>79</v>
      </c>
      <c r="B107" s="1" t="s">
        <v>80</v>
      </c>
      <c r="C107" s="1" t="s">
        <v>81</v>
      </c>
      <c r="D107" s="1" t="s">
        <v>19</v>
      </c>
      <c r="E107" s="1" t="s">
        <v>20</v>
      </c>
      <c r="F107" s="1" t="n">
        <v>34</v>
      </c>
      <c r="G107" s="1" t="s">
        <v>30</v>
      </c>
      <c r="H107" s="1" t="n">
        <v>0.1724</v>
      </c>
      <c r="I107" s="1" t="n">
        <v>0.27906110297349</v>
      </c>
      <c r="J107" s="1" t="n">
        <v>0.382116540553301</v>
      </c>
      <c r="K107" s="1" t="n">
        <f aca="false">J107-I107</f>
        <v>0.103055437579812</v>
      </c>
      <c r="L107" s="1" t="n">
        <v>0.575788380252692</v>
      </c>
    </row>
    <row r="108" customFormat="false" ht="15" hidden="false" customHeight="false" outlineLevel="0" collapsed="false">
      <c r="A108" s="1" t="s">
        <v>79</v>
      </c>
      <c r="B108" s="1" t="s">
        <v>80</v>
      </c>
      <c r="C108" s="1" t="s">
        <v>81</v>
      </c>
      <c r="D108" s="1" t="s">
        <v>19</v>
      </c>
      <c r="E108" s="1" t="s">
        <v>20</v>
      </c>
      <c r="F108" s="1" t="n">
        <v>34</v>
      </c>
      <c r="G108" s="1" t="s">
        <v>25</v>
      </c>
      <c r="H108" s="1" t="n">
        <v>0.1678</v>
      </c>
      <c r="I108" s="1" t="n">
        <v>0.271631796919599</v>
      </c>
      <c r="J108" s="1" t="n">
        <v>0.336956369065595</v>
      </c>
      <c r="K108" s="1" t="n">
        <f aca="false">J108-I108</f>
        <v>0.0653245721459957</v>
      </c>
      <c r="L108" s="1" t="n">
        <v>0.575788380252692</v>
      </c>
    </row>
    <row r="109" customFormat="false" ht="15" hidden="false" customHeight="false" outlineLevel="0" collapsed="false">
      <c r="A109" s="1" t="s">
        <v>79</v>
      </c>
      <c r="B109" s="1" t="s">
        <v>80</v>
      </c>
      <c r="C109" s="1" t="s">
        <v>81</v>
      </c>
      <c r="D109" s="1" t="s">
        <v>19</v>
      </c>
      <c r="E109" s="1" t="s">
        <v>20</v>
      </c>
      <c r="F109" s="1" t="n">
        <v>34</v>
      </c>
      <c r="G109" s="1" t="s">
        <v>63</v>
      </c>
      <c r="H109" s="1" t="n">
        <v>0.159</v>
      </c>
      <c r="I109" s="1" t="n">
        <v>0.25737863585425</v>
      </c>
      <c r="J109" s="1" t="n">
        <v>0.357637854537194</v>
      </c>
      <c r="K109" s="1" t="n">
        <f aca="false">J109-I109</f>
        <v>0.100259218682944</v>
      </c>
      <c r="L109" s="1" t="n">
        <v>0.575788380252692</v>
      </c>
    </row>
    <row r="110" customFormat="false" ht="15" hidden="false" customHeight="false" outlineLevel="0" collapsed="false">
      <c r="A110" s="1" t="s">
        <v>79</v>
      </c>
      <c r="B110" s="1" t="s">
        <v>80</v>
      </c>
      <c r="C110" s="1" t="s">
        <v>81</v>
      </c>
      <c r="D110" s="1" t="s">
        <v>19</v>
      </c>
      <c r="E110" s="1" t="s">
        <v>20</v>
      </c>
      <c r="F110" s="1" t="n">
        <v>34</v>
      </c>
      <c r="G110" s="1" t="s">
        <v>26</v>
      </c>
      <c r="H110" s="1" t="n">
        <v>0.1</v>
      </c>
      <c r="I110" s="1" t="n">
        <v>0.198613017047274</v>
      </c>
      <c r="J110" s="1" t="n">
        <v>0.311943591402022</v>
      </c>
      <c r="K110" s="1" t="n">
        <f aca="false">J110-I110</f>
        <v>0.113330574354747</v>
      </c>
      <c r="L110" s="1" t="n">
        <v>0.575788380252692</v>
      </c>
    </row>
    <row r="111" customFormat="false" ht="15" hidden="false" customHeight="false" outlineLevel="0" collapsed="false">
      <c r="A111" s="1" t="s">
        <v>82</v>
      </c>
      <c r="B111" s="1" t="s">
        <v>83</v>
      </c>
      <c r="C111" s="1" t="s">
        <v>84</v>
      </c>
      <c r="D111" s="1" t="s">
        <v>19</v>
      </c>
      <c r="E111" s="1" t="s">
        <v>20</v>
      </c>
      <c r="F111" s="1" t="n">
        <v>36</v>
      </c>
      <c r="G111" s="1" t="s">
        <v>30</v>
      </c>
      <c r="H111" s="1" t="n">
        <v>0.1911</v>
      </c>
      <c r="I111" s="1" t="n">
        <v>0.358190659277379</v>
      </c>
      <c r="J111" s="1" t="n">
        <v>0.410708214017244</v>
      </c>
      <c r="K111" s="1" t="n">
        <f aca="false">J111-I111</f>
        <v>0.0525175547398653</v>
      </c>
      <c r="L111" s="1" t="n">
        <v>0.808293439836629</v>
      </c>
    </row>
    <row r="112" customFormat="false" ht="15" hidden="false" customHeight="false" outlineLevel="0" collapsed="false">
      <c r="A112" s="1" t="s">
        <v>82</v>
      </c>
      <c r="B112" s="1" t="s">
        <v>83</v>
      </c>
      <c r="C112" s="1" t="s">
        <v>84</v>
      </c>
      <c r="D112" s="1" t="s">
        <v>19</v>
      </c>
      <c r="E112" s="1" t="s">
        <v>20</v>
      </c>
      <c r="F112" s="1" t="n">
        <v>36</v>
      </c>
      <c r="G112" s="1" t="s">
        <v>21</v>
      </c>
      <c r="H112" s="1" t="n">
        <v>0.1867</v>
      </c>
      <c r="I112" s="1" t="n">
        <v>0.350030088726655</v>
      </c>
      <c r="J112" s="1" t="n">
        <v>0.483241948526419</v>
      </c>
      <c r="K112" s="1" t="n">
        <f aca="false">J112-I112</f>
        <v>0.133211859799764</v>
      </c>
      <c r="L112" s="1" t="n">
        <v>0.808293439836629</v>
      </c>
    </row>
    <row r="113" customFormat="false" ht="15" hidden="false" customHeight="false" outlineLevel="0" collapsed="false">
      <c r="A113" s="1" t="s">
        <v>82</v>
      </c>
      <c r="B113" s="1" t="s">
        <v>83</v>
      </c>
      <c r="C113" s="1" t="s">
        <v>84</v>
      </c>
      <c r="D113" s="1" t="s">
        <v>19</v>
      </c>
      <c r="E113" s="1" t="s">
        <v>20</v>
      </c>
      <c r="F113" s="1" t="n">
        <v>36</v>
      </c>
      <c r="G113" s="1" t="s">
        <v>23</v>
      </c>
      <c r="H113" s="1" t="n">
        <v>0.18</v>
      </c>
      <c r="I113" s="1" t="n">
        <v>0.337327716801035</v>
      </c>
      <c r="J113" s="1" t="n">
        <v>0.390277267180604</v>
      </c>
      <c r="K113" s="1" t="n">
        <f aca="false">J113-I113</f>
        <v>0.0529495503795693</v>
      </c>
      <c r="L113" s="1" t="n">
        <v>0.808293439836629</v>
      </c>
    </row>
    <row r="114" customFormat="false" ht="15" hidden="false" customHeight="false" outlineLevel="0" collapsed="false">
      <c r="A114" s="1" t="s">
        <v>82</v>
      </c>
      <c r="B114" s="1" t="s">
        <v>83</v>
      </c>
      <c r="C114" s="1" t="s">
        <v>84</v>
      </c>
      <c r="D114" s="1" t="s">
        <v>19</v>
      </c>
      <c r="E114" s="1" t="s">
        <v>20</v>
      </c>
      <c r="F114" s="1" t="n">
        <v>36</v>
      </c>
      <c r="G114" s="1" t="s">
        <v>40</v>
      </c>
      <c r="H114" s="1" t="n">
        <v>0.1758</v>
      </c>
      <c r="I114" s="1" t="n">
        <v>0.329439403994174</v>
      </c>
      <c r="J114" s="1" t="n">
        <v>0.39172008757441</v>
      </c>
      <c r="K114" s="1" t="n">
        <f aca="false">J114-I114</f>
        <v>0.0622806835802355</v>
      </c>
      <c r="L114" s="1" t="n">
        <v>0.808293439836629</v>
      </c>
    </row>
    <row r="115" customFormat="false" ht="15" hidden="false" customHeight="false" outlineLevel="0" collapsed="false">
      <c r="A115" s="1" t="s">
        <v>82</v>
      </c>
      <c r="B115" s="1" t="s">
        <v>83</v>
      </c>
      <c r="C115" s="1" t="s">
        <v>84</v>
      </c>
      <c r="D115" s="1" t="s">
        <v>19</v>
      </c>
      <c r="E115" s="1" t="s">
        <v>20</v>
      </c>
      <c r="F115" s="1" t="n">
        <v>36</v>
      </c>
      <c r="G115" s="1" t="s">
        <v>44</v>
      </c>
      <c r="H115" s="1" t="n">
        <v>0.1664</v>
      </c>
      <c r="I115" s="1" t="n">
        <v>0.311904703177017</v>
      </c>
      <c r="J115" s="1" t="n">
        <v>0.378171440072974</v>
      </c>
      <c r="K115" s="1" t="n">
        <f aca="false">J115-I115</f>
        <v>0.0662667368959568</v>
      </c>
      <c r="L115" s="1" t="n">
        <v>0.808293439836629</v>
      </c>
    </row>
    <row r="116" customFormat="false" ht="15" hidden="false" customHeight="false" outlineLevel="0" collapsed="false">
      <c r="A116" s="1" t="s">
        <v>82</v>
      </c>
      <c r="B116" s="1" t="s">
        <v>83</v>
      </c>
      <c r="C116" s="1" t="s">
        <v>84</v>
      </c>
      <c r="D116" s="1" t="s">
        <v>19</v>
      </c>
      <c r="E116" s="1" t="s">
        <v>20</v>
      </c>
      <c r="F116" s="1" t="n">
        <v>36</v>
      </c>
      <c r="G116" s="1" t="s">
        <v>26</v>
      </c>
      <c r="H116" s="1" t="n">
        <v>0.1</v>
      </c>
      <c r="I116" s="1" t="n">
        <v>0.268372544920141</v>
      </c>
      <c r="J116" s="1" t="n">
        <v>0.357474523853784</v>
      </c>
      <c r="K116" s="1" t="n">
        <f aca="false">J116-I116</f>
        <v>0.0891019789336431</v>
      </c>
      <c r="L116" s="1" t="n">
        <v>0.808293439836629</v>
      </c>
    </row>
    <row r="117" customFormat="false" ht="15" hidden="false" customHeight="false" outlineLevel="0" collapsed="false">
      <c r="A117" s="1" t="s">
        <v>85</v>
      </c>
      <c r="B117" s="1" t="s">
        <v>86</v>
      </c>
      <c r="C117" s="1" t="s">
        <v>87</v>
      </c>
      <c r="D117" s="1" t="s">
        <v>19</v>
      </c>
      <c r="E117" s="1" t="s">
        <v>20</v>
      </c>
      <c r="F117" s="1" t="n">
        <v>38</v>
      </c>
      <c r="G117" s="1" t="s">
        <v>23</v>
      </c>
      <c r="H117" s="1" t="n">
        <v>0.1966</v>
      </c>
      <c r="I117" s="1" t="n">
        <v>0.314655134579994</v>
      </c>
      <c r="J117" s="1" t="n">
        <v>0.344918185766025</v>
      </c>
      <c r="K117" s="1" t="n">
        <f aca="false">J117-I117</f>
        <v>0.0302630511860307</v>
      </c>
      <c r="L117" s="1" t="n">
        <v>0.631098700615939</v>
      </c>
    </row>
    <row r="118" customFormat="false" ht="15" hidden="false" customHeight="false" outlineLevel="0" collapsed="false">
      <c r="A118" s="1" t="s">
        <v>85</v>
      </c>
      <c r="B118" s="1" t="s">
        <v>86</v>
      </c>
      <c r="C118" s="1" t="s">
        <v>87</v>
      </c>
      <c r="D118" s="1" t="s">
        <v>19</v>
      </c>
      <c r="E118" s="1" t="s">
        <v>20</v>
      </c>
      <c r="F118" s="1" t="n">
        <v>38</v>
      </c>
      <c r="G118" s="1" t="s">
        <v>21</v>
      </c>
      <c r="H118" s="1" t="n">
        <v>0.1851</v>
      </c>
      <c r="I118" s="1" t="n">
        <v>0.296178277602359</v>
      </c>
      <c r="J118" s="1" t="n">
        <v>0.37341845195231</v>
      </c>
      <c r="K118" s="1" t="n">
        <f aca="false">J118-I118</f>
        <v>0.0772401743499517</v>
      </c>
      <c r="L118" s="1" t="n">
        <v>0.631098700615939</v>
      </c>
    </row>
    <row r="119" customFormat="false" ht="15" hidden="false" customHeight="false" outlineLevel="0" collapsed="false">
      <c r="A119" s="1" t="s">
        <v>85</v>
      </c>
      <c r="B119" s="1" t="s">
        <v>86</v>
      </c>
      <c r="C119" s="1" t="s">
        <v>87</v>
      </c>
      <c r="D119" s="1" t="s">
        <v>19</v>
      </c>
      <c r="E119" s="1" t="s">
        <v>20</v>
      </c>
      <c r="F119" s="1" t="n">
        <v>38</v>
      </c>
      <c r="G119" s="1" t="s">
        <v>40</v>
      </c>
      <c r="H119" s="1" t="n">
        <v>0.1793</v>
      </c>
      <c r="I119" s="1" t="n">
        <v>0.286861996903519</v>
      </c>
      <c r="J119" s="1" t="n">
        <v>0.304663384896387</v>
      </c>
      <c r="K119" s="1" t="n">
        <f aca="false">J119-I119</f>
        <v>0.0178013879928681</v>
      </c>
      <c r="L119" s="1" t="n">
        <v>0.631098700615939</v>
      </c>
    </row>
    <row r="120" customFormat="false" ht="15" hidden="false" customHeight="false" outlineLevel="0" collapsed="false">
      <c r="A120" s="1" t="s">
        <v>85</v>
      </c>
      <c r="B120" s="1" t="s">
        <v>86</v>
      </c>
      <c r="C120" s="1" t="s">
        <v>87</v>
      </c>
      <c r="D120" s="1" t="s">
        <v>19</v>
      </c>
      <c r="E120" s="1" t="s">
        <v>20</v>
      </c>
      <c r="F120" s="1" t="n">
        <v>38</v>
      </c>
      <c r="G120" s="1" t="s">
        <v>30</v>
      </c>
      <c r="H120" s="1" t="n">
        <v>0.1776</v>
      </c>
      <c r="I120" s="1" t="n">
        <v>0.28420484415672</v>
      </c>
      <c r="J120" s="1" t="n">
        <v>0.27559734451545</v>
      </c>
      <c r="K120" s="1" t="n">
        <f aca="false">J120-I120</f>
        <v>-0.00860749964127044</v>
      </c>
      <c r="L120" s="1" t="n">
        <v>0.631098700615939</v>
      </c>
    </row>
    <row r="121" customFormat="false" ht="15" hidden="false" customHeight="false" outlineLevel="0" collapsed="false">
      <c r="A121" s="1" t="s">
        <v>85</v>
      </c>
      <c r="B121" s="1" t="s">
        <v>86</v>
      </c>
      <c r="C121" s="1" t="s">
        <v>87</v>
      </c>
      <c r="D121" s="1" t="s">
        <v>19</v>
      </c>
      <c r="E121" s="1" t="s">
        <v>20</v>
      </c>
      <c r="F121" s="1" t="n">
        <v>38</v>
      </c>
      <c r="G121" s="1" t="s">
        <v>63</v>
      </c>
      <c r="H121" s="1" t="n">
        <v>0.1614</v>
      </c>
      <c r="I121" s="1" t="n">
        <v>0.258235637250411</v>
      </c>
      <c r="J121" s="1" t="n">
        <v>0.284099845436776</v>
      </c>
      <c r="K121" s="1" t="n">
        <f aca="false">J121-I121</f>
        <v>0.0258642081863654</v>
      </c>
      <c r="L121" s="1" t="n">
        <v>0.631098700615939</v>
      </c>
    </row>
    <row r="122" customFormat="false" ht="15" hidden="false" customHeight="false" outlineLevel="0" collapsed="false">
      <c r="A122" s="1" t="s">
        <v>85</v>
      </c>
      <c r="B122" s="1" t="s">
        <v>86</v>
      </c>
      <c r="C122" s="1" t="s">
        <v>87</v>
      </c>
      <c r="D122" s="1" t="s">
        <v>19</v>
      </c>
      <c r="E122" s="1" t="s">
        <v>20</v>
      </c>
      <c r="F122" s="1" t="n">
        <v>38</v>
      </c>
      <c r="G122" s="1" t="s">
        <v>26</v>
      </c>
      <c r="H122" s="1" t="n">
        <v>0.1</v>
      </c>
      <c r="I122" s="1" t="n">
        <v>0.242201020494828</v>
      </c>
      <c r="J122" s="1" t="n">
        <v>0.262877830761148</v>
      </c>
      <c r="K122" s="1" t="n">
        <f aca="false">J122-I122</f>
        <v>0.0206768102663199</v>
      </c>
      <c r="L122" s="1" t="n">
        <v>0.631098700615939</v>
      </c>
    </row>
    <row r="123" customFormat="false" ht="15" hidden="false" customHeight="false" outlineLevel="0" collapsed="false">
      <c r="A123" s="1" t="s">
        <v>88</v>
      </c>
      <c r="B123" s="1" t="s">
        <v>89</v>
      </c>
      <c r="C123" s="1" t="s">
        <v>90</v>
      </c>
      <c r="D123" s="1" t="s">
        <v>19</v>
      </c>
      <c r="E123" s="1" t="s">
        <v>20</v>
      </c>
      <c r="F123" s="1" t="n">
        <v>40</v>
      </c>
      <c r="G123" s="1" t="s">
        <v>21</v>
      </c>
      <c r="H123" s="1" t="n">
        <v>0.2252</v>
      </c>
      <c r="I123" s="1" t="n">
        <v>0.2934082575905</v>
      </c>
      <c r="J123" s="1" t="n">
        <v>0.336669367514794</v>
      </c>
      <c r="K123" s="1" t="n">
        <f aca="false">J123-I123</f>
        <v>0.0432611099242941</v>
      </c>
      <c r="L123" s="1" t="n">
        <v>0.723521456744309</v>
      </c>
    </row>
    <row r="124" customFormat="false" ht="15" hidden="false" customHeight="false" outlineLevel="0" collapsed="false">
      <c r="A124" s="1" t="s">
        <v>88</v>
      </c>
      <c r="B124" s="1" t="s">
        <v>89</v>
      </c>
      <c r="C124" s="1" t="s">
        <v>90</v>
      </c>
      <c r="D124" s="1" t="s">
        <v>19</v>
      </c>
      <c r="E124" s="1" t="s">
        <v>20</v>
      </c>
      <c r="F124" s="1" t="n">
        <v>40</v>
      </c>
      <c r="G124" s="1" t="s">
        <v>23</v>
      </c>
      <c r="H124" s="1" t="n">
        <v>0.189</v>
      </c>
      <c r="I124" s="1" t="n">
        <v>0.246217473773419</v>
      </c>
      <c r="J124" s="1" t="n">
        <v>0.251269170922859</v>
      </c>
      <c r="K124" s="1" t="n">
        <f aca="false">J124-I124</f>
        <v>0.00505169714943968</v>
      </c>
      <c r="L124" s="1" t="n">
        <v>0.723521456744309</v>
      </c>
    </row>
    <row r="125" customFormat="false" ht="15" hidden="false" customHeight="false" outlineLevel="0" collapsed="false">
      <c r="A125" s="1" t="s">
        <v>88</v>
      </c>
      <c r="B125" s="1" t="s">
        <v>89</v>
      </c>
      <c r="C125" s="1" t="s">
        <v>90</v>
      </c>
      <c r="D125" s="1" t="s">
        <v>19</v>
      </c>
      <c r="E125" s="1" t="s">
        <v>20</v>
      </c>
      <c r="F125" s="1" t="n">
        <v>40</v>
      </c>
      <c r="G125" s="1" t="s">
        <v>25</v>
      </c>
      <c r="H125" s="1" t="n">
        <v>0.1676</v>
      </c>
      <c r="I125" s="1" t="n">
        <v>0.218333348908663</v>
      </c>
      <c r="J125" s="1" t="n">
        <v>0.298497817235371</v>
      </c>
      <c r="K125" s="1" t="n">
        <f aca="false">J125-I125</f>
        <v>0.0801644683267076</v>
      </c>
      <c r="L125" s="1" t="n">
        <v>0.723521456744309</v>
      </c>
    </row>
    <row r="126" customFormat="false" ht="15" hidden="false" customHeight="false" outlineLevel="0" collapsed="false">
      <c r="A126" s="1" t="s">
        <v>88</v>
      </c>
      <c r="B126" s="1" t="s">
        <v>89</v>
      </c>
      <c r="C126" s="1" t="s">
        <v>90</v>
      </c>
      <c r="D126" s="1" t="s">
        <v>19</v>
      </c>
      <c r="E126" s="1" t="s">
        <v>20</v>
      </c>
      <c r="F126" s="1" t="n">
        <v>40</v>
      </c>
      <c r="G126" s="1" t="s">
        <v>63</v>
      </c>
      <c r="H126" s="1" t="n">
        <v>0.1605</v>
      </c>
      <c r="I126" s="1" t="n">
        <v>0.20906947503422</v>
      </c>
      <c r="J126" s="1" t="n">
        <v>0.239547422539944</v>
      </c>
      <c r="K126" s="1" t="n">
        <f aca="false">J126-I126</f>
        <v>0.0304779475057245</v>
      </c>
      <c r="L126" s="1" t="n">
        <v>0.723521456744309</v>
      </c>
    </row>
    <row r="127" customFormat="false" ht="15" hidden="false" customHeight="false" outlineLevel="0" collapsed="false">
      <c r="A127" s="1" t="s">
        <v>88</v>
      </c>
      <c r="B127" s="1" t="s">
        <v>89</v>
      </c>
      <c r="C127" s="1" t="s">
        <v>90</v>
      </c>
      <c r="D127" s="1" t="s">
        <v>19</v>
      </c>
      <c r="E127" s="1" t="s">
        <v>20</v>
      </c>
      <c r="F127" s="1" t="n">
        <v>40</v>
      </c>
      <c r="G127" s="1" t="s">
        <v>24</v>
      </c>
      <c r="H127" s="1" t="n">
        <v>0.1578</v>
      </c>
      <c r="I127" s="1" t="n">
        <v>0.205609761072966</v>
      </c>
      <c r="J127" s="1" t="n">
        <v>0.281598490038663</v>
      </c>
      <c r="K127" s="1" t="n">
        <f aca="false">J127-I127</f>
        <v>0.0759887289656973</v>
      </c>
      <c r="L127" s="1" t="n">
        <v>0.723521456744309</v>
      </c>
    </row>
    <row r="128" customFormat="false" ht="15" hidden="false" customHeight="false" outlineLevel="0" collapsed="false">
      <c r="A128" s="1" t="s">
        <v>88</v>
      </c>
      <c r="B128" s="1" t="s">
        <v>89</v>
      </c>
      <c r="C128" s="1" t="s">
        <v>90</v>
      </c>
      <c r="D128" s="1" t="s">
        <v>19</v>
      </c>
      <c r="E128" s="1" t="s">
        <v>20</v>
      </c>
      <c r="F128" s="1" t="n">
        <v>40</v>
      </c>
      <c r="G128" s="1" t="s">
        <v>26</v>
      </c>
      <c r="H128" s="1" t="n">
        <v>0.1</v>
      </c>
      <c r="I128" s="1" t="n">
        <v>0.158255811278579</v>
      </c>
      <c r="J128" s="1" t="n">
        <v>0.234587439844131</v>
      </c>
      <c r="K128" s="1" t="n">
        <f aca="false">J128-I128</f>
        <v>0.0763316285655519</v>
      </c>
      <c r="L128" s="1" t="n">
        <v>0.723521456744309</v>
      </c>
    </row>
    <row r="129" customFormat="false" ht="15" hidden="false" customHeight="false" outlineLevel="0" collapsed="false">
      <c r="A129" s="1" t="s">
        <v>91</v>
      </c>
      <c r="B129" s="1" t="s">
        <v>92</v>
      </c>
      <c r="C129" s="1" t="s">
        <v>93</v>
      </c>
      <c r="D129" s="1" t="s">
        <v>19</v>
      </c>
      <c r="E129" s="1" t="s">
        <v>20</v>
      </c>
      <c r="F129" s="1" t="n">
        <v>42</v>
      </c>
      <c r="G129" s="1" t="s">
        <v>21</v>
      </c>
      <c r="H129" s="1" t="n">
        <v>0.209</v>
      </c>
      <c r="I129" s="1" t="n">
        <v>0.303028451513312</v>
      </c>
      <c r="J129" s="1" t="n">
        <v>0.39012094584576</v>
      </c>
      <c r="K129" s="1" t="n">
        <f aca="false">J129-I129</f>
        <v>0.0870924943324478</v>
      </c>
      <c r="L129" s="1" t="n">
        <v>0.667636089020494</v>
      </c>
    </row>
    <row r="130" customFormat="false" ht="15" hidden="false" customHeight="false" outlineLevel="0" collapsed="false">
      <c r="A130" s="1" t="s">
        <v>91</v>
      </c>
      <c r="B130" s="1" t="s">
        <v>92</v>
      </c>
      <c r="C130" s="1" t="s">
        <v>93</v>
      </c>
      <c r="D130" s="1" t="s">
        <v>19</v>
      </c>
      <c r="E130" s="1" t="s">
        <v>20</v>
      </c>
      <c r="F130" s="1" t="n">
        <v>42</v>
      </c>
      <c r="G130" s="1" t="s">
        <v>25</v>
      </c>
      <c r="H130" s="1" t="n">
        <v>0.1873</v>
      </c>
      <c r="I130" s="1" t="n">
        <v>0.271569958981488</v>
      </c>
      <c r="J130" s="1" t="n">
        <v>0.335076774353756</v>
      </c>
      <c r="K130" s="1" t="n">
        <f aca="false">J130-I130</f>
        <v>0.0635068153722678</v>
      </c>
      <c r="L130" s="1" t="n">
        <v>0.667636089020494</v>
      </c>
    </row>
    <row r="131" customFormat="false" ht="15" hidden="false" customHeight="false" outlineLevel="0" collapsed="false">
      <c r="A131" s="1" t="s">
        <v>91</v>
      </c>
      <c r="B131" s="1" t="s">
        <v>92</v>
      </c>
      <c r="C131" s="1" t="s">
        <v>93</v>
      </c>
      <c r="D131" s="1" t="s">
        <v>19</v>
      </c>
      <c r="E131" s="1" t="s">
        <v>20</v>
      </c>
      <c r="F131" s="1" t="n">
        <v>42</v>
      </c>
      <c r="G131" s="1" t="s">
        <v>24</v>
      </c>
      <c r="H131" s="1" t="n">
        <v>0.1728</v>
      </c>
      <c r="I131" s="1" t="n">
        <v>0.250602958377746</v>
      </c>
      <c r="J131" s="1" t="n">
        <v>0.31671217693924</v>
      </c>
      <c r="K131" s="1" t="n">
        <f aca="false">J131-I131</f>
        <v>0.0661092185614938</v>
      </c>
      <c r="L131" s="1" t="n">
        <v>0.667636089020494</v>
      </c>
    </row>
    <row r="132" customFormat="false" ht="15" hidden="false" customHeight="false" outlineLevel="0" collapsed="false">
      <c r="A132" s="1" t="s">
        <v>91</v>
      </c>
      <c r="B132" s="1" t="s">
        <v>92</v>
      </c>
      <c r="C132" s="1" t="s">
        <v>93</v>
      </c>
      <c r="D132" s="1" t="s">
        <v>19</v>
      </c>
      <c r="E132" s="1" t="s">
        <v>20</v>
      </c>
      <c r="F132" s="1" t="n">
        <v>42</v>
      </c>
      <c r="G132" s="1" t="s">
        <v>23</v>
      </c>
      <c r="H132" s="1" t="n">
        <v>0.1721</v>
      </c>
      <c r="I132" s="1" t="n">
        <v>0.249554494756798</v>
      </c>
      <c r="J132" s="1" t="n">
        <v>0.307979753173107</v>
      </c>
      <c r="K132" s="1" t="n">
        <f aca="false">J132-I132</f>
        <v>0.0584252584163094</v>
      </c>
      <c r="L132" s="1" t="n">
        <v>0.667636089020494</v>
      </c>
    </row>
    <row r="133" customFormat="false" ht="15" hidden="false" customHeight="false" outlineLevel="0" collapsed="false">
      <c r="A133" s="1" t="s">
        <v>91</v>
      </c>
      <c r="B133" s="1" t="s">
        <v>92</v>
      </c>
      <c r="C133" s="1" t="s">
        <v>93</v>
      </c>
      <c r="D133" s="1" t="s">
        <v>19</v>
      </c>
      <c r="E133" s="1" t="s">
        <v>20</v>
      </c>
      <c r="F133" s="1" t="n">
        <v>42</v>
      </c>
      <c r="G133" s="1" t="s">
        <v>94</v>
      </c>
      <c r="H133" s="1" t="n">
        <v>0.1587</v>
      </c>
      <c r="I133" s="1" t="n">
        <v>0.230093882220316</v>
      </c>
      <c r="J133" s="1" t="n">
        <v>0.284366231151118</v>
      </c>
      <c r="K133" s="1" t="n">
        <f aca="false">J133-I133</f>
        <v>0.0542723489308024</v>
      </c>
      <c r="L133" s="1" t="n">
        <v>0.667636089020494</v>
      </c>
    </row>
    <row r="134" customFormat="false" ht="15" hidden="false" customHeight="false" outlineLevel="0" collapsed="false">
      <c r="A134" s="1" t="s">
        <v>91</v>
      </c>
      <c r="B134" s="1" t="s">
        <v>92</v>
      </c>
      <c r="C134" s="1" t="s">
        <v>93</v>
      </c>
      <c r="D134" s="1" t="s">
        <v>19</v>
      </c>
      <c r="E134" s="1" t="s">
        <v>20</v>
      </c>
      <c r="F134" s="1" t="n">
        <v>42</v>
      </c>
      <c r="G134" s="1" t="s">
        <v>26</v>
      </c>
      <c r="H134" s="1" t="n">
        <v>0.1</v>
      </c>
      <c r="I134" s="1" t="n">
        <v>0.207574705320699</v>
      </c>
      <c r="J134" s="1" t="n">
        <v>0.279764280930469</v>
      </c>
      <c r="K134" s="1" t="n">
        <f aca="false">J134-I134</f>
        <v>0.0721895756097696</v>
      </c>
      <c r="L134" s="1" t="n">
        <v>0.667636089020494</v>
      </c>
    </row>
    <row r="135" customFormat="false" ht="15" hidden="false" customHeight="false" outlineLevel="0" collapsed="false">
      <c r="A135" s="1" t="s">
        <v>95</v>
      </c>
      <c r="B135" s="1" t="s">
        <v>96</v>
      </c>
      <c r="C135" s="1" t="s">
        <v>97</v>
      </c>
      <c r="D135" s="1" t="s">
        <v>19</v>
      </c>
      <c r="E135" s="1" t="s">
        <v>20</v>
      </c>
      <c r="F135" s="1" t="n">
        <v>44</v>
      </c>
      <c r="G135" s="1" t="s">
        <v>21</v>
      </c>
      <c r="H135" s="1" t="n">
        <v>0.2042</v>
      </c>
      <c r="I135" s="1" t="n">
        <v>0.330829437163611</v>
      </c>
      <c r="J135" s="1" t="n">
        <v>0.380320258784296</v>
      </c>
      <c r="K135" s="1" t="n">
        <f aca="false">J135-I135</f>
        <v>0.0494908216206845</v>
      </c>
      <c r="L135" s="1" t="n">
        <v>0.729145136576755</v>
      </c>
    </row>
    <row r="136" customFormat="false" ht="15" hidden="false" customHeight="false" outlineLevel="0" collapsed="false">
      <c r="A136" s="1" t="s">
        <v>95</v>
      </c>
      <c r="B136" s="1" t="s">
        <v>96</v>
      </c>
      <c r="C136" s="1" t="s">
        <v>97</v>
      </c>
      <c r="D136" s="1" t="s">
        <v>19</v>
      </c>
      <c r="E136" s="1" t="s">
        <v>20</v>
      </c>
      <c r="F136" s="1" t="n">
        <v>44</v>
      </c>
      <c r="G136" s="1" t="s">
        <v>40</v>
      </c>
      <c r="H136" s="1" t="n">
        <v>0.1781</v>
      </c>
      <c r="I136" s="1" t="n">
        <v>0.28848037887567</v>
      </c>
      <c r="J136" s="1" t="n">
        <v>0.309630369543594</v>
      </c>
      <c r="K136" s="1" t="n">
        <f aca="false">J136-I136</f>
        <v>0.0211499906679238</v>
      </c>
      <c r="L136" s="1" t="n">
        <v>0.729145136576755</v>
      </c>
    </row>
    <row r="137" customFormat="false" ht="15" hidden="false" customHeight="false" outlineLevel="0" collapsed="false">
      <c r="A137" s="1" t="s">
        <v>95</v>
      </c>
      <c r="B137" s="1" t="s">
        <v>96</v>
      </c>
      <c r="C137" s="1" t="s">
        <v>97</v>
      </c>
      <c r="D137" s="1" t="s">
        <v>19</v>
      </c>
      <c r="E137" s="1" t="s">
        <v>20</v>
      </c>
      <c r="F137" s="1" t="n">
        <v>44</v>
      </c>
      <c r="G137" s="1" t="s">
        <v>23</v>
      </c>
      <c r="H137" s="1" t="n">
        <v>0.1776</v>
      </c>
      <c r="I137" s="1" t="n">
        <v>0.287639807361468</v>
      </c>
      <c r="J137" s="1" t="n">
        <v>0.34460178687988</v>
      </c>
      <c r="K137" s="1" t="n">
        <f aca="false">J137-I137</f>
        <v>0.0569619795184117</v>
      </c>
      <c r="L137" s="1" t="n">
        <v>0.729145136576755</v>
      </c>
    </row>
    <row r="138" customFormat="false" ht="15" hidden="false" customHeight="false" outlineLevel="0" collapsed="false">
      <c r="A138" s="1" t="s">
        <v>95</v>
      </c>
      <c r="B138" s="1" t="s">
        <v>96</v>
      </c>
      <c r="C138" s="1" t="s">
        <v>97</v>
      </c>
      <c r="D138" s="1" t="s">
        <v>19</v>
      </c>
      <c r="E138" s="1" t="s">
        <v>20</v>
      </c>
      <c r="F138" s="1" t="n">
        <v>44</v>
      </c>
      <c r="G138" s="1" t="s">
        <v>25</v>
      </c>
      <c r="H138" s="1" t="n">
        <v>0.17</v>
      </c>
      <c r="I138" s="1" t="n">
        <v>0.275426972559535</v>
      </c>
      <c r="J138" s="1" t="n">
        <v>0.293864266777741</v>
      </c>
      <c r="K138" s="1" t="n">
        <f aca="false">J138-I138</f>
        <v>0.0184372942182054</v>
      </c>
      <c r="L138" s="1" t="n">
        <v>0.729145136576755</v>
      </c>
    </row>
    <row r="139" customFormat="false" ht="15" hidden="false" customHeight="false" outlineLevel="0" collapsed="false">
      <c r="A139" s="1" t="s">
        <v>95</v>
      </c>
      <c r="B139" s="1" t="s">
        <v>96</v>
      </c>
      <c r="C139" s="1" t="s">
        <v>97</v>
      </c>
      <c r="D139" s="1" t="s">
        <v>19</v>
      </c>
      <c r="E139" s="1" t="s">
        <v>20</v>
      </c>
      <c r="F139" s="1" t="n">
        <v>44</v>
      </c>
      <c r="G139" s="1" t="s">
        <v>24</v>
      </c>
      <c r="H139" s="1" t="n">
        <v>0.17</v>
      </c>
      <c r="I139" s="1" t="n">
        <v>0.275419794427422</v>
      </c>
      <c r="J139" s="1" t="n">
        <v>0.302807097313212</v>
      </c>
      <c r="K139" s="1" t="n">
        <f aca="false">J139-I139</f>
        <v>0.0273873028857902</v>
      </c>
      <c r="L139" s="1" t="n">
        <v>0.729145136576755</v>
      </c>
    </row>
    <row r="140" customFormat="false" ht="15" hidden="false" customHeight="false" outlineLevel="0" collapsed="false">
      <c r="A140" s="1" t="s">
        <v>95</v>
      </c>
      <c r="B140" s="1" t="s">
        <v>96</v>
      </c>
      <c r="C140" s="1" t="s">
        <v>97</v>
      </c>
      <c r="D140" s="1" t="s">
        <v>19</v>
      </c>
      <c r="E140" s="1" t="s">
        <v>20</v>
      </c>
      <c r="F140" s="1" t="n">
        <v>44</v>
      </c>
      <c r="G140" s="1" t="s">
        <v>26</v>
      </c>
      <c r="H140" s="1" t="n">
        <v>0.1</v>
      </c>
      <c r="I140" s="1" t="n">
        <v>0.236913775455398</v>
      </c>
      <c r="J140" s="1" t="n">
        <v>0.264826105881819</v>
      </c>
      <c r="K140" s="1" t="n">
        <f aca="false">J140-I140</f>
        <v>0.0279123304264216</v>
      </c>
      <c r="L140" s="1" t="n">
        <v>0.729145136576755</v>
      </c>
    </row>
    <row r="141" customFormat="false" ht="15" hidden="false" customHeight="false" outlineLevel="0" collapsed="false">
      <c r="A141" s="1" t="s">
        <v>98</v>
      </c>
      <c r="B141" s="1" t="s">
        <v>99</v>
      </c>
      <c r="C141" s="1" t="s">
        <v>100</v>
      </c>
      <c r="D141" s="1" t="s">
        <v>19</v>
      </c>
      <c r="E141" s="1" t="s">
        <v>20</v>
      </c>
      <c r="F141" s="1" t="n">
        <v>46</v>
      </c>
      <c r="G141" s="1" t="s">
        <v>23</v>
      </c>
      <c r="H141" s="1" t="n">
        <v>0.2088</v>
      </c>
      <c r="I141" s="1" t="n">
        <v>0.269634996755298</v>
      </c>
      <c r="J141" s="1" t="n">
        <v>0.364214093481227</v>
      </c>
      <c r="K141" s="1" t="n">
        <f aca="false">J141-I141</f>
        <v>0.094579096725929</v>
      </c>
      <c r="L141" s="1" t="n">
        <v>0.768909591560026</v>
      </c>
    </row>
    <row r="142" customFormat="false" ht="15" hidden="false" customHeight="false" outlineLevel="0" collapsed="false">
      <c r="A142" s="1" t="s">
        <v>98</v>
      </c>
      <c r="B142" s="1" t="s">
        <v>99</v>
      </c>
      <c r="C142" s="1" t="s">
        <v>100</v>
      </c>
      <c r="D142" s="1" t="s">
        <v>19</v>
      </c>
      <c r="E142" s="1" t="s">
        <v>20</v>
      </c>
      <c r="F142" s="1" t="n">
        <v>46</v>
      </c>
      <c r="G142" s="1" t="s">
        <v>21</v>
      </c>
      <c r="H142" s="1" t="n">
        <v>0.2005</v>
      </c>
      <c r="I142" s="1" t="n">
        <v>0.258934048996778</v>
      </c>
      <c r="J142" s="1" t="n">
        <v>0.392408041722814</v>
      </c>
      <c r="K142" s="1" t="n">
        <f aca="false">J142-I142</f>
        <v>0.133473992726037</v>
      </c>
      <c r="L142" s="1" t="n">
        <v>0.768909591560026</v>
      </c>
    </row>
    <row r="143" customFormat="false" ht="15" hidden="false" customHeight="false" outlineLevel="0" collapsed="false">
      <c r="A143" s="1" t="s">
        <v>98</v>
      </c>
      <c r="B143" s="1" t="s">
        <v>99</v>
      </c>
      <c r="C143" s="1" t="s">
        <v>100</v>
      </c>
      <c r="D143" s="1" t="s">
        <v>19</v>
      </c>
      <c r="E143" s="1" t="s">
        <v>20</v>
      </c>
      <c r="F143" s="1" t="n">
        <v>46</v>
      </c>
      <c r="G143" s="1" t="s">
        <v>24</v>
      </c>
      <c r="H143" s="1" t="n">
        <v>0.1665</v>
      </c>
      <c r="I143" s="1" t="n">
        <v>0.214986147920917</v>
      </c>
      <c r="J143" s="1" t="n">
        <v>0.332825393601103</v>
      </c>
      <c r="K143" s="1" t="n">
        <f aca="false">J143-I143</f>
        <v>0.117839245680186</v>
      </c>
      <c r="L143" s="1" t="n">
        <v>0.768909591560026</v>
      </c>
    </row>
    <row r="144" customFormat="false" ht="15" hidden="false" customHeight="false" outlineLevel="0" collapsed="false">
      <c r="A144" s="1" t="s">
        <v>98</v>
      </c>
      <c r="B144" s="1" t="s">
        <v>99</v>
      </c>
      <c r="C144" s="1" t="s">
        <v>100</v>
      </c>
      <c r="D144" s="1" t="s">
        <v>19</v>
      </c>
      <c r="E144" s="1" t="s">
        <v>20</v>
      </c>
      <c r="F144" s="1" t="n">
        <v>46</v>
      </c>
      <c r="G144" s="1" t="s">
        <v>40</v>
      </c>
      <c r="H144" s="1" t="n">
        <v>0.1659</v>
      </c>
      <c r="I144" s="1" t="n">
        <v>0.214221404412053</v>
      </c>
      <c r="J144" s="1" t="n">
        <v>0.324847616021019</v>
      </c>
      <c r="K144" s="1" t="n">
        <f aca="false">J144-I144</f>
        <v>0.110626211608966</v>
      </c>
      <c r="L144" s="1" t="n">
        <v>0.768909591560026</v>
      </c>
    </row>
    <row r="145" customFormat="false" ht="15" hidden="false" customHeight="false" outlineLevel="0" collapsed="false">
      <c r="A145" s="1" t="s">
        <v>98</v>
      </c>
      <c r="B145" s="1" t="s">
        <v>99</v>
      </c>
      <c r="C145" s="1" t="s">
        <v>100</v>
      </c>
      <c r="D145" s="1" t="s">
        <v>19</v>
      </c>
      <c r="E145" s="1" t="s">
        <v>20</v>
      </c>
      <c r="F145" s="1" t="n">
        <v>46</v>
      </c>
      <c r="G145" s="1" t="s">
        <v>25</v>
      </c>
      <c r="H145" s="1" t="n">
        <v>0.1582</v>
      </c>
      <c r="I145" s="1" t="n">
        <v>0.204297255861219</v>
      </c>
      <c r="J145" s="1" t="n">
        <v>0.31900312107634</v>
      </c>
      <c r="K145" s="1" t="n">
        <f aca="false">J145-I145</f>
        <v>0.114705865215121</v>
      </c>
      <c r="L145" s="1" t="n">
        <v>0.768909591560026</v>
      </c>
    </row>
    <row r="146" customFormat="false" ht="15" hidden="false" customHeight="false" outlineLevel="0" collapsed="false">
      <c r="A146" s="1" t="s">
        <v>98</v>
      </c>
      <c r="B146" s="1" t="s">
        <v>99</v>
      </c>
      <c r="C146" s="1" t="s">
        <v>100</v>
      </c>
      <c r="D146" s="1" t="s">
        <v>19</v>
      </c>
      <c r="E146" s="1" t="s">
        <v>20</v>
      </c>
      <c r="F146" s="1" t="n">
        <v>46</v>
      </c>
      <c r="G146" s="1" t="s">
        <v>26</v>
      </c>
      <c r="H146" s="1" t="n">
        <v>0.1</v>
      </c>
      <c r="I146" s="1" t="n">
        <v>0.175624009349136</v>
      </c>
      <c r="J146" s="1" t="n">
        <v>0.294389720160218</v>
      </c>
      <c r="K146" s="1" t="n">
        <f aca="false">J146-I146</f>
        <v>0.118765710811082</v>
      </c>
      <c r="L146" s="1" t="n">
        <v>0.768909591560026</v>
      </c>
    </row>
    <row r="147" customFormat="false" ht="15" hidden="false" customHeight="false" outlineLevel="0" collapsed="false">
      <c r="A147" s="1" t="s">
        <v>101</v>
      </c>
      <c r="B147" s="1" t="s">
        <v>102</v>
      </c>
      <c r="C147" s="1" t="s">
        <v>103</v>
      </c>
      <c r="D147" s="1" t="s">
        <v>19</v>
      </c>
      <c r="E147" s="1" t="s">
        <v>20</v>
      </c>
      <c r="F147" s="1" t="n">
        <v>48</v>
      </c>
      <c r="G147" s="1" t="s">
        <v>21</v>
      </c>
      <c r="H147" s="1" t="n">
        <v>0.2064</v>
      </c>
      <c r="I147" s="1" t="n">
        <v>0.433032599374432</v>
      </c>
      <c r="J147" s="1" t="n">
        <v>0.387663381113329</v>
      </c>
      <c r="K147" s="1" t="n">
        <f aca="false">J147-I147</f>
        <v>-0.0453692182611024</v>
      </c>
      <c r="L147" s="1" t="n">
        <v>0.694335761858647</v>
      </c>
    </row>
    <row r="148" customFormat="false" ht="15" hidden="false" customHeight="false" outlineLevel="0" collapsed="false">
      <c r="A148" s="1" t="s">
        <v>101</v>
      </c>
      <c r="B148" s="1" t="s">
        <v>102</v>
      </c>
      <c r="C148" s="1" t="s">
        <v>103</v>
      </c>
      <c r="D148" s="1" t="s">
        <v>19</v>
      </c>
      <c r="E148" s="1" t="s">
        <v>20</v>
      </c>
      <c r="F148" s="1" t="n">
        <v>48</v>
      </c>
      <c r="G148" s="1" t="s">
        <v>23</v>
      </c>
      <c r="H148" s="1" t="n">
        <v>0.173</v>
      </c>
      <c r="I148" s="1" t="n">
        <v>0.363038106729814</v>
      </c>
      <c r="J148" s="1" t="n">
        <v>0.289595375129914</v>
      </c>
      <c r="K148" s="1" t="n">
        <f aca="false">J148-I148</f>
        <v>-0.0734427315999006</v>
      </c>
      <c r="L148" s="1" t="n">
        <v>0.694335761858647</v>
      </c>
    </row>
    <row r="149" customFormat="false" ht="15" hidden="false" customHeight="false" outlineLevel="0" collapsed="false">
      <c r="A149" s="1" t="s">
        <v>101</v>
      </c>
      <c r="B149" s="1" t="s">
        <v>102</v>
      </c>
      <c r="C149" s="1" t="s">
        <v>103</v>
      </c>
      <c r="D149" s="1" t="s">
        <v>19</v>
      </c>
      <c r="E149" s="1" t="s">
        <v>20</v>
      </c>
      <c r="F149" s="1" t="n">
        <v>48</v>
      </c>
      <c r="G149" s="1" t="s">
        <v>24</v>
      </c>
      <c r="H149" s="1" t="n">
        <v>0.1671</v>
      </c>
      <c r="I149" s="1" t="n">
        <v>0.350667080647934</v>
      </c>
      <c r="J149" s="1" t="n">
        <v>0.30873167808787</v>
      </c>
      <c r="K149" s="1" t="n">
        <f aca="false">J149-I149</f>
        <v>-0.0419354025600636</v>
      </c>
      <c r="L149" s="1" t="n">
        <v>0.694335761858647</v>
      </c>
    </row>
    <row r="150" customFormat="false" ht="15" hidden="false" customHeight="false" outlineLevel="0" collapsed="false">
      <c r="A150" s="1" t="s">
        <v>101</v>
      </c>
      <c r="B150" s="1" t="s">
        <v>102</v>
      </c>
      <c r="C150" s="1" t="s">
        <v>103</v>
      </c>
      <c r="D150" s="1" t="s">
        <v>19</v>
      </c>
      <c r="E150" s="1" t="s">
        <v>20</v>
      </c>
      <c r="F150" s="1" t="n">
        <v>48</v>
      </c>
      <c r="G150" s="1" t="s">
        <v>26</v>
      </c>
      <c r="H150" s="1" t="n">
        <v>0.1543</v>
      </c>
      <c r="I150" s="1" t="n">
        <v>0.323704958160023</v>
      </c>
      <c r="J150" s="1" t="n">
        <v>0.287569800486535</v>
      </c>
      <c r="K150" s="1" t="n">
        <f aca="false">J150-I150</f>
        <v>-0.0361351576734874</v>
      </c>
      <c r="L150" s="1" t="n">
        <v>0.694335761858647</v>
      </c>
    </row>
    <row r="151" customFormat="false" ht="15" hidden="false" customHeight="false" outlineLevel="0" collapsed="false">
      <c r="A151" s="1" t="s">
        <v>101</v>
      </c>
      <c r="B151" s="1" t="s">
        <v>102</v>
      </c>
      <c r="C151" s="1" t="s">
        <v>103</v>
      </c>
      <c r="D151" s="1" t="s">
        <v>19</v>
      </c>
      <c r="E151" s="1" t="s">
        <v>20</v>
      </c>
      <c r="F151" s="1" t="n">
        <v>48</v>
      </c>
      <c r="G151" s="1" t="s">
        <v>25</v>
      </c>
      <c r="H151" s="1" t="n">
        <v>0.1502</v>
      </c>
      <c r="I151" s="1" t="n">
        <v>0.315119696304778</v>
      </c>
      <c r="J151" s="1" t="n">
        <v>0.276810805635507</v>
      </c>
      <c r="K151" s="1" t="n">
        <f aca="false">J151-I151</f>
        <v>-0.0383088906692717</v>
      </c>
      <c r="L151" s="1" t="n">
        <v>0.694335761858647</v>
      </c>
    </row>
    <row r="152" customFormat="false" ht="15" hidden="false" customHeight="false" outlineLevel="0" collapsed="false">
      <c r="A152" s="1" t="s">
        <v>101</v>
      </c>
      <c r="B152" s="1" t="s">
        <v>102</v>
      </c>
      <c r="C152" s="1" t="s">
        <v>103</v>
      </c>
      <c r="D152" s="1" t="s">
        <v>19</v>
      </c>
      <c r="E152" s="1" t="s">
        <v>20</v>
      </c>
      <c r="F152" s="1" t="n">
        <v>48</v>
      </c>
      <c r="G152" s="1" t="s">
        <v>94</v>
      </c>
      <c r="H152" s="1" t="n">
        <v>0.149</v>
      </c>
      <c r="I152" s="1" t="n">
        <v>0.312562765817821</v>
      </c>
      <c r="J152" s="1" t="n">
        <v>0.256448934218603</v>
      </c>
      <c r="K152" s="1" t="n">
        <f aca="false">J152-I152</f>
        <v>-0.0561138315992184</v>
      </c>
      <c r="L152" s="1" t="n">
        <v>0.694335761858647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D21" activeCellId="1" sqref="E4:L4 D2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94"/>
  </cols>
  <sheetData>
    <row r="1" customFormat="false" ht="12.8" hidden="false" customHeight="false" outlineLevel="0" collapsed="false">
      <c r="A1" s="6" t="s">
        <v>104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105</v>
      </c>
      <c r="B3" s="7" t="n">
        <f aca="false">scen4_ac15p!P2</f>
        <v>150</v>
      </c>
    </row>
    <row r="4" customFormat="false" ht="12.8" hidden="false" customHeight="false" outlineLevel="0" collapsed="false">
      <c r="A4" s="6" t="s">
        <v>106</v>
      </c>
      <c r="B4" s="6" t="n">
        <f aca="false">B10*SQRT((B3-2)/(1-B10^2))</f>
        <v>-0.720953984743897</v>
      </c>
    </row>
    <row r="5" customFormat="false" ht="12.8" hidden="false" customHeight="false" outlineLevel="0" collapsed="false">
      <c r="A5" s="6" t="s">
        <v>107</v>
      </c>
      <c r="B5" s="6" t="n">
        <f aca="false">_xlfn.T.DIST.2T(ABS(B4),B3-2)</f>
        <v>0.472075104254221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19.4" hidden="false" customHeight="false" outlineLevel="0" collapsed="false">
      <c r="A9" s="3" t="s">
        <v>13</v>
      </c>
      <c r="B9" s="3" t="s">
        <v>14</v>
      </c>
    </row>
    <row r="10" customFormat="false" ht="12.8" hidden="false" customHeight="false" outlineLevel="0" collapsed="false">
      <c r="A10" s="9" t="n">
        <f aca="false">B3</f>
        <v>150</v>
      </c>
      <c r="B10" s="9" t="n">
        <f aca="false">scen4_ac15p!Q2</f>
        <v>-0.059158261903144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2" activeCellId="1" sqref="E4:L4 A2"/>
    </sheetView>
  </sheetViews>
  <sheetFormatPr defaultColWidth="12.43359375" defaultRowHeight="12.8" customHeight="false" zeroHeight="false" outlineLevelRow="0" outlineLevelCol="0"/>
  <cols>
    <col collapsed="false" customWidth="false" hidden="false" outlineLevel="0" max="1" min="1" style="10" width="12.43"/>
    <col collapsed="false" customWidth="true" hidden="false" outlineLevel="0" max="2" min="2" style="10" width="19.2"/>
    <col collapsed="false" customWidth="false" hidden="false" outlineLevel="0" max="16384" min="3" style="10" width="12.43"/>
  </cols>
  <sheetData>
    <row r="1" customFormat="false" ht="12.8" hidden="false" customHeight="false" outlineLevel="0" collapsed="false">
      <c r="B1" s="1"/>
    </row>
    <row r="2" customFormat="false" ht="12.8" hidden="false" customHeight="false" outlineLevel="0" collapsed="false">
      <c r="B2" s="11" t="s">
        <v>108</v>
      </c>
    </row>
    <row r="3" customFormat="false" ht="12.8" hidden="false" customHeight="false" outlineLevel="0" collapsed="false">
      <c r="A3" s="12" t="s">
        <v>109</v>
      </c>
      <c r="B3" s="10" t="s">
        <v>110</v>
      </c>
    </row>
    <row r="4" customFormat="false" ht="12.8" hidden="false" customHeight="false" outlineLevel="0" collapsed="false">
      <c r="A4" s="8" t="n">
        <v>1</v>
      </c>
      <c r="B4" s="1" t="n">
        <v>0.782943341241136</v>
      </c>
    </row>
    <row r="5" customFormat="false" ht="12.8" hidden="false" customHeight="false" outlineLevel="0" collapsed="false">
      <c r="A5" s="8" t="n">
        <v>2</v>
      </c>
      <c r="B5" s="1" t="n">
        <v>0.72616787514369</v>
      </c>
    </row>
    <row r="6" customFormat="false" ht="12.8" hidden="false" customHeight="false" outlineLevel="0" collapsed="false">
      <c r="A6" s="8" t="n">
        <v>3</v>
      </c>
      <c r="B6" s="1" t="n">
        <v>0.762384843564062</v>
      </c>
    </row>
    <row r="7" customFormat="false" ht="12.8" hidden="false" customHeight="false" outlineLevel="0" collapsed="false">
      <c r="A7" s="8" t="n">
        <v>4</v>
      </c>
      <c r="B7" s="1" t="n">
        <v>0.703293963123335</v>
      </c>
    </row>
    <row r="8" customFormat="false" ht="12.8" hidden="false" customHeight="false" outlineLevel="0" collapsed="false">
      <c r="A8" s="8" t="n">
        <v>5</v>
      </c>
      <c r="B8" s="1" t="n">
        <v>0.729690702766813</v>
      </c>
    </row>
    <row r="9" customFormat="false" ht="12.8" hidden="false" customHeight="false" outlineLevel="0" collapsed="false">
      <c r="A9" s="8" t="n">
        <v>6</v>
      </c>
      <c r="B9" s="1" t="n">
        <v>0.752076127330993</v>
      </c>
    </row>
    <row r="10" customFormat="false" ht="12.8" hidden="false" customHeight="false" outlineLevel="0" collapsed="false">
      <c r="A10" s="8" t="n">
        <v>7</v>
      </c>
      <c r="B10" s="1" t="n">
        <v>0.811772559323065</v>
      </c>
    </row>
    <row r="11" customFormat="false" ht="12.8" hidden="false" customHeight="false" outlineLevel="0" collapsed="false">
      <c r="A11" s="8" t="n">
        <v>8</v>
      </c>
      <c r="B11" s="1" t="n">
        <v>0.718329243982785</v>
      </c>
    </row>
    <row r="12" customFormat="false" ht="12.8" hidden="false" customHeight="false" outlineLevel="0" collapsed="false">
      <c r="A12" s="8" t="n">
        <v>9</v>
      </c>
      <c r="B12" s="1" t="n">
        <v>0.750898507673254</v>
      </c>
    </row>
    <row r="13" customFormat="false" ht="12.8" hidden="false" customHeight="false" outlineLevel="0" collapsed="false">
      <c r="A13" s="8" t="n">
        <v>10</v>
      </c>
      <c r="B13" s="1" t="n">
        <v>0.712335367494729</v>
      </c>
    </row>
    <row r="14" customFormat="false" ht="12.8" hidden="false" customHeight="false" outlineLevel="0" collapsed="false">
      <c r="A14" s="8" t="n">
        <v>11</v>
      </c>
      <c r="B14" s="1" t="n">
        <v>0.77617002993037</v>
      </c>
    </row>
    <row r="15" customFormat="false" ht="12.8" hidden="false" customHeight="false" outlineLevel="0" collapsed="false">
      <c r="A15" s="8" t="n">
        <v>12</v>
      </c>
      <c r="B15" s="1" t="n">
        <v>0.770418007906113</v>
      </c>
    </row>
    <row r="16" customFormat="false" ht="12.8" hidden="false" customHeight="false" outlineLevel="0" collapsed="false">
      <c r="A16" s="8" t="n">
        <v>13</v>
      </c>
      <c r="B16" s="1" t="n">
        <v>0.687181835442281</v>
      </c>
    </row>
    <row r="17" customFormat="false" ht="12.8" hidden="false" customHeight="false" outlineLevel="0" collapsed="false">
      <c r="A17" s="8" t="n">
        <v>14</v>
      </c>
      <c r="B17" s="1" t="n">
        <v>0.81381364646817</v>
      </c>
    </row>
    <row r="18" customFormat="false" ht="12.8" hidden="false" customHeight="false" outlineLevel="0" collapsed="false">
      <c r="A18" s="8" t="n">
        <v>15</v>
      </c>
      <c r="B18" s="1" t="n">
        <v>0.78154173279719</v>
      </c>
    </row>
    <row r="19" customFormat="false" ht="12.8" hidden="false" customHeight="false" outlineLevel="0" collapsed="false">
      <c r="A19" s="8" t="n">
        <v>16</v>
      </c>
      <c r="B19" s="1" t="n">
        <v>0.679973262997131</v>
      </c>
    </row>
    <row r="20" customFormat="false" ht="12.8" hidden="false" customHeight="false" outlineLevel="0" collapsed="false">
      <c r="A20" s="8" t="n">
        <v>17</v>
      </c>
      <c r="B20" s="1" t="n">
        <v>0.804539740964931</v>
      </c>
    </row>
    <row r="21" customFormat="false" ht="12.8" hidden="false" customHeight="false" outlineLevel="0" collapsed="false">
      <c r="A21" s="8" t="n">
        <v>18</v>
      </c>
      <c r="B21" s="1" t="n">
        <v>0.575788380252692</v>
      </c>
    </row>
    <row r="22" customFormat="false" ht="12.8" hidden="false" customHeight="false" outlineLevel="0" collapsed="false">
      <c r="A22" s="8" t="n">
        <v>19</v>
      </c>
      <c r="B22" s="1" t="n">
        <v>0.808293439836629</v>
      </c>
    </row>
    <row r="23" customFormat="false" ht="12.8" hidden="false" customHeight="false" outlineLevel="0" collapsed="false">
      <c r="A23" s="8" t="n">
        <v>20</v>
      </c>
      <c r="B23" s="1" t="n">
        <v>0.631098700615939</v>
      </c>
    </row>
    <row r="24" customFormat="false" ht="12.8" hidden="false" customHeight="false" outlineLevel="0" collapsed="false">
      <c r="A24" s="8" t="n">
        <v>21</v>
      </c>
      <c r="B24" s="1" t="n">
        <v>0.723521456744309</v>
      </c>
    </row>
    <row r="25" customFormat="false" ht="12.8" hidden="false" customHeight="false" outlineLevel="0" collapsed="false">
      <c r="A25" s="8" t="n">
        <v>22</v>
      </c>
      <c r="B25" s="1" t="n">
        <v>0.667636089020494</v>
      </c>
    </row>
    <row r="26" customFormat="false" ht="12.8" hidden="false" customHeight="false" outlineLevel="0" collapsed="false">
      <c r="A26" s="8" t="n">
        <v>23</v>
      </c>
      <c r="B26" s="1" t="n">
        <v>0.729145136576755</v>
      </c>
    </row>
    <row r="27" customFormat="false" ht="12.8" hidden="false" customHeight="false" outlineLevel="0" collapsed="false">
      <c r="A27" s="8" t="n">
        <v>24</v>
      </c>
      <c r="B27" s="1" t="n">
        <v>0.768909591560026</v>
      </c>
    </row>
    <row r="28" customFormat="false" ht="12.8" hidden="false" customHeight="false" outlineLevel="0" collapsed="false">
      <c r="A28" s="11" t="n">
        <v>25</v>
      </c>
      <c r="B28" s="1" t="n">
        <v>0.694335761858647</v>
      </c>
    </row>
    <row r="30" customFormat="false" ht="12.8" hidden="false" customHeight="false" outlineLevel="0" collapsed="false">
      <c r="B30" s="1"/>
    </row>
    <row r="31" customFormat="false" ht="12.8" hidden="false" customHeight="false" outlineLevel="0" collapsed="false">
      <c r="B31" s="1"/>
    </row>
    <row r="32" customFormat="false" ht="12.8" hidden="false" customHeight="false" outlineLevel="0" collapsed="false">
      <c r="B32" s="1"/>
    </row>
    <row r="33" customFormat="false" ht="12.8" hidden="false" customHeight="false" outlineLevel="0" collapsed="false">
      <c r="B33" s="1"/>
    </row>
    <row r="34" customFormat="false" ht="12.8" hidden="false" customHeight="false" outlineLevel="0" collapsed="false">
      <c r="B34" s="1"/>
    </row>
    <row r="35" customFormat="false" ht="12.8" hidden="false" customHeight="false" outlineLevel="0" collapsed="false">
      <c r="B35" s="1"/>
    </row>
    <row r="36" customFormat="false" ht="12.8" hidden="false" customHeight="false" outlineLevel="0" collapsed="false">
      <c r="B36" s="1"/>
    </row>
    <row r="37" customFormat="false" ht="12.8" hidden="false" customHeight="false" outlineLevel="0" collapsed="false">
      <c r="B37" s="1"/>
    </row>
    <row r="38" customFormat="false" ht="12.8" hidden="false" customHeight="false" outlineLevel="0" collapsed="false">
      <c r="B38" s="1"/>
    </row>
    <row r="39" customFormat="false" ht="12.8" hidden="false" customHeight="false" outlineLevel="0" collapsed="false">
      <c r="B39" s="1"/>
    </row>
    <row r="40" customFormat="false" ht="12.8" hidden="false" customHeight="false" outlineLevel="0" collapsed="false">
      <c r="B40" s="1"/>
    </row>
    <row r="41" customFormat="false" ht="12.8" hidden="false" customHeight="false" outlineLevel="0" collapsed="false">
      <c r="B41" s="1"/>
    </row>
    <row r="42" customFormat="false" ht="12.8" hidden="false" customHeight="false" outlineLevel="0" collapsed="false">
      <c r="B42" s="1"/>
    </row>
    <row r="43" customFormat="false" ht="12.8" hidden="false" customHeight="false" outlineLevel="0" collapsed="false">
      <c r="B43" s="1"/>
    </row>
    <row r="44" customFormat="false" ht="12.8" hidden="false" customHeight="false" outlineLevel="0" collapsed="false">
      <c r="B44" s="1"/>
    </row>
    <row r="45" customFormat="false" ht="12.8" hidden="false" customHeight="false" outlineLevel="0" collapsed="false">
      <c r="B45" s="1"/>
    </row>
    <row r="46" customFormat="false" ht="12.8" hidden="false" customHeight="false" outlineLevel="0" collapsed="false">
      <c r="B46" s="1"/>
    </row>
    <row r="47" customFormat="false" ht="12.8" hidden="false" customHeight="false" outlineLevel="0" collapsed="false">
      <c r="B47" s="1"/>
    </row>
    <row r="48" customFormat="false" ht="12.8" hidden="false" customHeight="false" outlineLevel="0" collapsed="false">
      <c r="B48" s="1"/>
    </row>
    <row r="49" customFormat="false" ht="12.8" hidden="false" customHeight="false" outlineLevel="0" collapsed="false">
      <c r="B49" s="1"/>
    </row>
    <row r="50" customFormat="false" ht="12.8" hidden="false" customHeight="false" outlineLevel="0" collapsed="false">
      <c r="B50" s="1"/>
    </row>
    <row r="51" customFormat="false" ht="12.8" hidden="false" customHeight="false" outlineLevel="0" collapsed="false">
      <c r="B51" s="1"/>
    </row>
    <row r="52" customFormat="false" ht="12.8" hidden="false" customHeight="false" outlineLevel="0" collapsed="false">
      <c r="B52" s="1"/>
    </row>
    <row r="53" customFormat="false" ht="12.8" hidden="false" customHeight="false" outlineLevel="0" collapsed="false">
      <c r="B53" s="1"/>
    </row>
    <row r="54" customFormat="false" ht="12.8" hidden="false" customHeight="false" outlineLevel="0" collapsed="false">
      <c r="B54" s="1"/>
    </row>
    <row r="55" customFormat="false" ht="12.8" hidden="false" customHeight="false" outlineLevel="0" collapsed="false">
      <c r="B55" s="1"/>
    </row>
    <row r="56" customFormat="false" ht="12.8" hidden="false" customHeight="false" outlineLevel="0" collapsed="false">
      <c r="B56" s="1"/>
    </row>
    <row r="57" customFormat="false" ht="12.8" hidden="false" customHeight="false" outlineLevel="0" collapsed="false">
      <c r="B57" s="1"/>
    </row>
    <row r="58" customFormat="false" ht="12.8" hidden="false" customHeight="false" outlineLevel="0" collapsed="false">
      <c r="B58" s="1"/>
    </row>
    <row r="59" customFormat="false" ht="12.8" hidden="false" customHeight="false" outlineLevel="0" collapsed="false">
      <c r="B59" s="1"/>
    </row>
    <row r="60" customFormat="false" ht="12.8" hidden="false" customHeight="false" outlineLevel="0" collapsed="false">
      <c r="B60" s="1"/>
    </row>
    <row r="61" customFormat="false" ht="12.8" hidden="false" customHeight="false" outlineLevel="0" collapsed="false">
      <c r="B61" s="1"/>
    </row>
    <row r="62" customFormat="false" ht="12.8" hidden="false" customHeight="false" outlineLevel="0" collapsed="false">
      <c r="B62" s="1"/>
    </row>
    <row r="63" customFormat="false" ht="12.8" hidden="false" customHeight="false" outlineLevel="0" collapsed="false">
      <c r="B63" s="1"/>
    </row>
    <row r="64" customFormat="false" ht="12.8" hidden="false" customHeight="false" outlineLevel="0" collapsed="false">
      <c r="B64" s="1"/>
    </row>
    <row r="65" customFormat="false" ht="12.8" hidden="false" customHeight="false" outlineLevel="0" collapsed="false">
      <c r="B65" s="1"/>
    </row>
    <row r="66" customFormat="false" ht="12.8" hidden="false" customHeight="false" outlineLevel="0" collapsed="false">
      <c r="B66" s="1"/>
    </row>
    <row r="67" customFormat="false" ht="12.8" hidden="false" customHeight="false" outlineLevel="0" collapsed="false">
      <c r="B67" s="1"/>
    </row>
    <row r="68" customFormat="false" ht="12.8" hidden="false" customHeight="false" outlineLevel="0" collapsed="false">
      <c r="B68" s="1"/>
    </row>
    <row r="69" customFormat="false" ht="12.8" hidden="false" customHeight="false" outlineLevel="0" collapsed="false">
      <c r="B69" s="1"/>
    </row>
    <row r="70" customFormat="false" ht="12.8" hidden="false" customHeight="false" outlineLevel="0" collapsed="false">
      <c r="B70" s="1"/>
    </row>
    <row r="71" customFormat="false" ht="12.8" hidden="false" customHeight="false" outlineLevel="0" collapsed="false">
      <c r="B71" s="1"/>
    </row>
    <row r="72" customFormat="false" ht="12.8" hidden="false" customHeight="false" outlineLevel="0" collapsed="false">
      <c r="B72" s="1"/>
    </row>
    <row r="73" customFormat="false" ht="12.8" hidden="false" customHeight="false" outlineLevel="0" collapsed="false">
      <c r="B73" s="1"/>
    </row>
    <row r="74" customFormat="false" ht="12.8" hidden="false" customHeight="false" outlineLevel="0" collapsed="false">
      <c r="B74" s="1"/>
    </row>
    <row r="75" customFormat="false" ht="12.8" hidden="false" customHeight="false" outlineLevel="0" collapsed="false">
      <c r="B75" s="1"/>
    </row>
    <row r="76" customFormat="false" ht="12.8" hidden="false" customHeight="false" outlineLevel="0" collapsed="false">
      <c r="B76" s="1"/>
    </row>
    <row r="77" customFormat="false" ht="12.8" hidden="false" customHeight="false" outlineLevel="0" collapsed="false">
      <c r="B77" s="1"/>
    </row>
    <row r="78" customFormat="false" ht="12.8" hidden="false" customHeight="false" outlineLevel="0" collapsed="false">
      <c r="B78" s="1"/>
    </row>
    <row r="79" customFormat="false" ht="12.8" hidden="false" customHeight="false" outlineLevel="0" collapsed="false">
      <c r="B79" s="1"/>
    </row>
    <row r="80" customFormat="false" ht="12.8" hidden="false" customHeight="false" outlineLevel="0" collapsed="false">
      <c r="B80" s="1"/>
    </row>
    <row r="81" customFormat="false" ht="12.8" hidden="false" customHeight="false" outlineLevel="0" collapsed="false">
      <c r="B81" s="1"/>
    </row>
    <row r="82" customFormat="false" ht="12.8" hidden="false" customHeight="false" outlineLevel="0" collapsed="false">
      <c r="B82" s="1"/>
    </row>
    <row r="83" customFormat="false" ht="12.8" hidden="false" customHeight="false" outlineLevel="0" collapsed="false">
      <c r="B83" s="1"/>
    </row>
    <row r="84" customFormat="false" ht="12.8" hidden="false" customHeight="false" outlineLevel="0" collapsed="false">
      <c r="B84" s="1"/>
    </row>
    <row r="85" customFormat="false" ht="12.8" hidden="false" customHeight="false" outlineLevel="0" collapsed="false">
      <c r="B85" s="1"/>
    </row>
    <row r="86" customFormat="false" ht="12.8" hidden="false" customHeight="false" outlineLevel="0" collapsed="false">
      <c r="B86" s="1"/>
    </row>
    <row r="87" customFormat="false" ht="12.8" hidden="false" customHeight="false" outlineLevel="0" collapsed="false">
      <c r="B87" s="1"/>
    </row>
    <row r="88" customFormat="false" ht="12.8" hidden="false" customHeight="false" outlineLevel="0" collapsed="false">
      <c r="B88" s="1"/>
    </row>
    <row r="89" customFormat="false" ht="12.8" hidden="false" customHeight="false" outlineLevel="0" collapsed="false">
      <c r="B89" s="1"/>
    </row>
    <row r="90" customFormat="false" ht="12.8" hidden="false" customHeight="false" outlineLevel="0" collapsed="false">
      <c r="B90" s="1"/>
    </row>
    <row r="91" customFormat="false" ht="12.8" hidden="false" customHeight="false" outlineLevel="0" collapsed="false">
      <c r="B91" s="1"/>
    </row>
    <row r="92" customFormat="false" ht="12.8" hidden="false" customHeight="false" outlineLevel="0" collapsed="false">
      <c r="B92" s="1"/>
    </row>
    <row r="93" customFormat="false" ht="12.8" hidden="false" customHeight="false" outlineLevel="0" collapsed="false">
      <c r="B93" s="1"/>
    </row>
    <row r="94" customFormat="false" ht="12.8" hidden="false" customHeight="false" outlineLevel="0" collapsed="false">
      <c r="B94" s="1"/>
    </row>
    <row r="95" customFormat="false" ht="12.8" hidden="false" customHeight="false" outlineLevel="0" collapsed="false">
      <c r="B95" s="1"/>
    </row>
    <row r="96" customFormat="false" ht="12.8" hidden="false" customHeight="false" outlineLevel="0" collapsed="false">
      <c r="B96" s="1"/>
    </row>
    <row r="97" customFormat="false" ht="12.8" hidden="false" customHeight="false" outlineLevel="0" collapsed="false">
      <c r="B97" s="1"/>
    </row>
    <row r="98" customFormat="false" ht="12.8" hidden="false" customHeight="false" outlineLevel="0" collapsed="false">
      <c r="B98" s="1"/>
    </row>
    <row r="99" customFormat="false" ht="12.8" hidden="false" customHeight="false" outlineLevel="0" collapsed="false">
      <c r="B99" s="1"/>
    </row>
    <row r="100" customFormat="false" ht="12.8" hidden="false" customHeight="false" outlineLevel="0" collapsed="false">
      <c r="B100" s="1"/>
    </row>
    <row r="101" customFormat="false" ht="12.8" hidden="false" customHeight="false" outlineLevel="0" collapsed="false">
      <c r="B101" s="1"/>
    </row>
    <row r="102" customFormat="false" ht="12.8" hidden="false" customHeight="false" outlineLevel="0" collapsed="false">
      <c r="B102" s="1"/>
    </row>
    <row r="103" customFormat="false" ht="12.8" hidden="false" customHeight="false" outlineLevel="0" collapsed="false">
      <c r="B103" s="1"/>
    </row>
    <row r="104" customFormat="false" ht="12.8" hidden="false" customHeight="false" outlineLevel="0" collapsed="false">
      <c r="B104" s="1"/>
    </row>
    <row r="105" customFormat="false" ht="12.8" hidden="false" customHeight="false" outlineLevel="0" collapsed="false">
      <c r="B105" s="1"/>
    </row>
    <row r="106" customFormat="false" ht="12.8" hidden="false" customHeight="false" outlineLevel="0" collapsed="false">
      <c r="B106" s="1"/>
    </row>
    <row r="107" customFormat="false" ht="12.8" hidden="false" customHeight="false" outlineLevel="0" collapsed="false">
      <c r="B107" s="1"/>
    </row>
    <row r="108" customFormat="false" ht="12.8" hidden="false" customHeight="false" outlineLevel="0" collapsed="false">
      <c r="B108" s="1"/>
    </row>
    <row r="109" customFormat="false" ht="12.8" hidden="false" customHeight="false" outlineLevel="0" collapsed="false">
      <c r="B109" s="1"/>
    </row>
    <row r="110" customFormat="false" ht="12.8" hidden="false" customHeight="false" outlineLevel="0" collapsed="false">
      <c r="B110" s="1"/>
    </row>
    <row r="111" customFormat="false" ht="12.8" hidden="false" customHeight="false" outlineLevel="0" collapsed="false">
      <c r="B111" s="1"/>
    </row>
    <row r="112" customFormat="false" ht="12.8" hidden="false" customHeight="false" outlineLevel="0" collapsed="false">
      <c r="B112" s="1"/>
    </row>
    <row r="113" customFormat="false" ht="12.8" hidden="false" customHeight="false" outlineLevel="0" collapsed="false">
      <c r="B113" s="1"/>
    </row>
    <row r="114" customFormat="false" ht="12.8" hidden="false" customHeight="false" outlineLevel="0" collapsed="false">
      <c r="B114" s="1"/>
    </row>
    <row r="115" customFormat="false" ht="12.8" hidden="false" customHeight="false" outlineLevel="0" collapsed="false">
      <c r="B115" s="1"/>
    </row>
    <row r="116" customFormat="false" ht="12.8" hidden="false" customHeight="false" outlineLevel="0" collapsed="false">
      <c r="B116" s="1"/>
    </row>
    <row r="117" customFormat="false" ht="12.8" hidden="false" customHeight="false" outlineLevel="0" collapsed="false">
      <c r="B117" s="1"/>
    </row>
    <row r="118" customFormat="false" ht="12.8" hidden="false" customHeight="false" outlineLevel="0" collapsed="false">
      <c r="B118" s="1"/>
    </row>
    <row r="119" customFormat="false" ht="12.8" hidden="false" customHeight="false" outlineLevel="0" collapsed="false">
      <c r="B119" s="1"/>
    </row>
    <row r="120" customFormat="false" ht="12.8" hidden="false" customHeight="false" outlineLevel="0" collapsed="false">
      <c r="B120" s="1"/>
    </row>
    <row r="121" customFormat="false" ht="12.8" hidden="false" customHeight="false" outlineLevel="0" collapsed="false">
      <c r="B121" s="1"/>
    </row>
    <row r="122" customFormat="false" ht="12.8" hidden="false" customHeight="false" outlineLevel="0" collapsed="false">
      <c r="B122" s="1"/>
    </row>
    <row r="123" customFormat="false" ht="12.8" hidden="false" customHeight="false" outlineLevel="0" collapsed="false">
      <c r="B123" s="1"/>
    </row>
    <row r="124" customFormat="false" ht="12.8" hidden="false" customHeight="false" outlineLevel="0" collapsed="false">
      <c r="B124" s="1"/>
    </row>
    <row r="125" customFormat="false" ht="12.8" hidden="false" customHeight="false" outlineLevel="0" collapsed="false">
      <c r="B125" s="1"/>
    </row>
    <row r="126" customFormat="false" ht="12.8" hidden="false" customHeight="false" outlineLevel="0" collapsed="false">
      <c r="B126" s="1"/>
    </row>
    <row r="127" customFormat="false" ht="12.8" hidden="false" customHeight="false" outlineLevel="0" collapsed="false">
      <c r="B127" s="1"/>
    </row>
    <row r="128" customFormat="false" ht="12.8" hidden="false" customHeight="false" outlineLevel="0" collapsed="false">
      <c r="B128" s="1"/>
    </row>
    <row r="129" customFormat="false" ht="12.8" hidden="false" customHeight="false" outlineLevel="0" collapsed="false">
      <c r="B129" s="1"/>
    </row>
    <row r="130" customFormat="false" ht="12.8" hidden="false" customHeight="false" outlineLevel="0" collapsed="false">
      <c r="B130" s="1"/>
    </row>
    <row r="131" customFormat="false" ht="12.8" hidden="false" customHeight="false" outlineLevel="0" collapsed="false">
      <c r="B131" s="1"/>
    </row>
    <row r="132" customFormat="false" ht="12.8" hidden="false" customHeight="false" outlineLevel="0" collapsed="false">
      <c r="B132" s="1"/>
    </row>
    <row r="133" customFormat="false" ht="12.8" hidden="false" customHeight="false" outlineLevel="0" collapsed="false">
      <c r="B133" s="1"/>
    </row>
    <row r="134" customFormat="false" ht="12.8" hidden="false" customHeight="false" outlineLevel="0" collapsed="false">
      <c r="B134" s="1"/>
    </row>
    <row r="135" customFormat="false" ht="12.8" hidden="false" customHeight="false" outlineLevel="0" collapsed="false">
      <c r="B135" s="1"/>
    </row>
    <row r="136" customFormat="false" ht="12.8" hidden="false" customHeight="false" outlineLevel="0" collapsed="false">
      <c r="B136" s="1"/>
    </row>
    <row r="137" customFormat="false" ht="12.8" hidden="false" customHeight="false" outlineLevel="0" collapsed="false">
      <c r="B137" s="1"/>
    </row>
    <row r="138" customFormat="false" ht="12.8" hidden="false" customHeight="false" outlineLevel="0" collapsed="false">
      <c r="B138" s="1"/>
    </row>
    <row r="139" customFormat="false" ht="12.8" hidden="false" customHeight="false" outlineLevel="0" collapsed="false">
      <c r="B139" s="1"/>
    </row>
    <row r="140" customFormat="false" ht="12.8" hidden="false" customHeight="false" outlineLevel="0" collapsed="false">
      <c r="B140" s="1"/>
    </row>
    <row r="141" customFormat="false" ht="12.8" hidden="false" customHeight="false" outlineLevel="0" collapsed="false">
      <c r="B141" s="1"/>
    </row>
    <row r="142" customFormat="false" ht="12.8" hidden="false" customHeight="false" outlineLevel="0" collapsed="false">
      <c r="B142" s="1"/>
    </row>
    <row r="143" customFormat="false" ht="12.8" hidden="false" customHeight="false" outlineLevel="0" collapsed="false">
      <c r="B143" s="1"/>
    </row>
    <row r="144" customFormat="false" ht="12.8" hidden="false" customHeight="false" outlineLevel="0" collapsed="false">
      <c r="B144" s="1"/>
    </row>
    <row r="145" customFormat="false" ht="12.8" hidden="false" customHeight="false" outlineLevel="0" collapsed="false">
      <c r="B145" s="1"/>
    </row>
    <row r="146" customFormat="false" ht="12.8" hidden="false" customHeight="false" outlineLevel="0" collapsed="false">
      <c r="B146" s="1"/>
    </row>
    <row r="147" customFormat="false" ht="12.8" hidden="false" customHeight="false" outlineLevel="0" collapsed="false">
      <c r="B147" s="1"/>
    </row>
    <row r="148" customFormat="false" ht="12.8" hidden="false" customHeight="false" outlineLevel="0" collapsed="false">
      <c r="B148" s="1"/>
    </row>
    <row r="149" customFormat="false" ht="12.8" hidden="false" customHeight="false" outlineLevel="0" collapsed="false">
      <c r="B149" s="1"/>
    </row>
    <row r="150" customFormat="false" ht="12.8" hidden="false" customHeight="false" outlineLevel="0" collapsed="false">
      <c r="B150" s="1"/>
    </row>
    <row r="151" customFormat="false" ht="12.8" hidden="false" customHeight="false" outlineLevel="0" collapsed="false">
      <c r="B151" s="1"/>
    </row>
    <row r="152" customFormat="false" ht="12.8" hidden="false" customHeight="false" outlineLevel="0" collapsed="false">
      <c r="B152" s="1"/>
    </row>
    <row r="153" customFormat="false" ht="12.8" hidden="false" customHeight="false" outlineLevel="0" collapsed="false">
      <c r="B153" s="1"/>
    </row>
    <row r="154" customFormat="false" ht="12.8" hidden="false" customHeight="false" outlineLevel="0" collapsed="false">
      <c r="B154" s="1"/>
    </row>
    <row r="155" customFormat="false" ht="12.8" hidden="false" customHeight="false" outlineLevel="0" collapsed="false">
      <c r="B155" s="1"/>
    </row>
    <row r="156" customFormat="false" ht="12.8" hidden="false" customHeight="false" outlineLevel="0" collapsed="false">
      <c r="B156" s="1"/>
    </row>
    <row r="157" customFormat="false" ht="12.8" hidden="false" customHeight="false" outlineLevel="0" collapsed="false">
      <c r="B157" s="1"/>
    </row>
    <row r="158" customFormat="false" ht="12.8" hidden="false" customHeight="false" outlineLevel="0" collapsed="false">
      <c r="B158" s="1"/>
    </row>
    <row r="159" customFormat="false" ht="12.8" hidden="false" customHeight="false" outlineLevel="0" collapsed="false">
      <c r="B159" s="1"/>
    </row>
    <row r="160" customFormat="false" ht="12.8" hidden="false" customHeight="false" outlineLevel="0" collapsed="false">
      <c r="B160" s="1"/>
    </row>
    <row r="161" customFormat="false" ht="12.8" hidden="false" customHeight="false" outlineLevel="0" collapsed="false">
      <c r="B161" s="1"/>
    </row>
    <row r="162" customFormat="false" ht="12.8" hidden="false" customHeight="false" outlineLevel="0" collapsed="false">
      <c r="B162" s="1"/>
    </row>
    <row r="163" customFormat="false" ht="12.8" hidden="false" customHeight="false" outlineLevel="0" collapsed="false">
      <c r="B163" s="1"/>
    </row>
    <row r="164" customFormat="false" ht="12.8" hidden="false" customHeight="false" outlineLevel="0" collapsed="false">
      <c r="B164" s="1"/>
    </row>
    <row r="165" customFormat="false" ht="12.8" hidden="false" customHeight="false" outlineLevel="0" collapsed="false">
      <c r="B165" s="1"/>
    </row>
    <row r="166" customFormat="false" ht="12.8" hidden="false" customHeight="false" outlineLevel="0" collapsed="false">
      <c r="B166" s="1"/>
    </row>
    <row r="167" customFormat="false" ht="12.8" hidden="false" customHeight="false" outlineLevel="0" collapsed="false">
      <c r="B167" s="1"/>
    </row>
    <row r="168" customFormat="false" ht="12.8" hidden="false" customHeight="false" outlineLevel="0" collapsed="false">
      <c r="B168" s="1"/>
    </row>
    <row r="169" customFormat="false" ht="12.8" hidden="false" customHeight="false" outlineLevel="0" collapsed="false">
      <c r="B169" s="1"/>
    </row>
    <row r="170" customFormat="false" ht="12.8" hidden="false" customHeight="false" outlineLevel="0" collapsed="false">
      <c r="B170" s="1"/>
    </row>
    <row r="171" customFormat="false" ht="12.8" hidden="false" customHeight="false" outlineLevel="0" collapsed="false">
      <c r="B171" s="1"/>
    </row>
    <row r="172" customFormat="false" ht="12.8" hidden="false" customHeight="false" outlineLevel="0" collapsed="false">
      <c r="B172" s="1"/>
    </row>
    <row r="173" customFormat="false" ht="12.8" hidden="false" customHeight="false" outlineLevel="0" collapsed="false">
      <c r="B173" s="1"/>
    </row>
    <row r="174" customFormat="false" ht="12.8" hidden="false" customHeight="false" outlineLevel="0" collapsed="false">
      <c r="B174" s="1"/>
    </row>
    <row r="175" customFormat="false" ht="12.8" hidden="false" customHeight="false" outlineLevel="0" collapsed="false">
      <c r="B175" s="1"/>
    </row>
    <row r="176" customFormat="false" ht="12.8" hidden="false" customHeight="false" outlineLevel="0" collapsed="false">
      <c r="B176" s="1"/>
    </row>
    <row r="177" customFormat="false" ht="12.8" hidden="false" customHeight="false" outlineLevel="0" collapsed="false">
      <c r="B177" s="1"/>
    </row>
    <row r="178" customFormat="false" ht="12.8" hidden="false" customHeight="false" outlineLevel="0" collapsed="false">
      <c r="B178" s="1"/>
    </row>
    <row r="179" customFormat="false" ht="12.8" hidden="false" customHeight="false" outlineLevel="0" collapsed="false">
      <c r="B17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4" activeCellId="0" sqref="E4:L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7" min="5" style="1" width="20.4"/>
    <col collapsed="false" customWidth="true" hidden="false" outlineLevel="0" max="9" min="8" style="1" width="21.95"/>
    <col collapsed="false" customWidth="true" hidden="false" outlineLevel="0" max="10" min="10" style="1" width="20.4"/>
    <col collapsed="false" customWidth="true" hidden="false" outlineLevel="0" max="11" min="11" style="0" width="15.35"/>
    <col collapsed="false" customWidth="true" hidden="false" outlineLevel="0" max="12" min="12" style="0" width="14.4"/>
  </cols>
  <sheetData>
    <row r="2" customFormat="false" ht="12.8" hidden="false" customHeight="false" outlineLevel="0" collapsed="false">
      <c r="A2" s="10"/>
      <c r="B2" s="13" t="s">
        <v>108</v>
      </c>
      <c r="C2" s="13"/>
    </row>
    <row r="3" customFormat="false" ht="12.8" hidden="false" customHeight="false" outlineLevel="0" collapsed="false">
      <c r="A3" s="12" t="s">
        <v>109</v>
      </c>
      <c r="B3" s="10" t="s">
        <v>110</v>
      </c>
      <c r="C3" s="1" t="s">
        <v>111</v>
      </c>
      <c r="E3" s="11" t="s">
        <v>112</v>
      </c>
      <c r="F3" s="11" t="s">
        <v>113</v>
      </c>
      <c r="G3" s="11" t="s">
        <v>114</v>
      </c>
      <c r="H3" s="11" t="s">
        <v>115</v>
      </c>
      <c r="I3" s="11" t="s">
        <v>116</v>
      </c>
      <c r="J3" s="11" t="s">
        <v>117</v>
      </c>
      <c r="K3" s="0" t="s">
        <v>118</v>
      </c>
      <c r="L3" s="0" t="s">
        <v>119</v>
      </c>
    </row>
    <row r="4" customFormat="false" ht="12.8" hidden="false" customHeight="false" outlineLevel="0" collapsed="false">
      <c r="A4" s="8" t="n">
        <v>1</v>
      </c>
      <c r="B4" s="1" t="n">
        <v>0.782943341241136</v>
      </c>
      <c r="C4" s="1" t="n">
        <v>0.820620353982448</v>
      </c>
      <c r="E4" s="11" t="n">
        <f aca="false">_xlfn.STDEV.S(B4:B28)</f>
        <v>0.0584108997678086</v>
      </c>
      <c r="F4" s="11" t="n">
        <f aca="false">_xlfn.STDEV.S(C4:C28)</f>
        <v>0.0838485560603297</v>
      </c>
      <c r="G4" s="11" t="n">
        <f aca="false">_xlfn.F.TEST(B4:B28,C4:C28)</f>
        <v>0.0828592304612272</v>
      </c>
      <c r="H4" s="11" t="n">
        <f aca="false">_xlfn.T.TEST(B4:B28, C4:C28, 2,2)</f>
        <v>4.01807021213056E-005</v>
      </c>
      <c r="I4" s="11" t="n">
        <f aca="false">_xlfn.T.TEST(B4:B28,C4:C28, 2,3)</f>
        <v>4.78692253172331E-005</v>
      </c>
      <c r="J4" s="11" t="n">
        <f aca="false">AVERAGE(B4:B28)-AVERAGE(C4:C28)</f>
        <v>0.0924184325252903</v>
      </c>
      <c r="K4" s="0" t="n">
        <f aca="false">AVERAGE(B4:B28)</f>
        <v>0.734490373784622</v>
      </c>
      <c r="L4" s="0" t="n">
        <f aca="false">AVERAGE(C4:C28)</f>
        <v>0.642071941259331</v>
      </c>
    </row>
    <row r="5" customFormat="false" ht="12.8" hidden="false" customHeight="false" outlineLevel="0" collapsed="false">
      <c r="A5" s="8" t="n">
        <v>2</v>
      </c>
      <c r="B5" s="1" t="n">
        <v>0.72616787514369</v>
      </c>
      <c r="C5" s="1" t="n">
        <v>0.677850780887192</v>
      </c>
    </row>
    <row r="6" customFormat="false" ht="12.8" hidden="false" customHeight="false" outlineLevel="0" collapsed="false">
      <c r="A6" s="8" t="n">
        <v>3</v>
      </c>
      <c r="B6" s="1" t="n">
        <v>0.762384843564062</v>
      </c>
      <c r="C6" s="1" t="n">
        <v>0.677952285287439</v>
      </c>
    </row>
    <row r="7" customFormat="false" ht="12.8" hidden="false" customHeight="false" outlineLevel="0" collapsed="false">
      <c r="A7" s="8" t="n">
        <v>4</v>
      </c>
      <c r="B7" s="1" t="n">
        <v>0.703293963123335</v>
      </c>
      <c r="C7" s="1" t="n">
        <v>0.661353165434158</v>
      </c>
    </row>
    <row r="8" customFormat="false" ht="12.8" hidden="false" customHeight="false" outlineLevel="0" collapsed="false">
      <c r="A8" s="8" t="n">
        <v>5</v>
      </c>
      <c r="B8" s="1" t="n">
        <v>0.729690702766813</v>
      </c>
      <c r="C8" s="1" t="n">
        <v>0.593991040073877</v>
      </c>
    </row>
    <row r="9" customFormat="false" ht="12.8" hidden="false" customHeight="false" outlineLevel="0" collapsed="false">
      <c r="A9" s="8" t="n">
        <v>6</v>
      </c>
      <c r="B9" s="1" t="n">
        <v>0.752076127330993</v>
      </c>
      <c r="C9" s="1" t="n">
        <v>0.608645298556612</v>
      </c>
    </row>
    <row r="10" customFormat="false" ht="12.8" hidden="false" customHeight="false" outlineLevel="0" collapsed="false">
      <c r="A10" s="8" t="n">
        <v>7</v>
      </c>
      <c r="B10" s="1" t="n">
        <v>0.811772559323065</v>
      </c>
      <c r="C10" s="1" t="n">
        <v>0.574818823501635</v>
      </c>
    </row>
    <row r="11" customFormat="false" ht="12.8" hidden="false" customHeight="false" outlineLevel="0" collapsed="false">
      <c r="A11" s="8" t="n">
        <v>8</v>
      </c>
      <c r="B11" s="1" t="n">
        <v>0.718329243982785</v>
      </c>
      <c r="C11" s="1" t="n">
        <v>0.522250049685591</v>
      </c>
    </row>
    <row r="12" customFormat="false" ht="12.8" hidden="false" customHeight="false" outlineLevel="0" collapsed="false">
      <c r="A12" s="8" t="n">
        <v>9</v>
      </c>
      <c r="B12" s="1" t="n">
        <v>0.750898507673254</v>
      </c>
      <c r="C12" s="1" t="n">
        <v>0.763435630553549</v>
      </c>
    </row>
    <row r="13" customFormat="false" ht="12.8" hidden="false" customHeight="false" outlineLevel="0" collapsed="false">
      <c r="A13" s="8" t="n">
        <v>10</v>
      </c>
      <c r="B13" s="1" t="n">
        <v>0.712335367494729</v>
      </c>
      <c r="C13" s="1" t="n">
        <v>0.690362904205506</v>
      </c>
    </row>
    <row r="14" customFormat="false" ht="12.8" hidden="false" customHeight="false" outlineLevel="0" collapsed="false">
      <c r="A14" s="8" t="n">
        <v>11</v>
      </c>
      <c r="B14" s="1" t="n">
        <v>0.77617002993037</v>
      </c>
      <c r="C14" s="1" t="n">
        <v>0.669616305799924</v>
      </c>
    </row>
    <row r="15" customFormat="false" ht="12.8" hidden="false" customHeight="false" outlineLevel="0" collapsed="false">
      <c r="A15" s="8" t="n">
        <v>12</v>
      </c>
      <c r="B15" s="1" t="n">
        <v>0.770418007906113</v>
      </c>
      <c r="C15" s="1" t="n">
        <v>0.750515577717232</v>
      </c>
    </row>
    <row r="16" customFormat="false" ht="12.8" hidden="false" customHeight="false" outlineLevel="0" collapsed="false">
      <c r="A16" s="8" t="n">
        <v>13</v>
      </c>
      <c r="B16" s="1" t="n">
        <v>0.687181835442281</v>
      </c>
      <c r="C16" s="1" t="n">
        <v>0.709222966214306</v>
      </c>
    </row>
    <row r="17" customFormat="false" ht="12.8" hidden="false" customHeight="false" outlineLevel="0" collapsed="false">
      <c r="A17" s="8" t="n">
        <v>14</v>
      </c>
      <c r="B17" s="1" t="n">
        <v>0.81381364646817</v>
      </c>
      <c r="C17" s="1" t="n">
        <v>0.526107506619162</v>
      </c>
    </row>
    <row r="18" customFormat="false" ht="12.8" hidden="false" customHeight="false" outlineLevel="0" collapsed="false">
      <c r="A18" s="8" t="n">
        <v>15</v>
      </c>
      <c r="B18" s="1" t="n">
        <v>0.78154173279719</v>
      </c>
      <c r="C18" s="1" t="n">
        <v>0.568606644280233</v>
      </c>
    </row>
    <row r="19" customFormat="false" ht="12.8" hidden="false" customHeight="false" outlineLevel="0" collapsed="false">
      <c r="A19" s="8" t="n">
        <v>16</v>
      </c>
      <c r="B19" s="1" t="n">
        <v>0.679973262997131</v>
      </c>
      <c r="C19" s="1" t="n">
        <v>0.495011712365797</v>
      </c>
    </row>
    <row r="20" customFormat="false" ht="12.8" hidden="false" customHeight="false" outlineLevel="0" collapsed="false">
      <c r="A20" s="8" t="n">
        <v>17</v>
      </c>
      <c r="B20" s="1" t="n">
        <v>0.804539740964931</v>
      </c>
      <c r="C20" s="1" t="n">
        <v>0.672995011679508</v>
      </c>
    </row>
    <row r="21" customFormat="false" ht="12.8" hidden="false" customHeight="false" outlineLevel="0" collapsed="false">
      <c r="A21" s="8" t="n">
        <v>18</v>
      </c>
      <c r="B21" s="1" t="n">
        <v>0.575788380252692</v>
      </c>
      <c r="C21" s="1" t="n">
        <v>0.637832242885566</v>
      </c>
    </row>
    <row r="22" customFormat="false" ht="12.8" hidden="false" customHeight="false" outlineLevel="0" collapsed="false">
      <c r="A22" s="8" t="n">
        <v>19</v>
      </c>
      <c r="B22" s="1" t="n">
        <v>0.808293439836629</v>
      </c>
      <c r="C22" s="1" t="n">
        <v>0.677348078562667</v>
      </c>
    </row>
    <row r="23" customFormat="false" ht="12.8" hidden="false" customHeight="false" outlineLevel="0" collapsed="false">
      <c r="A23" s="8" t="n">
        <v>20</v>
      </c>
      <c r="B23" s="1" t="n">
        <v>0.631098700615939</v>
      </c>
      <c r="C23" s="1" t="n">
        <v>0.675947228908232</v>
      </c>
    </row>
    <row r="24" customFormat="false" ht="12.8" hidden="false" customHeight="false" outlineLevel="0" collapsed="false">
      <c r="A24" s="8" t="n">
        <v>21</v>
      </c>
      <c r="B24" s="1" t="n">
        <v>0.723521456744309</v>
      </c>
      <c r="C24" s="1" t="n">
        <v>0.610943329404948</v>
      </c>
    </row>
    <row r="25" customFormat="false" ht="12.8" hidden="false" customHeight="false" outlineLevel="0" collapsed="false">
      <c r="A25" s="8" t="n">
        <v>22</v>
      </c>
      <c r="B25" s="1" t="n">
        <v>0.667636089020494</v>
      </c>
      <c r="C25" s="1" t="n">
        <v>0.750091190228488</v>
      </c>
    </row>
    <row r="26" customFormat="false" ht="12.8" hidden="false" customHeight="false" outlineLevel="0" collapsed="false">
      <c r="A26" s="8" t="n">
        <v>23</v>
      </c>
      <c r="B26" s="1" t="n">
        <v>0.729145136576755</v>
      </c>
      <c r="C26" s="1" t="n">
        <v>0.569584008433566</v>
      </c>
    </row>
    <row r="27" customFormat="false" ht="12.8" hidden="false" customHeight="false" outlineLevel="0" collapsed="false">
      <c r="A27" s="8" t="n">
        <v>24</v>
      </c>
      <c r="B27" s="1" t="n">
        <v>0.768909591560026</v>
      </c>
      <c r="C27" s="1" t="n">
        <v>0.517039819129782</v>
      </c>
    </row>
    <row r="28" customFormat="false" ht="12.8" hidden="false" customHeight="false" outlineLevel="0" collapsed="false">
      <c r="A28" s="11" t="n">
        <v>25</v>
      </c>
      <c r="B28" s="1" t="n">
        <v>0.694335761858647</v>
      </c>
      <c r="C28" s="1" t="n">
        <v>0.629656577085868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2026-02-20T16:03:43Z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
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3"/>
    <sheet name="Notes" sheetId="2" state="visible" r:id="rId4"/>
    <sheet name="activation-delta-vs. prompt-res" sheetId="3" state="visible" r:id="rId5"/>
    <sheet name="control vs. ac15p statist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<sst xmlns="http://schemas.openxmlformats.org/spreadsheetml/2006/main" count="955" uniqueCount="140">
  <si>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</si>
  <si>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</si>
  <si>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</si>
  <si>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</si>
  <si>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</si>
  <si>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</si>
  <si>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</si>
  <si>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</si>
  <si>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</si>
  <si>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</si>
  <si>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</si>
  <si>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</si>
  <si>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activation/turn</t>
  </si>
  <si>
    <t xml:space="preserve">average conversation activation</t>
  </si>
  <si>
    <t xml:space="preserve">correlation weights / activation delta</t>
  </si>
  <si>
    <t xml:space="preserve">P</t>
  </si>
  <si>
    <t xml:space="preserve">8eff0223-8ddb-4ffe-88e8-5e3d73e5298a</t>
  </si>
  <si>
    <t xml:space="preserve">cmj8nqb0100y5zcr3f349l0p7</t>
  </si>
  <si>
    <t xml:space="preserve">cmj8nr37x00ymzcr3y7zp7rvr</t>
  </si>
  <si>
    <t xml:space="preserve">ac15-plain</t>
  </si>
  <si>
    <t xml:space="preserve">scenario_1_v2</t>
  </si>
  <si>
    <t xml:space="preserve">temporal_dynamics</t>
  </si>
  <si>
    <t xml:space="preserve">mathematics_computer_science_engineering</t>
  </si>
  <si>
    <t xml:space="preserve">practicality_and_feasibility</t>
  </si>
  <si>
    <t xml:space="preserve">sovereignty</t>
  </si>
  <si>
    <t xml:space="preserve">affective_interface</t>
  </si>
  <si>
    <t xml:space="preserve">truth_and_fact</t>
  </si>
  <si>
    <t xml:space="preserve">cc91fc78-a5d4-4819-8179-f29eabd305d2</t>
  </si>
  <si>
    <t xml:space="preserve">cmj8ntn3r00yqzcr32p6ivowb</t>
  </si>
  <si>
    <t xml:space="preserve">cmj8nuio000z7zcr3jkdopne7</t>
  </si>
  <si>
    <t xml:space="preserve">02ee678e-e8a7-4721-b6f0-8416359f80e1</t>
  </si>
  <si>
    <t xml:space="preserve">cmj8ny64700zbzcr3ovp6rpwj</t>
  </si>
  <si>
    <t xml:space="preserve">cmj8nym0p00zszcr3i1ctof1n</t>
  </si>
  <si>
    <t xml:space="preserve">metaphorical_scaffolding</t>
  </si>
  <si>
    <t xml:space="preserve">ec480d08-08a8-4ed6-8b4c-c4c59ece4db0</t>
  </si>
  <si>
    <t xml:space="preserve">cmj8o10s500zwzcr3p8xj5awp</t>
  </si>
  <si>
    <t xml:space="preserve">cmj8o1pem010dzcr301ek4qub</t>
  </si>
  <si>
    <t xml:space="preserve">electricity</t>
  </si>
  <si>
    <t xml:space="preserve">ad95b5ff-cbc3-4666-beb6-5a8ed7b039a9</t>
  </si>
  <si>
    <t xml:space="preserve">cmj8o3xz2010hzcr3kwj2od2w</t>
  </si>
  <si>
    <t xml:space="preserve">cmj8o4ldz010yzcr3vhbg1k6c</t>
  </si>
  <si>
    <t xml:space="preserve">77b9c9c3-bc54-4c44-913f-5464e871f466</t>
  </si>
  <si>
    <t xml:space="preserve">cmj8o7q000112zcr36bhvlmxx</t>
  </si>
  <si>
    <t xml:space="preserve">cmj8o8t6x011jzcr3src0dw8l</t>
  </si>
  <si>
    <t xml:space="preserve">862662a4-e02f-4634-a00c-d7d8b2e3339c</t>
  </si>
  <si>
    <t xml:space="preserve">cmj8ob3ib011nzcr3sob074uk</t>
  </si>
  <si>
    <t xml:space="preserve">cmj8obtpk0124zcr3fwee0ekm</t>
  </si>
  <si>
    <t xml:space="preserve">b8acf24e-bb78-4822-bdfe-bbdac058884d</t>
  </si>
  <si>
    <t xml:space="preserve">cmj8oe5nh0128zcr3pteikbol</t>
  </si>
  <si>
    <t xml:space="preserve">cmj8oevz3012pzcr3r6140u2c</t>
  </si>
  <si>
    <t xml:space="preserve">9198e3c9-363f-4e12-8c3c-f243fe24aaea</t>
  </si>
  <si>
    <t xml:space="preserve">cmj8ogpqb012tzcr3xg2fpgrx</t>
  </si>
  <si>
    <t xml:space="preserve">cmj8ohdhd013azcr32nq55spt</t>
  </si>
  <si>
    <t xml:space="preserve">a84b93fa-e02e-4e01-9d32-0b590a9c5288</t>
  </si>
  <si>
    <t xml:space="preserve">cmj8ojdui013ezcr377o8iehw</t>
  </si>
  <si>
    <t xml:space="preserve">cmj8ok7c2013vzcr3tp1pblb5</t>
  </si>
  <si>
    <t xml:space="preserve">de52f540-9d47-4605-9bf9-d27322e5424a</t>
  </si>
  <si>
    <t xml:space="preserve">cmj8olkeo013zzcr3a62hqswp</t>
  </si>
  <si>
    <t xml:space="preserve">cmj8om9uk014gzcr34drr4fen</t>
  </si>
  <si>
    <t xml:space="preserve">7c0c7ef8-713c-49c1-928e-4a0ee3596588</t>
  </si>
  <si>
    <t xml:space="preserve">cmj8oomyb014kzcr39lnmftsy</t>
  </si>
  <si>
    <t xml:space="preserve">cmj8opa440151zcr342mfftpb</t>
  </si>
  <si>
    <t xml:space="preserve">b8b874db-022e-4d41-b50f-959a6ddebdbc</t>
  </si>
  <si>
    <t xml:space="preserve">cmj8oqy6e0155zcr31jhc2ak1</t>
  </si>
  <si>
    <t xml:space="preserve">cmj8oroph015mzcr3g17q41ri</t>
  </si>
  <si>
    <t xml:space="preserve">freedom_and_limitations</t>
  </si>
  <si>
    <t xml:space="preserve">9ab52a0e-dda2-4fa7-9e2f-6aa5222d61b4</t>
  </si>
  <si>
    <t xml:space="preserve">cmj8osx3f015qzcr3t2y0v1c1</t>
  </si>
  <si>
    <t xml:space="preserve">cmj8otnkw0167zcr39rx7isl5</t>
  </si>
  <si>
    <t xml:space="preserve">8163e0c8-3183-4847-9f1a-f8c58459e7d8</t>
  </si>
  <si>
    <t xml:space="preserve">cmj8ovy55016bzcr3yc6d5qej</t>
  </si>
  <si>
    <t xml:space="preserve">cmj8ownxg016szcr3mpyaf3vt</t>
  </si>
  <si>
    <t xml:space="preserve">c16bb381-946d-42f2-bb54-28c41618a906</t>
  </si>
  <si>
    <t xml:space="preserve">cmj8oyd61016wzcr3e63ah1r7</t>
  </si>
  <si>
    <t xml:space="preserve">cmj8oywsz017dzcr3ze3c8adt</t>
  </si>
  <si>
    <t xml:space="preserve">1961df3b-b043-4417-8f30-44ae9c2b6587</t>
  </si>
  <si>
    <t xml:space="preserve">cmj8p0qq0017hzcr3ve3rhxp0</t>
  </si>
  <si>
    <t xml:space="preserve">cmj8p1enz017yzcr38ne98t8z</t>
  </si>
  <si>
    <t xml:space="preserve">b5e8ea2e-7a8c-4483-b024-dac3e49f57a9</t>
  </si>
  <si>
    <t xml:space="preserve">cmj8p32rk0182zcr3tiff8jkg</t>
  </si>
  <si>
    <t xml:space="preserve">cmj8p3t3n018jzcr3l15fkjh7</t>
  </si>
  <si>
    <t xml:space="preserve">51f50dbc-6ba5-4bf6-a560-830d7d41d5d5</t>
  </si>
  <si>
    <t xml:space="preserve">cmj8p5e4y018nzcr3knderatp</t>
  </si>
  <si>
    <t xml:space="preserve">cmj8p5y4e0194zcr3oje2n0em</t>
  </si>
  <si>
    <t xml:space="preserve">263a41a8-1e21-4efc-b7e7-dbeba47ab3f6</t>
  </si>
  <si>
    <t xml:space="preserve">cmj8p7fho0198zcr3hurc8rkz</t>
  </si>
  <si>
    <t xml:space="preserve">cmj8p7p72019pzcr3oxdcqahm</t>
  </si>
  <si>
    <t xml:space="preserve">48a2333c-0683-439d-9d7c-503ab73420c7</t>
  </si>
  <si>
    <t xml:space="preserve">cmj8p8uqq019tzcr35dt0gvgy</t>
  </si>
  <si>
    <t xml:space="preserve">cmj8p9q6m01aazcr36s54b2mg</t>
  </si>
  <si>
    <t xml:space="preserve">science</t>
  </si>
  <si>
    <t xml:space="preserve">a012ce2f-6bc7-442f-8467-3dcdfd5e4577</t>
  </si>
  <si>
    <t xml:space="preserve">cmj8pbk5l01aezcr3odrykg9i</t>
  </si>
  <si>
    <t xml:space="preserve">cmj8pbwge01avzcr3qm906qf9</t>
  </si>
  <si>
    <t xml:space="preserve">aa7fced2-4de1-416d-afea-0f742d605ea0</t>
  </si>
  <si>
    <t xml:space="preserve">cmj8pduoh01azzcr3nzuomkar</t>
  </si>
  <si>
    <t xml:space="preserve">cmj8penkv01bgzcr3z2gthh7f</t>
  </si>
  <si>
    <t xml:space="preserve">7a35e913-7167-443b-91cf-3e966563c5b4</t>
  </si>
  <si>
    <t xml:space="preserve">cmj8pg36901bkzcr38d9p48mj</t>
  </si>
  <si>
    <t xml:space="preserve">cmj8pgyjs01c1zcr3twt5dufv</t>
  </si>
  <si>
    <t xml:space="preserve">fc7fedf2-4d43-4500-a107-2bc4dcb876f1</t>
  </si>
  <si>
    <t xml:space="preserve">cmj8pj48501c5zcr3gj1e5hd9</t>
  </si>
  <si>
    <t xml:space="preserve">cmj8pjifu01cmzcr30p1yae3f</t>
  </si>
  <si>
    <t xml:space="preserve">Calculation p</t>
  </si>
  <si>
    <t xml:space="preserve">1. count</t>
  </si>
  <si>
    <t xml:space="preserve"> activation delta</t>
  </si>
  <si>
    <t xml:space="preserve">2.  t statistic</t>
  </si>
  <si>
    <t xml:space="preserve">3. p</t>
  </si>
  <si>
    <t xml:space="preserve">Correlation</t>
  </si>
  <si>
    <t xml:space="preserve">count</t>
  </si>
  <si>
    <t xml:space="preserve">T-statistic</t>
  </si>
  <si>
    <t xml:space="preserve">p</t>
  </si>
  <si>
    <t xml:space="preserve">Tests</t>
  </si>
  <si>
    <t xml:space="preserve">Paired t-test</t>
  </si>
  <si>
    <t xml:space="preserve">ac15p</t>
  </si>
  <si>
    <t xml:space="preserve">control</t>
  </si>
  <si>
    <t xml:space="preserve">std. Ac15p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</si>
  <si>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</si>
  <si>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</si>
  <si>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</si>
  <si>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</si>
  <si>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</si>
  <si>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ac15p</t>
  </si>
  <si>
    <t xml:space="preserve">mean control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</si>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</sst>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'activation-delta-vs. prompt-res'!$A$3:$A$27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'activation-delta-vs. prompt-res'!$B$3:$B$27</c:f>
              <c:numCache>
                <c:formatCode>General</c:formatCode>
                <c:ptCount val="25"/>
                <c:pt idx="0">
                  <c:v>0.820329791398556</c:v>
                </c:pt>
                <c:pt idx="1">
                  <c:v>0.760208954092368</c:v>
                </c:pt>
                <c:pt idx="2">
                  <c:v>0.779358920094772</c:v>
                </c:pt>
                <c:pt idx="3">
                  <c:v>0.655474168574833</c:v>
                </c:pt>
                <c:pt idx="4">
                  <c:v>0.601488270812317</c:v>
                </c:pt>
                <c:pt idx="5">
                  <c:v>0.802605111539465</c:v>
                </c:pt>
                <c:pt idx="6">
                  <c:v>0.648878416428975</c:v>
                </c:pt>
                <c:pt idx="7">
                  <c:v>0.75255045120181</c:v>
                </c:pt>
                <c:pt idx="8">
                  <c:v>0.725998440426624</c:v>
                </c:pt>
                <c:pt idx="9">
                  <c:v>0.706819355320024</c:v>
                </c:pt>
                <c:pt idx="10">
                  <c:v>0.663884135279099</c:v>
                </c:pt>
                <c:pt idx="11">
                  <c:v>0.808680515695504</c:v>
                </c:pt>
                <c:pt idx="12">
                  <c:v>0.697789785928682</c:v>
                </c:pt>
                <c:pt idx="13">
                  <c:v>0.749649894113733</c:v>
                </c:pt>
                <c:pt idx="14">
                  <c:v>0.736967328412209</c:v>
                </c:pt>
                <c:pt idx="15">
                  <c:v>0.764104736117937</c:v>
                </c:pt>
                <c:pt idx="16">
                  <c:v>0.722501085513047</c:v>
                </c:pt>
                <c:pt idx="17">
                  <c:v>0.68518214731593</c:v>
                </c:pt>
                <c:pt idx="18">
                  <c:v>0.57422986602436</c:v>
                </c:pt>
                <c:pt idx="19">
                  <c:v>0.862814658531392</c:v>
                </c:pt>
                <c:pt idx="20">
                  <c:v>0.766443599036539</c:v>
                </c:pt>
                <c:pt idx="21">
                  <c:v>0.757219448945817</c:v>
                </c:pt>
                <c:pt idx="22">
                  <c:v>0.75138094509243</c:v>
                </c:pt>
                <c:pt idx="23">
                  <c:v>0.783578798476775</c:v>
                </c:pt>
                <c:pt idx="24">
                  <c:v>0.690023913451965</c:v>
                </c:pt>
              </c:numCache>
            </c:numRef>
          </c:yVal>
          <c:smooth val="0"/>
        </c:ser>
        <c:axId val="67769999"/>
        <c:axId val="47038722"/>
      </c:scatterChart>
      <c:valAx>
        <c:axId val="677699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seq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038722"/>
        <c:crosses val="autoZero"/>
        <c:crossBetween val="midCat"/>
      </c:valAx>
      <c:valAx>
        <c:axId val="470387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sim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776999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128880</xdr:colOff>
      <xdr:row>7</xdr:row>
      <xdr:rowOff>138240</xdr:rowOff>
    </xdr:from>
    <xdr:to>
      <xdr:col>13</xdr:col>
      <xdr:colOff>295560</xdr:colOff>
      <xdr:row>32</xdr:row>
      <xdr:rowOff>77040</xdr:rowOff>
    </xdr:to>
    <xdr:graphicFrame>
      <xdr:nvGraphicFramePr>
        <xdr:cNvPr id="1" name=""/>
        <xdr:cNvGraphicFramePr/>
      </xdr:nvGraphicFramePr>
      <xdr:xfrm>
        <a:off x="5905440" y="1276200"/>
        <a:ext cx="5891400" cy="400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3" activeCellId="1" sqref="L3:M3 O3"/>
    </sheetView>
  </sheetViews>
  <sheetFormatPr defaultColWidth="8.5703125" defaultRowHeight="15" customHeight="false" zeroHeight="false" outlineLevelRow="0" outlineLevelCol="0"/>
  <cols>
    <col collapsed="false" customWidth="true" hidden="false" outlineLevel="0" max="3" min="3" style="1" width="11.45"/>
    <col collapsed="false" customWidth="true" hidden="false" outlineLevel="0" max="4" min="4" style="2" width="13.7"/>
    <col collapsed="false" customWidth="true" hidden="false" outlineLevel="0" max="5" min="5" style="2" width="14.26"/>
    <col collapsed="false" customWidth="false" hidden="false" outlineLevel="0" max="6" min="6" style="2" width="8.56"/>
    <col collapsed="false" customWidth="true" hidden="false" outlineLevel="0" max="7" min="7" style="2" width="39.87"/>
    <col collapsed="false" customWidth="true" hidden="false" outlineLevel="0" max="8" min="8" style="2" width="13.36"/>
    <col collapsed="false" customWidth="true" hidden="false" outlineLevel="0" max="9" min="9" style="2" width="15.49"/>
    <col collapsed="false" customWidth="true" hidden="false" outlineLevel="0" max="10" min="10" style="2" width="17.39"/>
    <col collapsed="false" customWidth="true" hidden="false" outlineLevel="0" max="11" min="11" style="2" width="23.45"/>
    <col collapsed="false" customWidth="true" hidden="false" outlineLevel="0" max="12" min="12" style="2" width="19.31"/>
    <col collapsed="false" customWidth="true" hidden="false" outlineLevel="0" max="16" min="16" style="0" width="20.63"/>
    <col collapsed="false" customWidth="true" hidden="false" outlineLevel="0" max="16384" min="16384" style="0" width="11.53"/>
  </cols>
  <sheetData>
    <row r="1" s="3" customFormat="true" ht="57.4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0"/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2" t="s">
        <v>19</v>
      </c>
      <c r="E3" s="2" t="s">
        <v>20</v>
      </c>
      <c r="F3" s="2" t="n">
        <v>1</v>
      </c>
      <c r="G3" s="2" t="s">
        <v>21</v>
      </c>
      <c r="H3" s="2" t="n">
        <v>0.2038</v>
      </c>
      <c r="I3" s="2" t="n">
        <v>0.323018720835351</v>
      </c>
      <c r="J3" s="2" t="n">
        <v>0.354639034150437</v>
      </c>
      <c r="K3" s="2" t="n">
        <f aca="false">J3-I3</f>
        <v>0.031620313315086</v>
      </c>
      <c r="L3" s="2" t="n">
        <v>0.820329791398556</v>
      </c>
      <c r="N3" s="1" t="n">
        <f aca="false">AVERAGE(K3:K8)</f>
        <v>0.06337896583226</v>
      </c>
      <c r="O3" s="1" t="n">
        <f aca="false">SUM(N3:N147)/SUMPRODUCT(ISNUMBER(N3:N147))</f>
        <v>0.0407277376397779</v>
      </c>
      <c r="P3" s="1" t="n">
        <f aca="false">CORREL(H3:H152, K3:K152)</f>
        <v>-0.209866735161036</v>
      </c>
      <c r="Q3" s="1" t="n">
        <v>0.0099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2" t="s">
        <v>19</v>
      </c>
      <c r="E4" s="2" t="s">
        <v>20</v>
      </c>
      <c r="F4" s="2" t="n">
        <v>1</v>
      </c>
      <c r="G4" s="2" t="s">
        <v>22</v>
      </c>
      <c r="H4" s="2" t="n">
        <v>0.1894</v>
      </c>
      <c r="I4" s="2" t="n">
        <v>0.300128032976109</v>
      </c>
      <c r="J4" s="2" t="n">
        <v>0.3575942782091</v>
      </c>
      <c r="K4" s="2" t="n">
        <f aca="false">J4-I4</f>
        <v>0.057466245232991</v>
      </c>
      <c r="L4" s="2" t="n">
        <v>0.820329791398556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n">
        <v>1</v>
      </c>
      <c r="G5" s="2" t="s">
        <v>23</v>
      </c>
      <c r="H5" s="2" t="n">
        <v>0.1882</v>
      </c>
      <c r="I5" s="2" t="n">
        <v>0.298320315126631</v>
      </c>
      <c r="J5" s="2" t="n">
        <v>0.381781994936186</v>
      </c>
      <c r="K5" s="2" t="n">
        <f aca="false">J5-I5</f>
        <v>0.083461679809555</v>
      </c>
      <c r="L5" s="2" t="n">
        <v>0.820329791398556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2" t="s">
        <v>19</v>
      </c>
      <c r="E6" s="2" t="s">
        <v>20</v>
      </c>
      <c r="F6" s="2" t="n">
        <v>1</v>
      </c>
      <c r="G6" s="2" t="s">
        <v>24</v>
      </c>
      <c r="H6" s="2" t="n">
        <v>0.1638</v>
      </c>
      <c r="I6" s="2" t="n">
        <v>0.259549298575786</v>
      </c>
      <c r="J6" s="2" t="n">
        <v>0.334866243773869</v>
      </c>
      <c r="K6" s="2" t="n">
        <f aca="false">J6-I6</f>
        <v>0.075316945198083</v>
      </c>
      <c r="L6" s="2" t="n">
        <v>0.820329791398556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2" t="s">
        <v>19</v>
      </c>
      <c r="E7" s="2" t="s">
        <v>20</v>
      </c>
      <c r="F7" s="2" t="n">
        <v>1</v>
      </c>
      <c r="G7" s="2" t="s">
        <v>25</v>
      </c>
      <c r="H7" s="2" t="n">
        <v>0.1549</v>
      </c>
      <c r="I7" s="2" t="n">
        <v>0.245478765964469</v>
      </c>
      <c r="J7" s="2" t="n">
        <v>0.297797683074285</v>
      </c>
      <c r="K7" s="2" t="n">
        <f aca="false">J7-I7</f>
        <v>0.052318917109816</v>
      </c>
      <c r="L7" s="2" t="n">
        <v>0.820329791398556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2" t="s">
        <v>19</v>
      </c>
      <c r="E8" s="2" t="s">
        <v>20</v>
      </c>
      <c r="F8" s="2" t="n">
        <v>1</v>
      </c>
      <c r="G8" s="2" t="s">
        <v>26</v>
      </c>
      <c r="H8" s="2" t="n">
        <v>0.1</v>
      </c>
      <c r="I8" s="2" t="n">
        <v>0.192679287918395</v>
      </c>
      <c r="J8" s="2" t="n">
        <v>0.272768982246424</v>
      </c>
      <c r="K8" s="2" t="n">
        <f aca="false">J8-I8</f>
        <v>0.080089694328029</v>
      </c>
      <c r="L8" s="2" t="n">
        <v>0.820329791398556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2" t="s">
        <v>19</v>
      </c>
      <c r="E9" s="2" t="s">
        <v>20</v>
      </c>
      <c r="F9" s="2" t="n">
        <v>3</v>
      </c>
      <c r="G9" s="2" t="s">
        <v>23</v>
      </c>
      <c r="H9" s="2" t="n">
        <v>0.1937</v>
      </c>
      <c r="I9" s="2" t="n">
        <v>0.311624974870154</v>
      </c>
      <c r="J9" s="2" t="n">
        <v>0.378076919577464</v>
      </c>
      <c r="K9" s="2" t="n">
        <f aca="false">J9-I9</f>
        <v>0.06645194470731</v>
      </c>
      <c r="L9" s="2" t="n">
        <v>0.760208954092368</v>
      </c>
      <c r="N9" s="1" t="n">
        <f aca="false">AVERAGE(K9:K14)</f>
        <v>0.0550499902908135</v>
      </c>
      <c r="Q9" s="1"/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2" t="s">
        <v>19</v>
      </c>
      <c r="E10" s="2" t="s">
        <v>20</v>
      </c>
      <c r="F10" s="2" t="n">
        <v>3</v>
      </c>
      <c r="G10" s="2" t="s">
        <v>24</v>
      </c>
      <c r="H10" s="2" t="n">
        <v>0.1898</v>
      </c>
      <c r="I10" s="2" t="n">
        <v>0.305287626266897</v>
      </c>
      <c r="J10" s="2" t="n">
        <v>0.340667027953176</v>
      </c>
      <c r="K10" s="2" t="n">
        <f aca="false">J10-I10</f>
        <v>0.035379401686279</v>
      </c>
      <c r="L10" s="2" t="n">
        <v>0.760208954092368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2" t="s">
        <v>19</v>
      </c>
      <c r="E11" s="2" t="s">
        <v>20</v>
      </c>
      <c r="F11" s="2" t="n">
        <v>3</v>
      </c>
      <c r="G11" s="2" t="s">
        <v>22</v>
      </c>
      <c r="H11" s="2" t="n">
        <v>0.1825</v>
      </c>
      <c r="I11" s="2" t="n">
        <v>0.293596895151112</v>
      </c>
      <c r="J11" s="2" t="n">
        <v>0.348104817730826</v>
      </c>
      <c r="K11" s="2" t="n">
        <f aca="false">J11-I11</f>
        <v>0.054507922579714</v>
      </c>
      <c r="L11" s="2" t="n">
        <v>0.760208954092368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2" t="s">
        <v>19</v>
      </c>
      <c r="E12" s="2" t="s">
        <v>20</v>
      </c>
      <c r="F12" s="2" t="n">
        <v>3</v>
      </c>
      <c r="G12" s="2" t="s">
        <v>21</v>
      </c>
      <c r="H12" s="2" t="n">
        <v>0.1793</v>
      </c>
      <c r="I12" s="2" t="n">
        <v>0.28849085700919</v>
      </c>
      <c r="J12" s="2" t="n">
        <v>0.33197829762493</v>
      </c>
      <c r="K12" s="2" t="n">
        <f aca="false">J12-I12</f>
        <v>0.04348744061574</v>
      </c>
      <c r="L12" s="2" t="n">
        <v>0.760208954092368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2" t="s">
        <v>19</v>
      </c>
      <c r="E13" s="2" t="s">
        <v>20</v>
      </c>
      <c r="F13" s="2" t="n">
        <v>3</v>
      </c>
      <c r="G13" s="2" t="s">
        <v>25</v>
      </c>
      <c r="H13" s="2" t="n">
        <v>0.1547</v>
      </c>
      <c r="I13" s="2" t="n">
        <v>0.248870511903412</v>
      </c>
      <c r="J13" s="2" t="n">
        <v>0.324173219898589</v>
      </c>
      <c r="K13" s="2" t="n">
        <f aca="false">J13-I13</f>
        <v>0.075302707995177</v>
      </c>
      <c r="L13" s="2" t="n">
        <v>0.760208954092368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2" t="s">
        <v>19</v>
      </c>
      <c r="E14" s="2" t="s">
        <v>20</v>
      </c>
      <c r="F14" s="2" t="n">
        <v>3</v>
      </c>
      <c r="G14" s="2" t="s">
        <v>26</v>
      </c>
      <c r="H14" s="2" t="n">
        <v>0.1</v>
      </c>
      <c r="I14" s="2" t="n">
        <v>0.22622260459634</v>
      </c>
      <c r="J14" s="2" t="n">
        <v>0.281393128757001</v>
      </c>
      <c r="K14" s="2" t="n">
        <f aca="false">J14-I14</f>
        <v>0.055170524160661</v>
      </c>
      <c r="L14" s="2" t="n">
        <v>0.760208954092368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1" t="s">
        <v>32</v>
      </c>
      <c r="D15" s="2" t="s">
        <v>19</v>
      </c>
      <c r="E15" s="2" t="s">
        <v>20</v>
      </c>
      <c r="F15" s="2" t="n">
        <v>5</v>
      </c>
      <c r="G15" s="2" t="s">
        <v>23</v>
      </c>
      <c r="H15" s="2" t="n">
        <v>0.2003</v>
      </c>
      <c r="I15" s="2" t="n">
        <v>0.395615553750293</v>
      </c>
      <c r="J15" s="2" t="n">
        <v>0.406879018777157</v>
      </c>
      <c r="K15" s="2" t="n">
        <f aca="false">J15-I15</f>
        <v>0.011263465026864</v>
      </c>
      <c r="L15" s="2" t="n">
        <v>0.779358920094772</v>
      </c>
      <c r="N15" s="1" t="n">
        <f aca="false">AVERAGE(K15:K20)</f>
        <v>-0.00439158942792817</v>
      </c>
    </row>
    <row r="16" customFormat="false" ht="15" hidden="false" customHeight="false" outlineLevel="0" collapsed="false">
      <c r="A16" s="1" t="s">
        <v>30</v>
      </c>
      <c r="B16" s="1" t="s">
        <v>31</v>
      </c>
      <c r="C16" s="1" t="s">
        <v>32</v>
      </c>
      <c r="D16" s="2" t="s">
        <v>19</v>
      </c>
      <c r="E16" s="2" t="s">
        <v>20</v>
      </c>
      <c r="F16" s="2" t="n">
        <v>5</v>
      </c>
      <c r="G16" s="2" t="s">
        <v>22</v>
      </c>
      <c r="H16" s="2" t="n">
        <v>0.1848</v>
      </c>
      <c r="I16" s="2" t="n">
        <v>0.365034001810807</v>
      </c>
      <c r="J16" s="2" t="n">
        <v>0.357990795159927</v>
      </c>
      <c r="K16" s="2" t="n">
        <f aca="false">J16-I16</f>
        <v>-0.00704320665087999</v>
      </c>
      <c r="L16" s="2" t="n">
        <v>0.779358920094772</v>
      </c>
    </row>
    <row r="17" customFormat="false" ht="15" hidden="false" customHeight="false" outlineLevel="0" collapsed="false">
      <c r="A17" s="1" t="s">
        <v>30</v>
      </c>
      <c r="B17" s="1" t="s">
        <v>31</v>
      </c>
      <c r="C17" s="1" t="s">
        <v>32</v>
      </c>
      <c r="D17" s="2" t="s">
        <v>19</v>
      </c>
      <c r="E17" s="2" t="s">
        <v>20</v>
      </c>
      <c r="F17" s="2" t="n">
        <v>5</v>
      </c>
      <c r="G17" s="2" t="s">
        <v>21</v>
      </c>
      <c r="H17" s="2" t="n">
        <v>0.1833</v>
      </c>
      <c r="I17" s="2" t="n">
        <v>0.362021099330071</v>
      </c>
      <c r="J17" s="2" t="n">
        <v>0.344253206366593</v>
      </c>
      <c r="K17" s="2" t="n">
        <f aca="false">J17-I17</f>
        <v>-0.017767892963478</v>
      </c>
      <c r="L17" s="2" t="n">
        <v>0.779358920094772</v>
      </c>
    </row>
    <row r="18" customFormat="false" ht="15" hidden="false" customHeight="false" outlineLevel="0" collapsed="false">
      <c r="A18" s="1" t="s">
        <v>30</v>
      </c>
      <c r="B18" s="1" t="s">
        <v>31</v>
      </c>
      <c r="C18" s="1" t="s">
        <v>32</v>
      </c>
      <c r="D18" s="2" t="s">
        <v>19</v>
      </c>
      <c r="E18" s="2" t="s">
        <v>20</v>
      </c>
      <c r="F18" s="2" t="n">
        <v>5</v>
      </c>
      <c r="G18" s="2" t="s">
        <v>24</v>
      </c>
      <c r="H18" s="2" t="n">
        <v>0.1759</v>
      </c>
      <c r="I18" s="2" t="n">
        <v>0.347313400079142</v>
      </c>
      <c r="J18" s="2" t="n">
        <v>0.327825959876991</v>
      </c>
      <c r="K18" s="2" t="n">
        <f aca="false">J18-I18</f>
        <v>-0.019487440202151</v>
      </c>
      <c r="L18" s="2" t="n">
        <v>0.779358920094772</v>
      </c>
    </row>
    <row r="19" customFormat="false" ht="15" hidden="false" customHeight="false" outlineLevel="0" collapsed="false">
      <c r="A19" s="1" t="s">
        <v>30</v>
      </c>
      <c r="B19" s="1" t="s">
        <v>31</v>
      </c>
      <c r="C19" s="1" t="s">
        <v>32</v>
      </c>
      <c r="D19" s="2" t="s">
        <v>19</v>
      </c>
      <c r="E19" s="2" t="s">
        <v>20</v>
      </c>
      <c r="F19" s="2" t="n">
        <v>5</v>
      </c>
      <c r="G19" s="2" t="s">
        <v>33</v>
      </c>
      <c r="H19" s="2" t="n">
        <v>0.1556</v>
      </c>
      <c r="I19" s="2" t="n">
        <v>0.307306082079045</v>
      </c>
      <c r="J19" s="2" t="n">
        <v>0.31402493983184</v>
      </c>
      <c r="K19" s="2" t="n">
        <f aca="false">J19-I19</f>
        <v>0.00671885775279502</v>
      </c>
      <c r="L19" s="2" t="n">
        <v>0.779358920094772</v>
      </c>
    </row>
    <row r="20" customFormat="false" ht="15" hidden="false" customHeight="false" outlineLevel="0" collapsed="false">
      <c r="A20" s="1" t="s">
        <v>30</v>
      </c>
      <c r="B20" s="1" t="s">
        <v>31</v>
      </c>
      <c r="C20" s="1" t="s">
        <v>32</v>
      </c>
      <c r="D20" s="2" t="s">
        <v>19</v>
      </c>
      <c r="E20" s="2" t="s">
        <v>20</v>
      </c>
      <c r="F20" s="2" t="n">
        <v>5</v>
      </c>
      <c r="G20" s="2" t="s">
        <v>26</v>
      </c>
      <c r="H20" s="2" t="n">
        <v>0.1</v>
      </c>
      <c r="I20" s="2" t="n">
        <v>0.28263470178176</v>
      </c>
      <c r="J20" s="2" t="n">
        <v>0.282601382251041</v>
      </c>
      <c r="K20" s="2" t="n">
        <f aca="false">J20-I20</f>
        <v>-3.33195307190004E-005</v>
      </c>
      <c r="L20" s="2" t="n">
        <v>0.779358920094772</v>
      </c>
    </row>
    <row r="21" customFormat="false" ht="15" hidden="false" customHeight="false" outlineLevel="0" collapsed="false">
      <c r="A21" s="1" t="s">
        <v>34</v>
      </c>
      <c r="B21" s="1" t="s">
        <v>35</v>
      </c>
      <c r="C21" s="1" t="s">
        <v>36</v>
      </c>
      <c r="D21" s="2" t="s">
        <v>19</v>
      </c>
      <c r="E21" s="2" t="s">
        <v>20</v>
      </c>
      <c r="F21" s="2" t="n">
        <v>7</v>
      </c>
      <c r="G21" s="2" t="s">
        <v>23</v>
      </c>
      <c r="H21" s="2" t="n">
        <v>0.2264</v>
      </c>
      <c r="I21" s="2" t="n">
        <v>0.380183143209861</v>
      </c>
      <c r="J21" s="2" t="n">
        <v>0.400363450254285</v>
      </c>
      <c r="K21" s="2" t="n">
        <f aca="false">J21-I21</f>
        <v>0.020180307044424</v>
      </c>
      <c r="L21" s="2" t="n">
        <v>0.655474168574833</v>
      </c>
      <c r="N21" s="1" t="n">
        <f aca="false">AVERAGE(K21:K26)</f>
        <v>0.0508384494810948</v>
      </c>
    </row>
    <row r="22" customFormat="false" ht="15" hidden="false" customHeight="false" outlineLevel="0" collapsed="false">
      <c r="A22" s="1" t="s">
        <v>34</v>
      </c>
      <c r="B22" s="1" t="s">
        <v>35</v>
      </c>
      <c r="C22" s="1" t="s">
        <v>36</v>
      </c>
      <c r="D22" s="2" t="s">
        <v>19</v>
      </c>
      <c r="E22" s="2" t="s">
        <v>20</v>
      </c>
      <c r="F22" s="2" t="n">
        <v>7</v>
      </c>
      <c r="G22" s="2" t="s">
        <v>21</v>
      </c>
      <c r="H22" s="2" t="n">
        <v>0.1954</v>
      </c>
      <c r="I22" s="2" t="n">
        <v>0.328152112784108</v>
      </c>
      <c r="J22" s="2" t="n">
        <v>0.344439849501345</v>
      </c>
      <c r="K22" s="2" t="n">
        <f aca="false">J22-I22</f>
        <v>0.016287736717237</v>
      </c>
      <c r="L22" s="2" t="n">
        <v>0.655474168574833</v>
      </c>
    </row>
    <row r="23" customFormat="false" ht="15" hidden="false" customHeight="false" outlineLevel="0" collapsed="false">
      <c r="A23" s="1" t="s">
        <v>34</v>
      </c>
      <c r="B23" s="1" t="s">
        <v>35</v>
      </c>
      <c r="C23" s="1" t="s">
        <v>36</v>
      </c>
      <c r="D23" s="2" t="s">
        <v>19</v>
      </c>
      <c r="E23" s="2" t="s">
        <v>20</v>
      </c>
      <c r="F23" s="2" t="n">
        <v>7</v>
      </c>
      <c r="G23" s="2" t="s">
        <v>22</v>
      </c>
      <c r="H23" s="2" t="n">
        <v>0.1749</v>
      </c>
      <c r="I23" s="2" t="n">
        <v>0.293791018959217</v>
      </c>
      <c r="J23" s="2" t="n">
        <v>0.381551461004075</v>
      </c>
      <c r="K23" s="2" t="n">
        <f aca="false">J23-I23</f>
        <v>0.087760442044858</v>
      </c>
      <c r="L23" s="2" t="n">
        <v>0.655474168574833</v>
      </c>
    </row>
    <row r="24" customFormat="false" ht="15" hidden="false" customHeight="false" outlineLevel="0" collapsed="false">
      <c r="A24" s="1" t="s">
        <v>34</v>
      </c>
      <c r="B24" s="1" t="s">
        <v>35</v>
      </c>
      <c r="C24" s="1" t="s">
        <v>36</v>
      </c>
      <c r="D24" s="2" t="s">
        <v>19</v>
      </c>
      <c r="E24" s="2" t="s">
        <v>20</v>
      </c>
      <c r="F24" s="2" t="n">
        <v>7</v>
      </c>
      <c r="G24" s="2" t="s">
        <v>24</v>
      </c>
      <c r="H24" s="2" t="n">
        <v>0.1553</v>
      </c>
      <c r="I24" s="2" t="n">
        <v>0.260887178326196</v>
      </c>
      <c r="J24" s="2" t="n">
        <v>0.318983822811721</v>
      </c>
      <c r="K24" s="2" t="n">
        <f aca="false">J24-I24</f>
        <v>0.058096644485525</v>
      </c>
      <c r="L24" s="2" t="n">
        <v>0.655474168574833</v>
      </c>
    </row>
    <row r="25" customFormat="false" ht="15" hidden="false" customHeight="false" outlineLevel="0" collapsed="false">
      <c r="A25" s="1" t="s">
        <v>34</v>
      </c>
      <c r="B25" s="1" t="s">
        <v>35</v>
      </c>
      <c r="C25" s="1" t="s">
        <v>36</v>
      </c>
      <c r="D25" s="2" t="s">
        <v>19</v>
      </c>
      <c r="E25" s="2" t="s">
        <v>20</v>
      </c>
      <c r="F25" s="2" t="n">
        <v>7</v>
      </c>
      <c r="G25" s="2" t="s">
        <v>37</v>
      </c>
      <c r="H25" s="2" t="n">
        <v>0.148</v>
      </c>
      <c r="I25" s="2" t="n">
        <v>0.248541973118314</v>
      </c>
      <c r="J25" s="2" t="n">
        <v>0.295307732945093</v>
      </c>
      <c r="K25" s="2" t="n">
        <f aca="false">J25-I25</f>
        <v>0.046765759826779</v>
      </c>
      <c r="L25" s="2" t="n">
        <v>0.655474168574833</v>
      </c>
    </row>
    <row r="26" customFormat="false" ht="15" hidden="false" customHeight="false" outlineLevel="0" collapsed="false">
      <c r="A26" s="1" t="s">
        <v>34</v>
      </c>
      <c r="B26" s="1" t="s">
        <v>35</v>
      </c>
      <c r="C26" s="1" t="s">
        <v>36</v>
      </c>
      <c r="D26" s="2" t="s">
        <v>19</v>
      </c>
      <c r="E26" s="2" t="s">
        <v>20</v>
      </c>
      <c r="F26" s="2" t="n">
        <v>7</v>
      </c>
      <c r="G26" s="2" t="s">
        <v>26</v>
      </c>
      <c r="H26" s="2" t="n">
        <v>0.1</v>
      </c>
      <c r="I26" s="2" t="n">
        <v>0.22583021888544</v>
      </c>
      <c r="J26" s="2" t="n">
        <v>0.301770025653186</v>
      </c>
      <c r="K26" s="2" t="n">
        <f aca="false">J26-I26</f>
        <v>0.075939806767746</v>
      </c>
      <c r="L26" s="2" t="n">
        <v>0.655474168574833</v>
      </c>
    </row>
    <row r="27" customFormat="false" ht="15" hidden="false" customHeight="false" outlineLevel="0" collapsed="false">
      <c r="A27" s="1" t="s">
        <v>38</v>
      </c>
      <c r="B27" s="1" t="s">
        <v>39</v>
      </c>
      <c r="C27" s="1" t="s">
        <v>40</v>
      </c>
      <c r="D27" s="2" t="s">
        <v>19</v>
      </c>
      <c r="E27" s="2" t="s">
        <v>20</v>
      </c>
      <c r="F27" s="2" t="n">
        <v>9</v>
      </c>
      <c r="G27" s="2" t="s">
        <v>23</v>
      </c>
      <c r="H27" s="2" t="n">
        <v>0.2022</v>
      </c>
      <c r="I27" s="2" t="n">
        <v>0.390827804145337</v>
      </c>
      <c r="J27" s="2" t="n">
        <v>0.376304793365246</v>
      </c>
      <c r="K27" s="2" t="n">
        <f aca="false">J27-I27</f>
        <v>-0.014523010780091</v>
      </c>
      <c r="L27" s="2" t="n">
        <v>0.601488270812317</v>
      </c>
      <c r="N27" s="1" t="n">
        <f aca="false">AVERAGE(K27:K32)</f>
        <v>0.00235076452150917</v>
      </c>
    </row>
    <row r="28" customFormat="false" ht="15" hidden="false" customHeight="false" outlineLevel="0" collapsed="false">
      <c r="A28" s="1" t="s">
        <v>38</v>
      </c>
      <c r="B28" s="1" t="s">
        <v>39</v>
      </c>
      <c r="C28" s="1" t="s">
        <v>40</v>
      </c>
      <c r="D28" s="2" t="s">
        <v>19</v>
      </c>
      <c r="E28" s="2" t="s">
        <v>20</v>
      </c>
      <c r="F28" s="2" t="n">
        <v>9</v>
      </c>
      <c r="G28" s="2" t="s">
        <v>22</v>
      </c>
      <c r="H28" s="2" t="n">
        <v>0.1809</v>
      </c>
      <c r="I28" s="2" t="n">
        <v>0.349721702751055</v>
      </c>
      <c r="J28" s="2" t="n">
        <v>0.339749640967511</v>
      </c>
      <c r="K28" s="2" t="n">
        <f aca="false">J28-I28</f>
        <v>-0.00997206178354404</v>
      </c>
      <c r="L28" s="2" t="n">
        <v>0.601488270812317</v>
      </c>
    </row>
    <row r="29" customFormat="false" ht="15" hidden="false" customHeight="false" outlineLevel="0" collapsed="false">
      <c r="A29" s="1" t="s">
        <v>38</v>
      </c>
      <c r="B29" s="1" t="s">
        <v>39</v>
      </c>
      <c r="C29" s="1" t="s">
        <v>40</v>
      </c>
      <c r="D29" s="2" t="s">
        <v>19</v>
      </c>
      <c r="E29" s="2" t="s">
        <v>20</v>
      </c>
      <c r="F29" s="2" t="n">
        <v>9</v>
      </c>
      <c r="G29" s="2" t="s">
        <v>21</v>
      </c>
      <c r="H29" s="2" t="n">
        <v>0.1788</v>
      </c>
      <c r="I29" s="2" t="n">
        <v>0.345685645235981</v>
      </c>
      <c r="J29" s="2" t="n">
        <v>0.348041731450282</v>
      </c>
      <c r="K29" s="2" t="n">
        <f aca="false">J29-I29</f>
        <v>0.002356086214301</v>
      </c>
      <c r="L29" s="2" t="n">
        <v>0.601488270812317</v>
      </c>
    </row>
    <row r="30" customFormat="false" ht="15" hidden="false" customHeight="false" outlineLevel="0" collapsed="false">
      <c r="A30" s="1" t="s">
        <v>38</v>
      </c>
      <c r="B30" s="1" t="s">
        <v>39</v>
      </c>
      <c r="C30" s="1" t="s">
        <v>40</v>
      </c>
      <c r="D30" s="2" t="s">
        <v>19</v>
      </c>
      <c r="E30" s="2" t="s">
        <v>20</v>
      </c>
      <c r="F30" s="2" t="n">
        <v>9</v>
      </c>
      <c r="G30" s="2" t="s">
        <v>37</v>
      </c>
      <c r="H30" s="2" t="n">
        <v>0.1749</v>
      </c>
      <c r="I30" s="2" t="n">
        <v>0.338124432030011</v>
      </c>
      <c r="J30" s="2" t="n">
        <v>0.286130427191797</v>
      </c>
      <c r="K30" s="2" t="n">
        <f aca="false">J30-I30</f>
        <v>-0.051994004838214</v>
      </c>
      <c r="L30" s="2" t="n">
        <v>0.601488270812317</v>
      </c>
    </row>
    <row r="31" customFormat="false" ht="15" hidden="false" customHeight="false" outlineLevel="0" collapsed="false">
      <c r="A31" s="1" t="s">
        <v>38</v>
      </c>
      <c r="B31" s="1" t="s">
        <v>39</v>
      </c>
      <c r="C31" s="1" t="s">
        <v>40</v>
      </c>
      <c r="D31" s="2" t="s">
        <v>19</v>
      </c>
      <c r="E31" s="2" t="s">
        <v>20</v>
      </c>
      <c r="F31" s="2" t="n">
        <v>9</v>
      </c>
      <c r="G31" s="2" t="s">
        <v>24</v>
      </c>
      <c r="H31" s="2" t="n">
        <v>0.1633</v>
      </c>
      <c r="I31" s="2" t="n">
        <v>0.315659407170948</v>
      </c>
      <c r="J31" s="2" t="n">
        <v>0.366425420913224</v>
      </c>
      <c r="K31" s="2" t="n">
        <f aca="false">J31-I31</f>
        <v>0.050766013742276</v>
      </c>
      <c r="L31" s="2" t="n">
        <v>0.601488270812317</v>
      </c>
    </row>
    <row r="32" customFormat="false" ht="15" hidden="false" customHeight="false" outlineLevel="0" collapsed="false">
      <c r="A32" s="1" t="s">
        <v>38</v>
      </c>
      <c r="B32" s="1" t="s">
        <v>39</v>
      </c>
      <c r="C32" s="1" t="s">
        <v>40</v>
      </c>
      <c r="D32" s="2" t="s">
        <v>19</v>
      </c>
      <c r="E32" s="2" t="s">
        <v>20</v>
      </c>
      <c r="F32" s="2" t="n">
        <v>9</v>
      </c>
      <c r="G32" s="2" t="s">
        <v>26</v>
      </c>
      <c r="H32" s="2" t="n">
        <v>0.1</v>
      </c>
      <c r="I32" s="2" t="n">
        <v>0.257256055251844</v>
      </c>
      <c r="J32" s="2" t="n">
        <v>0.294727619826171</v>
      </c>
      <c r="K32" s="2" t="n">
        <f aca="false">J32-I32</f>
        <v>0.037471564574327</v>
      </c>
      <c r="L32" s="2" t="n">
        <v>0.601488270812317</v>
      </c>
    </row>
    <row r="33" customFormat="false" ht="15" hidden="false" customHeight="false" outlineLevel="0" collapsed="false">
      <c r="A33" s="1" t="s">
        <v>41</v>
      </c>
      <c r="B33" s="1" t="s">
        <v>42</v>
      </c>
      <c r="C33" s="1" t="s">
        <v>43</v>
      </c>
      <c r="D33" s="2" t="s">
        <v>19</v>
      </c>
      <c r="E33" s="2" t="s">
        <v>20</v>
      </c>
      <c r="F33" s="2" t="n">
        <v>11</v>
      </c>
      <c r="G33" s="2" t="s">
        <v>23</v>
      </c>
      <c r="H33" s="2" t="n">
        <v>0.218</v>
      </c>
      <c r="I33" s="2" t="n">
        <v>0.341170377766318</v>
      </c>
      <c r="J33" s="2" t="n">
        <v>0.340556748298326</v>
      </c>
      <c r="K33" s="2" t="n">
        <f aca="false">J33-I33</f>
        <v>-0.000613629467991983</v>
      </c>
      <c r="L33" s="2" t="n">
        <v>0.802605111539465</v>
      </c>
      <c r="N33" s="1" t="n">
        <f aca="false">AVERAGE(K33:K38)</f>
        <v>0.0265129628136735</v>
      </c>
    </row>
    <row r="34" customFormat="false" ht="15" hidden="false" customHeight="false" outlineLevel="0" collapsed="false">
      <c r="A34" s="1" t="s">
        <v>41</v>
      </c>
      <c r="B34" s="1" t="s">
        <v>42</v>
      </c>
      <c r="C34" s="1" t="s">
        <v>43</v>
      </c>
      <c r="D34" s="2" t="s">
        <v>19</v>
      </c>
      <c r="E34" s="2" t="s">
        <v>20</v>
      </c>
      <c r="F34" s="2" t="n">
        <v>11</v>
      </c>
      <c r="G34" s="2" t="s">
        <v>21</v>
      </c>
      <c r="H34" s="2" t="n">
        <v>0.1912</v>
      </c>
      <c r="I34" s="2" t="n">
        <v>0.299310495305156</v>
      </c>
      <c r="J34" s="2" t="n">
        <v>0.322110507150442</v>
      </c>
      <c r="K34" s="2" t="n">
        <f aca="false">J34-I34</f>
        <v>0.022800011845286</v>
      </c>
      <c r="L34" s="2" t="n">
        <v>0.802605111539465</v>
      </c>
    </row>
    <row r="35" customFormat="false" ht="15" hidden="false" customHeight="false" outlineLevel="0" collapsed="false">
      <c r="A35" s="1" t="s">
        <v>41</v>
      </c>
      <c r="B35" s="1" t="s">
        <v>42</v>
      </c>
      <c r="C35" s="1" t="s">
        <v>43</v>
      </c>
      <c r="D35" s="2" t="s">
        <v>19</v>
      </c>
      <c r="E35" s="2" t="s">
        <v>20</v>
      </c>
      <c r="F35" s="2" t="n">
        <v>11</v>
      </c>
      <c r="G35" s="2" t="s">
        <v>22</v>
      </c>
      <c r="H35" s="2" t="n">
        <v>0.1749</v>
      </c>
      <c r="I35" s="2" t="n">
        <v>0.27379679303921</v>
      </c>
      <c r="J35" s="2" t="n">
        <v>0.32263524129741</v>
      </c>
      <c r="K35" s="2" t="n">
        <f aca="false">J35-I35</f>
        <v>0.0488384482582</v>
      </c>
      <c r="L35" s="2" t="n">
        <v>0.802605111539465</v>
      </c>
    </row>
    <row r="36" customFormat="false" ht="15" hidden="false" customHeight="false" outlineLevel="0" collapsed="false">
      <c r="A36" s="1" t="s">
        <v>41</v>
      </c>
      <c r="B36" s="1" t="s">
        <v>42</v>
      </c>
      <c r="C36" s="1" t="s">
        <v>43</v>
      </c>
      <c r="D36" s="2" t="s">
        <v>19</v>
      </c>
      <c r="E36" s="2" t="s">
        <v>20</v>
      </c>
      <c r="F36" s="2" t="n">
        <v>11</v>
      </c>
      <c r="G36" s="2" t="s">
        <v>24</v>
      </c>
      <c r="H36" s="2" t="n">
        <v>0.1665</v>
      </c>
      <c r="I36" s="2" t="n">
        <v>0.260682808079175</v>
      </c>
      <c r="J36" s="2" t="n">
        <v>0.268517299258143</v>
      </c>
      <c r="K36" s="2" t="n">
        <f aca="false">J36-I36</f>
        <v>0.00783449117896801</v>
      </c>
      <c r="L36" s="2" t="n">
        <v>0.802605111539465</v>
      </c>
    </row>
    <row r="37" customFormat="false" ht="15" hidden="false" customHeight="false" outlineLevel="0" collapsed="false">
      <c r="A37" s="1" t="s">
        <v>41</v>
      </c>
      <c r="B37" s="1" t="s">
        <v>42</v>
      </c>
      <c r="C37" s="1" t="s">
        <v>43</v>
      </c>
      <c r="D37" s="2" t="s">
        <v>19</v>
      </c>
      <c r="E37" s="2" t="s">
        <v>20</v>
      </c>
      <c r="F37" s="2" t="n">
        <v>11</v>
      </c>
      <c r="G37" s="2" t="s">
        <v>37</v>
      </c>
      <c r="H37" s="2" t="n">
        <v>0.1493</v>
      </c>
      <c r="I37" s="2" t="n">
        <v>0.2337576066455</v>
      </c>
      <c r="J37" s="2" t="n">
        <v>0.259499840539861</v>
      </c>
      <c r="K37" s="2" t="n">
        <f aca="false">J37-I37</f>
        <v>0.025742233894361</v>
      </c>
      <c r="L37" s="2" t="n">
        <v>0.802605111539465</v>
      </c>
    </row>
    <row r="38" customFormat="false" ht="15" hidden="false" customHeight="false" outlineLevel="0" collapsed="false">
      <c r="A38" s="1" t="s">
        <v>41</v>
      </c>
      <c r="B38" s="1" t="s">
        <v>42</v>
      </c>
      <c r="C38" s="1" t="s">
        <v>43</v>
      </c>
      <c r="D38" s="2" t="s">
        <v>19</v>
      </c>
      <c r="E38" s="2" t="s">
        <v>20</v>
      </c>
      <c r="F38" s="2" t="n">
        <v>11</v>
      </c>
      <c r="G38" s="2" t="s">
        <v>26</v>
      </c>
      <c r="H38" s="2" t="n">
        <v>0.1</v>
      </c>
      <c r="I38" s="2" t="n">
        <v>0.186258811113812</v>
      </c>
      <c r="J38" s="2" t="n">
        <v>0.24073503228703</v>
      </c>
      <c r="K38" s="2" t="n">
        <f aca="false">J38-I38</f>
        <v>0.054476221173218</v>
      </c>
      <c r="L38" s="2" t="n">
        <v>0.802605111539465</v>
      </c>
    </row>
    <row r="39" customFormat="false" ht="15" hidden="false" customHeight="false" outlineLevel="0" collapsed="false">
      <c r="A39" s="1" t="s">
        <v>44</v>
      </c>
      <c r="B39" s="1" t="s">
        <v>45</v>
      </c>
      <c r="C39" s="1" t="s">
        <v>46</v>
      </c>
      <c r="D39" s="2" t="s">
        <v>19</v>
      </c>
      <c r="E39" s="2" t="s">
        <v>20</v>
      </c>
      <c r="F39" s="2" t="n">
        <v>13</v>
      </c>
      <c r="G39" s="2" t="s">
        <v>23</v>
      </c>
      <c r="H39" s="2" t="n">
        <v>0.1973</v>
      </c>
      <c r="I39" s="2" t="n">
        <v>0.26155764361932</v>
      </c>
      <c r="J39" s="2" t="n">
        <v>0.389901171761903</v>
      </c>
      <c r="K39" s="2" t="n">
        <f aca="false">J39-I39</f>
        <v>0.128343528142583</v>
      </c>
      <c r="L39" s="2" t="n">
        <v>0.648878416428975</v>
      </c>
      <c r="N39" s="1" t="n">
        <f aca="false">AVERAGE(K39:K44)</f>
        <v>0.105641353551176</v>
      </c>
    </row>
    <row r="40" customFormat="false" ht="15" hidden="false" customHeight="false" outlineLevel="0" collapsed="false">
      <c r="A40" s="1" t="s">
        <v>44</v>
      </c>
      <c r="B40" s="1" t="s">
        <v>45</v>
      </c>
      <c r="C40" s="1" t="s">
        <v>46</v>
      </c>
      <c r="D40" s="2" t="s">
        <v>19</v>
      </c>
      <c r="E40" s="2" t="s">
        <v>20</v>
      </c>
      <c r="F40" s="2" t="n">
        <v>13</v>
      </c>
      <c r="G40" s="2" t="s">
        <v>21</v>
      </c>
      <c r="H40" s="2" t="n">
        <v>0.1945</v>
      </c>
      <c r="I40" s="2" t="n">
        <v>0.257738634592556</v>
      </c>
      <c r="J40" s="2" t="n">
        <v>0.354430024966482</v>
      </c>
      <c r="K40" s="2" t="n">
        <f aca="false">J40-I40</f>
        <v>0.096691390373926</v>
      </c>
      <c r="L40" s="2" t="n">
        <v>0.648878416428975</v>
      </c>
    </row>
    <row r="41" customFormat="false" ht="15" hidden="false" customHeight="false" outlineLevel="0" collapsed="false">
      <c r="A41" s="1" t="s">
        <v>44</v>
      </c>
      <c r="B41" s="1" t="s">
        <v>45</v>
      </c>
      <c r="C41" s="1" t="s">
        <v>46</v>
      </c>
      <c r="D41" s="2" t="s">
        <v>19</v>
      </c>
      <c r="E41" s="2" t="s">
        <v>20</v>
      </c>
      <c r="F41" s="2" t="n">
        <v>13</v>
      </c>
      <c r="G41" s="2" t="s">
        <v>22</v>
      </c>
      <c r="H41" s="2" t="n">
        <v>0.1892</v>
      </c>
      <c r="I41" s="2" t="n">
        <v>0.250800241389051</v>
      </c>
      <c r="J41" s="2" t="n">
        <v>0.348292988494073</v>
      </c>
      <c r="K41" s="2" t="n">
        <f aca="false">J41-I41</f>
        <v>0.097492747105022</v>
      </c>
      <c r="L41" s="2" t="n">
        <v>0.648878416428975</v>
      </c>
    </row>
    <row r="42" customFormat="false" ht="15" hidden="false" customHeight="false" outlineLevel="0" collapsed="false">
      <c r="A42" s="1" t="s">
        <v>44</v>
      </c>
      <c r="B42" s="1" t="s">
        <v>45</v>
      </c>
      <c r="C42" s="1" t="s">
        <v>46</v>
      </c>
      <c r="D42" s="2" t="s">
        <v>19</v>
      </c>
      <c r="E42" s="2" t="s">
        <v>20</v>
      </c>
      <c r="F42" s="2" t="n">
        <v>13</v>
      </c>
      <c r="G42" s="2" t="s">
        <v>37</v>
      </c>
      <c r="H42" s="2" t="n">
        <v>0.168</v>
      </c>
      <c r="I42" s="2" t="n">
        <v>0.222683155728757</v>
      </c>
      <c r="J42" s="2" t="n">
        <v>0.264566841259023</v>
      </c>
      <c r="K42" s="2" t="n">
        <f aca="false">J42-I42</f>
        <v>0.041883685530266</v>
      </c>
      <c r="L42" s="2" t="n">
        <v>0.648878416428975</v>
      </c>
    </row>
    <row r="43" customFormat="false" ht="15" hidden="false" customHeight="false" outlineLevel="0" collapsed="false">
      <c r="A43" s="1" t="s">
        <v>44</v>
      </c>
      <c r="B43" s="1" t="s">
        <v>45</v>
      </c>
      <c r="C43" s="1" t="s">
        <v>46</v>
      </c>
      <c r="D43" s="2" t="s">
        <v>19</v>
      </c>
      <c r="E43" s="2" t="s">
        <v>20</v>
      </c>
      <c r="F43" s="2" t="n">
        <v>13</v>
      </c>
      <c r="G43" s="2" t="s">
        <v>24</v>
      </c>
      <c r="H43" s="2" t="n">
        <v>0.151</v>
      </c>
      <c r="I43" s="2" t="n">
        <v>0.200126210002713</v>
      </c>
      <c r="J43" s="2" t="n">
        <v>0.344142160802104</v>
      </c>
      <c r="K43" s="2" t="n">
        <f aca="false">J43-I43</f>
        <v>0.144015950799391</v>
      </c>
      <c r="L43" s="2" t="n">
        <v>0.648878416428975</v>
      </c>
    </row>
    <row r="44" customFormat="false" ht="15" hidden="false" customHeight="false" outlineLevel="0" collapsed="false">
      <c r="A44" s="1" t="s">
        <v>44</v>
      </c>
      <c r="B44" s="1" t="s">
        <v>45</v>
      </c>
      <c r="C44" s="1" t="s">
        <v>46</v>
      </c>
      <c r="D44" s="2" t="s">
        <v>19</v>
      </c>
      <c r="E44" s="2" t="s">
        <v>20</v>
      </c>
      <c r="F44" s="2" t="n">
        <v>13</v>
      </c>
      <c r="G44" s="2" t="s">
        <v>26</v>
      </c>
      <c r="H44" s="2" t="n">
        <v>0.1</v>
      </c>
      <c r="I44" s="2" t="n">
        <v>0.162301396391466</v>
      </c>
      <c r="J44" s="2" t="n">
        <v>0.287722215747335</v>
      </c>
      <c r="K44" s="2" t="n">
        <f aca="false">J44-I44</f>
        <v>0.125420819355869</v>
      </c>
      <c r="L44" s="2" t="n">
        <v>0.648878416428975</v>
      </c>
    </row>
    <row r="45" customFormat="false" ht="15" hidden="false" customHeight="false" outlineLevel="0" collapsed="false">
      <c r="A45" s="1" t="s">
        <v>47</v>
      </c>
      <c r="B45" s="1" t="s">
        <v>48</v>
      </c>
      <c r="C45" s="1" t="s">
        <v>49</v>
      </c>
      <c r="D45" s="2" t="s">
        <v>19</v>
      </c>
      <c r="E45" s="2" t="s">
        <v>20</v>
      </c>
      <c r="F45" s="2" t="n">
        <v>15</v>
      </c>
      <c r="G45" s="2" t="s">
        <v>23</v>
      </c>
      <c r="H45" s="2" t="n">
        <v>0.1877</v>
      </c>
      <c r="I45" s="2" t="n">
        <v>0.354531422476712</v>
      </c>
      <c r="J45" s="2" t="n">
        <v>0.41341786099525</v>
      </c>
      <c r="K45" s="2" t="n">
        <f aca="false">J45-I45</f>
        <v>0.058886438518538</v>
      </c>
      <c r="L45" s="2" t="n">
        <v>0.75255045120181</v>
      </c>
      <c r="N45" s="1" t="n">
        <f aca="false">AVERAGE(K45:K50)</f>
        <v>0.0563849550412958</v>
      </c>
    </row>
    <row r="46" customFormat="false" ht="15" hidden="false" customHeight="false" outlineLevel="0" collapsed="false">
      <c r="A46" s="1" t="s">
        <v>47</v>
      </c>
      <c r="B46" s="1" t="s">
        <v>48</v>
      </c>
      <c r="C46" s="1" t="s">
        <v>49</v>
      </c>
      <c r="D46" s="2" t="s">
        <v>19</v>
      </c>
      <c r="E46" s="2" t="s">
        <v>20</v>
      </c>
      <c r="F46" s="2" t="n">
        <v>15</v>
      </c>
      <c r="G46" s="2" t="s">
        <v>24</v>
      </c>
      <c r="H46" s="2" t="n">
        <v>0.1748</v>
      </c>
      <c r="I46" s="2" t="n">
        <v>0.330186268953993</v>
      </c>
      <c r="J46" s="2" t="n">
        <v>0.367452264873882</v>
      </c>
      <c r="K46" s="2" t="n">
        <f aca="false">J46-I46</f>
        <v>0.037265995919889</v>
      </c>
      <c r="L46" s="2" t="n">
        <v>0.75255045120181</v>
      </c>
    </row>
    <row r="47" customFormat="false" ht="15" hidden="false" customHeight="false" outlineLevel="0" collapsed="false">
      <c r="A47" s="1" t="s">
        <v>47</v>
      </c>
      <c r="B47" s="1" t="s">
        <v>48</v>
      </c>
      <c r="C47" s="1" t="s">
        <v>49</v>
      </c>
      <c r="D47" s="2" t="s">
        <v>19</v>
      </c>
      <c r="E47" s="2" t="s">
        <v>20</v>
      </c>
      <c r="F47" s="2" t="n">
        <v>15</v>
      </c>
      <c r="G47" s="2" t="s">
        <v>22</v>
      </c>
      <c r="H47" s="2" t="n">
        <v>0.1702</v>
      </c>
      <c r="I47" s="2" t="n">
        <v>0.321457796201597</v>
      </c>
      <c r="J47" s="2" t="n">
        <v>0.395231254363098</v>
      </c>
      <c r="K47" s="2" t="n">
        <f aca="false">J47-I47</f>
        <v>0.073773458161501</v>
      </c>
      <c r="L47" s="2" t="n">
        <v>0.75255045120181</v>
      </c>
    </row>
    <row r="48" customFormat="false" ht="15" hidden="false" customHeight="false" outlineLevel="0" collapsed="false">
      <c r="A48" s="1" t="s">
        <v>47</v>
      </c>
      <c r="B48" s="1" t="s">
        <v>48</v>
      </c>
      <c r="C48" s="1" t="s">
        <v>49</v>
      </c>
      <c r="D48" s="2" t="s">
        <v>19</v>
      </c>
      <c r="E48" s="2" t="s">
        <v>20</v>
      </c>
      <c r="F48" s="2" t="n">
        <v>15</v>
      </c>
      <c r="G48" s="2" t="s">
        <v>25</v>
      </c>
      <c r="H48" s="2" t="n">
        <v>0.1666</v>
      </c>
      <c r="I48" s="2" t="n">
        <v>0.314549641352417</v>
      </c>
      <c r="J48" s="2" t="n">
        <v>0.376955913998965</v>
      </c>
      <c r="K48" s="2" t="n">
        <f aca="false">J48-I48</f>
        <v>0.062406272646548</v>
      </c>
      <c r="L48" s="2" t="n">
        <v>0.75255045120181</v>
      </c>
    </row>
    <row r="49" customFormat="false" ht="15" hidden="false" customHeight="false" outlineLevel="0" collapsed="false">
      <c r="A49" s="1" t="s">
        <v>47</v>
      </c>
      <c r="B49" s="1" t="s">
        <v>48</v>
      </c>
      <c r="C49" s="1" t="s">
        <v>49</v>
      </c>
      <c r="D49" s="2" t="s">
        <v>19</v>
      </c>
      <c r="E49" s="2" t="s">
        <v>20</v>
      </c>
      <c r="F49" s="2" t="n">
        <v>15</v>
      </c>
      <c r="G49" s="2" t="s">
        <v>21</v>
      </c>
      <c r="H49" s="2" t="n">
        <v>0.1633</v>
      </c>
      <c r="I49" s="2" t="n">
        <v>0.308433761749015</v>
      </c>
      <c r="J49" s="2" t="n">
        <v>0.362078614149225</v>
      </c>
      <c r="K49" s="2" t="n">
        <f aca="false">J49-I49</f>
        <v>0.05364485240021</v>
      </c>
      <c r="L49" s="2" t="n">
        <v>0.75255045120181</v>
      </c>
    </row>
    <row r="50" customFormat="false" ht="15" hidden="false" customHeight="false" outlineLevel="0" collapsed="false">
      <c r="A50" s="1" t="s">
        <v>47</v>
      </c>
      <c r="B50" s="1" t="s">
        <v>48</v>
      </c>
      <c r="C50" s="1" t="s">
        <v>49</v>
      </c>
      <c r="D50" s="2" t="s">
        <v>19</v>
      </c>
      <c r="E50" s="2" t="s">
        <v>20</v>
      </c>
      <c r="F50" s="2" t="n">
        <v>15</v>
      </c>
      <c r="G50" s="2" t="s">
        <v>26</v>
      </c>
      <c r="H50" s="2" t="n">
        <v>0.1373</v>
      </c>
      <c r="I50" s="2" t="n">
        <v>0.259241061245368</v>
      </c>
      <c r="J50" s="2" t="n">
        <v>0.311573773846457</v>
      </c>
      <c r="K50" s="2" t="n">
        <f aca="false">J50-I50</f>
        <v>0.052332712601089</v>
      </c>
      <c r="L50" s="2" t="n">
        <v>0.75255045120181</v>
      </c>
    </row>
    <row r="51" customFormat="false" ht="15" hidden="false" customHeight="false" outlineLevel="0" collapsed="false">
      <c r="A51" s="1" t="s">
        <v>50</v>
      </c>
      <c r="B51" s="1" t="s">
        <v>51</v>
      </c>
      <c r="C51" s="1" t="s">
        <v>52</v>
      </c>
      <c r="D51" s="2" t="s">
        <v>19</v>
      </c>
      <c r="E51" s="2" t="s">
        <v>20</v>
      </c>
      <c r="F51" s="2" t="n">
        <v>17</v>
      </c>
      <c r="G51" s="2" t="s">
        <v>23</v>
      </c>
      <c r="H51" s="2" t="n">
        <v>0.1981</v>
      </c>
      <c r="I51" s="2" t="n">
        <v>0.415334552332839</v>
      </c>
      <c r="J51" s="2" t="n">
        <v>0.389804014086236</v>
      </c>
      <c r="K51" s="2" t="n">
        <f aca="false">J51-I51</f>
        <v>-0.025530538246603</v>
      </c>
      <c r="L51" s="2" t="n">
        <v>0.725998440426624</v>
      </c>
      <c r="N51" s="1" t="n">
        <f aca="false">AVERAGE(K51:K56)</f>
        <v>-0.006018786997666</v>
      </c>
    </row>
    <row r="52" customFormat="false" ht="15" hidden="false" customHeight="false" outlineLevel="0" collapsed="false">
      <c r="A52" s="1" t="s">
        <v>50</v>
      </c>
      <c r="B52" s="1" t="s">
        <v>51</v>
      </c>
      <c r="C52" s="1" t="s">
        <v>52</v>
      </c>
      <c r="D52" s="2" t="s">
        <v>19</v>
      </c>
      <c r="E52" s="2" t="s">
        <v>20</v>
      </c>
      <c r="F52" s="2" t="n">
        <v>17</v>
      </c>
      <c r="G52" s="2" t="s">
        <v>21</v>
      </c>
      <c r="H52" s="2" t="n">
        <v>0.175</v>
      </c>
      <c r="I52" s="2" t="n">
        <v>0.366906884785582</v>
      </c>
      <c r="J52" s="2" t="n">
        <v>0.354773134111283</v>
      </c>
      <c r="K52" s="2" t="n">
        <f aca="false">J52-I52</f>
        <v>-0.012133750674299</v>
      </c>
      <c r="L52" s="2" t="n">
        <v>0.725998440426624</v>
      </c>
    </row>
    <row r="53" customFormat="false" ht="15" hidden="false" customHeight="false" outlineLevel="0" collapsed="false">
      <c r="A53" s="1" t="s">
        <v>50</v>
      </c>
      <c r="B53" s="1" t="s">
        <v>51</v>
      </c>
      <c r="C53" s="1" t="s">
        <v>52</v>
      </c>
      <c r="D53" s="2" t="s">
        <v>19</v>
      </c>
      <c r="E53" s="2" t="s">
        <v>20</v>
      </c>
      <c r="F53" s="2" t="n">
        <v>17</v>
      </c>
      <c r="G53" s="2" t="s">
        <v>22</v>
      </c>
      <c r="H53" s="2" t="n">
        <v>0.1638</v>
      </c>
      <c r="I53" s="2" t="n">
        <v>0.343580902953205</v>
      </c>
      <c r="J53" s="2" t="n">
        <v>0.353120275920656</v>
      </c>
      <c r="K53" s="2" t="n">
        <f aca="false">J53-I53</f>
        <v>0.009539372967451</v>
      </c>
      <c r="L53" s="2" t="n">
        <v>0.725998440426624</v>
      </c>
    </row>
    <row r="54" customFormat="false" ht="15" hidden="false" customHeight="false" outlineLevel="0" collapsed="false">
      <c r="A54" s="1" t="s">
        <v>50</v>
      </c>
      <c r="B54" s="1" t="s">
        <v>51</v>
      </c>
      <c r="C54" s="1" t="s">
        <v>52</v>
      </c>
      <c r="D54" s="2" t="s">
        <v>19</v>
      </c>
      <c r="E54" s="2" t="s">
        <v>20</v>
      </c>
      <c r="F54" s="2" t="n">
        <v>17</v>
      </c>
      <c r="G54" s="2" t="s">
        <v>24</v>
      </c>
      <c r="H54" s="2" t="n">
        <v>0.1618</v>
      </c>
      <c r="I54" s="2" t="n">
        <v>0.339331159384078</v>
      </c>
      <c r="J54" s="2" t="n">
        <v>0.339806644519231</v>
      </c>
      <c r="K54" s="2" t="n">
        <f aca="false">J54-I54</f>
        <v>0.000475485135152998</v>
      </c>
      <c r="L54" s="2" t="n">
        <v>0.725998440426624</v>
      </c>
    </row>
    <row r="55" customFormat="false" ht="15" hidden="false" customHeight="false" outlineLevel="0" collapsed="false">
      <c r="A55" s="1" t="s">
        <v>50</v>
      </c>
      <c r="B55" s="1" t="s">
        <v>51</v>
      </c>
      <c r="C55" s="1" t="s">
        <v>52</v>
      </c>
      <c r="D55" s="2" t="s">
        <v>19</v>
      </c>
      <c r="E55" s="2" t="s">
        <v>20</v>
      </c>
      <c r="F55" s="2" t="n">
        <v>17</v>
      </c>
      <c r="G55" s="2" t="s">
        <v>25</v>
      </c>
      <c r="H55" s="2" t="n">
        <v>0.1545</v>
      </c>
      <c r="I55" s="2" t="n">
        <v>0.324080387020712</v>
      </c>
      <c r="J55" s="2" t="n">
        <v>0.32189668302933</v>
      </c>
      <c r="K55" s="2" t="n">
        <f aca="false">J55-I55</f>
        <v>-0.00218370399138201</v>
      </c>
      <c r="L55" s="2" t="n">
        <v>0.725998440426624</v>
      </c>
    </row>
    <row r="56" customFormat="false" ht="15" hidden="false" customHeight="false" outlineLevel="0" collapsed="false">
      <c r="A56" s="1" t="s">
        <v>50</v>
      </c>
      <c r="B56" s="1" t="s">
        <v>51</v>
      </c>
      <c r="C56" s="1" t="s">
        <v>52</v>
      </c>
      <c r="D56" s="2" t="s">
        <v>19</v>
      </c>
      <c r="E56" s="2" t="s">
        <v>20</v>
      </c>
      <c r="F56" s="2" t="n">
        <v>17</v>
      </c>
      <c r="G56" s="2" t="s">
        <v>26</v>
      </c>
      <c r="H56" s="2" t="n">
        <v>0.1468</v>
      </c>
      <c r="I56" s="2" t="n">
        <v>0.307807083787311</v>
      </c>
      <c r="J56" s="2" t="n">
        <v>0.301527496610995</v>
      </c>
      <c r="K56" s="2" t="n">
        <f aca="false">J56-I56</f>
        <v>-0.00627958717631599</v>
      </c>
      <c r="L56" s="2" t="n">
        <v>0.725998440426624</v>
      </c>
    </row>
    <row r="57" customFormat="false" ht="15" hidden="false" customHeight="false" outlineLevel="0" collapsed="false">
      <c r="A57" s="1" t="s">
        <v>53</v>
      </c>
      <c r="B57" s="1" t="s">
        <v>54</v>
      </c>
      <c r="C57" s="1" t="s">
        <v>55</v>
      </c>
      <c r="D57" s="2" t="s">
        <v>19</v>
      </c>
      <c r="E57" s="2" t="s">
        <v>20</v>
      </c>
      <c r="F57" s="2" t="n">
        <v>19</v>
      </c>
      <c r="G57" s="2" t="s">
        <v>23</v>
      </c>
      <c r="H57" s="2" t="n">
        <v>0.2042</v>
      </c>
      <c r="I57" s="2" t="n">
        <v>0.327474874898263</v>
      </c>
      <c r="J57" s="2" t="n">
        <v>0.360406514620387</v>
      </c>
      <c r="K57" s="2" t="n">
        <f aca="false">J57-I57</f>
        <v>0.032931639722124</v>
      </c>
      <c r="L57" s="2" t="n">
        <v>0.706819355320024</v>
      </c>
      <c r="N57" s="1" t="n">
        <f aca="false">AVERAGE(K57:K62)</f>
        <v>0.0353484571879283</v>
      </c>
    </row>
    <row r="58" customFormat="false" ht="15" hidden="false" customHeight="false" outlineLevel="0" collapsed="false">
      <c r="A58" s="1" t="s">
        <v>53</v>
      </c>
      <c r="B58" s="1" t="s">
        <v>54</v>
      </c>
      <c r="C58" s="1" t="s">
        <v>55</v>
      </c>
      <c r="D58" s="2" t="s">
        <v>19</v>
      </c>
      <c r="E58" s="2" t="s">
        <v>20</v>
      </c>
      <c r="F58" s="2" t="n">
        <v>19</v>
      </c>
      <c r="G58" s="2" t="s">
        <v>22</v>
      </c>
      <c r="H58" s="2" t="n">
        <v>0.188</v>
      </c>
      <c r="I58" s="2" t="n">
        <v>0.30154006469133</v>
      </c>
      <c r="J58" s="2" t="n">
        <v>0.337836106732986</v>
      </c>
      <c r="K58" s="2" t="n">
        <f aca="false">J58-I58</f>
        <v>0.036296042041656</v>
      </c>
      <c r="L58" s="2" t="n">
        <v>0.706819355320024</v>
      </c>
    </row>
    <row r="59" customFormat="false" ht="15" hidden="false" customHeight="false" outlineLevel="0" collapsed="false">
      <c r="A59" s="1" t="s">
        <v>53</v>
      </c>
      <c r="B59" s="1" t="s">
        <v>54</v>
      </c>
      <c r="C59" s="1" t="s">
        <v>55</v>
      </c>
      <c r="D59" s="2" t="s">
        <v>19</v>
      </c>
      <c r="E59" s="2" t="s">
        <v>20</v>
      </c>
      <c r="F59" s="2" t="n">
        <v>19</v>
      </c>
      <c r="G59" s="2" t="s">
        <v>21</v>
      </c>
      <c r="H59" s="2" t="n">
        <v>0.1826</v>
      </c>
      <c r="I59" s="2" t="n">
        <v>0.292940359720761</v>
      </c>
      <c r="J59" s="2" t="n">
        <v>0.311264768871392</v>
      </c>
      <c r="K59" s="2" t="n">
        <f aca="false">J59-I59</f>
        <v>0.018324409150631</v>
      </c>
      <c r="L59" s="2" t="n">
        <v>0.706819355320024</v>
      </c>
    </row>
    <row r="60" customFormat="false" ht="15" hidden="false" customHeight="false" outlineLevel="0" collapsed="false">
      <c r="A60" s="1" t="s">
        <v>53</v>
      </c>
      <c r="B60" s="1" t="s">
        <v>54</v>
      </c>
      <c r="C60" s="1" t="s">
        <v>55</v>
      </c>
      <c r="D60" s="2" t="s">
        <v>19</v>
      </c>
      <c r="E60" s="2" t="s">
        <v>20</v>
      </c>
      <c r="F60" s="2" t="n">
        <v>19</v>
      </c>
      <c r="G60" s="2" t="s">
        <v>24</v>
      </c>
      <c r="H60" s="2" t="n">
        <v>0.1684</v>
      </c>
      <c r="I60" s="2" t="n">
        <v>0.270066819000196</v>
      </c>
      <c r="J60" s="2" t="n">
        <v>0.293805233304873</v>
      </c>
      <c r="K60" s="2" t="n">
        <f aca="false">J60-I60</f>
        <v>0.023738414304677</v>
      </c>
      <c r="L60" s="2" t="n">
        <v>0.706819355320024</v>
      </c>
    </row>
    <row r="61" customFormat="false" ht="15" hidden="false" customHeight="false" outlineLevel="0" collapsed="false">
      <c r="A61" s="1" t="s">
        <v>53</v>
      </c>
      <c r="B61" s="1" t="s">
        <v>54</v>
      </c>
      <c r="C61" s="1" t="s">
        <v>55</v>
      </c>
      <c r="D61" s="2" t="s">
        <v>19</v>
      </c>
      <c r="E61" s="2" t="s">
        <v>20</v>
      </c>
      <c r="F61" s="2" t="n">
        <v>19</v>
      </c>
      <c r="G61" s="2" t="s">
        <v>25</v>
      </c>
      <c r="H61" s="2" t="n">
        <v>0.1569</v>
      </c>
      <c r="I61" s="2" t="n">
        <v>0.251629655839112</v>
      </c>
      <c r="J61" s="2" t="n">
        <v>0.287933755099144</v>
      </c>
      <c r="K61" s="2" t="n">
        <f aca="false">J61-I61</f>
        <v>0.036304099260032</v>
      </c>
      <c r="L61" s="2" t="n">
        <v>0.706819355320024</v>
      </c>
    </row>
    <row r="62" customFormat="false" ht="15" hidden="false" customHeight="false" outlineLevel="0" collapsed="false">
      <c r="A62" s="1" t="s">
        <v>53</v>
      </c>
      <c r="B62" s="1" t="s">
        <v>54</v>
      </c>
      <c r="C62" s="1" t="s">
        <v>55</v>
      </c>
      <c r="D62" s="2" t="s">
        <v>19</v>
      </c>
      <c r="E62" s="2" t="s">
        <v>20</v>
      </c>
      <c r="F62" s="2" t="n">
        <v>19</v>
      </c>
      <c r="G62" s="2" t="s">
        <v>26</v>
      </c>
      <c r="H62" s="2" t="n">
        <v>0.1</v>
      </c>
      <c r="I62" s="2" t="n">
        <v>0.209445186349535</v>
      </c>
      <c r="J62" s="2" t="n">
        <v>0.273941324997985</v>
      </c>
      <c r="K62" s="2" t="n">
        <f aca="false">J62-I62</f>
        <v>0.06449613864845</v>
      </c>
      <c r="L62" s="2" t="n">
        <v>0.706819355320024</v>
      </c>
    </row>
    <row r="63" customFormat="false" ht="15" hidden="false" customHeight="false" outlineLevel="0" collapsed="false">
      <c r="A63" s="1" t="s">
        <v>56</v>
      </c>
      <c r="B63" s="1" t="s">
        <v>57</v>
      </c>
      <c r="C63" s="1" t="s">
        <v>58</v>
      </c>
      <c r="D63" s="2" t="s">
        <v>19</v>
      </c>
      <c r="E63" s="2" t="s">
        <v>20</v>
      </c>
      <c r="F63" s="2" t="n">
        <v>21</v>
      </c>
      <c r="G63" s="2" t="s">
        <v>21</v>
      </c>
      <c r="H63" s="2" t="n">
        <v>0.1951</v>
      </c>
      <c r="I63" s="2" t="n">
        <v>0.282083890802243</v>
      </c>
      <c r="J63" s="2" t="n">
        <v>0.369143021973749</v>
      </c>
      <c r="K63" s="2" t="n">
        <f aca="false">J63-I63</f>
        <v>0.087059131171506</v>
      </c>
      <c r="L63" s="2" t="n">
        <v>0.663884135279099</v>
      </c>
      <c r="N63" s="1" t="n">
        <f aca="false">AVERAGE(K63:K68)</f>
        <v>0.068182278560849</v>
      </c>
    </row>
    <row r="64" customFormat="false" ht="15" hidden="false" customHeight="false" outlineLevel="0" collapsed="false">
      <c r="A64" s="1" t="s">
        <v>56</v>
      </c>
      <c r="B64" s="1" t="s">
        <v>57</v>
      </c>
      <c r="C64" s="1" t="s">
        <v>58</v>
      </c>
      <c r="D64" s="2" t="s">
        <v>19</v>
      </c>
      <c r="E64" s="2" t="s">
        <v>20</v>
      </c>
      <c r="F64" s="2" t="n">
        <v>21</v>
      </c>
      <c r="G64" s="2" t="s">
        <v>23</v>
      </c>
      <c r="H64" s="2" t="n">
        <v>0.1832</v>
      </c>
      <c r="I64" s="2" t="n">
        <v>0.264999326190163</v>
      </c>
      <c r="J64" s="2" t="n">
        <v>0.37575524717785</v>
      </c>
      <c r="K64" s="2" t="n">
        <f aca="false">J64-I64</f>
        <v>0.110755920987687</v>
      </c>
      <c r="L64" s="2" t="n">
        <v>0.663884135279099</v>
      </c>
    </row>
    <row r="65" customFormat="false" ht="15" hidden="false" customHeight="false" outlineLevel="0" collapsed="false">
      <c r="A65" s="1" t="s">
        <v>56</v>
      </c>
      <c r="B65" s="1" t="s">
        <v>57</v>
      </c>
      <c r="C65" s="1" t="s">
        <v>58</v>
      </c>
      <c r="D65" s="2" t="s">
        <v>19</v>
      </c>
      <c r="E65" s="2" t="s">
        <v>20</v>
      </c>
      <c r="F65" s="2" t="n">
        <v>21</v>
      </c>
      <c r="G65" s="2" t="s">
        <v>22</v>
      </c>
      <c r="H65" s="2" t="n">
        <v>0.1772</v>
      </c>
      <c r="I65" s="2" t="n">
        <v>0.256260179571901</v>
      </c>
      <c r="J65" s="2" t="n">
        <v>0.310215038997363</v>
      </c>
      <c r="K65" s="2" t="n">
        <f aca="false">J65-I65</f>
        <v>0.053954859425462</v>
      </c>
      <c r="L65" s="2" t="n">
        <v>0.663884135279099</v>
      </c>
    </row>
    <row r="66" customFormat="false" ht="15" hidden="false" customHeight="false" outlineLevel="0" collapsed="false">
      <c r="A66" s="1" t="s">
        <v>56</v>
      </c>
      <c r="B66" s="1" t="s">
        <v>57</v>
      </c>
      <c r="C66" s="1" t="s">
        <v>58</v>
      </c>
      <c r="D66" s="2" t="s">
        <v>19</v>
      </c>
      <c r="E66" s="2" t="s">
        <v>20</v>
      </c>
      <c r="F66" s="2" t="n">
        <v>21</v>
      </c>
      <c r="G66" s="2" t="s">
        <v>37</v>
      </c>
      <c r="H66" s="2" t="n">
        <v>0.174</v>
      </c>
      <c r="I66" s="2" t="n">
        <v>0.251591622980219</v>
      </c>
      <c r="J66" s="2" t="n">
        <v>0.226057333883555</v>
      </c>
      <c r="K66" s="2" t="n">
        <f aca="false">J66-I66</f>
        <v>-0.025534289096664</v>
      </c>
      <c r="L66" s="2" t="n">
        <v>0.663884135279099</v>
      </c>
    </row>
    <row r="67" customFormat="false" ht="15" hidden="false" customHeight="false" outlineLevel="0" collapsed="false">
      <c r="A67" s="1" t="s">
        <v>56</v>
      </c>
      <c r="B67" s="1" t="s">
        <v>57</v>
      </c>
      <c r="C67" s="1" t="s">
        <v>58</v>
      </c>
      <c r="D67" s="2" t="s">
        <v>19</v>
      </c>
      <c r="E67" s="2" t="s">
        <v>20</v>
      </c>
      <c r="F67" s="2" t="n">
        <v>21</v>
      </c>
      <c r="G67" s="2" t="s">
        <v>24</v>
      </c>
      <c r="H67" s="2" t="n">
        <v>0.1705</v>
      </c>
      <c r="I67" s="2" t="n">
        <v>0.246643258710046</v>
      </c>
      <c r="J67" s="2" t="n">
        <v>0.340490441161266</v>
      </c>
      <c r="K67" s="2" t="n">
        <f aca="false">J67-I67</f>
        <v>0.09384718245122</v>
      </c>
      <c r="L67" s="2" t="n">
        <v>0.663884135279099</v>
      </c>
    </row>
    <row r="68" customFormat="false" ht="15" hidden="false" customHeight="false" outlineLevel="0" collapsed="false">
      <c r="A68" s="1" t="s">
        <v>56</v>
      </c>
      <c r="B68" s="1" t="s">
        <v>57</v>
      </c>
      <c r="C68" s="1" t="s">
        <v>58</v>
      </c>
      <c r="D68" s="2" t="s">
        <v>19</v>
      </c>
      <c r="E68" s="2" t="s">
        <v>20</v>
      </c>
      <c r="F68" s="2" t="n">
        <v>21</v>
      </c>
      <c r="G68" s="2" t="s">
        <v>26</v>
      </c>
      <c r="H68" s="2" t="n">
        <v>0.1</v>
      </c>
      <c r="I68" s="2" t="n">
        <v>0.181469021260138</v>
      </c>
      <c r="J68" s="2" t="n">
        <v>0.270479887686021</v>
      </c>
      <c r="K68" s="2" t="n">
        <f aca="false">J68-I68</f>
        <v>0.089010866425883</v>
      </c>
      <c r="L68" s="2" t="n">
        <v>0.663884135279099</v>
      </c>
    </row>
    <row r="69" customFormat="false" ht="15" hidden="false" customHeight="false" outlineLevel="0" collapsed="false">
      <c r="A69" s="1" t="s">
        <v>59</v>
      </c>
      <c r="B69" s="1" t="s">
        <v>60</v>
      </c>
      <c r="C69" s="1" t="s">
        <v>61</v>
      </c>
      <c r="D69" s="2" t="s">
        <v>19</v>
      </c>
      <c r="E69" s="2" t="s">
        <v>20</v>
      </c>
      <c r="F69" s="2" t="n">
        <v>23</v>
      </c>
      <c r="G69" s="2" t="s">
        <v>24</v>
      </c>
      <c r="H69" s="2" t="n">
        <v>0.1982</v>
      </c>
      <c r="I69" s="2" t="n">
        <v>0.269198230727323</v>
      </c>
      <c r="J69" s="2" t="n">
        <v>0.336363214178105</v>
      </c>
      <c r="K69" s="2" t="n">
        <f aca="false">J69-I69</f>
        <v>0.067164983450782</v>
      </c>
      <c r="L69" s="2" t="n">
        <v>0.808680515695504</v>
      </c>
      <c r="N69" s="1" t="n">
        <f aca="false">AVERAGE(K69:K74)</f>
        <v>0.0874474351890493</v>
      </c>
    </row>
    <row r="70" customFormat="false" ht="15" hidden="false" customHeight="false" outlineLevel="0" collapsed="false">
      <c r="A70" s="1" t="s">
        <v>59</v>
      </c>
      <c r="B70" s="1" t="s">
        <v>60</v>
      </c>
      <c r="C70" s="1" t="s">
        <v>61</v>
      </c>
      <c r="D70" s="2" t="s">
        <v>19</v>
      </c>
      <c r="E70" s="2" t="s">
        <v>20</v>
      </c>
      <c r="F70" s="2" t="n">
        <v>23</v>
      </c>
      <c r="G70" s="2" t="s">
        <v>23</v>
      </c>
      <c r="H70" s="2" t="n">
        <v>0.1967</v>
      </c>
      <c r="I70" s="2" t="n">
        <v>0.267196111374419</v>
      </c>
      <c r="J70" s="2" t="n">
        <v>0.381499729384618</v>
      </c>
      <c r="K70" s="2" t="n">
        <f aca="false">J70-I70</f>
        <v>0.114303618010199</v>
      </c>
      <c r="L70" s="2" t="n">
        <v>0.808680515695504</v>
      </c>
    </row>
    <row r="71" customFormat="false" ht="15" hidden="false" customHeight="false" outlineLevel="0" collapsed="false">
      <c r="A71" s="1" t="s">
        <v>59</v>
      </c>
      <c r="B71" s="1" t="s">
        <v>60</v>
      </c>
      <c r="C71" s="1" t="s">
        <v>61</v>
      </c>
      <c r="D71" s="2" t="s">
        <v>19</v>
      </c>
      <c r="E71" s="2" t="s">
        <v>20</v>
      </c>
      <c r="F71" s="2" t="n">
        <v>23</v>
      </c>
      <c r="G71" s="2" t="s">
        <v>21</v>
      </c>
      <c r="H71" s="2" t="n">
        <v>0.1892</v>
      </c>
      <c r="I71" s="2" t="n">
        <v>0.256897656147774</v>
      </c>
      <c r="J71" s="2" t="n">
        <v>0.3749104520693</v>
      </c>
      <c r="K71" s="2" t="n">
        <f aca="false">J71-I71</f>
        <v>0.118012795921526</v>
      </c>
      <c r="L71" s="2" t="n">
        <v>0.808680515695504</v>
      </c>
    </row>
    <row r="72" customFormat="false" ht="15" hidden="false" customHeight="false" outlineLevel="0" collapsed="false">
      <c r="A72" s="1" t="s">
        <v>59</v>
      </c>
      <c r="B72" s="1" t="s">
        <v>60</v>
      </c>
      <c r="C72" s="1" t="s">
        <v>61</v>
      </c>
      <c r="D72" s="2" t="s">
        <v>19</v>
      </c>
      <c r="E72" s="2" t="s">
        <v>20</v>
      </c>
      <c r="F72" s="2" t="n">
        <v>23</v>
      </c>
      <c r="G72" s="2" t="s">
        <v>25</v>
      </c>
      <c r="H72" s="2" t="n">
        <v>0.1589</v>
      </c>
      <c r="I72" s="2" t="n">
        <v>0.215833746692121</v>
      </c>
      <c r="J72" s="2" t="n">
        <v>0.29874798745241</v>
      </c>
      <c r="K72" s="2" t="n">
        <f aca="false">J72-I72</f>
        <v>0.082914240760289</v>
      </c>
      <c r="L72" s="2" t="n">
        <v>0.808680515695504</v>
      </c>
    </row>
    <row r="73" customFormat="false" ht="15" hidden="false" customHeight="false" outlineLevel="0" collapsed="false">
      <c r="A73" s="1" t="s">
        <v>59</v>
      </c>
      <c r="B73" s="1" t="s">
        <v>60</v>
      </c>
      <c r="C73" s="1" t="s">
        <v>61</v>
      </c>
      <c r="D73" s="2" t="s">
        <v>19</v>
      </c>
      <c r="E73" s="2" t="s">
        <v>20</v>
      </c>
      <c r="F73" s="2" t="n">
        <v>23</v>
      </c>
      <c r="G73" s="2" t="s">
        <v>37</v>
      </c>
      <c r="H73" s="2" t="n">
        <v>0.157</v>
      </c>
      <c r="I73" s="2" t="n">
        <v>0.21315476657871</v>
      </c>
      <c r="J73" s="2" t="n">
        <v>0.256073762194019</v>
      </c>
      <c r="K73" s="2" t="n">
        <f aca="false">J73-I73</f>
        <v>0.042918995615309</v>
      </c>
      <c r="L73" s="2" t="n">
        <v>0.808680515695504</v>
      </c>
    </row>
    <row r="74" customFormat="false" ht="15" hidden="false" customHeight="false" outlineLevel="0" collapsed="false">
      <c r="A74" s="1" t="s">
        <v>59</v>
      </c>
      <c r="B74" s="1" t="s">
        <v>60</v>
      </c>
      <c r="C74" s="1" t="s">
        <v>61</v>
      </c>
      <c r="D74" s="2" t="s">
        <v>19</v>
      </c>
      <c r="E74" s="2" t="s">
        <v>20</v>
      </c>
      <c r="F74" s="2" t="n">
        <v>23</v>
      </c>
      <c r="G74" s="2" t="s">
        <v>26</v>
      </c>
      <c r="H74" s="2" t="n">
        <v>0.1</v>
      </c>
      <c r="I74" s="2" t="n">
        <v>0.164983030299339</v>
      </c>
      <c r="J74" s="2" t="n">
        <v>0.26435300767553</v>
      </c>
      <c r="K74" s="2" t="n">
        <f aca="false">J74-I74</f>
        <v>0.099369977376191</v>
      </c>
      <c r="L74" s="2" t="n">
        <v>0.808680515695504</v>
      </c>
    </row>
    <row r="75" customFormat="false" ht="15" hidden="false" customHeight="false" outlineLevel="0" collapsed="false">
      <c r="A75" s="1" t="s">
        <v>62</v>
      </c>
      <c r="B75" s="1" t="s">
        <v>63</v>
      </c>
      <c r="C75" s="1" t="s">
        <v>64</v>
      </c>
      <c r="D75" s="2" t="s">
        <v>19</v>
      </c>
      <c r="E75" s="2" t="s">
        <v>20</v>
      </c>
      <c r="F75" s="2" t="n">
        <v>25</v>
      </c>
      <c r="G75" s="2" t="s">
        <v>24</v>
      </c>
      <c r="H75" s="2" t="n">
        <v>0.2063</v>
      </c>
      <c r="I75" s="2" t="n">
        <v>0.314763018181904</v>
      </c>
      <c r="J75" s="2" t="n">
        <v>0.38013642051428</v>
      </c>
      <c r="K75" s="2" t="n">
        <f aca="false">J75-I75</f>
        <v>0.065373402332376</v>
      </c>
      <c r="L75" s="2" t="n">
        <v>0.697789785928682</v>
      </c>
      <c r="N75" s="1" t="n">
        <f aca="false">AVERAGE(K75:K80)</f>
        <v>0.096816081528159</v>
      </c>
    </row>
    <row r="76" customFormat="false" ht="15" hidden="false" customHeight="false" outlineLevel="0" collapsed="false">
      <c r="A76" s="1" t="s">
        <v>62</v>
      </c>
      <c r="B76" s="1" t="s">
        <v>63</v>
      </c>
      <c r="C76" s="1" t="s">
        <v>64</v>
      </c>
      <c r="D76" s="2" t="s">
        <v>19</v>
      </c>
      <c r="E76" s="2" t="s">
        <v>20</v>
      </c>
      <c r="F76" s="2" t="n">
        <v>25</v>
      </c>
      <c r="G76" s="2" t="s">
        <v>23</v>
      </c>
      <c r="H76" s="2" t="n">
        <v>0.1944</v>
      </c>
      <c r="I76" s="2" t="n">
        <v>0.296604648395782</v>
      </c>
      <c r="J76" s="2" t="n">
        <v>0.403249199919674</v>
      </c>
      <c r="K76" s="2" t="n">
        <f aca="false">J76-I76</f>
        <v>0.106644551523892</v>
      </c>
      <c r="L76" s="2" t="n">
        <v>0.697789785928682</v>
      </c>
    </row>
    <row r="77" customFormat="false" ht="15" hidden="false" customHeight="false" outlineLevel="0" collapsed="false">
      <c r="A77" s="1" t="s">
        <v>62</v>
      </c>
      <c r="B77" s="1" t="s">
        <v>63</v>
      </c>
      <c r="C77" s="1" t="s">
        <v>64</v>
      </c>
      <c r="D77" s="2" t="s">
        <v>19</v>
      </c>
      <c r="E77" s="2" t="s">
        <v>20</v>
      </c>
      <c r="F77" s="2" t="n">
        <v>25</v>
      </c>
      <c r="G77" s="2" t="s">
        <v>21</v>
      </c>
      <c r="H77" s="2" t="n">
        <v>0.1856</v>
      </c>
      <c r="I77" s="2" t="n">
        <v>0.283284616579321</v>
      </c>
      <c r="J77" s="2" t="n">
        <v>0.346150667583393</v>
      </c>
      <c r="K77" s="2" t="n">
        <f aca="false">J77-I77</f>
        <v>0.062866051004072</v>
      </c>
      <c r="L77" s="2" t="n">
        <v>0.697789785928682</v>
      </c>
    </row>
    <row r="78" customFormat="false" ht="15" hidden="false" customHeight="false" outlineLevel="0" collapsed="false">
      <c r="A78" s="1" t="s">
        <v>62</v>
      </c>
      <c r="B78" s="1" t="s">
        <v>63</v>
      </c>
      <c r="C78" s="1" t="s">
        <v>64</v>
      </c>
      <c r="D78" s="2" t="s">
        <v>19</v>
      </c>
      <c r="E78" s="2" t="s">
        <v>20</v>
      </c>
      <c r="F78" s="2" t="n">
        <v>25</v>
      </c>
      <c r="G78" s="2" t="s">
        <v>25</v>
      </c>
      <c r="H78" s="2" t="n">
        <v>0.1594</v>
      </c>
      <c r="I78" s="2" t="n">
        <v>0.243173021390697</v>
      </c>
      <c r="J78" s="2" t="n">
        <v>0.359354917305287</v>
      </c>
      <c r="K78" s="2" t="n">
        <f aca="false">J78-I78</f>
        <v>0.11618189591459</v>
      </c>
      <c r="L78" s="2" t="n">
        <v>0.697789785928682</v>
      </c>
    </row>
    <row r="79" customFormat="false" ht="15" hidden="false" customHeight="false" outlineLevel="0" collapsed="false">
      <c r="A79" s="1" t="s">
        <v>62</v>
      </c>
      <c r="B79" s="1" t="s">
        <v>63</v>
      </c>
      <c r="C79" s="1" t="s">
        <v>64</v>
      </c>
      <c r="D79" s="2" t="s">
        <v>19</v>
      </c>
      <c r="E79" s="2" t="s">
        <v>20</v>
      </c>
      <c r="F79" s="2" t="n">
        <v>25</v>
      </c>
      <c r="G79" s="2" t="s">
        <v>65</v>
      </c>
      <c r="H79" s="2" t="n">
        <v>0.1543</v>
      </c>
      <c r="I79" s="2" t="n">
        <v>0.235523416585854</v>
      </c>
      <c r="J79" s="2" t="n">
        <v>0.307140634113174</v>
      </c>
      <c r="K79" s="2" t="n">
        <f aca="false">J79-I79</f>
        <v>0.07161721752732</v>
      </c>
      <c r="L79" s="2" t="n">
        <v>0.697789785928682</v>
      </c>
    </row>
    <row r="80" customFormat="false" ht="15" hidden="false" customHeight="false" outlineLevel="0" collapsed="false">
      <c r="A80" s="1" t="s">
        <v>62</v>
      </c>
      <c r="B80" s="1" t="s">
        <v>63</v>
      </c>
      <c r="C80" s="1" t="s">
        <v>64</v>
      </c>
      <c r="D80" s="2" t="s">
        <v>19</v>
      </c>
      <c r="E80" s="2" t="s">
        <v>20</v>
      </c>
      <c r="F80" s="2" t="n">
        <v>25</v>
      </c>
      <c r="G80" s="2" t="s">
        <v>26</v>
      </c>
      <c r="H80" s="2" t="n">
        <v>0.1</v>
      </c>
      <c r="I80" s="2" t="n">
        <v>0.182804275865478</v>
      </c>
      <c r="J80" s="2" t="n">
        <v>0.341017646732182</v>
      </c>
      <c r="K80" s="2" t="n">
        <f aca="false">J80-I80</f>
        <v>0.158213370866704</v>
      </c>
      <c r="L80" s="2" t="n">
        <v>0.697789785928682</v>
      </c>
    </row>
    <row r="81" customFormat="false" ht="15" hidden="false" customHeight="false" outlineLevel="0" collapsed="false">
      <c r="A81" s="1" t="s">
        <v>66</v>
      </c>
      <c r="B81" s="1" t="s">
        <v>67</v>
      </c>
      <c r="C81" s="1" t="s">
        <v>68</v>
      </c>
      <c r="D81" s="2" t="s">
        <v>19</v>
      </c>
      <c r="E81" s="2" t="s">
        <v>20</v>
      </c>
      <c r="F81" s="2" t="n">
        <v>27</v>
      </c>
      <c r="G81" s="2" t="s">
        <v>23</v>
      </c>
      <c r="H81" s="2" t="n">
        <v>0.1855</v>
      </c>
      <c r="I81" s="2" t="n">
        <v>0.388752318907904</v>
      </c>
      <c r="J81" s="2" t="n">
        <v>0.402575743039229</v>
      </c>
      <c r="K81" s="2" t="n">
        <f aca="false">J81-I81</f>
        <v>0.013823424131325</v>
      </c>
      <c r="L81" s="2" t="n">
        <v>0.749649894113733</v>
      </c>
      <c r="N81" s="1" t="n">
        <f aca="false">AVERAGE(K81:K86)</f>
        <v>-0.0210559311334002</v>
      </c>
    </row>
    <row r="82" customFormat="false" ht="15" hidden="false" customHeight="false" outlineLevel="0" collapsed="false">
      <c r="A82" s="1" t="s">
        <v>66</v>
      </c>
      <c r="B82" s="1" t="s">
        <v>67</v>
      </c>
      <c r="C82" s="1" t="s">
        <v>68</v>
      </c>
      <c r="D82" s="2" t="s">
        <v>19</v>
      </c>
      <c r="E82" s="2" t="s">
        <v>20</v>
      </c>
      <c r="F82" s="2" t="n">
        <v>27</v>
      </c>
      <c r="G82" s="2" t="s">
        <v>21</v>
      </c>
      <c r="H82" s="2" t="n">
        <v>0.1762</v>
      </c>
      <c r="I82" s="2" t="n">
        <v>0.36926902102492</v>
      </c>
      <c r="J82" s="2" t="n">
        <v>0.347655288246027</v>
      </c>
      <c r="K82" s="2" t="n">
        <f aca="false">J82-I82</f>
        <v>-0.021613732778893</v>
      </c>
      <c r="L82" s="2" t="n">
        <v>0.749649894113733</v>
      </c>
    </row>
    <row r="83" customFormat="false" ht="15" hidden="false" customHeight="false" outlineLevel="0" collapsed="false">
      <c r="A83" s="1" t="s">
        <v>66</v>
      </c>
      <c r="B83" s="1" t="s">
        <v>67</v>
      </c>
      <c r="C83" s="1" t="s">
        <v>68</v>
      </c>
      <c r="D83" s="2" t="s">
        <v>19</v>
      </c>
      <c r="E83" s="2" t="s">
        <v>20</v>
      </c>
      <c r="F83" s="2" t="n">
        <v>27</v>
      </c>
      <c r="G83" s="2" t="s">
        <v>24</v>
      </c>
      <c r="H83" s="2" t="n">
        <v>0.1701</v>
      </c>
      <c r="I83" s="2" t="n">
        <v>0.356565083440964</v>
      </c>
      <c r="J83" s="2" t="n">
        <v>0.331374703599687</v>
      </c>
      <c r="K83" s="2" t="n">
        <f aca="false">J83-I83</f>
        <v>-0.025190379841277</v>
      </c>
      <c r="L83" s="2" t="n">
        <v>0.749649894113733</v>
      </c>
    </row>
    <row r="84" customFormat="false" ht="15" hidden="false" customHeight="false" outlineLevel="0" collapsed="false">
      <c r="A84" s="1" t="s">
        <v>66</v>
      </c>
      <c r="B84" s="1" t="s">
        <v>67</v>
      </c>
      <c r="C84" s="1" t="s">
        <v>68</v>
      </c>
      <c r="D84" s="2" t="s">
        <v>19</v>
      </c>
      <c r="E84" s="2" t="s">
        <v>20</v>
      </c>
      <c r="F84" s="2" t="n">
        <v>27</v>
      </c>
      <c r="G84" s="2" t="s">
        <v>26</v>
      </c>
      <c r="H84" s="2" t="n">
        <v>0.1638</v>
      </c>
      <c r="I84" s="2" t="n">
        <v>0.343358851742882</v>
      </c>
      <c r="J84" s="2" t="n">
        <v>0.28959615487995</v>
      </c>
      <c r="K84" s="2" t="n">
        <f aca="false">J84-I84</f>
        <v>-0.053762696862932</v>
      </c>
      <c r="L84" s="2" t="n">
        <v>0.749649894113733</v>
      </c>
    </row>
    <row r="85" customFormat="false" ht="15" hidden="false" customHeight="false" outlineLevel="0" collapsed="false">
      <c r="A85" s="1" t="s">
        <v>66</v>
      </c>
      <c r="B85" s="1" t="s">
        <v>67</v>
      </c>
      <c r="C85" s="1" t="s">
        <v>68</v>
      </c>
      <c r="D85" s="2" t="s">
        <v>19</v>
      </c>
      <c r="E85" s="2" t="s">
        <v>20</v>
      </c>
      <c r="F85" s="2" t="n">
        <v>27</v>
      </c>
      <c r="G85" s="2" t="s">
        <v>22</v>
      </c>
      <c r="H85" s="2" t="n">
        <v>0.1541</v>
      </c>
      <c r="I85" s="2" t="n">
        <v>0.322976276249108</v>
      </c>
      <c r="J85" s="2" t="n">
        <v>0.318758771025158</v>
      </c>
      <c r="K85" s="2" t="n">
        <f aca="false">J85-I85</f>
        <v>-0.00421750522395004</v>
      </c>
      <c r="L85" s="2" t="n">
        <v>0.749649894113733</v>
      </c>
    </row>
    <row r="86" customFormat="false" ht="15" hidden="false" customHeight="false" outlineLevel="0" collapsed="false">
      <c r="A86" s="1" t="s">
        <v>66</v>
      </c>
      <c r="B86" s="1" t="s">
        <v>67</v>
      </c>
      <c r="C86" s="1" t="s">
        <v>68</v>
      </c>
      <c r="D86" s="2" t="s">
        <v>19</v>
      </c>
      <c r="E86" s="2" t="s">
        <v>20</v>
      </c>
      <c r="F86" s="2" t="n">
        <v>27</v>
      </c>
      <c r="G86" s="2" t="s">
        <v>25</v>
      </c>
      <c r="H86" s="2" t="n">
        <v>0.1502</v>
      </c>
      <c r="I86" s="2" t="n">
        <v>0.314857864660972</v>
      </c>
      <c r="J86" s="2" t="n">
        <v>0.279483168436298</v>
      </c>
      <c r="K86" s="2" t="n">
        <f aca="false">J86-I86</f>
        <v>-0.035374696224674</v>
      </c>
      <c r="L86" s="2" t="n">
        <v>0.749649894113733</v>
      </c>
    </row>
    <row r="87" customFormat="false" ht="15" hidden="false" customHeight="false" outlineLevel="0" collapsed="false">
      <c r="A87" s="1" t="s">
        <v>69</v>
      </c>
      <c r="B87" s="1" t="s">
        <v>70</v>
      </c>
      <c r="C87" s="1" t="s">
        <v>71</v>
      </c>
      <c r="D87" s="2" t="s">
        <v>19</v>
      </c>
      <c r="E87" s="2" t="s">
        <v>20</v>
      </c>
      <c r="F87" s="2" t="n">
        <v>29</v>
      </c>
      <c r="G87" s="2" t="s">
        <v>23</v>
      </c>
      <c r="H87" s="2" t="n">
        <v>0.2115</v>
      </c>
      <c r="I87" s="2" t="n">
        <v>0.381093563257741</v>
      </c>
      <c r="J87" s="2" t="n">
        <v>0.405689309516917</v>
      </c>
      <c r="K87" s="2" t="n">
        <f aca="false">J87-I87</f>
        <v>0.024595746259176</v>
      </c>
      <c r="L87" s="2" t="n">
        <v>0.736967328412209</v>
      </c>
      <c r="N87" s="1" t="n">
        <f aca="false">AVERAGE(K87:K92)</f>
        <v>0.0416922447549865</v>
      </c>
    </row>
    <row r="88" customFormat="false" ht="15" hidden="false" customHeight="false" outlineLevel="0" collapsed="false">
      <c r="A88" s="1" t="s">
        <v>69</v>
      </c>
      <c r="B88" s="1" t="s">
        <v>70</v>
      </c>
      <c r="C88" s="1" t="s">
        <v>71</v>
      </c>
      <c r="D88" s="2" t="s">
        <v>19</v>
      </c>
      <c r="E88" s="2" t="s">
        <v>20</v>
      </c>
      <c r="F88" s="2" t="n">
        <v>29</v>
      </c>
      <c r="G88" s="2" t="s">
        <v>24</v>
      </c>
      <c r="H88" s="2" t="n">
        <v>0.1782</v>
      </c>
      <c r="I88" s="2" t="n">
        <v>0.321120054555659</v>
      </c>
      <c r="J88" s="2" t="n">
        <v>0.370046686525719</v>
      </c>
      <c r="K88" s="2" t="n">
        <f aca="false">J88-I88</f>
        <v>0.04892663197006</v>
      </c>
      <c r="L88" s="2" t="n">
        <v>0.736967328412209</v>
      </c>
    </row>
    <row r="89" customFormat="false" ht="15" hidden="false" customHeight="false" outlineLevel="0" collapsed="false">
      <c r="A89" s="1" t="s">
        <v>69</v>
      </c>
      <c r="B89" s="1" t="s">
        <v>70</v>
      </c>
      <c r="C89" s="1" t="s">
        <v>71</v>
      </c>
      <c r="D89" s="2" t="s">
        <v>19</v>
      </c>
      <c r="E89" s="2" t="s">
        <v>20</v>
      </c>
      <c r="F89" s="2" t="n">
        <v>29</v>
      </c>
      <c r="G89" s="2" t="s">
        <v>21</v>
      </c>
      <c r="H89" s="2" t="n">
        <v>0.1757</v>
      </c>
      <c r="I89" s="2" t="n">
        <v>0.316639102070087</v>
      </c>
      <c r="J89" s="2" t="n">
        <v>0.348444275993799</v>
      </c>
      <c r="K89" s="2" t="n">
        <f aca="false">J89-I89</f>
        <v>0.031805173923712</v>
      </c>
      <c r="L89" s="2" t="n">
        <v>0.736967328412209</v>
      </c>
    </row>
    <row r="90" customFormat="false" ht="15" hidden="false" customHeight="false" outlineLevel="0" collapsed="false">
      <c r="A90" s="1" t="s">
        <v>69</v>
      </c>
      <c r="B90" s="1" t="s">
        <v>70</v>
      </c>
      <c r="C90" s="1" t="s">
        <v>71</v>
      </c>
      <c r="D90" s="2" t="s">
        <v>19</v>
      </c>
      <c r="E90" s="2" t="s">
        <v>20</v>
      </c>
      <c r="F90" s="2" t="n">
        <v>29</v>
      </c>
      <c r="G90" s="2" t="s">
        <v>22</v>
      </c>
      <c r="H90" s="2" t="n">
        <v>0.175</v>
      </c>
      <c r="I90" s="2" t="n">
        <v>0.315386248309602</v>
      </c>
      <c r="J90" s="2" t="n">
        <v>0.385216887174543</v>
      </c>
      <c r="K90" s="2" t="n">
        <f aca="false">J90-I90</f>
        <v>0.069830638864941</v>
      </c>
      <c r="L90" s="2" t="n">
        <v>0.736967328412209</v>
      </c>
    </row>
    <row r="91" customFormat="false" ht="15" hidden="false" customHeight="false" outlineLevel="0" collapsed="false">
      <c r="A91" s="1" t="s">
        <v>69</v>
      </c>
      <c r="B91" s="1" t="s">
        <v>70</v>
      </c>
      <c r="C91" s="1" t="s">
        <v>71</v>
      </c>
      <c r="D91" s="2" t="s">
        <v>19</v>
      </c>
      <c r="E91" s="2" t="s">
        <v>20</v>
      </c>
      <c r="F91" s="2" t="n">
        <v>29</v>
      </c>
      <c r="G91" s="2" t="s">
        <v>65</v>
      </c>
      <c r="H91" s="2" t="n">
        <v>0.1595</v>
      </c>
      <c r="I91" s="2" t="n">
        <v>0.287403176020835</v>
      </c>
      <c r="J91" s="2" t="n">
        <v>0.303675586353591</v>
      </c>
      <c r="K91" s="2" t="n">
        <f aca="false">J91-I91</f>
        <v>0.016272410332756</v>
      </c>
      <c r="L91" s="2" t="n">
        <v>0.736967328412209</v>
      </c>
    </row>
    <row r="92" customFormat="false" ht="15" hidden="false" customHeight="false" outlineLevel="0" collapsed="false">
      <c r="A92" s="1" t="s">
        <v>69</v>
      </c>
      <c r="B92" s="1" t="s">
        <v>70</v>
      </c>
      <c r="C92" s="1" t="s">
        <v>71</v>
      </c>
      <c r="D92" s="2" t="s">
        <v>19</v>
      </c>
      <c r="E92" s="2" t="s">
        <v>20</v>
      </c>
      <c r="F92" s="2" t="n">
        <v>29</v>
      </c>
      <c r="G92" s="2" t="s">
        <v>26</v>
      </c>
      <c r="H92" s="2" t="n">
        <v>0.1</v>
      </c>
      <c r="I92" s="2" t="n">
        <v>0.273743614667751</v>
      </c>
      <c r="J92" s="2" t="n">
        <v>0.332466481847025</v>
      </c>
      <c r="K92" s="2" t="n">
        <f aca="false">J92-I92</f>
        <v>0.058722867179274</v>
      </c>
      <c r="L92" s="2" t="n">
        <v>0.736967328412209</v>
      </c>
    </row>
    <row r="93" customFormat="false" ht="15" hidden="false" customHeight="false" outlineLevel="0" collapsed="false">
      <c r="A93" s="1" t="s">
        <v>72</v>
      </c>
      <c r="B93" s="1" t="s">
        <v>73</v>
      </c>
      <c r="C93" s="1" t="s">
        <v>74</v>
      </c>
      <c r="D93" s="2" t="s">
        <v>19</v>
      </c>
      <c r="E93" s="2" t="s">
        <v>20</v>
      </c>
      <c r="F93" s="2" t="n">
        <v>31</v>
      </c>
      <c r="G93" s="2" t="s">
        <v>23</v>
      </c>
      <c r="H93" s="2" t="n">
        <v>0.2078</v>
      </c>
      <c r="I93" s="2" t="n">
        <v>0.328456775905845</v>
      </c>
      <c r="J93" s="2" t="n">
        <v>0.365967009108932</v>
      </c>
      <c r="K93" s="2" t="n">
        <f aca="false">J93-I93</f>
        <v>0.037510233203087</v>
      </c>
      <c r="L93" s="2" t="n">
        <v>0.764104736117937</v>
      </c>
      <c r="N93" s="1" t="n">
        <f aca="false">AVERAGE(K93:K98)</f>
        <v>0.0575000102283768</v>
      </c>
    </row>
    <row r="94" customFormat="false" ht="15" hidden="false" customHeight="false" outlineLevel="0" collapsed="false">
      <c r="A94" s="1" t="s">
        <v>72</v>
      </c>
      <c r="B94" s="1" t="s">
        <v>73</v>
      </c>
      <c r="C94" s="1" t="s">
        <v>74</v>
      </c>
      <c r="D94" s="2" t="s">
        <v>19</v>
      </c>
      <c r="E94" s="2" t="s">
        <v>20</v>
      </c>
      <c r="F94" s="2" t="n">
        <v>31</v>
      </c>
      <c r="G94" s="2" t="s">
        <v>21</v>
      </c>
      <c r="H94" s="2" t="n">
        <v>0.186</v>
      </c>
      <c r="I94" s="2" t="n">
        <v>0.293976932150045</v>
      </c>
      <c r="J94" s="2" t="n">
        <v>0.366855706931955</v>
      </c>
      <c r="K94" s="2" t="n">
        <f aca="false">J94-I94</f>
        <v>0.07287877478191</v>
      </c>
      <c r="L94" s="2" t="n">
        <v>0.764104736117937</v>
      </c>
    </row>
    <row r="95" customFormat="false" ht="15" hidden="false" customHeight="false" outlineLevel="0" collapsed="false">
      <c r="A95" s="1" t="s">
        <v>72</v>
      </c>
      <c r="B95" s="1" t="s">
        <v>73</v>
      </c>
      <c r="C95" s="1" t="s">
        <v>74</v>
      </c>
      <c r="D95" s="2" t="s">
        <v>19</v>
      </c>
      <c r="E95" s="2" t="s">
        <v>20</v>
      </c>
      <c r="F95" s="2" t="n">
        <v>31</v>
      </c>
      <c r="G95" s="2" t="s">
        <v>24</v>
      </c>
      <c r="H95" s="2" t="n">
        <v>0.1728</v>
      </c>
      <c r="I95" s="2" t="n">
        <v>0.273093455163359</v>
      </c>
      <c r="J95" s="2" t="n">
        <v>0.319803209437445</v>
      </c>
      <c r="K95" s="2" t="n">
        <f aca="false">J95-I95</f>
        <v>0.046709754274086</v>
      </c>
      <c r="L95" s="2" t="n">
        <v>0.764104736117937</v>
      </c>
    </row>
    <row r="96" customFormat="false" ht="15" hidden="false" customHeight="false" outlineLevel="0" collapsed="false">
      <c r="A96" s="1" t="s">
        <v>72</v>
      </c>
      <c r="B96" s="1" t="s">
        <v>73</v>
      </c>
      <c r="C96" s="1" t="s">
        <v>74</v>
      </c>
      <c r="D96" s="2" t="s">
        <v>19</v>
      </c>
      <c r="E96" s="2" t="s">
        <v>20</v>
      </c>
      <c r="F96" s="2" t="n">
        <v>31</v>
      </c>
      <c r="G96" s="2" t="s">
        <v>22</v>
      </c>
      <c r="H96" s="2" t="n">
        <v>0.1697</v>
      </c>
      <c r="I96" s="2" t="n">
        <v>0.268268397354222</v>
      </c>
      <c r="J96" s="2" t="n">
        <v>0.324405950729721</v>
      </c>
      <c r="K96" s="2" t="n">
        <f aca="false">J96-I96</f>
        <v>0.056137553375499</v>
      </c>
      <c r="L96" s="2" t="n">
        <v>0.764104736117937</v>
      </c>
    </row>
    <row r="97" customFormat="false" ht="15" hidden="false" customHeight="false" outlineLevel="0" collapsed="false">
      <c r="A97" s="1" t="s">
        <v>72</v>
      </c>
      <c r="B97" s="1" t="s">
        <v>73</v>
      </c>
      <c r="C97" s="1" t="s">
        <v>74</v>
      </c>
      <c r="D97" s="2" t="s">
        <v>19</v>
      </c>
      <c r="E97" s="2" t="s">
        <v>20</v>
      </c>
      <c r="F97" s="2" t="n">
        <v>31</v>
      </c>
      <c r="G97" s="2" t="s">
        <v>37</v>
      </c>
      <c r="H97" s="2" t="n">
        <v>0.1637</v>
      </c>
      <c r="I97" s="2" t="n">
        <v>0.258686904652994</v>
      </c>
      <c r="J97" s="2" t="n">
        <v>0.293741624731247</v>
      </c>
      <c r="K97" s="2" t="n">
        <f aca="false">J97-I97</f>
        <v>0.035054720078253</v>
      </c>
      <c r="L97" s="2" t="n">
        <v>0.764104736117937</v>
      </c>
    </row>
    <row r="98" customFormat="false" ht="15" hidden="false" customHeight="false" outlineLevel="0" collapsed="false">
      <c r="A98" s="1" t="s">
        <v>72</v>
      </c>
      <c r="B98" s="1" t="s">
        <v>73</v>
      </c>
      <c r="C98" s="1" t="s">
        <v>74</v>
      </c>
      <c r="D98" s="2" t="s">
        <v>19</v>
      </c>
      <c r="E98" s="2" t="s">
        <v>20</v>
      </c>
      <c r="F98" s="2" t="n">
        <v>31</v>
      </c>
      <c r="G98" s="2" t="s">
        <v>26</v>
      </c>
      <c r="H98" s="2" t="n">
        <v>0.1</v>
      </c>
      <c r="I98" s="2" t="n">
        <v>0.208659720151884</v>
      </c>
      <c r="J98" s="2" t="n">
        <v>0.30536874580931</v>
      </c>
      <c r="K98" s="2" t="n">
        <f aca="false">J98-I98</f>
        <v>0.096709025657426</v>
      </c>
      <c r="L98" s="2" t="n">
        <v>0.764104736117937</v>
      </c>
    </row>
    <row r="99" customFormat="false" ht="15" hidden="false" customHeight="false" outlineLevel="0" collapsed="false">
      <c r="A99" s="1" t="s">
        <v>75</v>
      </c>
      <c r="B99" s="1" t="s">
        <v>76</v>
      </c>
      <c r="C99" s="1" t="s">
        <v>77</v>
      </c>
      <c r="D99" s="2" t="s">
        <v>19</v>
      </c>
      <c r="E99" s="2" t="s">
        <v>20</v>
      </c>
      <c r="F99" s="2" t="n">
        <v>33</v>
      </c>
      <c r="G99" s="2" t="s">
        <v>21</v>
      </c>
      <c r="H99" s="2" t="n">
        <v>0.205</v>
      </c>
      <c r="I99" s="2" t="n">
        <v>0.334095509481473</v>
      </c>
      <c r="J99" s="2" t="n">
        <v>0.361817384091718</v>
      </c>
      <c r="K99" s="2" t="n">
        <f aca="false">J99-I99</f>
        <v>0.027721874610245</v>
      </c>
      <c r="L99" s="2" t="n">
        <v>0.722501085513047</v>
      </c>
      <c r="N99" s="1" t="n">
        <f aca="false">AVERAGE(K99:K104)</f>
        <v>0.0410511261155367</v>
      </c>
    </row>
    <row r="100" customFormat="false" ht="15" hidden="false" customHeight="false" outlineLevel="0" collapsed="false">
      <c r="A100" s="1" t="s">
        <v>75</v>
      </c>
      <c r="B100" s="1" t="s">
        <v>76</v>
      </c>
      <c r="C100" s="1" t="s">
        <v>77</v>
      </c>
      <c r="D100" s="2" t="s">
        <v>19</v>
      </c>
      <c r="E100" s="2" t="s">
        <v>20</v>
      </c>
      <c r="F100" s="2" t="n">
        <v>33</v>
      </c>
      <c r="G100" s="2" t="s">
        <v>23</v>
      </c>
      <c r="H100" s="2" t="n">
        <v>0.1888</v>
      </c>
      <c r="I100" s="2" t="n">
        <v>0.307649870608445</v>
      </c>
      <c r="J100" s="2" t="n">
        <v>0.376299361999759</v>
      </c>
      <c r="K100" s="2" t="n">
        <f aca="false">J100-I100</f>
        <v>0.068649491391314</v>
      </c>
      <c r="L100" s="2" t="n">
        <v>0.722501085513047</v>
      </c>
    </row>
    <row r="101" customFormat="false" ht="15" hidden="false" customHeight="false" outlineLevel="0" collapsed="false">
      <c r="A101" s="1" t="s">
        <v>75</v>
      </c>
      <c r="B101" s="1" t="s">
        <v>76</v>
      </c>
      <c r="C101" s="1" t="s">
        <v>77</v>
      </c>
      <c r="D101" s="2" t="s">
        <v>19</v>
      </c>
      <c r="E101" s="2" t="s">
        <v>20</v>
      </c>
      <c r="F101" s="2" t="n">
        <v>33</v>
      </c>
      <c r="G101" s="2" t="s">
        <v>37</v>
      </c>
      <c r="H101" s="2" t="n">
        <v>0.1852</v>
      </c>
      <c r="I101" s="2" t="n">
        <v>0.301796415188694</v>
      </c>
      <c r="J101" s="2" t="n">
        <v>0.252797760840214</v>
      </c>
      <c r="K101" s="2" t="n">
        <f aca="false">J101-I101</f>
        <v>-0.04899865434848</v>
      </c>
      <c r="L101" s="2" t="n">
        <v>0.722501085513047</v>
      </c>
    </row>
    <row r="102" customFormat="false" ht="15" hidden="false" customHeight="false" outlineLevel="0" collapsed="false">
      <c r="A102" s="1" t="s">
        <v>75</v>
      </c>
      <c r="B102" s="1" t="s">
        <v>76</v>
      </c>
      <c r="C102" s="1" t="s">
        <v>77</v>
      </c>
      <c r="D102" s="2" t="s">
        <v>19</v>
      </c>
      <c r="E102" s="2" t="s">
        <v>20</v>
      </c>
      <c r="F102" s="2" t="n">
        <v>33</v>
      </c>
      <c r="G102" s="2" t="s">
        <v>22</v>
      </c>
      <c r="H102" s="2" t="n">
        <v>0.1614</v>
      </c>
      <c r="I102" s="2" t="n">
        <v>0.263062867209835</v>
      </c>
      <c r="J102" s="2" t="n">
        <v>0.333827045069101</v>
      </c>
      <c r="K102" s="2" t="n">
        <f aca="false">J102-I102</f>
        <v>0.070764177859266</v>
      </c>
      <c r="L102" s="2" t="n">
        <v>0.722501085513047</v>
      </c>
    </row>
    <row r="103" customFormat="false" ht="15" hidden="false" customHeight="false" outlineLevel="0" collapsed="false">
      <c r="A103" s="1" t="s">
        <v>75</v>
      </c>
      <c r="B103" s="1" t="s">
        <v>76</v>
      </c>
      <c r="C103" s="1" t="s">
        <v>77</v>
      </c>
      <c r="D103" s="2" t="s">
        <v>19</v>
      </c>
      <c r="E103" s="2" t="s">
        <v>20</v>
      </c>
      <c r="F103" s="2" t="n">
        <v>33</v>
      </c>
      <c r="G103" s="2" t="s">
        <v>24</v>
      </c>
      <c r="H103" s="2" t="n">
        <v>0.1595</v>
      </c>
      <c r="I103" s="2" t="n">
        <v>0.259835573973314</v>
      </c>
      <c r="J103" s="2" t="n">
        <v>0.333199437884874</v>
      </c>
      <c r="K103" s="2" t="n">
        <f aca="false">J103-I103</f>
        <v>0.07336386391156</v>
      </c>
      <c r="L103" s="2" t="n">
        <v>0.722501085513047</v>
      </c>
    </row>
    <row r="104" customFormat="false" ht="15" hidden="false" customHeight="false" outlineLevel="0" collapsed="false">
      <c r="A104" s="1" t="s">
        <v>75</v>
      </c>
      <c r="B104" s="1" t="s">
        <v>76</v>
      </c>
      <c r="C104" s="1" t="s">
        <v>77</v>
      </c>
      <c r="D104" s="2" t="s">
        <v>19</v>
      </c>
      <c r="E104" s="2" t="s">
        <v>20</v>
      </c>
      <c r="F104" s="2" t="n">
        <v>33</v>
      </c>
      <c r="G104" s="2" t="s">
        <v>26</v>
      </c>
      <c r="H104" s="2" t="n">
        <v>0.1</v>
      </c>
      <c r="I104" s="2" t="n">
        <v>0.206563164165442</v>
      </c>
      <c r="J104" s="2" t="n">
        <v>0.261369167434757</v>
      </c>
      <c r="K104" s="2" t="n">
        <f aca="false">J104-I104</f>
        <v>0.054806003269315</v>
      </c>
      <c r="L104" s="2" t="n">
        <v>0.722501085513047</v>
      </c>
    </row>
    <row r="105" customFormat="false" ht="15" hidden="false" customHeight="false" outlineLevel="0" collapsed="false">
      <c r="A105" s="1" t="s">
        <v>78</v>
      </c>
      <c r="B105" s="1" t="s">
        <v>79</v>
      </c>
      <c r="C105" s="1" t="s">
        <v>80</v>
      </c>
      <c r="D105" s="2" t="s">
        <v>19</v>
      </c>
      <c r="E105" s="2" t="s">
        <v>20</v>
      </c>
      <c r="F105" s="2" t="n">
        <v>35</v>
      </c>
      <c r="G105" s="2" t="s">
        <v>23</v>
      </c>
      <c r="H105" s="2" t="n">
        <v>0.1904</v>
      </c>
      <c r="I105" s="2" t="n">
        <v>0.325470135061737</v>
      </c>
      <c r="J105" s="2" t="n">
        <v>0.38240433005593</v>
      </c>
      <c r="K105" s="2" t="n">
        <f aca="false">J105-I105</f>
        <v>0.056934194994193</v>
      </c>
      <c r="L105" s="2" t="n">
        <v>0.68518214731593</v>
      </c>
      <c r="N105" s="1" t="n">
        <f aca="false">AVERAGE(K105:K110)</f>
        <v>0.0589258973968008</v>
      </c>
    </row>
    <row r="106" customFormat="false" ht="15" hidden="false" customHeight="false" outlineLevel="0" collapsed="false">
      <c r="A106" s="1" t="s">
        <v>78</v>
      </c>
      <c r="B106" s="1" t="s">
        <v>79</v>
      </c>
      <c r="C106" s="1" t="s">
        <v>80</v>
      </c>
      <c r="D106" s="2" t="s">
        <v>19</v>
      </c>
      <c r="E106" s="2" t="s">
        <v>20</v>
      </c>
      <c r="F106" s="2" t="n">
        <v>35</v>
      </c>
      <c r="G106" s="2" t="s">
        <v>21</v>
      </c>
      <c r="H106" s="2" t="n">
        <v>0.1886</v>
      </c>
      <c r="I106" s="2" t="n">
        <v>0.32224157243038</v>
      </c>
      <c r="J106" s="2" t="n">
        <v>0.366927719722843</v>
      </c>
      <c r="K106" s="2" t="n">
        <f aca="false">J106-I106</f>
        <v>0.044686147292463</v>
      </c>
      <c r="L106" s="2" t="n">
        <v>0.68518214731593</v>
      </c>
    </row>
    <row r="107" customFormat="false" ht="15" hidden="false" customHeight="false" outlineLevel="0" collapsed="false">
      <c r="A107" s="1" t="s">
        <v>78</v>
      </c>
      <c r="B107" s="1" t="s">
        <v>79</v>
      </c>
      <c r="C107" s="1" t="s">
        <v>80</v>
      </c>
      <c r="D107" s="2" t="s">
        <v>19</v>
      </c>
      <c r="E107" s="2" t="s">
        <v>20</v>
      </c>
      <c r="F107" s="2" t="n">
        <v>35</v>
      </c>
      <c r="G107" s="2" t="s">
        <v>22</v>
      </c>
      <c r="H107" s="2" t="n">
        <v>0.1846</v>
      </c>
      <c r="I107" s="2" t="n">
        <v>0.315431747485715</v>
      </c>
      <c r="J107" s="2" t="n">
        <v>0.331965296440645</v>
      </c>
      <c r="K107" s="2" t="n">
        <f aca="false">J107-I107</f>
        <v>0.01653354895493</v>
      </c>
      <c r="L107" s="2" t="n">
        <v>0.68518214731593</v>
      </c>
    </row>
    <row r="108" customFormat="false" ht="15" hidden="false" customHeight="false" outlineLevel="0" collapsed="false">
      <c r="A108" s="1" t="s">
        <v>78</v>
      </c>
      <c r="B108" s="1" t="s">
        <v>79</v>
      </c>
      <c r="C108" s="1" t="s">
        <v>80</v>
      </c>
      <c r="D108" s="2" t="s">
        <v>19</v>
      </c>
      <c r="E108" s="2" t="s">
        <v>20</v>
      </c>
      <c r="F108" s="2" t="n">
        <v>35</v>
      </c>
      <c r="G108" s="2" t="s">
        <v>25</v>
      </c>
      <c r="H108" s="2" t="n">
        <v>0.1685</v>
      </c>
      <c r="I108" s="2" t="n">
        <v>0.287950922935767</v>
      </c>
      <c r="J108" s="2" t="n">
        <v>0.36960247212999</v>
      </c>
      <c r="K108" s="2" t="n">
        <f aca="false">J108-I108</f>
        <v>0.081651549194223</v>
      </c>
      <c r="L108" s="2" t="n">
        <v>0.68518214731593</v>
      </c>
    </row>
    <row r="109" customFormat="false" ht="15" hidden="false" customHeight="false" outlineLevel="0" collapsed="false">
      <c r="A109" s="1" t="s">
        <v>78</v>
      </c>
      <c r="B109" s="1" t="s">
        <v>79</v>
      </c>
      <c r="C109" s="1" t="s">
        <v>80</v>
      </c>
      <c r="D109" s="2" t="s">
        <v>19</v>
      </c>
      <c r="E109" s="2" t="s">
        <v>20</v>
      </c>
      <c r="F109" s="2" t="n">
        <v>35</v>
      </c>
      <c r="G109" s="2" t="s">
        <v>24</v>
      </c>
      <c r="H109" s="2" t="n">
        <v>0.1679</v>
      </c>
      <c r="I109" s="2" t="n">
        <v>0.2869709650762</v>
      </c>
      <c r="J109" s="2" t="n">
        <v>0.341127202680228</v>
      </c>
      <c r="K109" s="2" t="n">
        <f aca="false">J109-I109</f>
        <v>0.054156237604028</v>
      </c>
      <c r="L109" s="2" t="n">
        <v>0.68518214731593</v>
      </c>
    </row>
    <row r="110" customFormat="false" ht="15" hidden="false" customHeight="false" outlineLevel="0" collapsed="false">
      <c r="A110" s="1" t="s">
        <v>78</v>
      </c>
      <c r="B110" s="1" t="s">
        <v>79</v>
      </c>
      <c r="C110" s="1" t="s">
        <v>80</v>
      </c>
      <c r="D110" s="2" t="s">
        <v>19</v>
      </c>
      <c r="E110" s="2" t="s">
        <v>20</v>
      </c>
      <c r="F110" s="2" t="n">
        <v>35</v>
      </c>
      <c r="G110" s="2" t="s">
        <v>26</v>
      </c>
      <c r="H110" s="2" t="n">
        <v>0.1</v>
      </c>
      <c r="I110" s="2" t="n">
        <v>0.210533892505853</v>
      </c>
      <c r="J110" s="2" t="n">
        <v>0.310127598846821</v>
      </c>
      <c r="K110" s="2" t="n">
        <f aca="false">J110-I110</f>
        <v>0.099593706340968</v>
      </c>
      <c r="L110" s="2" t="n">
        <v>0.68518214731593</v>
      </c>
    </row>
    <row r="111" customFormat="false" ht="15" hidden="false" customHeight="false" outlineLevel="0" collapsed="false">
      <c r="A111" s="1" t="s">
        <v>81</v>
      </c>
      <c r="B111" s="1" t="s">
        <v>82</v>
      </c>
      <c r="C111" s="1" t="s">
        <v>83</v>
      </c>
      <c r="D111" s="2" t="s">
        <v>19</v>
      </c>
      <c r="E111" s="2" t="s">
        <v>20</v>
      </c>
      <c r="F111" s="2" t="n">
        <v>37</v>
      </c>
      <c r="G111" s="2" t="s">
        <v>23</v>
      </c>
      <c r="H111" s="2" t="n">
        <v>0.1845</v>
      </c>
      <c r="I111" s="2" t="n">
        <v>0.372572429885395</v>
      </c>
      <c r="J111" s="2" t="n">
        <v>0.338051735105095</v>
      </c>
      <c r="K111" s="2" t="n">
        <f aca="false">J111-I111</f>
        <v>-0.0345206947803</v>
      </c>
      <c r="L111" s="2" t="n">
        <v>0.57422986602436</v>
      </c>
      <c r="N111" s="1" t="n">
        <f aca="false">AVERAGE(K111:K116)</f>
        <v>-0.0267381276042299</v>
      </c>
    </row>
    <row r="112" customFormat="false" ht="15" hidden="false" customHeight="false" outlineLevel="0" collapsed="false">
      <c r="A112" s="1" t="s">
        <v>81</v>
      </c>
      <c r="B112" s="1" t="s">
        <v>82</v>
      </c>
      <c r="C112" s="1" t="s">
        <v>83</v>
      </c>
      <c r="D112" s="2" t="s">
        <v>19</v>
      </c>
      <c r="E112" s="2" t="s">
        <v>20</v>
      </c>
      <c r="F112" s="2" t="n">
        <v>37</v>
      </c>
      <c r="G112" s="2" t="s">
        <v>21</v>
      </c>
      <c r="H112" s="2" t="n">
        <v>0.1785</v>
      </c>
      <c r="I112" s="2" t="n">
        <v>0.360591252050291</v>
      </c>
      <c r="J112" s="2" t="n">
        <v>0.314678124673159</v>
      </c>
      <c r="K112" s="2" t="n">
        <f aca="false">J112-I112</f>
        <v>-0.045913127377132</v>
      </c>
      <c r="L112" s="2" t="n">
        <v>0.57422986602436</v>
      </c>
    </row>
    <row r="113" customFormat="false" ht="15" hidden="false" customHeight="false" outlineLevel="0" collapsed="false">
      <c r="A113" s="1" t="s">
        <v>81</v>
      </c>
      <c r="B113" s="1" t="s">
        <v>82</v>
      </c>
      <c r="C113" s="1" t="s">
        <v>83</v>
      </c>
      <c r="D113" s="2" t="s">
        <v>19</v>
      </c>
      <c r="E113" s="2" t="s">
        <v>20</v>
      </c>
      <c r="F113" s="2" t="n">
        <v>37</v>
      </c>
      <c r="G113" s="2" t="s">
        <v>24</v>
      </c>
      <c r="H113" s="2" t="n">
        <v>0.1661</v>
      </c>
      <c r="I113" s="2" t="n">
        <v>0.335534657308644</v>
      </c>
      <c r="J113" s="2" t="n">
        <v>0.330142034054395</v>
      </c>
      <c r="K113" s="2" t="n">
        <f aca="false">J113-I113</f>
        <v>-0.005392623254249</v>
      </c>
      <c r="L113" s="2" t="n">
        <v>0.57422986602436</v>
      </c>
    </row>
    <row r="114" customFormat="false" ht="15" hidden="false" customHeight="false" outlineLevel="0" collapsed="false">
      <c r="A114" s="1" t="s">
        <v>81</v>
      </c>
      <c r="B114" s="1" t="s">
        <v>82</v>
      </c>
      <c r="C114" s="1" t="s">
        <v>83</v>
      </c>
      <c r="D114" s="2" t="s">
        <v>19</v>
      </c>
      <c r="E114" s="2" t="s">
        <v>20</v>
      </c>
      <c r="F114" s="2" t="n">
        <v>37</v>
      </c>
      <c r="G114" s="2" t="s">
        <v>25</v>
      </c>
      <c r="H114" s="2" t="n">
        <v>0.1573</v>
      </c>
      <c r="I114" s="2" t="n">
        <v>0.31765251704628</v>
      </c>
      <c r="J114" s="2" t="n">
        <v>0.293516907514662</v>
      </c>
      <c r="K114" s="2" t="n">
        <f aca="false">J114-I114</f>
        <v>-0.024135609531618</v>
      </c>
      <c r="L114" s="2" t="n">
        <v>0.57422986602436</v>
      </c>
    </row>
    <row r="115" customFormat="false" ht="15" hidden="false" customHeight="false" outlineLevel="0" collapsed="false">
      <c r="A115" s="1" t="s">
        <v>81</v>
      </c>
      <c r="B115" s="1" t="s">
        <v>82</v>
      </c>
      <c r="C115" s="1" t="s">
        <v>83</v>
      </c>
      <c r="D115" s="2" t="s">
        <v>19</v>
      </c>
      <c r="E115" s="2" t="s">
        <v>20</v>
      </c>
      <c r="F115" s="2" t="n">
        <v>37</v>
      </c>
      <c r="G115" s="2" t="s">
        <v>22</v>
      </c>
      <c r="H115" s="2" t="n">
        <v>0.1572</v>
      </c>
      <c r="I115" s="2" t="n">
        <v>0.317424792975466</v>
      </c>
      <c r="J115" s="2" t="n">
        <v>0.3184921869202</v>
      </c>
      <c r="K115" s="2" t="n">
        <f aca="false">J115-I115</f>
        <v>0.00106739394473399</v>
      </c>
      <c r="L115" s="2" t="n">
        <v>0.57422986602436</v>
      </c>
    </row>
    <row r="116" customFormat="false" ht="15" hidden="false" customHeight="false" outlineLevel="0" collapsed="false">
      <c r="A116" s="1" t="s">
        <v>81</v>
      </c>
      <c r="B116" s="1" t="s">
        <v>82</v>
      </c>
      <c r="C116" s="1" t="s">
        <v>83</v>
      </c>
      <c r="D116" s="2" t="s">
        <v>19</v>
      </c>
      <c r="E116" s="2" t="s">
        <v>20</v>
      </c>
      <c r="F116" s="2" t="n">
        <v>37</v>
      </c>
      <c r="G116" s="2" t="s">
        <v>26</v>
      </c>
      <c r="H116" s="2" t="n">
        <v>0.1564</v>
      </c>
      <c r="I116" s="2" t="n">
        <v>0.315875630319959</v>
      </c>
      <c r="J116" s="2" t="n">
        <v>0.264341525693145</v>
      </c>
      <c r="K116" s="2" t="n">
        <f aca="false">J116-I116</f>
        <v>-0.051534104626814</v>
      </c>
      <c r="L116" s="2" t="n">
        <v>0.57422986602436</v>
      </c>
    </row>
    <row r="117" customFormat="false" ht="15" hidden="false" customHeight="false" outlineLevel="0" collapsed="false">
      <c r="A117" s="1" t="s">
        <v>84</v>
      </c>
      <c r="B117" s="1" t="s">
        <v>85</v>
      </c>
      <c r="C117" s="1" t="s">
        <v>86</v>
      </c>
      <c r="D117" s="2" t="s">
        <v>19</v>
      </c>
      <c r="E117" s="2" t="s">
        <v>20</v>
      </c>
      <c r="F117" s="2" t="n">
        <v>39</v>
      </c>
      <c r="G117" s="2" t="s">
        <v>24</v>
      </c>
      <c r="H117" s="2" t="n">
        <v>0.1854</v>
      </c>
      <c r="I117" s="2" t="n">
        <v>0.31324494767222</v>
      </c>
      <c r="J117" s="2" t="n">
        <v>0.332870101455473</v>
      </c>
      <c r="K117" s="2" t="n">
        <f aca="false">J117-I117</f>
        <v>0.019625153783253</v>
      </c>
      <c r="L117" s="2" t="n">
        <v>0.862814658531392</v>
      </c>
      <c r="N117" s="1" t="n">
        <f aca="false">AVERAGE(K117:K122)</f>
        <v>0.0372859181296985</v>
      </c>
    </row>
    <row r="118" customFormat="false" ht="15" hidden="false" customHeight="false" outlineLevel="0" collapsed="false">
      <c r="A118" s="1" t="s">
        <v>84</v>
      </c>
      <c r="B118" s="1" t="s">
        <v>85</v>
      </c>
      <c r="C118" s="1" t="s">
        <v>86</v>
      </c>
      <c r="D118" s="2" t="s">
        <v>19</v>
      </c>
      <c r="E118" s="2" t="s">
        <v>20</v>
      </c>
      <c r="F118" s="2" t="n">
        <v>39</v>
      </c>
      <c r="G118" s="2" t="s">
        <v>22</v>
      </c>
      <c r="H118" s="2" t="n">
        <v>0.183</v>
      </c>
      <c r="I118" s="2" t="n">
        <v>0.309130040765264</v>
      </c>
      <c r="J118" s="2" t="n">
        <v>0.353561679755533</v>
      </c>
      <c r="K118" s="2" t="n">
        <f aca="false">J118-I118</f>
        <v>0.044431638990269</v>
      </c>
      <c r="L118" s="2" t="n">
        <v>0.862814658531392</v>
      </c>
    </row>
    <row r="119" customFormat="false" ht="15" hidden="false" customHeight="false" outlineLevel="0" collapsed="false">
      <c r="A119" s="1" t="s">
        <v>84</v>
      </c>
      <c r="B119" s="1" t="s">
        <v>85</v>
      </c>
      <c r="C119" s="1" t="s">
        <v>86</v>
      </c>
      <c r="D119" s="2" t="s">
        <v>19</v>
      </c>
      <c r="E119" s="2" t="s">
        <v>20</v>
      </c>
      <c r="F119" s="2" t="n">
        <v>39</v>
      </c>
      <c r="G119" s="2" t="s">
        <v>23</v>
      </c>
      <c r="H119" s="2" t="n">
        <v>0.1778</v>
      </c>
      <c r="I119" s="2" t="n">
        <v>0.30026104862613</v>
      </c>
      <c r="J119" s="2" t="n">
        <v>0.345129238465944</v>
      </c>
      <c r="K119" s="2" t="n">
        <f aca="false">J119-I119</f>
        <v>0.044868189839814</v>
      </c>
      <c r="L119" s="2" t="n">
        <v>0.862814658531392</v>
      </c>
    </row>
    <row r="120" customFormat="false" ht="15" hidden="false" customHeight="false" outlineLevel="0" collapsed="false">
      <c r="A120" s="1" t="s">
        <v>84</v>
      </c>
      <c r="B120" s="1" t="s">
        <v>85</v>
      </c>
      <c r="C120" s="1" t="s">
        <v>86</v>
      </c>
      <c r="D120" s="2" t="s">
        <v>19</v>
      </c>
      <c r="E120" s="2" t="s">
        <v>20</v>
      </c>
      <c r="F120" s="2" t="n">
        <v>39</v>
      </c>
      <c r="G120" s="2" t="s">
        <v>21</v>
      </c>
      <c r="H120" s="2" t="n">
        <v>0.1609</v>
      </c>
      <c r="I120" s="2" t="n">
        <v>0.271871363659222</v>
      </c>
      <c r="J120" s="2" t="n">
        <v>0.277013726969726</v>
      </c>
      <c r="K120" s="2" t="n">
        <f aca="false">J120-I120</f>
        <v>0.00514236331050399</v>
      </c>
      <c r="L120" s="2" t="n">
        <v>0.862814658531392</v>
      </c>
    </row>
    <row r="121" customFormat="false" ht="15" hidden="false" customHeight="false" outlineLevel="0" collapsed="false">
      <c r="A121" s="1" t="s">
        <v>84</v>
      </c>
      <c r="B121" s="1" t="s">
        <v>85</v>
      </c>
      <c r="C121" s="1" t="s">
        <v>86</v>
      </c>
      <c r="D121" s="2" t="s">
        <v>19</v>
      </c>
      <c r="E121" s="2" t="s">
        <v>20</v>
      </c>
      <c r="F121" s="2" t="n">
        <v>39</v>
      </c>
      <c r="G121" s="2" t="s">
        <v>25</v>
      </c>
      <c r="H121" s="2" t="n">
        <v>0.1479</v>
      </c>
      <c r="I121" s="2" t="n">
        <v>0.249840767124094</v>
      </c>
      <c r="J121" s="2" t="n">
        <v>0.303960066766647</v>
      </c>
      <c r="K121" s="2" t="n">
        <f aca="false">J121-I121</f>
        <v>0.054119299642553</v>
      </c>
      <c r="L121" s="2" t="n">
        <v>0.862814658531392</v>
      </c>
    </row>
    <row r="122" customFormat="false" ht="15" hidden="false" customHeight="false" outlineLevel="0" collapsed="false">
      <c r="A122" s="1" t="s">
        <v>84</v>
      </c>
      <c r="B122" s="1" t="s">
        <v>85</v>
      </c>
      <c r="C122" s="1" t="s">
        <v>86</v>
      </c>
      <c r="D122" s="2" t="s">
        <v>19</v>
      </c>
      <c r="E122" s="2" t="s">
        <v>20</v>
      </c>
      <c r="F122" s="2" t="n">
        <v>39</v>
      </c>
      <c r="G122" s="2" t="s">
        <v>26</v>
      </c>
      <c r="H122" s="2" t="n">
        <v>0.145</v>
      </c>
      <c r="I122" s="2" t="n">
        <v>0.244872086798029</v>
      </c>
      <c r="J122" s="2" t="n">
        <v>0.300400950009827</v>
      </c>
      <c r="K122" s="2" t="n">
        <f aca="false">J122-I122</f>
        <v>0.055528863211798</v>
      </c>
      <c r="L122" s="2" t="n">
        <v>0.862814658531392</v>
      </c>
    </row>
    <row r="123" customFormat="false" ht="15" hidden="false" customHeight="false" outlineLevel="0" collapsed="false">
      <c r="A123" s="1" t="s">
        <v>87</v>
      </c>
      <c r="B123" s="1" t="s">
        <v>88</v>
      </c>
      <c r="C123" s="1" t="s">
        <v>89</v>
      </c>
      <c r="D123" s="2" t="s">
        <v>19</v>
      </c>
      <c r="E123" s="2" t="s">
        <v>20</v>
      </c>
      <c r="F123" s="2" t="n">
        <v>41</v>
      </c>
      <c r="G123" s="2" t="s">
        <v>23</v>
      </c>
      <c r="H123" s="2" t="n">
        <v>0.2027</v>
      </c>
      <c r="I123" s="2" t="n">
        <v>0.364697124178517</v>
      </c>
      <c r="J123" s="2" t="n">
        <v>0.428103082401479</v>
      </c>
      <c r="K123" s="2" t="n">
        <f aca="false">J123-I123</f>
        <v>0.063405958222962</v>
      </c>
      <c r="L123" s="2" t="n">
        <v>0.766443599036539</v>
      </c>
      <c r="N123" s="1" t="n">
        <f aca="false">AVERAGE(K123:K128)</f>
        <v>0.0466382136436393</v>
      </c>
    </row>
    <row r="124" customFormat="false" ht="15" hidden="false" customHeight="false" outlineLevel="0" collapsed="false">
      <c r="A124" s="1" t="s">
        <v>87</v>
      </c>
      <c r="B124" s="1" t="s">
        <v>88</v>
      </c>
      <c r="C124" s="1" t="s">
        <v>89</v>
      </c>
      <c r="D124" s="2" t="s">
        <v>19</v>
      </c>
      <c r="E124" s="2" t="s">
        <v>20</v>
      </c>
      <c r="F124" s="2" t="n">
        <v>41</v>
      </c>
      <c r="G124" s="2" t="s">
        <v>22</v>
      </c>
      <c r="H124" s="2" t="n">
        <v>0.1871</v>
      </c>
      <c r="I124" s="2" t="n">
        <v>0.33648293816668</v>
      </c>
      <c r="J124" s="2" t="n">
        <v>0.375627046308796</v>
      </c>
      <c r="K124" s="2" t="n">
        <f aca="false">J124-I124</f>
        <v>0.039144108142116</v>
      </c>
      <c r="L124" s="2" t="n">
        <v>0.766443599036539</v>
      </c>
    </row>
    <row r="125" customFormat="false" ht="15" hidden="false" customHeight="false" outlineLevel="0" collapsed="false">
      <c r="A125" s="1" t="s">
        <v>87</v>
      </c>
      <c r="B125" s="1" t="s">
        <v>88</v>
      </c>
      <c r="C125" s="1" t="s">
        <v>89</v>
      </c>
      <c r="D125" s="2" t="s">
        <v>19</v>
      </c>
      <c r="E125" s="2" t="s">
        <v>20</v>
      </c>
      <c r="F125" s="2" t="n">
        <v>41</v>
      </c>
      <c r="G125" s="2" t="s">
        <v>21</v>
      </c>
      <c r="H125" s="2" t="n">
        <v>0.18</v>
      </c>
      <c r="I125" s="2" t="n">
        <v>0.323742375411893</v>
      </c>
      <c r="J125" s="2" t="n">
        <v>0.39085608698917</v>
      </c>
      <c r="K125" s="2" t="n">
        <f aca="false">J125-I125</f>
        <v>0.067113711577277</v>
      </c>
      <c r="L125" s="2" t="n">
        <v>0.766443599036539</v>
      </c>
    </row>
    <row r="126" customFormat="false" ht="15" hidden="false" customHeight="false" outlineLevel="0" collapsed="false">
      <c r="A126" s="1" t="s">
        <v>87</v>
      </c>
      <c r="B126" s="1" t="s">
        <v>88</v>
      </c>
      <c r="C126" s="1" t="s">
        <v>89</v>
      </c>
      <c r="D126" s="2" t="s">
        <v>19</v>
      </c>
      <c r="E126" s="2" t="s">
        <v>20</v>
      </c>
      <c r="F126" s="2" t="n">
        <v>41</v>
      </c>
      <c r="G126" s="2" t="s">
        <v>24</v>
      </c>
      <c r="H126" s="2" t="n">
        <v>0.1793</v>
      </c>
      <c r="I126" s="2" t="n">
        <v>0.322607008816155</v>
      </c>
      <c r="J126" s="2" t="n">
        <v>0.33258257322816</v>
      </c>
      <c r="K126" s="2" t="n">
        <f aca="false">J126-I126</f>
        <v>0.00997556441200498</v>
      </c>
      <c r="L126" s="2" t="n">
        <v>0.766443599036539</v>
      </c>
    </row>
    <row r="127" customFormat="false" ht="15" hidden="false" customHeight="false" outlineLevel="0" collapsed="false">
      <c r="A127" s="1" t="s">
        <v>87</v>
      </c>
      <c r="B127" s="1" t="s">
        <v>88</v>
      </c>
      <c r="C127" s="1" t="s">
        <v>89</v>
      </c>
      <c r="D127" s="2" t="s">
        <v>19</v>
      </c>
      <c r="E127" s="2" t="s">
        <v>20</v>
      </c>
      <c r="F127" s="2" t="n">
        <v>41</v>
      </c>
      <c r="G127" s="2" t="s">
        <v>90</v>
      </c>
      <c r="H127" s="2" t="n">
        <v>0.1509</v>
      </c>
      <c r="I127" s="2" t="n">
        <v>0.271453622037263</v>
      </c>
      <c r="J127" s="2" t="n">
        <v>0.329393915074186</v>
      </c>
      <c r="K127" s="2" t="n">
        <f aca="false">J127-I127</f>
        <v>0.057940293036923</v>
      </c>
      <c r="L127" s="2" t="n">
        <v>0.766443599036539</v>
      </c>
    </row>
    <row r="128" customFormat="false" ht="15" hidden="false" customHeight="false" outlineLevel="0" collapsed="false">
      <c r="A128" s="1" t="s">
        <v>87</v>
      </c>
      <c r="B128" s="1" t="s">
        <v>88</v>
      </c>
      <c r="C128" s="1" t="s">
        <v>89</v>
      </c>
      <c r="D128" s="2" t="s">
        <v>19</v>
      </c>
      <c r="E128" s="2" t="s">
        <v>20</v>
      </c>
      <c r="F128" s="2" t="n">
        <v>41</v>
      </c>
      <c r="G128" s="2" t="s">
        <v>26</v>
      </c>
      <c r="H128" s="2" t="n">
        <v>0.1</v>
      </c>
      <c r="I128" s="2" t="n">
        <v>0.260312769591537</v>
      </c>
      <c r="J128" s="2" t="n">
        <v>0.30256241606209</v>
      </c>
      <c r="K128" s="2" t="n">
        <f aca="false">J128-I128</f>
        <v>0.042249646470553</v>
      </c>
      <c r="L128" s="2" t="n">
        <v>0.766443599036539</v>
      </c>
    </row>
    <row r="129" customFormat="false" ht="15" hidden="false" customHeight="false" outlineLevel="0" collapsed="false">
      <c r="A129" s="1" t="s">
        <v>91</v>
      </c>
      <c r="B129" s="1" t="s">
        <v>92</v>
      </c>
      <c r="C129" s="1" t="s">
        <v>93</v>
      </c>
      <c r="D129" s="2" t="s">
        <v>19</v>
      </c>
      <c r="E129" s="2" t="s">
        <v>20</v>
      </c>
      <c r="F129" s="2" t="n">
        <v>43</v>
      </c>
      <c r="G129" s="2" t="s">
        <v>23</v>
      </c>
      <c r="H129" s="2" t="n">
        <v>0.1919</v>
      </c>
      <c r="I129" s="2" t="n">
        <v>0.389097498828835</v>
      </c>
      <c r="J129" s="2" t="n">
        <v>0.358064401047821</v>
      </c>
      <c r="K129" s="2" t="n">
        <f aca="false">J129-I129</f>
        <v>-0.031033097781014</v>
      </c>
      <c r="L129" s="2" t="n">
        <v>0.757219448945817</v>
      </c>
      <c r="N129" s="1" t="n">
        <f aca="false">AVERAGE(K129:K134)</f>
        <v>-0.013355300318043</v>
      </c>
    </row>
    <row r="130" customFormat="false" ht="15" hidden="false" customHeight="false" outlineLevel="0" collapsed="false">
      <c r="A130" s="1" t="s">
        <v>91</v>
      </c>
      <c r="B130" s="1" t="s">
        <v>92</v>
      </c>
      <c r="C130" s="1" t="s">
        <v>93</v>
      </c>
      <c r="D130" s="2" t="s">
        <v>19</v>
      </c>
      <c r="E130" s="2" t="s">
        <v>20</v>
      </c>
      <c r="F130" s="2" t="n">
        <v>43</v>
      </c>
      <c r="G130" s="2" t="s">
        <v>22</v>
      </c>
      <c r="H130" s="2" t="n">
        <v>0.1853</v>
      </c>
      <c r="I130" s="2" t="n">
        <v>0.375807238979401</v>
      </c>
      <c r="J130" s="2" t="n">
        <v>0.349151088289251</v>
      </c>
      <c r="K130" s="2" t="n">
        <f aca="false">J130-I130</f>
        <v>-0.02665615069015</v>
      </c>
      <c r="L130" s="2" t="n">
        <v>0.757219448945817</v>
      </c>
    </row>
    <row r="131" customFormat="false" ht="15" hidden="false" customHeight="false" outlineLevel="0" collapsed="false">
      <c r="A131" s="1" t="s">
        <v>91</v>
      </c>
      <c r="B131" s="1" t="s">
        <v>92</v>
      </c>
      <c r="C131" s="1" t="s">
        <v>93</v>
      </c>
      <c r="D131" s="2" t="s">
        <v>19</v>
      </c>
      <c r="E131" s="2" t="s">
        <v>20</v>
      </c>
      <c r="F131" s="2" t="n">
        <v>43</v>
      </c>
      <c r="G131" s="2" t="s">
        <v>21</v>
      </c>
      <c r="H131" s="2" t="n">
        <v>0.1719</v>
      </c>
      <c r="I131" s="2" t="n">
        <v>0.348528951600523</v>
      </c>
      <c r="J131" s="2" t="n">
        <v>0.33563518578555</v>
      </c>
      <c r="K131" s="2" t="n">
        <f aca="false">J131-I131</f>
        <v>-0.012893765814973</v>
      </c>
      <c r="L131" s="2" t="n">
        <v>0.757219448945817</v>
      </c>
    </row>
    <row r="132" customFormat="false" ht="15" hidden="false" customHeight="false" outlineLevel="0" collapsed="false">
      <c r="A132" s="1" t="s">
        <v>91</v>
      </c>
      <c r="B132" s="1" t="s">
        <v>92</v>
      </c>
      <c r="C132" s="1" t="s">
        <v>93</v>
      </c>
      <c r="D132" s="2" t="s">
        <v>19</v>
      </c>
      <c r="E132" s="2" t="s">
        <v>20</v>
      </c>
      <c r="F132" s="2" t="n">
        <v>43</v>
      </c>
      <c r="G132" s="2" t="s">
        <v>33</v>
      </c>
      <c r="H132" s="2" t="n">
        <v>0.1523</v>
      </c>
      <c r="I132" s="2" t="n">
        <v>0.308822035329342</v>
      </c>
      <c r="J132" s="2" t="n">
        <v>0.278089610332234</v>
      </c>
      <c r="K132" s="2" t="n">
        <f aca="false">J132-I132</f>
        <v>-0.030732424997108</v>
      </c>
      <c r="L132" s="2" t="n">
        <v>0.757219448945817</v>
      </c>
    </row>
    <row r="133" customFormat="false" ht="15" hidden="false" customHeight="false" outlineLevel="0" collapsed="false">
      <c r="A133" s="1" t="s">
        <v>91</v>
      </c>
      <c r="B133" s="1" t="s">
        <v>92</v>
      </c>
      <c r="C133" s="1" t="s">
        <v>93</v>
      </c>
      <c r="D133" s="2" t="s">
        <v>19</v>
      </c>
      <c r="E133" s="2" t="s">
        <v>20</v>
      </c>
      <c r="F133" s="2" t="n">
        <v>43</v>
      </c>
      <c r="G133" s="2" t="s">
        <v>24</v>
      </c>
      <c r="H133" s="2" t="n">
        <v>0.1514</v>
      </c>
      <c r="I133" s="2" t="n">
        <v>0.307022546995034</v>
      </c>
      <c r="J133" s="2" t="n">
        <v>0.349866255615608</v>
      </c>
      <c r="K133" s="2" t="n">
        <f aca="false">J133-I133</f>
        <v>0.042843708620574</v>
      </c>
      <c r="L133" s="2" t="n">
        <v>0.757219448945817</v>
      </c>
    </row>
    <row r="134" customFormat="false" ht="15" hidden="false" customHeight="false" outlineLevel="0" collapsed="false">
      <c r="A134" s="1" t="s">
        <v>91</v>
      </c>
      <c r="B134" s="1" t="s">
        <v>92</v>
      </c>
      <c r="C134" s="1" t="s">
        <v>93</v>
      </c>
      <c r="D134" s="2" t="s">
        <v>19</v>
      </c>
      <c r="E134" s="2" t="s">
        <v>20</v>
      </c>
      <c r="F134" s="2" t="n">
        <v>43</v>
      </c>
      <c r="G134" s="2" t="s">
        <v>26</v>
      </c>
      <c r="H134" s="2" t="n">
        <v>0.1472</v>
      </c>
      <c r="I134" s="2" t="n">
        <v>0.298450090060959</v>
      </c>
      <c r="J134" s="2" t="n">
        <v>0.276790018815372</v>
      </c>
      <c r="K134" s="2" t="n">
        <f aca="false">J134-I134</f>
        <v>-0.021660071245587</v>
      </c>
      <c r="L134" s="2" t="n">
        <v>0.757219448945817</v>
      </c>
    </row>
    <row r="135" customFormat="false" ht="15" hidden="false" customHeight="false" outlineLevel="0" collapsed="false">
      <c r="A135" s="1" t="s">
        <v>94</v>
      </c>
      <c r="B135" s="1" t="s">
        <v>95</v>
      </c>
      <c r="C135" s="1" t="s">
        <v>96</v>
      </c>
      <c r="D135" s="2" t="s">
        <v>19</v>
      </c>
      <c r="E135" s="2" t="s">
        <v>20</v>
      </c>
      <c r="F135" s="2" t="n">
        <v>45</v>
      </c>
      <c r="G135" s="2" t="s">
        <v>23</v>
      </c>
      <c r="H135" s="2" t="n">
        <v>0.2001</v>
      </c>
      <c r="I135" s="2" t="n">
        <v>0.274029759563068</v>
      </c>
      <c r="J135" s="2" t="n">
        <v>0.343143045992203</v>
      </c>
      <c r="K135" s="2" t="n">
        <f aca="false">J135-I135</f>
        <v>0.069113286429135</v>
      </c>
      <c r="L135" s="2" t="n">
        <v>0.75138094509243</v>
      </c>
      <c r="N135" s="1" t="n">
        <f aca="false">AVERAGE(K135:K140)</f>
        <v>0.0567943385514292</v>
      </c>
    </row>
    <row r="136" customFormat="false" ht="15" hidden="false" customHeight="false" outlineLevel="0" collapsed="false">
      <c r="A136" s="1" t="s">
        <v>94</v>
      </c>
      <c r="B136" s="1" t="s">
        <v>95</v>
      </c>
      <c r="C136" s="1" t="s">
        <v>96</v>
      </c>
      <c r="D136" s="2" t="s">
        <v>19</v>
      </c>
      <c r="E136" s="2" t="s">
        <v>20</v>
      </c>
      <c r="F136" s="2" t="n">
        <v>45</v>
      </c>
      <c r="G136" s="2" t="s">
        <v>24</v>
      </c>
      <c r="H136" s="2" t="n">
        <v>0.1867</v>
      </c>
      <c r="I136" s="2" t="n">
        <v>0.25574114275046</v>
      </c>
      <c r="J136" s="2" t="n">
        <v>0.307347146142948</v>
      </c>
      <c r="K136" s="2" t="n">
        <f aca="false">J136-I136</f>
        <v>0.051606003392488</v>
      </c>
      <c r="L136" s="2" t="n">
        <v>0.75138094509243</v>
      </c>
    </row>
    <row r="137" customFormat="false" ht="15" hidden="false" customHeight="false" outlineLevel="0" collapsed="false">
      <c r="A137" s="1" t="s">
        <v>94</v>
      </c>
      <c r="B137" s="1" t="s">
        <v>95</v>
      </c>
      <c r="C137" s="1" t="s">
        <v>96</v>
      </c>
      <c r="D137" s="2" t="s">
        <v>19</v>
      </c>
      <c r="E137" s="2" t="s">
        <v>20</v>
      </c>
      <c r="F137" s="2" t="n">
        <v>45</v>
      </c>
      <c r="G137" s="2" t="s">
        <v>21</v>
      </c>
      <c r="H137" s="2" t="n">
        <v>0.1827</v>
      </c>
      <c r="I137" s="2" t="n">
        <v>0.250227495002304</v>
      </c>
      <c r="J137" s="2" t="n">
        <v>0.299177519664739</v>
      </c>
      <c r="K137" s="2" t="n">
        <f aca="false">J137-I137</f>
        <v>0.048950024662435</v>
      </c>
      <c r="L137" s="2" t="n">
        <v>0.75138094509243</v>
      </c>
    </row>
    <row r="138" customFormat="false" ht="15" hidden="false" customHeight="false" outlineLevel="0" collapsed="false">
      <c r="A138" s="1" t="s">
        <v>94</v>
      </c>
      <c r="B138" s="1" t="s">
        <v>95</v>
      </c>
      <c r="C138" s="1" t="s">
        <v>96</v>
      </c>
      <c r="D138" s="2" t="s">
        <v>19</v>
      </c>
      <c r="E138" s="2" t="s">
        <v>20</v>
      </c>
      <c r="F138" s="2" t="n">
        <v>45</v>
      </c>
      <c r="G138" s="2" t="s">
        <v>22</v>
      </c>
      <c r="H138" s="2" t="n">
        <v>0.1781</v>
      </c>
      <c r="I138" s="2" t="n">
        <v>0.243949210785431</v>
      </c>
      <c r="J138" s="2" t="n">
        <v>0.299605114232889</v>
      </c>
      <c r="K138" s="2" t="n">
        <f aca="false">J138-I138</f>
        <v>0.055655903447458</v>
      </c>
      <c r="L138" s="2" t="n">
        <v>0.75138094509243</v>
      </c>
    </row>
    <row r="139" customFormat="false" ht="15" hidden="false" customHeight="false" outlineLevel="0" collapsed="false">
      <c r="A139" s="1" t="s">
        <v>94</v>
      </c>
      <c r="B139" s="1" t="s">
        <v>95</v>
      </c>
      <c r="C139" s="1" t="s">
        <v>96</v>
      </c>
      <c r="D139" s="2" t="s">
        <v>19</v>
      </c>
      <c r="E139" s="2" t="s">
        <v>20</v>
      </c>
      <c r="F139" s="2" t="n">
        <v>45</v>
      </c>
      <c r="G139" s="2" t="s">
        <v>37</v>
      </c>
      <c r="H139" s="2" t="n">
        <v>0.1524</v>
      </c>
      <c r="I139" s="2" t="n">
        <v>0.208673657315472</v>
      </c>
      <c r="J139" s="2" t="n">
        <v>0.235877792016594</v>
      </c>
      <c r="K139" s="2" t="n">
        <f aca="false">J139-I139</f>
        <v>0.027204134701122</v>
      </c>
      <c r="L139" s="2" t="n">
        <v>0.75138094509243</v>
      </c>
    </row>
    <row r="140" customFormat="false" ht="15" hidden="false" customHeight="false" outlineLevel="0" collapsed="false">
      <c r="A140" s="1" t="s">
        <v>94</v>
      </c>
      <c r="B140" s="1" t="s">
        <v>95</v>
      </c>
      <c r="C140" s="1" t="s">
        <v>96</v>
      </c>
      <c r="D140" s="2" t="s">
        <v>19</v>
      </c>
      <c r="E140" s="2" t="s">
        <v>20</v>
      </c>
      <c r="F140" s="2" t="n">
        <v>45</v>
      </c>
      <c r="G140" s="2" t="s">
        <v>26</v>
      </c>
      <c r="H140" s="2" t="n">
        <v>0.1</v>
      </c>
      <c r="I140" s="2" t="n">
        <v>0.161774798773894</v>
      </c>
      <c r="J140" s="2" t="n">
        <v>0.250011477449831</v>
      </c>
      <c r="K140" s="2" t="n">
        <f aca="false">J140-I140</f>
        <v>0.088236678675937</v>
      </c>
      <c r="L140" s="2" t="n">
        <v>0.75138094509243</v>
      </c>
    </row>
    <row r="141" customFormat="false" ht="15" hidden="false" customHeight="false" outlineLevel="0" collapsed="false">
      <c r="A141" s="1" t="s">
        <v>97</v>
      </c>
      <c r="B141" s="1" t="s">
        <v>98</v>
      </c>
      <c r="C141" s="1" t="s">
        <v>99</v>
      </c>
      <c r="D141" s="2" t="s">
        <v>19</v>
      </c>
      <c r="E141" s="2" t="s">
        <v>20</v>
      </c>
      <c r="F141" s="2" t="n">
        <v>47</v>
      </c>
      <c r="G141" s="2" t="s">
        <v>23</v>
      </c>
      <c r="H141" s="2" t="n">
        <v>0.1945</v>
      </c>
      <c r="I141" s="2" t="n">
        <v>0.287869862612654</v>
      </c>
      <c r="J141" s="2" t="n">
        <v>0.379664755637448</v>
      </c>
      <c r="K141" s="2" t="n">
        <f aca="false">J141-I141</f>
        <v>0.091794893024794</v>
      </c>
      <c r="L141" s="2" t="n">
        <v>0.783578798476775</v>
      </c>
      <c r="N141" s="1" t="n">
        <f aca="false">AVERAGE(K141:K146)</f>
        <v>0.0795685822492108</v>
      </c>
    </row>
    <row r="142" customFormat="false" ht="15" hidden="false" customHeight="false" outlineLevel="0" collapsed="false">
      <c r="A142" s="1" t="s">
        <v>97</v>
      </c>
      <c r="B142" s="1" t="s">
        <v>98</v>
      </c>
      <c r="C142" s="1" t="s">
        <v>99</v>
      </c>
      <c r="D142" s="2" t="s">
        <v>19</v>
      </c>
      <c r="E142" s="2" t="s">
        <v>20</v>
      </c>
      <c r="F142" s="2" t="n">
        <v>47</v>
      </c>
      <c r="G142" s="2" t="s">
        <v>21</v>
      </c>
      <c r="H142" s="2" t="n">
        <v>0.1896</v>
      </c>
      <c r="I142" s="2" t="n">
        <v>0.280665713364516</v>
      </c>
      <c r="J142" s="2" t="n">
        <v>0.345707181424684</v>
      </c>
      <c r="K142" s="2" t="n">
        <f aca="false">J142-I142</f>
        <v>0.065041468060168</v>
      </c>
      <c r="L142" s="2" t="n">
        <v>0.783578798476775</v>
      </c>
    </row>
    <row r="143" customFormat="false" ht="15" hidden="false" customHeight="false" outlineLevel="0" collapsed="false">
      <c r="A143" s="1" t="s">
        <v>97</v>
      </c>
      <c r="B143" s="1" t="s">
        <v>98</v>
      </c>
      <c r="C143" s="1" t="s">
        <v>99</v>
      </c>
      <c r="D143" s="2" t="s">
        <v>19</v>
      </c>
      <c r="E143" s="2" t="s">
        <v>20</v>
      </c>
      <c r="F143" s="2" t="n">
        <v>47</v>
      </c>
      <c r="G143" s="2" t="s">
        <v>24</v>
      </c>
      <c r="H143" s="2" t="n">
        <v>0.1828</v>
      </c>
      <c r="I143" s="2" t="n">
        <v>0.270512447385312</v>
      </c>
      <c r="J143" s="2" t="n">
        <v>0.348619853305692</v>
      </c>
      <c r="K143" s="2" t="n">
        <f aca="false">J143-I143</f>
        <v>0.07810740592038</v>
      </c>
      <c r="L143" s="2" t="n">
        <v>0.783578798476775</v>
      </c>
    </row>
    <row r="144" customFormat="false" ht="15" hidden="false" customHeight="false" outlineLevel="0" collapsed="false">
      <c r="A144" s="1" t="s">
        <v>97</v>
      </c>
      <c r="B144" s="1" t="s">
        <v>98</v>
      </c>
      <c r="C144" s="1" t="s">
        <v>99</v>
      </c>
      <c r="D144" s="2" t="s">
        <v>19</v>
      </c>
      <c r="E144" s="2" t="s">
        <v>20</v>
      </c>
      <c r="F144" s="2" t="n">
        <v>47</v>
      </c>
      <c r="G144" s="2" t="s">
        <v>22</v>
      </c>
      <c r="H144" s="2" t="n">
        <v>0.1796</v>
      </c>
      <c r="I144" s="2" t="n">
        <v>0.265866167569956</v>
      </c>
      <c r="J144" s="2" t="n">
        <v>0.347123418056076</v>
      </c>
      <c r="K144" s="2" t="n">
        <f aca="false">J144-I144</f>
        <v>0.08125725048612</v>
      </c>
      <c r="L144" s="2" t="n">
        <v>0.783578798476775</v>
      </c>
    </row>
    <row r="145" customFormat="false" ht="15" hidden="false" customHeight="false" outlineLevel="0" collapsed="false">
      <c r="A145" s="1" t="s">
        <v>97</v>
      </c>
      <c r="B145" s="1" t="s">
        <v>98</v>
      </c>
      <c r="C145" s="1" t="s">
        <v>99</v>
      </c>
      <c r="D145" s="2" t="s">
        <v>19</v>
      </c>
      <c r="E145" s="2" t="s">
        <v>20</v>
      </c>
      <c r="F145" s="2" t="n">
        <v>47</v>
      </c>
      <c r="G145" s="2" t="s">
        <v>37</v>
      </c>
      <c r="H145" s="2" t="n">
        <v>0.1534</v>
      </c>
      <c r="I145" s="2" t="n">
        <v>0.227047479580074</v>
      </c>
      <c r="J145" s="2" t="n">
        <v>0.273852871857652</v>
      </c>
      <c r="K145" s="2" t="n">
        <f aca="false">J145-I145</f>
        <v>0.046805392277578</v>
      </c>
      <c r="L145" s="2" t="n">
        <v>0.783578798476775</v>
      </c>
    </row>
    <row r="146" customFormat="false" ht="15" hidden="false" customHeight="false" outlineLevel="0" collapsed="false">
      <c r="A146" s="1" t="s">
        <v>97</v>
      </c>
      <c r="B146" s="1" t="s">
        <v>98</v>
      </c>
      <c r="C146" s="1" t="s">
        <v>99</v>
      </c>
      <c r="D146" s="2" t="s">
        <v>19</v>
      </c>
      <c r="E146" s="2" t="s">
        <v>20</v>
      </c>
      <c r="F146" s="2" t="n">
        <v>47</v>
      </c>
      <c r="G146" s="2" t="s">
        <v>26</v>
      </c>
      <c r="H146" s="2" t="n">
        <v>0.1</v>
      </c>
      <c r="I146" s="2" t="n">
        <v>0.194325460519001</v>
      </c>
      <c r="J146" s="2" t="n">
        <v>0.308730544245226</v>
      </c>
      <c r="K146" s="2" t="n">
        <f aca="false">J146-I146</f>
        <v>0.114405083726225</v>
      </c>
      <c r="L146" s="2" t="n">
        <v>0.783578798476775</v>
      </c>
    </row>
    <row r="147" customFormat="false" ht="15" hidden="false" customHeight="false" outlineLevel="0" collapsed="false">
      <c r="A147" s="1" t="s">
        <v>100</v>
      </c>
      <c r="B147" s="1" t="s">
        <v>101</v>
      </c>
      <c r="C147" s="1" t="s">
        <v>102</v>
      </c>
      <c r="D147" s="2" t="s">
        <v>19</v>
      </c>
      <c r="E147" s="2" t="s">
        <v>20</v>
      </c>
      <c r="F147" s="2" t="n">
        <v>49</v>
      </c>
      <c r="G147" s="2" t="s">
        <v>24</v>
      </c>
      <c r="H147" s="2" t="n">
        <v>0.1866</v>
      </c>
      <c r="I147" s="2" t="n">
        <v>0.342508720193799</v>
      </c>
      <c r="J147" s="2" t="n">
        <v>0.35445907728697</v>
      </c>
      <c r="K147" s="2" t="n">
        <f aca="false">J147-I147</f>
        <v>0.011950357093171</v>
      </c>
      <c r="L147" s="2" t="n">
        <v>0.690023913451965</v>
      </c>
      <c r="N147" s="1" t="n">
        <f aca="false">AVERAGE(K147:K152)</f>
        <v>0.0223451514082287</v>
      </c>
    </row>
    <row r="148" customFormat="false" ht="15" hidden="false" customHeight="false" outlineLevel="0" collapsed="false">
      <c r="A148" s="1" t="s">
        <v>100</v>
      </c>
      <c r="B148" s="1" t="s">
        <v>101</v>
      </c>
      <c r="C148" s="1" t="s">
        <v>102</v>
      </c>
      <c r="D148" s="2" t="s">
        <v>19</v>
      </c>
      <c r="E148" s="2" t="s">
        <v>20</v>
      </c>
      <c r="F148" s="2" t="n">
        <v>49</v>
      </c>
      <c r="G148" s="2" t="s">
        <v>23</v>
      </c>
      <c r="H148" s="2" t="n">
        <v>0.1818</v>
      </c>
      <c r="I148" s="2" t="n">
        <v>0.333788431724737</v>
      </c>
      <c r="J148" s="2" t="n">
        <v>0.371321445725026</v>
      </c>
      <c r="K148" s="2" t="n">
        <f aca="false">J148-I148</f>
        <v>0.037533014000289</v>
      </c>
      <c r="L148" s="2" t="n">
        <v>0.690023913451965</v>
      </c>
    </row>
    <row r="149" customFormat="false" ht="15" hidden="false" customHeight="false" outlineLevel="0" collapsed="false">
      <c r="A149" s="1" t="s">
        <v>100</v>
      </c>
      <c r="B149" s="1" t="s">
        <v>101</v>
      </c>
      <c r="C149" s="1" t="s">
        <v>102</v>
      </c>
      <c r="D149" s="2" t="s">
        <v>19</v>
      </c>
      <c r="E149" s="2" t="s">
        <v>20</v>
      </c>
      <c r="F149" s="2" t="n">
        <v>49</v>
      </c>
      <c r="G149" s="2" t="s">
        <v>26</v>
      </c>
      <c r="H149" s="2" t="n">
        <v>0.1644</v>
      </c>
      <c r="I149" s="2" t="n">
        <v>0.301783699319527</v>
      </c>
      <c r="J149" s="2" t="n">
        <v>0.289774899109837</v>
      </c>
      <c r="K149" s="2" t="n">
        <f aca="false">J149-I149</f>
        <v>-0.01200880020969</v>
      </c>
      <c r="L149" s="2" t="n">
        <v>0.690023913451965</v>
      </c>
    </row>
    <row r="150" customFormat="false" ht="15" hidden="false" customHeight="false" outlineLevel="0" collapsed="false">
      <c r="A150" s="1" t="s">
        <v>100</v>
      </c>
      <c r="B150" s="1" t="s">
        <v>101</v>
      </c>
      <c r="C150" s="1" t="s">
        <v>102</v>
      </c>
      <c r="D150" s="2" t="s">
        <v>19</v>
      </c>
      <c r="E150" s="2" t="s">
        <v>20</v>
      </c>
      <c r="F150" s="2" t="n">
        <v>49</v>
      </c>
      <c r="G150" s="2" t="s">
        <v>22</v>
      </c>
      <c r="H150" s="2" t="n">
        <v>0.1585</v>
      </c>
      <c r="I150" s="2" t="n">
        <v>0.290958286877</v>
      </c>
      <c r="J150" s="2" t="n">
        <v>0.349541201328834</v>
      </c>
      <c r="K150" s="2" t="n">
        <f aca="false">J150-I150</f>
        <v>0.058582914451834</v>
      </c>
      <c r="L150" s="2" t="n">
        <v>0.690023913451965</v>
      </c>
    </row>
    <row r="151" customFormat="false" ht="15" hidden="false" customHeight="false" outlineLevel="0" collapsed="false">
      <c r="A151" s="1" t="s">
        <v>100</v>
      </c>
      <c r="B151" s="1" t="s">
        <v>101</v>
      </c>
      <c r="C151" s="1" t="s">
        <v>102</v>
      </c>
      <c r="D151" s="2" t="s">
        <v>19</v>
      </c>
      <c r="E151" s="2" t="s">
        <v>20</v>
      </c>
      <c r="F151" s="2" t="n">
        <v>49</v>
      </c>
      <c r="G151" s="2" t="s">
        <v>21</v>
      </c>
      <c r="H151" s="2" t="n">
        <v>0.1583</v>
      </c>
      <c r="I151" s="2" t="n">
        <v>0.290534969532069</v>
      </c>
      <c r="J151" s="2" t="n">
        <v>0.319444966267836</v>
      </c>
      <c r="K151" s="2" t="n">
        <f aca="false">J151-I151</f>
        <v>0.028909996735767</v>
      </c>
      <c r="L151" s="2" t="n">
        <v>0.690023913451965</v>
      </c>
    </row>
    <row r="152" customFormat="false" ht="15" hidden="false" customHeight="false" outlineLevel="0" collapsed="false">
      <c r="A152" s="1" t="s">
        <v>100</v>
      </c>
      <c r="B152" s="1" t="s">
        <v>101</v>
      </c>
      <c r="C152" s="1" t="s">
        <v>102</v>
      </c>
      <c r="D152" s="2" t="s">
        <v>19</v>
      </c>
      <c r="E152" s="2" t="s">
        <v>20</v>
      </c>
      <c r="F152" s="2" t="n">
        <v>49</v>
      </c>
      <c r="G152" s="2" t="s">
        <v>33</v>
      </c>
      <c r="H152" s="2" t="n">
        <v>0.1504</v>
      </c>
      <c r="I152" s="2" t="n">
        <v>0.276104633430048</v>
      </c>
      <c r="J152" s="2" t="n">
        <v>0.285208059808049</v>
      </c>
      <c r="K152" s="2" t="n">
        <f aca="false">J152-I152</f>
        <v>0.00910342637800099</v>
      </c>
      <c r="L152" s="2" t="n">
        <v>0.690023913451965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4" activeCellId="1" sqref="L3:M3 B4"/>
    </sheetView>
  </sheetViews>
  <sheetFormatPr defaultColWidth="10.1640625" defaultRowHeight="12.8" customHeight="false" zeroHeight="false" outlineLevelRow="0" outlineLevelCol="0"/>
  <cols>
    <col collapsed="false" customWidth="false" hidden="false" outlineLevel="0" max="1" min="1" style="4" width="10.16"/>
    <col collapsed="false" customWidth="true" hidden="false" outlineLevel="0" max="2" min="2" style="4" width="17.56"/>
    <col collapsed="false" customWidth="false" hidden="false" outlineLevel="0" max="16384" min="3" style="4" width="10.16"/>
  </cols>
  <sheetData>
    <row r="1" customFormat="false" ht="12.8" hidden="false" customHeight="false" outlineLevel="0" collapsed="false">
      <c r="A1" s="4" t="s">
        <v>103</v>
      </c>
    </row>
    <row r="3" customFormat="false" ht="12.8" hidden="false" customHeight="false" outlineLevel="0" collapsed="false">
      <c r="A3" s="4" t="s">
        <v>104</v>
      </c>
      <c r="B3" s="4" t="n">
        <f aca="false">COUNT(Sheet1!K3:K152)</f>
        <v>150</v>
      </c>
      <c r="C3" s="4" t="s">
        <v>105</v>
      </c>
    </row>
    <row r="4" customFormat="false" ht="12.8" hidden="false" customHeight="false" outlineLevel="0" collapsed="false">
      <c r="A4" s="4" t="s">
        <v>106</v>
      </c>
      <c r="B4" s="4" t="n">
        <f aca="false">Sheet1!P3*SQRT((B3-2)/(1-Sheet1!P3^2))</f>
        <v>-2.61129250940665</v>
      </c>
    </row>
    <row r="5" customFormat="false" ht="12.8" hidden="false" customHeight="false" outlineLevel="0" collapsed="false">
      <c r="A5" s="4" t="s">
        <v>107</v>
      </c>
      <c r="B5" s="4" t="n">
        <f aca="false">_xlfn.T.DIST.2T(ABS(B4),B3-2)</f>
        <v>0.00994886176790715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E3" activeCellId="1" sqref="L3:M3 E3"/>
    </sheetView>
  </sheetViews>
  <sheetFormatPr defaultColWidth="10.1640625" defaultRowHeight="12.8" customHeight="false" zeroHeight="false" outlineLevelRow="0" outlineLevelCol="0"/>
  <cols>
    <col collapsed="false" customWidth="false" hidden="false" outlineLevel="0" max="1" min="1" style="5" width="10.16"/>
    <col collapsed="false" customWidth="true" hidden="false" outlineLevel="0" max="2" min="2" style="5" width="19.31"/>
    <col collapsed="false" customWidth="true" hidden="false" outlineLevel="0" max="3" min="3" style="5" width="19.67"/>
    <col collapsed="false" customWidth="false" hidden="false" outlineLevel="0" max="4" min="4" style="5" width="10.16"/>
    <col collapsed="false" customWidth="true" hidden="false" outlineLevel="0" max="5" min="5" style="5" width="15.79"/>
    <col collapsed="false" customWidth="true" hidden="false" outlineLevel="0" max="6" min="6" style="5" width="6.85"/>
    <col collapsed="false" customWidth="true" hidden="false" outlineLevel="0" max="7" min="7" style="5" width="15.79"/>
    <col collapsed="false" customWidth="true" hidden="false" outlineLevel="0" max="8" min="8" style="5" width="14.61"/>
    <col collapsed="false" customWidth="false" hidden="false" outlineLevel="0" max="16384" min="9" style="5" width="10.16"/>
  </cols>
  <sheetData>
    <row r="1" customFormat="false" ht="12.8" hidden="false" customHeight="false" outlineLevel="0" collapsed="false">
      <c r="A1" s="6"/>
      <c r="B1" s="6" t="s">
        <v>11</v>
      </c>
      <c r="C1" s="6" t="s">
        <v>12</v>
      </c>
      <c r="E1" s="5" t="s">
        <v>108</v>
      </c>
      <c r="F1" s="5" t="s">
        <v>109</v>
      </c>
      <c r="G1" s="5" t="s">
        <v>110</v>
      </c>
      <c r="H1" s="5" t="s">
        <v>111</v>
      </c>
    </row>
    <row r="3" customFormat="false" ht="12.8" hidden="false" customHeight="false" outlineLevel="0" collapsed="false">
      <c r="A3" s="5" t="n">
        <v>1</v>
      </c>
      <c r="B3" s="5" t="n">
        <v>0.820329791398556</v>
      </c>
      <c r="C3" s="5" t="n">
        <v>0.06337896583226</v>
      </c>
      <c r="E3" s="5" t="n">
        <f aca="false">CORREL(B3:B27, C3:C27)</f>
        <v>0.158813035977687</v>
      </c>
      <c r="F3" s="5" t="n">
        <f aca="false">COUNT(C3:C27)</f>
        <v>25</v>
      </c>
      <c r="G3" s="5" t="n">
        <f aca="false">E3*SQRT((F3-2)/(1-E3^2))</f>
        <v>0.771431046429618</v>
      </c>
      <c r="H3" s="5" t="n">
        <f aca="false">_xlfn.T.DIST.2T(ABS(G3),F3-2)</f>
        <v>0.448305076693533</v>
      </c>
    </row>
    <row r="4" customFormat="false" ht="12.8" hidden="false" customHeight="false" outlineLevel="0" collapsed="false">
      <c r="A4" s="5" t="n">
        <v>2</v>
      </c>
      <c r="B4" s="5" t="n">
        <v>0.760208954092368</v>
      </c>
      <c r="C4" s="5" t="n">
        <v>0.0550499902908135</v>
      </c>
    </row>
    <row r="5" customFormat="false" ht="12.8" hidden="false" customHeight="false" outlineLevel="0" collapsed="false">
      <c r="A5" s="5" t="n">
        <v>3</v>
      </c>
      <c r="B5" s="5" t="n">
        <v>0.779358920094772</v>
      </c>
      <c r="C5" s="5" t="n">
        <v>-0.00439158942792839</v>
      </c>
    </row>
    <row r="6" customFormat="false" ht="12.8" hidden="false" customHeight="false" outlineLevel="0" collapsed="false">
      <c r="A6" s="5" t="n">
        <v>4</v>
      </c>
      <c r="B6" s="5" t="n">
        <v>0.655474168574833</v>
      </c>
      <c r="C6" s="5" t="n">
        <v>0.0508384494810948</v>
      </c>
    </row>
    <row r="7" customFormat="false" ht="12.8" hidden="false" customHeight="false" outlineLevel="0" collapsed="false">
      <c r="A7" s="5" t="n">
        <v>5</v>
      </c>
      <c r="B7" s="5" t="n">
        <v>0.601488270812317</v>
      </c>
      <c r="C7" s="5" t="n">
        <v>0.00235076452150921</v>
      </c>
    </row>
    <row r="8" customFormat="false" ht="12.8" hidden="false" customHeight="false" outlineLevel="0" collapsed="false">
      <c r="A8" s="5" t="n">
        <v>6</v>
      </c>
      <c r="B8" s="5" t="n">
        <v>0.802605111539465</v>
      </c>
      <c r="C8" s="5" t="n">
        <v>0.0265129628136734</v>
      </c>
    </row>
    <row r="9" customFormat="false" ht="12.8" hidden="false" customHeight="false" outlineLevel="0" collapsed="false">
      <c r="A9" s="5" t="n">
        <v>7</v>
      </c>
      <c r="B9" s="5" t="n">
        <v>0.648878416428975</v>
      </c>
      <c r="C9" s="5" t="n">
        <v>0.105641353551176</v>
      </c>
    </row>
    <row r="10" customFormat="false" ht="12.8" hidden="false" customHeight="false" outlineLevel="0" collapsed="false">
      <c r="A10" s="5" t="n">
        <v>8</v>
      </c>
      <c r="B10" s="5" t="n">
        <v>0.75255045120181</v>
      </c>
      <c r="C10" s="5" t="n">
        <v>0.056384955041296</v>
      </c>
    </row>
    <row r="11" customFormat="false" ht="12.8" hidden="false" customHeight="false" outlineLevel="0" collapsed="false">
      <c r="A11" s="5" t="n">
        <v>9</v>
      </c>
      <c r="B11" s="5" t="n">
        <v>0.725998440426624</v>
      </c>
      <c r="C11" s="5" t="n">
        <v>-0.00601878699766577</v>
      </c>
    </row>
    <row r="12" customFormat="false" ht="12.8" hidden="false" customHeight="false" outlineLevel="0" collapsed="false">
      <c r="A12" s="5" t="n">
        <v>10</v>
      </c>
      <c r="B12" s="5" t="n">
        <v>0.706819355320024</v>
      </c>
      <c r="C12" s="5" t="n">
        <v>0.0353484571879285</v>
      </c>
    </row>
    <row r="13" customFormat="false" ht="12.8" hidden="false" customHeight="false" outlineLevel="0" collapsed="false">
      <c r="A13" s="5" t="n">
        <v>11</v>
      </c>
      <c r="B13" s="5" t="n">
        <v>0.663884135279099</v>
      </c>
      <c r="C13" s="5" t="n">
        <v>0.0681822785608488</v>
      </c>
    </row>
    <row r="14" customFormat="false" ht="12.8" hidden="false" customHeight="false" outlineLevel="0" collapsed="false">
      <c r="A14" s="5" t="n">
        <v>12</v>
      </c>
      <c r="B14" s="5" t="n">
        <v>0.808680515695504</v>
      </c>
      <c r="C14" s="5" t="n">
        <v>0.0874474351890491</v>
      </c>
    </row>
    <row r="15" customFormat="false" ht="12.8" hidden="false" customHeight="false" outlineLevel="0" collapsed="false">
      <c r="A15" s="5" t="n">
        <v>13</v>
      </c>
      <c r="B15" s="5" t="n">
        <v>0.697789785928682</v>
      </c>
      <c r="C15" s="5" t="n">
        <v>0.0968160815281591</v>
      </c>
    </row>
    <row r="16" customFormat="false" ht="12.8" hidden="false" customHeight="false" outlineLevel="0" collapsed="false">
      <c r="A16" s="5" t="n">
        <v>14</v>
      </c>
      <c r="B16" s="5" t="n">
        <v>0.749649894113733</v>
      </c>
      <c r="C16" s="5" t="n">
        <v>-0.0210559311334001</v>
      </c>
    </row>
    <row r="17" customFormat="false" ht="12.8" hidden="false" customHeight="false" outlineLevel="0" collapsed="false">
      <c r="A17" s="5" t="n">
        <v>15</v>
      </c>
      <c r="B17" s="5" t="n">
        <v>0.736967328412209</v>
      </c>
      <c r="C17" s="5" t="n">
        <v>0.0416922447549865</v>
      </c>
    </row>
    <row r="18" customFormat="false" ht="12.8" hidden="false" customHeight="false" outlineLevel="0" collapsed="false">
      <c r="A18" s="5" t="n">
        <v>16</v>
      </c>
      <c r="B18" s="5" t="n">
        <v>0.764104736117937</v>
      </c>
      <c r="C18" s="5" t="n">
        <v>0.0575000102283767</v>
      </c>
    </row>
    <row r="19" customFormat="false" ht="12.8" hidden="false" customHeight="false" outlineLevel="0" collapsed="false">
      <c r="A19" s="5" t="n">
        <v>17</v>
      </c>
      <c r="B19" s="5" t="n">
        <v>0.722501085513047</v>
      </c>
      <c r="C19" s="5" t="n">
        <v>0.0410511261155367</v>
      </c>
    </row>
    <row r="20" customFormat="false" ht="12.8" hidden="false" customHeight="false" outlineLevel="0" collapsed="false">
      <c r="A20" s="5" t="n">
        <v>18</v>
      </c>
      <c r="B20" s="5" t="n">
        <v>0.68518214731593</v>
      </c>
      <c r="C20" s="5" t="n">
        <v>0.0589258973968005</v>
      </c>
    </row>
    <row r="21" customFormat="false" ht="12.8" hidden="false" customHeight="false" outlineLevel="0" collapsed="false">
      <c r="A21" s="5" t="n">
        <v>19</v>
      </c>
      <c r="B21" s="5" t="n">
        <v>0.57422986602436</v>
      </c>
      <c r="C21" s="5" t="n">
        <v>-0.0267381276042297</v>
      </c>
    </row>
    <row r="22" customFormat="false" ht="12.8" hidden="false" customHeight="false" outlineLevel="0" collapsed="false">
      <c r="A22" s="5" t="n">
        <v>20</v>
      </c>
      <c r="B22" s="5" t="n">
        <v>0.862814658531392</v>
      </c>
      <c r="C22" s="5" t="n">
        <v>0.0372859181296986</v>
      </c>
    </row>
    <row r="23" customFormat="false" ht="12.8" hidden="false" customHeight="false" outlineLevel="0" collapsed="false">
      <c r="A23" s="5" t="n">
        <v>21</v>
      </c>
      <c r="B23" s="5" t="n">
        <v>0.766443599036539</v>
      </c>
      <c r="C23" s="5" t="n">
        <v>0.0466382136436394</v>
      </c>
    </row>
    <row r="24" customFormat="false" ht="12.8" hidden="false" customHeight="false" outlineLevel="0" collapsed="false">
      <c r="A24" s="5" t="n">
        <v>22</v>
      </c>
      <c r="B24" s="5" t="n">
        <v>0.757219448945817</v>
      </c>
      <c r="C24" s="5" t="n">
        <v>-0.0133553003180432</v>
      </c>
    </row>
    <row r="25" customFormat="false" ht="12.8" hidden="false" customHeight="false" outlineLevel="0" collapsed="false">
      <c r="A25" s="5" t="n">
        <v>23</v>
      </c>
      <c r="B25" s="5" t="n">
        <v>0.75138094509243</v>
      </c>
      <c r="C25" s="5" t="n">
        <v>0.056794338551429</v>
      </c>
    </row>
    <row r="26" customFormat="false" ht="12.8" hidden="false" customHeight="false" outlineLevel="0" collapsed="false">
      <c r="A26" s="5" t="n">
        <v>24</v>
      </c>
      <c r="B26" s="5" t="n">
        <v>0.783578798476775</v>
      </c>
      <c r="C26" s="5" t="n">
        <v>0.0795685822492109</v>
      </c>
    </row>
    <row r="27" customFormat="false" ht="12.8" hidden="false" customHeight="false" outlineLevel="0" collapsed="false">
      <c r="A27" s="5" t="n">
        <v>25</v>
      </c>
      <c r="B27" s="5" t="n">
        <v>0.690023913451965</v>
      </c>
      <c r="C27" s="5" t="n">
        <v>0.0223451514082287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L3" activeCellId="0" sqref="L3:M3"/>
    </sheetView>
  </sheetViews>
  <sheetFormatPr defaultColWidth="10.1640625" defaultRowHeight="13.8" customHeight="false" zeroHeight="false" outlineLevelRow="0" outlineLevelCol="0"/>
  <cols>
    <col collapsed="false" customWidth="false" hidden="false" outlineLevel="0" max="2" min="1" style="5" width="10.16"/>
    <col collapsed="false" customWidth="true" hidden="false" outlineLevel="0" max="3" min="3" style="5" width="20.58"/>
    <col collapsed="false" customWidth="true" hidden="false" outlineLevel="0" max="4" min="4" style="5" width="19.8"/>
    <col collapsed="false" customWidth="false" hidden="false" outlineLevel="0" max="5" min="5" style="5" width="10.16"/>
    <col collapsed="false" customWidth="true" hidden="false" outlineLevel="0" max="6" min="6" style="5" width="16.67"/>
    <col collapsed="false" customWidth="false" hidden="false" outlineLevel="0" max="7" min="7" style="5" width="10.16"/>
    <col collapsed="false" customWidth="true" hidden="false" outlineLevel="0" max="8" min="8" style="5" width="18.23"/>
    <col collapsed="false" customWidth="true" hidden="false" outlineLevel="0" max="10" min="9" style="5" width="17.95"/>
    <col collapsed="false" customWidth="true" hidden="false" outlineLevel="0" max="11" min="11" style="5" width="15.79"/>
    <col collapsed="false" customWidth="false" hidden="false" outlineLevel="0" max="13" min="12" style="5" width="10.16"/>
    <col collapsed="false" customWidth="true" hidden="false" outlineLevel="0" max="15" min="14" style="5" width="20.29"/>
    <col collapsed="false" customWidth="true" hidden="false" outlineLevel="0" max="16" min="16" style="5" width="18.13"/>
    <col collapsed="false" customWidth="true" hidden="false" outlineLevel="0" max="17" min="17" style="5" width="16.56"/>
    <col collapsed="false" customWidth="false" hidden="false" outlineLevel="0" max="16383" min="18" style="5" width="10.16"/>
  </cols>
  <sheetData>
    <row r="1" customFormat="false" ht="13.8" hidden="false" customHeight="false" outlineLevel="0" collapsed="false">
      <c r="H1" s="1"/>
      <c r="I1" s="5" t="s">
        <v>112</v>
      </c>
      <c r="O1" s="7" t="s">
        <v>113</v>
      </c>
    </row>
    <row r="2" customFormat="false" ht="13.8" hidden="false" customHeight="false" outlineLevel="0" collapsed="false">
      <c r="C2" s="5" t="s">
        <v>114</v>
      </c>
      <c r="D2" s="5" t="s">
        <v>115</v>
      </c>
      <c r="F2" s="5" t="s">
        <v>116</v>
      </c>
      <c r="G2" s="5" t="s">
        <v>117</v>
      </c>
      <c r="H2" s="5" t="s">
        <v>118</v>
      </c>
      <c r="I2" s="5" t="s">
        <v>119</v>
      </c>
      <c r="J2" s="5" t="s">
        <v>120</v>
      </c>
      <c r="K2" s="5" t="s">
        <v>121</v>
      </c>
      <c r="L2" s="5" t="s">
        <v>122</v>
      </c>
      <c r="M2" s="5" t="s">
        <v>123</v>
      </c>
      <c r="O2" s="5" t="s">
        <v>124</v>
      </c>
      <c r="P2" s="5" t="n">
        <v>0.05</v>
      </c>
    </row>
    <row r="3" customFormat="false" ht="13.8" hidden="false" customHeight="false" outlineLevel="0" collapsed="false">
      <c r="B3" s="5" t="n">
        <v>1</v>
      </c>
      <c r="C3" s="5" t="n">
        <v>0.820329791398556</v>
      </c>
      <c r="D3" s="5" t="n">
        <v>0.843168263254482</v>
      </c>
      <c r="F3" s="5" t="n">
        <f aca="false">_xlfn.STDEV.S(C3:C27)</f>
        <v>0.0678968994940753</v>
      </c>
      <c r="G3" s="5" t="n">
        <f aca="false">_xlfn.STDEV.S(D3:D27)</f>
        <v>0.117883055698871</v>
      </c>
      <c r="H3" s="5" t="n">
        <f aca="false">_xlfn.F.TEST(C3:C27,D3:D27)</f>
        <v>0.00900422310907177</v>
      </c>
      <c r="I3" s="5" t="n">
        <f aca="false">_xlfn.T.TEST(C3:C27, D3:D27, 2,2)</f>
        <v>1.34474013379499E-007</v>
      </c>
      <c r="J3" s="5" t="n">
        <f aca="false">_xlfn.T.TEST(C3:C27,D3:D27, 2,3)</f>
        <v>3.14213761379011E-007</v>
      </c>
      <c r="K3" s="5" t="n">
        <f aca="false">AVERAGE(C3:C27)-AVERAGE(D3:D27)</f>
        <v>0.168061021574026</v>
      </c>
      <c r="L3" s="5" t="n">
        <f aca="false">AVERAGE(C3:C27)</f>
        <v>0.730726509513007</v>
      </c>
      <c r="M3" s="5" t="n">
        <f aca="false">AVERAGE(D3:D27)</f>
        <v>0.56266548793898</v>
      </c>
      <c r="O3" s="5" t="s">
        <v>125</v>
      </c>
      <c r="P3" s="5" t="n">
        <v>0</v>
      </c>
    </row>
    <row r="4" customFormat="false" ht="13.8" hidden="false" customHeight="false" outlineLevel="0" collapsed="false">
      <c r="B4" s="5" t="n">
        <v>2</v>
      </c>
      <c r="C4" s="5" t="n">
        <v>0.760208954092368</v>
      </c>
      <c r="D4" s="5" t="n">
        <v>0.410481566775254</v>
      </c>
      <c r="P4" s="7" t="s">
        <v>126</v>
      </c>
      <c r="Q4" s="7" t="s">
        <v>127</v>
      </c>
    </row>
    <row r="5" customFormat="false" ht="13.8" hidden="false" customHeight="false" outlineLevel="0" collapsed="false">
      <c r="B5" s="5" t="n">
        <v>3</v>
      </c>
      <c r="C5" s="5" t="n">
        <v>0.779358920094772</v>
      </c>
      <c r="D5" s="5" t="n">
        <v>0.557975369920795</v>
      </c>
      <c r="O5" s="5" t="s">
        <v>128</v>
      </c>
      <c r="P5" s="5" t="n">
        <f aca="false">AVERAGE('control vs. ac15p statistics'!$C$3:$C$27)</f>
        <v>0.730726509513007</v>
      </c>
      <c r="Q5" s="5" t="n">
        <f aca="false">AVERAGE('control vs. ac15p statistics'!$D$3:$D$27)</f>
        <v>0.56266548793898</v>
      </c>
    </row>
    <row r="6" customFormat="false" ht="13.8" hidden="false" customHeight="false" outlineLevel="0" collapsed="false">
      <c r="B6" s="5" t="n">
        <v>4</v>
      </c>
      <c r="C6" s="5" t="n">
        <v>0.655474168574833</v>
      </c>
      <c r="D6" s="5" t="n">
        <v>0.619158269088556</v>
      </c>
      <c r="O6" s="5" t="s">
        <v>129</v>
      </c>
      <c r="P6" s="5" t="n">
        <f aca="false">VAR('control vs. ac15p statistics'!$C$3:$C$27)</f>
        <v>0.00460998896090856</v>
      </c>
      <c r="Q6" s="5" t="n">
        <f aca="false">VAR('control vs. ac15p statistics'!$D$3:$D$27)</f>
        <v>0.013896414820903</v>
      </c>
    </row>
    <row r="7" customFormat="false" ht="13.8" hidden="false" customHeight="false" outlineLevel="0" collapsed="false">
      <c r="B7" s="5" t="n">
        <v>5</v>
      </c>
      <c r="C7" s="5" t="n">
        <v>0.601488270812317</v>
      </c>
      <c r="D7" s="5" t="n">
        <v>0.403963080119542</v>
      </c>
      <c r="O7" s="5" t="s">
        <v>130</v>
      </c>
      <c r="P7" s="5" t="n">
        <f aca="false">COUNT('control vs. ac15p statistics'!$C$3:$C$27)</f>
        <v>25</v>
      </c>
      <c r="Q7" s="5" t="n">
        <f aca="false">COUNT('control vs. ac15p statistics'!$D$3:$D$27)</f>
        <v>25</v>
      </c>
    </row>
    <row r="8" customFormat="false" ht="13.8" hidden="false" customHeight="false" outlineLevel="0" collapsed="false">
      <c r="B8" s="5" t="n">
        <v>6</v>
      </c>
      <c r="C8" s="5" t="n">
        <v>0.802605111539465</v>
      </c>
      <c r="D8" s="5" t="n">
        <v>0.570743883878626</v>
      </c>
      <c r="O8" s="5" t="s">
        <v>131</v>
      </c>
      <c r="P8" s="5" t="n">
        <f aca="false">CORREL('control vs. ac15p statistics'!$C$3:$C$27,'control vs. ac15p statistics'!$D$3:$D$27)</f>
        <v>0.184795261606355</v>
      </c>
    </row>
    <row r="9" customFormat="false" ht="13.8" hidden="false" customHeight="false" outlineLevel="0" collapsed="false">
      <c r="B9" s="5" t="n">
        <v>7</v>
      </c>
      <c r="C9" s="5" t="n">
        <v>0.648878416428975</v>
      </c>
      <c r="D9" s="5" t="n">
        <v>0.611608951562061</v>
      </c>
      <c r="O9" s="5" t="s">
        <v>132</v>
      </c>
      <c r="P9" s="5" t="n">
        <f aca="false" t="array" ref="P9:P9">AVERAGE(IF(ISODD(IF(ISNUMBER('control vs. ac15p statistics'!$C$3:$C$27), 1, 0) * IF(ISNUMBER('control vs. ac15p statistics'!$D$3:$D$27), 1, 0)), 'control vs. ac15p statistics'!$C$3:$C$27 - 'control vs. ac15p statistics'!$D$3:$D$27, "NA"))</f>
        <v>0.168061021574026</v>
      </c>
    </row>
    <row r="10" customFormat="false" ht="13.8" hidden="false" customHeight="false" outlineLevel="0" collapsed="false">
      <c r="B10" s="5" t="n">
        <v>8</v>
      </c>
      <c r="C10" s="5" t="n">
        <v>0.75255045120181</v>
      </c>
      <c r="D10" s="5" t="n">
        <v>0.51665838871536</v>
      </c>
      <c r="O10" s="5" t="s">
        <v>133</v>
      </c>
      <c r="P10" s="5" t="n">
        <f aca="false" t="array" ref="P10:P10">VAR(IF(ISODD(IF(ISNUMBER('control vs. ac15p statistics'!$C$3:$C$27), 1, 0) * IF(ISNUMBER('control vs. ac15p statistics'!$D$3:$D$27), 1, 0)), 'control vs. ac15p statistics'!$C$3:$C$27 - 'control vs. ac15p statistics'!$D$3:$D$27, "NA"))</f>
        <v>0.0155482404162153</v>
      </c>
    </row>
    <row r="11" customFormat="false" ht="13.8" hidden="false" customHeight="false" outlineLevel="0" collapsed="false">
      <c r="B11" s="5" t="n">
        <v>9</v>
      </c>
      <c r="C11" s="5" t="n">
        <v>0.725998440426624</v>
      </c>
      <c r="D11" s="5" t="n">
        <v>0.519107279370953</v>
      </c>
      <c r="O11" s="5" t="s">
        <v>134</v>
      </c>
      <c r="P11" s="5" t="n">
        <f aca="false" t="array" ref="P11:P11">SUM(IF(ISNUMBER('control vs. ac15p statistics'!$C$3:$C$27), 1, 0) * IF(ISNUMBER('control vs. ac15p statistics'!$D$3:$D$27), 1, 0)) - 1</f>
        <v>24</v>
      </c>
    </row>
    <row r="12" customFormat="false" ht="13.8" hidden="false" customHeight="false" outlineLevel="0" collapsed="false">
      <c r="B12" s="5" t="n">
        <v>10</v>
      </c>
      <c r="C12" s="5" t="n">
        <v>0.706819355320024</v>
      </c>
      <c r="D12" s="5" t="n">
        <v>0.681242455451239</v>
      </c>
      <c r="O12" s="5" t="s">
        <v>135</v>
      </c>
      <c r="P12" s="5" t="n">
        <f aca="false">('control vs. ac15p statistics'!$P$9 - 'control vs. ac15p statistics'!$P$3) / ('control vs. ac15p statistics'!$P$10 / ( 'control vs. ac15p statistics'!$P$11 + 1)) ^ 0.5</f>
        <v>6.7390143286984</v>
      </c>
    </row>
    <row r="13" customFormat="false" ht="13.8" hidden="false" customHeight="false" outlineLevel="0" collapsed="false">
      <c r="B13" s="5" t="n">
        <v>11</v>
      </c>
      <c r="C13" s="5" t="n">
        <v>0.663884135279099</v>
      </c>
      <c r="D13" s="5" t="n">
        <v>0.665099248057114</v>
      </c>
      <c r="O13" s="5" t="s">
        <v>136</v>
      </c>
      <c r="P13" s="5" t="n">
        <f aca="false">TDIST(ABS('control vs. ac15p statistics'!$P$12), 'control vs. ac15p statistics'!$P$11, 1)</f>
        <v>2.85172560924864E-007</v>
      </c>
    </row>
    <row r="14" customFormat="false" ht="13.8" hidden="false" customHeight="false" outlineLevel="0" collapsed="false">
      <c r="B14" s="5" t="n">
        <v>12</v>
      </c>
      <c r="C14" s="5" t="n">
        <v>0.808680515695504</v>
      </c>
      <c r="D14" s="5" t="n">
        <v>0.685595116342696</v>
      </c>
      <c r="O14" s="5" t="s">
        <v>137</v>
      </c>
      <c r="P14" s="5" t="n">
        <f aca="false">TINV(2*'control vs. ac15p statistics'!$P$2, 'control vs. ac15p statistics'!$P$11)</f>
        <v>1.71088207990943</v>
      </c>
    </row>
    <row r="15" customFormat="false" ht="13.8" hidden="false" customHeight="false" outlineLevel="0" collapsed="false">
      <c r="B15" s="5" t="n">
        <v>13</v>
      </c>
      <c r="C15" s="5" t="n">
        <v>0.697789785928682</v>
      </c>
      <c r="D15" s="5" t="n">
        <v>0.65114377143955</v>
      </c>
      <c r="O15" s="5" t="s">
        <v>138</v>
      </c>
      <c r="P15" s="5" t="n">
        <f aca="false">TDIST(ABS('control vs. ac15p statistics'!$P$12), 'control vs. ac15p statistics'!$P$11, 2)</f>
        <v>5.70345121849728E-007</v>
      </c>
    </row>
    <row r="16" customFormat="false" ht="13.8" hidden="false" customHeight="false" outlineLevel="0" collapsed="false">
      <c r="B16" s="5" t="n">
        <v>14</v>
      </c>
      <c r="C16" s="5" t="n">
        <v>0.749649894113733</v>
      </c>
      <c r="D16" s="5" t="n">
        <v>0.603486770235985</v>
      </c>
      <c r="O16" s="5" t="s">
        <v>139</v>
      </c>
      <c r="P16" s="5" t="n">
        <f aca="false">TINV('control vs. ac15p statistics'!$P$2, 'control vs. ac15p statistics'!$P$11)</f>
        <v>2.06389856162803</v>
      </c>
    </row>
    <row r="17" customFormat="false" ht="13.8" hidden="false" customHeight="false" outlineLevel="0" collapsed="false">
      <c r="B17" s="5" t="n">
        <v>15</v>
      </c>
      <c r="C17" s="5" t="n">
        <v>0.736967328412209</v>
      </c>
      <c r="D17" s="5" t="n">
        <v>0.498068679989705</v>
      </c>
    </row>
    <row r="18" customFormat="false" ht="13.8" hidden="false" customHeight="false" outlineLevel="0" collapsed="false">
      <c r="B18" s="5" t="n">
        <v>16</v>
      </c>
      <c r="C18" s="5" t="n">
        <v>0.764104736117937</v>
      </c>
      <c r="D18" s="5" t="n">
        <v>0.630377968860656</v>
      </c>
    </row>
    <row r="19" customFormat="false" ht="13.8" hidden="false" customHeight="false" outlineLevel="0" collapsed="false">
      <c r="B19" s="5" t="n">
        <v>17</v>
      </c>
      <c r="C19" s="5" t="n">
        <v>0.722501085513047</v>
      </c>
      <c r="D19" s="5" t="n">
        <v>0.657927168337551</v>
      </c>
    </row>
    <row r="20" customFormat="false" ht="13.8" hidden="false" customHeight="false" outlineLevel="0" collapsed="false">
      <c r="B20" s="5" t="n">
        <v>18</v>
      </c>
      <c r="C20" s="5" t="n">
        <v>0.68518214731593</v>
      </c>
      <c r="D20" s="5" t="n">
        <v>0.560860510322618</v>
      </c>
    </row>
    <row r="21" customFormat="false" ht="13.8" hidden="false" customHeight="false" outlineLevel="0" collapsed="false">
      <c r="B21" s="5" t="n">
        <v>19</v>
      </c>
      <c r="C21" s="5" t="n">
        <v>0.57422986602436</v>
      </c>
      <c r="D21" s="5" t="n">
        <v>0.502077926373526</v>
      </c>
    </row>
    <row r="22" customFormat="false" ht="13.8" hidden="false" customHeight="false" outlineLevel="0" collapsed="false">
      <c r="B22" s="5" t="n">
        <v>20</v>
      </c>
      <c r="C22" s="5" t="n">
        <v>0.862814658531392</v>
      </c>
      <c r="D22" s="5" t="n">
        <v>0.477168485158792</v>
      </c>
    </row>
    <row r="23" customFormat="false" ht="13.8" hidden="false" customHeight="false" outlineLevel="0" collapsed="false">
      <c r="B23" s="5" t="n">
        <v>21</v>
      </c>
      <c r="C23" s="5" t="n">
        <v>0.766443599036539</v>
      </c>
      <c r="D23" s="5" t="n">
        <v>0.490712582964214</v>
      </c>
    </row>
    <row r="24" customFormat="false" ht="13.8" hidden="false" customHeight="false" outlineLevel="0" collapsed="false">
      <c r="B24" s="5" t="n">
        <v>22</v>
      </c>
      <c r="C24" s="5" t="n">
        <v>0.757219448945817</v>
      </c>
      <c r="D24" s="5" t="n">
        <v>0.373647233999626</v>
      </c>
    </row>
    <row r="25" customFormat="false" ht="13.8" hidden="false" customHeight="false" outlineLevel="0" collapsed="false">
      <c r="B25" s="5" t="n">
        <v>23</v>
      </c>
      <c r="C25" s="5" t="n">
        <v>0.75138094509243</v>
      </c>
      <c r="D25" s="5" t="n">
        <v>0.656354995088699</v>
      </c>
    </row>
    <row r="26" customFormat="false" ht="13.8" hidden="false" customHeight="false" outlineLevel="0" collapsed="false">
      <c r="B26" s="5" t="n">
        <v>24</v>
      </c>
      <c r="C26" s="5" t="n">
        <v>0.783578798476775</v>
      </c>
      <c r="D26" s="5" t="n">
        <v>0.579731827188496</v>
      </c>
    </row>
    <row r="27" customFormat="false" ht="13.8" hidden="false" customHeight="false" outlineLevel="0" collapsed="false">
      <c r="B27" s="5" t="n">
        <v>25</v>
      </c>
      <c r="C27" s="5" t="n">
        <v>0.690023913451965</v>
      </c>
      <c r="D27" s="5" t="n">
        <v>0.300277405978412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2026-02-20T13:59:11Z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
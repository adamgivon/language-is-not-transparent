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3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<sst xmlns="http://schemas.openxmlformats.org/spreadsheetml/2006/main" count="923" uniqueCount="121">
  <si>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</si>
  <si>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</si>
  <si>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</si>
  <si>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</si>
  <si>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</si>
  <si>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</si>
  <si>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</si>
  <si>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</si>
  <si>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</si>
  <si>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</si>
  <si>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</si>
  <si>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</si>
  <si>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</si>
  <si>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</si>
  <si>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</si>
  <si>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</si>
  <si>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79928484-365b-47d6-af0b-269df44d43f0</t>
  </si>
  <si>
    <t xml:space="preserve">cmjb8odem000kzcut3owshiwp</t>
  </si>
  <si>
    <t xml:space="preserve">cmjb8p8el0011zcutj5wjqamq</t>
  </si>
  <si>
    <t xml:space="preserve">ac15-plain</t>
  </si>
  <si>
    <t xml:space="preserve">scenario_3_drone</t>
  </si>
  <si>
    <t xml:space="preserve">practicality_and_feasibility</t>
  </si>
  <si>
    <t xml:space="preserve">mathematics_computer_science_engineering</t>
  </si>
  <si>
    <t xml:space="preserve">sovereignty</t>
  </si>
  <si>
    <t xml:space="preserve">affective_interface</t>
  </si>
  <si>
    <t xml:space="preserve">temporal_dynamics</t>
  </si>
  <si>
    <t xml:space="preserve">truth_and_fact</t>
  </si>
  <si>
    <t xml:space="preserve">96dd713d-eeb9-4be0-b856-68d8dd9ca662</t>
  </si>
  <si>
    <t xml:space="preserve">cmjb8q0ac0015zcut6c96rb0c</t>
  </si>
  <si>
    <t xml:space="preserve">cmjb8r0jl001mzcutio58acic</t>
  </si>
  <si>
    <t xml:space="preserve">science</t>
  </si>
  <si>
    <t xml:space="preserve">freedom_and_limitations</t>
  </si>
  <si>
    <t xml:space="preserve">b6c029cf-01aa-4417-99b3-e54a2b363a4e</t>
  </si>
  <si>
    <t xml:space="preserve">cmjb8tm0l001qzcuttqs7qwiu</t>
  </si>
  <si>
    <t xml:space="preserve">cmjb8uj4g0027zcutmff16vfz</t>
  </si>
  <si>
    <t xml:space="preserve">metaphorical_scaffolding</t>
  </si>
  <si>
    <t xml:space="preserve">4b0f7646-8f5b-455e-b6c8-4eaf9e36cdbf</t>
  </si>
  <si>
    <t xml:space="preserve">cmjb8xstw002bzcut7gq533kl</t>
  </si>
  <si>
    <t xml:space="preserve">cmjb8yv6n002szcutfb2hkndx</t>
  </si>
  <si>
    <t xml:space="preserve">imagination_and_possibility</t>
  </si>
  <si>
    <t xml:space="preserve">3fa83358-0e49-4732-bce0-dac35fa44c3b</t>
  </si>
  <si>
    <t xml:space="preserve">cmjb8z8qz002wzcutvi8jds91</t>
  </si>
  <si>
    <t xml:space="preserve">cmjb8zv8j003dzcutd5hnqmr9</t>
  </si>
  <si>
    <t xml:space="preserve">25b5f86c-7e70-4999-99d2-5ff4dfdd7270</t>
  </si>
  <si>
    <t xml:space="preserve">cmjb90b3i003hzcut8sw6rwy0</t>
  </si>
  <si>
    <t xml:space="preserve">cmjb9150u003yzcut0c9ggota</t>
  </si>
  <si>
    <t xml:space="preserve">electricity</t>
  </si>
  <si>
    <t xml:space="preserve">60d012ba-094e-4b7e-989d-777720ac0ace</t>
  </si>
  <si>
    <t xml:space="preserve">cmjb920t20042zcuto1r9zk1l</t>
  </si>
  <si>
    <t xml:space="preserve">cmjb92lvs004jzcutbq6inwza</t>
  </si>
  <si>
    <t xml:space="preserve">08a63cb2-2082-4276-a13b-d9a74d84276c</t>
  </si>
  <si>
    <t xml:space="preserve">cmjb934ox004nzcutbolvf884</t>
  </si>
  <si>
    <t xml:space="preserve">cmjb93wch0054zcut2qvzf1ya</t>
  </si>
  <si>
    <t xml:space="preserve">95489cf3-ce6f-4f34-b331-26bfbe2cd1d1</t>
  </si>
  <si>
    <t xml:space="preserve">cmjb95lpu0058zcut7bkmvlut</t>
  </si>
  <si>
    <t xml:space="preserve">cmjb966ae005pzcut3wphg7d7</t>
  </si>
  <si>
    <t xml:space="preserve">b7e1cefa-2fac-43f4-bb5d-f8b1ed4b3bf1</t>
  </si>
  <si>
    <t xml:space="preserve">cmjb971hb005tzcutdjncnzzd</t>
  </si>
  <si>
    <t xml:space="preserve">cmjb97ow0006azcutrh85v08g</t>
  </si>
  <si>
    <t xml:space="preserve">identity</t>
  </si>
  <si>
    <t xml:space="preserve">544a72c1-c864-4e7d-85e2-9b398aaefe4f</t>
  </si>
  <si>
    <t xml:space="preserve">cmjb98gog006ezcut1eozobjn</t>
  </si>
  <si>
    <t xml:space="preserve">cmjb993li006vzcut4xidcmol</t>
  </si>
  <si>
    <t xml:space="preserve">1a6c2abc-358b-482a-8b3b-bef5ddd49f92</t>
  </si>
  <si>
    <t xml:space="preserve">cmjb99xbq006zzcutjzu59a8r</t>
  </si>
  <si>
    <t xml:space="preserve">cmjb9aqp1007gzcutybj4t2g9</t>
  </si>
  <si>
    <t xml:space="preserve">6a6abd94-dd31-4a2a-897e-a3e489e23ca5</t>
  </si>
  <si>
    <t xml:space="preserve">cmjb9boa7007kzcut7hsxfqh6</t>
  </si>
  <si>
    <t xml:space="preserve">cmjb9clsj0081zcutquxcjvo7</t>
  </si>
  <si>
    <t xml:space="preserve">c0b500a7-4da0-4c1a-b233-1b40299e38b5</t>
  </si>
  <si>
    <t xml:space="preserve">cmjb9d3lb0085zcutr1i8p3yl</t>
  </si>
  <si>
    <t xml:space="preserve">cmjb9dt9g008mzcutguoad96n</t>
  </si>
  <si>
    <t xml:space="preserve">f5325c41-e365-46da-995f-35eb0ccb02e6</t>
  </si>
  <si>
    <t xml:space="preserve">cmjb9eav3008qzcut9l13uzyu</t>
  </si>
  <si>
    <t xml:space="preserve">cmjb9evpz0097zcut1au01puz</t>
  </si>
  <si>
    <t xml:space="preserve">ff716ae4-29b7-4cd5-bc0b-157045c5fb76</t>
  </si>
  <si>
    <t xml:space="preserve">cmjb9fana009bzcutjwgwqt6y</t>
  </si>
  <si>
    <t xml:space="preserve">cmjb9g7vj009szcutvceygmly</t>
  </si>
  <si>
    <t xml:space="preserve">a924abdb-634b-4cd0-ba3e-598fc5153656</t>
  </si>
  <si>
    <t xml:space="preserve">cmjb9gql9009wzcut4hd5zkdl</t>
  </si>
  <si>
    <t xml:space="preserve">cmjb9h9iw00adzcut7ztk0wxj</t>
  </si>
  <si>
    <t xml:space="preserve">02bd16e3-12b2-45e5-bc7f-573e43198781</t>
  </si>
  <si>
    <t xml:space="preserve">cmjb9hvzh00ahzcutrclevie7</t>
  </si>
  <si>
    <t xml:space="preserve">cmjb9ilpt00ayzcutdia6ljrv</t>
  </si>
  <si>
    <t xml:space="preserve">2e48323c-af09-49a4-a2cd-1aa1fe25d571</t>
  </si>
  <si>
    <t xml:space="preserve">cmjb9jgws00b2zcutajvdsbqg</t>
  </si>
  <si>
    <t xml:space="preserve">cmjb9jz9e00bjzcut4zgge5yh</t>
  </si>
  <si>
    <t xml:space="preserve">e8ed3c5e-b256-46de-b078-0f07cf08419a</t>
  </si>
  <si>
    <t xml:space="preserve">cmjb9kjh300bnzcutto7wy36p</t>
  </si>
  <si>
    <t xml:space="preserve">cmjb9l0bl00c4zcutszse4jh7</t>
  </si>
  <si>
    <t xml:space="preserve">55e49c40-d6be-4cf9-9d25-557db4f4634a</t>
  </si>
  <si>
    <t xml:space="preserve">cmjb9lb4s00c8zcut5t6vhrth</t>
  </si>
  <si>
    <t xml:space="preserve">cmjb9lxtc00cpzcut1bk6ugdv</t>
  </si>
  <si>
    <t xml:space="preserve">90ad694d-4f5b-43d4-a9d9-4e739ad9f284</t>
  </si>
  <si>
    <t xml:space="preserve">cmjb9mod900ctzcutjst8g8zq</t>
  </si>
  <si>
    <t xml:space="preserve">cmjb9ngpy00dazcut1up1bv05</t>
  </si>
  <si>
    <t xml:space="preserve">742c864b-69ac-4212-af34-9288c1e22ebd</t>
  </si>
  <si>
    <t xml:space="preserve">cmjb9nwwz00dezcutiiagxemy</t>
  </si>
  <si>
    <t xml:space="preserve">cmjb9omb200dvzcutdv4o9i2b</t>
  </si>
  <si>
    <t xml:space="preserve">820091a0-83c8-4062-847a-a0030349382b</t>
  </si>
  <si>
    <t xml:space="preserve">cmjb9pivv00dzzcutbpd0nhqf</t>
  </si>
  <si>
    <t xml:space="preserve">cmjb9qf9400egzcut4kysmpyl</t>
  </si>
  <si>
    <t xml:space="preserve">a0a853c9-02e6-4d78-ad7d-03f46c2da7a1</t>
  </si>
  <si>
    <t xml:space="preserve">cmjb9qqe000ekzcute3cdgsia</t>
  </si>
  <si>
    <t xml:space="preserve">cmjb9r60q00f1zcut7klqnjgs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</si>
  <si>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</si>
  <si>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</si>
  <si>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</si>
  <si>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</si>
  <si>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</si>
  <si>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ac15p</t>
  </si>
  <si>
    <t xml:space="preserve">control</t>
  </si>
  <si>
    <t xml:space="preserve">std. Ac15p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</si>
  <si>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</si>
  <si>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</si>
  <si>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</si>
  <si>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</si>
  <si>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</si>
  <si>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ac15p</t>
  </si>
  <si>
    <t xml:space="preserve">average control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</si>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</sst>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Prompt-response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0.816612774002254</c:v>
                </c:pt>
                <c:pt idx="1">
                  <c:v>0.685603988915714</c:v>
                </c:pt>
                <c:pt idx="2">
                  <c:v>0.692192998668189</c:v>
                </c:pt>
                <c:pt idx="3">
                  <c:v>0.631090165894541</c:v>
                </c:pt>
                <c:pt idx="4">
                  <c:v>0.594608889064775</c:v>
                </c:pt>
                <c:pt idx="5">
                  <c:v>0.67289207367249</c:v>
                </c:pt>
                <c:pt idx="6">
                  <c:v>0.815471874765396</c:v>
                </c:pt>
                <c:pt idx="7">
                  <c:v>0.777361261632441</c:v>
                </c:pt>
                <c:pt idx="8">
                  <c:v>0.692246291421963</c:v>
                </c:pt>
                <c:pt idx="9">
                  <c:v>0.615841349915757</c:v>
                </c:pt>
                <c:pt idx="10">
                  <c:v>0.775302494128078</c:v>
                </c:pt>
                <c:pt idx="11">
                  <c:v>0.745549821920152</c:v>
                </c:pt>
                <c:pt idx="12">
                  <c:v>0.675936476989854</c:v>
                </c:pt>
                <c:pt idx="13">
                  <c:v>0.797455345493423</c:v>
                </c:pt>
                <c:pt idx="14">
                  <c:v>0.831683746706372</c:v>
                </c:pt>
                <c:pt idx="15">
                  <c:v>0.665915062167674</c:v>
                </c:pt>
                <c:pt idx="16">
                  <c:v>0.808465032172267</c:v>
                </c:pt>
                <c:pt idx="17">
                  <c:v>0.702923330052347</c:v>
                </c:pt>
                <c:pt idx="18">
                  <c:v>0.833849291363568</c:v>
                </c:pt>
                <c:pt idx="19">
                  <c:v>0.790624245512354</c:v>
                </c:pt>
                <c:pt idx="20">
                  <c:v>0.730617364036752</c:v>
                </c:pt>
                <c:pt idx="21">
                  <c:v>0.765208060825559</c:v>
                </c:pt>
                <c:pt idx="22">
                  <c:v>0.717035427894149</c:v>
                </c:pt>
                <c:pt idx="23">
                  <c:v>0.730354595976365</c:v>
                </c:pt>
                <c:pt idx="24">
                  <c:v>0.762537724739331</c:v>
                </c:pt>
              </c:numCache>
            </c:numRef>
          </c:yVal>
          <c:smooth val="0"/>
        </c:ser>
        <c:axId val="93201389"/>
        <c:axId val="49274714"/>
      </c:scatterChart>
      <c:valAx>
        <c:axId val="932013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9274714"/>
        <c:crosses val="autoZero"/>
        <c:crossBetween val="midCat"/>
      </c:valAx>
      <c:valAx>
        <c:axId val="492747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2013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470160</xdr:colOff>
      <xdr:row>2</xdr:row>
      <xdr:rowOff>23400</xdr:rowOff>
    </xdr:from>
    <xdr:to>
      <xdr:col>10</xdr:col>
      <xdr:colOff>538560</xdr:colOff>
      <xdr:row>22</xdr:row>
      <xdr:rowOff>7200</xdr:rowOff>
    </xdr:to>
    <xdr:graphicFrame>
      <xdr:nvGraphicFramePr>
        <xdr:cNvPr id="1" name=""/>
        <xdr:cNvGraphicFramePr/>
      </xdr:nvGraphicFramePr>
      <xdr:xfrm>
        <a:off x="2822760" y="348480"/>
        <a:ext cx="508248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R3" activeCellId="1" sqref="E4:L4 R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1" width="12.29"/>
    <col collapsed="false" customWidth="true" hidden="false" outlineLevel="0" max="5" min="5" style="1" width="16.33"/>
    <col collapsed="false" customWidth="false" hidden="false" outlineLevel="0" max="6" min="6" style="1" width="8.59"/>
    <col collapsed="false" customWidth="true" hidden="false" outlineLevel="0" max="7" min="7" style="2" width="44.49"/>
    <col collapsed="false" customWidth="true" hidden="false" outlineLevel="0" max="8" min="8" style="1" width="11.64"/>
    <col collapsed="false" customWidth="true" hidden="false" outlineLevel="0" max="9" min="9" style="1" width="22.91"/>
    <col collapsed="false" customWidth="true" hidden="false" outlineLevel="0" max="10" min="10" style="1" width="21.32"/>
    <col collapsed="false" customWidth="true" hidden="false" outlineLevel="0" max="12" min="11" style="1" width="30.88"/>
  </cols>
  <sheetData>
    <row r="1" customFormat="false" ht="37.3" hidden="false" customHeight="false" outlineLevel="0" collapsed="false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4" t="s">
        <v>12</v>
      </c>
      <c r="P1" s="4" t="s">
        <v>13</v>
      </c>
      <c r="Q1" s="4" t="s">
        <v>14</v>
      </c>
      <c r="R1" s="1" t="s">
        <v>15</v>
      </c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  <c r="D3" s="1" t="s">
        <v>19</v>
      </c>
      <c r="E3" s="1" t="s">
        <v>20</v>
      </c>
      <c r="F3" s="1" t="n">
        <v>1</v>
      </c>
      <c r="G3" s="2" t="s">
        <v>21</v>
      </c>
      <c r="H3" s="1" t="n">
        <v>0.1992</v>
      </c>
      <c r="I3" s="1" t="n">
        <v>0.320660479179542</v>
      </c>
      <c r="J3" s="1" t="n">
        <v>0.431925854010066</v>
      </c>
      <c r="K3" s="1" t="n">
        <f aca="false">J3-I3</f>
        <v>0.111265374830525</v>
      </c>
      <c r="L3" s="1" t="n">
        <v>0.816612774002254</v>
      </c>
      <c r="O3" s="1" t="n">
        <f aca="false">AVERAGE(K3:K150)</f>
        <v>0.0487674183082847</v>
      </c>
      <c r="P3" s="1" t="n">
        <f aca="false">COUNT(K3:K150)</f>
        <v>148</v>
      </c>
      <c r="Q3" s="1" t="n">
        <f aca="false">CORREL(H3:H150,K3:K150)</f>
        <v>0.0372299094951213</v>
      </c>
      <c r="R3" s="1" t="n">
        <v>0.653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18</v>
      </c>
      <c r="D4" s="1" t="s">
        <v>19</v>
      </c>
      <c r="E4" s="1" t="s">
        <v>20</v>
      </c>
      <c r="F4" s="1" t="n">
        <v>1</v>
      </c>
      <c r="G4" s="2" t="s">
        <v>22</v>
      </c>
      <c r="H4" s="1" t="n">
        <v>0.1965</v>
      </c>
      <c r="I4" s="1" t="n">
        <v>0.316265291891576</v>
      </c>
      <c r="J4" s="1" t="n">
        <v>0.391337389514798</v>
      </c>
      <c r="K4" s="1" t="n">
        <f aca="false">J4-I4</f>
        <v>0.0750720976232218</v>
      </c>
      <c r="L4" s="1" t="n">
        <v>0.816612774002254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18</v>
      </c>
      <c r="D5" s="1" t="s">
        <v>19</v>
      </c>
      <c r="E5" s="1" t="s">
        <v>20</v>
      </c>
      <c r="F5" s="1" t="n">
        <v>1</v>
      </c>
      <c r="G5" s="2" t="s">
        <v>23</v>
      </c>
      <c r="H5" s="1" t="n">
        <v>0.1779</v>
      </c>
      <c r="I5" s="1" t="n">
        <v>0.28628727262354</v>
      </c>
      <c r="J5" s="1" t="n">
        <v>0.364243181482734</v>
      </c>
      <c r="K5" s="1" t="n">
        <f aca="false">J5-I5</f>
        <v>0.0779559088591941</v>
      </c>
      <c r="L5" s="1" t="n">
        <v>0.816612774002254</v>
      </c>
    </row>
    <row r="6" customFormat="false" ht="15" hidden="false" customHeight="false" outlineLevel="0" collapsed="false">
      <c r="A6" s="3" t="s">
        <v>16</v>
      </c>
      <c r="B6" s="3" t="s">
        <v>17</v>
      </c>
      <c r="C6" s="3" t="s">
        <v>18</v>
      </c>
      <c r="D6" s="1" t="s">
        <v>19</v>
      </c>
      <c r="E6" s="1" t="s">
        <v>20</v>
      </c>
      <c r="F6" s="1" t="n">
        <v>1</v>
      </c>
      <c r="G6" s="2" t="s">
        <v>24</v>
      </c>
      <c r="H6" s="1" t="n">
        <v>0.1638</v>
      </c>
      <c r="I6" s="1" t="n">
        <v>0.263694834242215</v>
      </c>
      <c r="J6" s="1" t="n">
        <v>0.362213950629422</v>
      </c>
      <c r="K6" s="1" t="n">
        <f aca="false">J6-I6</f>
        <v>0.0985191163872071</v>
      </c>
      <c r="L6" s="1" t="n">
        <v>0.816612774002254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18</v>
      </c>
      <c r="D7" s="1" t="s">
        <v>19</v>
      </c>
      <c r="E7" s="1" t="s">
        <v>20</v>
      </c>
      <c r="F7" s="1" t="n">
        <v>1</v>
      </c>
      <c r="G7" s="2" t="s">
        <v>25</v>
      </c>
      <c r="H7" s="1" t="n">
        <v>0.1626</v>
      </c>
      <c r="I7" s="1" t="n">
        <v>0.261700962952425</v>
      </c>
      <c r="J7" s="1" t="n">
        <v>0.33688375826078</v>
      </c>
      <c r="K7" s="1" t="n">
        <f aca="false">J7-I7</f>
        <v>0.0751827953083549</v>
      </c>
      <c r="L7" s="1" t="n">
        <v>0.816612774002254</v>
      </c>
    </row>
    <row r="8" customFormat="false" ht="15" hidden="false" customHeight="false" outlineLevel="0" collapsed="false">
      <c r="A8" s="3" t="s">
        <v>16</v>
      </c>
      <c r="B8" s="3" t="s">
        <v>17</v>
      </c>
      <c r="C8" s="3" t="s">
        <v>18</v>
      </c>
      <c r="D8" s="1" t="s">
        <v>19</v>
      </c>
      <c r="E8" s="1" t="s">
        <v>20</v>
      </c>
      <c r="F8" s="1" t="n">
        <v>1</v>
      </c>
      <c r="G8" s="2" t="s">
        <v>26</v>
      </c>
      <c r="H8" s="1" t="n">
        <v>0.1</v>
      </c>
      <c r="I8" s="1" t="n">
        <v>0.227674531856039</v>
      </c>
      <c r="J8" s="1" t="n">
        <v>0.336372524857197</v>
      </c>
      <c r="K8" s="1" t="n">
        <f aca="false">J8-I8</f>
        <v>0.108697993001158</v>
      </c>
      <c r="L8" s="1" t="n">
        <v>0.816612774002254</v>
      </c>
    </row>
    <row r="9" customFormat="false" ht="15" hidden="false" customHeight="false" outlineLevel="0" collapsed="false">
      <c r="A9" s="3" t="s">
        <v>27</v>
      </c>
      <c r="B9" s="3" t="s">
        <v>28</v>
      </c>
      <c r="C9" s="3" t="s">
        <v>29</v>
      </c>
      <c r="D9" s="1" t="s">
        <v>19</v>
      </c>
      <c r="E9" s="1" t="s">
        <v>20</v>
      </c>
      <c r="F9" s="1" t="n">
        <v>3</v>
      </c>
      <c r="G9" s="2" t="s">
        <v>21</v>
      </c>
      <c r="H9" s="1" t="n">
        <v>0.1984</v>
      </c>
      <c r="I9" s="1" t="n">
        <v>0.39320484471936</v>
      </c>
      <c r="J9" s="1" t="n">
        <v>0.437016977981751</v>
      </c>
      <c r="K9" s="1" t="n">
        <f aca="false">J9-I9</f>
        <v>0.0438121332623905</v>
      </c>
      <c r="L9" s="1" t="n">
        <v>0.685603988915714</v>
      </c>
    </row>
    <row r="10" customFormat="false" ht="15" hidden="false" customHeight="false" outlineLevel="0" collapsed="false">
      <c r="A10" s="3" t="s">
        <v>27</v>
      </c>
      <c r="B10" s="3" t="s">
        <v>28</v>
      </c>
      <c r="C10" s="3" t="s">
        <v>29</v>
      </c>
      <c r="D10" s="1" t="s">
        <v>19</v>
      </c>
      <c r="E10" s="1" t="s">
        <v>20</v>
      </c>
      <c r="F10" s="1" t="n">
        <v>3</v>
      </c>
      <c r="G10" s="2" t="s">
        <v>22</v>
      </c>
      <c r="H10" s="1" t="n">
        <v>0.185</v>
      </c>
      <c r="I10" s="1" t="n">
        <v>0.366713912839104</v>
      </c>
      <c r="J10" s="1" t="n">
        <v>0.405458133781608</v>
      </c>
      <c r="K10" s="1" t="n">
        <f aca="false">J10-I10</f>
        <v>0.0387442209425049</v>
      </c>
      <c r="L10" s="1" t="n">
        <v>0.685603988915714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 t="s">
        <v>29</v>
      </c>
      <c r="D11" s="1" t="s">
        <v>19</v>
      </c>
      <c r="E11" s="1" t="s">
        <v>20</v>
      </c>
      <c r="F11" s="1" t="n">
        <v>3</v>
      </c>
      <c r="G11" s="2" t="s">
        <v>26</v>
      </c>
      <c r="H11" s="1" t="n">
        <v>0.1664</v>
      </c>
      <c r="I11" s="1" t="n">
        <v>0.32977780599693</v>
      </c>
      <c r="J11" s="1" t="n">
        <v>0.367914544534904</v>
      </c>
      <c r="K11" s="1" t="n">
        <f aca="false">J11-I11</f>
        <v>0.038136738537974</v>
      </c>
      <c r="L11" s="1" t="n">
        <v>0.685603988915714</v>
      </c>
    </row>
    <row r="12" customFormat="false" ht="15" hidden="false" customHeight="false" outlineLevel="0" collapsed="false">
      <c r="A12" s="3" t="s">
        <v>27</v>
      </c>
      <c r="B12" s="3" t="s">
        <v>28</v>
      </c>
      <c r="C12" s="3" t="s">
        <v>29</v>
      </c>
      <c r="D12" s="1" t="s">
        <v>19</v>
      </c>
      <c r="E12" s="1" t="s">
        <v>20</v>
      </c>
      <c r="F12" s="1" t="n">
        <v>3</v>
      </c>
      <c r="G12" s="2" t="s">
        <v>23</v>
      </c>
      <c r="H12" s="1" t="n">
        <v>0.152</v>
      </c>
      <c r="I12" s="1" t="n">
        <v>0.301324496992298</v>
      </c>
      <c r="J12" s="1" t="n">
        <v>0.332070107735545</v>
      </c>
      <c r="K12" s="1" t="n">
        <f aca="false">J12-I12</f>
        <v>0.0307456107432471</v>
      </c>
      <c r="L12" s="1" t="n">
        <v>0.685603988915714</v>
      </c>
    </row>
    <row r="13" customFormat="false" ht="15" hidden="false" customHeight="false" outlineLevel="0" collapsed="false">
      <c r="A13" s="3" t="s">
        <v>27</v>
      </c>
      <c r="B13" s="3" t="s">
        <v>28</v>
      </c>
      <c r="C13" s="3" t="s">
        <v>29</v>
      </c>
      <c r="D13" s="1" t="s">
        <v>19</v>
      </c>
      <c r="E13" s="1" t="s">
        <v>20</v>
      </c>
      <c r="F13" s="1" t="n">
        <v>3</v>
      </c>
      <c r="G13" s="2" t="s">
        <v>30</v>
      </c>
      <c r="H13" s="1" t="n">
        <v>0.1496</v>
      </c>
      <c r="I13" s="1" t="n">
        <v>0.296585519210637</v>
      </c>
      <c r="J13" s="1" t="n">
        <v>0.409143178071466</v>
      </c>
      <c r="K13" s="1" t="n">
        <f aca="false">J13-I13</f>
        <v>0.112557658860829</v>
      </c>
      <c r="L13" s="1" t="n">
        <v>0.685603988915714</v>
      </c>
    </row>
    <row r="14" customFormat="false" ht="15" hidden="false" customHeight="false" outlineLevel="0" collapsed="false">
      <c r="A14" s="3" t="s">
        <v>27</v>
      </c>
      <c r="B14" s="3" t="s">
        <v>28</v>
      </c>
      <c r="C14" s="3" t="s">
        <v>29</v>
      </c>
      <c r="D14" s="1" t="s">
        <v>19</v>
      </c>
      <c r="E14" s="1" t="s">
        <v>20</v>
      </c>
      <c r="F14" s="1" t="n">
        <v>3</v>
      </c>
      <c r="G14" s="2" t="s">
        <v>31</v>
      </c>
      <c r="H14" s="1" t="n">
        <v>0.1487</v>
      </c>
      <c r="I14" s="1" t="n">
        <v>0.294729297217369</v>
      </c>
      <c r="J14" s="1" t="n">
        <v>0.35437191646015</v>
      </c>
      <c r="K14" s="1" t="n">
        <f aca="false">J14-I14</f>
        <v>0.0596426192427816</v>
      </c>
      <c r="L14" s="1" t="n">
        <v>0.685603988915714</v>
      </c>
    </row>
    <row r="15" customFormat="false" ht="15" hidden="false" customHeight="false" outlineLevel="0" collapsed="false">
      <c r="A15" s="3" t="s">
        <v>32</v>
      </c>
      <c r="B15" s="3" t="s">
        <v>33</v>
      </c>
      <c r="C15" s="3" t="s">
        <v>34</v>
      </c>
      <c r="D15" s="1" t="s">
        <v>19</v>
      </c>
      <c r="E15" s="1" t="s">
        <v>20</v>
      </c>
      <c r="F15" s="1" t="n">
        <v>5</v>
      </c>
      <c r="G15" s="2" t="s">
        <v>21</v>
      </c>
      <c r="H15" s="1" t="n">
        <v>0.1975</v>
      </c>
      <c r="I15" s="1" t="n">
        <v>0.370460172466058</v>
      </c>
      <c r="J15" s="1" t="n">
        <v>0.364900850679978</v>
      </c>
      <c r="K15" s="1" t="n">
        <f aca="false">J15-I15</f>
        <v>-0.0055593217860806</v>
      </c>
      <c r="L15" s="1" t="n">
        <v>0.692192998668189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3" t="s">
        <v>34</v>
      </c>
      <c r="D16" s="1" t="s">
        <v>19</v>
      </c>
      <c r="E16" s="1" t="s">
        <v>20</v>
      </c>
      <c r="F16" s="1" t="n">
        <v>5</v>
      </c>
      <c r="G16" s="2" t="s">
        <v>22</v>
      </c>
      <c r="H16" s="1" t="n">
        <v>0.1718</v>
      </c>
      <c r="I16" s="1" t="n">
        <v>0.322205214531907</v>
      </c>
      <c r="J16" s="1" t="n">
        <v>0.328672551919299</v>
      </c>
      <c r="K16" s="1" t="n">
        <f aca="false">J16-I16</f>
        <v>0.00646733738739241</v>
      </c>
      <c r="L16" s="1" t="n">
        <v>0.692192998668189</v>
      </c>
    </row>
    <row r="17" customFormat="false" ht="15" hidden="false" customHeight="false" outlineLevel="0" collapsed="false">
      <c r="A17" s="3" t="s">
        <v>32</v>
      </c>
      <c r="B17" s="3" t="s">
        <v>33</v>
      </c>
      <c r="C17" s="3" t="s">
        <v>34</v>
      </c>
      <c r="D17" s="1" t="s">
        <v>19</v>
      </c>
      <c r="E17" s="1" t="s">
        <v>20</v>
      </c>
      <c r="F17" s="1" t="n">
        <v>5</v>
      </c>
      <c r="G17" s="2" t="s">
        <v>31</v>
      </c>
      <c r="H17" s="1" t="n">
        <v>0.1631</v>
      </c>
      <c r="I17" s="1" t="n">
        <v>0.305971394364702</v>
      </c>
      <c r="J17" s="1" t="n">
        <v>0.295829955024827</v>
      </c>
      <c r="K17" s="1" t="n">
        <f aca="false">J17-I17</f>
        <v>-0.0101414393398757</v>
      </c>
      <c r="L17" s="1" t="n">
        <v>0.692192998668189</v>
      </c>
    </row>
    <row r="18" customFormat="false" ht="15" hidden="false" customHeight="false" outlineLevel="0" collapsed="false">
      <c r="A18" s="3" t="s">
        <v>32</v>
      </c>
      <c r="B18" s="3" t="s">
        <v>33</v>
      </c>
      <c r="C18" s="3" t="s">
        <v>34</v>
      </c>
      <c r="D18" s="1" t="s">
        <v>19</v>
      </c>
      <c r="E18" s="1" t="s">
        <v>20</v>
      </c>
      <c r="F18" s="1" t="n">
        <v>5</v>
      </c>
      <c r="G18" s="2" t="s">
        <v>30</v>
      </c>
      <c r="H18" s="1" t="n">
        <v>0.1589</v>
      </c>
      <c r="I18" s="1" t="n">
        <v>0.298020402599453</v>
      </c>
      <c r="J18" s="1" t="n">
        <v>0.297369933551074</v>
      </c>
      <c r="K18" s="1" t="n">
        <f aca="false">J18-I18</f>
        <v>-0.000650469048379732</v>
      </c>
      <c r="L18" s="1" t="n">
        <v>0.692192998668189</v>
      </c>
    </row>
    <row r="19" customFormat="false" ht="15" hidden="false" customHeight="false" outlineLevel="0" collapsed="false">
      <c r="A19" s="3" t="s">
        <v>32</v>
      </c>
      <c r="B19" s="3" t="s">
        <v>33</v>
      </c>
      <c r="C19" s="3" t="s">
        <v>34</v>
      </c>
      <c r="D19" s="1" t="s">
        <v>19</v>
      </c>
      <c r="E19" s="1" t="s">
        <v>20</v>
      </c>
      <c r="F19" s="1" t="n">
        <v>5</v>
      </c>
      <c r="G19" s="2" t="s">
        <v>35</v>
      </c>
      <c r="H19" s="1" t="n">
        <v>0.156</v>
      </c>
      <c r="I19" s="1" t="n">
        <v>0.292642887343118</v>
      </c>
      <c r="J19" s="1" t="n">
        <v>0.314418525632707</v>
      </c>
      <c r="K19" s="1" t="n">
        <f aca="false">J19-I19</f>
        <v>0.0217756382895885</v>
      </c>
      <c r="L19" s="1" t="n">
        <v>0.692192998668189</v>
      </c>
    </row>
    <row r="20" customFormat="false" ht="15" hidden="false" customHeight="false" outlineLevel="0" collapsed="false">
      <c r="A20" s="3" t="s">
        <v>32</v>
      </c>
      <c r="B20" s="3" t="s">
        <v>33</v>
      </c>
      <c r="C20" s="3" t="s">
        <v>34</v>
      </c>
      <c r="D20" s="1" t="s">
        <v>19</v>
      </c>
      <c r="E20" s="1" t="s">
        <v>20</v>
      </c>
      <c r="F20" s="1" t="n">
        <v>5</v>
      </c>
      <c r="G20" s="2" t="s">
        <v>26</v>
      </c>
      <c r="H20" s="1" t="n">
        <v>0.1527</v>
      </c>
      <c r="I20" s="1" t="n">
        <v>0.286406217592015</v>
      </c>
      <c r="J20" s="1" t="n">
        <v>0.265135094694941</v>
      </c>
      <c r="K20" s="1" t="n">
        <f aca="false">J20-I20</f>
        <v>-0.0212711228970738</v>
      </c>
      <c r="L20" s="1" t="n">
        <v>0.692192998668189</v>
      </c>
    </row>
    <row r="21" customFormat="false" ht="15" hidden="false" customHeight="false" outlineLevel="0" collapsed="false">
      <c r="A21" s="3" t="s">
        <v>36</v>
      </c>
      <c r="B21" s="3" t="s">
        <v>37</v>
      </c>
      <c r="C21" s="3" t="s">
        <v>38</v>
      </c>
      <c r="D21" s="1" t="s">
        <v>19</v>
      </c>
      <c r="E21" s="1" t="s">
        <v>20</v>
      </c>
      <c r="F21" s="1" t="n">
        <v>7</v>
      </c>
      <c r="G21" s="2" t="s">
        <v>21</v>
      </c>
      <c r="H21" s="1" t="n">
        <v>0.2062</v>
      </c>
      <c r="I21" s="1" t="n">
        <v>0.349542459822656</v>
      </c>
      <c r="J21" s="1" t="n">
        <v>0.35163542082714</v>
      </c>
      <c r="K21" s="1" t="n">
        <f aca="false">J21-I21</f>
        <v>0.00209296100448414</v>
      </c>
      <c r="L21" s="1" t="n">
        <v>0.631090165894541</v>
      </c>
    </row>
    <row r="22" customFormat="false" ht="15" hidden="false" customHeight="false" outlineLevel="0" collapsed="false">
      <c r="A22" s="3" t="s">
        <v>36</v>
      </c>
      <c r="B22" s="3" t="s">
        <v>37</v>
      </c>
      <c r="C22" s="3" t="s">
        <v>38</v>
      </c>
      <c r="D22" s="1" t="s">
        <v>19</v>
      </c>
      <c r="E22" s="1" t="s">
        <v>20</v>
      </c>
      <c r="F22" s="1" t="n">
        <v>7</v>
      </c>
      <c r="G22" s="2" t="s">
        <v>35</v>
      </c>
      <c r="H22" s="1" t="n">
        <v>0.1871</v>
      </c>
      <c r="I22" s="1" t="n">
        <v>0.317068585188288</v>
      </c>
      <c r="J22" s="1" t="n">
        <v>0.303106899457808</v>
      </c>
      <c r="K22" s="1" t="n">
        <f aca="false">J22-I22</f>
        <v>-0.0139616857304793</v>
      </c>
      <c r="L22" s="1" t="n">
        <v>0.631090165894541</v>
      </c>
    </row>
    <row r="23" customFormat="false" ht="15" hidden="false" customHeight="false" outlineLevel="0" collapsed="false">
      <c r="A23" s="3" t="s">
        <v>36</v>
      </c>
      <c r="B23" s="3" t="s">
        <v>37</v>
      </c>
      <c r="C23" s="3" t="s">
        <v>38</v>
      </c>
      <c r="D23" s="1" t="s">
        <v>19</v>
      </c>
      <c r="E23" s="1" t="s">
        <v>20</v>
      </c>
      <c r="F23" s="1" t="n">
        <v>7</v>
      </c>
      <c r="G23" s="2" t="s">
        <v>22</v>
      </c>
      <c r="H23" s="1" t="n">
        <v>0.1787</v>
      </c>
      <c r="I23" s="1" t="n">
        <v>0.302933113442371</v>
      </c>
      <c r="J23" s="1" t="n">
        <v>0.309792503546773</v>
      </c>
      <c r="K23" s="1" t="n">
        <f aca="false">J23-I23</f>
        <v>0.00685939010440112</v>
      </c>
      <c r="L23" s="1" t="n">
        <v>0.631090165894541</v>
      </c>
    </row>
    <row r="24" customFormat="false" ht="15" hidden="false" customHeight="false" outlineLevel="0" collapsed="false">
      <c r="A24" s="3" t="s">
        <v>36</v>
      </c>
      <c r="B24" s="3" t="s">
        <v>37</v>
      </c>
      <c r="C24" s="3" t="s">
        <v>38</v>
      </c>
      <c r="D24" s="1" t="s">
        <v>19</v>
      </c>
      <c r="E24" s="1" t="s">
        <v>20</v>
      </c>
      <c r="F24" s="1" t="n">
        <v>7</v>
      </c>
      <c r="G24" s="2" t="s">
        <v>25</v>
      </c>
      <c r="H24" s="1" t="n">
        <v>0.1646</v>
      </c>
      <c r="I24" s="1" t="n">
        <v>0.278951405535039</v>
      </c>
      <c r="J24" s="1" t="n">
        <v>0.279186736666731</v>
      </c>
      <c r="K24" s="1" t="n">
        <f aca="false">J24-I24</f>
        <v>0.000235331131692607</v>
      </c>
      <c r="L24" s="1" t="n">
        <v>0.631090165894541</v>
      </c>
    </row>
    <row r="25" customFormat="false" ht="15" hidden="false" customHeight="false" outlineLevel="0" collapsed="false">
      <c r="A25" s="3" t="s">
        <v>36</v>
      </c>
      <c r="B25" s="3" t="s">
        <v>37</v>
      </c>
      <c r="C25" s="3" t="s">
        <v>38</v>
      </c>
      <c r="D25" s="1" t="s">
        <v>19</v>
      </c>
      <c r="E25" s="1" t="s">
        <v>20</v>
      </c>
      <c r="F25" s="1" t="n">
        <v>7</v>
      </c>
      <c r="G25" s="2" t="s">
        <v>39</v>
      </c>
      <c r="H25" s="1" t="n">
        <v>0.1633</v>
      </c>
      <c r="I25" s="1" t="n">
        <v>0.276823777753121</v>
      </c>
      <c r="J25" s="1" t="n">
        <v>0.29601128720529</v>
      </c>
      <c r="K25" s="1" t="n">
        <f aca="false">J25-I25</f>
        <v>0.0191875094521687</v>
      </c>
      <c r="L25" s="1" t="n">
        <v>0.631090165894541</v>
      </c>
    </row>
    <row r="26" customFormat="false" ht="15" hidden="false" customHeight="false" outlineLevel="0" collapsed="false">
      <c r="A26" s="3" t="s">
        <v>36</v>
      </c>
      <c r="B26" s="3" t="s">
        <v>37</v>
      </c>
      <c r="C26" s="3" t="s">
        <v>38</v>
      </c>
      <c r="D26" s="1" t="s">
        <v>19</v>
      </c>
      <c r="E26" s="1" t="s">
        <v>20</v>
      </c>
      <c r="F26" s="1" t="n">
        <v>7</v>
      </c>
      <c r="G26" s="2" t="s">
        <v>26</v>
      </c>
      <c r="H26" s="1" t="n">
        <v>0.1</v>
      </c>
      <c r="I26" s="1" t="n">
        <v>0.21674537563107</v>
      </c>
      <c r="J26" s="1" t="n">
        <v>0.246355383198241</v>
      </c>
      <c r="K26" s="1" t="n">
        <f aca="false">J26-I26</f>
        <v>0.0296100075671705</v>
      </c>
      <c r="L26" s="1" t="n">
        <v>0.631090165894541</v>
      </c>
    </row>
    <row r="27" customFormat="false" ht="15" hidden="false" customHeight="false" outlineLevel="0" collapsed="false">
      <c r="A27" s="3" t="s">
        <v>40</v>
      </c>
      <c r="B27" s="3" t="s">
        <v>41</v>
      </c>
      <c r="C27" s="3" t="s">
        <v>42</v>
      </c>
      <c r="D27" s="1" t="s">
        <v>19</v>
      </c>
      <c r="E27" s="1" t="s">
        <v>20</v>
      </c>
      <c r="F27" s="1" t="n">
        <v>9</v>
      </c>
      <c r="G27" s="2" t="s">
        <v>21</v>
      </c>
      <c r="H27" s="1" t="n">
        <v>0.2163</v>
      </c>
      <c r="I27" s="1" t="n">
        <v>0.285614644939916</v>
      </c>
      <c r="J27" s="1" t="n">
        <v>0.370071740225772</v>
      </c>
      <c r="K27" s="1" t="n">
        <f aca="false">J27-I27</f>
        <v>0.0844570952858558</v>
      </c>
      <c r="L27" s="1" t="n">
        <v>0.594608889064775</v>
      </c>
    </row>
    <row r="28" customFormat="false" ht="15" hidden="false" customHeight="false" outlineLevel="0" collapsed="false">
      <c r="A28" s="3" t="s">
        <v>40</v>
      </c>
      <c r="B28" s="3" t="s">
        <v>41</v>
      </c>
      <c r="C28" s="3" t="s">
        <v>42</v>
      </c>
      <c r="D28" s="1" t="s">
        <v>19</v>
      </c>
      <c r="E28" s="1" t="s">
        <v>20</v>
      </c>
      <c r="F28" s="1" t="n">
        <v>9</v>
      </c>
      <c r="G28" s="2" t="s">
        <v>24</v>
      </c>
      <c r="H28" s="1" t="n">
        <v>0.1835</v>
      </c>
      <c r="I28" s="1" t="n">
        <v>0.242339916749941</v>
      </c>
      <c r="J28" s="1" t="n">
        <v>0.286216440380294</v>
      </c>
      <c r="K28" s="1" t="n">
        <f aca="false">J28-I28</f>
        <v>0.0438765236303533</v>
      </c>
      <c r="L28" s="1" t="n">
        <v>0.594608889064775</v>
      </c>
    </row>
    <row r="29" customFormat="false" ht="15" hidden="false" customHeight="false" outlineLevel="0" collapsed="false">
      <c r="A29" s="3" t="s">
        <v>40</v>
      </c>
      <c r="B29" s="3" t="s">
        <v>41</v>
      </c>
      <c r="C29" s="3" t="s">
        <v>42</v>
      </c>
      <c r="D29" s="1" t="s">
        <v>19</v>
      </c>
      <c r="E29" s="1" t="s">
        <v>20</v>
      </c>
      <c r="F29" s="1" t="n">
        <v>9</v>
      </c>
      <c r="G29" s="2" t="s">
        <v>22</v>
      </c>
      <c r="H29" s="1" t="n">
        <v>0.1694</v>
      </c>
      <c r="I29" s="1" t="n">
        <v>0.223707101208768</v>
      </c>
      <c r="J29" s="1" t="n">
        <v>0.343380006301251</v>
      </c>
      <c r="K29" s="1" t="n">
        <f aca="false">J29-I29</f>
        <v>0.119672905092483</v>
      </c>
      <c r="L29" s="1" t="n">
        <v>0.594608889064775</v>
      </c>
    </row>
    <row r="30" customFormat="false" ht="15" hidden="false" customHeight="false" outlineLevel="0" collapsed="false">
      <c r="A30" s="3" t="s">
        <v>40</v>
      </c>
      <c r="B30" s="3" t="s">
        <v>41</v>
      </c>
      <c r="C30" s="3" t="s">
        <v>42</v>
      </c>
      <c r="D30" s="1" t="s">
        <v>19</v>
      </c>
      <c r="E30" s="1" t="s">
        <v>20</v>
      </c>
      <c r="F30" s="1" t="n">
        <v>9</v>
      </c>
      <c r="G30" s="2" t="s">
        <v>23</v>
      </c>
      <c r="H30" s="1" t="n">
        <v>0.1658</v>
      </c>
      <c r="I30" s="1" t="n">
        <v>0.21892727053438</v>
      </c>
      <c r="J30" s="1" t="n">
        <v>0.317363983841161</v>
      </c>
      <c r="K30" s="1" t="n">
        <f aca="false">J30-I30</f>
        <v>0.098436713306781</v>
      </c>
      <c r="L30" s="1" t="n">
        <v>0.594608889064775</v>
      </c>
    </row>
    <row r="31" customFormat="false" ht="15" hidden="false" customHeight="false" outlineLevel="0" collapsed="false">
      <c r="A31" s="3" t="s">
        <v>40</v>
      </c>
      <c r="B31" s="3" t="s">
        <v>41</v>
      </c>
      <c r="C31" s="3" t="s">
        <v>42</v>
      </c>
      <c r="D31" s="1" t="s">
        <v>19</v>
      </c>
      <c r="E31" s="1" t="s">
        <v>20</v>
      </c>
      <c r="F31" s="1" t="n">
        <v>9</v>
      </c>
      <c r="G31" s="2" t="s">
        <v>39</v>
      </c>
      <c r="H31" s="1" t="n">
        <v>0.1649</v>
      </c>
      <c r="I31" s="1" t="n">
        <v>0.21773337608446</v>
      </c>
      <c r="J31" s="1" t="n">
        <v>0.302260738317204</v>
      </c>
      <c r="K31" s="1" t="n">
        <f aca="false">J31-I31</f>
        <v>0.0845273622327443</v>
      </c>
      <c r="L31" s="1" t="n">
        <v>0.594608889064775</v>
      </c>
    </row>
    <row r="32" customFormat="false" ht="15" hidden="false" customHeight="false" outlineLevel="0" collapsed="false">
      <c r="A32" s="3" t="s">
        <v>40</v>
      </c>
      <c r="B32" s="3" t="s">
        <v>41</v>
      </c>
      <c r="C32" s="3" t="s">
        <v>42</v>
      </c>
      <c r="D32" s="1" t="s">
        <v>19</v>
      </c>
      <c r="E32" s="1" t="s">
        <v>20</v>
      </c>
      <c r="F32" s="1" t="n">
        <v>9</v>
      </c>
      <c r="G32" s="2" t="s">
        <v>26</v>
      </c>
      <c r="H32" s="1" t="n">
        <v>0.1</v>
      </c>
      <c r="I32" s="1" t="n">
        <v>0.179153931682585</v>
      </c>
      <c r="J32" s="1" t="n">
        <v>0.269754443893387</v>
      </c>
      <c r="K32" s="1" t="n">
        <f aca="false">J32-I32</f>
        <v>0.0906005122108014</v>
      </c>
      <c r="L32" s="1" t="n">
        <v>0.594608889064775</v>
      </c>
    </row>
    <row r="33" customFormat="false" ht="15" hidden="false" customHeight="false" outlineLevel="0" collapsed="false">
      <c r="A33" s="3" t="s">
        <v>43</v>
      </c>
      <c r="B33" s="3" t="s">
        <v>44</v>
      </c>
      <c r="C33" s="3" t="s">
        <v>45</v>
      </c>
      <c r="D33" s="1" t="s">
        <v>19</v>
      </c>
      <c r="E33" s="1" t="s">
        <v>20</v>
      </c>
      <c r="F33" s="1" t="n">
        <v>11</v>
      </c>
      <c r="G33" s="2" t="s">
        <v>21</v>
      </c>
      <c r="H33" s="1" t="n">
        <v>0.2017</v>
      </c>
      <c r="I33" s="1" t="n">
        <v>0.289100084212593</v>
      </c>
      <c r="J33" s="1" t="n">
        <v>0.374097152216474</v>
      </c>
      <c r="K33" s="1" t="n">
        <f aca="false">J33-I33</f>
        <v>0.0849970680038808</v>
      </c>
      <c r="L33" s="1" t="n">
        <v>0.67289207367249</v>
      </c>
    </row>
    <row r="34" customFormat="false" ht="15" hidden="false" customHeight="false" outlineLevel="0" collapsed="false">
      <c r="A34" s="3" t="s">
        <v>43</v>
      </c>
      <c r="B34" s="3" t="s">
        <v>44</v>
      </c>
      <c r="C34" s="3" t="s">
        <v>45</v>
      </c>
      <c r="D34" s="1" t="s">
        <v>19</v>
      </c>
      <c r="E34" s="1" t="s">
        <v>20</v>
      </c>
      <c r="F34" s="1" t="n">
        <v>11</v>
      </c>
      <c r="G34" s="2" t="s">
        <v>22</v>
      </c>
      <c r="H34" s="1" t="n">
        <v>0.1765</v>
      </c>
      <c r="I34" s="1" t="n">
        <v>0.25298412100124</v>
      </c>
      <c r="J34" s="1" t="n">
        <v>0.323609028864484</v>
      </c>
      <c r="K34" s="1" t="n">
        <f aca="false">J34-I34</f>
        <v>0.0706249078632439</v>
      </c>
      <c r="L34" s="1" t="n">
        <v>0.67289207367249</v>
      </c>
    </row>
    <row r="35" customFormat="false" ht="15" hidden="false" customHeight="false" outlineLevel="0" collapsed="false">
      <c r="A35" s="3" t="s">
        <v>43</v>
      </c>
      <c r="B35" s="3" t="s">
        <v>44</v>
      </c>
      <c r="C35" s="3" t="s">
        <v>45</v>
      </c>
      <c r="D35" s="1" t="s">
        <v>19</v>
      </c>
      <c r="E35" s="1" t="s">
        <v>20</v>
      </c>
      <c r="F35" s="1" t="n">
        <v>11</v>
      </c>
      <c r="G35" s="2" t="s">
        <v>23</v>
      </c>
      <c r="H35" s="1" t="n">
        <v>0.1763</v>
      </c>
      <c r="I35" s="1" t="n">
        <v>0.252650475648039</v>
      </c>
      <c r="J35" s="1" t="n">
        <v>0.288310984791887</v>
      </c>
      <c r="K35" s="1" t="n">
        <f aca="false">J35-I35</f>
        <v>0.0356605091438472</v>
      </c>
      <c r="L35" s="1" t="n">
        <v>0.67289207367249</v>
      </c>
    </row>
    <row r="36" customFormat="false" ht="15" hidden="false" customHeight="false" outlineLevel="0" collapsed="false">
      <c r="A36" s="3" t="s">
        <v>43</v>
      </c>
      <c r="B36" s="3" t="s">
        <v>44</v>
      </c>
      <c r="C36" s="3" t="s">
        <v>45</v>
      </c>
      <c r="D36" s="1" t="s">
        <v>19</v>
      </c>
      <c r="E36" s="1" t="s">
        <v>20</v>
      </c>
      <c r="F36" s="1" t="n">
        <v>11</v>
      </c>
      <c r="G36" s="2" t="s">
        <v>46</v>
      </c>
      <c r="H36" s="1" t="n">
        <v>0.1607</v>
      </c>
      <c r="I36" s="1" t="n">
        <v>0.230397731602817</v>
      </c>
      <c r="J36" s="1" t="n">
        <v>0.277470253103832</v>
      </c>
      <c r="K36" s="1" t="n">
        <f aca="false">J36-I36</f>
        <v>0.0470725215010151</v>
      </c>
      <c r="L36" s="1" t="n">
        <v>0.67289207367249</v>
      </c>
    </row>
    <row r="37" customFormat="false" ht="15" hidden="false" customHeight="false" outlineLevel="0" collapsed="false">
      <c r="A37" s="3" t="s">
        <v>43</v>
      </c>
      <c r="B37" s="3" t="s">
        <v>44</v>
      </c>
      <c r="C37" s="3" t="s">
        <v>45</v>
      </c>
      <c r="D37" s="1" t="s">
        <v>19</v>
      </c>
      <c r="E37" s="1" t="s">
        <v>20</v>
      </c>
      <c r="F37" s="1" t="n">
        <v>11</v>
      </c>
      <c r="G37" s="2" t="s">
        <v>26</v>
      </c>
      <c r="H37" s="1" t="n">
        <v>0.1427</v>
      </c>
      <c r="I37" s="1" t="n">
        <v>0.20458433419841</v>
      </c>
      <c r="J37" s="1" t="n">
        <v>0.270522777158215</v>
      </c>
      <c r="K37" s="1" t="n">
        <f aca="false">J37-I37</f>
        <v>0.0659384429598057</v>
      </c>
      <c r="L37" s="1" t="n">
        <v>0.67289207367249</v>
      </c>
    </row>
    <row r="38" customFormat="false" ht="15" hidden="false" customHeight="false" outlineLevel="0" collapsed="false">
      <c r="A38" s="3" t="s">
        <v>43</v>
      </c>
      <c r="B38" s="3" t="s">
        <v>44</v>
      </c>
      <c r="C38" s="3" t="s">
        <v>45</v>
      </c>
      <c r="D38" s="1" t="s">
        <v>19</v>
      </c>
      <c r="E38" s="1" t="s">
        <v>20</v>
      </c>
      <c r="F38" s="1" t="n">
        <v>11</v>
      </c>
      <c r="G38" s="2" t="s">
        <v>24</v>
      </c>
      <c r="H38" s="1" t="n">
        <v>0.1421</v>
      </c>
      <c r="I38" s="1" t="n">
        <v>0.203704010487057</v>
      </c>
      <c r="J38" s="1" t="n">
        <v>0.323425548965741</v>
      </c>
      <c r="K38" s="1" t="n">
        <f aca="false">J38-I38</f>
        <v>0.119721538478684</v>
      </c>
      <c r="L38" s="1" t="n">
        <v>0.67289207367249</v>
      </c>
    </row>
    <row r="39" customFormat="false" ht="15" hidden="false" customHeight="false" outlineLevel="0" collapsed="false">
      <c r="A39" s="3" t="s">
        <v>47</v>
      </c>
      <c r="B39" s="3" t="s">
        <v>48</v>
      </c>
      <c r="C39" s="3" t="s">
        <v>49</v>
      </c>
      <c r="D39" s="1" t="s">
        <v>19</v>
      </c>
      <c r="E39" s="1" t="s">
        <v>20</v>
      </c>
      <c r="F39" s="1" t="n">
        <v>13</v>
      </c>
      <c r="G39" s="2" t="s">
        <v>21</v>
      </c>
      <c r="H39" s="1" t="n">
        <v>0.2145</v>
      </c>
      <c r="I39" s="1" t="n">
        <v>0.353689533448636</v>
      </c>
      <c r="J39" s="1" t="n">
        <v>0.40516915201746</v>
      </c>
      <c r="K39" s="1" t="n">
        <f aca="false">J39-I39</f>
        <v>0.0514796185688241</v>
      </c>
      <c r="L39" s="1" t="n">
        <v>0.815471874765396</v>
      </c>
    </row>
    <row r="40" customFormat="false" ht="15" hidden="false" customHeight="false" outlineLevel="0" collapsed="false">
      <c r="A40" s="3" t="s">
        <v>47</v>
      </c>
      <c r="B40" s="3" t="s">
        <v>48</v>
      </c>
      <c r="C40" s="3" t="s">
        <v>49</v>
      </c>
      <c r="D40" s="1" t="s">
        <v>19</v>
      </c>
      <c r="E40" s="1" t="s">
        <v>20</v>
      </c>
      <c r="F40" s="1" t="n">
        <v>13</v>
      </c>
      <c r="G40" s="2" t="s">
        <v>46</v>
      </c>
      <c r="H40" s="1" t="n">
        <v>0.1793</v>
      </c>
      <c r="I40" s="1" t="n">
        <v>0.29559174609497</v>
      </c>
      <c r="J40" s="1" t="n">
        <v>0.283241570823036</v>
      </c>
      <c r="K40" s="1" t="n">
        <f aca="false">J40-I40</f>
        <v>-0.0123501752719338</v>
      </c>
      <c r="L40" s="1" t="n">
        <v>0.815471874765396</v>
      </c>
    </row>
    <row r="41" customFormat="false" ht="15" hidden="false" customHeight="false" outlineLevel="0" collapsed="false">
      <c r="A41" s="3" t="s">
        <v>47</v>
      </c>
      <c r="B41" s="3" t="s">
        <v>48</v>
      </c>
      <c r="C41" s="3" t="s">
        <v>49</v>
      </c>
      <c r="D41" s="1" t="s">
        <v>19</v>
      </c>
      <c r="E41" s="1" t="s">
        <v>20</v>
      </c>
      <c r="F41" s="1" t="n">
        <v>13</v>
      </c>
      <c r="G41" s="2" t="s">
        <v>22</v>
      </c>
      <c r="H41" s="1" t="n">
        <v>0.176</v>
      </c>
      <c r="I41" s="1" t="n">
        <v>0.290105962261919</v>
      </c>
      <c r="J41" s="1" t="n">
        <v>0.304531727089877</v>
      </c>
      <c r="K41" s="1" t="n">
        <f aca="false">J41-I41</f>
        <v>0.0144257648279582</v>
      </c>
      <c r="L41" s="1" t="n">
        <v>0.815471874765396</v>
      </c>
    </row>
    <row r="42" customFormat="false" ht="15" hidden="false" customHeight="false" outlineLevel="0" collapsed="false">
      <c r="A42" s="3" t="s">
        <v>47</v>
      </c>
      <c r="B42" s="3" t="s">
        <v>48</v>
      </c>
      <c r="C42" s="3" t="s">
        <v>49</v>
      </c>
      <c r="D42" s="1" t="s">
        <v>19</v>
      </c>
      <c r="E42" s="1" t="s">
        <v>20</v>
      </c>
      <c r="F42" s="1" t="n">
        <v>13</v>
      </c>
      <c r="G42" s="2" t="s">
        <v>24</v>
      </c>
      <c r="H42" s="1" t="n">
        <v>0.1721</v>
      </c>
      <c r="I42" s="1" t="n">
        <v>0.283699365501481</v>
      </c>
      <c r="J42" s="1" t="n">
        <v>0.334317156208446</v>
      </c>
      <c r="K42" s="1" t="n">
        <f aca="false">J42-I42</f>
        <v>0.050617790706965</v>
      </c>
      <c r="L42" s="1" t="n">
        <v>0.815471874765396</v>
      </c>
    </row>
    <row r="43" customFormat="false" ht="15" hidden="false" customHeight="false" outlineLevel="0" collapsed="false">
      <c r="A43" s="3" t="s">
        <v>47</v>
      </c>
      <c r="B43" s="3" t="s">
        <v>48</v>
      </c>
      <c r="C43" s="3" t="s">
        <v>49</v>
      </c>
      <c r="D43" s="1" t="s">
        <v>19</v>
      </c>
      <c r="E43" s="1" t="s">
        <v>20</v>
      </c>
      <c r="F43" s="1" t="n">
        <v>13</v>
      </c>
      <c r="G43" s="2" t="s">
        <v>39</v>
      </c>
      <c r="H43" s="1" t="n">
        <v>0.1581</v>
      </c>
      <c r="I43" s="1" t="n">
        <v>0.260690558739062</v>
      </c>
      <c r="J43" s="1" t="n">
        <v>0.303507532032809</v>
      </c>
      <c r="K43" s="1" t="n">
        <f aca="false">J43-I43</f>
        <v>0.0428169732937474</v>
      </c>
      <c r="L43" s="1" t="n">
        <v>0.815471874765396</v>
      </c>
    </row>
    <row r="44" customFormat="false" ht="15" hidden="false" customHeight="false" outlineLevel="0" collapsed="false">
      <c r="A44" s="3" t="s">
        <v>47</v>
      </c>
      <c r="B44" s="3" t="s">
        <v>48</v>
      </c>
      <c r="C44" s="3" t="s">
        <v>49</v>
      </c>
      <c r="D44" s="1" t="s">
        <v>19</v>
      </c>
      <c r="E44" s="1" t="s">
        <v>20</v>
      </c>
      <c r="F44" s="1" t="n">
        <v>13</v>
      </c>
      <c r="G44" s="2" t="s">
        <v>26</v>
      </c>
      <c r="H44" s="1" t="n">
        <v>0.1</v>
      </c>
      <c r="I44" s="1" t="n">
        <v>0.234633661283307</v>
      </c>
      <c r="J44" s="1" t="n">
        <v>0.248599814299436</v>
      </c>
      <c r="K44" s="1" t="n">
        <f aca="false">J44-I44</f>
        <v>0.0139661530161289</v>
      </c>
      <c r="L44" s="1" t="n">
        <v>0.815471874765396</v>
      </c>
    </row>
    <row r="45" customFormat="false" ht="15" hidden="false" customHeight="false" outlineLevel="0" collapsed="false">
      <c r="A45" s="3" t="s">
        <v>50</v>
      </c>
      <c r="B45" s="3" t="s">
        <v>51</v>
      </c>
      <c r="C45" s="3" t="s">
        <v>52</v>
      </c>
      <c r="D45" s="1" t="s">
        <v>19</v>
      </c>
      <c r="E45" s="1" t="s">
        <v>20</v>
      </c>
      <c r="F45" s="1" t="n">
        <v>15</v>
      </c>
      <c r="G45" s="2" t="s">
        <v>21</v>
      </c>
      <c r="H45" s="1" t="n">
        <v>0.2223</v>
      </c>
      <c r="I45" s="1" t="n">
        <v>0.38215696807154</v>
      </c>
      <c r="J45" s="1" t="n">
        <v>0.433087186148385</v>
      </c>
      <c r="K45" s="1" t="n">
        <f aca="false">J45-I45</f>
        <v>0.0509302180768458</v>
      </c>
      <c r="L45" s="1" t="n">
        <v>0.777361261632441</v>
      </c>
    </row>
    <row r="46" customFormat="false" ht="15" hidden="false" customHeight="false" outlineLevel="0" collapsed="false">
      <c r="A46" s="3" t="s">
        <v>50</v>
      </c>
      <c r="B46" s="3" t="s">
        <v>51</v>
      </c>
      <c r="C46" s="3" t="s">
        <v>52</v>
      </c>
      <c r="D46" s="1" t="s">
        <v>19</v>
      </c>
      <c r="E46" s="1" t="s">
        <v>20</v>
      </c>
      <c r="F46" s="1" t="n">
        <v>15</v>
      </c>
      <c r="G46" s="2" t="s">
        <v>24</v>
      </c>
      <c r="H46" s="1" t="n">
        <v>0.1792</v>
      </c>
      <c r="I46" s="1" t="n">
        <v>0.308018852800777</v>
      </c>
      <c r="J46" s="1" t="n">
        <v>0.379413127922699</v>
      </c>
      <c r="K46" s="1" t="n">
        <f aca="false">J46-I46</f>
        <v>0.0713942751219222</v>
      </c>
      <c r="L46" s="1" t="n">
        <v>0.777361261632441</v>
      </c>
    </row>
    <row r="47" customFormat="false" ht="15" hidden="false" customHeight="false" outlineLevel="0" collapsed="false">
      <c r="A47" s="3" t="s">
        <v>50</v>
      </c>
      <c r="B47" s="3" t="s">
        <v>51</v>
      </c>
      <c r="C47" s="3" t="s">
        <v>52</v>
      </c>
      <c r="D47" s="1" t="s">
        <v>19</v>
      </c>
      <c r="E47" s="1" t="s">
        <v>20</v>
      </c>
      <c r="F47" s="1" t="n">
        <v>15</v>
      </c>
      <c r="G47" s="2" t="s">
        <v>22</v>
      </c>
      <c r="H47" s="1" t="n">
        <v>0.1773</v>
      </c>
      <c r="I47" s="1" t="n">
        <v>0.304859025799102</v>
      </c>
      <c r="J47" s="1" t="n">
        <v>0.381525419768808</v>
      </c>
      <c r="K47" s="1" t="n">
        <f aca="false">J47-I47</f>
        <v>0.0766663939697055</v>
      </c>
      <c r="L47" s="1" t="n">
        <v>0.777361261632441</v>
      </c>
    </row>
    <row r="48" customFormat="false" ht="15" hidden="false" customHeight="false" outlineLevel="0" collapsed="false">
      <c r="A48" s="3" t="s">
        <v>50</v>
      </c>
      <c r="B48" s="3" t="s">
        <v>51</v>
      </c>
      <c r="C48" s="3" t="s">
        <v>52</v>
      </c>
      <c r="D48" s="1" t="s">
        <v>19</v>
      </c>
      <c r="E48" s="1" t="s">
        <v>20</v>
      </c>
      <c r="F48" s="1" t="n">
        <v>15</v>
      </c>
      <c r="G48" s="2" t="s">
        <v>35</v>
      </c>
      <c r="H48" s="1" t="n">
        <v>0.1623</v>
      </c>
      <c r="I48" s="1" t="n">
        <v>0.279017123312111</v>
      </c>
      <c r="J48" s="1" t="n">
        <v>0.349181002880978</v>
      </c>
      <c r="K48" s="1" t="n">
        <f aca="false">J48-I48</f>
        <v>0.0701638795688667</v>
      </c>
      <c r="L48" s="1" t="n">
        <v>0.777361261632441</v>
      </c>
    </row>
    <row r="49" customFormat="false" ht="15" hidden="false" customHeight="false" outlineLevel="0" collapsed="false">
      <c r="A49" s="3" t="s">
        <v>50</v>
      </c>
      <c r="B49" s="3" t="s">
        <v>51</v>
      </c>
      <c r="C49" s="3" t="s">
        <v>52</v>
      </c>
      <c r="D49" s="1" t="s">
        <v>19</v>
      </c>
      <c r="E49" s="1" t="s">
        <v>20</v>
      </c>
      <c r="F49" s="1" t="n">
        <v>15</v>
      </c>
      <c r="G49" s="2" t="s">
        <v>39</v>
      </c>
      <c r="H49" s="1" t="n">
        <v>0.1589</v>
      </c>
      <c r="I49" s="1" t="n">
        <v>0.273078992722543</v>
      </c>
      <c r="J49" s="1" t="n">
        <v>0.364906507574396</v>
      </c>
      <c r="K49" s="1" t="n">
        <f aca="false">J49-I49</f>
        <v>0.0918275148518531</v>
      </c>
      <c r="L49" s="1" t="n">
        <v>0.777361261632441</v>
      </c>
    </row>
    <row r="50" customFormat="false" ht="15" hidden="false" customHeight="false" outlineLevel="0" collapsed="false">
      <c r="A50" s="3" t="s">
        <v>50</v>
      </c>
      <c r="B50" s="3" t="s">
        <v>51</v>
      </c>
      <c r="C50" s="3" t="s">
        <v>52</v>
      </c>
      <c r="D50" s="1" t="s">
        <v>19</v>
      </c>
      <c r="E50" s="1" t="s">
        <v>20</v>
      </c>
      <c r="F50" s="1" t="n">
        <v>15</v>
      </c>
      <c r="G50" s="2" t="s">
        <v>26</v>
      </c>
      <c r="H50" s="1" t="n">
        <v>0.1</v>
      </c>
      <c r="I50" s="1" t="n">
        <v>0.225037981204065</v>
      </c>
      <c r="J50" s="1" t="n">
        <v>0.331537140704119</v>
      </c>
      <c r="K50" s="1" t="n">
        <f aca="false">J50-I50</f>
        <v>0.106499159500055</v>
      </c>
      <c r="L50" s="1" t="n">
        <v>0.777361261632441</v>
      </c>
    </row>
    <row r="51" customFormat="false" ht="15" hidden="false" customHeight="false" outlineLevel="0" collapsed="false">
      <c r="A51" s="3" t="s">
        <v>53</v>
      </c>
      <c r="B51" s="3" t="s">
        <v>54</v>
      </c>
      <c r="C51" s="3" t="s">
        <v>55</v>
      </c>
      <c r="D51" s="1" t="s">
        <v>19</v>
      </c>
      <c r="E51" s="1" t="s">
        <v>20</v>
      </c>
      <c r="F51" s="1" t="n">
        <v>17</v>
      </c>
      <c r="G51" s="2" t="s">
        <v>21</v>
      </c>
      <c r="H51" s="1" t="n">
        <v>0.1764</v>
      </c>
      <c r="I51" s="1" t="n">
        <v>0.320164763436687</v>
      </c>
      <c r="J51" s="1" t="n">
        <v>0.358162587863992</v>
      </c>
      <c r="K51" s="1" t="n">
        <f aca="false">J51-I51</f>
        <v>0.0379978244273046</v>
      </c>
      <c r="L51" s="1" t="n">
        <v>0.692246291421963</v>
      </c>
    </row>
    <row r="52" customFormat="false" ht="15" hidden="false" customHeight="false" outlineLevel="0" collapsed="false">
      <c r="A52" s="3" t="s">
        <v>53</v>
      </c>
      <c r="B52" s="3" t="s">
        <v>54</v>
      </c>
      <c r="C52" s="3" t="s">
        <v>55</v>
      </c>
      <c r="D52" s="1" t="s">
        <v>19</v>
      </c>
      <c r="E52" s="1" t="s">
        <v>20</v>
      </c>
      <c r="F52" s="1" t="n">
        <v>17</v>
      </c>
      <c r="G52" s="2" t="s">
        <v>46</v>
      </c>
      <c r="H52" s="1" t="n">
        <v>0.1736</v>
      </c>
      <c r="I52" s="1" t="n">
        <v>0.314959836902446</v>
      </c>
      <c r="J52" s="1" t="n">
        <v>0.334527899110069</v>
      </c>
      <c r="K52" s="1" t="n">
        <f aca="false">J52-I52</f>
        <v>0.0195680622076231</v>
      </c>
      <c r="L52" s="1" t="n">
        <v>0.692246291421963</v>
      </c>
    </row>
    <row r="53" customFormat="false" ht="15" hidden="false" customHeight="false" outlineLevel="0" collapsed="false">
      <c r="A53" s="3" t="s">
        <v>53</v>
      </c>
      <c r="B53" s="3" t="s">
        <v>54</v>
      </c>
      <c r="C53" s="3" t="s">
        <v>55</v>
      </c>
      <c r="D53" s="1" t="s">
        <v>19</v>
      </c>
      <c r="E53" s="1" t="s">
        <v>20</v>
      </c>
      <c r="F53" s="1" t="n">
        <v>17</v>
      </c>
      <c r="G53" s="2" t="s">
        <v>24</v>
      </c>
      <c r="H53" s="1" t="n">
        <v>0.167</v>
      </c>
      <c r="I53" s="1" t="n">
        <v>0.303078390961113</v>
      </c>
      <c r="J53" s="1" t="n">
        <v>0.381038871356083</v>
      </c>
      <c r="K53" s="1" t="n">
        <f aca="false">J53-I53</f>
        <v>0.07796048039497</v>
      </c>
      <c r="L53" s="1" t="n">
        <v>0.692246291421963</v>
      </c>
    </row>
    <row r="54" customFormat="false" ht="15" hidden="false" customHeight="false" outlineLevel="0" collapsed="false">
      <c r="A54" s="3" t="s">
        <v>53</v>
      </c>
      <c r="B54" s="3" t="s">
        <v>54</v>
      </c>
      <c r="C54" s="3" t="s">
        <v>55</v>
      </c>
      <c r="D54" s="1" t="s">
        <v>19</v>
      </c>
      <c r="E54" s="1" t="s">
        <v>20</v>
      </c>
      <c r="F54" s="1" t="n">
        <v>17</v>
      </c>
      <c r="G54" s="2" t="s">
        <v>31</v>
      </c>
      <c r="H54" s="1" t="n">
        <v>0.1651</v>
      </c>
      <c r="I54" s="1" t="n">
        <v>0.299570406172844</v>
      </c>
      <c r="J54" s="1" t="n">
        <v>0.383842694093728</v>
      </c>
      <c r="K54" s="1" t="n">
        <f aca="false">J54-I54</f>
        <v>0.0842722879208843</v>
      </c>
      <c r="L54" s="1" t="n">
        <v>0.692246291421963</v>
      </c>
    </row>
    <row r="55" customFormat="false" ht="15" hidden="false" customHeight="false" outlineLevel="0" collapsed="false">
      <c r="A55" s="3" t="s">
        <v>53</v>
      </c>
      <c r="B55" s="3" t="s">
        <v>54</v>
      </c>
      <c r="C55" s="3" t="s">
        <v>55</v>
      </c>
      <c r="D55" s="1" t="s">
        <v>19</v>
      </c>
      <c r="E55" s="1" t="s">
        <v>20</v>
      </c>
      <c r="F55" s="1" t="n">
        <v>17</v>
      </c>
      <c r="G55" s="2" t="s">
        <v>23</v>
      </c>
      <c r="H55" s="1" t="n">
        <v>0.1618</v>
      </c>
      <c r="I55" s="1" t="n">
        <v>0.293629157979117</v>
      </c>
      <c r="J55" s="1" t="n">
        <v>0.36639013216286</v>
      </c>
      <c r="K55" s="1" t="n">
        <f aca="false">J55-I55</f>
        <v>0.0727609741837422</v>
      </c>
      <c r="L55" s="1" t="n">
        <v>0.692246291421963</v>
      </c>
    </row>
    <row r="56" customFormat="false" ht="15" hidden="false" customHeight="false" outlineLevel="0" collapsed="false">
      <c r="A56" s="3" t="s">
        <v>53</v>
      </c>
      <c r="B56" s="3" t="s">
        <v>54</v>
      </c>
      <c r="C56" s="3" t="s">
        <v>55</v>
      </c>
      <c r="D56" s="1" t="s">
        <v>19</v>
      </c>
      <c r="E56" s="1" t="s">
        <v>20</v>
      </c>
      <c r="F56" s="1" t="n">
        <v>17</v>
      </c>
      <c r="G56" s="2" t="s">
        <v>26</v>
      </c>
      <c r="H56" s="1" t="n">
        <v>0.1561</v>
      </c>
      <c r="I56" s="1" t="n">
        <v>0.283169202924406</v>
      </c>
      <c r="J56" s="1" t="n">
        <v>0.400259739354157</v>
      </c>
      <c r="K56" s="1" t="n">
        <f aca="false">J56-I56</f>
        <v>0.117090536429751</v>
      </c>
      <c r="L56" s="1" t="n">
        <v>0.692246291421963</v>
      </c>
    </row>
    <row r="57" customFormat="false" ht="15" hidden="false" customHeight="false" outlineLevel="0" collapsed="false">
      <c r="A57" s="3" t="s">
        <v>56</v>
      </c>
      <c r="B57" s="3" t="s">
        <v>57</v>
      </c>
      <c r="C57" s="3" t="s">
        <v>58</v>
      </c>
      <c r="D57" s="1" t="s">
        <v>19</v>
      </c>
      <c r="E57" s="1" t="s">
        <v>20</v>
      </c>
      <c r="F57" s="1" t="n">
        <v>19</v>
      </c>
      <c r="G57" s="2" t="s">
        <v>23</v>
      </c>
      <c r="H57" s="1" t="n">
        <v>0.184</v>
      </c>
      <c r="I57" s="1" t="n">
        <v>0.364994711771131</v>
      </c>
      <c r="J57" s="1" t="n">
        <v>0.344646725617821</v>
      </c>
      <c r="K57" s="1" t="n">
        <f aca="false">J57-I57</f>
        <v>-0.02034798615331</v>
      </c>
      <c r="L57" s="1" t="n">
        <v>0.615841349915757</v>
      </c>
    </row>
    <row r="58" customFormat="false" ht="15" hidden="false" customHeight="false" outlineLevel="0" collapsed="false">
      <c r="A58" s="3" t="s">
        <v>56</v>
      </c>
      <c r="B58" s="3" t="s">
        <v>57</v>
      </c>
      <c r="C58" s="3" t="s">
        <v>58</v>
      </c>
      <c r="D58" s="1" t="s">
        <v>19</v>
      </c>
      <c r="E58" s="1" t="s">
        <v>20</v>
      </c>
      <c r="F58" s="1" t="n">
        <v>19</v>
      </c>
      <c r="G58" s="2" t="s">
        <v>31</v>
      </c>
      <c r="H58" s="1" t="n">
        <v>0.1777</v>
      </c>
      <c r="I58" s="1" t="n">
        <v>0.352451985793541</v>
      </c>
      <c r="J58" s="1" t="n">
        <v>0.295038510426609</v>
      </c>
      <c r="K58" s="1" t="n">
        <f aca="false">J58-I58</f>
        <v>-0.0574134753669317</v>
      </c>
      <c r="L58" s="1" t="n">
        <v>0.615841349915757</v>
      </c>
    </row>
    <row r="59" customFormat="false" ht="15" hidden="false" customHeight="false" outlineLevel="0" collapsed="false">
      <c r="A59" s="3" t="s">
        <v>56</v>
      </c>
      <c r="B59" s="3" t="s">
        <v>57</v>
      </c>
      <c r="C59" s="3" t="s">
        <v>58</v>
      </c>
      <c r="D59" s="1" t="s">
        <v>19</v>
      </c>
      <c r="E59" s="1" t="s">
        <v>20</v>
      </c>
      <c r="F59" s="1" t="n">
        <v>19</v>
      </c>
      <c r="G59" s="2" t="s">
        <v>24</v>
      </c>
      <c r="H59" s="1" t="n">
        <v>0.1669</v>
      </c>
      <c r="I59" s="1" t="n">
        <v>0.330976796723273</v>
      </c>
      <c r="J59" s="1" t="n">
        <v>0.343342493721207</v>
      </c>
      <c r="K59" s="1" t="n">
        <f aca="false">J59-I59</f>
        <v>0.0123656969979345</v>
      </c>
      <c r="L59" s="1" t="n">
        <v>0.615841349915757</v>
      </c>
    </row>
    <row r="60" customFormat="false" ht="15" hidden="false" customHeight="false" outlineLevel="0" collapsed="false">
      <c r="A60" s="3" t="s">
        <v>56</v>
      </c>
      <c r="B60" s="3" t="s">
        <v>57</v>
      </c>
      <c r="C60" s="3" t="s">
        <v>58</v>
      </c>
      <c r="D60" s="1" t="s">
        <v>19</v>
      </c>
      <c r="E60" s="1" t="s">
        <v>20</v>
      </c>
      <c r="F60" s="1" t="n">
        <v>19</v>
      </c>
      <c r="G60" s="2" t="s">
        <v>21</v>
      </c>
      <c r="H60" s="1" t="n">
        <v>0.1655</v>
      </c>
      <c r="I60" s="1" t="n">
        <v>0.328203865200892</v>
      </c>
      <c r="J60" s="1" t="n">
        <v>0.401153179374489</v>
      </c>
      <c r="K60" s="1" t="n">
        <f aca="false">J60-I60</f>
        <v>0.0729493141735967</v>
      </c>
      <c r="L60" s="1" t="n">
        <v>0.615841349915757</v>
      </c>
    </row>
    <row r="61" customFormat="false" ht="15" hidden="false" customHeight="false" outlineLevel="0" collapsed="false">
      <c r="A61" s="3" t="s">
        <v>56</v>
      </c>
      <c r="B61" s="3" t="s">
        <v>57</v>
      </c>
      <c r="C61" s="3" t="s">
        <v>58</v>
      </c>
      <c r="D61" s="1" t="s">
        <v>19</v>
      </c>
      <c r="E61" s="1" t="s">
        <v>20</v>
      </c>
      <c r="F61" s="1" t="n">
        <v>19</v>
      </c>
      <c r="G61" s="2" t="s">
        <v>59</v>
      </c>
      <c r="H61" s="1" t="n">
        <v>0.1572</v>
      </c>
      <c r="I61" s="1" t="n">
        <v>0.311802766093937</v>
      </c>
      <c r="J61" s="1" t="n">
        <v>0.230392660608809</v>
      </c>
      <c r="K61" s="1" t="n">
        <f aca="false">J61-I61</f>
        <v>-0.0814101054851283</v>
      </c>
      <c r="L61" s="1" t="n">
        <v>0.615841349915757</v>
      </c>
    </row>
    <row r="62" customFormat="false" ht="15" hidden="false" customHeight="false" outlineLevel="0" collapsed="false">
      <c r="A62" s="3" t="s">
        <v>56</v>
      </c>
      <c r="B62" s="3" t="s">
        <v>57</v>
      </c>
      <c r="C62" s="3" t="s">
        <v>58</v>
      </c>
      <c r="D62" s="1" t="s">
        <v>19</v>
      </c>
      <c r="E62" s="1" t="s">
        <v>20</v>
      </c>
      <c r="F62" s="1" t="n">
        <v>19</v>
      </c>
      <c r="G62" s="2" t="s">
        <v>26</v>
      </c>
      <c r="H62" s="1" t="n">
        <v>0.1487</v>
      </c>
      <c r="I62" s="1" t="n">
        <v>0.294856983708319</v>
      </c>
      <c r="J62" s="1" t="n">
        <v>0.304741280953881</v>
      </c>
      <c r="K62" s="1" t="n">
        <f aca="false">J62-I62</f>
        <v>0.0098842972455625</v>
      </c>
      <c r="L62" s="1" t="n">
        <v>0.615841349915757</v>
      </c>
    </row>
    <row r="63" customFormat="false" ht="15" hidden="false" customHeight="false" outlineLevel="0" collapsed="false">
      <c r="A63" s="3" t="s">
        <v>60</v>
      </c>
      <c r="B63" s="3" t="s">
        <v>61</v>
      </c>
      <c r="C63" s="3" t="s">
        <v>62</v>
      </c>
      <c r="D63" s="1" t="s">
        <v>19</v>
      </c>
      <c r="E63" s="1" t="s">
        <v>20</v>
      </c>
      <c r="F63" s="1" t="n">
        <v>21</v>
      </c>
      <c r="G63" s="2" t="s">
        <v>21</v>
      </c>
      <c r="H63" s="1" t="n">
        <v>0.3297</v>
      </c>
      <c r="I63" s="1" t="n">
        <v>0.240292131648829</v>
      </c>
      <c r="J63" s="1" t="n">
        <v>0.380936167976522</v>
      </c>
      <c r="K63" s="1" t="n">
        <f aca="false">J63-I63</f>
        <v>0.140644036327693</v>
      </c>
      <c r="L63" s="1" t="n">
        <v>0.775302494128078</v>
      </c>
    </row>
    <row r="64" customFormat="false" ht="15" hidden="false" customHeight="false" outlineLevel="0" collapsed="false">
      <c r="A64" s="3" t="s">
        <v>60</v>
      </c>
      <c r="B64" s="3" t="s">
        <v>61</v>
      </c>
      <c r="C64" s="3" t="s">
        <v>62</v>
      </c>
      <c r="D64" s="1" t="s">
        <v>19</v>
      </c>
      <c r="E64" s="1" t="s">
        <v>20</v>
      </c>
      <c r="F64" s="1" t="n">
        <v>21</v>
      </c>
      <c r="G64" s="2" t="s">
        <v>25</v>
      </c>
      <c r="H64" s="1" t="n">
        <v>0.2944</v>
      </c>
      <c r="I64" s="1" t="n">
        <v>0.214546293014466</v>
      </c>
      <c r="J64" s="1" t="n">
        <v>0.338715187029707</v>
      </c>
      <c r="K64" s="1" t="n">
        <f aca="false">J64-I64</f>
        <v>0.124168894015241</v>
      </c>
      <c r="L64" s="1" t="n">
        <v>0.775302494128078</v>
      </c>
    </row>
    <row r="65" customFormat="false" ht="15" hidden="false" customHeight="false" outlineLevel="0" collapsed="false">
      <c r="A65" s="3" t="s">
        <v>60</v>
      </c>
      <c r="B65" s="3" t="s">
        <v>61</v>
      </c>
      <c r="C65" s="3" t="s">
        <v>62</v>
      </c>
      <c r="D65" s="1" t="s">
        <v>19</v>
      </c>
      <c r="E65" s="1" t="s">
        <v>20</v>
      </c>
      <c r="F65" s="1" t="n">
        <v>21</v>
      </c>
      <c r="G65" s="2" t="s">
        <v>23</v>
      </c>
      <c r="H65" s="1" t="n">
        <v>0.2759</v>
      </c>
      <c r="I65" s="1" t="n">
        <v>0.201096420114877</v>
      </c>
      <c r="J65" s="1" t="n">
        <v>0.316243692456424</v>
      </c>
      <c r="K65" s="1" t="n">
        <f aca="false">J65-I65</f>
        <v>0.115147272341547</v>
      </c>
      <c r="L65" s="1" t="n">
        <v>0.775302494128078</v>
      </c>
    </row>
    <row r="66" customFormat="false" ht="15" hidden="false" customHeight="false" outlineLevel="0" collapsed="false">
      <c r="A66" s="3" t="s">
        <v>60</v>
      </c>
      <c r="B66" s="3" t="s">
        <v>61</v>
      </c>
      <c r="C66" s="3" t="s">
        <v>62</v>
      </c>
      <c r="D66" s="1" t="s">
        <v>19</v>
      </c>
      <c r="E66" s="1" t="s">
        <v>20</v>
      </c>
      <c r="F66" s="1" t="n">
        <v>21</v>
      </c>
      <c r="G66" s="2" t="s">
        <v>26</v>
      </c>
      <c r="H66" s="1" t="n">
        <v>0.1</v>
      </c>
      <c r="I66" s="1" t="n">
        <v>0.191193086795909</v>
      </c>
      <c r="J66" s="1" t="n">
        <v>0.307592631632369</v>
      </c>
      <c r="K66" s="1" t="n">
        <f aca="false">J66-I66</f>
        <v>0.11639954483646</v>
      </c>
      <c r="L66" s="1" t="n">
        <v>0.775302494128078</v>
      </c>
    </row>
    <row r="67" customFormat="false" ht="15" hidden="false" customHeight="false" outlineLevel="0" collapsed="false">
      <c r="A67" s="3" t="s">
        <v>63</v>
      </c>
      <c r="B67" s="3" t="s">
        <v>64</v>
      </c>
      <c r="C67" s="3" t="s">
        <v>65</v>
      </c>
      <c r="D67" s="1" t="s">
        <v>19</v>
      </c>
      <c r="E67" s="1" t="s">
        <v>20</v>
      </c>
      <c r="F67" s="1" t="n">
        <v>23</v>
      </c>
      <c r="G67" s="2" t="s">
        <v>25</v>
      </c>
      <c r="H67" s="1" t="n">
        <v>0.1995</v>
      </c>
      <c r="I67" s="1" t="n">
        <v>0.281123594694212</v>
      </c>
      <c r="J67" s="1" t="n">
        <v>0.30164789830474</v>
      </c>
      <c r="K67" s="1" t="n">
        <f aca="false">J67-I67</f>
        <v>0.0205243036105272</v>
      </c>
      <c r="L67" s="1" t="n">
        <v>0.745549821920152</v>
      </c>
    </row>
    <row r="68" customFormat="false" ht="15" hidden="false" customHeight="false" outlineLevel="0" collapsed="false">
      <c r="A68" s="3" t="s">
        <v>63</v>
      </c>
      <c r="B68" s="3" t="s">
        <v>64</v>
      </c>
      <c r="C68" s="3" t="s">
        <v>65</v>
      </c>
      <c r="D68" s="1" t="s">
        <v>19</v>
      </c>
      <c r="E68" s="1" t="s">
        <v>20</v>
      </c>
      <c r="F68" s="1" t="n">
        <v>23</v>
      </c>
      <c r="G68" s="2" t="s">
        <v>21</v>
      </c>
      <c r="H68" s="1" t="n">
        <v>0.1987</v>
      </c>
      <c r="I68" s="1" t="n">
        <v>0.280072351701603</v>
      </c>
      <c r="J68" s="1" t="n">
        <v>0.339440114123086</v>
      </c>
      <c r="K68" s="1" t="n">
        <f aca="false">J68-I68</f>
        <v>0.0593677624214829</v>
      </c>
      <c r="L68" s="1" t="n">
        <v>0.745549821920152</v>
      </c>
    </row>
    <row r="69" customFormat="false" ht="15" hidden="false" customHeight="false" outlineLevel="0" collapsed="false">
      <c r="A69" s="3" t="s">
        <v>63</v>
      </c>
      <c r="B69" s="3" t="s">
        <v>64</v>
      </c>
      <c r="C69" s="3" t="s">
        <v>65</v>
      </c>
      <c r="D69" s="1" t="s">
        <v>19</v>
      </c>
      <c r="E69" s="1" t="s">
        <v>20</v>
      </c>
      <c r="F69" s="1" t="n">
        <v>23</v>
      </c>
      <c r="G69" s="2" t="s">
        <v>39</v>
      </c>
      <c r="H69" s="1" t="n">
        <v>0.1713</v>
      </c>
      <c r="I69" s="1" t="n">
        <v>0.241392184352291</v>
      </c>
      <c r="J69" s="1" t="n">
        <v>0.300750263669023</v>
      </c>
      <c r="K69" s="1" t="n">
        <f aca="false">J69-I69</f>
        <v>0.0593580793167322</v>
      </c>
      <c r="L69" s="1" t="n">
        <v>0.745549821920152</v>
      </c>
    </row>
    <row r="70" customFormat="false" ht="15" hidden="false" customHeight="false" outlineLevel="0" collapsed="false">
      <c r="A70" s="3" t="s">
        <v>63</v>
      </c>
      <c r="B70" s="3" t="s">
        <v>64</v>
      </c>
      <c r="C70" s="3" t="s">
        <v>65</v>
      </c>
      <c r="D70" s="1" t="s">
        <v>19</v>
      </c>
      <c r="E70" s="1" t="s">
        <v>20</v>
      </c>
      <c r="F70" s="1" t="n">
        <v>23</v>
      </c>
      <c r="G70" s="2" t="s">
        <v>31</v>
      </c>
      <c r="H70" s="1" t="n">
        <v>0.1706</v>
      </c>
      <c r="I70" s="1" t="n">
        <v>0.240459104665369</v>
      </c>
      <c r="J70" s="1" t="n">
        <v>0.252263857338812</v>
      </c>
      <c r="K70" s="1" t="n">
        <f aca="false">J70-I70</f>
        <v>0.011804752673443</v>
      </c>
      <c r="L70" s="1" t="n">
        <v>0.745549821920152</v>
      </c>
    </row>
    <row r="71" customFormat="false" ht="15" hidden="false" customHeight="false" outlineLevel="0" collapsed="false">
      <c r="A71" s="3" t="s">
        <v>63</v>
      </c>
      <c r="B71" s="3" t="s">
        <v>64</v>
      </c>
      <c r="C71" s="3" t="s">
        <v>65</v>
      </c>
      <c r="D71" s="1" t="s">
        <v>19</v>
      </c>
      <c r="E71" s="1" t="s">
        <v>20</v>
      </c>
      <c r="F71" s="1" t="n">
        <v>23</v>
      </c>
      <c r="G71" s="2" t="s">
        <v>22</v>
      </c>
      <c r="H71" s="1" t="n">
        <v>0.1599</v>
      </c>
      <c r="I71" s="1" t="n">
        <v>0.225333601425712</v>
      </c>
      <c r="J71" s="1" t="n">
        <v>0.26934283431357</v>
      </c>
      <c r="K71" s="1" t="n">
        <f aca="false">J71-I71</f>
        <v>0.0440092328878576</v>
      </c>
      <c r="L71" s="1" t="n">
        <v>0.745549821920152</v>
      </c>
    </row>
    <row r="72" customFormat="false" ht="15" hidden="false" customHeight="false" outlineLevel="0" collapsed="false">
      <c r="A72" s="3" t="s">
        <v>63</v>
      </c>
      <c r="B72" s="3" t="s">
        <v>64</v>
      </c>
      <c r="C72" s="3" t="s">
        <v>65</v>
      </c>
      <c r="D72" s="1" t="s">
        <v>19</v>
      </c>
      <c r="E72" s="1" t="s">
        <v>20</v>
      </c>
      <c r="F72" s="1" t="n">
        <v>23</v>
      </c>
      <c r="G72" s="2" t="s">
        <v>26</v>
      </c>
      <c r="H72" s="1" t="n">
        <v>0.1</v>
      </c>
      <c r="I72" s="1" t="n">
        <v>0.206539566367312</v>
      </c>
      <c r="J72" s="1" t="n">
        <v>0.231363497588632</v>
      </c>
      <c r="K72" s="1" t="n">
        <f aca="false">J72-I72</f>
        <v>0.0248239312213206</v>
      </c>
      <c r="L72" s="1" t="n">
        <v>0.745549821920152</v>
      </c>
    </row>
    <row r="73" customFormat="false" ht="15" hidden="false" customHeight="false" outlineLevel="0" collapsed="false">
      <c r="A73" s="3" t="s">
        <v>66</v>
      </c>
      <c r="B73" s="3" t="s">
        <v>67</v>
      </c>
      <c r="C73" s="3" t="s">
        <v>68</v>
      </c>
      <c r="D73" s="1" t="s">
        <v>19</v>
      </c>
      <c r="E73" s="1" t="s">
        <v>20</v>
      </c>
      <c r="F73" s="1" t="n">
        <v>25</v>
      </c>
      <c r="G73" s="2" t="s">
        <v>25</v>
      </c>
      <c r="H73" s="1" t="n">
        <v>0.1949</v>
      </c>
      <c r="I73" s="1" t="n">
        <v>0.288304796527938</v>
      </c>
      <c r="J73" s="1" t="n">
        <v>0.344072837620885</v>
      </c>
      <c r="K73" s="1" t="n">
        <f aca="false">J73-I73</f>
        <v>0.0557680410929465</v>
      </c>
      <c r="L73" s="1" t="n">
        <v>0.675936476989854</v>
      </c>
    </row>
    <row r="74" customFormat="false" ht="15" hidden="false" customHeight="false" outlineLevel="0" collapsed="false">
      <c r="A74" s="3" t="s">
        <v>66</v>
      </c>
      <c r="B74" s="3" t="s">
        <v>67</v>
      </c>
      <c r="C74" s="3" t="s">
        <v>68</v>
      </c>
      <c r="D74" s="1" t="s">
        <v>19</v>
      </c>
      <c r="E74" s="1" t="s">
        <v>20</v>
      </c>
      <c r="F74" s="1" t="n">
        <v>25</v>
      </c>
      <c r="G74" s="2" t="s">
        <v>21</v>
      </c>
      <c r="H74" s="1" t="n">
        <v>0.1825</v>
      </c>
      <c r="I74" s="1" t="n">
        <v>0.269976455992073</v>
      </c>
      <c r="J74" s="1" t="n">
        <v>0.422910529853973</v>
      </c>
      <c r="K74" s="1" t="n">
        <f aca="false">J74-I74</f>
        <v>0.152934073861901</v>
      </c>
      <c r="L74" s="1" t="n">
        <v>0.675936476989854</v>
      </c>
    </row>
    <row r="75" customFormat="false" ht="15" hidden="false" customHeight="false" outlineLevel="0" collapsed="false">
      <c r="A75" s="3" t="s">
        <v>66</v>
      </c>
      <c r="B75" s="3" t="s">
        <v>67</v>
      </c>
      <c r="C75" s="3" t="s">
        <v>68</v>
      </c>
      <c r="D75" s="1" t="s">
        <v>19</v>
      </c>
      <c r="E75" s="1" t="s">
        <v>20</v>
      </c>
      <c r="F75" s="1" t="n">
        <v>25</v>
      </c>
      <c r="G75" s="2" t="s">
        <v>23</v>
      </c>
      <c r="H75" s="1" t="n">
        <v>0.1762</v>
      </c>
      <c r="I75" s="1" t="n">
        <v>0.26070276440606</v>
      </c>
      <c r="J75" s="1" t="n">
        <v>0.386294351267676</v>
      </c>
      <c r="K75" s="1" t="n">
        <f aca="false">J75-I75</f>
        <v>0.125591586861616</v>
      </c>
      <c r="L75" s="1" t="n">
        <v>0.675936476989854</v>
      </c>
    </row>
    <row r="76" customFormat="false" ht="15" hidden="false" customHeight="false" outlineLevel="0" collapsed="false">
      <c r="A76" s="3" t="s">
        <v>66</v>
      </c>
      <c r="B76" s="3" t="s">
        <v>67</v>
      </c>
      <c r="C76" s="3" t="s">
        <v>68</v>
      </c>
      <c r="D76" s="1" t="s">
        <v>19</v>
      </c>
      <c r="E76" s="1" t="s">
        <v>20</v>
      </c>
      <c r="F76" s="1" t="n">
        <v>25</v>
      </c>
      <c r="G76" s="2" t="s">
        <v>22</v>
      </c>
      <c r="H76" s="1" t="n">
        <v>0.1752</v>
      </c>
      <c r="I76" s="1" t="n">
        <v>0.259208303542863</v>
      </c>
      <c r="J76" s="1" t="n">
        <v>0.381363350039379</v>
      </c>
      <c r="K76" s="1" t="n">
        <f aca="false">J76-I76</f>
        <v>0.122155046496515</v>
      </c>
      <c r="L76" s="1" t="n">
        <v>0.675936476989854</v>
      </c>
    </row>
    <row r="77" customFormat="false" ht="15" hidden="false" customHeight="false" outlineLevel="0" collapsed="false">
      <c r="A77" s="3" t="s">
        <v>66</v>
      </c>
      <c r="B77" s="3" t="s">
        <v>67</v>
      </c>
      <c r="C77" s="3" t="s">
        <v>68</v>
      </c>
      <c r="D77" s="1" t="s">
        <v>19</v>
      </c>
      <c r="E77" s="1" t="s">
        <v>20</v>
      </c>
      <c r="F77" s="1" t="n">
        <v>25</v>
      </c>
      <c r="G77" s="2" t="s">
        <v>39</v>
      </c>
      <c r="H77" s="1" t="n">
        <v>0.1711</v>
      </c>
      <c r="I77" s="1" t="n">
        <v>0.253069140658163</v>
      </c>
      <c r="J77" s="1" t="n">
        <v>0.346908625433</v>
      </c>
      <c r="K77" s="1" t="n">
        <f aca="false">J77-I77</f>
        <v>0.0938394847748366</v>
      </c>
      <c r="L77" s="1" t="n">
        <v>0.675936476989854</v>
      </c>
    </row>
    <row r="78" customFormat="false" ht="15" hidden="false" customHeight="false" outlineLevel="0" collapsed="false">
      <c r="A78" s="3" t="s">
        <v>66</v>
      </c>
      <c r="B78" s="3" t="s">
        <v>67</v>
      </c>
      <c r="C78" s="3" t="s">
        <v>68</v>
      </c>
      <c r="D78" s="1" t="s">
        <v>19</v>
      </c>
      <c r="E78" s="1" t="s">
        <v>20</v>
      </c>
      <c r="F78" s="1" t="n">
        <v>25</v>
      </c>
      <c r="G78" s="2" t="s">
        <v>26</v>
      </c>
      <c r="H78" s="1" t="n">
        <v>0.1</v>
      </c>
      <c r="I78" s="1" t="n">
        <v>0.195613817387118</v>
      </c>
      <c r="J78" s="1" t="n">
        <v>0.311795924608877</v>
      </c>
      <c r="K78" s="1" t="n">
        <f aca="false">J78-I78</f>
        <v>0.116182107221759</v>
      </c>
      <c r="L78" s="1" t="n">
        <v>0.675936476989854</v>
      </c>
    </row>
    <row r="79" customFormat="false" ht="15" hidden="false" customHeight="false" outlineLevel="0" collapsed="false">
      <c r="A79" s="3" t="s">
        <v>69</v>
      </c>
      <c r="B79" s="3" t="s">
        <v>70</v>
      </c>
      <c r="C79" s="3" t="s">
        <v>71</v>
      </c>
      <c r="D79" s="1" t="s">
        <v>19</v>
      </c>
      <c r="E79" s="1" t="s">
        <v>20</v>
      </c>
      <c r="F79" s="1" t="n">
        <v>27</v>
      </c>
      <c r="G79" s="2" t="s">
        <v>21</v>
      </c>
      <c r="H79" s="1" t="n">
        <v>0.2097</v>
      </c>
      <c r="I79" s="1" t="n">
        <v>0.365757787340574</v>
      </c>
      <c r="J79" s="1" t="n">
        <v>0.428856216999047</v>
      </c>
      <c r="K79" s="1" t="n">
        <f aca="false">J79-I79</f>
        <v>0.0630984296584725</v>
      </c>
      <c r="L79" s="1" t="n">
        <v>0.797455345493423</v>
      </c>
    </row>
    <row r="80" customFormat="false" ht="15" hidden="false" customHeight="false" outlineLevel="0" collapsed="false">
      <c r="A80" s="3" t="s">
        <v>69</v>
      </c>
      <c r="B80" s="3" t="s">
        <v>70</v>
      </c>
      <c r="C80" s="3" t="s">
        <v>71</v>
      </c>
      <c r="D80" s="1" t="s">
        <v>19</v>
      </c>
      <c r="E80" s="1" t="s">
        <v>20</v>
      </c>
      <c r="F80" s="1" t="n">
        <v>27</v>
      </c>
      <c r="G80" s="2" t="s">
        <v>22</v>
      </c>
      <c r="H80" s="1" t="n">
        <v>0.1839</v>
      </c>
      <c r="I80" s="1" t="n">
        <v>0.320830491499918</v>
      </c>
      <c r="J80" s="1" t="n">
        <v>0.388032646244629</v>
      </c>
      <c r="K80" s="1" t="n">
        <f aca="false">J80-I80</f>
        <v>0.0672021547447109</v>
      </c>
      <c r="L80" s="1" t="n">
        <v>0.797455345493423</v>
      </c>
    </row>
    <row r="81" customFormat="false" ht="15" hidden="false" customHeight="false" outlineLevel="0" collapsed="false">
      <c r="A81" s="3" t="s">
        <v>69</v>
      </c>
      <c r="B81" s="3" t="s">
        <v>70</v>
      </c>
      <c r="C81" s="3" t="s">
        <v>71</v>
      </c>
      <c r="D81" s="1" t="s">
        <v>19</v>
      </c>
      <c r="E81" s="1" t="s">
        <v>20</v>
      </c>
      <c r="F81" s="1" t="n">
        <v>27</v>
      </c>
      <c r="G81" s="2" t="s">
        <v>24</v>
      </c>
      <c r="H81" s="1" t="n">
        <v>0.1801</v>
      </c>
      <c r="I81" s="1" t="n">
        <v>0.314064215018071</v>
      </c>
      <c r="J81" s="1" t="n">
        <v>0.385575924964583</v>
      </c>
      <c r="K81" s="1" t="n">
        <f aca="false">J81-I81</f>
        <v>0.0715117099465123</v>
      </c>
      <c r="L81" s="1" t="n">
        <v>0.797455345493423</v>
      </c>
    </row>
    <row r="82" customFormat="false" ht="15" hidden="false" customHeight="false" outlineLevel="0" collapsed="false">
      <c r="A82" s="3" t="s">
        <v>69</v>
      </c>
      <c r="B82" s="3" t="s">
        <v>70</v>
      </c>
      <c r="C82" s="3" t="s">
        <v>71</v>
      </c>
      <c r="D82" s="1" t="s">
        <v>19</v>
      </c>
      <c r="E82" s="1" t="s">
        <v>20</v>
      </c>
      <c r="F82" s="1" t="n">
        <v>27</v>
      </c>
      <c r="G82" s="2" t="s">
        <v>39</v>
      </c>
      <c r="H82" s="1" t="n">
        <v>0.164</v>
      </c>
      <c r="I82" s="1" t="n">
        <v>0.286073241385871</v>
      </c>
      <c r="J82" s="1" t="n">
        <v>0.344343070485932</v>
      </c>
      <c r="K82" s="1" t="n">
        <f aca="false">J82-I82</f>
        <v>0.0582698291000618</v>
      </c>
      <c r="L82" s="1" t="n">
        <v>0.797455345493423</v>
      </c>
    </row>
    <row r="83" customFormat="false" ht="15" hidden="false" customHeight="false" outlineLevel="0" collapsed="false">
      <c r="A83" s="3" t="s">
        <v>69</v>
      </c>
      <c r="B83" s="3" t="s">
        <v>70</v>
      </c>
      <c r="C83" s="3" t="s">
        <v>71</v>
      </c>
      <c r="D83" s="1" t="s">
        <v>19</v>
      </c>
      <c r="E83" s="1" t="s">
        <v>20</v>
      </c>
      <c r="F83" s="1" t="n">
        <v>27</v>
      </c>
      <c r="G83" s="2" t="s">
        <v>23</v>
      </c>
      <c r="H83" s="1" t="n">
        <v>0.1623</v>
      </c>
      <c r="I83" s="1" t="n">
        <v>0.283007684536721</v>
      </c>
      <c r="J83" s="1" t="n">
        <v>0.32200624522929</v>
      </c>
      <c r="K83" s="1" t="n">
        <f aca="false">J83-I83</f>
        <v>0.0389985606925687</v>
      </c>
      <c r="L83" s="1" t="n">
        <v>0.797455345493423</v>
      </c>
    </row>
    <row r="84" customFormat="false" ht="15" hidden="false" customHeight="false" outlineLevel="0" collapsed="false">
      <c r="A84" s="3" t="s">
        <v>69</v>
      </c>
      <c r="B84" s="3" t="s">
        <v>70</v>
      </c>
      <c r="C84" s="3" t="s">
        <v>71</v>
      </c>
      <c r="D84" s="1" t="s">
        <v>19</v>
      </c>
      <c r="E84" s="1" t="s">
        <v>20</v>
      </c>
      <c r="F84" s="1" t="n">
        <v>27</v>
      </c>
      <c r="G84" s="2" t="s">
        <v>26</v>
      </c>
      <c r="H84" s="1" t="n">
        <v>0.1</v>
      </c>
      <c r="I84" s="1" t="n">
        <v>0.237070382190252</v>
      </c>
      <c r="J84" s="1" t="n">
        <v>0.281722647152171</v>
      </c>
      <c r="K84" s="1" t="n">
        <f aca="false">J84-I84</f>
        <v>0.0446522649619191</v>
      </c>
      <c r="L84" s="1" t="n">
        <v>0.797455345493423</v>
      </c>
    </row>
    <row r="85" customFormat="false" ht="15" hidden="false" customHeight="false" outlineLevel="0" collapsed="false">
      <c r="A85" s="3" t="s">
        <v>72</v>
      </c>
      <c r="B85" s="3" t="s">
        <v>73</v>
      </c>
      <c r="C85" s="3" t="s">
        <v>74</v>
      </c>
      <c r="D85" s="1" t="s">
        <v>19</v>
      </c>
      <c r="E85" s="1" t="s">
        <v>20</v>
      </c>
      <c r="F85" s="1" t="n">
        <v>29</v>
      </c>
      <c r="G85" s="2" t="s">
        <v>21</v>
      </c>
      <c r="H85" s="1" t="n">
        <v>0.2057</v>
      </c>
      <c r="I85" s="1" t="n">
        <v>0.400590653182518</v>
      </c>
      <c r="J85" s="1" t="n">
        <v>0.414186049579394</v>
      </c>
      <c r="K85" s="1" t="n">
        <f aca="false">J85-I85</f>
        <v>0.0135953963968766</v>
      </c>
      <c r="L85" s="1" t="n">
        <v>0.831683746706372</v>
      </c>
    </row>
    <row r="86" customFormat="false" ht="15" hidden="false" customHeight="false" outlineLevel="0" collapsed="false">
      <c r="A86" s="3" t="s">
        <v>72</v>
      </c>
      <c r="B86" s="3" t="s">
        <v>73</v>
      </c>
      <c r="C86" s="3" t="s">
        <v>74</v>
      </c>
      <c r="D86" s="1" t="s">
        <v>19</v>
      </c>
      <c r="E86" s="1" t="s">
        <v>20</v>
      </c>
      <c r="F86" s="1" t="n">
        <v>29</v>
      </c>
      <c r="G86" s="2" t="s">
        <v>22</v>
      </c>
      <c r="H86" s="1" t="n">
        <v>0.1867</v>
      </c>
      <c r="I86" s="1" t="n">
        <v>0.363469147537488</v>
      </c>
      <c r="J86" s="1" t="n">
        <v>0.354221477627202</v>
      </c>
      <c r="K86" s="1" t="n">
        <f aca="false">J86-I86</f>
        <v>-0.00924766991028542</v>
      </c>
      <c r="L86" s="1" t="n">
        <v>0.831683746706372</v>
      </c>
    </row>
    <row r="87" customFormat="false" ht="15" hidden="false" customHeight="false" outlineLevel="0" collapsed="false">
      <c r="A87" s="3" t="s">
        <v>72</v>
      </c>
      <c r="B87" s="3" t="s">
        <v>73</v>
      </c>
      <c r="C87" s="3" t="s">
        <v>74</v>
      </c>
      <c r="D87" s="1" t="s">
        <v>19</v>
      </c>
      <c r="E87" s="1" t="s">
        <v>20</v>
      </c>
      <c r="F87" s="1" t="n">
        <v>29</v>
      </c>
      <c r="G87" s="2" t="s">
        <v>24</v>
      </c>
      <c r="H87" s="1" t="n">
        <v>0.1839</v>
      </c>
      <c r="I87" s="1" t="n">
        <v>0.358137427364373</v>
      </c>
      <c r="J87" s="1" t="n">
        <v>0.37260849599627</v>
      </c>
      <c r="K87" s="1" t="n">
        <f aca="false">J87-I87</f>
        <v>0.0144710686318971</v>
      </c>
      <c r="L87" s="1" t="n">
        <v>0.831683746706372</v>
      </c>
    </row>
    <row r="88" customFormat="false" ht="15" hidden="false" customHeight="false" outlineLevel="0" collapsed="false">
      <c r="A88" s="3" t="s">
        <v>72</v>
      </c>
      <c r="B88" s="3" t="s">
        <v>73</v>
      </c>
      <c r="C88" s="3" t="s">
        <v>74</v>
      </c>
      <c r="D88" s="1" t="s">
        <v>19</v>
      </c>
      <c r="E88" s="1" t="s">
        <v>20</v>
      </c>
      <c r="F88" s="1" t="n">
        <v>29</v>
      </c>
      <c r="G88" s="2" t="s">
        <v>35</v>
      </c>
      <c r="H88" s="1" t="n">
        <v>0.1633</v>
      </c>
      <c r="I88" s="1" t="n">
        <v>0.318022339126469</v>
      </c>
      <c r="J88" s="1" t="n">
        <v>0.321378398178707</v>
      </c>
      <c r="K88" s="1" t="n">
        <f aca="false">J88-I88</f>
        <v>0.00335605905223829</v>
      </c>
      <c r="L88" s="1" t="n">
        <v>0.831683746706372</v>
      </c>
    </row>
    <row r="89" customFormat="false" ht="15" hidden="false" customHeight="false" outlineLevel="0" collapsed="false">
      <c r="A89" s="3" t="s">
        <v>72</v>
      </c>
      <c r="B89" s="3" t="s">
        <v>73</v>
      </c>
      <c r="C89" s="3" t="s">
        <v>74</v>
      </c>
      <c r="D89" s="1" t="s">
        <v>19</v>
      </c>
      <c r="E89" s="1" t="s">
        <v>20</v>
      </c>
      <c r="F89" s="1" t="n">
        <v>29</v>
      </c>
      <c r="G89" s="2" t="s">
        <v>39</v>
      </c>
      <c r="H89" s="1" t="n">
        <v>0.1604</v>
      </c>
      <c r="I89" s="1" t="n">
        <v>0.312275997055165</v>
      </c>
      <c r="J89" s="1" t="n">
        <v>0.330802038118588</v>
      </c>
      <c r="K89" s="1" t="n">
        <f aca="false">J89-I89</f>
        <v>0.0185260410634231</v>
      </c>
      <c r="L89" s="1" t="n">
        <v>0.831683746706372</v>
      </c>
    </row>
    <row r="90" customFormat="false" ht="15" hidden="false" customHeight="false" outlineLevel="0" collapsed="false">
      <c r="A90" s="3" t="s">
        <v>72</v>
      </c>
      <c r="B90" s="3" t="s">
        <v>73</v>
      </c>
      <c r="C90" s="3" t="s">
        <v>74</v>
      </c>
      <c r="D90" s="1" t="s">
        <v>19</v>
      </c>
      <c r="E90" s="1" t="s">
        <v>20</v>
      </c>
      <c r="F90" s="1" t="n">
        <v>29</v>
      </c>
      <c r="G90" s="2" t="s">
        <v>26</v>
      </c>
      <c r="H90" s="1" t="n">
        <v>0.1</v>
      </c>
      <c r="I90" s="1" t="n">
        <v>0.260508611276758</v>
      </c>
      <c r="J90" s="1" t="n">
        <v>0.307125444151656</v>
      </c>
      <c r="K90" s="1" t="n">
        <f aca="false">J90-I90</f>
        <v>0.0466168328748973</v>
      </c>
      <c r="L90" s="1" t="n">
        <v>0.831683746706372</v>
      </c>
    </row>
    <row r="91" customFormat="false" ht="15" hidden="false" customHeight="false" outlineLevel="0" collapsed="false">
      <c r="A91" s="3" t="s">
        <v>75</v>
      </c>
      <c r="B91" s="3" t="s">
        <v>76</v>
      </c>
      <c r="C91" s="3" t="s">
        <v>77</v>
      </c>
      <c r="D91" s="1" t="s">
        <v>19</v>
      </c>
      <c r="E91" s="1" t="s">
        <v>20</v>
      </c>
      <c r="F91" s="1" t="n">
        <v>31</v>
      </c>
      <c r="G91" s="2" t="s">
        <v>21</v>
      </c>
      <c r="H91" s="1" t="n">
        <v>0.2052</v>
      </c>
      <c r="I91" s="1" t="n">
        <v>0.331341538464987</v>
      </c>
      <c r="J91" s="1" t="n">
        <v>0.357869235995042</v>
      </c>
      <c r="K91" s="1" t="n">
        <f aca="false">J91-I91</f>
        <v>0.0265276975300554</v>
      </c>
      <c r="L91" s="1" t="n">
        <v>0.665915062167674</v>
      </c>
    </row>
    <row r="92" customFormat="false" ht="15" hidden="false" customHeight="false" outlineLevel="0" collapsed="false">
      <c r="A92" s="3" t="s">
        <v>75</v>
      </c>
      <c r="B92" s="3" t="s">
        <v>76</v>
      </c>
      <c r="C92" s="3" t="s">
        <v>77</v>
      </c>
      <c r="D92" s="1" t="s">
        <v>19</v>
      </c>
      <c r="E92" s="1" t="s">
        <v>20</v>
      </c>
      <c r="F92" s="1" t="n">
        <v>31</v>
      </c>
      <c r="G92" s="2" t="s">
        <v>24</v>
      </c>
      <c r="H92" s="1" t="n">
        <v>0.185</v>
      </c>
      <c r="I92" s="1" t="n">
        <v>0.298721366969148</v>
      </c>
      <c r="J92" s="1" t="n">
        <v>0.363638386679532</v>
      </c>
      <c r="K92" s="1" t="n">
        <f aca="false">J92-I92</f>
        <v>0.0649170197103833</v>
      </c>
      <c r="L92" s="1" t="n">
        <v>0.665915062167674</v>
      </c>
    </row>
    <row r="93" customFormat="false" ht="15" hidden="false" customHeight="false" outlineLevel="0" collapsed="false">
      <c r="A93" s="3" t="s">
        <v>75</v>
      </c>
      <c r="B93" s="3" t="s">
        <v>76</v>
      </c>
      <c r="C93" s="3" t="s">
        <v>77</v>
      </c>
      <c r="D93" s="1" t="s">
        <v>19</v>
      </c>
      <c r="E93" s="1" t="s">
        <v>20</v>
      </c>
      <c r="F93" s="1" t="n">
        <v>31</v>
      </c>
      <c r="G93" s="2" t="s">
        <v>31</v>
      </c>
      <c r="H93" s="1" t="n">
        <v>0.1748</v>
      </c>
      <c r="I93" s="1" t="n">
        <v>0.282155885825674</v>
      </c>
      <c r="J93" s="1" t="n">
        <v>0.298599957602475</v>
      </c>
      <c r="K93" s="1" t="n">
        <f aca="false">J93-I93</f>
        <v>0.0164440717768013</v>
      </c>
      <c r="L93" s="1" t="n">
        <v>0.665915062167674</v>
      </c>
    </row>
    <row r="94" customFormat="false" ht="15" hidden="false" customHeight="false" outlineLevel="0" collapsed="false">
      <c r="A94" s="3" t="s">
        <v>75</v>
      </c>
      <c r="B94" s="3" t="s">
        <v>76</v>
      </c>
      <c r="C94" s="3" t="s">
        <v>77</v>
      </c>
      <c r="D94" s="1" t="s">
        <v>19</v>
      </c>
      <c r="E94" s="1" t="s">
        <v>20</v>
      </c>
      <c r="F94" s="1" t="n">
        <v>31</v>
      </c>
      <c r="G94" s="2" t="s">
        <v>23</v>
      </c>
      <c r="H94" s="1" t="n">
        <v>0.1681</v>
      </c>
      <c r="I94" s="1" t="n">
        <v>0.271426337957999</v>
      </c>
      <c r="J94" s="1" t="n">
        <v>0.327607417312581</v>
      </c>
      <c r="K94" s="1" t="n">
        <f aca="false">J94-I94</f>
        <v>0.0561810793545829</v>
      </c>
      <c r="L94" s="1" t="n">
        <v>0.665915062167674</v>
      </c>
    </row>
    <row r="95" customFormat="false" ht="15" hidden="false" customHeight="false" outlineLevel="0" collapsed="false">
      <c r="A95" s="3" t="s">
        <v>75</v>
      </c>
      <c r="B95" s="3" t="s">
        <v>76</v>
      </c>
      <c r="C95" s="3" t="s">
        <v>77</v>
      </c>
      <c r="D95" s="1" t="s">
        <v>19</v>
      </c>
      <c r="E95" s="1" t="s">
        <v>20</v>
      </c>
      <c r="F95" s="1" t="n">
        <v>31</v>
      </c>
      <c r="G95" s="2" t="s">
        <v>22</v>
      </c>
      <c r="H95" s="1" t="n">
        <v>0.1668</v>
      </c>
      <c r="I95" s="1" t="n">
        <v>0.269302749879192</v>
      </c>
      <c r="J95" s="1" t="n">
        <v>0.299208645240411</v>
      </c>
      <c r="K95" s="1" t="n">
        <f aca="false">J95-I95</f>
        <v>0.0299058953612193</v>
      </c>
      <c r="L95" s="1" t="n">
        <v>0.665915062167674</v>
      </c>
    </row>
    <row r="96" customFormat="false" ht="15" hidden="false" customHeight="false" outlineLevel="0" collapsed="false">
      <c r="A96" s="3" t="s">
        <v>75</v>
      </c>
      <c r="B96" s="3" t="s">
        <v>76</v>
      </c>
      <c r="C96" s="3" t="s">
        <v>77</v>
      </c>
      <c r="D96" s="1" t="s">
        <v>19</v>
      </c>
      <c r="E96" s="1" t="s">
        <v>20</v>
      </c>
      <c r="F96" s="1" t="n">
        <v>31</v>
      </c>
      <c r="G96" s="2" t="s">
        <v>26</v>
      </c>
      <c r="H96" s="1" t="n">
        <v>0.1</v>
      </c>
      <c r="I96" s="1" t="n">
        <v>0.235383485095453</v>
      </c>
      <c r="J96" s="1" t="n">
        <v>0.27263759059472</v>
      </c>
      <c r="K96" s="1" t="n">
        <f aca="false">J96-I96</f>
        <v>0.0372541054992668</v>
      </c>
      <c r="L96" s="1" t="n">
        <v>0.665915062167674</v>
      </c>
    </row>
    <row r="97" customFormat="false" ht="15" hidden="false" customHeight="false" outlineLevel="0" collapsed="false">
      <c r="A97" s="3" t="s">
        <v>78</v>
      </c>
      <c r="B97" s="3" t="s">
        <v>79</v>
      </c>
      <c r="C97" s="3" t="s">
        <v>80</v>
      </c>
      <c r="D97" s="1" t="s">
        <v>19</v>
      </c>
      <c r="E97" s="1" t="s">
        <v>20</v>
      </c>
      <c r="F97" s="1" t="n">
        <v>33</v>
      </c>
      <c r="G97" s="2" t="s">
        <v>24</v>
      </c>
      <c r="H97" s="1" t="n">
        <v>0.1916</v>
      </c>
      <c r="I97" s="1" t="n">
        <v>0.288755415457579</v>
      </c>
      <c r="J97" s="1" t="n">
        <v>0.324866472102337</v>
      </c>
      <c r="K97" s="1" t="n">
        <f aca="false">J97-I97</f>
        <v>0.0361110566447585</v>
      </c>
      <c r="L97" s="1" t="n">
        <v>0.808465032172267</v>
      </c>
    </row>
    <row r="98" customFormat="false" ht="15" hidden="false" customHeight="false" outlineLevel="0" collapsed="false">
      <c r="A98" s="3" t="s">
        <v>78</v>
      </c>
      <c r="B98" s="3" t="s">
        <v>79</v>
      </c>
      <c r="C98" s="3" t="s">
        <v>80</v>
      </c>
      <c r="D98" s="1" t="s">
        <v>19</v>
      </c>
      <c r="E98" s="1" t="s">
        <v>20</v>
      </c>
      <c r="F98" s="1" t="n">
        <v>33</v>
      </c>
      <c r="G98" s="2" t="s">
        <v>21</v>
      </c>
      <c r="H98" s="1" t="n">
        <v>0.1898</v>
      </c>
      <c r="I98" s="1" t="n">
        <v>0.286062045336058</v>
      </c>
      <c r="J98" s="1" t="n">
        <v>0.356921925008225</v>
      </c>
      <c r="K98" s="1" t="n">
        <f aca="false">J98-I98</f>
        <v>0.0708598796721669</v>
      </c>
      <c r="L98" s="1" t="n">
        <v>0.808465032172267</v>
      </c>
    </row>
    <row r="99" customFormat="false" ht="15" hidden="false" customHeight="false" outlineLevel="0" collapsed="false">
      <c r="A99" s="3" t="s">
        <v>78</v>
      </c>
      <c r="B99" s="3" t="s">
        <v>79</v>
      </c>
      <c r="C99" s="3" t="s">
        <v>80</v>
      </c>
      <c r="D99" s="1" t="s">
        <v>19</v>
      </c>
      <c r="E99" s="1" t="s">
        <v>20</v>
      </c>
      <c r="F99" s="1" t="n">
        <v>33</v>
      </c>
      <c r="G99" s="2" t="s">
        <v>23</v>
      </c>
      <c r="H99" s="1" t="n">
        <v>0.1833</v>
      </c>
      <c r="I99" s="1" t="n">
        <v>0.276301707597353</v>
      </c>
      <c r="J99" s="1" t="n">
        <v>0.31496852132714</v>
      </c>
      <c r="K99" s="1" t="n">
        <f aca="false">J99-I99</f>
        <v>0.0386668137297873</v>
      </c>
      <c r="L99" s="1" t="n">
        <v>0.808465032172267</v>
      </c>
    </row>
    <row r="100" customFormat="false" ht="15" hidden="false" customHeight="false" outlineLevel="0" collapsed="false">
      <c r="A100" s="3" t="s">
        <v>78</v>
      </c>
      <c r="B100" s="3" t="s">
        <v>79</v>
      </c>
      <c r="C100" s="3" t="s">
        <v>80</v>
      </c>
      <c r="D100" s="1" t="s">
        <v>19</v>
      </c>
      <c r="E100" s="1" t="s">
        <v>20</v>
      </c>
      <c r="F100" s="1" t="n">
        <v>33</v>
      </c>
      <c r="G100" s="2" t="s">
        <v>31</v>
      </c>
      <c r="H100" s="1" t="n">
        <v>0.1721</v>
      </c>
      <c r="I100" s="1" t="n">
        <v>0.259423591328564</v>
      </c>
      <c r="J100" s="1" t="n">
        <v>0.312936103344225</v>
      </c>
      <c r="K100" s="1" t="n">
        <f aca="false">J100-I100</f>
        <v>0.0535125120156614</v>
      </c>
      <c r="L100" s="1" t="n">
        <v>0.808465032172267</v>
      </c>
    </row>
    <row r="101" customFormat="false" ht="15" hidden="false" customHeight="false" outlineLevel="0" collapsed="false">
      <c r="A101" s="3" t="s">
        <v>78</v>
      </c>
      <c r="B101" s="3" t="s">
        <v>79</v>
      </c>
      <c r="C101" s="3" t="s">
        <v>80</v>
      </c>
      <c r="D101" s="1" t="s">
        <v>19</v>
      </c>
      <c r="E101" s="1" t="s">
        <v>20</v>
      </c>
      <c r="F101" s="1" t="n">
        <v>33</v>
      </c>
      <c r="G101" s="2" t="s">
        <v>46</v>
      </c>
      <c r="H101" s="1" t="n">
        <v>0.1631</v>
      </c>
      <c r="I101" s="1" t="n">
        <v>0.245872993193908</v>
      </c>
      <c r="J101" s="1" t="n">
        <v>0.264918418378499</v>
      </c>
      <c r="K101" s="1" t="n">
        <f aca="false">J101-I101</f>
        <v>0.0190454251845912</v>
      </c>
      <c r="L101" s="1" t="n">
        <v>0.808465032172267</v>
      </c>
    </row>
    <row r="102" customFormat="false" ht="15" hidden="false" customHeight="false" outlineLevel="0" collapsed="false">
      <c r="A102" s="3" t="s">
        <v>78</v>
      </c>
      <c r="B102" s="3" t="s">
        <v>79</v>
      </c>
      <c r="C102" s="3" t="s">
        <v>80</v>
      </c>
      <c r="D102" s="1" t="s">
        <v>19</v>
      </c>
      <c r="E102" s="1" t="s">
        <v>20</v>
      </c>
      <c r="F102" s="1" t="n">
        <v>33</v>
      </c>
      <c r="G102" s="2" t="s">
        <v>26</v>
      </c>
      <c r="H102" s="1" t="n">
        <v>0.1</v>
      </c>
      <c r="I102" s="1" t="n">
        <v>0.204871070766464</v>
      </c>
      <c r="J102" s="1" t="n">
        <v>0.271553758678565</v>
      </c>
      <c r="K102" s="1" t="n">
        <f aca="false">J102-I102</f>
        <v>0.0666826879121003</v>
      </c>
      <c r="L102" s="1" t="n">
        <v>0.808465032172267</v>
      </c>
    </row>
    <row r="103" customFormat="false" ht="15" hidden="false" customHeight="false" outlineLevel="0" collapsed="false">
      <c r="A103" s="3" t="s">
        <v>81</v>
      </c>
      <c r="B103" s="3" t="s">
        <v>82</v>
      </c>
      <c r="C103" s="3" t="s">
        <v>83</v>
      </c>
      <c r="D103" s="1" t="s">
        <v>19</v>
      </c>
      <c r="E103" s="1" t="s">
        <v>20</v>
      </c>
      <c r="F103" s="1" t="n">
        <v>35</v>
      </c>
      <c r="G103" s="2" t="s">
        <v>21</v>
      </c>
      <c r="H103" s="1" t="n">
        <v>0.2072</v>
      </c>
      <c r="I103" s="1" t="n">
        <v>0.30555413023838</v>
      </c>
      <c r="J103" s="1" t="n">
        <v>0.434333493714084</v>
      </c>
      <c r="K103" s="1" t="n">
        <f aca="false">J103-I103</f>
        <v>0.128779363475704</v>
      </c>
      <c r="L103" s="1" t="n">
        <v>0.702923330052347</v>
      </c>
    </row>
    <row r="104" customFormat="false" ht="15" hidden="false" customHeight="false" outlineLevel="0" collapsed="false">
      <c r="A104" s="3" t="s">
        <v>81</v>
      </c>
      <c r="B104" s="3" t="s">
        <v>82</v>
      </c>
      <c r="C104" s="3" t="s">
        <v>83</v>
      </c>
      <c r="D104" s="1" t="s">
        <v>19</v>
      </c>
      <c r="E104" s="1" t="s">
        <v>20</v>
      </c>
      <c r="F104" s="1" t="n">
        <v>35</v>
      </c>
      <c r="G104" s="2" t="s">
        <v>23</v>
      </c>
      <c r="H104" s="1" t="n">
        <v>0.2026</v>
      </c>
      <c r="I104" s="1" t="n">
        <v>0.298824433282614</v>
      </c>
      <c r="J104" s="1" t="n">
        <v>0.357777128145602</v>
      </c>
      <c r="K104" s="1" t="n">
        <f aca="false">J104-I104</f>
        <v>0.0589526948629878</v>
      </c>
      <c r="L104" s="1" t="n">
        <v>0.702923330052347</v>
      </c>
    </row>
    <row r="105" customFormat="false" ht="15" hidden="false" customHeight="false" outlineLevel="0" collapsed="false">
      <c r="A105" s="3" t="s">
        <v>81</v>
      </c>
      <c r="B105" s="3" t="s">
        <v>82</v>
      </c>
      <c r="C105" s="3" t="s">
        <v>83</v>
      </c>
      <c r="D105" s="1" t="s">
        <v>19</v>
      </c>
      <c r="E105" s="1" t="s">
        <v>20</v>
      </c>
      <c r="F105" s="1" t="n">
        <v>35</v>
      </c>
      <c r="G105" s="2" t="s">
        <v>22</v>
      </c>
      <c r="H105" s="1" t="n">
        <v>0.1665</v>
      </c>
      <c r="I105" s="1" t="n">
        <v>0.245490281658133</v>
      </c>
      <c r="J105" s="1" t="n">
        <v>0.378801876934476</v>
      </c>
      <c r="K105" s="1" t="n">
        <f aca="false">J105-I105</f>
        <v>0.133311595276343</v>
      </c>
      <c r="L105" s="1" t="n">
        <v>0.702923330052347</v>
      </c>
    </row>
    <row r="106" customFormat="false" ht="15" hidden="false" customHeight="false" outlineLevel="0" collapsed="false">
      <c r="A106" s="3" t="s">
        <v>81</v>
      </c>
      <c r="B106" s="3" t="s">
        <v>82</v>
      </c>
      <c r="C106" s="3" t="s">
        <v>83</v>
      </c>
      <c r="D106" s="1" t="s">
        <v>19</v>
      </c>
      <c r="E106" s="1" t="s">
        <v>20</v>
      </c>
      <c r="F106" s="1" t="n">
        <v>35</v>
      </c>
      <c r="G106" s="2" t="s">
        <v>31</v>
      </c>
      <c r="H106" s="1" t="n">
        <v>0.1642</v>
      </c>
      <c r="I106" s="1" t="n">
        <v>0.242116867471433</v>
      </c>
      <c r="J106" s="1" t="n">
        <v>0.339471779010421</v>
      </c>
      <c r="K106" s="1" t="n">
        <f aca="false">J106-I106</f>
        <v>0.0973549115389875</v>
      </c>
      <c r="L106" s="1" t="n">
        <v>0.702923330052347</v>
      </c>
    </row>
    <row r="107" customFormat="false" ht="15" hidden="false" customHeight="false" outlineLevel="0" collapsed="false">
      <c r="A107" s="3" t="s">
        <v>81</v>
      </c>
      <c r="B107" s="3" t="s">
        <v>82</v>
      </c>
      <c r="C107" s="3" t="s">
        <v>83</v>
      </c>
      <c r="D107" s="1" t="s">
        <v>19</v>
      </c>
      <c r="E107" s="1" t="s">
        <v>20</v>
      </c>
      <c r="F107" s="1" t="n">
        <v>35</v>
      </c>
      <c r="G107" s="2" t="s">
        <v>35</v>
      </c>
      <c r="H107" s="1" t="n">
        <v>0.1596</v>
      </c>
      <c r="I107" s="1" t="n">
        <v>0.235354978544283</v>
      </c>
      <c r="J107" s="1" t="n">
        <v>0.334779606630219</v>
      </c>
      <c r="K107" s="1" t="n">
        <f aca="false">J107-I107</f>
        <v>0.0994246280859358</v>
      </c>
      <c r="L107" s="1" t="n">
        <v>0.702923330052347</v>
      </c>
    </row>
    <row r="108" customFormat="false" ht="15" hidden="false" customHeight="false" outlineLevel="0" collapsed="false">
      <c r="A108" s="3" t="s">
        <v>81</v>
      </c>
      <c r="B108" s="3" t="s">
        <v>82</v>
      </c>
      <c r="C108" s="3" t="s">
        <v>83</v>
      </c>
      <c r="D108" s="1" t="s">
        <v>19</v>
      </c>
      <c r="E108" s="1" t="s">
        <v>20</v>
      </c>
      <c r="F108" s="1" t="n">
        <v>35</v>
      </c>
      <c r="G108" s="2" t="s">
        <v>26</v>
      </c>
      <c r="H108" s="1" t="n">
        <v>0.1</v>
      </c>
      <c r="I108" s="1" t="n">
        <v>0.204478820046746</v>
      </c>
      <c r="J108" s="1" t="n">
        <v>0.360571427000975</v>
      </c>
      <c r="K108" s="1" t="n">
        <f aca="false">J108-I108</f>
        <v>0.156092606954229</v>
      </c>
      <c r="L108" s="1" t="n">
        <v>0.702923330052347</v>
      </c>
    </row>
    <row r="109" customFormat="false" ht="15" hidden="false" customHeight="false" outlineLevel="0" collapsed="false">
      <c r="A109" s="3" t="s">
        <v>84</v>
      </c>
      <c r="B109" s="3" t="s">
        <v>85</v>
      </c>
      <c r="C109" s="3" t="s">
        <v>86</v>
      </c>
      <c r="D109" s="1" t="s">
        <v>19</v>
      </c>
      <c r="E109" s="1" t="s">
        <v>20</v>
      </c>
      <c r="F109" s="1" t="n">
        <v>37</v>
      </c>
      <c r="G109" s="2" t="s">
        <v>21</v>
      </c>
      <c r="H109" s="1" t="n">
        <v>0.1897</v>
      </c>
      <c r="I109" s="1" t="n">
        <v>0.338426572787928</v>
      </c>
      <c r="J109" s="1" t="n">
        <v>0.420753597973384</v>
      </c>
      <c r="K109" s="1" t="n">
        <f aca="false">J109-I109</f>
        <v>0.0823270251854561</v>
      </c>
      <c r="L109" s="1" t="n">
        <v>0.833849291363568</v>
      </c>
    </row>
    <row r="110" customFormat="false" ht="15" hidden="false" customHeight="false" outlineLevel="0" collapsed="false">
      <c r="A110" s="3" t="s">
        <v>84</v>
      </c>
      <c r="B110" s="3" t="s">
        <v>85</v>
      </c>
      <c r="C110" s="3" t="s">
        <v>86</v>
      </c>
      <c r="D110" s="1" t="s">
        <v>19</v>
      </c>
      <c r="E110" s="1" t="s">
        <v>20</v>
      </c>
      <c r="F110" s="1" t="n">
        <v>37</v>
      </c>
      <c r="G110" s="2" t="s">
        <v>23</v>
      </c>
      <c r="H110" s="1" t="n">
        <v>0.186</v>
      </c>
      <c r="I110" s="1" t="n">
        <v>0.331715735160435</v>
      </c>
      <c r="J110" s="1" t="n">
        <v>0.409800238440093</v>
      </c>
      <c r="K110" s="1" t="n">
        <f aca="false">J110-I110</f>
        <v>0.0780845032796582</v>
      </c>
      <c r="L110" s="1" t="n">
        <v>0.833849291363568</v>
      </c>
    </row>
    <row r="111" customFormat="false" ht="15" hidden="false" customHeight="false" outlineLevel="0" collapsed="false">
      <c r="A111" s="3" t="s">
        <v>84</v>
      </c>
      <c r="B111" s="3" t="s">
        <v>85</v>
      </c>
      <c r="C111" s="3" t="s">
        <v>86</v>
      </c>
      <c r="D111" s="1" t="s">
        <v>19</v>
      </c>
      <c r="E111" s="1" t="s">
        <v>20</v>
      </c>
      <c r="F111" s="1" t="n">
        <v>37</v>
      </c>
      <c r="G111" s="2" t="s">
        <v>22</v>
      </c>
      <c r="H111" s="1" t="n">
        <v>0.1676</v>
      </c>
      <c r="I111" s="1" t="n">
        <v>0.298999213935004</v>
      </c>
      <c r="J111" s="1" t="n">
        <v>0.384990317176755</v>
      </c>
      <c r="K111" s="1" t="n">
        <f aca="false">J111-I111</f>
        <v>0.0859911032417516</v>
      </c>
      <c r="L111" s="1" t="n">
        <v>0.833849291363568</v>
      </c>
    </row>
    <row r="112" customFormat="false" ht="15" hidden="false" customHeight="false" outlineLevel="0" collapsed="false">
      <c r="A112" s="3" t="s">
        <v>84</v>
      </c>
      <c r="B112" s="3" t="s">
        <v>85</v>
      </c>
      <c r="C112" s="3" t="s">
        <v>86</v>
      </c>
      <c r="D112" s="1" t="s">
        <v>19</v>
      </c>
      <c r="E112" s="1" t="s">
        <v>20</v>
      </c>
      <c r="F112" s="1" t="n">
        <v>37</v>
      </c>
      <c r="G112" s="2" t="s">
        <v>26</v>
      </c>
      <c r="H112" s="1" t="n">
        <v>0.154</v>
      </c>
      <c r="I112" s="1" t="n">
        <v>0.274707858600851</v>
      </c>
      <c r="J112" s="1" t="n">
        <v>0.349625267882013</v>
      </c>
      <c r="K112" s="1" t="n">
        <f aca="false">J112-I112</f>
        <v>0.0749174092811621</v>
      </c>
      <c r="L112" s="1" t="n">
        <v>0.833849291363568</v>
      </c>
    </row>
    <row r="113" customFormat="false" ht="15" hidden="false" customHeight="false" outlineLevel="0" collapsed="false">
      <c r="A113" s="3" t="s">
        <v>84</v>
      </c>
      <c r="B113" s="3" t="s">
        <v>85</v>
      </c>
      <c r="C113" s="3" t="s">
        <v>86</v>
      </c>
      <c r="D113" s="1" t="s">
        <v>19</v>
      </c>
      <c r="E113" s="1" t="s">
        <v>20</v>
      </c>
      <c r="F113" s="1" t="n">
        <v>37</v>
      </c>
      <c r="G113" s="2" t="s">
        <v>31</v>
      </c>
      <c r="H113" s="1" t="n">
        <v>0.1514</v>
      </c>
      <c r="I113" s="1" t="n">
        <v>0.269980689998177</v>
      </c>
      <c r="J113" s="1" t="n">
        <v>0.355534087418072</v>
      </c>
      <c r="K113" s="1" t="n">
        <f aca="false">J113-I113</f>
        <v>0.0855533974198951</v>
      </c>
      <c r="L113" s="1" t="n">
        <v>0.833849291363568</v>
      </c>
    </row>
    <row r="114" customFormat="false" ht="15" hidden="false" customHeight="false" outlineLevel="0" collapsed="false">
      <c r="A114" s="3" t="s">
        <v>84</v>
      </c>
      <c r="B114" s="3" t="s">
        <v>85</v>
      </c>
      <c r="C114" s="3" t="s">
        <v>86</v>
      </c>
      <c r="D114" s="1" t="s">
        <v>19</v>
      </c>
      <c r="E114" s="1" t="s">
        <v>20</v>
      </c>
      <c r="F114" s="1" t="n">
        <v>37</v>
      </c>
      <c r="G114" s="2" t="s">
        <v>24</v>
      </c>
      <c r="H114" s="1" t="n">
        <v>0.1513</v>
      </c>
      <c r="I114" s="1" t="n">
        <v>0.269805674116245</v>
      </c>
      <c r="J114" s="1" t="n">
        <v>0.363439951436387</v>
      </c>
      <c r="K114" s="1" t="n">
        <f aca="false">J114-I114</f>
        <v>0.0936342773201416</v>
      </c>
      <c r="L114" s="1" t="n">
        <v>0.833849291363568</v>
      </c>
    </row>
    <row r="115" customFormat="false" ht="15" hidden="false" customHeight="false" outlineLevel="0" collapsed="false">
      <c r="A115" s="3" t="s">
        <v>87</v>
      </c>
      <c r="B115" s="3" t="s">
        <v>88</v>
      </c>
      <c r="C115" s="3" t="s">
        <v>89</v>
      </c>
      <c r="D115" s="1" t="s">
        <v>19</v>
      </c>
      <c r="E115" s="1" t="s">
        <v>20</v>
      </c>
      <c r="F115" s="1" t="n">
        <v>39</v>
      </c>
      <c r="G115" s="2" t="s">
        <v>21</v>
      </c>
      <c r="H115" s="1" t="n">
        <v>0.1874</v>
      </c>
      <c r="I115" s="1" t="n">
        <v>0.330022188120637</v>
      </c>
      <c r="J115" s="1" t="n">
        <v>0.36510757447301</v>
      </c>
      <c r="K115" s="1" t="n">
        <f aca="false">J115-I115</f>
        <v>0.0350853863523724</v>
      </c>
      <c r="L115" s="1" t="n">
        <v>0.790624245512354</v>
      </c>
    </row>
    <row r="116" customFormat="false" ht="15" hidden="false" customHeight="false" outlineLevel="0" collapsed="false">
      <c r="A116" s="3" t="s">
        <v>87</v>
      </c>
      <c r="B116" s="3" t="s">
        <v>88</v>
      </c>
      <c r="C116" s="3" t="s">
        <v>89</v>
      </c>
      <c r="D116" s="1" t="s">
        <v>19</v>
      </c>
      <c r="E116" s="1" t="s">
        <v>20</v>
      </c>
      <c r="F116" s="1" t="n">
        <v>39</v>
      </c>
      <c r="G116" s="2" t="s">
        <v>23</v>
      </c>
      <c r="H116" s="1" t="n">
        <v>0.1682</v>
      </c>
      <c r="I116" s="1" t="n">
        <v>0.296183571052445</v>
      </c>
      <c r="J116" s="1" t="n">
        <v>0.330876151727645</v>
      </c>
      <c r="K116" s="1" t="n">
        <f aca="false">J116-I116</f>
        <v>0.0346925806752</v>
      </c>
      <c r="L116" s="1" t="n">
        <v>0.790624245512354</v>
      </c>
    </row>
    <row r="117" customFormat="false" ht="15" hidden="false" customHeight="false" outlineLevel="0" collapsed="false">
      <c r="A117" s="3" t="s">
        <v>87</v>
      </c>
      <c r="B117" s="3" t="s">
        <v>88</v>
      </c>
      <c r="C117" s="3" t="s">
        <v>89</v>
      </c>
      <c r="D117" s="1" t="s">
        <v>19</v>
      </c>
      <c r="E117" s="1" t="s">
        <v>20</v>
      </c>
      <c r="F117" s="1" t="n">
        <v>39</v>
      </c>
      <c r="G117" s="2" t="s">
        <v>22</v>
      </c>
      <c r="H117" s="1" t="n">
        <v>0.1655</v>
      </c>
      <c r="I117" s="1" t="n">
        <v>0.291412069686769</v>
      </c>
      <c r="J117" s="1" t="n">
        <v>0.351144411565665</v>
      </c>
      <c r="K117" s="1" t="n">
        <f aca="false">J117-I117</f>
        <v>0.0597323418788967</v>
      </c>
      <c r="L117" s="1" t="n">
        <v>0.790624245512354</v>
      </c>
    </row>
    <row r="118" customFormat="false" ht="15" hidden="false" customHeight="false" outlineLevel="0" collapsed="false">
      <c r="A118" s="3" t="s">
        <v>87</v>
      </c>
      <c r="B118" s="3" t="s">
        <v>88</v>
      </c>
      <c r="C118" s="3" t="s">
        <v>89</v>
      </c>
      <c r="D118" s="1" t="s">
        <v>19</v>
      </c>
      <c r="E118" s="1" t="s">
        <v>20</v>
      </c>
      <c r="F118" s="1" t="n">
        <v>39</v>
      </c>
      <c r="G118" s="2" t="s">
        <v>26</v>
      </c>
      <c r="H118" s="1" t="n">
        <v>0.1652</v>
      </c>
      <c r="I118" s="1" t="n">
        <v>0.290884130126596</v>
      </c>
      <c r="J118" s="1" t="n">
        <v>0.304570421052357</v>
      </c>
      <c r="K118" s="1" t="n">
        <f aca="false">J118-I118</f>
        <v>0.0136862909257601</v>
      </c>
      <c r="L118" s="1" t="n">
        <v>0.790624245512354</v>
      </c>
    </row>
    <row r="119" customFormat="false" ht="15" hidden="false" customHeight="false" outlineLevel="0" collapsed="false">
      <c r="A119" s="3" t="s">
        <v>87</v>
      </c>
      <c r="B119" s="3" t="s">
        <v>88</v>
      </c>
      <c r="C119" s="3" t="s">
        <v>89</v>
      </c>
      <c r="D119" s="1" t="s">
        <v>19</v>
      </c>
      <c r="E119" s="1" t="s">
        <v>20</v>
      </c>
      <c r="F119" s="1" t="n">
        <v>39</v>
      </c>
      <c r="G119" s="2" t="s">
        <v>31</v>
      </c>
      <c r="H119" s="1" t="n">
        <v>0.1571</v>
      </c>
      <c r="I119" s="1" t="n">
        <v>0.276588696078918</v>
      </c>
      <c r="J119" s="1" t="n">
        <v>0.316953627889382</v>
      </c>
      <c r="K119" s="1" t="n">
        <f aca="false">J119-I119</f>
        <v>0.0403649318104634</v>
      </c>
      <c r="L119" s="1" t="n">
        <v>0.790624245512354</v>
      </c>
    </row>
    <row r="120" customFormat="false" ht="15" hidden="false" customHeight="false" outlineLevel="0" collapsed="false">
      <c r="A120" s="3" t="s">
        <v>87</v>
      </c>
      <c r="B120" s="3" t="s">
        <v>88</v>
      </c>
      <c r="C120" s="3" t="s">
        <v>89</v>
      </c>
      <c r="D120" s="1" t="s">
        <v>19</v>
      </c>
      <c r="E120" s="1" t="s">
        <v>20</v>
      </c>
      <c r="F120" s="1" t="n">
        <v>39</v>
      </c>
      <c r="G120" s="2" t="s">
        <v>46</v>
      </c>
      <c r="H120" s="1" t="n">
        <v>0.1565</v>
      </c>
      <c r="I120" s="1" t="n">
        <v>0.27550587325232</v>
      </c>
      <c r="J120" s="1" t="n">
        <v>0.304600530171059</v>
      </c>
      <c r="K120" s="1" t="n">
        <f aca="false">J120-I120</f>
        <v>0.029094656918739</v>
      </c>
      <c r="L120" s="1" t="n">
        <v>0.790624245512354</v>
      </c>
    </row>
    <row r="121" customFormat="false" ht="15" hidden="false" customHeight="false" outlineLevel="0" collapsed="false">
      <c r="A121" s="3" t="s">
        <v>90</v>
      </c>
      <c r="B121" s="3" t="s">
        <v>91</v>
      </c>
      <c r="C121" s="3" t="s">
        <v>92</v>
      </c>
      <c r="D121" s="1" t="s">
        <v>19</v>
      </c>
      <c r="E121" s="1" t="s">
        <v>20</v>
      </c>
      <c r="F121" s="1" t="n">
        <v>41</v>
      </c>
      <c r="G121" s="2" t="s">
        <v>21</v>
      </c>
      <c r="H121" s="1" t="n">
        <v>0.2111</v>
      </c>
      <c r="I121" s="1" t="n">
        <v>0.323149943492134</v>
      </c>
      <c r="J121" s="1" t="n">
        <v>0.406648394174224</v>
      </c>
      <c r="K121" s="1" t="n">
        <f aca="false">J121-I121</f>
        <v>0.0834984506820892</v>
      </c>
      <c r="L121" s="1" t="n">
        <v>0.730617364036752</v>
      </c>
    </row>
    <row r="122" customFormat="false" ht="15" hidden="false" customHeight="false" outlineLevel="0" collapsed="false">
      <c r="A122" s="3" t="s">
        <v>90</v>
      </c>
      <c r="B122" s="3" t="s">
        <v>91</v>
      </c>
      <c r="C122" s="3" t="s">
        <v>92</v>
      </c>
      <c r="D122" s="1" t="s">
        <v>19</v>
      </c>
      <c r="E122" s="1" t="s">
        <v>20</v>
      </c>
      <c r="F122" s="1" t="n">
        <v>41</v>
      </c>
      <c r="G122" s="2" t="s">
        <v>23</v>
      </c>
      <c r="H122" s="1" t="n">
        <v>0.1755</v>
      </c>
      <c r="I122" s="1" t="n">
        <v>0.268551390676942</v>
      </c>
      <c r="J122" s="1" t="n">
        <v>0.322240752050428</v>
      </c>
      <c r="K122" s="1" t="n">
        <f aca="false">J122-I122</f>
        <v>0.0536893613734867</v>
      </c>
      <c r="L122" s="1" t="n">
        <v>0.730617364036752</v>
      </c>
    </row>
    <row r="123" customFormat="false" ht="15" hidden="false" customHeight="false" outlineLevel="0" collapsed="false">
      <c r="A123" s="3" t="s">
        <v>90</v>
      </c>
      <c r="B123" s="3" t="s">
        <v>91</v>
      </c>
      <c r="C123" s="3" t="s">
        <v>92</v>
      </c>
      <c r="D123" s="1" t="s">
        <v>19</v>
      </c>
      <c r="E123" s="1" t="s">
        <v>20</v>
      </c>
      <c r="F123" s="1" t="n">
        <v>41</v>
      </c>
      <c r="G123" s="2" t="s">
        <v>22</v>
      </c>
      <c r="H123" s="1" t="n">
        <v>0.1747</v>
      </c>
      <c r="I123" s="1" t="n">
        <v>0.26737653687459</v>
      </c>
      <c r="J123" s="1" t="n">
        <v>0.33406283447562</v>
      </c>
      <c r="K123" s="1" t="n">
        <f aca="false">J123-I123</f>
        <v>0.0666862976010296</v>
      </c>
      <c r="L123" s="1" t="n">
        <v>0.730617364036752</v>
      </c>
    </row>
    <row r="124" customFormat="false" ht="15" hidden="false" customHeight="false" outlineLevel="0" collapsed="false">
      <c r="A124" s="3" t="s">
        <v>90</v>
      </c>
      <c r="B124" s="3" t="s">
        <v>91</v>
      </c>
      <c r="C124" s="3" t="s">
        <v>92</v>
      </c>
      <c r="D124" s="1" t="s">
        <v>19</v>
      </c>
      <c r="E124" s="1" t="s">
        <v>20</v>
      </c>
      <c r="F124" s="1" t="n">
        <v>41</v>
      </c>
      <c r="G124" s="2" t="s">
        <v>31</v>
      </c>
      <c r="H124" s="1" t="n">
        <v>0.1713</v>
      </c>
      <c r="I124" s="1" t="n">
        <v>0.262152483123554</v>
      </c>
      <c r="J124" s="1" t="n">
        <v>0.31449869997602</v>
      </c>
      <c r="K124" s="1" t="n">
        <f aca="false">J124-I124</f>
        <v>0.0523462168524654</v>
      </c>
      <c r="L124" s="1" t="n">
        <v>0.730617364036752</v>
      </c>
    </row>
    <row r="125" customFormat="false" ht="15" hidden="false" customHeight="false" outlineLevel="0" collapsed="false">
      <c r="A125" s="3" t="s">
        <v>90</v>
      </c>
      <c r="B125" s="3" t="s">
        <v>91</v>
      </c>
      <c r="C125" s="3" t="s">
        <v>92</v>
      </c>
      <c r="D125" s="1" t="s">
        <v>19</v>
      </c>
      <c r="E125" s="1" t="s">
        <v>20</v>
      </c>
      <c r="F125" s="1" t="n">
        <v>41</v>
      </c>
      <c r="G125" s="2" t="s">
        <v>25</v>
      </c>
      <c r="H125" s="1" t="n">
        <v>0.1674</v>
      </c>
      <c r="I125" s="1" t="n">
        <v>0.256284368712747</v>
      </c>
      <c r="J125" s="1" t="n">
        <v>0.317549387165732</v>
      </c>
      <c r="K125" s="1" t="n">
        <f aca="false">J125-I125</f>
        <v>0.0612650184529845</v>
      </c>
      <c r="L125" s="1" t="n">
        <v>0.730617364036752</v>
      </c>
    </row>
    <row r="126" customFormat="false" ht="15" hidden="false" customHeight="false" outlineLevel="0" collapsed="false">
      <c r="A126" s="3" t="s">
        <v>90</v>
      </c>
      <c r="B126" s="3" t="s">
        <v>91</v>
      </c>
      <c r="C126" s="3" t="s">
        <v>92</v>
      </c>
      <c r="D126" s="1" t="s">
        <v>19</v>
      </c>
      <c r="E126" s="1" t="s">
        <v>20</v>
      </c>
      <c r="F126" s="1" t="n">
        <v>41</v>
      </c>
      <c r="G126" s="2" t="s">
        <v>26</v>
      </c>
      <c r="H126" s="1" t="n">
        <v>0.1</v>
      </c>
      <c r="I126" s="1" t="n">
        <v>0.230914073242045</v>
      </c>
      <c r="J126" s="1" t="n">
        <v>0.300451601583722</v>
      </c>
      <c r="K126" s="1" t="n">
        <f aca="false">J126-I126</f>
        <v>0.0695375283416768</v>
      </c>
      <c r="L126" s="1" t="n">
        <v>0.730617364036752</v>
      </c>
    </row>
    <row r="127" customFormat="false" ht="15" hidden="false" customHeight="false" outlineLevel="0" collapsed="false">
      <c r="A127" s="3" t="s">
        <v>93</v>
      </c>
      <c r="B127" s="3" t="s">
        <v>94</v>
      </c>
      <c r="C127" s="3" t="s">
        <v>95</v>
      </c>
      <c r="D127" s="1" t="s">
        <v>19</v>
      </c>
      <c r="E127" s="1" t="s">
        <v>20</v>
      </c>
      <c r="F127" s="1" t="n">
        <v>43</v>
      </c>
      <c r="G127" s="2" t="s">
        <v>21</v>
      </c>
      <c r="H127" s="1" t="n">
        <v>0.2179</v>
      </c>
      <c r="I127" s="1" t="n">
        <v>0.419048608391167</v>
      </c>
      <c r="J127" s="1" t="n">
        <v>0.404418050479703</v>
      </c>
      <c r="K127" s="1" t="n">
        <f aca="false">J127-I127</f>
        <v>-0.014630557911464</v>
      </c>
      <c r="L127" s="1" t="n">
        <v>0.765208060825559</v>
      </c>
    </row>
    <row r="128" customFormat="false" ht="15" hidden="false" customHeight="false" outlineLevel="0" collapsed="false">
      <c r="A128" s="3" t="s">
        <v>93</v>
      </c>
      <c r="B128" s="3" t="s">
        <v>94</v>
      </c>
      <c r="C128" s="3" t="s">
        <v>95</v>
      </c>
      <c r="D128" s="1" t="s">
        <v>19</v>
      </c>
      <c r="E128" s="1" t="s">
        <v>20</v>
      </c>
      <c r="F128" s="1" t="n">
        <v>43</v>
      </c>
      <c r="G128" s="2" t="s">
        <v>23</v>
      </c>
      <c r="H128" s="1" t="n">
        <v>0.1816</v>
      </c>
      <c r="I128" s="1" t="n">
        <v>0.34930218984896</v>
      </c>
      <c r="J128" s="1" t="n">
        <v>0.343638108230988</v>
      </c>
      <c r="K128" s="1" t="n">
        <f aca="false">J128-I128</f>
        <v>-0.00566408161797166</v>
      </c>
      <c r="L128" s="1" t="n">
        <v>0.765208060825559</v>
      </c>
    </row>
    <row r="129" customFormat="false" ht="15" hidden="false" customHeight="false" outlineLevel="0" collapsed="false">
      <c r="A129" s="3" t="s">
        <v>93</v>
      </c>
      <c r="B129" s="3" t="s">
        <v>94</v>
      </c>
      <c r="C129" s="3" t="s">
        <v>95</v>
      </c>
      <c r="D129" s="1" t="s">
        <v>19</v>
      </c>
      <c r="E129" s="1" t="s">
        <v>20</v>
      </c>
      <c r="F129" s="1" t="n">
        <v>43</v>
      </c>
      <c r="G129" s="2" t="s">
        <v>39</v>
      </c>
      <c r="H129" s="1" t="n">
        <v>0.1688</v>
      </c>
      <c r="I129" s="1" t="n">
        <v>0.32458989281564</v>
      </c>
      <c r="J129" s="1" t="n">
        <v>0.325547212059791</v>
      </c>
      <c r="K129" s="1" t="n">
        <f aca="false">J129-I129</f>
        <v>0.000957319244150601</v>
      </c>
      <c r="L129" s="1" t="n">
        <v>0.765208060825559</v>
      </c>
    </row>
    <row r="130" customFormat="false" ht="15" hidden="false" customHeight="false" outlineLevel="0" collapsed="false">
      <c r="A130" s="3" t="s">
        <v>93</v>
      </c>
      <c r="B130" s="3" t="s">
        <v>94</v>
      </c>
      <c r="C130" s="3" t="s">
        <v>95</v>
      </c>
      <c r="D130" s="1" t="s">
        <v>19</v>
      </c>
      <c r="E130" s="1" t="s">
        <v>20</v>
      </c>
      <c r="F130" s="1" t="n">
        <v>43</v>
      </c>
      <c r="G130" s="2" t="s">
        <v>31</v>
      </c>
      <c r="H130" s="1" t="n">
        <v>0.1662</v>
      </c>
      <c r="I130" s="1" t="n">
        <v>0.31974158785888</v>
      </c>
      <c r="J130" s="1" t="n">
        <v>0.356757190842765</v>
      </c>
      <c r="K130" s="1" t="n">
        <f aca="false">J130-I130</f>
        <v>0.0370156029838854</v>
      </c>
      <c r="L130" s="1" t="n">
        <v>0.765208060825559</v>
      </c>
    </row>
    <row r="131" customFormat="false" ht="15" hidden="false" customHeight="false" outlineLevel="0" collapsed="false">
      <c r="A131" s="3" t="s">
        <v>93</v>
      </c>
      <c r="B131" s="3" t="s">
        <v>94</v>
      </c>
      <c r="C131" s="3" t="s">
        <v>95</v>
      </c>
      <c r="D131" s="1" t="s">
        <v>19</v>
      </c>
      <c r="E131" s="1" t="s">
        <v>20</v>
      </c>
      <c r="F131" s="1" t="n">
        <v>43</v>
      </c>
      <c r="G131" s="2" t="s">
        <v>22</v>
      </c>
      <c r="H131" s="1" t="n">
        <v>0.1656</v>
      </c>
      <c r="I131" s="1" t="n">
        <v>0.318453150872745</v>
      </c>
      <c r="J131" s="1" t="n">
        <v>0.369268928477573</v>
      </c>
      <c r="K131" s="1" t="n">
        <f aca="false">J131-I131</f>
        <v>0.0508157776048282</v>
      </c>
      <c r="L131" s="1" t="n">
        <v>0.765208060825559</v>
      </c>
    </row>
    <row r="132" customFormat="false" ht="15" hidden="false" customHeight="false" outlineLevel="0" collapsed="false">
      <c r="A132" s="3" t="s">
        <v>93</v>
      </c>
      <c r="B132" s="3" t="s">
        <v>94</v>
      </c>
      <c r="C132" s="3" t="s">
        <v>95</v>
      </c>
      <c r="D132" s="1" t="s">
        <v>19</v>
      </c>
      <c r="E132" s="1" t="s">
        <v>20</v>
      </c>
      <c r="F132" s="1" t="n">
        <v>43</v>
      </c>
      <c r="G132" s="2" t="s">
        <v>26</v>
      </c>
      <c r="H132" s="1" t="n">
        <v>0.1</v>
      </c>
      <c r="I132" s="1" t="n">
        <v>0.288441680260881</v>
      </c>
      <c r="J132" s="1" t="n">
        <v>0.322875177024689</v>
      </c>
      <c r="K132" s="1" t="n">
        <f aca="false">J132-I132</f>
        <v>0.0344334967638087</v>
      </c>
      <c r="L132" s="1" t="n">
        <v>0.765208060825559</v>
      </c>
    </row>
    <row r="133" customFormat="false" ht="15" hidden="false" customHeight="false" outlineLevel="0" collapsed="false">
      <c r="A133" s="3" t="s">
        <v>96</v>
      </c>
      <c r="B133" s="3" t="s">
        <v>97</v>
      </c>
      <c r="C133" s="3" t="s">
        <v>98</v>
      </c>
      <c r="D133" s="1" t="s">
        <v>19</v>
      </c>
      <c r="E133" s="1" t="s">
        <v>20</v>
      </c>
      <c r="F133" s="1" t="n">
        <v>45</v>
      </c>
      <c r="G133" s="2" t="s">
        <v>21</v>
      </c>
      <c r="H133" s="1" t="n">
        <v>0.1901</v>
      </c>
      <c r="I133" s="1" t="n">
        <v>0.399244907370283</v>
      </c>
      <c r="J133" s="1" t="n">
        <v>0.403632679890132</v>
      </c>
      <c r="K133" s="1" t="n">
        <f aca="false">J133-I133</f>
        <v>0.00438777251984951</v>
      </c>
      <c r="L133" s="1" t="n">
        <v>0.717035427894149</v>
      </c>
    </row>
    <row r="134" customFormat="false" ht="15" hidden="false" customHeight="false" outlineLevel="0" collapsed="false">
      <c r="A134" s="3" t="s">
        <v>96</v>
      </c>
      <c r="B134" s="3" t="s">
        <v>97</v>
      </c>
      <c r="C134" s="3" t="s">
        <v>98</v>
      </c>
      <c r="D134" s="1" t="s">
        <v>19</v>
      </c>
      <c r="E134" s="1" t="s">
        <v>20</v>
      </c>
      <c r="F134" s="1" t="n">
        <v>45</v>
      </c>
      <c r="G134" s="2" t="s">
        <v>23</v>
      </c>
      <c r="H134" s="1" t="n">
        <v>0.1872</v>
      </c>
      <c r="I134" s="1" t="n">
        <v>0.393179592686086</v>
      </c>
      <c r="J134" s="1" t="n">
        <v>0.357517568420246</v>
      </c>
      <c r="K134" s="1" t="n">
        <f aca="false">J134-I134</f>
        <v>-0.0356620242658407</v>
      </c>
      <c r="L134" s="1" t="n">
        <v>0.717035427894149</v>
      </c>
    </row>
    <row r="135" customFormat="false" ht="15" hidden="false" customHeight="false" outlineLevel="0" collapsed="false">
      <c r="A135" s="3" t="s">
        <v>96</v>
      </c>
      <c r="B135" s="3" t="s">
        <v>97</v>
      </c>
      <c r="C135" s="3" t="s">
        <v>98</v>
      </c>
      <c r="D135" s="1" t="s">
        <v>19</v>
      </c>
      <c r="E135" s="1" t="s">
        <v>20</v>
      </c>
      <c r="F135" s="1" t="n">
        <v>45</v>
      </c>
      <c r="G135" s="2" t="s">
        <v>31</v>
      </c>
      <c r="H135" s="1" t="n">
        <v>0.1786</v>
      </c>
      <c r="I135" s="1" t="n">
        <v>0.375064957455298</v>
      </c>
      <c r="J135" s="1" t="n">
        <v>0.316468539164908</v>
      </c>
      <c r="K135" s="1" t="n">
        <f aca="false">J135-I135</f>
        <v>-0.0585964182903903</v>
      </c>
      <c r="L135" s="1" t="n">
        <v>0.717035427894149</v>
      </c>
    </row>
    <row r="136" customFormat="false" ht="15" hidden="false" customHeight="false" outlineLevel="0" collapsed="false">
      <c r="A136" s="3" t="s">
        <v>96</v>
      </c>
      <c r="B136" s="3" t="s">
        <v>97</v>
      </c>
      <c r="C136" s="3" t="s">
        <v>98</v>
      </c>
      <c r="D136" s="1" t="s">
        <v>19</v>
      </c>
      <c r="E136" s="1" t="s">
        <v>20</v>
      </c>
      <c r="F136" s="1" t="n">
        <v>45</v>
      </c>
      <c r="G136" s="2" t="s">
        <v>22</v>
      </c>
      <c r="H136" s="1" t="n">
        <v>0.1775</v>
      </c>
      <c r="I136" s="1" t="n">
        <v>0.372681624603184</v>
      </c>
      <c r="J136" s="1" t="n">
        <v>0.359412397056196</v>
      </c>
      <c r="K136" s="1" t="n">
        <f aca="false">J136-I136</f>
        <v>-0.0132692275469878</v>
      </c>
      <c r="L136" s="1" t="n">
        <v>0.717035427894149</v>
      </c>
    </row>
    <row r="137" customFormat="false" ht="15" hidden="false" customHeight="false" outlineLevel="0" collapsed="false">
      <c r="A137" s="3" t="s">
        <v>96</v>
      </c>
      <c r="B137" s="3" t="s">
        <v>97</v>
      </c>
      <c r="C137" s="3" t="s">
        <v>98</v>
      </c>
      <c r="D137" s="1" t="s">
        <v>19</v>
      </c>
      <c r="E137" s="1" t="s">
        <v>20</v>
      </c>
      <c r="F137" s="1" t="n">
        <v>45</v>
      </c>
      <c r="G137" s="2" t="s">
        <v>35</v>
      </c>
      <c r="H137" s="1" t="n">
        <v>0.1666</v>
      </c>
      <c r="I137" s="1" t="n">
        <v>0.349920806770048</v>
      </c>
      <c r="J137" s="1" t="n">
        <v>0.31478857157257</v>
      </c>
      <c r="K137" s="1" t="n">
        <f aca="false">J137-I137</f>
        <v>-0.0351322351974778</v>
      </c>
      <c r="L137" s="1" t="n">
        <v>0.717035427894149</v>
      </c>
    </row>
    <row r="138" customFormat="false" ht="15" hidden="false" customHeight="false" outlineLevel="0" collapsed="false">
      <c r="A138" s="3" t="s">
        <v>96</v>
      </c>
      <c r="B138" s="3" t="s">
        <v>97</v>
      </c>
      <c r="C138" s="3" t="s">
        <v>98</v>
      </c>
      <c r="D138" s="1" t="s">
        <v>19</v>
      </c>
      <c r="E138" s="1" t="s">
        <v>20</v>
      </c>
      <c r="F138" s="1" t="n">
        <v>45</v>
      </c>
      <c r="G138" s="2" t="s">
        <v>26</v>
      </c>
      <c r="H138" s="1" t="n">
        <v>0.1</v>
      </c>
      <c r="I138" s="1" t="n">
        <v>0.336107855553067</v>
      </c>
      <c r="J138" s="1" t="n">
        <v>0.299238536743107</v>
      </c>
      <c r="K138" s="1" t="n">
        <f aca="false">J138-I138</f>
        <v>-0.0368693188099605</v>
      </c>
      <c r="L138" s="1" t="n">
        <v>0.717035427894149</v>
      </c>
    </row>
    <row r="139" customFormat="false" ht="15" hidden="false" customHeight="false" outlineLevel="0" collapsed="false">
      <c r="A139" s="3" t="s">
        <v>99</v>
      </c>
      <c r="B139" s="3" t="s">
        <v>100</v>
      </c>
      <c r="C139" s="3" t="s">
        <v>101</v>
      </c>
      <c r="D139" s="1" t="s">
        <v>19</v>
      </c>
      <c r="E139" s="1" t="s">
        <v>20</v>
      </c>
      <c r="F139" s="1" t="n">
        <v>47</v>
      </c>
      <c r="G139" s="2" t="s">
        <v>21</v>
      </c>
      <c r="H139" s="1" t="n">
        <v>0.1961</v>
      </c>
      <c r="I139" s="1" t="n">
        <v>0.26907210754914</v>
      </c>
      <c r="J139" s="1" t="n">
        <v>0.365288470401727</v>
      </c>
      <c r="K139" s="1" t="n">
        <f aca="false">J139-I139</f>
        <v>0.0962163628525866</v>
      </c>
      <c r="L139" s="1" t="n">
        <v>0.730354595976365</v>
      </c>
    </row>
    <row r="140" customFormat="false" ht="15" hidden="false" customHeight="false" outlineLevel="0" collapsed="false">
      <c r="A140" s="3" t="s">
        <v>99</v>
      </c>
      <c r="B140" s="3" t="s">
        <v>100</v>
      </c>
      <c r="C140" s="3" t="s">
        <v>101</v>
      </c>
      <c r="D140" s="1" t="s">
        <v>19</v>
      </c>
      <c r="E140" s="1" t="s">
        <v>20</v>
      </c>
      <c r="F140" s="1" t="n">
        <v>47</v>
      </c>
      <c r="G140" s="2" t="s">
        <v>23</v>
      </c>
      <c r="H140" s="1" t="n">
        <v>0.1898</v>
      </c>
      <c r="I140" s="1" t="n">
        <v>0.260465403249827</v>
      </c>
      <c r="J140" s="1" t="n">
        <v>0.315760091435648</v>
      </c>
      <c r="K140" s="1" t="n">
        <f aca="false">J140-I140</f>
        <v>0.0552946881858217</v>
      </c>
      <c r="L140" s="1" t="n">
        <v>0.730354595976365</v>
      </c>
    </row>
    <row r="141" customFormat="false" ht="15" hidden="false" customHeight="false" outlineLevel="0" collapsed="false">
      <c r="A141" s="3" t="s">
        <v>99</v>
      </c>
      <c r="B141" s="3" t="s">
        <v>100</v>
      </c>
      <c r="C141" s="3" t="s">
        <v>101</v>
      </c>
      <c r="D141" s="1" t="s">
        <v>19</v>
      </c>
      <c r="E141" s="1" t="s">
        <v>20</v>
      </c>
      <c r="F141" s="1" t="n">
        <v>47</v>
      </c>
      <c r="G141" s="2" t="s">
        <v>22</v>
      </c>
      <c r="H141" s="1" t="n">
        <v>0.185</v>
      </c>
      <c r="I141" s="1" t="n">
        <v>0.253904254418919</v>
      </c>
      <c r="J141" s="1" t="n">
        <v>0.317408533014043</v>
      </c>
      <c r="K141" s="1" t="n">
        <f aca="false">J141-I141</f>
        <v>0.0635042785951238</v>
      </c>
      <c r="L141" s="1" t="n">
        <v>0.730354595976365</v>
      </c>
    </row>
    <row r="142" customFormat="false" ht="15" hidden="false" customHeight="false" outlineLevel="0" collapsed="false">
      <c r="A142" s="3" t="s">
        <v>99</v>
      </c>
      <c r="B142" s="3" t="s">
        <v>100</v>
      </c>
      <c r="C142" s="3" t="s">
        <v>101</v>
      </c>
      <c r="D142" s="1" t="s">
        <v>19</v>
      </c>
      <c r="E142" s="1" t="s">
        <v>20</v>
      </c>
      <c r="F142" s="1" t="n">
        <v>47</v>
      </c>
      <c r="G142" s="2" t="s">
        <v>24</v>
      </c>
      <c r="H142" s="1" t="n">
        <v>0.1675</v>
      </c>
      <c r="I142" s="1" t="n">
        <v>0.229875787144073</v>
      </c>
      <c r="J142" s="1" t="n">
        <v>0.289709808440465</v>
      </c>
      <c r="K142" s="1" t="n">
        <f aca="false">J142-I142</f>
        <v>0.0598340212963922</v>
      </c>
      <c r="L142" s="1" t="n">
        <v>0.730354595976365</v>
      </c>
    </row>
    <row r="143" customFormat="false" ht="15" hidden="false" customHeight="false" outlineLevel="0" collapsed="false">
      <c r="A143" s="3" t="s">
        <v>99</v>
      </c>
      <c r="B143" s="3" t="s">
        <v>100</v>
      </c>
      <c r="C143" s="3" t="s">
        <v>101</v>
      </c>
      <c r="D143" s="1" t="s">
        <v>19</v>
      </c>
      <c r="E143" s="1" t="s">
        <v>20</v>
      </c>
      <c r="F143" s="1" t="n">
        <v>47</v>
      </c>
      <c r="G143" s="2" t="s">
        <v>35</v>
      </c>
      <c r="H143" s="1" t="n">
        <v>0.1615</v>
      </c>
      <c r="I143" s="1" t="n">
        <v>0.221592166786345</v>
      </c>
      <c r="J143" s="1" t="n">
        <v>0.276247100554449</v>
      </c>
      <c r="K143" s="1" t="n">
        <f aca="false">J143-I143</f>
        <v>0.0546549337681048</v>
      </c>
      <c r="L143" s="1" t="n">
        <v>0.730354595976365</v>
      </c>
    </row>
    <row r="144" customFormat="false" ht="15" hidden="false" customHeight="false" outlineLevel="0" collapsed="false">
      <c r="A144" s="3" t="s">
        <v>99</v>
      </c>
      <c r="B144" s="3" t="s">
        <v>100</v>
      </c>
      <c r="C144" s="3" t="s">
        <v>101</v>
      </c>
      <c r="D144" s="1" t="s">
        <v>19</v>
      </c>
      <c r="E144" s="1" t="s">
        <v>20</v>
      </c>
      <c r="F144" s="1" t="n">
        <v>47</v>
      </c>
      <c r="G144" s="2" t="s">
        <v>26</v>
      </c>
      <c r="H144" s="1" t="n">
        <v>0.1</v>
      </c>
      <c r="I144" s="1" t="n">
        <v>0.209656817057446</v>
      </c>
      <c r="J144" s="1" t="n">
        <v>0.280199766558855</v>
      </c>
      <c r="K144" s="1" t="n">
        <f aca="false">J144-I144</f>
        <v>0.0705429495014095</v>
      </c>
      <c r="L144" s="1" t="n">
        <v>0.730354595976365</v>
      </c>
    </row>
    <row r="145" customFormat="false" ht="15" hidden="false" customHeight="false" outlineLevel="0" collapsed="false">
      <c r="A145" s="3" t="s">
        <v>102</v>
      </c>
      <c r="B145" s="3" t="s">
        <v>103</v>
      </c>
      <c r="C145" s="3" t="s">
        <v>104</v>
      </c>
      <c r="D145" s="1" t="s">
        <v>19</v>
      </c>
      <c r="E145" s="1" t="s">
        <v>20</v>
      </c>
      <c r="F145" s="1" t="n">
        <v>49</v>
      </c>
      <c r="G145" s="2" t="s">
        <v>21</v>
      </c>
      <c r="H145" s="1" t="n">
        <v>0.183</v>
      </c>
      <c r="I145" s="1" t="n">
        <v>0.31089102344569</v>
      </c>
      <c r="J145" s="1" t="n">
        <v>0.292104128767568</v>
      </c>
      <c r="K145" s="1" t="n">
        <f aca="false">J145-I145</f>
        <v>-0.0187868946781216</v>
      </c>
      <c r="L145" s="1" t="n">
        <v>0.762537724739331</v>
      </c>
    </row>
    <row r="146" customFormat="false" ht="15" hidden="false" customHeight="false" outlineLevel="0" collapsed="false">
      <c r="A146" s="3" t="s">
        <v>102</v>
      </c>
      <c r="B146" s="3" t="s">
        <v>103</v>
      </c>
      <c r="C146" s="3" t="s">
        <v>104</v>
      </c>
      <c r="D146" s="1" t="s">
        <v>19</v>
      </c>
      <c r="E146" s="1" t="s">
        <v>20</v>
      </c>
      <c r="F146" s="1" t="n">
        <v>49</v>
      </c>
      <c r="G146" s="2" t="s">
        <v>23</v>
      </c>
      <c r="H146" s="1" t="n">
        <v>0.1802</v>
      </c>
      <c r="I146" s="1" t="n">
        <v>0.306072631563798</v>
      </c>
      <c r="J146" s="1" t="n">
        <v>0.28963389790117</v>
      </c>
      <c r="K146" s="1" t="n">
        <f aca="false">J146-I146</f>
        <v>-0.0164387336626288</v>
      </c>
      <c r="L146" s="1" t="n">
        <v>0.762537724739331</v>
      </c>
    </row>
    <row r="147" customFormat="false" ht="15" hidden="false" customHeight="false" outlineLevel="0" collapsed="false">
      <c r="A147" s="3" t="s">
        <v>102</v>
      </c>
      <c r="B147" s="3" t="s">
        <v>103</v>
      </c>
      <c r="C147" s="3" t="s">
        <v>104</v>
      </c>
      <c r="D147" s="1" t="s">
        <v>19</v>
      </c>
      <c r="E147" s="1" t="s">
        <v>20</v>
      </c>
      <c r="F147" s="1" t="n">
        <v>49</v>
      </c>
      <c r="G147" s="2" t="s">
        <v>22</v>
      </c>
      <c r="H147" s="1" t="n">
        <v>0.167</v>
      </c>
      <c r="I147" s="1" t="n">
        <v>0.283613919259223</v>
      </c>
      <c r="J147" s="1" t="n">
        <v>0.278819665350045</v>
      </c>
      <c r="K147" s="1" t="n">
        <f aca="false">J147-I147</f>
        <v>-0.00479425390917732</v>
      </c>
      <c r="L147" s="1" t="n">
        <v>0.762537724739331</v>
      </c>
    </row>
    <row r="148" customFormat="false" ht="15" hidden="false" customHeight="false" outlineLevel="0" collapsed="false">
      <c r="A148" s="3" t="s">
        <v>102</v>
      </c>
      <c r="B148" s="3" t="s">
        <v>103</v>
      </c>
      <c r="C148" s="3" t="s">
        <v>104</v>
      </c>
      <c r="D148" s="1" t="s">
        <v>19</v>
      </c>
      <c r="E148" s="1" t="s">
        <v>20</v>
      </c>
      <c r="F148" s="1" t="n">
        <v>49</v>
      </c>
      <c r="G148" s="2" t="s">
        <v>25</v>
      </c>
      <c r="H148" s="1" t="n">
        <v>0.1585</v>
      </c>
      <c r="I148" s="1" t="n">
        <v>0.269191257167863</v>
      </c>
      <c r="J148" s="1" t="n">
        <v>0.277396410664324</v>
      </c>
      <c r="K148" s="1" t="n">
        <f aca="false">J148-I148</f>
        <v>0.00820515349646067</v>
      </c>
      <c r="L148" s="1" t="n">
        <v>0.762537724739331</v>
      </c>
    </row>
    <row r="149" customFormat="false" ht="15" hidden="false" customHeight="false" outlineLevel="0" collapsed="false">
      <c r="A149" s="3" t="s">
        <v>102</v>
      </c>
      <c r="B149" s="3" t="s">
        <v>103</v>
      </c>
      <c r="C149" s="3" t="s">
        <v>104</v>
      </c>
      <c r="D149" s="1" t="s">
        <v>19</v>
      </c>
      <c r="E149" s="1" t="s">
        <v>20</v>
      </c>
      <c r="F149" s="1" t="n">
        <v>49</v>
      </c>
      <c r="G149" s="2" t="s">
        <v>24</v>
      </c>
      <c r="H149" s="1" t="n">
        <v>0.1575</v>
      </c>
      <c r="I149" s="1" t="n">
        <v>0.267519277914868</v>
      </c>
      <c r="J149" s="1" t="n">
        <v>0.294205081530948</v>
      </c>
      <c r="K149" s="1" t="n">
        <f aca="false">J149-I149</f>
        <v>0.0266858036160798</v>
      </c>
      <c r="L149" s="1" t="n">
        <v>0.762537724739331</v>
      </c>
    </row>
    <row r="150" customFormat="false" ht="15" hidden="false" customHeight="false" outlineLevel="0" collapsed="false">
      <c r="A150" s="3" t="s">
        <v>102</v>
      </c>
      <c r="B150" s="3" t="s">
        <v>103</v>
      </c>
      <c r="C150" s="3" t="s">
        <v>104</v>
      </c>
      <c r="D150" s="1" t="s">
        <v>19</v>
      </c>
      <c r="E150" s="1" t="s">
        <v>20</v>
      </c>
      <c r="F150" s="1" t="n">
        <v>49</v>
      </c>
      <c r="G150" s="2" t="s">
        <v>26</v>
      </c>
      <c r="H150" s="1" t="n">
        <v>0.1538</v>
      </c>
      <c r="I150" s="1" t="n">
        <v>0.261272660257856</v>
      </c>
      <c r="J150" s="1" t="n">
        <v>0.227488529340714</v>
      </c>
      <c r="K150" s="1" t="n">
        <f aca="false">J150-I150</f>
        <v>-0.0337841309171412</v>
      </c>
      <c r="L150" s="1" t="n">
        <v>0.762537724739331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1" sqref="E4:L4 B5"/>
    </sheetView>
  </sheetViews>
  <sheetFormatPr defaultColWidth="10.1640625" defaultRowHeight="12.8" customHeight="false" zeroHeight="false" outlineLevelRow="0" outlineLevelCol="0"/>
  <cols>
    <col collapsed="false" customWidth="true" hidden="false" outlineLevel="0" max="2" min="2" style="3" width="16.67"/>
  </cols>
  <sheetData>
    <row r="1" customFormat="false" ht="12.8" hidden="false" customHeight="false" outlineLevel="0" collapsed="false">
      <c r="A1" s="5" t="s">
        <v>105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106</v>
      </c>
      <c r="B3" s="6" t="n">
        <f aca="false">scen3_ac15p!P3</f>
        <v>148</v>
      </c>
    </row>
    <row r="4" customFormat="false" ht="12.8" hidden="false" customHeight="false" outlineLevel="0" collapsed="false">
      <c r="A4" s="5" t="s">
        <v>107</v>
      </c>
      <c r="B4" s="5" t="n">
        <f aca="false">B10*SQRT((B3-2)/(1-B10^2))</f>
        <v>0.450162793910531</v>
      </c>
    </row>
    <row r="5" customFormat="false" ht="12.8" hidden="false" customHeight="false" outlineLevel="0" collapsed="false">
      <c r="A5" s="5" t="s">
        <v>108</v>
      </c>
      <c r="B5" s="5" t="n">
        <f aca="false">_xlfn.T.DIST.2T(ABS(B4),B3-2)</f>
        <v>0.653260770516423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4" t="s">
        <v>13</v>
      </c>
      <c r="B9" s="4" t="s">
        <v>14</v>
      </c>
    </row>
    <row r="10" customFormat="false" ht="12.8" hidden="false" customHeight="false" outlineLevel="0" collapsed="false">
      <c r="A10" s="8" t="n">
        <f aca="false">B3</f>
        <v>148</v>
      </c>
      <c r="B10" s="8" t="n">
        <f aca="false">scen3_ac15p!Q3</f>
        <v>0.0372299094951213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7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1" activeCellId="1" sqref="E4:L4 B31"/>
    </sheetView>
  </sheetViews>
  <sheetFormatPr defaultColWidth="10.1640625" defaultRowHeight="12.8" customHeight="false" zeroHeight="false" outlineLevelRow="0" outlineLevelCol="0"/>
  <cols>
    <col collapsed="false" customWidth="false" hidden="false" outlineLevel="0" max="1" min="1" style="5" width="10.16"/>
    <col collapsed="false" customWidth="true" hidden="false" outlineLevel="0" max="2" min="2" style="5" width="13.05"/>
    <col collapsed="false" customWidth="false" hidden="false" outlineLevel="0" max="16384" min="3" style="5" width="10.16"/>
  </cols>
  <sheetData>
    <row r="2" customFormat="false" ht="12.8" hidden="false" customHeight="false" outlineLevel="0" collapsed="false">
      <c r="B2" s="5" t="s">
        <v>109</v>
      </c>
    </row>
    <row r="3" customFormat="false" ht="12.8" hidden="false" customHeight="false" outlineLevel="0" collapsed="false">
      <c r="A3" s="7" t="n">
        <v>1</v>
      </c>
      <c r="B3" s="9" t="n">
        <v>0.816612774002254</v>
      </c>
    </row>
    <row r="4" customFormat="false" ht="12.8" hidden="false" customHeight="false" outlineLevel="0" collapsed="false">
      <c r="A4" s="7" t="n">
        <v>2</v>
      </c>
      <c r="B4" s="9" t="n">
        <v>0.685603988915714</v>
      </c>
    </row>
    <row r="5" customFormat="false" ht="12.8" hidden="false" customHeight="false" outlineLevel="0" collapsed="false">
      <c r="A5" s="7" t="n">
        <v>3</v>
      </c>
      <c r="B5" s="9" t="n">
        <v>0.692192998668189</v>
      </c>
    </row>
    <row r="6" customFormat="false" ht="12.8" hidden="false" customHeight="false" outlineLevel="0" collapsed="false">
      <c r="A6" s="7" t="n">
        <v>4</v>
      </c>
      <c r="B6" s="9" t="n">
        <v>0.631090165894541</v>
      </c>
    </row>
    <row r="7" customFormat="false" ht="12.8" hidden="false" customHeight="false" outlineLevel="0" collapsed="false">
      <c r="A7" s="7" t="n">
        <v>5</v>
      </c>
      <c r="B7" s="9" t="n">
        <v>0.594608889064775</v>
      </c>
    </row>
    <row r="8" customFormat="false" ht="12.8" hidden="false" customHeight="false" outlineLevel="0" collapsed="false">
      <c r="A8" s="7" t="n">
        <v>6</v>
      </c>
      <c r="B8" s="9" t="n">
        <v>0.67289207367249</v>
      </c>
    </row>
    <row r="9" customFormat="false" ht="12.8" hidden="false" customHeight="false" outlineLevel="0" collapsed="false">
      <c r="A9" s="7" t="n">
        <v>7</v>
      </c>
      <c r="B9" s="9" t="n">
        <v>0.815471874765396</v>
      </c>
    </row>
    <row r="10" customFormat="false" ht="12.8" hidden="false" customHeight="false" outlineLevel="0" collapsed="false">
      <c r="A10" s="7" t="n">
        <v>8</v>
      </c>
      <c r="B10" s="9" t="n">
        <v>0.777361261632441</v>
      </c>
    </row>
    <row r="11" customFormat="false" ht="12.8" hidden="false" customHeight="false" outlineLevel="0" collapsed="false">
      <c r="A11" s="7" t="n">
        <v>9</v>
      </c>
      <c r="B11" s="9" t="n">
        <v>0.692246291421963</v>
      </c>
    </row>
    <row r="12" customFormat="false" ht="12.8" hidden="false" customHeight="false" outlineLevel="0" collapsed="false">
      <c r="A12" s="7" t="n">
        <v>10</v>
      </c>
      <c r="B12" s="9" t="n">
        <v>0.615841349915757</v>
      </c>
    </row>
    <row r="13" customFormat="false" ht="12.8" hidden="false" customHeight="false" outlineLevel="0" collapsed="false">
      <c r="A13" s="7" t="n">
        <v>11</v>
      </c>
      <c r="B13" s="9" t="n">
        <v>0.775302494128078</v>
      </c>
    </row>
    <row r="14" customFormat="false" ht="12.8" hidden="false" customHeight="false" outlineLevel="0" collapsed="false">
      <c r="A14" s="7" t="n">
        <v>12</v>
      </c>
      <c r="B14" s="9" t="n">
        <v>0.745549821920152</v>
      </c>
    </row>
    <row r="15" customFormat="false" ht="12.8" hidden="false" customHeight="false" outlineLevel="0" collapsed="false">
      <c r="A15" s="7" t="n">
        <v>13</v>
      </c>
      <c r="B15" s="9" t="n">
        <v>0.675936476989854</v>
      </c>
    </row>
    <row r="16" customFormat="false" ht="12.8" hidden="false" customHeight="false" outlineLevel="0" collapsed="false">
      <c r="A16" s="7" t="n">
        <v>14</v>
      </c>
      <c r="B16" s="9" t="n">
        <v>0.797455345493423</v>
      </c>
    </row>
    <row r="17" customFormat="false" ht="12.8" hidden="false" customHeight="false" outlineLevel="0" collapsed="false">
      <c r="A17" s="7" t="n">
        <v>15</v>
      </c>
      <c r="B17" s="9" t="n">
        <v>0.831683746706372</v>
      </c>
    </row>
    <row r="18" customFormat="false" ht="12.8" hidden="false" customHeight="false" outlineLevel="0" collapsed="false">
      <c r="A18" s="7" t="n">
        <v>16</v>
      </c>
      <c r="B18" s="9" t="n">
        <v>0.665915062167674</v>
      </c>
    </row>
    <row r="19" customFormat="false" ht="12.8" hidden="false" customHeight="false" outlineLevel="0" collapsed="false">
      <c r="A19" s="7" t="n">
        <v>17</v>
      </c>
      <c r="B19" s="9" t="n">
        <v>0.808465032172267</v>
      </c>
    </row>
    <row r="20" customFormat="false" ht="12.8" hidden="false" customHeight="false" outlineLevel="0" collapsed="false">
      <c r="A20" s="7" t="n">
        <v>18</v>
      </c>
      <c r="B20" s="9" t="n">
        <v>0.702923330052347</v>
      </c>
    </row>
    <row r="21" customFormat="false" ht="12.8" hidden="false" customHeight="false" outlineLevel="0" collapsed="false">
      <c r="A21" s="7" t="n">
        <v>19</v>
      </c>
      <c r="B21" s="9" t="n">
        <v>0.833849291363568</v>
      </c>
    </row>
    <row r="22" customFormat="false" ht="12.8" hidden="false" customHeight="false" outlineLevel="0" collapsed="false">
      <c r="A22" s="7" t="n">
        <v>20</v>
      </c>
      <c r="B22" s="9" t="n">
        <v>0.790624245512354</v>
      </c>
    </row>
    <row r="23" customFormat="false" ht="12.8" hidden="false" customHeight="false" outlineLevel="0" collapsed="false">
      <c r="A23" s="7" t="n">
        <v>21</v>
      </c>
      <c r="B23" s="9" t="n">
        <v>0.730617364036752</v>
      </c>
    </row>
    <row r="24" customFormat="false" ht="12.8" hidden="false" customHeight="false" outlineLevel="0" collapsed="false">
      <c r="A24" s="7" t="n">
        <v>22</v>
      </c>
      <c r="B24" s="9" t="n">
        <v>0.765208060825559</v>
      </c>
    </row>
    <row r="25" customFormat="false" ht="12.8" hidden="false" customHeight="false" outlineLevel="0" collapsed="false">
      <c r="A25" s="7" t="n">
        <v>23</v>
      </c>
      <c r="B25" s="9" t="n">
        <v>0.717035427894149</v>
      </c>
    </row>
    <row r="26" customFormat="false" ht="12.8" hidden="false" customHeight="false" outlineLevel="0" collapsed="false">
      <c r="A26" s="7" t="n">
        <v>24</v>
      </c>
      <c r="B26" s="9" t="n">
        <v>0.730354595976365</v>
      </c>
    </row>
    <row r="27" customFormat="false" ht="12.8" hidden="false" customHeight="false" outlineLevel="0" collapsed="false">
      <c r="A27" s="7" t="n">
        <v>25</v>
      </c>
      <c r="B27" s="9" t="n">
        <v>0.762537724739331</v>
      </c>
    </row>
    <row r="31" customFormat="false" ht="12.8" hidden="false" customHeight="false" outlineLevel="0" collapsed="false">
      <c r="B31" s="9"/>
    </row>
    <row r="32" customFormat="false" ht="12.8" hidden="false" customHeight="false" outlineLevel="0" collapsed="false">
      <c r="B32" s="9"/>
    </row>
    <row r="33" customFormat="false" ht="12.8" hidden="false" customHeight="false" outlineLevel="0" collapsed="false">
      <c r="B33" s="9"/>
    </row>
    <row r="34" customFormat="false" ht="12.8" hidden="false" customHeight="false" outlineLevel="0" collapsed="false">
      <c r="B34" s="9"/>
    </row>
    <row r="35" customFormat="false" ht="12.8" hidden="false" customHeight="false" outlineLevel="0" collapsed="false">
      <c r="B35" s="9"/>
    </row>
    <row r="36" customFormat="false" ht="12.8" hidden="false" customHeight="false" outlineLevel="0" collapsed="false">
      <c r="B36" s="9"/>
    </row>
    <row r="37" customFormat="false" ht="12.8" hidden="false" customHeight="false" outlineLevel="0" collapsed="false">
      <c r="B37" s="9"/>
    </row>
    <row r="38" customFormat="false" ht="12.8" hidden="false" customHeight="false" outlineLevel="0" collapsed="false">
      <c r="B38" s="9"/>
    </row>
    <row r="39" customFormat="false" ht="12.8" hidden="false" customHeight="false" outlineLevel="0" collapsed="false">
      <c r="B39" s="9"/>
    </row>
    <row r="40" customFormat="false" ht="12.8" hidden="false" customHeight="false" outlineLevel="0" collapsed="false">
      <c r="B40" s="9"/>
    </row>
    <row r="41" customFormat="false" ht="12.8" hidden="false" customHeight="false" outlineLevel="0" collapsed="false">
      <c r="B41" s="9"/>
    </row>
    <row r="42" customFormat="false" ht="12.8" hidden="false" customHeight="false" outlineLevel="0" collapsed="false">
      <c r="B42" s="9"/>
    </row>
    <row r="43" customFormat="false" ht="12.8" hidden="false" customHeight="false" outlineLevel="0" collapsed="false">
      <c r="B43" s="9"/>
    </row>
    <row r="44" customFormat="false" ht="12.8" hidden="false" customHeight="false" outlineLevel="0" collapsed="false">
      <c r="B44" s="9"/>
    </row>
    <row r="45" customFormat="false" ht="12.8" hidden="false" customHeight="false" outlineLevel="0" collapsed="false">
      <c r="B45" s="9"/>
    </row>
    <row r="46" customFormat="false" ht="12.8" hidden="false" customHeight="false" outlineLevel="0" collapsed="false">
      <c r="B46" s="9"/>
    </row>
    <row r="47" customFormat="false" ht="12.8" hidden="false" customHeight="false" outlineLevel="0" collapsed="false">
      <c r="B47" s="9"/>
    </row>
    <row r="48" customFormat="false" ht="12.8" hidden="false" customHeight="false" outlineLevel="0" collapsed="false">
      <c r="B48" s="9"/>
    </row>
    <row r="49" customFormat="false" ht="12.8" hidden="false" customHeight="false" outlineLevel="0" collapsed="false">
      <c r="B49" s="9"/>
    </row>
    <row r="50" customFormat="false" ht="12.8" hidden="false" customHeight="false" outlineLevel="0" collapsed="false">
      <c r="B50" s="9"/>
    </row>
    <row r="51" customFormat="false" ht="12.8" hidden="false" customHeight="false" outlineLevel="0" collapsed="false">
      <c r="B51" s="9"/>
    </row>
    <row r="52" customFormat="false" ht="12.8" hidden="false" customHeight="false" outlineLevel="0" collapsed="false">
      <c r="B52" s="9"/>
    </row>
    <row r="53" customFormat="false" ht="12.8" hidden="false" customHeight="false" outlineLevel="0" collapsed="false">
      <c r="B53" s="9"/>
    </row>
    <row r="54" customFormat="false" ht="12.8" hidden="false" customHeight="false" outlineLevel="0" collapsed="false">
      <c r="B54" s="9"/>
    </row>
    <row r="55" customFormat="false" ht="12.8" hidden="false" customHeight="false" outlineLevel="0" collapsed="false">
      <c r="B55" s="9"/>
    </row>
    <row r="56" customFormat="false" ht="12.8" hidden="false" customHeight="false" outlineLevel="0" collapsed="false">
      <c r="B56" s="9"/>
    </row>
    <row r="57" customFormat="false" ht="12.8" hidden="false" customHeight="false" outlineLevel="0" collapsed="false">
      <c r="B57" s="9"/>
    </row>
    <row r="58" customFormat="false" ht="12.8" hidden="false" customHeight="false" outlineLevel="0" collapsed="false">
      <c r="B58" s="9"/>
    </row>
    <row r="59" customFormat="false" ht="12.8" hidden="false" customHeight="false" outlineLevel="0" collapsed="false">
      <c r="B59" s="9"/>
    </row>
    <row r="60" customFormat="false" ht="12.8" hidden="false" customHeight="false" outlineLevel="0" collapsed="false">
      <c r="B60" s="9"/>
    </row>
    <row r="61" customFormat="false" ht="12.8" hidden="false" customHeight="false" outlineLevel="0" collapsed="false">
      <c r="B61" s="9"/>
    </row>
    <row r="62" customFormat="false" ht="12.8" hidden="false" customHeight="false" outlineLevel="0" collapsed="false">
      <c r="B62" s="9"/>
    </row>
    <row r="63" customFormat="false" ht="12.8" hidden="false" customHeight="false" outlineLevel="0" collapsed="false">
      <c r="B63" s="9"/>
    </row>
    <row r="64" customFormat="false" ht="12.8" hidden="false" customHeight="false" outlineLevel="0" collapsed="false">
      <c r="B64" s="9"/>
    </row>
    <row r="65" customFormat="false" ht="12.8" hidden="false" customHeight="false" outlineLevel="0" collapsed="false">
      <c r="B65" s="9"/>
    </row>
    <row r="66" customFormat="false" ht="12.8" hidden="false" customHeight="false" outlineLevel="0" collapsed="false">
      <c r="B66" s="9"/>
    </row>
    <row r="67" customFormat="false" ht="12.8" hidden="false" customHeight="false" outlineLevel="0" collapsed="false">
      <c r="B67" s="9"/>
    </row>
    <row r="68" customFormat="false" ht="12.8" hidden="false" customHeight="false" outlineLevel="0" collapsed="false">
      <c r="B68" s="9"/>
    </row>
    <row r="69" customFormat="false" ht="12.8" hidden="false" customHeight="false" outlineLevel="0" collapsed="false">
      <c r="B69" s="9"/>
    </row>
    <row r="70" customFormat="false" ht="12.8" hidden="false" customHeight="false" outlineLevel="0" collapsed="false">
      <c r="B70" s="9"/>
    </row>
    <row r="71" customFormat="false" ht="12.8" hidden="false" customHeight="false" outlineLevel="0" collapsed="false">
      <c r="B71" s="9"/>
    </row>
    <row r="72" customFormat="false" ht="12.8" hidden="false" customHeight="false" outlineLevel="0" collapsed="false">
      <c r="B72" s="9"/>
    </row>
    <row r="73" customFormat="false" ht="12.8" hidden="false" customHeight="false" outlineLevel="0" collapsed="false">
      <c r="B73" s="9"/>
    </row>
    <row r="74" customFormat="false" ht="12.8" hidden="false" customHeight="false" outlineLevel="0" collapsed="false">
      <c r="B74" s="9"/>
    </row>
    <row r="75" customFormat="false" ht="12.8" hidden="false" customHeight="false" outlineLevel="0" collapsed="false">
      <c r="B75" s="9"/>
    </row>
    <row r="76" customFormat="false" ht="12.8" hidden="false" customHeight="false" outlineLevel="0" collapsed="false">
      <c r="B76" s="9"/>
    </row>
    <row r="77" customFormat="false" ht="12.8" hidden="false" customHeight="false" outlineLevel="0" collapsed="false">
      <c r="B77" s="9"/>
    </row>
    <row r="78" customFormat="false" ht="12.8" hidden="false" customHeight="false" outlineLevel="0" collapsed="false">
      <c r="B78" s="9"/>
    </row>
    <row r="79" customFormat="false" ht="12.8" hidden="false" customHeight="false" outlineLevel="0" collapsed="false">
      <c r="B79" s="9"/>
    </row>
    <row r="80" customFormat="false" ht="12.8" hidden="false" customHeight="false" outlineLevel="0" collapsed="false">
      <c r="B80" s="9"/>
    </row>
    <row r="81" customFormat="false" ht="12.8" hidden="false" customHeight="false" outlineLevel="0" collapsed="false">
      <c r="B81" s="9"/>
    </row>
    <row r="82" customFormat="false" ht="12.8" hidden="false" customHeight="false" outlineLevel="0" collapsed="false">
      <c r="B82" s="9"/>
    </row>
    <row r="83" customFormat="false" ht="12.8" hidden="false" customHeight="false" outlineLevel="0" collapsed="false">
      <c r="B83" s="9"/>
    </row>
    <row r="84" customFormat="false" ht="12.8" hidden="false" customHeight="false" outlineLevel="0" collapsed="false">
      <c r="B84" s="9"/>
    </row>
    <row r="85" customFormat="false" ht="12.8" hidden="false" customHeight="false" outlineLevel="0" collapsed="false">
      <c r="B85" s="9"/>
    </row>
    <row r="86" customFormat="false" ht="12.8" hidden="false" customHeight="false" outlineLevel="0" collapsed="false">
      <c r="B86" s="9"/>
    </row>
    <row r="87" customFormat="false" ht="12.8" hidden="false" customHeight="false" outlineLevel="0" collapsed="false">
      <c r="B87" s="9"/>
    </row>
    <row r="88" customFormat="false" ht="12.8" hidden="false" customHeight="false" outlineLevel="0" collapsed="false">
      <c r="B88" s="9"/>
    </row>
    <row r="89" customFormat="false" ht="12.8" hidden="false" customHeight="false" outlineLevel="0" collapsed="false">
      <c r="B89" s="9"/>
    </row>
    <row r="90" customFormat="false" ht="12.8" hidden="false" customHeight="false" outlineLevel="0" collapsed="false">
      <c r="B90" s="9"/>
    </row>
    <row r="91" customFormat="false" ht="12.8" hidden="false" customHeight="false" outlineLevel="0" collapsed="false">
      <c r="B91" s="9"/>
    </row>
    <row r="92" customFormat="false" ht="12.8" hidden="false" customHeight="false" outlineLevel="0" collapsed="false">
      <c r="B92" s="9"/>
    </row>
    <row r="93" customFormat="false" ht="12.8" hidden="false" customHeight="false" outlineLevel="0" collapsed="false">
      <c r="B93" s="9"/>
    </row>
    <row r="94" customFormat="false" ht="12.8" hidden="false" customHeight="false" outlineLevel="0" collapsed="false">
      <c r="B94" s="9"/>
    </row>
    <row r="95" customFormat="false" ht="12.8" hidden="false" customHeight="false" outlineLevel="0" collapsed="false">
      <c r="B95" s="9"/>
    </row>
    <row r="96" customFormat="false" ht="12.8" hidden="false" customHeight="false" outlineLevel="0" collapsed="false">
      <c r="B96" s="9"/>
    </row>
    <row r="97" customFormat="false" ht="12.8" hidden="false" customHeight="false" outlineLevel="0" collapsed="false">
      <c r="B97" s="9"/>
    </row>
    <row r="98" customFormat="false" ht="12.8" hidden="false" customHeight="false" outlineLevel="0" collapsed="false">
      <c r="B98" s="9"/>
    </row>
    <row r="99" customFormat="false" ht="12.8" hidden="false" customHeight="false" outlineLevel="0" collapsed="false">
      <c r="B99" s="9"/>
    </row>
    <row r="100" customFormat="false" ht="12.8" hidden="false" customHeight="false" outlineLevel="0" collapsed="false">
      <c r="B100" s="9"/>
    </row>
    <row r="101" customFormat="false" ht="12.8" hidden="false" customHeight="false" outlineLevel="0" collapsed="false">
      <c r="B101" s="9"/>
    </row>
    <row r="102" customFormat="false" ht="12.8" hidden="false" customHeight="false" outlineLevel="0" collapsed="false">
      <c r="B102" s="9"/>
    </row>
    <row r="103" customFormat="false" ht="12.8" hidden="false" customHeight="false" outlineLevel="0" collapsed="false">
      <c r="B103" s="9"/>
    </row>
    <row r="104" customFormat="false" ht="12.8" hidden="false" customHeight="false" outlineLevel="0" collapsed="false">
      <c r="B104" s="9"/>
    </row>
    <row r="105" customFormat="false" ht="12.8" hidden="false" customHeight="false" outlineLevel="0" collapsed="false">
      <c r="B105" s="9"/>
    </row>
    <row r="106" customFormat="false" ht="12.8" hidden="false" customHeight="false" outlineLevel="0" collapsed="false">
      <c r="B106" s="9"/>
    </row>
    <row r="107" customFormat="false" ht="12.8" hidden="false" customHeight="false" outlineLevel="0" collapsed="false">
      <c r="B107" s="9"/>
    </row>
    <row r="108" customFormat="false" ht="12.8" hidden="false" customHeight="false" outlineLevel="0" collapsed="false">
      <c r="B108" s="9"/>
    </row>
    <row r="109" customFormat="false" ht="12.8" hidden="false" customHeight="false" outlineLevel="0" collapsed="false">
      <c r="B109" s="9"/>
    </row>
    <row r="110" customFormat="false" ht="12.8" hidden="false" customHeight="false" outlineLevel="0" collapsed="false">
      <c r="B110" s="9"/>
    </row>
    <row r="111" customFormat="false" ht="12.8" hidden="false" customHeight="false" outlineLevel="0" collapsed="false">
      <c r="B111" s="9"/>
    </row>
    <row r="112" customFormat="false" ht="12.8" hidden="false" customHeight="false" outlineLevel="0" collapsed="false">
      <c r="B112" s="9"/>
    </row>
    <row r="113" customFormat="false" ht="12.8" hidden="false" customHeight="false" outlineLevel="0" collapsed="false">
      <c r="B113" s="9"/>
    </row>
    <row r="114" customFormat="false" ht="12.8" hidden="false" customHeight="false" outlineLevel="0" collapsed="false">
      <c r="B114" s="9"/>
    </row>
    <row r="115" customFormat="false" ht="12.8" hidden="false" customHeight="false" outlineLevel="0" collapsed="false">
      <c r="B115" s="9"/>
    </row>
    <row r="116" customFormat="false" ht="12.8" hidden="false" customHeight="false" outlineLevel="0" collapsed="false">
      <c r="B116" s="9"/>
    </row>
    <row r="117" customFormat="false" ht="12.8" hidden="false" customHeight="false" outlineLevel="0" collapsed="false">
      <c r="B117" s="9"/>
    </row>
    <row r="118" customFormat="false" ht="12.8" hidden="false" customHeight="false" outlineLevel="0" collapsed="false">
      <c r="B118" s="9"/>
    </row>
    <row r="119" customFormat="false" ht="12.8" hidden="false" customHeight="false" outlineLevel="0" collapsed="false">
      <c r="B119" s="9"/>
    </row>
    <row r="120" customFormat="false" ht="12.8" hidden="false" customHeight="false" outlineLevel="0" collapsed="false">
      <c r="B120" s="9"/>
    </row>
    <row r="121" customFormat="false" ht="12.8" hidden="false" customHeight="false" outlineLevel="0" collapsed="false">
      <c r="B121" s="9"/>
    </row>
    <row r="122" customFormat="false" ht="12.8" hidden="false" customHeight="false" outlineLevel="0" collapsed="false">
      <c r="B122" s="9"/>
    </row>
    <row r="123" customFormat="false" ht="12.8" hidden="false" customHeight="false" outlineLevel="0" collapsed="false">
      <c r="B123" s="9"/>
    </row>
    <row r="124" customFormat="false" ht="12.8" hidden="false" customHeight="false" outlineLevel="0" collapsed="false">
      <c r="B124" s="9"/>
    </row>
    <row r="125" customFormat="false" ht="12.8" hidden="false" customHeight="false" outlineLevel="0" collapsed="false">
      <c r="B125" s="9"/>
    </row>
    <row r="126" customFormat="false" ht="12.8" hidden="false" customHeight="false" outlineLevel="0" collapsed="false">
      <c r="B126" s="9"/>
    </row>
    <row r="127" customFormat="false" ht="12.8" hidden="false" customHeight="false" outlineLevel="0" collapsed="false">
      <c r="B127" s="9"/>
    </row>
    <row r="128" customFormat="false" ht="12.8" hidden="false" customHeight="false" outlineLevel="0" collapsed="false">
      <c r="B128" s="9"/>
    </row>
    <row r="129" customFormat="false" ht="12.8" hidden="false" customHeight="false" outlineLevel="0" collapsed="false">
      <c r="B129" s="9"/>
    </row>
    <row r="130" customFormat="false" ht="12.8" hidden="false" customHeight="false" outlineLevel="0" collapsed="false">
      <c r="B130" s="9"/>
    </row>
    <row r="131" customFormat="false" ht="12.8" hidden="false" customHeight="false" outlineLevel="0" collapsed="false">
      <c r="B131" s="9"/>
    </row>
    <row r="132" customFormat="false" ht="12.8" hidden="false" customHeight="false" outlineLevel="0" collapsed="false">
      <c r="B132" s="9"/>
    </row>
    <row r="133" customFormat="false" ht="12.8" hidden="false" customHeight="false" outlineLevel="0" collapsed="false">
      <c r="B133" s="9"/>
    </row>
    <row r="134" customFormat="false" ht="12.8" hidden="false" customHeight="false" outlineLevel="0" collapsed="false">
      <c r="B134" s="9"/>
    </row>
    <row r="135" customFormat="false" ht="12.8" hidden="false" customHeight="false" outlineLevel="0" collapsed="false">
      <c r="B135" s="9"/>
    </row>
    <row r="136" customFormat="false" ht="12.8" hidden="false" customHeight="false" outlineLevel="0" collapsed="false">
      <c r="B136" s="9"/>
    </row>
    <row r="137" customFormat="false" ht="12.8" hidden="false" customHeight="false" outlineLevel="0" collapsed="false">
      <c r="B137" s="9"/>
    </row>
    <row r="138" customFormat="false" ht="12.8" hidden="false" customHeight="false" outlineLevel="0" collapsed="false">
      <c r="B138" s="9"/>
    </row>
    <row r="139" customFormat="false" ht="12.8" hidden="false" customHeight="false" outlineLevel="0" collapsed="false">
      <c r="B139" s="9"/>
    </row>
    <row r="140" customFormat="false" ht="12.8" hidden="false" customHeight="false" outlineLevel="0" collapsed="false">
      <c r="B140" s="9"/>
    </row>
    <row r="141" customFormat="false" ht="12.8" hidden="false" customHeight="false" outlineLevel="0" collapsed="false">
      <c r="B141" s="9"/>
    </row>
    <row r="142" customFormat="false" ht="12.8" hidden="false" customHeight="false" outlineLevel="0" collapsed="false">
      <c r="B142" s="9"/>
    </row>
    <row r="143" customFormat="false" ht="12.8" hidden="false" customHeight="false" outlineLevel="0" collapsed="false">
      <c r="B143" s="9"/>
    </row>
    <row r="144" customFormat="false" ht="12.8" hidden="false" customHeight="false" outlineLevel="0" collapsed="false">
      <c r="B144" s="9"/>
    </row>
    <row r="145" customFormat="false" ht="12.8" hidden="false" customHeight="false" outlineLevel="0" collapsed="false">
      <c r="B145" s="9"/>
    </row>
    <row r="146" customFormat="false" ht="12.8" hidden="false" customHeight="false" outlineLevel="0" collapsed="false">
      <c r="B146" s="9"/>
    </row>
    <row r="147" customFormat="false" ht="12.8" hidden="false" customHeight="false" outlineLevel="0" collapsed="false">
      <c r="B147" s="9"/>
    </row>
    <row r="148" customFormat="false" ht="12.8" hidden="false" customHeight="false" outlineLevel="0" collapsed="false">
      <c r="B148" s="9"/>
    </row>
    <row r="149" customFormat="false" ht="12.8" hidden="false" customHeight="false" outlineLevel="0" collapsed="false">
      <c r="B149" s="9"/>
    </row>
    <row r="150" customFormat="false" ht="12.8" hidden="false" customHeight="false" outlineLevel="0" collapsed="false">
      <c r="B150" s="9"/>
    </row>
    <row r="151" customFormat="false" ht="12.8" hidden="false" customHeight="false" outlineLevel="0" collapsed="false">
      <c r="B151" s="9"/>
    </row>
    <row r="152" customFormat="false" ht="12.8" hidden="false" customHeight="false" outlineLevel="0" collapsed="false">
      <c r="B152" s="9"/>
    </row>
    <row r="153" customFormat="false" ht="12.8" hidden="false" customHeight="false" outlineLevel="0" collapsed="false">
      <c r="B153" s="9"/>
    </row>
    <row r="154" customFormat="false" ht="12.8" hidden="false" customHeight="false" outlineLevel="0" collapsed="false">
      <c r="B154" s="9"/>
    </row>
    <row r="155" customFormat="false" ht="12.8" hidden="false" customHeight="false" outlineLevel="0" collapsed="false">
      <c r="B155" s="9"/>
    </row>
    <row r="156" customFormat="false" ht="12.8" hidden="false" customHeight="false" outlineLevel="0" collapsed="false">
      <c r="B156" s="9"/>
    </row>
    <row r="157" customFormat="false" ht="12.8" hidden="false" customHeight="false" outlineLevel="0" collapsed="false">
      <c r="B157" s="9"/>
    </row>
    <row r="158" customFormat="false" ht="12.8" hidden="false" customHeight="false" outlineLevel="0" collapsed="false">
      <c r="B158" s="9"/>
    </row>
    <row r="159" customFormat="false" ht="12.8" hidden="false" customHeight="false" outlineLevel="0" collapsed="false">
      <c r="B159" s="9"/>
    </row>
    <row r="160" customFormat="false" ht="12.8" hidden="false" customHeight="false" outlineLevel="0" collapsed="false">
      <c r="B160" s="9"/>
    </row>
    <row r="161" customFormat="false" ht="12.8" hidden="false" customHeight="false" outlineLevel="0" collapsed="false">
      <c r="B161" s="9"/>
    </row>
    <row r="162" customFormat="false" ht="12.8" hidden="false" customHeight="false" outlineLevel="0" collapsed="false">
      <c r="B162" s="9"/>
    </row>
    <row r="163" customFormat="false" ht="12.8" hidden="false" customHeight="false" outlineLevel="0" collapsed="false">
      <c r="B163" s="9"/>
    </row>
    <row r="164" customFormat="false" ht="12.8" hidden="false" customHeight="false" outlineLevel="0" collapsed="false">
      <c r="B164" s="9"/>
    </row>
    <row r="165" customFormat="false" ht="12.8" hidden="false" customHeight="false" outlineLevel="0" collapsed="false">
      <c r="B165" s="9"/>
    </row>
    <row r="166" customFormat="false" ht="12.8" hidden="false" customHeight="false" outlineLevel="0" collapsed="false">
      <c r="B166" s="9"/>
    </row>
    <row r="167" customFormat="false" ht="12.8" hidden="false" customHeight="false" outlineLevel="0" collapsed="false">
      <c r="B167" s="9"/>
    </row>
    <row r="168" customFormat="false" ht="12.8" hidden="false" customHeight="false" outlineLevel="0" collapsed="false">
      <c r="B168" s="9"/>
    </row>
    <row r="169" customFormat="false" ht="12.8" hidden="false" customHeight="false" outlineLevel="0" collapsed="false">
      <c r="B169" s="9"/>
    </row>
    <row r="170" customFormat="false" ht="12.8" hidden="false" customHeight="false" outlineLevel="0" collapsed="false">
      <c r="B170" s="9"/>
    </row>
    <row r="171" customFormat="false" ht="12.8" hidden="false" customHeight="false" outlineLevel="0" collapsed="false">
      <c r="B171" s="9"/>
    </row>
    <row r="172" customFormat="false" ht="12.8" hidden="false" customHeight="false" outlineLevel="0" collapsed="false">
      <c r="B172" s="9"/>
    </row>
    <row r="173" customFormat="false" ht="12.8" hidden="false" customHeight="false" outlineLevel="0" collapsed="false">
      <c r="B173" s="9"/>
    </row>
    <row r="174" customFormat="false" ht="12.8" hidden="false" customHeight="false" outlineLevel="0" collapsed="false">
      <c r="B174" s="9"/>
    </row>
    <row r="175" customFormat="false" ht="12.8" hidden="false" customHeight="false" outlineLevel="0" collapsed="false">
      <c r="B175" s="9"/>
    </row>
    <row r="176" customFormat="false" ht="12.8" hidden="false" customHeight="false" outlineLevel="0" collapsed="false">
      <c r="B176" s="9"/>
    </row>
    <row r="177" customFormat="false" ht="12.8" hidden="false" customHeight="false" outlineLevel="0" collapsed="false">
      <c r="B177" s="9"/>
    </row>
    <row r="178" customFormat="false" ht="12.8" hidden="false" customHeight="false" outlineLevel="0" collapsed="false">
      <c r="B178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:L4"/>
    </sheetView>
  </sheetViews>
  <sheetFormatPr defaultColWidth="10.1640625" defaultRowHeight="13.8" customHeight="false" zeroHeight="false" outlineLevelRow="0" outlineLevelCol="0"/>
  <cols>
    <col collapsed="false" customWidth="true" hidden="false" outlineLevel="0" max="3" min="2" style="3" width="15.79"/>
    <col collapsed="false" customWidth="true" hidden="false" outlineLevel="0" max="6" min="5" style="3" width="16.67"/>
    <col collapsed="false" customWidth="true" hidden="false" outlineLevel="0" max="7" min="7" style="3" width="15.79"/>
    <col collapsed="false" customWidth="true" hidden="false" outlineLevel="0" max="9" min="8" style="3" width="17.95"/>
    <col collapsed="false" customWidth="true" hidden="false" outlineLevel="0" max="10" min="10" style="3" width="15.79"/>
    <col collapsed="false" customWidth="true" hidden="false" outlineLevel="0" max="11" min="11" style="10" width="11.36"/>
    <col collapsed="false" customWidth="true" hidden="false" outlineLevel="0" max="12" min="12" style="10" width="11.81"/>
  </cols>
  <sheetData>
    <row r="1" customFormat="false" ht="13.8" hidden="false" customHeight="false" outlineLevel="0" collapsed="false">
      <c r="B1" s="9" t="s">
        <v>109</v>
      </c>
    </row>
    <row r="3" customFormat="false" ht="13.8" hidden="false" customHeight="false" outlineLevel="0" collapsed="false">
      <c r="A3" s="5"/>
      <c r="B3" s="9" t="s">
        <v>110</v>
      </c>
      <c r="C3" s="9" t="s">
        <v>111</v>
      </c>
      <c r="E3" s="9" t="s">
        <v>112</v>
      </c>
      <c r="F3" s="9" t="s">
        <v>113</v>
      </c>
      <c r="G3" s="9" t="s">
        <v>114</v>
      </c>
      <c r="H3" s="9" t="s">
        <v>115</v>
      </c>
      <c r="I3" s="9" t="s">
        <v>116</v>
      </c>
      <c r="J3" s="9" t="s">
        <v>117</v>
      </c>
      <c r="K3" s="10" t="s">
        <v>118</v>
      </c>
      <c r="L3" s="10" t="s">
        <v>119</v>
      </c>
    </row>
    <row r="4" customFormat="false" ht="13.8" hidden="false" customHeight="false" outlineLevel="0" collapsed="false">
      <c r="A4" s="7" t="n">
        <v>1</v>
      </c>
      <c r="B4" s="9" t="n">
        <v>0.816612774002254</v>
      </c>
      <c r="C4" s="5" t="n">
        <v>0.812375866700629</v>
      </c>
      <c r="E4" s="9" t="n">
        <f aca="false">_xlfn.STDEV.S(B4:B28)</f>
        <v>0.0689427242735475</v>
      </c>
      <c r="F4" s="9" t="n">
        <f aca="false">_xlfn.STDEV.S(C4:C28)</f>
        <v>0.0899326263135566</v>
      </c>
      <c r="G4" s="9" t="n">
        <f aca="false">_xlfn.F.TEST(B4:B28,C4:C28)</f>
        <v>0.200124580529644</v>
      </c>
      <c r="H4" s="9" t="n">
        <f aca="false">_xlfn.T.TEST(B4:B28, C4:C28, 2,2)</f>
        <v>1.18813267062311E-007</v>
      </c>
      <c r="I4" s="9" t="n">
        <f aca="false">_xlfn.T.TEST(B4:B28,C4:C28, 2,3)</f>
        <v>1.51542548664125E-007</v>
      </c>
      <c r="J4" s="9" t="n">
        <f aca="false">AVERAGE(B4:B28)-AVERAGE(C4:C28)</f>
        <v>0.140788656814249</v>
      </c>
      <c r="K4" s="10" t="n">
        <f aca="false">AVERAGE(B4:B28)</f>
        <v>0.733095187517271</v>
      </c>
      <c r="L4" s="10" t="n">
        <f aca="false">AVERAGE(C4:C28)</f>
        <v>0.592306530703021</v>
      </c>
    </row>
    <row r="5" customFormat="false" ht="13.8" hidden="false" customHeight="false" outlineLevel="0" collapsed="false">
      <c r="A5" s="7" t="n">
        <v>2</v>
      </c>
      <c r="B5" s="9" t="n">
        <v>0.685603988915714</v>
      </c>
      <c r="C5" s="5" t="n">
        <v>0.621326054028327</v>
      </c>
    </row>
    <row r="6" customFormat="false" ht="13.8" hidden="false" customHeight="false" outlineLevel="0" collapsed="false">
      <c r="A6" s="7" t="n">
        <v>3</v>
      </c>
      <c r="B6" s="9" t="n">
        <v>0.692192998668189</v>
      </c>
      <c r="C6" s="5" t="n">
        <v>0.681899333424152</v>
      </c>
    </row>
    <row r="7" customFormat="false" ht="13.8" hidden="false" customHeight="false" outlineLevel="0" collapsed="false">
      <c r="A7" s="7" t="n">
        <v>4</v>
      </c>
      <c r="B7" s="9" t="n">
        <v>0.631090165894541</v>
      </c>
      <c r="C7" s="5" t="n">
        <v>0.674771839496378</v>
      </c>
    </row>
    <row r="8" customFormat="false" ht="13.8" hidden="false" customHeight="false" outlineLevel="0" collapsed="false">
      <c r="A8" s="7" t="n">
        <v>5</v>
      </c>
      <c r="B8" s="9" t="n">
        <v>0.594608889064775</v>
      </c>
      <c r="C8" s="5" t="n">
        <v>0.51803751024012</v>
      </c>
    </row>
    <row r="9" customFormat="false" ht="13.8" hidden="false" customHeight="false" outlineLevel="0" collapsed="false">
      <c r="A9" s="7" t="n">
        <v>6</v>
      </c>
      <c r="B9" s="9" t="n">
        <v>0.67289207367249</v>
      </c>
      <c r="C9" s="5" t="n">
        <v>0.606253624859241</v>
      </c>
    </row>
    <row r="10" customFormat="false" ht="13.8" hidden="false" customHeight="false" outlineLevel="0" collapsed="false">
      <c r="A10" s="7" t="n">
        <v>7</v>
      </c>
      <c r="B10" s="9" t="n">
        <v>0.815471874765396</v>
      </c>
      <c r="C10" s="5" t="n">
        <v>0.602791213061993</v>
      </c>
    </row>
    <row r="11" customFormat="false" ht="13.8" hidden="false" customHeight="false" outlineLevel="0" collapsed="false">
      <c r="A11" s="7" t="n">
        <v>8</v>
      </c>
      <c r="B11" s="9" t="n">
        <v>0.777361261632441</v>
      </c>
      <c r="C11" s="5" t="n">
        <v>0.542603699900357</v>
      </c>
    </row>
    <row r="12" customFormat="false" ht="13.8" hidden="false" customHeight="false" outlineLevel="0" collapsed="false">
      <c r="A12" s="7" t="n">
        <v>9</v>
      </c>
      <c r="B12" s="9" t="n">
        <v>0.692246291421963</v>
      </c>
      <c r="C12" s="5" t="n">
        <v>0.652419536797036</v>
      </c>
    </row>
    <row r="13" customFormat="false" ht="13.8" hidden="false" customHeight="false" outlineLevel="0" collapsed="false">
      <c r="A13" s="7" t="n">
        <v>10</v>
      </c>
      <c r="B13" s="9" t="n">
        <v>0.615841349915757</v>
      </c>
      <c r="C13" s="5" t="n">
        <v>0.450905597774938</v>
      </c>
    </row>
    <row r="14" customFormat="false" ht="13.8" hidden="false" customHeight="false" outlineLevel="0" collapsed="false">
      <c r="A14" s="7" t="n">
        <v>11</v>
      </c>
      <c r="B14" s="9" t="n">
        <v>0.775302494128078</v>
      </c>
      <c r="C14" s="5" t="n">
        <v>0.546133776873995</v>
      </c>
    </row>
    <row r="15" customFormat="false" ht="13.8" hidden="false" customHeight="false" outlineLevel="0" collapsed="false">
      <c r="A15" s="7" t="n">
        <v>12</v>
      </c>
      <c r="B15" s="9" t="n">
        <v>0.745549821920152</v>
      </c>
      <c r="C15" s="5" t="n">
        <v>0.665778032490698</v>
      </c>
    </row>
    <row r="16" customFormat="false" ht="13.8" hidden="false" customHeight="false" outlineLevel="0" collapsed="false">
      <c r="A16" s="7" t="n">
        <v>13</v>
      </c>
      <c r="B16" s="9" t="n">
        <v>0.675936476989854</v>
      </c>
      <c r="C16" s="5" t="n">
        <v>0.570178682607378</v>
      </c>
    </row>
    <row r="17" customFormat="false" ht="13.8" hidden="false" customHeight="false" outlineLevel="0" collapsed="false">
      <c r="A17" s="7" t="n">
        <v>14</v>
      </c>
      <c r="B17" s="9" t="n">
        <v>0.797455345493423</v>
      </c>
      <c r="C17" s="5" t="n">
        <v>0.63671805888081</v>
      </c>
    </row>
    <row r="18" customFormat="false" ht="13.8" hidden="false" customHeight="false" outlineLevel="0" collapsed="false">
      <c r="A18" s="7" t="n">
        <v>15</v>
      </c>
      <c r="B18" s="9" t="n">
        <v>0.831683746706372</v>
      </c>
      <c r="C18" s="5" t="n">
        <v>0.686211801872884</v>
      </c>
    </row>
    <row r="19" customFormat="false" ht="13.8" hidden="false" customHeight="false" outlineLevel="0" collapsed="false">
      <c r="A19" s="7" t="n">
        <v>16</v>
      </c>
      <c r="B19" s="9" t="n">
        <v>0.665915062167674</v>
      </c>
      <c r="C19" s="5" t="n">
        <v>0.528746891036281</v>
      </c>
    </row>
    <row r="20" customFormat="false" ht="13.8" hidden="false" customHeight="false" outlineLevel="0" collapsed="false">
      <c r="A20" s="7" t="n">
        <v>17</v>
      </c>
      <c r="B20" s="9" t="n">
        <v>0.808465032172267</v>
      </c>
      <c r="C20" s="5" t="n">
        <v>0.550793523290854</v>
      </c>
    </row>
    <row r="21" customFormat="false" ht="13.8" hidden="false" customHeight="false" outlineLevel="0" collapsed="false">
      <c r="A21" s="7" t="n">
        <v>18</v>
      </c>
      <c r="B21" s="9" t="n">
        <v>0.702923330052347</v>
      </c>
      <c r="C21" s="5" t="n">
        <v>0.573839583361676</v>
      </c>
    </row>
    <row r="22" customFormat="false" ht="13.8" hidden="false" customHeight="false" outlineLevel="0" collapsed="false">
      <c r="A22" s="7" t="n">
        <v>19</v>
      </c>
      <c r="B22" s="9" t="n">
        <v>0.833849291363568</v>
      </c>
      <c r="C22" s="5" t="n">
        <v>0.638711323785104</v>
      </c>
    </row>
    <row r="23" customFormat="false" ht="13.8" hidden="false" customHeight="false" outlineLevel="0" collapsed="false">
      <c r="A23" s="7" t="n">
        <v>20</v>
      </c>
      <c r="B23" s="9" t="n">
        <v>0.790624245512354</v>
      </c>
      <c r="C23" s="5" t="n">
        <v>0.597975746643383</v>
      </c>
    </row>
    <row r="24" customFormat="false" ht="13.8" hidden="false" customHeight="false" outlineLevel="0" collapsed="false">
      <c r="A24" s="7" t="n">
        <v>21</v>
      </c>
      <c r="B24" s="9" t="n">
        <v>0.730617364036752</v>
      </c>
      <c r="C24" s="5" t="n">
        <v>0.620579654001758</v>
      </c>
    </row>
    <row r="25" customFormat="false" ht="13.8" hidden="false" customHeight="false" outlineLevel="0" collapsed="false">
      <c r="A25" s="7" t="n">
        <v>22</v>
      </c>
      <c r="B25" s="9" t="n">
        <v>0.765208060825559</v>
      </c>
      <c r="C25" s="5" t="n">
        <v>0.582519361253929</v>
      </c>
    </row>
    <row r="26" customFormat="false" ht="13.8" hidden="false" customHeight="false" outlineLevel="0" collapsed="false">
      <c r="A26" s="7" t="n">
        <v>23</v>
      </c>
      <c r="B26" s="9" t="n">
        <v>0.717035427894149</v>
      </c>
      <c r="C26" s="5" t="n">
        <v>0.405468497903575</v>
      </c>
    </row>
    <row r="27" customFormat="false" ht="13.8" hidden="false" customHeight="false" outlineLevel="0" collapsed="false">
      <c r="A27" s="7" t="n">
        <v>24</v>
      </c>
      <c r="B27" s="9" t="n">
        <v>0.730354595976365</v>
      </c>
      <c r="C27" s="5" t="n">
        <v>0.631758292696521</v>
      </c>
    </row>
    <row r="28" customFormat="false" ht="13.8" hidden="false" customHeight="false" outlineLevel="0" collapsed="false">
      <c r="A28" s="7" t="n">
        <v>25</v>
      </c>
      <c r="B28" s="9" t="n">
        <v>0.762537724739331</v>
      </c>
      <c r="C28" s="5" t="n">
        <v>0.408865764593518</v>
      </c>
    </row>
    <row r="31" customFormat="false" ht="13.8" hidden="false" customHeight="false" outlineLevel="0" collapsed="false">
      <c r="J31" s="3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2026-02-20T14:39:06Z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
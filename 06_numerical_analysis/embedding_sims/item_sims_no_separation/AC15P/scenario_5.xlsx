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cen5_ac15p" sheetId="1" state="visible" r:id="rId3"/>
    <sheet name="Notes" sheetId="2" state="visible" r:id="rId4"/>
    <sheet name="actdel_prompt_response" sheetId="3" state="visible" r:id="rId5"/>
    <sheet name="inter_system_sta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<sst xmlns="http://schemas.openxmlformats.org/spreadsheetml/2006/main" count="954" uniqueCount="139">
  <si>
    <t xml:space="preserve">turnId</t>
  </si>
  <si>
    <t xml:space="preserve">user_id</t>
  </si>
  <si>
    <t xml:space="preserve">assistant_id</t>
  </si>
  <si>
    <t xml:space="preserve">projectName</t>
  </si>
  <si>
    <t xml:space="preserve">sessionName</t>
  </si>
  <si>
    <t xml:space="preserve">seq</t>
  </si>
  <si>
    <t xml:space="preserve">anchorName</t>
  </si>
  <si>
    <t xml:space="preserve">weight</t>
  </si>
  <si>
    <t xml:space="preserve">promptSim</t>
  </si>
  <si>
    <t xml:space="preserve">responseSim</t>
  </si>
  <si>
    <t xml:space="preserve">activation delta</t>
  </si>
  <si>
    <t xml:space="preserve">prompt_to_response</t>
  </si>
  <si>
    <t xml:space="preserve">count</t>
  </si>
  <si>
    <t xml:space="preserve">activation delta average</t>
  </si>
  <si>
    <t xml:space="preserve">correlation weights / activation delta</t>
  </si>
  <si>
    <t xml:space="preserve">p</t>
  </si>
  <si>
    <t xml:space="preserve">35868c1d-7df4-480a-b9ce-448c4ad13450</t>
  </si>
  <si>
    <t xml:space="preserve">cmjcrcxee018nzc7eca5j8wjp</t>
  </si>
  <si>
    <t xml:space="preserve">cmjcre0zp0194zc7ehckzf9l7</t>
  </si>
  <si>
    <t xml:space="preserve">ac15-plain</t>
  </si>
  <si>
    <t xml:space="preserve">scenario_5</t>
  </si>
  <si>
    <t xml:space="preserve">practicality_and_feasibility</t>
  </si>
  <si>
    <t xml:space="preserve">sovereignty</t>
  </si>
  <si>
    <t xml:space="preserve">mathematics_computer_science_engineering</t>
  </si>
  <si>
    <t xml:space="preserve">temporal_dynamics</t>
  </si>
  <si>
    <t xml:space="preserve">affective_interface</t>
  </si>
  <si>
    <t xml:space="preserve">truth_and_fact</t>
  </si>
  <si>
    <t xml:space="preserve">4213cad3-70fe-4cd0-8744-a54a8a2b6b2f</t>
  </si>
  <si>
    <t xml:space="preserve">cmjcrfawz0198zc7eodhhzm0p</t>
  </si>
  <si>
    <t xml:space="preserve">cmjcrftgg019pzc7e6zgopjya</t>
  </si>
  <si>
    <t xml:space="preserve">freedom_and_limitations</t>
  </si>
  <si>
    <t xml:space="preserve">61cb2ed5-1d5e-4ea5-bd5d-33eb7a87e1d0</t>
  </si>
  <si>
    <t xml:space="preserve">cmjcrghn4019tzc7eykhxvucs</t>
  </si>
  <si>
    <t xml:space="preserve">cmjcrgvco01aazc7e2sibmhxu</t>
  </si>
  <si>
    <t xml:space="preserve">metaphorical_scaffolding</t>
  </si>
  <si>
    <t xml:space="preserve">932c27d5-d489-4885-a1a0-a12bff28169f</t>
  </si>
  <si>
    <t xml:space="preserve">cmjcrjwkx01aezc7ez3lj826n</t>
  </si>
  <si>
    <t xml:space="preserve">cmjcrkh4c01avzc7e34jcpqxm</t>
  </si>
  <si>
    <t xml:space="preserve">7cc76293-dab8-4766-90ab-0bf383fb5a47</t>
  </si>
  <si>
    <t xml:space="preserve">cmjcrld1a01azzc7ecq010npy</t>
  </si>
  <si>
    <t xml:space="preserve">cmjcrlsxg01bgzc7ec6cs3dah</t>
  </si>
  <si>
    <t xml:space="preserve">context_dependent_expression</t>
  </si>
  <si>
    <t xml:space="preserve">84dc89ac-44be-4a3a-a5cc-24fdb67bebe7</t>
  </si>
  <si>
    <t xml:space="preserve">cmjcrmhyr01bkzc7e0siqg35m</t>
  </si>
  <si>
    <t xml:space="preserve">cmjcrn5qa01c1zc7e0eir0ix3</t>
  </si>
  <si>
    <t xml:space="preserve">electricity</t>
  </si>
  <si>
    <t xml:space="preserve">54cdcc02-adbf-4f13-8bbc-2a2f7541b646</t>
  </si>
  <si>
    <t xml:space="preserve">cmjcro3c801c5zc7ed0zqgpgv</t>
  </si>
  <si>
    <t xml:space="preserve">cmjcrokgs01cmzc7er8kugy2v</t>
  </si>
  <si>
    <t xml:space="preserve">imagination_and_possibility</t>
  </si>
  <si>
    <t xml:space="preserve">39de7718-b917-42f5-8bd2-50ab0a1cf74e</t>
  </si>
  <si>
    <t xml:space="preserve">cmjcrp9as01cqzc7e9ayfewcg</t>
  </si>
  <si>
    <t xml:space="preserve">cmjcrpslk01d7zc7e1g3nl2bb</t>
  </si>
  <si>
    <t xml:space="preserve">d5e482f2-7103-4078-b057-98615dde8861</t>
  </si>
  <si>
    <t xml:space="preserve">cmjcrrey901dbzc7em9t39875</t>
  </si>
  <si>
    <t xml:space="preserve">cmjcrs1de01dszc7esb1ajn6m</t>
  </si>
  <si>
    <t xml:space="preserve">identity</t>
  </si>
  <si>
    <t xml:space="preserve">8d5ee234-3669-4337-8461-6adc51e1643c</t>
  </si>
  <si>
    <t xml:space="preserve">cmjcrscmf01dwzc7erb5graxg</t>
  </si>
  <si>
    <t xml:space="preserve">cmjcrsodg01edzc7eetk6ufxs</t>
  </si>
  <si>
    <t xml:space="preserve">92244348-e81f-49d0-8153-947f63d28260</t>
  </si>
  <si>
    <t xml:space="preserve">cmjcrtbud01ehzc7ec2o9yaw3</t>
  </si>
  <si>
    <t xml:space="preserve">cmjcrts7c01eyzc7eanq0lruq</t>
  </si>
  <si>
    <t xml:space="preserve">449409d3-3e9c-4086-8536-a53f58c624d1</t>
  </si>
  <si>
    <t xml:space="preserve">cmjcrud8n01f2zc7ei1wg3qfq</t>
  </si>
  <si>
    <t xml:space="preserve">cmjcrurzo01fjzc7enbhp2avf</t>
  </si>
  <si>
    <t xml:space="preserve">science</t>
  </si>
  <si>
    <t xml:space="preserve">671e7936-79b2-4773-bdb7-63d6dcc072e8</t>
  </si>
  <si>
    <t xml:space="preserve">cmjcrvazh01fnzc7ejnf7x3rw</t>
  </si>
  <si>
    <t xml:space="preserve">cmjcrvzax01g4zc7et60p9s7z</t>
  </si>
  <si>
    <t xml:space="preserve">688b58fe-256c-4069-b1f8-78344d056058</t>
  </si>
  <si>
    <t xml:space="preserve">cmjcrx0v001g8zc7evc96x9qg</t>
  </si>
  <si>
    <t xml:space="preserve">cmjcrxkf201gpzc7e5nwukowu</t>
  </si>
  <si>
    <t xml:space="preserve">884ffb98-43f2-4a32-9ad6-3d307b5b219e</t>
  </si>
  <si>
    <t xml:space="preserve">cmjcrys7g01gtzc7ez70ixhm6</t>
  </si>
  <si>
    <t xml:space="preserve">cmjcrzmxp01hazc7e3nbbh396</t>
  </si>
  <si>
    <t xml:space="preserve">5d486f97-8c46-424e-a8fd-7b1d04d9aae8</t>
  </si>
  <si>
    <t xml:space="preserve">cmjcs0rwl01hezc7euvtjjbaz</t>
  </si>
  <si>
    <t xml:space="preserve">cmjcs172i01hvzc7eyz6ld2gw</t>
  </si>
  <si>
    <t xml:space="preserve">bab348d4-4692-4d8d-b98c-1133570e8b3c</t>
  </si>
  <si>
    <t xml:space="preserve">cmjcs1pwx01hzzc7e2e973ugg</t>
  </si>
  <si>
    <t xml:space="preserve">cmjcs28kt01igzc7erhz7p42x</t>
  </si>
  <si>
    <t xml:space="preserve">6e672afc-7c6f-46c8-b0c8-58749829be3b</t>
  </si>
  <si>
    <t xml:space="preserve">cmjcs2hoi01ikzc7ejvdmg0jg</t>
  </si>
  <si>
    <t xml:space="preserve">cmjcs2vhf01j1zc7e1z0877u3</t>
  </si>
  <si>
    <t xml:space="preserve">798337f1-5da7-4916-a56b-544d451dfaff</t>
  </si>
  <si>
    <t xml:space="preserve">cmjcs3ceo01j5zc7erv7lcx6d</t>
  </si>
  <si>
    <t xml:space="preserve">cmjcs3uf301jmzc7eg51rd7wg</t>
  </si>
  <si>
    <t xml:space="preserve">1fb4e61f-1534-41e7-9e17-0f9400678eb4</t>
  </si>
  <si>
    <t xml:space="preserve">cmjcs48i101jqzc7elsfhzal9</t>
  </si>
  <si>
    <t xml:space="preserve">cmjcs4obk01k7zc7el34te0z5</t>
  </si>
  <si>
    <t xml:space="preserve">004a212d-be61-49e9-9f44-8400d12ad484</t>
  </si>
  <si>
    <t xml:space="preserve">cmjcs4vc201kbzc7ek4h64098</t>
  </si>
  <si>
    <t xml:space="preserve">cmjcs58o601kszc7eguon04ja</t>
  </si>
  <si>
    <t xml:space="preserve">2d20a52e-352b-4c10-bd44-124f08193fd6</t>
  </si>
  <si>
    <t xml:space="preserve">cmjcs5qv401kwzc7eco4m4ga8</t>
  </si>
  <si>
    <t xml:space="preserve">cmjcs64u601ldzc7ejg0kb16c</t>
  </si>
  <si>
    <t xml:space="preserve">a05e8179-1d8f-4adf-bcb0-b250d460d96f</t>
  </si>
  <si>
    <t xml:space="preserve">cmjcs6ivt01lhzc7ef2pnljey</t>
  </si>
  <si>
    <t xml:space="preserve">cmjcs6y7q01lyzc7efcsyx4vi</t>
  </si>
  <si>
    <t xml:space="preserve">5017eed1-6f10-4176-8608-da63ca175f0d</t>
  </si>
  <si>
    <t xml:space="preserve">cmjcs7g3701m2zc7e1k5axu13</t>
  </si>
  <si>
    <t xml:space="preserve">cmjcs7uq601mjzc7exsuejnkd</t>
  </si>
  <si>
    <t xml:space="preserve">bc8ccda9-5c6b-49fe-9076-1fde3aef6884</t>
  </si>
  <si>
    <t xml:space="preserve">cmjcs86k001mnzc7e7iaxqkgs</t>
  </si>
  <si>
    <t xml:space="preserve">cmjcs8km401n4zc7eni7bcmcg</t>
  </si>
  <si>
    <t xml:space="preserve">p calculation</t>
  </si>
  <si>
    <t xml:space="preserve">1. count</t>
  </si>
  <si>
    <t xml:space="preserve">2.  t statistic</t>
  </si>
  <si>
    <t xml:space="preserve">3. p</t>
  </si>
  <si>
    <t xml:space="preserve">Prompt-response</t>
  </si>
  <si>
    <t xml:space="preserve">Turn</t>
  </si>
  <si>
    <t xml:space="preserve">ac15p</t>
  </si>
  <si>
    <t xml:space="preserve">control</t>
  </si>
  <si>
    <t xml:space="preserve">std.ac15</t>
  </si>
  <si>
    <t xml:space="preserve">std. Control</t>
  </si>
  <si>
    <t xml:space="preserve">F. test</t>
  </si>
  <si>
    <t xml:space="preserve">T. Test equal variances</t>
  </si>
  <si>
    <t xml:space="preserve">T.Test unequal</t>
  </si>
  <si>
    <t xml:space="preserve">Mean difference</t>
  </si>
  <si>
    <t xml:space="preserve">Average scen</t>
  </si>
  <si>
    <t xml:space="preserve">Average Control</t>
  </si>
  <si>
    <t xml:space="preserve">Paired t-test</t>
  </si>
  <si>
    <t xml:space="preserve">Alpha</t>
  </si>
  <si>
    <t xml:space="preserve">Hypothesized Mean Difference</t>
  </si>
  <si>
    <t xml:space="preserve">Variable 1</t>
  </si>
  <si>
    <t xml:space="preserve">Variable 2</t>
  </si>
  <si>
    <t xml:space="preserve">Mean</t>
  </si>
  <si>
    <t xml:space="preserve">Variance</t>
  </si>
  <si>
    <t xml:space="preserve">Observations</t>
  </si>
  <si>
    <t xml:space="preserve">Pearson Correlation</t>
  </si>
  <si>
    <t xml:space="preserve">Observed Mean Difference</t>
  </si>
  <si>
    <t xml:space="preserve">Variance of the Differences</t>
  </si>
  <si>
    <t xml:space="preserve">df</t>
  </si>
  <si>
    <t xml:space="preserve">t Stat</t>
  </si>
  <si>
    <t xml:space="preserve">P (T&lt;=t) one-tail</t>
  </si>
  <si>
    <t xml:space="preserve">t Critical one-tail</t>
  </si>
  <si>
    <t xml:space="preserve">P (T&lt;=t) two-tail</t>
  </si>
  <si>
    <t xml:space="preserve">t Critical two-tail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</si>
</sst>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;[RED]\-0.000000"/>
  </numFmts>
  <fonts count="7">
    <font>
      <sz val="9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b val="true"/>
      <sz val="9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center" vertical="center" textRotation="0" wrapText="true" indent="0" shrinkToFit="false"/>
    </xf>
  </cellStyleXfs>
  <cellXfs count="16">
    <xf numFmtId="164" fontId="0" fillId="0" borderId="0" xfId="0" applyFont="false" applyBorder="false" applyAlignment="fals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dam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tx>
            <c:strRef>
              <c:f>actdel_prompt_response!$B$3</c:f>
              <c:strCache>
                <c:ptCount val="1"/>
                <c:pt idx="0">
                  <c:v>ac15p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actdel_prompt_response!$A$4:$A$28</c:f>
              <c:numCache>
                <c:formatCode>General</c:formatCode>
                <c:ptCount val="2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</c:numCache>
            </c:numRef>
          </c:xVal>
          <c:yVal>
            <c:numRef>
              <c:f>actdel_prompt_response!$B$4:$B$28</c:f>
              <c:numCache>
                <c:formatCode>General</c:formatCode>
                <c:ptCount val="25"/>
                <c:pt idx="0">
                  <c:v>0.775953672739373</c:v>
                </c:pt>
                <c:pt idx="1">
                  <c:v>0.742381155272784</c:v>
                </c:pt>
                <c:pt idx="2">
                  <c:v>0.71959451369822</c:v>
                </c:pt>
                <c:pt idx="3">
                  <c:v>0.744685778636444</c:v>
                </c:pt>
                <c:pt idx="4">
                  <c:v>0.810472087374711</c:v>
                </c:pt>
                <c:pt idx="5">
                  <c:v>0.726316259765409</c:v>
                </c:pt>
                <c:pt idx="6">
                  <c:v>0.793215439015998</c:v>
                </c:pt>
                <c:pt idx="7">
                  <c:v>0.704599278382629</c:v>
                </c:pt>
                <c:pt idx="8">
                  <c:v>0.753231887262209</c:v>
                </c:pt>
                <c:pt idx="9">
                  <c:v>0.786918063323164</c:v>
                </c:pt>
                <c:pt idx="10">
                  <c:v>0.757737648671806</c:v>
                </c:pt>
                <c:pt idx="11">
                  <c:v>0.790488784330214</c:v>
                </c:pt>
                <c:pt idx="12">
                  <c:v>0.692187737762497</c:v>
                </c:pt>
                <c:pt idx="13">
                  <c:v>0.689379869171306</c:v>
                </c:pt>
                <c:pt idx="14">
                  <c:v>0.769786735181106</c:v>
                </c:pt>
                <c:pt idx="15">
                  <c:v>0.784212018718249</c:v>
                </c:pt>
                <c:pt idx="16">
                  <c:v>0.741725308103978</c:v>
                </c:pt>
                <c:pt idx="17">
                  <c:v>0.71842174917648</c:v>
                </c:pt>
                <c:pt idx="18">
                  <c:v>0.676598731860284</c:v>
                </c:pt>
                <c:pt idx="19">
                  <c:v>0.629078814128947</c:v>
                </c:pt>
                <c:pt idx="20">
                  <c:v>0.716426666679795</c:v>
                </c:pt>
                <c:pt idx="21">
                  <c:v>0.671030917852718</c:v>
                </c:pt>
                <c:pt idx="22">
                  <c:v>0.727473528774715</c:v>
                </c:pt>
                <c:pt idx="23">
                  <c:v>0.721776373024424</c:v>
                </c:pt>
                <c:pt idx="24">
                  <c:v>0.665583111085999</c:v>
                </c:pt>
              </c:numCache>
            </c:numRef>
          </c:yVal>
          <c:smooth val="0"/>
        </c:ser>
        <c:axId val="1475579"/>
        <c:axId val="23731896"/>
      </c:scatterChart>
      <c:valAx>
        <c:axId val="147557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3731896"/>
        <c:crosses val="autoZero"/>
        <c:crossBetween val="midCat"/>
      </c:valAx>
      <c:valAx>
        <c:axId val="2373189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475579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478800</xdr:colOff>
      <xdr:row>4</xdr:row>
      <xdr:rowOff>15480</xdr:rowOff>
    </xdr:from>
    <xdr:to>
      <xdr:col>10</xdr:col>
      <xdr:colOff>547200</xdr:colOff>
      <xdr:row>23</xdr:row>
      <xdr:rowOff>160560</xdr:rowOff>
    </xdr:to>
    <xdr:graphicFrame>
      <xdr:nvGraphicFramePr>
        <xdr:cNvPr id="1" name=""/>
        <xdr:cNvGraphicFramePr/>
      </xdr:nvGraphicFramePr>
      <xdr:xfrm>
        <a:off x="3031560" y="665640"/>
        <a:ext cx="5095800" cy="3233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Q2" activeCellId="0" sqref="Q2"/>
    </sheetView>
  </sheetViews>
  <sheetFormatPr defaultColWidth="10.51953125" defaultRowHeight="15" customHeight="false" zeroHeight="false" outlineLevelRow="0" outlineLevelCol="0"/>
  <cols>
    <col collapsed="false" customWidth="true" hidden="false" outlineLevel="0" max="4" min="4" style="1" width="15.05"/>
    <col collapsed="false" customWidth="true" hidden="false" outlineLevel="0" max="5" min="5" style="1" width="15.48"/>
    <col collapsed="false" customWidth="false" hidden="false" outlineLevel="0" max="6" min="6" style="1" width="10.5"/>
    <col collapsed="false" customWidth="true" hidden="false" outlineLevel="0" max="7" min="7" style="1" width="44.23"/>
    <col collapsed="false" customWidth="true" hidden="false" outlineLevel="0" max="8" min="8" style="1" width="9.05"/>
    <col collapsed="false" customWidth="true" hidden="false" outlineLevel="0" max="12" min="9" style="1" width="23.88"/>
    <col collapsed="false" customWidth="true" hidden="false" outlineLevel="0" max="17" min="17" style="0" width="19.52"/>
    <col collapsed="false" customWidth="true" hidden="false" outlineLevel="0" max="18" min="18" style="1" width="19.52"/>
    <col collapsed="false" customWidth="true" hidden="false" outlineLevel="0" max="19" min="19" style="1" width="21.03"/>
  </cols>
  <sheetData>
    <row r="1" customFormat="false" ht="19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P1" s="2" t="s">
        <v>12</v>
      </c>
      <c r="Q1" s="2" t="s">
        <v>13</v>
      </c>
      <c r="R1" s="2" t="s">
        <v>14</v>
      </c>
      <c r="S1" s="3" t="s">
        <v>15</v>
      </c>
    </row>
    <row r="2" customFormat="false" ht="15" hidden="false" customHeight="false" outlineLevel="0" collapsed="false">
      <c r="P2" s="4" t="n">
        <f aca="false">COUNT(K3:K152)</f>
        <v>150</v>
      </c>
      <c r="Q2" s="4" t="n">
        <f aca="false">AVERAGE(K3:K152)</f>
        <v>0.0270985266961706</v>
      </c>
      <c r="R2" s="4" t="n">
        <f aca="false">CORREL(H3:H152,K3:K152)</f>
        <v>-0.253839255197165</v>
      </c>
      <c r="S2" s="4" t="n">
        <v>0.00172218608992693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n">
        <v>0</v>
      </c>
      <c r="G3" s="1" t="s">
        <v>21</v>
      </c>
      <c r="H3" s="1" t="n">
        <v>0.183</v>
      </c>
      <c r="I3" s="1" t="n">
        <v>0.377176810714432</v>
      </c>
      <c r="J3" s="1" t="n">
        <v>0.41627011353675</v>
      </c>
      <c r="K3" s="1" t="n">
        <f aca="false">J3-I3</f>
        <v>0.0390933028223177</v>
      </c>
      <c r="L3" s="1" t="n">
        <v>0.775953672739373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18</v>
      </c>
      <c r="D4" s="1" t="s">
        <v>19</v>
      </c>
      <c r="E4" s="1" t="s">
        <v>20</v>
      </c>
      <c r="F4" s="1" t="n">
        <v>0</v>
      </c>
      <c r="G4" s="1" t="s">
        <v>22</v>
      </c>
      <c r="H4" s="1" t="n">
        <v>0.182</v>
      </c>
      <c r="I4" s="1" t="n">
        <v>0.375293384869375</v>
      </c>
      <c r="J4" s="1" t="n">
        <v>0.389346261750192</v>
      </c>
      <c r="K4" s="1" t="n">
        <f aca="false">J4-I4</f>
        <v>0.0140528768808178</v>
      </c>
      <c r="L4" s="1" t="n">
        <v>0.775953672739373</v>
      </c>
    </row>
    <row r="5" customFormat="false" ht="15" hidden="false" customHeight="false" outlineLevel="0" collapsed="false">
      <c r="A5" s="1" t="s">
        <v>16</v>
      </c>
      <c r="B5" s="1" t="s">
        <v>17</v>
      </c>
      <c r="C5" s="1" t="s">
        <v>18</v>
      </c>
      <c r="D5" s="1" t="s">
        <v>19</v>
      </c>
      <c r="E5" s="1" t="s">
        <v>20</v>
      </c>
      <c r="F5" s="1" t="n">
        <v>0</v>
      </c>
      <c r="G5" s="1" t="s">
        <v>23</v>
      </c>
      <c r="H5" s="1" t="n">
        <v>0.1802</v>
      </c>
      <c r="I5" s="1" t="n">
        <v>0.371530988603306</v>
      </c>
      <c r="J5" s="1" t="n">
        <v>0.389957867862805</v>
      </c>
      <c r="K5" s="1" t="n">
        <f aca="false">J5-I5</f>
        <v>0.0184268792594995</v>
      </c>
      <c r="L5" s="1" t="n">
        <v>0.775953672739373</v>
      </c>
    </row>
    <row r="6" customFormat="false" ht="15" hidden="false" customHeight="false" outlineLevel="0" collapsed="false">
      <c r="A6" s="1" t="s">
        <v>16</v>
      </c>
      <c r="B6" s="1" t="s">
        <v>17</v>
      </c>
      <c r="C6" s="1" t="s">
        <v>18</v>
      </c>
      <c r="D6" s="1" t="s">
        <v>19</v>
      </c>
      <c r="E6" s="1" t="s">
        <v>20</v>
      </c>
      <c r="F6" s="1" t="n">
        <v>0</v>
      </c>
      <c r="G6" s="1" t="s">
        <v>24</v>
      </c>
      <c r="H6" s="1" t="n">
        <v>0.1783</v>
      </c>
      <c r="I6" s="1" t="n">
        <v>0.367612987871119</v>
      </c>
      <c r="J6" s="1" t="n">
        <v>0.394322047745089</v>
      </c>
      <c r="K6" s="1" t="n">
        <f aca="false">J6-I6</f>
        <v>0.0267090598739697</v>
      </c>
      <c r="L6" s="1" t="n">
        <v>0.775953672739373</v>
      </c>
    </row>
    <row r="7" customFormat="false" ht="15" hidden="false" customHeight="false" outlineLevel="0" collapsed="false">
      <c r="A7" s="1" t="s">
        <v>16</v>
      </c>
      <c r="B7" s="1" t="s">
        <v>17</v>
      </c>
      <c r="C7" s="1" t="s">
        <v>18</v>
      </c>
      <c r="D7" s="1" t="s">
        <v>19</v>
      </c>
      <c r="E7" s="1" t="s">
        <v>20</v>
      </c>
      <c r="F7" s="1" t="n">
        <v>0</v>
      </c>
      <c r="G7" s="1" t="s">
        <v>25</v>
      </c>
      <c r="H7" s="1" t="n">
        <v>0.1765</v>
      </c>
      <c r="I7" s="1" t="n">
        <v>0.363762721530155</v>
      </c>
      <c r="J7" s="1" t="n">
        <v>0.404428559346836</v>
      </c>
      <c r="K7" s="1" t="n">
        <f aca="false">J7-I7</f>
        <v>0.0406658378166807</v>
      </c>
      <c r="L7" s="1" t="n">
        <v>0.775953672739373</v>
      </c>
    </row>
    <row r="8" customFormat="false" ht="15" hidden="false" customHeight="false" outlineLevel="0" collapsed="false">
      <c r="A8" s="1" t="s">
        <v>16</v>
      </c>
      <c r="B8" s="1" t="s">
        <v>17</v>
      </c>
      <c r="C8" s="1" t="s">
        <v>18</v>
      </c>
      <c r="D8" s="1" t="s">
        <v>19</v>
      </c>
      <c r="E8" s="1" t="s">
        <v>20</v>
      </c>
      <c r="F8" s="1" t="n">
        <v>0</v>
      </c>
      <c r="G8" s="1" t="s">
        <v>26</v>
      </c>
      <c r="H8" s="1" t="n">
        <v>0.1</v>
      </c>
      <c r="I8" s="1" t="n">
        <v>0.250349508604432</v>
      </c>
      <c r="J8" s="1" t="n">
        <v>0.338250770992028</v>
      </c>
      <c r="K8" s="1" t="n">
        <f aca="false">J8-I8</f>
        <v>0.0879012623875963</v>
      </c>
      <c r="L8" s="1" t="n">
        <v>0.775953672739373</v>
      </c>
    </row>
    <row r="9" customFormat="false" ht="15" hidden="false" customHeight="false" outlineLevel="0" collapsed="false">
      <c r="A9" s="1" t="s">
        <v>27</v>
      </c>
      <c r="B9" s="1" t="s">
        <v>28</v>
      </c>
      <c r="C9" s="1" t="s">
        <v>29</v>
      </c>
      <c r="D9" s="1" t="s">
        <v>19</v>
      </c>
      <c r="E9" s="1" t="s">
        <v>20</v>
      </c>
      <c r="F9" s="1" t="n">
        <v>2</v>
      </c>
      <c r="G9" s="1" t="s">
        <v>24</v>
      </c>
      <c r="H9" s="1" t="n">
        <v>0.205</v>
      </c>
      <c r="I9" s="1" t="n">
        <v>0.446305642348256</v>
      </c>
      <c r="J9" s="1" t="n">
        <v>0.457148112089012</v>
      </c>
      <c r="K9" s="1" t="n">
        <f aca="false">J9-I9</f>
        <v>0.0108424697407566</v>
      </c>
      <c r="L9" s="1" t="n">
        <v>0.742381155272784</v>
      </c>
    </row>
    <row r="10" customFormat="false" ht="15" hidden="false" customHeight="false" outlineLevel="0" collapsed="false">
      <c r="A10" s="1" t="s">
        <v>27</v>
      </c>
      <c r="B10" s="1" t="s">
        <v>28</v>
      </c>
      <c r="C10" s="1" t="s">
        <v>29</v>
      </c>
      <c r="D10" s="1" t="s">
        <v>19</v>
      </c>
      <c r="E10" s="1" t="s">
        <v>20</v>
      </c>
      <c r="F10" s="1" t="n">
        <v>2</v>
      </c>
      <c r="G10" s="1" t="s">
        <v>23</v>
      </c>
      <c r="H10" s="1" t="n">
        <v>0.1841</v>
      </c>
      <c r="I10" s="1" t="n">
        <v>0.400757199769242</v>
      </c>
      <c r="J10" s="1" t="n">
        <v>0.431828570230986</v>
      </c>
      <c r="K10" s="1" t="n">
        <f aca="false">J10-I10</f>
        <v>0.031071370461744</v>
      </c>
      <c r="L10" s="1" t="n">
        <v>0.742381155272784</v>
      </c>
    </row>
    <row r="11" customFormat="false" ht="15" hidden="false" customHeight="false" outlineLevel="0" collapsed="false">
      <c r="A11" s="1" t="s">
        <v>27</v>
      </c>
      <c r="B11" s="1" t="s">
        <v>28</v>
      </c>
      <c r="C11" s="1" t="s">
        <v>29</v>
      </c>
      <c r="D11" s="1" t="s">
        <v>19</v>
      </c>
      <c r="E11" s="1" t="s">
        <v>20</v>
      </c>
      <c r="F11" s="1" t="n">
        <v>2</v>
      </c>
      <c r="G11" s="1" t="s">
        <v>21</v>
      </c>
      <c r="H11" s="1" t="n">
        <v>0.1776</v>
      </c>
      <c r="I11" s="1" t="n">
        <v>0.386723200112403</v>
      </c>
      <c r="J11" s="1" t="n">
        <v>0.44632271992826</v>
      </c>
      <c r="K11" s="1" t="n">
        <f aca="false">J11-I11</f>
        <v>0.0595995198158567</v>
      </c>
      <c r="L11" s="1" t="n">
        <v>0.742381155272784</v>
      </c>
    </row>
    <row r="12" customFormat="false" ht="15" hidden="false" customHeight="false" outlineLevel="0" collapsed="false">
      <c r="A12" s="1" t="s">
        <v>27</v>
      </c>
      <c r="B12" s="1" t="s">
        <v>28</v>
      </c>
      <c r="C12" s="1" t="s">
        <v>29</v>
      </c>
      <c r="D12" s="1" t="s">
        <v>19</v>
      </c>
      <c r="E12" s="1" t="s">
        <v>20</v>
      </c>
      <c r="F12" s="1" t="n">
        <v>2</v>
      </c>
      <c r="G12" s="1" t="s">
        <v>22</v>
      </c>
      <c r="H12" s="1" t="n">
        <v>0.17</v>
      </c>
      <c r="I12" s="1" t="n">
        <v>0.370042497974329</v>
      </c>
      <c r="J12" s="1" t="n">
        <v>0.415415659627056</v>
      </c>
      <c r="K12" s="1" t="n">
        <f aca="false">J12-I12</f>
        <v>0.0453731616527272</v>
      </c>
      <c r="L12" s="1" t="n">
        <v>0.742381155272784</v>
      </c>
    </row>
    <row r="13" customFormat="false" ht="15" hidden="false" customHeight="false" outlineLevel="0" collapsed="false">
      <c r="A13" s="1" t="s">
        <v>27</v>
      </c>
      <c r="B13" s="1" t="s">
        <v>28</v>
      </c>
      <c r="C13" s="1" t="s">
        <v>29</v>
      </c>
      <c r="D13" s="1" t="s">
        <v>19</v>
      </c>
      <c r="E13" s="1" t="s">
        <v>20</v>
      </c>
      <c r="F13" s="1" t="n">
        <v>2</v>
      </c>
      <c r="G13" s="1" t="s">
        <v>30</v>
      </c>
      <c r="H13" s="1" t="n">
        <v>0.1634</v>
      </c>
      <c r="I13" s="1" t="n">
        <v>0.355682527770918</v>
      </c>
      <c r="J13" s="1" t="n">
        <v>0.397678038765866</v>
      </c>
      <c r="K13" s="1" t="n">
        <f aca="false">J13-I13</f>
        <v>0.041995510994948</v>
      </c>
      <c r="L13" s="1" t="n">
        <v>0.742381155272784</v>
      </c>
    </row>
    <row r="14" customFormat="false" ht="15" hidden="false" customHeight="false" outlineLevel="0" collapsed="false">
      <c r="A14" s="1" t="s">
        <v>27</v>
      </c>
      <c r="B14" s="1" t="s">
        <v>28</v>
      </c>
      <c r="C14" s="1" t="s">
        <v>29</v>
      </c>
      <c r="D14" s="1" t="s">
        <v>19</v>
      </c>
      <c r="E14" s="1" t="s">
        <v>20</v>
      </c>
      <c r="F14" s="1" t="n">
        <v>2</v>
      </c>
      <c r="G14" s="1" t="s">
        <v>26</v>
      </c>
      <c r="H14" s="1" t="n">
        <v>0.1</v>
      </c>
      <c r="I14" s="1" t="n">
        <v>0.327692396727521</v>
      </c>
      <c r="J14" s="1" t="n">
        <v>0.384831916240816</v>
      </c>
      <c r="K14" s="1" t="n">
        <f aca="false">J14-I14</f>
        <v>0.0571395195132955</v>
      </c>
      <c r="L14" s="1" t="n">
        <v>0.742381155272784</v>
      </c>
    </row>
    <row r="15" customFormat="false" ht="15" hidden="false" customHeight="false" outlineLevel="0" collapsed="false">
      <c r="A15" s="1" t="s">
        <v>31</v>
      </c>
      <c r="B15" s="1" t="s">
        <v>32</v>
      </c>
      <c r="C15" s="1" t="s">
        <v>33</v>
      </c>
      <c r="D15" s="1" t="s">
        <v>19</v>
      </c>
      <c r="E15" s="1" t="s">
        <v>20</v>
      </c>
      <c r="F15" s="1" t="n">
        <v>4</v>
      </c>
      <c r="G15" s="1" t="s">
        <v>24</v>
      </c>
      <c r="H15" s="1" t="n">
        <v>0.2184</v>
      </c>
      <c r="I15" s="1" t="n">
        <v>0.423764324827993</v>
      </c>
      <c r="J15" s="1" t="n">
        <v>0.349069613719049</v>
      </c>
      <c r="K15" s="1" t="n">
        <f aca="false">J15-I15</f>
        <v>-0.0746947111089439</v>
      </c>
      <c r="L15" s="1" t="n">
        <v>0.71959451369822</v>
      </c>
    </row>
    <row r="16" customFormat="false" ht="15" hidden="false" customHeight="false" outlineLevel="0" collapsed="false">
      <c r="A16" s="1" t="s">
        <v>31</v>
      </c>
      <c r="B16" s="1" t="s">
        <v>32</v>
      </c>
      <c r="C16" s="1" t="s">
        <v>33</v>
      </c>
      <c r="D16" s="1" t="s">
        <v>19</v>
      </c>
      <c r="E16" s="1" t="s">
        <v>20</v>
      </c>
      <c r="F16" s="1" t="n">
        <v>4</v>
      </c>
      <c r="G16" s="1" t="s">
        <v>21</v>
      </c>
      <c r="H16" s="1" t="n">
        <v>0.1798</v>
      </c>
      <c r="I16" s="1" t="n">
        <v>0.348855184666688</v>
      </c>
      <c r="J16" s="1" t="n">
        <v>0.394930560579765</v>
      </c>
      <c r="K16" s="1" t="n">
        <f aca="false">J16-I16</f>
        <v>0.0460753759130773</v>
      </c>
      <c r="L16" s="1" t="n">
        <v>0.71959451369822</v>
      </c>
    </row>
    <row r="17" customFormat="false" ht="15" hidden="false" customHeight="false" outlineLevel="0" collapsed="false">
      <c r="A17" s="1" t="s">
        <v>31</v>
      </c>
      <c r="B17" s="1" t="s">
        <v>32</v>
      </c>
      <c r="C17" s="1" t="s">
        <v>33</v>
      </c>
      <c r="D17" s="1" t="s">
        <v>19</v>
      </c>
      <c r="E17" s="1" t="s">
        <v>20</v>
      </c>
      <c r="F17" s="1" t="n">
        <v>4</v>
      </c>
      <c r="G17" s="1" t="s">
        <v>23</v>
      </c>
      <c r="H17" s="1" t="n">
        <v>0.1694</v>
      </c>
      <c r="I17" s="1" t="n">
        <v>0.328652668677724</v>
      </c>
      <c r="J17" s="1" t="n">
        <v>0.349129420076788</v>
      </c>
      <c r="K17" s="1" t="n">
        <f aca="false">J17-I17</f>
        <v>0.0204767513990636</v>
      </c>
      <c r="L17" s="1" t="n">
        <v>0.71959451369822</v>
      </c>
    </row>
    <row r="18" customFormat="false" ht="15" hidden="false" customHeight="false" outlineLevel="0" collapsed="false">
      <c r="A18" s="1" t="s">
        <v>31</v>
      </c>
      <c r="B18" s="1" t="s">
        <v>32</v>
      </c>
      <c r="C18" s="1" t="s">
        <v>33</v>
      </c>
      <c r="D18" s="1" t="s">
        <v>19</v>
      </c>
      <c r="E18" s="1" t="s">
        <v>20</v>
      </c>
      <c r="F18" s="1" t="n">
        <v>4</v>
      </c>
      <c r="G18" s="1" t="s">
        <v>30</v>
      </c>
      <c r="H18" s="1" t="n">
        <v>0.1666</v>
      </c>
      <c r="I18" s="1" t="n">
        <v>0.323266622591936</v>
      </c>
      <c r="J18" s="1" t="n">
        <v>0.340702187066146</v>
      </c>
      <c r="K18" s="1" t="n">
        <f aca="false">J18-I18</f>
        <v>0.0174355644742107</v>
      </c>
      <c r="L18" s="1" t="n">
        <v>0.71959451369822</v>
      </c>
    </row>
    <row r="19" customFormat="false" ht="15" hidden="false" customHeight="false" outlineLevel="0" collapsed="false">
      <c r="A19" s="1" t="s">
        <v>31</v>
      </c>
      <c r="B19" s="1" t="s">
        <v>32</v>
      </c>
      <c r="C19" s="1" t="s">
        <v>33</v>
      </c>
      <c r="D19" s="1" t="s">
        <v>19</v>
      </c>
      <c r="E19" s="1" t="s">
        <v>20</v>
      </c>
      <c r="F19" s="1" t="n">
        <v>4</v>
      </c>
      <c r="G19" s="1" t="s">
        <v>34</v>
      </c>
      <c r="H19" s="1" t="n">
        <v>0.1658</v>
      </c>
      <c r="I19" s="1" t="n">
        <v>0.321666728381795</v>
      </c>
      <c r="J19" s="1" t="n">
        <v>0.322877615759793</v>
      </c>
      <c r="K19" s="1" t="n">
        <f aca="false">J19-I19</f>
        <v>0.00121088737799802</v>
      </c>
      <c r="L19" s="1" t="n">
        <v>0.71959451369822</v>
      </c>
    </row>
    <row r="20" customFormat="false" ht="15" hidden="false" customHeight="false" outlineLevel="0" collapsed="false">
      <c r="A20" s="1" t="s">
        <v>31</v>
      </c>
      <c r="B20" s="1" t="s">
        <v>32</v>
      </c>
      <c r="C20" s="1" t="s">
        <v>33</v>
      </c>
      <c r="D20" s="1" t="s">
        <v>19</v>
      </c>
      <c r="E20" s="1" t="s">
        <v>20</v>
      </c>
      <c r="F20" s="1" t="n">
        <v>4</v>
      </c>
      <c r="G20" s="1" t="s">
        <v>26</v>
      </c>
      <c r="H20" s="1" t="n">
        <v>0.1</v>
      </c>
      <c r="I20" s="1" t="n">
        <v>0.297144881510831</v>
      </c>
      <c r="J20" s="1" t="n">
        <v>0.321068967804043</v>
      </c>
      <c r="K20" s="1" t="n">
        <f aca="false">J20-I20</f>
        <v>0.0239240862932119</v>
      </c>
      <c r="L20" s="1" t="n">
        <v>0.71959451369822</v>
      </c>
    </row>
    <row r="21" customFormat="false" ht="15" hidden="false" customHeight="false" outlineLevel="0" collapsed="false">
      <c r="A21" s="1" t="s">
        <v>35</v>
      </c>
      <c r="B21" s="1" t="s">
        <v>36</v>
      </c>
      <c r="C21" s="1" t="s">
        <v>37</v>
      </c>
      <c r="D21" s="1" t="s">
        <v>19</v>
      </c>
      <c r="E21" s="1" t="s">
        <v>20</v>
      </c>
      <c r="F21" s="1" t="n">
        <v>6</v>
      </c>
      <c r="G21" s="1" t="s">
        <v>24</v>
      </c>
      <c r="H21" s="1" t="n">
        <v>0.1864</v>
      </c>
      <c r="I21" s="1" t="n">
        <v>0.390499298224027</v>
      </c>
      <c r="J21" s="1" t="n">
        <v>0.430885743819602</v>
      </c>
      <c r="K21" s="1" t="n">
        <f aca="false">J21-I21</f>
        <v>0.0403864455955749</v>
      </c>
      <c r="L21" s="1" t="n">
        <v>0.744685778636444</v>
      </c>
    </row>
    <row r="22" customFormat="false" ht="15" hidden="false" customHeight="false" outlineLevel="0" collapsed="false">
      <c r="A22" s="1" t="s">
        <v>35</v>
      </c>
      <c r="B22" s="1" t="s">
        <v>36</v>
      </c>
      <c r="C22" s="1" t="s">
        <v>37</v>
      </c>
      <c r="D22" s="1" t="s">
        <v>19</v>
      </c>
      <c r="E22" s="1" t="s">
        <v>20</v>
      </c>
      <c r="F22" s="1" t="n">
        <v>6</v>
      </c>
      <c r="G22" s="1" t="s">
        <v>21</v>
      </c>
      <c r="H22" s="1" t="n">
        <v>0.1809</v>
      </c>
      <c r="I22" s="1" t="n">
        <v>0.379165839050847</v>
      </c>
      <c r="J22" s="1" t="n">
        <v>0.389243687138181</v>
      </c>
      <c r="K22" s="1" t="n">
        <f aca="false">J22-I22</f>
        <v>0.0100778480873341</v>
      </c>
      <c r="L22" s="1" t="n">
        <v>0.744685778636444</v>
      </c>
    </row>
    <row r="23" customFormat="false" ht="15" hidden="false" customHeight="false" outlineLevel="0" collapsed="false">
      <c r="A23" s="1" t="s">
        <v>35</v>
      </c>
      <c r="B23" s="1" t="s">
        <v>36</v>
      </c>
      <c r="C23" s="1" t="s">
        <v>37</v>
      </c>
      <c r="D23" s="1" t="s">
        <v>19</v>
      </c>
      <c r="E23" s="1" t="s">
        <v>20</v>
      </c>
      <c r="F23" s="1" t="n">
        <v>6</v>
      </c>
      <c r="G23" s="1" t="s">
        <v>23</v>
      </c>
      <c r="H23" s="1" t="n">
        <v>0.1648</v>
      </c>
      <c r="I23" s="1" t="n">
        <v>0.34530262612237</v>
      </c>
      <c r="J23" s="1" t="n">
        <v>0.387514559139909</v>
      </c>
      <c r="K23" s="1" t="n">
        <f aca="false">J23-I23</f>
        <v>0.0422119330175384</v>
      </c>
      <c r="L23" s="1" t="n">
        <v>0.744685778636444</v>
      </c>
    </row>
    <row r="24" customFormat="false" ht="15" hidden="false" customHeight="false" outlineLevel="0" collapsed="false">
      <c r="A24" s="1" t="s">
        <v>35</v>
      </c>
      <c r="B24" s="1" t="s">
        <v>36</v>
      </c>
      <c r="C24" s="1" t="s">
        <v>37</v>
      </c>
      <c r="D24" s="1" t="s">
        <v>19</v>
      </c>
      <c r="E24" s="1" t="s">
        <v>20</v>
      </c>
      <c r="F24" s="1" t="n">
        <v>6</v>
      </c>
      <c r="G24" s="1" t="s">
        <v>30</v>
      </c>
      <c r="H24" s="1" t="n">
        <v>0.1641</v>
      </c>
      <c r="I24" s="1" t="n">
        <v>0.343962591946394</v>
      </c>
      <c r="J24" s="1" t="n">
        <v>0.363799641361345</v>
      </c>
      <c r="K24" s="1" t="n">
        <f aca="false">J24-I24</f>
        <v>0.0198370494149508</v>
      </c>
      <c r="L24" s="1" t="n">
        <v>0.744685778636444</v>
      </c>
    </row>
    <row r="25" customFormat="false" ht="15" hidden="false" customHeight="false" outlineLevel="0" collapsed="false">
      <c r="A25" s="1" t="s">
        <v>35</v>
      </c>
      <c r="B25" s="1" t="s">
        <v>36</v>
      </c>
      <c r="C25" s="1" t="s">
        <v>37</v>
      </c>
      <c r="D25" s="1" t="s">
        <v>19</v>
      </c>
      <c r="E25" s="1" t="s">
        <v>20</v>
      </c>
      <c r="F25" s="1" t="n">
        <v>6</v>
      </c>
      <c r="G25" s="1" t="s">
        <v>34</v>
      </c>
      <c r="H25" s="1" t="n">
        <v>0.1541</v>
      </c>
      <c r="I25" s="1" t="n">
        <v>0.322914484745403</v>
      </c>
      <c r="J25" s="1" t="n">
        <v>0.362786523381399</v>
      </c>
      <c r="K25" s="1" t="n">
        <f aca="false">J25-I25</f>
        <v>0.0398720386359961</v>
      </c>
      <c r="L25" s="1" t="n">
        <v>0.744685778636444</v>
      </c>
    </row>
    <row r="26" customFormat="false" ht="15" hidden="false" customHeight="false" outlineLevel="0" collapsed="false">
      <c r="A26" s="1" t="s">
        <v>35</v>
      </c>
      <c r="B26" s="1" t="s">
        <v>36</v>
      </c>
      <c r="C26" s="1" t="s">
        <v>37</v>
      </c>
      <c r="D26" s="1" t="s">
        <v>19</v>
      </c>
      <c r="E26" s="1" t="s">
        <v>20</v>
      </c>
      <c r="F26" s="1" t="n">
        <v>6</v>
      </c>
      <c r="G26" s="1" t="s">
        <v>26</v>
      </c>
      <c r="H26" s="1" t="n">
        <v>0.1496</v>
      </c>
      <c r="I26" s="1" t="n">
        <v>0.313578540349974</v>
      </c>
      <c r="J26" s="1" t="n">
        <v>0.323539628096762</v>
      </c>
      <c r="K26" s="1" t="n">
        <f aca="false">J26-I26</f>
        <v>0.009961087746788</v>
      </c>
      <c r="L26" s="1" t="n">
        <v>0.744685778636444</v>
      </c>
    </row>
    <row r="27" customFormat="false" ht="15" hidden="false" customHeight="false" outlineLevel="0" collapsed="false">
      <c r="A27" s="1" t="s">
        <v>38</v>
      </c>
      <c r="B27" s="1" t="s">
        <v>39</v>
      </c>
      <c r="C27" s="1" t="s">
        <v>40</v>
      </c>
      <c r="D27" s="1" t="s">
        <v>19</v>
      </c>
      <c r="E27" s="1" t="s">
        <v>20</v>
      </c>
      <c r="F27" s="1" t="n">
        <v>8</v>
      </c>
      <c r="G27" s="1" t="s">
        <v>24</v>
      </c>
      <c r="H27" s="1" t="n">
        <v>0.2083</v>
      </c>
      <c r="I27" s="1" t="n">
        <v>0.406765603161155</v>
      </c>
      <c r="J27" s="1" t="n">
        <v>0.421420415730356</v>
      </c>
      <c r="K27" s="1" t="n">
        <f aca="false">J27-I27</f>
        <v>0.014654812569201</v>
      </c>
      <c r="L27" s="1" t="n">
        <v>0.810472087374711</v>
      </c>
    </row>
    <row r="28" customFormat="false" ht="15" hidden="false" customHeight="false" outlineLevel="0" collapsed="false">
      <c r="A28" s="1" t="s">
        <v>38</v>
      </c>
      <c r="B28" s="1" t="s">
        <v>39</v>
      </c>
      <c r="C28" s="1" t="s">
        <v>40</v>
      </c>
      <c r="D28" s="1" t="s">
        <v>19</v>
      </c>
      <c r="E28" s="1" t="s">
        <v>20</v>
      </c>
      <c r="F28" s="1" t="n">
        <v>8</v>
      </c>
      <c r="G28" s="1" t="s">
        <v>21</v>
      </c>
      <c r="H28" s="1" t="n">
        <v>0.1804</v>
      </c>
      <c r="I28" s="1" t="n">
        <v>0.352381256878407</v>
      </c>
      <c r="J28" s="1" t="n">
        <v>0.431203999208118</v>
      </c>
      <c r="K28" s="1" t="n">
        <f aca="false">J28-I28</f>
        <v>0.0788227423297107</v>
      </c>
      <c r="L28" s="1" t="n">
        <v>0.810472087374711</v>
      </c>
    </row>
    <row r="29" customFormat="false" ht="15" hidden="false" customHeight="false" outlineLevel="0" collapsed="false">
      <c r="A29" s="1" t="s">
        <v>38</v>
      </c>
      <c r="B29" s="1" t="s">
        <v>39</v>
      </c>
      <c r="C29" s="1" t="s">
        <v>40</v>
      </c>
      <c r="D29" s="1" t="s">
        <v>19</v>
      </c>
      <c r="E29" s="1" t="s">
        <v>20</v>
      </c>
      <c r="F29" s="1" t="n">
        <v>8</v>
      </c>
      <c r="G29" s="1" t="s">
        <v>23</v>
      </c>
      <c r="H29" s="1" t="n">
        <v>0.1762</v>
      </c>
      <c r="I29" s="1" t="n">
        <v>0.344092950897062</v>
      </c>
      <c r="J29" s="1" t="n">
        <v>0.376043561970641</v>
      </c>
      <c r="K29" s="1" t="n">
        <f aca="false">J29-I29</f>
        <v>0.0319506110735784</v>
      </c>
      <c r="L29" s="1" t="n">
        <v>0.810472087374711</v>
      </c>
    </row>
    <row r="30" customFormat="false" ht="15" hidden="false" customHeight="false" outlineLevel="0" collapsed="false">
      <c r="A30" s="1" t="s">
        <v>38</v>
      </c>
      <c r="B30" s="1" t="s">
        <v>39</v>
      </c>
      <c r="C30" s="1" t="s">
        <v>40</v>
      </c>
      <c r="D30" s="1" t="s">
        <v>19</v>
      </c>
      <c r="E30" s="1" t="s">
        <v>20</v>
      </c>
      <c r="F30" s="1" t="n">
        <v>8</v>
      </c>
      <c r="G30" s="1" t="s">
        <v>25</v>
      </c>
      <c r="H30" s="1" t="n">
        <v>0.171</v>
      </c>
      <c r="I30" s="1" t="n">
        <v>0.334066480417123</v>
      </c>
      <c r="J30" s="1" t="n">
        <v>0.391408561769723</v>
      </c>
      <c r="K30" s="1" t="n">
        <f aca="false">J30-I30</f>
        <v>0.0573420813525998</v>
      </c>
      <c r="L30" s="1" t="n">
        <v>0.810472087374711</v>
      </c>
    </row>
    <row r="31" customFormat="false" ht="15" hidden="false" customHeight="false" outlineLevel="0" collapsed="false">
      <c r="A31" s="1" t="s">
        <v>38</v>
      </c>
      <c r="B31" s="1" t="s">
        <v>39</v>
      </c>
      <c r="C31" s="1" t="s">
        <v>40</v>
      </c>
      <c r="D31" s="1" t="s">
        <v>19</v>
      </c>
      <c r="E31" s="1" t="s">
        <v>20</v>
      </c>
      <c r="F31" s="1" t="n">
        <v>8</v>
      </c>
      <c r="G31" s="1" t="s">
        <v>41</v>
      </c>
      <c r="H31" s="1" t="n">
        <v>0.1641</v>
      </c>
      <c r="I31" s="1" t="n">
        <v>0.320516560751095</v>
      </c>
      <c r="J31" s="1" t="n">
        <v>0.331272861960635</v>
      </c>
      <c r="K31" s="1" t="n">
        <f aca="false">J31-I31</f>
        <v>0.0107563012095407</v>
      </c>
      <c r="L31" s="1" t="n">
        <v>0.810472087374711</v>
      </c>
    </row>
    <row r="32" customFormat="false" ht="15" hidden="false" customHeight="false" outlineLevel="0" collapsed="false">
      <c r="A32" s="1" t="s">
        <v>38</v>
      </c>
      <c r="B32" s="1" t="s">
        <v>39</v>
      </c>
      <c r="C32" s="1" t="s">
        <v>40</v>
      </c>
      <c r="D32" s="1" t="s">
        <v>19</v>
      </c>
      <c r="E32" s="1" t="s">
        <v>20</v>
      </c>
      <c r="F32" s="1" t="n">
        <v>8</v>
      </c>
      <c r="G32" s="1" t="s">
        <v>26</v>
      </c>
      <c r="H32" s="1" t="n">
        <v>0.1</v>
      </c>
      <c r="I32" s="1" t="n">
        <v>0.27322116504439</v>
      </c>
      <c r="J32" s="1" t="n">
        <v>0.339890886341905</v>
      </c>
      <c r="K32" s="1" t="n">
        <f aca="false">J32-I32</f>
        <v>0.0666697212975147</v>
      </c>
      <c r="L32" s="1" t="n">
        <v>0.810472087374711</v>
      </c>
    </row>
    <row r="33" customFormat="false" ht="15" hidden="false" customHeight="false" outlineLevel="0" collapsed="false">
      <c r="A33" s="1" t="s">
        <v>42</v>
      </c>
      <c r="B33" s="1" t="s">
        <v>43</v>
      </c>
      <c r="C33" s="1" t="s">
        <v>44</v>
      </c>
      <c r="D33" s="1" t="s">
        <v>19</v>
      </c>
      <c r="E33" s="1" t="s">
        <v>20</v>
      </c>
      <c r="F33" s="1" t="n">
        <v>10</v>
      </c>
      <c r="G33" s="1" t="s">
        <v>24</v>
      </c>
      <c r="H33" s="1" t="n">
        <v>0.2135</v>
      </c>
      <c r="I33" s="1" t="n">
        <v>0.47468016838309</v>
      </c>
      <c r="J33" s="1" t="n">
        <v>0.441763159297969</v>
      </c>
      <c r="K33" s="1" t="n">
        <f aca="false">J33-I33</f>
        <v>-0.0329170090851208</v>
      </c>
      <c r="L33" s="1" t="n">
        <v>0.726316259765409</v>
      </c>
    </row>
    <row r="34" customFormat="false" ht="15" hidden="false" customHeight="false" outlineLevel="0" collapsed="false">
      <c r="A34" s="1" t="s">
        <v>42</v>
      </c>
      <c r="B34" s="1" t="s">
        <v>43</v>
      </c>
      <c r="C34" s="1" t="s">
        <v>44</v>
      </c>
      <c r="D34" s="1" t="s">
        <v>19</v>
      </c>
      <c r="E34" s="1" t="s">
        <v>20</v>
      </c>
      <c r="F34" s="1" t="n">
        <v>10</v>
      </c>
      <c r="G34" s="1" t="s">
        <v>21</v>
      </c>
      <c r="H34" s="1" t="n">
        <v>0.1849</v>
      </c>
      <c r="I34" s="1" t="n">
        <v>0.410997830649495</v>
      </c>
      <c r="J34" s="1" t="n">
        <v>0.378455897161826</v>
      </c>
      <c r="K34" s="1" t="n">
        <f aca="false">J34-I34</f>
        <v>-0.032541933487669</v>
      </c>
      <c r="L34" s="1" t="n">
        <v>0.726316259765409</v>
      </c>
    </row>
    <row r="35" customFormat="false" ht="15" hidden="false" customHeight="false" outlineLevel="0" collapsed="false">
      <c r="A35" s="1" t="s">
        <v>42</v>
      </c>
      <c r="B35" s="1" t="s">
        <v>43</v>
      </c>
      <c r="C35" s="1" t="s">
        <v>44</v>
      </c>
      <c r="D35" s="1" t="s">
        <v>19</v>
      </c>
      <c r="E35" s="1" t="s">
        <v>20</v>
      </c>
      <c r="F35" s="1" t="n">
        <v>10</v>
      </c>
      <c r="G35" s="1" t="s">
        <v>25</v>
      </c>
      <c r="H35" s="1" t="n">
        <v>0.1715</v>
      </c>
      <c r="I35" s="1" t="n">
        <v>0.381307204470629</v>
      </c>
      <c r="J35" s="1" t="n">
        <v>0.392687302103575</v>
      </c>
      <c r="K35" s="1" t="n">
        <f aca="false">J35-I35</f>
        <v>0.0113800976329463</v>
      </c>
      <c r="L35" s="1" t="n">
        <v>0.726316259765409</v>
      </c>
    </row>
    <row r="36" customFormat="false" ht="15" hidden="false" customHeight="false" outlineLevel="0" collapsed="false">
      <c r="A36" s="1" t="s">
        <v>42</v>
      </c>
      <c r="B36" s="1" t="s">
        <v>43</v>
      </c>
      <c r="C36" s="1" t="s">
        <v>44</v>
      </c>
      <c r="D36" s="1" t="s">
        <v>19</v>
      </c>
      <c r="E36" s="1" t="s">
        <v>20</v>
      </c>
      <c r="F36" s="1" t="n">
        <v>10</v>
      </c>
      <c r="G36" s="1" t="s">
        <v>45</v>
      </c>
      <c r="H36" s="1" t="n">
        <v>0.1695</v>
      </c>
      <c r="I36" s="1" t="n">
        <v>0.376703741714314</v>
      </c>
      <c r="J36" s="1" t="n">
        <v>0.349187181282073</v>
      </c>
      <c r="K36" s="1" t="n">
        <f aca="false">J36-I36</f>
        <v>-0.0275165604322411</v>
      </c>
      <c r="L36" s="1" t="n">
        <v>0.726316259765409</v>
      </c>
    </row>
    <row r="37" customFormat="false" ht="15" hidden="false" customHeight="false" outlineLevel="0" collapsed="false">
      <c r="A37" s="1" t="s">
        <v>42</v>
      </c>
      <c r="B37" s="1" t="s">
        <v>43</v>
      </c>
      <c r="C37" s="1" t="s">
        <v>44</v>
      </c>
      <c r="D37" s="1" t="s">
        <v>19</v>
      </c>
      <c r="E37" s="1" t="s">
        <v>20</v>
      </c>
      <c r="F37" s="1" t="n">
        <v>10</v>
      </c>
      <c r="G37" s="1" t="s">
        <v>41</v>
      </c>
      <c r="H37" s="1" t="n">
        <v>0.1606</v>
      </c>
      <c r="I37" s="1" t="n">
        <v>0.357049603403057</v>
      </c>
      <c r="J37" s="1" t="n">
        <v>0.34475970299522</v>
      </c>
      <c r="K37" s="1" t="n">
        <f aca="false">J37-I37</f>
        <v>-0.0122899004078369</v>
      </c>
      <c r="L37" s="1" t="n">
        <v>0.726316259765409</v>
      </c>
    </row>
    <row r="38" customFormat="false" ht="15" hidden="false" customHeight="false" outlineLevel="0" collapsed="false">
      <c r="A38" s="1" t="s">
        <v>42</v>
      </c>
      <c r="B38" s="1" t="s">
        <v>43</v>
      </c>
      <c r="C38" s="1" t="s">
        <v>44</v>
      </c>
      <c r="D38" s="1" t="s">
        <v>19</v>
      </c>
      <c r="E38" s="1" t="s">
        <v>20</v>
      </c>
      <c r="F38" s="1" t="n">
        <v>10</v>
      </c>
      <c r="G38" s="1" t="s">
        <v>26</v>
      </c>
      <c r="H38" s="1" t="n">
        <v>0.1</v>
      </c>
      <c r="I38" s="1" t="n">
        <v>0.294197649946146</v>
      </c>
      <c r="J38" s="1" t="n">
        <v>0.350000719370137</v>
      </c>
      <c r="K38" s="1" t="n">
        <f aca="false">J38-I38</f>
        <v>0.0558030694239912</v>
      </c>
      <c r="L38" s="1" t="n">
        <v>0.726316259765409</v>
      </c>
    </row>
    <row r="39" customFormat="false" ht="15" hidden="false" customHeight="false" outlineLevel="0" collapsed="false">
      <c r="A39" s="1" t="s">
        <v>46</v>
      </c>
      <c r="B39" s="1" t="s">
        <v>47</v>
      </c>
      <c r="C39" s="1" t="s">
        <v>48</v>
      </c>
      <c r="D39" s="1" t="s">
        <v>19</v>
      </c>
      <c r="E39" s="1" t="s">
        <v>20</v>
      </c>
      <c r="F39" s="1" t="n">
        <v>12</v>
      </c>
      <c r="G39" s="1" t="s">
        <v>24</v>
      </c>
      <c r="H39" s="1" t="n">
        <v>0.2171</v>
      </c>
      <c r="I39" s="1" t="n">
        <v>0.455197994356882</v>
      </c>
      <c r="J39" s="1" t="n">
        <v>0.421362667851964</v>
      </c>
      <c r="K39" s="1" t="n">
        <f aca="false">J39-I39</f>
        <v>-0.0338353265049184</v>
      </c>
      <c r="L39" s="1" t="n">
        <v>0.793215439015998</v>
      </c>
    </row>
    <row r="40" customFormat="false" ht="15" hidden="false" customHeight="false" outlineLevel="0" collapsed="false">
      <c r="A40" s="1" t="s">
        <v>46</v>
      </c>
      <c r="B40" s="1" t="s">
        <v>47</v>
      </c>
      <c r="C40" s="1" t="s">
        <v>48</v>
      </c>
      <c r="D40" s="1" t="s">
        <v>19</v>
      </c>
      <c r="E40" s="1" t="s">
        <v>20</v>
      </c>
      <c r="F40" s="1" t="n">
        <v>12</v>
      </c>
      <c r="G40" s="1" t="s">
        <v>25</v>
      </c>
      <c r="H40" s="1" t="n">
        <v>0.175</v>
      </c>
      <c r="I40" s="1" t="n">
        <v>0.36688341616157</v>
      </c>
      <c r="J40" s="1" t="n">
        <v>0.378571317115134</v>
      </c>
      <c r="K40" s="1" t="n">
        <f aca="false">J40-I40</f>
        <v>0.0116879009535635</v>
      </c>
      <c r="L40" s="1" t="n">
        <v>0.793215439015998</v>
      </c>
    </row>
    <row r="41" customFormat="false" ht="15" hidden="false" customHeight="false" outlineLevel="0" collapsed="false">
      <c r="A41" s="1" t="s">
        <v>46</v>
      </c>
      <c r="B41" s="1" t="s">
        <v>47</v>
      </c>
      <c r="C41" s="1" t="s">
        <v>48</v>
      </c>
      <c r="D41" s="1" t="s">
        <v>19</v>
      </c>
      <c r="E41" s="1" t="s">
        <v>20</v>
      </c>
      <c r="F41" s="1" t="n">
        <v>12</v>
      </c>
      <c r="G41" s="1" t="s">
        <v>45</v>
      </c>
      <c r="H41" s="1" t="n">
        <v>0.172</v>
      </c>
      <c r="I41" s="1" t="n">
        <v>0.360777933674186</v>
      </c>
      <c r="J41" s="1" t="n">
        <v>0.369901979939769</v>
      </c>
      <c r="K41" s="1" t="n">
        <f aca="false">J41-I41</f>
        <v>0.00912404626558261</v>
      </c>
      <c r="L41" s="1" t="n">
        <v>0.793215439015998</v>
      </c>
    </row>
    <row r="42" customFormat="false" ht="15" hidden="false" customHeight="false" outlineLevel="0" collapsed="false">
      <c r="A42" s="1" t="s">
        <v>46</v>
      </c>
      <c r="B42" s="1" t="s">
        <v>47</v>
      </c>
      <c r="C42" s="1" t="s">
        <v>48</v>
      </c>
      <c r="D42" s="1" t="s">
        <v>19</v>
      </c>
      <c r="E42" s="1" t="s">
        <v>20</v>
      </c>
      <c r="F42" s="1" t="n">
        <v>12</v>
      </c>
      <c r="G42" s="1" t="s">
        <v>49</v>
      </c>
      <c r="H42" s="1" t="n">
        <v>0.1716</v>
      </c>
      <c r="I42" s="1" t="n">
        <v>0.359926955491404</v>
      </c>
      <c r="J42" s="1" t="n">
        <v>0.346826838929254</v>
      </c>
      <c r="K42" s="1" t="n">
        <f aca="false">J42-I42</f>
        <v>-0.0131001165621497</v>
      </c>
      <c r="L42" s="1" t="n">
        <v>0.793215439015998</v>
      </c>
    </row>
    <row r="43" customFormat="false" ht="15" hidden="false" customHeight="false" outlineLevel="0" collapsed="false">
      <c r="A43" s="1" t="s">
        <v>46</v>
      </c>
      <c r="B43" s="1" t="s">
        <v>47</v>
      </c>
      <c r="C43" s="1" t="s">
        <v>48</v>
      </c>
      <c r="D43" s="1" t="s">
        <v>19</v>
      </c>
      <c r="E43" s="1" t="s">
        <v>20</v>
      </c>
      <c r="F43" s="1" t="n">
        <v>12</v>
      </c>
      <c r="G43" s="1" t="s">
        <v>21</v>
      </c>
      <c r="H43" s="1" t="n">
        <v>0.1643</v>
      </c>
      <c r="I43" s="1" t="n">
        <v>0.344553427109719</v>
      </c>
      <c r="J43" s="1" t="n">
        <v>0.35656064327749</v>
      </c>
      <c r="K43" s="1" t="n">
        <f aca="false">J43-I43</f>
        <v>0.012007216167771</v>
      </c>
      <c r="L43" s="1" t="n">
        <v>0.793215439015998</v>
      </c>
    </row>
    <row r="44" customFormat="false" ht="15" hidden="false" customHeight="false" outlineLevel="0" collapsed="false">
      <c r="A44" s="1" t="s">
        <v>46</v>
      </c>
      <c r="B44" s="1" t="s">
        <v>47</v>
      </c>
      <c r="C44" s="1" t="s">
        <v>48</v>
      </c>
      <c r="D44" s="1" t="s">
        <v>19</v>
      </c>
      <c r="E44" s="1" t="s">
        <v>20</v>
      </c>
      <c r="F44" s="1" t="n">
        <v>12</v>
      </c>
      <c r="G44" s="1" t="s">
        <v>26</v>
      </c>
      <c r="H44" s="1" t="n">
        <v>0.1</v>
      </c>
      <c r="I44" s="1" t="n">
        <v>0.334208136872453</v>
      </c>
      <c r="J44" s="1" t="n">
        <v>0.365180051224063</v>
      </c>
      <c r="K44" s="1" t="n">
        <f aca="false">J44-I44</f>
        <v>0.0309719143516099</v>
      </c>
      <c r="L44" s="1" t="n">
        <v>0.793215439015998</v>
      </c>
    </row>
    <row r="45" customFormat="false" ht="15" hidden="false" customHeight="false" outlineLevel="0" collapsed="false">
      <c r="A45" s="1" t="s">
        <v>50</v>
      </c>
      <c r="B45" s="1" t="s">
        <v>51</v>
      </c>
      <c r="C45" s="1" t="s">
        <v>52</v>
      </c>
      <c r="D45" s="1" t="s">
        <v>19</v>
      </c>
      <c r="E45" s="1" t="s">
        <v>20</v>
      </c>
      <c r="F45" s="1" t="n">
        <v>14</v>
      </c>
      <c r="G45" s="1" t="s">
        <v>24</v>
      </c>
      <c r="H45" s="1" t="n">
        <v>0.1821</v>
      </c>
      <c r="I45" s="1" t="n">
        <v>0.390794814489751</v>
      </c>
      <c r="J45" s="1" t="n">
        <v>0.441695159836031</v>
      </c>
      <c r="K45" s="1" t="n">
        <f aca="false">J45-I45</f>
        <v>0.0509003453462799</v>
      </c>
      <c r="L45" s="1" t="n">
        <v>0.704599278382629</v>
      </c>
    </row>
    <row r="46" customFormat="false" ht="15" hidden="false" customHeight="false" outlineLevel="0" collapsed="false">
      <c r="A46" s="1" t="s">
        <v>50</v>
      </c>
      <c r="B46" s="1" t="s">
        <v>51</v>
      </c>
      <c r="C46" s="1" t="s">
        <v>52</v>
      </c>
      <c r="D46" s="1" t="s">
        <v>19</v>
      </c>
      <c r="E46" s="1" t="s">
        <v>20</v>
      </c>
      <c r="F46" s="1" t="n">
        <v>14</v>
      </c>
      <c r="G46" s="1" t="s">
        <v>22</v>
      </c>
      <c r="H46" s="1" t="n">
        <v>0.1721</v>
      </c>
      <c r="I46" s="1" t="n">
        <v>0.369279485373203</v>
      </c>
      <c r="J46" s="1" t="n">
        <v>0.433440729170398</v>
      </c>
      <c r="K46" s="1" t="n">
        <f aca="false">J46-I46</f>
        <v>0.0641612437971952</v>
      </c>
      <c r="L46" s="1" t="n">
        <v>0.704599278382629</v>
      </c>
    </row>
    <row r="47" customFormat="false" ht="15" hidden="false" customHeight="false" outlineLevel="0" collapsed="false">
      <c r="A47" s="1" t="s">
        <v>50</v>
      </c>
      <c r="B47" s="1" t="s">
        <v>51</v>
      </c>
      <c r="C47" s="1" t="s">
        <v>52</v>
      </c>
      <c r="D47" s="1" t="s">
        <v>19</v>
      </c>
      <c r="E47" s="1" t="s">
        <v>20</v>
      </c>
      <c r="F47" s="1" t="n">
        <v>14</v>
      </c>
      <c r="G47" s="1" t="s">
        <v>23</v>
      </c>
      <c r="H47" s="1" t="n">
        <v>0.1688</v>
      </c>
      <c r="I47" s="1" t="n">
        <v>0.362369903153134</v>
      </c>
      <c r="J47" s="1" t="n">
        <v>0.416523179168433</v>
      </c>
      <c r="K47" s="1" t="n">
        <f aca="false">J47-I47</f>
        <v>0.0541532760152987</v>
      </c>
      <c r="L47" s="1" t="n">
        <v>0.704599278382629</v>
      </c>
    </row>
    <row r="48" customFormat="false" ht="15" hidden="false" customHeight="false" outlineLevel="0" collapsed="false">
      <c r="A48" s="1" t="s">
        <v>50</v>
      </c>
      <c r="B48" s="1" t="s">
        <v>51</v>
      </c>
      <c r="C48" s="1" t="s">
        <v>52</v>
      </c>
      <c r="D48" s="1" t="s">
        <v>19</v>
      </c>
      <c r="E48" s="1" t="s">
        <v>20</v>
      </c>
      <c r="F48" s="1" t="n">
        <v>14</v>
      </c>
      <c r="G48" s="1" t="s">
        <v>25</v>
      </c>
      <c r="H48" s="1" t="n">
        <v>0.1621</v>
      </c>
      <c r="I48" s="1" t="n">
        <v>0.347830316906607</v>
      </c>
      <c r="J48" s="1" t="n">
        <v>0.451649980070028</v>
      </c>
      <c r="K48" s="1" t="n">
        <f aca="false">J48-I48</f>
        <v>0.103819663163421</v>
      </c>
      <c r="L48" s="1" t="n">
        <v>0.704599278382629</v>
      </c>
    </row>
    <row r="49" customFormat="false" ht="15" hidden="false" customHeight="false" outlineLevel="0" collapsed="false">
      <c r="A49" s="1" t="s">
        <v>50</v>
      </c>
      <c r="B49" s="1" t="s">
        <v>51</v>
      </c>
      <c r="C49" s="1" t="s">
        <v>52</v>
      </c>
      <c r="D49" s="1" t="s">
        <v>19</v>
      </c>
      <c r="E49" s="1" t="s">
        <v>20</v>
      </c>
      <c r="F49" s="1" t="n">
        <v>14</v>
      </c>
      <c r="G49" s="1" t="s">
        <v>45</v>
      </c>
      <c r="H49" s="1" t="n">
        <v>0.1591</v>
      </c>
      <c r="I49" s="1" t="n">
        <v>0.341588714484657</v>
      </c>
      <c r="J49" s="1" t="n">
        <v>0.34522484346324</v>
      </c>
      <c r="K49" s="1" t="n">
        <f aca="false">J49-I49</f>
        <v>0.00363612897858323</v>
      </c>
      <c r="L49" s="1" t="n">
        <v>0.704599278382629</v>
      </c>
    </row>
    <row r="50" customFormat="false" ht="15" hidden="false" customHeight="false" outlineLevel="0" collapsed="false">
      <c r="A50" s="1" t="s">
        <v>50</v>
      </c>
      <c r="B50" s="1" t="s">
        <v>51</v>
      </c>
      <c r="C50" s="1" t="s">
        <v>52</v>
      </c>
      <c r="D50" s="1" t="s">
        <v>19</v>
      </c>
      <c r="E50" s="1" t="s">
        <v>20</v>
      </c>
      <c r="F50" s="1" t="n">
        <v>14</v>
      </c>
      <c r="G50" s="1" t="s">
        <v>26</v>
      </c>
      <c r="H50" s="1" t="n">
        <v>0.1558</v>
      </c>
      <c r="I50" s="1" t="n">
        <v>0.334473416403333</v>
      </c>
      <c r="J50" s="1" t="n">
        <v>0.411041020188059</v>
      </c>
      <c r="K50" s="1" t="n">
        <f aca="false">J50-I50</f>
        <v>0.0765676037847255</v>
      </c>
      <c r="L50" s="1" t="n">
        <v>0.704599278382629</v>
      </c>
    </row>
    <row r="51" customFormat="false" ht="15" hidden="false" customHeight="false" outlineLevel="0" collapsed="false">
      <c r="A51" s="1" t="s">
        <v>53</v>
      </c>
      <c r="B51" s="1" t="s">
        <v>54</v>
      </c>
      <c r="C51" s="1" t="s">
        <v>55</v>
      </c>
      <c r="D51" s="1" t="s">
        <v>19</v>
      </c>
      <c r="E51" s="1" t="s">
        <v>20</v>
      </c>
      <c r="F51" s="1" t="n">
        <v>16</v>
      </c>
      <c r="G51" s="1" t="s">
        <v>24</v>
      </c>
      <c r="H51" s="1" t="n">
        <v>0.1781</v>
      </c>
      <c r="I51" s="1" t="n">
        <v>0.415144554450937</v>
      </c>
      <c r="J51" s="1" t="n">
        <v>0.429650679259156</v>
      </c>
      <c r="K51" s="1" t="n">
        <f aca="false">J51-I51</f>
        <v>0.0145061248082189</v>
      </c>
      <c r="L51" s="1" t="n">
        <v>0.753231887262209</v>
      </c>
    </row>
    <row r="52" customFormat="false" ht="15" hidden="false" customHeight="false" outlineLevel="0" collapsed="false">
      <c r="A52" s="1" t="s">
        <v>53</v>
      </c>
      <c r="B52" s="1" t="s">
        <v>54</v>
      </c>
      <c r="C52" s="1" t="s">
        <v>55</v>
      </c>
      <c r="D52" s="1" t="s">
        <v>19</v>
      </c>
      <c r="E52" s="1" t="s">
        <v>20</v>
      </c>
      <c r="F52" s="1" t="n">
        <v>16</v>
      </c>
      <c r="G52" s="1" t="s">
        <v>25</v>
      </c>
      <c r="H52" s="1" t="n">
        <v>0.1687</v>
      </c>
      <c r="I52" s="1" t="n">
        <v>0.393293840121998</v>
      </c>
      <c r="J52" s="1" t="n">
        <v>0.419023865020503</v>
      </c>
      <c r="K52" s="1" t="n">
        <f aca="false">J52-I52</f>
        <v>0.0257300248985055</v>
      </c>
      <c r="L52" s="1" t="n">
        <v>0.753231887262209</v>
      </c>
    </row>
    <row r="53" customFormat="false" ht="15" hidden="false" customHeight="false" outlineLevel="0" collapsed="false">
      <c r="A53" s="1" t="s">
        <v>53</v>
      </c>
      <c r="B53" s="1" t="s">
        <v>54</v>
      </c>
      <c r="C53" s="1" t="s">
        <v>55</v>
      </c>
      <c r="D53" s="1" t="s">
        <v>19</v>
      </c>
      <c r="E53" s="1" t="s">
        <v>20</v>
      </c>
      <c r="F53" s="1" t="n">
        <v>16</v>
      </c>
      <c r="G53" s="1" t="s">
        <v>22</v>
      </c>
      <c r="H53" s="1" t="n">
        <v>0.1672</v>
      </c>
      <c r="I53" s="1" t="n">
        <v>0.389781828915167</v>
      </c>
      <c r="J53" s="1" t="n">
        <v>0.411329727006167</v>
      </c>
      <c r="K53" s="1" t="n">
        <f aca="false">J53-I53</f>
        <v>0.0215478980910002</v>
      </c>
      <c r="L53" s="1" t="n">
        <v>0.753231887262209</v>
      </c>
    </row>
    <row r="54" customFormat="false" ht="15" hidden="false" customHeight="false" outlineLevel="0" collapsed="false">
      <c r="A54" s="1" t="s">
        <v>53</v>
      </c>
      <c r="B54" s="1" t="s">
        <v>54</v>
      </c>
      <c r="C54" s="1" t="s">
        <v>55</v>
      </c>
      <c r="D54" s="1" t="s">
        <v>19</v>
      </c>
      <c r="E54" s="1" t="s">
        <v>20</v>
      </c>
      <c r="F54" s="1" t="n">
        <v>16</v>
      </c>
      <c r="G54" s="1" t="s">
        <v>23</v>
      </c>
      <c r="H54" s="1" t="n">
        <v>0.1669</v>
      </c>
      <c r="I54" s="1" t="n">
        <v>0.389139146737182</v>
      </c>
      <c r="J54" s="1" t="n">
        <v>0.38504004263082</v>
      </c>
      <c r="K54" s="1" t="n">
        <f aca="false">J54-I54</f>
        <v>-0.00409910410636238</v>
      </c>
      <c r="L54" s="1" t="n">
        <v>0.753231887262209</v>
      </c>
    </row>
    <row r="55" customFormat="false" ht="15" hidden="false" customHeight="false" outlineLevel="0" collapsed="false">
      <c r="A55" s="1" t="s">
        <v>53</v>
      </c>
      <c r="B55" s="1" t="s">
        <v>54</v>
      </c>
      <c r="C55" s="1" t="s">
        <v>55</v>
      </c>
      <c r="D55" s="1" t="s">
        <v>19</v>
      </c>
      <c r="E55" s="1" t="s">
        <v>20</v>
      </c>
      <c r="F55" s="1" t="n">
        <v>16</v>
      </c>
      <c r="G55" s="1" t="s">
        <v>26</v>
      </c>
      <c r="H55" s="1" t="n">
        <v>0.1653</v>
      </c>
      <c r="I55" s="1" t="n">
        <v>0.385364988186691</v>
      </c>
      <c r="J55" s="1" t="n">
        <v>0.383887567835954</v>
      </c>
      <c r="K55" s="1" t="n">
        <f aca="false">J55-I55</f>
        <v>-0.00147742035073761</v>
      </c>
      <c r="L55" s="1" t="n">
        <v>0.753231887262209</v>
      </c>
    </row>
    <row r="56" customFormat="false" ht="15" hidden="false" customHeight="false" outlineLevel="0" collapsed="false">
      <c r="A56" s="1" t="s">
        <v>53</v>
      </c>
      <c r="B56" s="1" t="s">
        <v>54</v>
      </c>
      <c r="C56" s="1" t="s">
        <v>55</v>
      </c>
      <c r="D56" s="1" t="s">
        <v>19</v>
      </c>
      <c r="E56" s="1" t="s">
        <v>20</v>
      </c>
      <c r="F56" s="1" t="n">
        <v>16</v>
      </c>
      <c r="G56" s="1" t="s">
        <v>56</v>
      </c>
      <c r="H56" s="1" t="n">
        <v>0.1539</v>
      </c>
      <c r="I56" s="1" t="n">
        <v>0.358714842281512</v>
      </c>
      <c r="J56" s="1" t="n">
        <v>0.420873515452502</v>
      </c>
      <c r="K56" s="1" t="n">
        <f aca="false">J56-I56</f>
        <v>0.0621586731709898</v>
      </c>
      <c r="L56" s="1" t="n">
        <v>0.753231887262209</v>
      </c>
    </row>
    <row r="57" customFormat="false" ht="15" hidden="false" customHeight="false" outlineLevel="0" collapsed="false">
      <c r="A57" s="1" t="s">
        <v>57</v>
      </c>
      <c r="B57" s="1" t="s">
        <v>58</v>
      </c>
      <c r="C57" s="1" t="s">
        <v>59</v>
      </c>
      <c r="D57" s="1" t="s">
        <v>19</v>
      </c>
      <c r="E57" s="1" t="s">
        <v>20</v>
      </c>
      <c r="F57" s="1" t="n">
        <v>18</v>
      </c>
      <c r="G57" s="1" t="s">
        <v>24</v>
      </c>
      <c r="H57" s="1" t="n">
        <v>0.1899</v>
      </c>
      <c r="I57" s="1" t="n">
        <v>0.421437010702029</v>
      </c>
      <c r="J57" s="1" t="n">
        <v>0.481216019911306</v>
      </c>
      <c r="K57" s="1" t="n">
        <f aca="false">J57-I57</f>
        <v>0.0597790092092765</v>
      </c>
      <c r="L57" s="1" t="n">
        <v>0.786918063323164</v>
      </c>
    </row>
    <row r="58" customFormat="false" ht="15" hidden="false" customHeight="false" outlineLevel="0" collapsed="false">
      <c r="A58" s="1" t="s">
        <v>57</v>
      </c>
      <c r="B58" s="1" t="s">
        <v>58</v>
      </c>
      <c r="C58" s="1" t="s">
        <v>59</v>
      </c>
      <c r="D58" s="1" t="s">
        <v>19</v>
      </c>
      <c r="E58" s="1" t="s">
        <v>20</v>
      </c>
      <c r="F58" s="1" t="n">
        <v>18</v>
      </c>
      <c r="G58" s="1" t="s">
        <v>25</v>
      </c>
      <c r="H58" s="1" t="n">
        <v>0.1785</v>
      </c>
      <c r="I58" s="1" t="n">
        <v>0.396138023577351</v>
      </c>
      <c r="J58" s="1" t="n">
        <v>0.435528790442845</v>
      </c>
      <c r="K58" s="1" t="n">
        <f aca="false">J58-I58</f>
        <v>0.0393907668654943</v>
      </c>
      <c r="L58" s="1" t="n">
        <v>0.786918063323164</v>
      </c>
    </row>
    <row r="59" customFormat="false" ht="15" hidden="false" customHeight="false" outlineLevel="0" collapsed="false">
      <c r="A59" s="1" t="s">
        <v>57</v>
      </c>
      <c r="B59" s="1" t="s">
        <v>58</v>
      </c>
      <c r="C59" s="1" t="s">
        <v>59</v>
      </c>
      <c r="D59" s="1" t="s">
        <v>19</v>
      </c>
      <c r="E59" s="1" t="s">
        <v>20</v>
      </c>
      <c r="F59" s="1" t="n">
        <v>18</v>
      </c>
      <c r="G59" s="1" t="s">
        <v>21</v>
      </c>
      <c r="H59" s="1" t="n">
        <v>0.1784</v>
      </c>
      <c r="I59" s="1" t="n">
        <v>0.396092413421098</v>
      </c>
      <c r="J59" s="1" t="n">
        <v>0.44545861099982</v>
      </c>
      <c r="K59" s="1" t="n">
        <f aca="false">J59-I59</f>
        <v>0.0493661975787221</v>
      </c>
      <c r="L59" s="1" t="n">
        <v>0.786918063323164</v>
      </c>
    </row>
    <row r="60" customFormat="false" ht="15" hidden="false" customHeight="false" outlineLevel="0" collapsed="false">
      <c r="A60" s="1" t="s">
        <v>57</v>
      </c>
      <c r="B60" s="1" t="s">
        <v>58</v>
      </c>
      <c r="C60" s="1" t="s">
        <v>59</v>
      </c>
      <c r="D60" s="1" t="s">
        <v>19</v>
      </c>
      <c r="E60" s="1" t="s">
        <v>20</v>
      </c>
      <c r="F60" s="1" t="n">
        <v>18</v>
      </c>
      <c r="G60" s="1" t="s">
        <v>23</v>
      </c>
      <c r="H60" s="1" t="n">
        <v>0.1777</v>
      </c>
      <c r="I60" s="1" t="n">
        <v>0.394428418798027</v>
      </c>
      <c r="J60" s="1" t="n">
        <v>0.418008550230075</v>
      </c>
      <c r="K60" s="1" t="n">
        <f aca="false">J60-I60</f>
        <v>0.0235801314320481</v>
      </c>
      <c r="L60" s="1" t="n">
        <v>0.786918063323164</v>
      </c>
    </row>
    <row r="61" customFormat="false" ht="15" hidden="false" customHeight="false" outlineLevel="0" collapsed="false">
      <c r="A61" s="1" t="s">
        <v>57</v>
      </c>
      <c r="B61" s="1" t="s">
        <v>58</v>
      </c>
      <c r="C61" s="1" t="s">
        <v>59</v>
      </c>
      <c r="D61" s="1" t="s">
        <v>19</v>
      </c>
      <c r="E61" s="1" t="s">
        <v>20</v>
      </c>
      <c r="F61" s="1" t="n">
        <v>18</v>
      </c>
      <c r="G61" s="1" t="s">
        <v>22</v>
      </c>
      <c r="H61" s="1" t="n">
        <v>0.1755</v>
      </c>
      <c r="I61" s="1" t="n">
        <v>0.389672483371738</v>
      </c>
      <c r="J61" s="1" t="n">
        <v>0.462138193615249</v>
      </c>
      <c r="K61" s="1" t="n">
        <f aca="false">J61-I61</f>
        <v>0.0724657102435108</v>
      </c>
      <c r="L61" s="1" t="n">
        <v>0.786918063323164</v>
      </c>
    </row>
    <row r="62" customFormat="false" ht="15" hidden="false" customHeight="false" outlineLevel="0" collapsed="false">
      <c r="A62" s="1" t="s">
        <v>57</v>
      </c>
      <c r="B62" s="1" t="s">
        <v>58</v>
      </c>
      <c r="C62" s="1" t="s">
        <v>59</v>
      </c>
      <c r="D62" s="1" t="s">
        <v>19</v>
      </c>
      <c r="E62" s="1" t="s">
        <v>20</v>
      </c>
      <c r="F62" s="1" t="n">
        <v>18</v>
      </c>
      <c r="G62" s="1" t="s">
        <v>26</v>
      </c>
      <c r="H62" s="1" t="n">
        <v>0.1</v>
      </c>
      <c r="I62" s="1" t="n">
        <v>0.34801256565625</v>
      </c>
      <c r="J62" s="1" t="n">
        <v>0.381794304276641</v>
      </c>
      <c r="K62" s="1" t="n">
        <f aca="false">J62-I62</f>
        <v>0.0337817386203911</v>
      </c>
      <c r="L62" s="1" t="n">
        <v>0.786918063323164</v>
      </c>
    </row>
    <row r="63" customFormat="false" ht="15" hidden="false" customHeight="false" outlineLevel="0" collapsed="false">
      <c r="A63" s="1" t="s">
        <v>60</v>
      </c>
      <c r="B63" s="1" t="s">
        <v>61</v>
      </c>
      <c r="C63" s="1" t="s">
        <v>62</v>
      </c>
      <c r="D63" s="1" t="s">
        <v>19</v>
      </c>
      <c r="E63" s="1" t="s">
        <v>20</v>
      </c>
      <c r="F63" s="1" t="n">
        <v>20</v>
      </c>
      <c r="G63" s="1" t="s">
        <v>24</v>
      </c>
      <c r="H63" s="1" t="n">
        <v>0.1939</v>
      </c>
      <c r="I63" s="1" t="n">
        <v>0.447332426521479</v>
      </c>
      <c r="J63" s="1" t="n">
        <v>0.426971357657931</v>
      </c>
      <c r="K63" s="1" t="n">
        <f aca="false">J63-I63</f>
        <v>-0.020361068863548</v>
      </c>
      <c r="L63" s="1" t="n">
        <v>0.757737648671806</v>
      </c>
    </row>
    <row r="64" customFormat="false" ht="15" hidden="false" customHeight="false" outlineLevel="0" collapsed="false">
      <c r="A64" s="1" t="s">
        <v>60</v>
      </c>
      <c r="B64" s="1" t="s">
        <v>61</v>
      </c>
      <c r="C64" s="1" t="s">
        <v>62</v>
      </c>
      <c r="D64" s="1" t="s">
        <v>19</v>
      </c>
      <c r="E64" s="1" t="s">
        <v>20</v>
      </c>
      <c r="F64" s="1" t="n">
        <v>20</v>
      </c>
      <c r="G64" s="1" t="s">
        <v>21</v>
      </c>
      <c r="H64" s="1" t="n">
        <v>0.1658</v>
      </c>
      <c r="I64" s="1" t="n">
        <v>0.38245578322553</v>
      </c>
      <c r="J64" s="1" t="n">
        <v>0.414371521792725</v>
      </c>
      <c r="K64" s="1" t="n">
        <f aca="false">J64-I64</f>
        <v>0.031915738567195</v>
      </c>
      <c r="L64" s="1" t="n">
        <v>0.757737648671806</v>
      </c>
    </row>
    <row r="65" customFormat="false" ht="15" hidden="false" customHeight="false" outlineLevel="0" collapsed="false">
      <c r="A65" s="1" t="s">
        <v>60</v>
      </c>
      <c r="B65" s="1" t="s">
        <v>61</v>
      </c>
      <c r="C65" s="1" t="s">
        <v>62</v>
      </c>
      <c r="D65" s="1" t="s">
        <v>19</v>
      </c>
      <c r="E65" s="1" t="s">
        <v>20</v>
      </c>
      <c r="F65" s="1" t="n">
        <v>20</v>
      </c>
      <c r="G65" s="1" t="s">
        <v>22</v>
      </c>
      <c r="H65" s="1" t="n">
        <v>0.1646</v>
      </c>
      <c r="I65" s="1" t="n">
        <v>0.379642399854526</v>
      </c>
      <c r="J65" s="1" t="n">
        <v>0.412343696512603</v>
      </c>
      <c r="K65" s="1" t="n">
        <f aca="false">J65-I65</f>
        <v>0.0327012966580772</v>
      </c>
      <c r="L65" s="1" t="n">
        <v>0.757737648671806</v>
      </c>
    </row>
    <row r="66" customFormat="false" ht="15" hidden="false" customHeight="false" outlineLevel="0" collapsed="false">
      <c r="A66" s="1" t="s">
        <v>60</v>
      </c>
      <c r="B66" s="1" t="s">
        <v>61</v>
      </c>
      <c r="C66" s="1" t="s">
        <v>62</v>
      </c>
      <c r="D66" s="1" t="s">
        <v>19</v>
      </c>
      <c r="E66" s="1" t="s">
        <v>20</v>
      </c>
      <c r="F66" s="1" t="n">
        <v>20</v>
      </c>
      <c r="G66" s="1" t="s">
        <v>23</v>
      </c>
      <c r="H66" s="1" t="n">
        <v>0.1606</v>
      </c>
      <c r="I66" s="1" t="n">
        <v>0.370520826799403</v>
      </c>
      <c r="J66" s="1" t="n">
        <v>0.418628398687514</v>
      </c>
      <c r="K66" s="1" t="n">
        <f aca="false">J66-I66</f>
        <v>0.0481075718881104</v>
      </c>
      <c r="L66" s="1" t="n">
        <v>0.757737648671806</v>
      </c>
    </row>
    <row r="67" customFormat="false" ht="15" hidden="false" customHeight="false" outlineLevel="0" collapsed="false">
      <c r="A67" s="1" t="s">
        <v>60</v>
      </c>
      <c r="B67" s="1" t="s">
        <v>61</v>
      </c>
      <c r="C67" s="1" t="s">
        <v>62</v>
      </c>
      <c r="D67" s="1" t="s">
        <v>19</v>
      </c>
      <c r="E67" s="1" t="s">
        <v>20</v>
      </c>
      <c r="F67" s="1" t="n">
        <v>20</v>
      </c>
      <c r="G67" s="1" t="s">
        <v>25</v>
      </c>
      <c r="H67" s="1" t="n">
        <v>0.159</v>
      </c>
      <c r="I67" s="1" t="n">
        <v>0.366941670967609</v>
      </c>
      <c r="J67" s="1" t="n">
        <v>0.43469654015396</v>
      </c>
      <c r="K67" s="1" t="n">
        <f aca="false">J67-I67</f>
        <v>0.0677548691863512</v>
      </c>
      <c r="L67" s="1" t="n">
        <v>0.757737648671806</v>
      </c>
    </row>
    <row r="68" customFormat="false" ht="15" hidden="false" customHeight="false" outlineLevel="0" collapsed="false">
      <c r="A68" s="1" t="s">
        <v>60</v>
      </c>
      <c r="B68" s="1" t="s">
        <v>61</v>
      </c>
      <c r="C68" s="1" t="s">
        <v>62</v>
      </c>
      <c r="D68" s="1" t="s">
        <v>19</v>
      </c>
      <c r="E68" s="1" t="s">
        <v>20</v>
      </c>
      <c r="F68" s="1" t="n">
        <v>20</v>
      </c>
      <c r="G68" s="1" t="s">
        <v>26</v>
      </c>
      <c r="H68" s="1" t="n">
        <v>0.1561</v>
      </c>
      <c r="I68" s="1" t="n">
        <v>0.360259015219248</v>
      </c>
      <c r="J68" s="1" t="n">
        <v>0.418894950565455</v>
      </c>
      <c r="K68" s="1" t="n">
        <f aca="false">J68-I68</f>
        <v>0.0586359353462069</v>
      </c>
      <c r="L68" s="1" t="n">
        <v>0.757737648671806</v>
      </c>
    </row>
    <row r="69" customFormat="false" ht="15" hidden="false" customHeight="false" outlineLevel="0" collapsed="false">
      <c r="A69" s="1" t="s">
        <v>63</v>
      </c>
      <c r="B69" s="1" t="s">
        <v>64</v>
      </c>
      <c r="C69" s="1" t="s">
        <v>65</v>
      </c>
      <c r="D69" s="1" t="s">
        <v>19</v>
      </c>
      <c r="E69" s="1" t="s">
        <v>20</v>
      </c>
      <c r="F69" s="1" t="n">
        <v>22</v>
      </c>
      <c r="G69" s="1" t="s">
        <v>25</v>
      </c>
      <c r="H69" s="1" t="n">
        <v>0.1802</v>
      </c>
      <c r="I69" s="1" t="n">
        <v>0.392201985532484</v>
      </c>
      <c r="J69" s="1" t="n">
        <v>0.494495414293405</v>
      </c>
      <c r="K69" s="1" t="n">
        <f aca="false">J69-I69</f>
        <v>0.10229342876092</v>
      </c>
      <c r="L69" s="1" t="n">
        <v>0.790488784330214</v>
      </c>
    </row>
    <row r="70" customFormat="false" ht="15" hidden="false" customHeight="false" outlineLevel="0" collapsed="false">
      <c r="A70" s="1" t="s">
        <v>63</v>
      </c>
      <c r="B70" s="1" t="s">
        <v>64</v>
      </c>
      <c r="C70" s="1" t="s">
        <v>65</v>
      </c>
      <c r="D70" s="1" t="s">
        <v>19</v>
      </c>
      <c r="E70" s="1" t="s">
        <v>20</v>
      </c>
      <c r="F70" s="1" t="n">
        <v>22</v>
      </c>
      <c r="G70" s="1" t="s">
        <v>22</v>
      </c>
      <c r="H70" s="1" t="n">
        <v>0.1751</v>
      </c>
      <c r="I70" s="1" t="n">
        <v>0.380995119490435</v>
      </c>
      <c r="J70" s="1" t="n">
        <v>0.482878956713802</v>
      </c>
      <c r="K70" s="1" t="n">
        <f aca="false">J70-I70</f>
        <v>0.101883837223367</v>
      </c>
      <c r="L70" s="1" t="n">
        <v>0.790488784330214</v>
      </c>
    </row>
    <row r="71" customFormat="false" ht="15" hidden="false" customHeight="false" outlineLevel="0" collapsed="false">
      <c r="A71" s="1" t="s">
        <v>63</v>
      </c>
      <c r="B71" s="1" t="s">
        <v>64</v>
      </c>
      <c r="C71" s="1" t="s">
        <v>65</v>
      </c>
      <c r="D71" s="1" t="s">
        <v>19</v>
      </c>
      <c r="E71" s="1" t="s">
        <v>20</v>
      </c>
      <c r="F71" s="1" t="n">
        <v>22</v>
      </c>
      <c r="G71" s="1" t="s">
        <v>26</v>
      </c>
      <c r="H71" s="1" t="n">
        <v>0.1696</v>
      </c>
      <c r="I71" s="1" t="n">
        <v>0.369003055791753</v>
      </c>
      <c r="J71" s="1" t="n">
        <v>0.386686920614155</v>
      </c>
      <c r="K71" s="1" t="n">
        <f aca="false">J71-I71</f>
        <v>0.0176838648224022</v>
      </c>
      <c r="L71" s="1" t="n">
        <v>0.790488784330214</v>
      </c>
    </row>
    <row r="72" customFormat="false" ht="15" hidden="false" customHeight="false" outlineLevel="0" collapsed="false">
      <c r="A72" s="1" t="s">
        <v>63</v>
      </c>
      <c r="B72" s="1" t="s">
        <v>64</v>
      </c>
      <c r="C72" s="1" t="s">
        <v>65</v>
      </c>
      <c r="D72" s="1" t="s">
        <v>19</v>
      </c>
      <c r="E72" s="1" t="s">
        <v>20</v>
      </c>
      <c r="F72" s="1" t="n">
        <v>22</v>
      </c>
      <c r="G72" s="1" t="s">
        <v>24</v>
      </c>
      <c r="H72" s="1" t="n">
        <v>0.1605</v>
      </c>
      <c r="I72" s="1" t="n">
        <v>0.349336583712914</v>
      </c>
      <c r="J72" s="1" t="n">
        <v>0.432177435827302</v>
      </c>
      <c r="K72" s="1" t="n">
        <f aca="false">J72-I72</f>
        <v>0.0828408521143884</v>
      </c>
      <c r="L72" s="1" t="n">
        <v>0.790488784330214</v>
      </c>
    </row>
    <row r="73" customFormat="false" ht="15" hidden="false" customHeight="false" outlineLevel="0" collapsed="false">
      <c r="A73" s="1" t="s">
        <v>63</v>
      </c>
      <c r="B73" s="1" t="s">
        <v>64</v>
      </c>
      <c r="C73" s="1" t="s">
        <v>65</v>
      </c>
      <c r="D73" s="1" t="s">
        <v>19</v>
      </c>
      <c r="E73" s="1" t="s">
        <v>20</v>
      </c>
      <c r="F73" s="1" t="n">
        <v>22</v>
      </c>
      <c r="G73" s="1" t="s">
        <v>66</v>
      </c>
      <c r="H73" s="1" t="n">
        <v>0.1582</v>
      </c>
      <c r="I73" s="1" t="n">
        <v>0.344325137623875</v>
      </c>
      <c r="J73" s="1" t="n">
        <v>0.395578778206276</v>
      </c>
      <c r="K73" s="1" t="n">
        <f aca="false">J73-I73</f>
        <v>0.0512536405824011</v>
      </c>
      <c r="L73" s="1" t="n">
        <v>0.790488784330214</v>
      </c>
    </row>
    <row r="74" customFormat="false" ht="15" hidden="false" customHeight="false" outlineLevel="0" collapsed="false">
      <c r="A74" s="1" t="s">
        <v>63</v>
      </c>
      <c r="B74" s="1" t="s">
        <v>64</v>
      </c>
      <c r="C74" s="1" t="s">
        <v>65</v>
      </c>
      <c r="D74" s="1" t="s">
        <v>19</v>
      </c>
      <c r="E74" s="1" t="s">
        <v>20</v>
      </c>
      <c r="F74" s="1" t="n">
        <v>22</v>
      </c>
      <c r="G74" s="1" t="s">
        <v>23</v>
      </c>
      <c r="H74" s="1" t="n">
        <v>0.1564</v>
      </c>
      <c r="I74" s="1" t="n">
        <v>0.340433711985667</v>
      </c>
      <c r="J74" s="1" t="n">
        <v>0.399720863552138</v>
      </c>
      <c r="K74" s="1" t="n">
        <f aca="false">J74-I74</f>
        <v>0.0592871515664717</v>
      </c>
      <c r="L74" s="1" t="n">
        <v>0.790488784330214</v>
      </c>
    </row>
    <row r="75" customFormat="false" ht="15" hidden="false" customHeight="false" outlineLevel="0" collapsed="false">
      <c r="A75" s="1" t="s">
        <v>67</v>
      </c>
      <c r="B75" s="1" t="s">
        <v>68</v>
      </c>
      <c r="C75" s="1" t="s">
        <v>69</v>
      </c>
      <c r="D75" s="1" t="s">
        <v>19</v>
      </c>
      <c r="E75" s="1" t="s">
        <v>20</v>
      </c>
      <c r="F75" s="1" t="n">
        <v>24</v>
      </c>
      <c r="G75" s="1" t="s">
        <v>25</v>
      </c>
      <c r="H75" s="1" t="n">
        <v>0.1989</v>
      </c>
      <c r="I75" s="1" t="n">
        <v>0.466362022198419</v>
      </c>
      <c r="J75" s="1" t="n">
        <v>0.397887526671303</v>
      </c>
      <c r="K75" s="1" t="n">
        <f aca="false">J75-I75</f>
        <v>-0.0684744955271155</v>
      </c>
      <c r="L75" s="1" t="n">
        <v>0.692187737762497</v>
      </c>
    </row>
    <row r="76" customFormat="false" ht="15" hidden="false" customHeight="false" outlineLevel="0" collapsed="false">
      <c r="A76" s="1" t="s">
        <v>67</v>
      </c>
      <c r="B76" s="1" t="s">
        <v>68</v>
      </c>
      <c r="C76" s="1" t="s">
        <v>69</v>
      </c>
      <c r="D76" s="1" t="s">
        <v>19</v>
      </c>
      <c r="E76" s="1" t="s">
        <v>20</v>
      </c>
      <c r="F76" s="1" t="n">
        <v>24</v>
      </c>
      <c r="G76" s="1" t="s">
        <v>22</v>
      </c>
      <c r="H76" s="1" t="n">
        <v>0.1965</v>
      </c>
      <c r="I76" s="1" t="n">
        <v>0.460721012326096</v>
      </c>
      <c r="J76" s="1" t="n">
        <v>0.395883222611272</v>
      </c>
      <c r="K76" s="1" t="n">
        <f aca="false">J76-I76</f>
        <v>-0.0648377897148243</v>
      </c>
      <c r="L76" s="1" t="n">
        <v>0.692187737762497</v>
      </c>
    </row>
    <row r="77" customFormat="false" ht="15" hidden="false" customHeight="false" outlineLevel="0" collapsed="false">
      <c r="A77" s="1" t="s">
        <v>67</v>
      </c>
      <c r="B77" s="1" t="s">
        <v>68</v>
      </c>
      <c r="C77" s="1" t="s">
        <v>69</v>
      </c>
      <c r="D77" s="1" t="s">
        <v>19</v>
      </c>
      <c r="E77" s="1" t="s">
        <v>20</v>
      </c>
      <c r="F77" s="1" t="n">
        <v>24</v>
      </c>
      <c r="G77" s="1" t="s">
        <v>56</v>
      </c>
      <c r="H77" s="1" t="n">
        <v>0.1779</v>
      </c>
      <c r="I77" s="1" t="n">
        <v>0.417064755994808</v>
      </c>
      <c r="J77" s="1" t="n">
        <v>0.397211940164926</v>
      </c>
      <c r="K77" s="1" t="n">
        <f aca="false">J77-I77</f>
        <v>-0.0198528158298815</v>
      </c>
      <c r="L77" s="1" t="n">
        <v>0.692187737762497</v>
      </c>
    </row>
    <row r="78" customFormat="false" ht="15" hidden="false" customHeight="false" outlineLevel="0" collapsed="false">
      <c r="A78" s="1" t="s">
        <v>67</v>
      </c>
      <c r="B78" s="1" t="s">
        <v>68</v>
      </c>
      <c r="C78" s="1" t="s">
        <v>69</v>
      </c>
      <c r="D78" s="1" t="s">
        <v>19</v>
      </c>
      <c r="E78" s="1" t="s">
        <v>20</v>
      </c>
      <c r="F78" s="1" t="n">
        <v>24</v>
      </c>
      <c r="G78" s="1" t="s">
        <v>24</v>
      </c>
      <c r="H78" s="1" t="n">
        <v>0.1694</v>
      </c>
      <c r="I78" s="1" t="n">
        <v>0.397266561193525</v>
      </c>
      <c r="J78" s="1" t="n">
        <v>0.397044367458732</v>
      </c>
      <c r="K78" s="1" t="n">
        <f aca="false">J78-I78</f>
        <v>-0.000222193734793819</v>
      </c>
      <c r="L78" s="1" t="n">
        <v>0.692187737762497</v>
      </c>
    </row>
    <row r="79" customFormat="false" ht="15" hidden="false" customHeight="false" outlineLevel="0" collapsed="false">
      <c r="A79" s="1" t="s">
        <v>67</v>
      </c>
      <c r="B79" s="1" t="s">
        <v>68</v>
      </c>
      <c r="C79" s="1" t="s">
        <v>69</v>
      </c>
      <c r="D79" s="1" t="s">
        <v>19</v>
      </c>
      <c r="E79" s="1" t="s">
        <v>20</v>
      </c>
      <c r="F79" s="1" t="n">
        <v>24</v>
      </c>
      <c r="G79" s="1" t="s">
        <v>49</v>
      </c>
      <c r="H79" s="1" t="n">
        <v>0.1574</v>
      </c>
      <c r="I79" s="1" t="n">
        <v>0.368997888113873</v>
      </c>
      <c r="J79" s="1" t="n">
        <v>0.394299111817791</v>
      </c>
      <c r="K79" s="1" t="n">
        <f aca="false">J79-I79</f>
        <v>0.0253012237039187</v>
      </c>
      <c r="L79" s="1" t="n">
        <v>0.692187737762497</v>
      </c>
    </row>
    <row r="80" customFormat="false" ht="15" hidden="false" customHeight="false" outlineLevel="0" collapsed="false">
      <c r="A80" s="1" t="s">
        <v>67</v>
      </c>
      <c r="B80" s="1" t="s">
        <v>68</v>
      </c>
      <c r="C80" s="1" t="s">
        <v>69</v>
      </c>
      <c r="D80" s="1" t="s">
        <v>19</v>
      </c>
      <c r="E80" s="1" t="s">
        <v>20</v>
      </c>
      <c r="F80" s="1" t="n">
        <v>24</v>
      </c>
      <c r="G80" s="1" t="s">
        <v>26</v>
      </c>
      <c r="H80" s="1" t="n">
        <v>0.1</v>
      </c>
      <c r="I80" s="1" t="n">
        <v>0.345508296064366</v>
      </c>
      <c r="J80" s="1" t="n">
        <v>0.333277333239212</v>
      </c>
      <c r="K80" s="1" t="n">
        <f aca="false">J80-I80</f>
        <v>-0.0122309628251533</v>
      </c>
      <c r="L80" s="1" t="n">
        <v>0.692187737762497</v>
      </c>
    </row>
    <row r="81" customFormat="false" ht="15" hidden="false" customHeight="false" outlineLevel="0" collapsed="false">
      <c r="A81" s="1" t="s">
        <v>70</v>
      </c>
      <c r="B81" s="1" t="s">
        <v>71</v>
      </c>
      <c r="C81" s="1" t="s">
        <v>72</v>
      </c>
      <c r="D81" s="1" t="s">
        <v>19</v>
      </c>
      <c r="E81" s="1" t="s">
        <v>20</v>
      </c>
      <c r="F81" s="1" t="n">
        <v>26</v>
      </c>
      <c r="G81" s="1" t="s">
        <v>22</v>
      </c>
      <c r="H81" s="1" t="n">
        <v>0.1824</v>
      </c>
      <c r="I81" s="1" t="n">
        <v>0.3625335348627</v>
      </c>
      <c r="J81" s="1" t="n">
        <v>0.376288977303118</v>
      </c>
      <c r="K81" s="1" t="n">
        <f aca="false">J81-I81</f>
        <v>0.0137554424404176</v>
      </c>
      <c r="L81" s="1" t="n">
        <v>0.689379869171306</v>
      </c>
    </row>
    <row r="82" customFormat="false" ht="15" hidden="false" customHeight="false" outlineLevel="0" collapsed="false">
      <c r="A82" s="1" t="s">
        <v>70</v>
      </c>
      <c r="B82" s="1" t="s">
        <v>71</v>
      </c>
      <c r="C82" s="1" t="s">
        <v>72</v>
      </c>
      <c r="D82" s="1" t="s">
        <v>19</v>
      </c>
      <c r="E82" s="1" t="s">
        <v>20</v>
      </c>
      <c r="F82" s="1" t="n">
        <v>26</v>
      </c>
      <c r="G82" s="1" t="s">
        <v>24</v>
      </c>
      <c r="H82" s="1" t="n">
        <v>0.1822</v>
      </c>
      <c r="I82" s="1" t="n">
        <v>0.362045780006153</v>
      </c>
      <c r="J82" s="1" t="n">
        <v>0.367174095271084</v>
      </c>
      <c r="K82" s="1" t="n">
        <f aca="false">J82-I82</f>
        <v>0.00512831526493146</v>
      </c>
      <c r="L82" s="1" t="n">
        <v>0.689379869171306</v>
      </c>
    </row>
    <row r="83" customFormat="false" ht="15" hidden="false" customHeight="false" outlineLevel="0" collapsed="false">
      <c r="A83" s="1" t="s">
        <v>70</v>
      </c>
      <c r="B83" s="1" t="s">
        <v>71</v>
      </c>
      <c r="C83" s="1" t="s">
        <v>72</v>
      </c>
      <c r="D83" s="1" t="s">
        <v>19</v>
      </c>
      <c r="E83" s="1" t="s">
        <v>20</v>
      </c>
      <c r="F83" s="1" t="n">
        <v>26</v>
      </c>
      <c r="G83" s="1" t="s">
        <v>21</v>
      </c>
      <c r="H83" s="1" t="n">
        <v>0.1793</v>
      </c>
      <c r="I83" s="1" t="n">
        <v>0.356244136571992</v>
      </c>
      <c r="J83" s="1" t="n">
        <v>0.412805808604423</v>
      </c>
      <c r="K83" s="1" t="n">
        <f aca="false">J83-I83</f>
        <v>0.0565616720324303</v>
      </c>
      <c r="L83" s="1" t="n">
        <v>0.689379869171306</v>
      </c>
    </row>
    <row r="84" customFormat="false" ht="15" hidden="false" customHeight="false" outlineLevel="0" collapsed="false">
      <c r="A84" s="1" t="s">
        <v>70</v>
      </c>
      <c r="B84" s="1" t="s">
        <v>71</v>
      </c>
      <c r="C84" s="1" t="s">
        <v>72</v>
      </c>
      <c r="D84" s="1" t="s">
        <v>19</v>
      </c>
      <c r="E84" s="1" t="s">
        <v>20</v>
      </c>
      <c r="F84" s="1" t="n">
        <v>26</v>
      </c>
      <c r="G84" s="1" t="s">
        <v>49</v>
      </c>
      <c r="H84" s="1" t="n">
        <v>0.1781</v>
      </c>
      <c r="I84" s="1" t="n">
        <v>0.353953303516227</v>
      </c>
      <c r="J84" s="1" t="n">
        <v>0.362849700065991</v>
      </c>
      <c r="K84" s="1" t="n">
        <f aca="false">J84-I84</f>
        <v>0.0088963965497631</v>
      </c>
      <c r="L84" s="1" t="n">
        <v>0.689379869171306</v>
      </c>
    </row>
    <row r="85" customFormat="false" ht="15" hidden="false" customHeight="false" outlineLevel="0" collapsed="false">
      <c r="A85" s="1" t="s">
        <v>70</v>
      </c>
      <c r="B85" s="1" t="s">
        <v>71</v>
      </c>
      <c r="C85" s="1" t="s">
        <v>72</v>
      </c>
      <c r="D85" s="1" t="s">
        <v>19</v>
      </c>
      <c r="E85" s="1" t="s">
        <v>20</v>
      </c>
      <c r="F85" s="1" t="n">
        <v>26</v>
      </c>
      <c r="G85" s="1" t="s">
        <v>41</v>
      </c>
      <c r="H85" s="1" t="n">
        <v>0.178</v>
      </c>
      <c r="I85" s="1" t="n">
        <v>0.353678526175414</v>
      </c>
      <c r="J85" s="1" t="n">
        <v>0.341696279246085</v>
      </c>
      <c r="K85" s="1" t="n">
        <f aca="false">J85-I85</f>
        <v>-0.0119822469293286</v>
      </c>
      <c r="L85" s="1" t="n">
        <v>0.689379869171306</v>
      </c>
    </row>
    <row r="86" customFormat="false" ht="15" hidden="false" customHeight="false" outlineLevel="0" collapsed="false">
      <c r="A86" s="1" t="s">
        <v>70</v>
      </c>
      <c r="B86" s="1" t="s">
        <v>71</v>
      </c>
      <c r="C86" s="1" t="s">
        <v>72</v>
      </c>
      <c r="D86" s="1" t="s">
        <v>19</v>
      </c>
      <c r="E86" s="1" t="s">
        <v>20</v>
      </c>
      <c r="F86" s="1" t="n">
        <v>26</v>
      </c>
      <c r="G86" s="1" t="s">
        <v>26</v>
      </c>
      <c r="H86" s="1" t="n">
        <v>0.1</v>
      </c>
      <c r="I86" s="1" t="n">
        <v>0.277053928626276</v>
      </c>
      <c r="J86" s="1" t="n">
        <v>0.334808781610065</v>
      </c>
      <c r="K86" s="1" t="n">
        <f aca="false">J86-I86</f>
        <v>0.0577548529837889</v>
      </c>
      <c r="L86" s="1" t="n">
        <v>0.689379869171306</v>
      </c>
    </row>
    <row r="87" customFormat="false" ht="15" hidden="false" customHeight="false" outlineLevel="0" collapsed="false">
      <c r="A87" s="1" t="s">
        <v>73</v>
      </c>
      <c r="B87" s="1" t="s">
        <v>74</v>
      </c>
      <c r="C87" s="1" t="s">
        <v>75</v>
      </c>
      <c r="D87" s="1" t="s">
        <v>19</v>
      </c>
      <c r="E87" s="1" t="s">
        <v>20</v>
      </c>
      <c r="F87" s="1" t="n">
        <v>28</v>
      </c>
      <c r="G87" s="1" t="s">
        <v>24</v>
      </c>
      <c r="H87" s="1" t="n">
        <v>0.177</v>
      </c>
      <c r="I87" s="1" t="n">
        <v>0.373645570337989</v>
      </c>
      <c r="J87" s="1" t="n">
        <v>0.394633163906798</v>
      </c>
      <c r="K87" s="1" t="n">
        <f aca="false">J87-I87</f>
        <v>0.0209875935688091</v>
      </c>
      <c r="L87" s="1" t="n">
        <v>0.769786735181106</v>
      </c>
    </row>
    <row r="88" customFormat="false" ht="15" hidden="false" customHeight="false" outlineLevel="0" collapsed="false">
      <c r="A88" s="1" t="s">
        <v>73</v>
      </c>
      <c r="B88" s="1" t="s">
        <v>74</v>
      </c>
      <c r="C88" s="1" t="s">
        <v>75</v>
      </c>
      <c r="D88" s="1" t="s">
        <v>19</v>
      </c>
      <c r="E88" s="1" t="s">
        <v>20</v>
      </c>
      <c r="F88" s="1" t="n">
        <v>28</v>
      </c>
      <c r="G88" s="1" t="s">
        <v>21</v>
      </c>
      <c r="H88" s="1" t="n">
        <v>0.1734</v>
      </c>
      <c r="I88" s="1" t="n">
        <v>0.366036658378623</v>
      </c>
      <c r="J88" s="1" t="n">
        <v>0.416267837550994</v>
      </c>
      <c r="K88" s="1" t="n">
        <f aca="false">J88-I88</f>
        <v>0.050231179172371</v>
      </c>
      <c r="L88" s="1" t="n">
        <v>0.769786735181106</v>
      </c>
    </row>
    <row r="89" customFormat="false" ht="15" hidden="false" customHeight="false" outlineLevel="0" collapsed="false">
      <c r="A89" s="1" t="s">
        <v>73</v>
      </c>
      <c r="B89" s="1" t="s">
        <v>74</v>
      </c>
      <c r="C89" s="1" t="s">
        <v>75</v>
      </c>
      <c r="D89" s="1" t="s">
        <v>19</v>
      </c>
      <c r="E89" s="1" t="s">
        <v>20</v>
      </c>
      <c r="F89" s="1" t="n">
        <v>28</v>
      </c>
      <c r="G89" s="1" t="s">
        <v>22</v>
      </c>
      <c r="H89" s="1" t="n">
        <v>0.1704</v>
      </c>
      <c r="I89" s="1" t="n">
        <v>0.359756366380691</v>
      </c>
      <c r="J89" s="1" t="n">
        <v>0.404754343762286</v>
      </c>
      <c r="K89" s="1" t="n">
        <f aca="false">J89-I89</f>
        <v>0.0449979773815947</v>
      </c>
      <c r="L89" s="1" t="n">
        <v>0.769786735181106</v>
      </c>
    </row>
    <row r="90" customFormat="false" ht="15" hidden="false" customHeight="false" outlineLevel="0" collapsed="false">
      <c r="A90" s="1" t="s">
        <v>73</v>
      </c>
      <c r="B90" s="1" t="s">
        <v>74</v>
      </c>
      <c r="C90" s="1" t="s">
        <v>75</v>
      </c>
      <c r="D90" s="1" t="s">
        <v>19</v>
      </c>
      <c r="E90" s="1" t="s">
        <v>20</v>
      </c>
      <c r="F90" s="1" t="n">
        <v>28</v>
      </c>
      <c r="G90" s="1" t="s">
        <v>23</v>
      </c>
      <c r="H90" s="1" t="n">
        <v>0.1662</v>
      </c>
      <c r="I90" s="1" t="n">
        <v>0.350956462383054</v>
      </c>
      <c r="J90" s="1" t="n">
        <v>0.3536427917885</v>
      </c>
      <c r="K90" s="1" t="n">
        <f aca="false">J90-I90</f>
        <v>0.00268632940544672</v>
      </c>
      <c r="L90" s="1" t="n">
        <v>0.769786735181106</v>
      </c>
    </row>
    <row r="91" customFormat="false" ht="15" hidden="false" customHeight="false" outlineLevel="0" collapsed="false">
      <c r="A91" s="1" t="s">
        <v>73</v>
      </c>
      <c r="B91" s="1" t="s">
        <v>74</v>
      </c>
      <c r="C91" s="1" t="s">
        <v>75</v>
      </c>
      <c r="D91" s="1" t="s">
        <v>19</v>
      </c>
      <c r="E91" s="1" t="s">
        <v>20</v>
      </c>
      <c r="F91" s="1" t="n">
        <v>28</v>
      </c>
      <c r="G91" s="1" t="s">
        <v>25</v>
      </c>
      <c r="H91" s="1" t="n">
        <v>0.1573</v>
      </c>
      <c r="I91" s="1" t="n">
        <v>0.332037227483346</v>
      </c>
      <c r="J91" s="1" t="n">
        <v>0.391786243617525</v>
      </c>
      <c r="K91" s="1" t="n">
        <f aca="false">J91-I91</f>
        <v>0.0597490161341784</v>
      </c>
      <c r="L91" s="1" t="n">
        <v>0.769786735181106</v>
      </c>
    </row>
    <row r="92" customFormat="false" ht="15" hidden="false" customHeight="false" outlineLevel="0" collapsed="false">
      <c r="A92" s="1" t="s">
        <v>73</v>
      </c>
      <c r="B92" s="1" t="s">
        <v>74</v>
      </c>
      <c r="C92" s="1" t="s">
        <v>75</v>
      </c>
      <c r="D92" s="1" t="s">
        <v>19</v>
      </c>
      <c r="E92" s="1" t="s">
        <v>20</v>
      </c>
      <c r="F92" s="1" t="n">
        <v>28</v>
      </c>
      <c r="G92" s="1" t="s">
        <v>26</v>
      </c>
      <c r="H92" s="1" t="n">
        <v>0.1558</v>
      </c>
      <c r="I92" s="1" t="n">
        <v>0.328960536429323</v>
      </c>
      <c r="J92" s="1" t="n">
        <v>0.340009230961623</v>
      </c>
      <c r="K92" s="1" t="n">
        <f aca="false">J92-I92</f>
        <v>0.0110486945322996</v>
      </c>
      <c r="L92" s="1" t="n">
        <v>0.769786735181106</v>
      </c>
    </row>
    <row r="93" customFormat="false" ht="15" hidden="false" customHeight="false" outlineLevel="0" collapsed="false">
      <c r="A93" s="1" t="s">
        <v>76</v>
      </c>
      <c r="B93" s="1" t="s">
        <v>77</v>
      </c>
      <c r="C93" s="1" t="s">
        <v>78</v>
      </c>
      <c r="D93" s="1" t="s">
        <v>19</v>
      </c>
      <c r="E93" s="1" t="s">
        <v>20</v>
      </c>
      <c r="F93" s="1" t="n">
        <v>30</v>
      </c>
      <c r="G93" s="1" t="s">
        <v>24</v>
      </c>
      <c r="H93" s="1" t="n">
        <v>0.1958</v>
      </c>
      <c r="I93" s="1" t="n">
        <v>0.373340033600514</v>
      </c>
      <c r="J93" s="1" t="n">
        <v>0.38456421314778</v>
      </c>
      <c r="K93" s="1" t="n">
        <f aca="false">J93-I93</f>
        <v>0.0112241795472652</v>
      </c>
      <c r="L93" s="1" t="n">
        <v>0.784212018718249</v>
      </c>
    </row>
    <row r="94" customFormat="false" ht="15" hidden="false" customHeight="false" outlineLevel="0" collapsed="false">
      <c r="A94" s="1" t="s">
        <v>76</v>
      </c>
      <c r="B94" s="1" t="s">
        <v>77</v>
      </c>
      <c r="C94" s="1" t="s">
        <v>78</v>
      </c>
      <c r="D94" s="1" t="s">
        <v>19</v>
      </c>
      <c r="E94" s="1" t="s">
        <v>20</v>
      </c>
      <c r="F94" s="1" t="n">
        <v>30</v>
      </c>
      <c r="G94" s="1" t="s">
        <v>21</v>
      </c>
      <c r="H94" s="1" t="n">
        <v>0.1907</v>
      </c>
      <c r="I94" s="1" t="n">
        <v>0.363608657691165</v>
      </c>
      <c r="J94" s="1" t="n">
        <v>0.388678291041108</v>
      </c>
      <c r="K94" s="1" t="n">
        <f aca="false">J94-I94</f>
        <v>0.0250696333499432</v>
      </c>
      <c r="L94" s="1" t="n">
        <v>0.784212018718249</v>
      </c>
    </row>
    <row r="95" customFormat="false" ht="15" hidden="false" customHeight="false" outlineLevel="0" collapsed="false">
      <c r="A95" s="1" t="s">
        <v>76</v>
      </c>
      <c r="B95" s="1" t="s">
        <v>77</v>
      </c>
      <c r="C95" s="1" t="s">
        <v>78</v>
      </c>
      <c r="D95" s="1" t="s">
        <v>19</v>
      </c>
      <c r="E95" s="1" t="s">
        <v>20</v>
      </c>
      <c r="F95" s="1" t="n">
        <v>30</v>
      </c>
      <c r="G95" s="1" t="s">
        <v>25</v>
      </c>
      <c r="H95" s="1" t="n">
        <v>0.174</v>
      </c>
      <c r="I95" s="1" t="n">
        <v>0.331772384448452</v>
      </c>
      <c r="J95" s="1" t="n">
        <v>0.366063692229338</v>
      </c>
      <c r="K95" s="1" t="n">
        <f aca="false">J95-I95</f>
        <v>0.034291307780886</v>
      </c>
      <c r="L95" s="1" t="n">
        <v>0.784212018718249</v>
      </c>
    </row>
    <row r="96" customFormat="false" ht="15" hidden="false" customHeight="false" outlineLevel="0" collapsed="false">
      <c r="A96" s="1" t="s">
        <v>76</v>
      </c>
      <c r="B96" s="1" t="s">
        <v>77</v>
      </c>
      <c r="C96" s="1" t="s">
        <v>78</v>
      </c>
      <c r="D96" s="1" t="s">
        <v>19</v>
      </c>
      <c r="E96" s="1" t="s">
        <v>20</v>
      </c>
      <c r="F96" s="1" t="n">
        <v>30</v>
      </c>
      <c r="G96" s="1" t="s">
        <v>23</v>
      </c>
      <c r="H96" s="1" t="n">
        <v>0.1711</v>
      </c>
      <c r="I96" s="1" t="n">
        <v>0.32633715258585</v>
      </c>
      <c r="J96" s="1" t="n">
        <v>0.347451205032172</v>
      </c>
      <c r="K96" s="1" t="n">
        <f aca="false">J96-I96</f>
        <v>0.0211140524463216</v>
      </c>
      <c r="L96" s="1" t="n">
        <v>0.784212018718249</v>
      </c>
    </row>
    <row r="97" customFormat="false" ht="15" hidden="false" customHeight="false" outlineLevel="0" collapsed="false">
      <c r="A97" s="1" t="s">
        <v>76</v>
      </c>
      <c r="B97" s="1" t="s">
        <v>77</v>
      </c>
      <c r="C97" s="1" t="s">
        <v>78</v>
      </c>
      <c r="D97" s="1" t="s">
        <v>19</v>
      </c>
      <c r="E97" s="1" t="s">
        <v>20</v>
      </c>
      <c r="F97" s="1" t="n">
        <v>30</v>
      </c>
      <c r="G97" s="1" t="s">
        <v>22</v>
      </c>
      <c r="H97" s="1" t="n">
        <v>0.1684</v>
      </c>
      <c r="I97" s="1" t="n">
        <v>0.321026464362886</v>
      </c>
      <c r="J97" s="1" t="n">
        <v>0.337985134046267</v>
      </c>
      <c r="K97" s="1" t="n">
        <f aca="false">J97-I97</f>
        <v>0.0169586696833807</v>
      </c>
      <c r="L97" s="1" t="n">
        <v>0.784212018718249</v>
      </c>
    </row>
    <row r="98" customFormat="false" ht="15" hidden="false" customHeight="false" outlineLevel="0" collapsed="false">
      <c r="A98" s="1" t="s">
        <v>76</v>
      </c>
      <c r="B98" s="1" t="s">
        <v>77</v>
      </c>
      <c r="C98" s="1" t="s">
        <v>78</v>
      </c>
      <c r="D98" s="1" t="s">
        <v>19</v>
      </c>
      <c r="E98" s="1" t="s">
        <v>20</v>
      </c>
      <c r="F98" s="1" t="n">
        <v>30</v>
      </c>
      <c r="G98" s="1" t="s">
        <v>26</v>
      </c>
      <c r="H98" s="1" t="n">
        <v>0.1</v>
      </c>
      <c r="I98" s="1" t="n">
        <v>0.306081472488075</v>
      </c>
      <c r="J98" s="1" t="n">
        <v>0.308626029378321</v>
      </c>
      <c r="K98" s="1" t="n">
        <f aca="false">J98-I98</f>
        <v>0.00254455689024619</v>
      </c>
      <c r="L98" s="1" t="n">
        <v>0.784212018718249</v>
      </c>
    </row>
    <row r="99" customFormat="false" ht="15" hidden="false" customHeight="false" outlineLevel="0" collapsed="false">
      <c r="A99" s="1" t="s">
        <v>79</v>
      </c>
      <c r="B99" s="1" t="s">
        <v>80</v>
      </c>
      <c r="C99" s="1" t="s">
        <v>81</v>
      </c>
      <c r="D99" s="1" t="s">
        <v>19</v>
      </c>
      <c r="E99" s="1" t="s">
        <v>20</v>
      </c>
      <c r="F99" s="1" t="n">
        <v>32</v>
      </c>
      <c r="G99" s="1" t="s">
        <v>24</v>
      </c>
      <c r="H99" s="1" t="n">
        <v>0.2029</v>
      </c>
      <c r="I99" s="1" t="n">
        <v>0.353138349074811</v>
      </c>
      <c r="J99" s="1" t="n">
        <v>0.435812708907063</v>
      </c>
      <c r="K99" s="1" t="n">
        <f aca="false">J99-I99</f>
        <v>0.082674359832252</v>
      </c>
      <c r="L99" s="1" t="n">
        <v>0.741725308103978</v>
      </c>
    </row>
    <row r="100" customFormat="false" ht="15" hidden="false" customHeight="false" outlineLevel="0" collapsed="false">
      <c r="A100" s="1" t="s">
        <v>79</v>
      </c>
      <c r="B100" s="1" t="s">
        <v>80</v>
      </c>
      <c r="C100" s="1" t="s">
        <v>81</v>
      </c>
      <c r="D100" s="1" t="s">
        <v>19</v>
      </c>
      <c r="E100" s="1" t="s">
        <v>20</v>
      </c>
      <c r="F100" s="1" t="n">
        <v>32</v>
      </c>
      <c r="G100" s="1" t="s">
        <v>23</v>
      </c>
      <c r="H100" s="1" t="n">
        <v>0.1797</v>
      </c>
      <c r="I100" s="1" t="n">
        <v>0.312683293687002</v>
      </c>
      <c r="J100" s="1" t="n">
        <v>0.359782851612137</v>
      </c>
      <c r="K100" s="1" t="n">
        <f aca="false">J100-I100</f>
        <v>0.0470995579251351</v>
      </c>
      <c r="L100" s="1" t="n">
        <v>0.741725308103978</v>
      </c>
    </row>
    <row r="101" customFormat="false" ht="15" hidden="false" customHeight="false" outlineLevel="0" collapsed="false">
      <c r="A101" s="1" t="s">
        <v>79</v>
      </c>
      <c r="B101" s="1" t="s">
        <v>80</v>
      </c>
      <c r="C101" s="1" t="s">
        <v>81</v>
      </c>
      <c r="D101" s="1" t="s">
        <v>19</v>
      </c>
      <c r="E101" s="1" t="s">
        <v>20</v>
      </c>
      <c r="F101" s="1" t="n">
        <v>32</v>
      </c>
      <c r="G101" s="1" t="s">
        <v>21</v>
      </c>
      <c r="H101" s="1" t="n">
        <v>0.1748</v>
      </c>
      <c r="I101" s="1" t="n">
        <v>0.304127304560441</v>
      </c>
      <c r="J101" s="1" t="n">
        <v>0.40591267707707</v>
      </c>
      <c r="K101" s="1" t="n">
        <f aca="false">J101-I101</f>
        <v>0.101785372516629</v>
      </c>
      <c r="L101" s="1" t="n">
        <v>0.741725308103978</v>
      </c>
    </row>
    <row r="102" customFormat="false" ht="15" hidden="false" customHeight="false" outlineLevel="0" collapsed="false">
      <c r="A102" s="1" t="s">
        <v>79</v>
      </c>
      <c r="B102" s="1" t="s">
        <v>80</v>
      </c>
      <c r="C102" s="1" t="s">
        <v>81</v>
      </c>
      <c r="D102" s="1" t="s">
        <v>19</v>
      </c>
      <c r="E102" s="1" t="s">
        <v>20</v>
      </c>
      <c r="F102" s="1" t="n">
        <v>32</v>
      </c>
      <c r="G102" s="1" t="s">
        <v>49</v>
      </c>
      <c r="H102" s="1" t="n">
        <v>0.1718</v>
      </c>
      <c r="I102" s="1" t="n">
        <v>0.298899368406653</v>
      </c>
      <c r="J102" s="1" t="n">
        <v>0.384677808694974</v>
      </c>
      <c r="K102" s="1" t="n">
        <f aca="false">J102-I102</f>
        <v>0.0857784402883211</v>
      </c>
      <c r="L102" s="1" t="n">
        <v>0.741725308103978</v>
      </c>
    </row>
    <row r="103" customFormat="false" ht="15" hidden="false" customHeight="false" outlineLevel="0" collapsed="false">
      <c r="A103" s="1" t="s">
        <v>79</v>
      </c>
      <c r="B103" s="1" t="s">
        <v>80</v>
      </c>
      <c r="C103" s="1" t="s">
        <v>81</v>
      </c>
      <c r="D103" s="1" t="s">
        <v>19</v>
      </c>
      <c r="E103" s="1" t="s">
        <v>20</v>
      </c>
      <c r="F103" s="1" t="n">
        <v>32</v>
      </c>
      <c r="G103" s="1" t="s">
        <v>25</v>
      </c>
      <c r="H103" s="1" t="n">
        <v>0.1709</v>
      </c>
      <c r="I103" s="1" t="n">
        <v>0.297426717123971</v>
      </c>
      <c r="J103" s="1" t="n">
        <v>0.407185023165859</v>
      </c>
      <c r="K103" s="1" t="n">
        <f aca="false">J103-I103</f>
        <v>0.109758306041888</v>
      </c>
      <c r="L103" s="1" t="n">
        <v>0.741725308103978</v>
      </c>
    </row>
    <row r="104" customFormat="false" ht="15" hidden="false" customHeight="false" outlineLevel="0" collapsed="false">
      <c r="A104" s="1" t="s">
        <v>79</v>
      </c>
      <c r="B104" s="1" t="s">
        <v>80</v>
      </c>
      <c r="C104" s="1" t="s">
        <v>81</v>
      </c>
      <c r="D104" s="1" t="s">
        <v>19</v>
      </c>
      <c r="E104" s="1" t="s">
        <v>20</v>
      </c>
      <c r="F104" s="1" t="n">
        <v>32</v>
      </c>
      <c r="G104" s="1" t="s">
        <v>26</v>
      </c>
      <c r="H104" s="1" t="n">
        <v>0.1</v>
      </c>
      <c r="I104" s="1" t="n">
        <v>0.259563309747107</v>
      </c>
      <c r="J104" s="1" t="n">
        <v>0.348311690630322</v>
      </c>
      <c r="K104" s="1" t="n">
        <f aca="false">J104-I104</f>
        <v>0.0887483808832146</v>
      </c>
      <c r="L104" s="1" t="n">
        <v>0.741725308103978</v>
      </c>
    </row>
    <row r="105" customFormat="false" ht="15" hidden="false" customHeight="false" outlineLevel="0" collapsed="false">
      <c r="A105" s="1" t="s">
        <v>82</v>
      </c>
      <c r="B105" s="1" t="s">
        <v>83</v>
      </c>
      <c r="C105" s="1" t="s">
        <v>84</v>
      </c>
      <c r="D105" s="1" t="s">
        <v>19</v>
      </c>
      <c r="E105" s="1" t="s">
        <v>20</v>
      </c>
      <c r="F105" s="1" t="n">
        <v>34</v>
      </c>
      <c r="G105" s="1" t="s">
        <v>21</v>
      </c>
      <c r="H105" s="1" t="n">
        <v>0.1942</v>
      </c>
      <c r="I105" s="1" t="n">
        <v>0.412819454664787</v>
      </c>
      <c r="J105" s="1" t="n">
        <v>0.461785038112802</v>
      </c>
      <c r="K105" s="1" t="n">
        <f aca="false">J105-I105</f>
        <v>0.0489655834480156</v>
      </c>
      <c r="L105" s="1" t="n">
        <v>0.71842174917648</v>
      </c>
    </row>
    <row r="106" customFormat="false" ht="15" hidden="false" customHeight="false" outlineLevel="0" collapsed="false">
      <c r="A106" s="1" t="s">
        <v>82</v>
      </c>
      <c r="B106" s="1" t="s">
        <v>83</v>
      </c>
      <c r="C106" s="1" t="s">
        <v>84</v>
      </c>
      <c r="D106" s="1" t="s">
        <v>19</v>
      </c>
      <c r="E106" s="1" t="s">
        <v>20</v>
      </c>
      <c r="F106" s="1" t="n">
        <v>34</v>
      </c>
      <c r="G106" s="1" t="s">
        <v>24</v>
      </c>
      <c r="H106" s="1" t="n">
        <v>0.1906</v>
      </c>
      <c r="I106" s="1" t="n">
        <v>0.405074746853616</v>
      </c>
      <c r="J106" s="1" t="n">
        <v>0.428721028589604</v>
      </c>
      <c r="K106" s="1" t="n">
        <f aca="false">J106-I106</f>
        <v>0.0236462817359881</v>
      </c>
      <c r="L106" s="1" t="n">
        <v>0.71842174917648</v>
      </c>
    </row>
    <row r="107" customFormat="false" ht="15" hidden="false" customHeight="false" outlineLevel="0" collapsed="false">
      <c r="A107" s="1" t="s">
        <v>82</v>
      </c>
      <c r="B107" s="1" t="s">
        <v>83</v>
      </c>
      <c r="C107" s="1" t="s">
        <v>84</v>
      </c>
      <c r="D107" s="1" t="s">
        <v>19</v>
      </c>
      <c r="E107" s="1" t="s">
        <v>20</v>
      </c>
      <c r="F107" s="1" t="n">
        <v>34</v>
      </c>
      <c r="G107" s="1" t="s">
        <v>23</v>
      </c>
      <c r="H107" s="1" t="n">
        <v>0.1805</v>
      </c>
      <c r="I107" s="1" t="n">
        <v>0.383639454657584</v>
      </c>
      <c r="J107" s="1" t="n">
        <v>0.357699286340503</v>
      </c>
      <c r="K107" s="1" t="n">
        <f aca="false">J107-I107</f>
        <v>-0.025940168317081</v>
      </c>
      <c r="L107" s="1" t="n">
        <v>0.71842174917648</v>
      </c>
    </row>
    <row r="108" customFormat="false" ht="15" hidden="false" customHeight="false" outlineLevel="0" collapsed="false">
      <c r="A108" s="1" t="s">
        <v>82</v>
      </c>
      <c r="B108" s="1" t="s">
        <v>83</v>
      </c>
      <c r="C108" s="1" t="s">
        <v>84</v>
      </c>
      <c r="D108" s="1" t="s">
        <v>19</v>
      </c>
      <c r="E108" s="1" t="s">
        <v>20</v>
      </c>
      <c r="F108" s="1" t="n">
        <v>34</v>
      </c>
      <c r="G108" s="1" t="s">
        <v>30</v>
      </c>
      <c r="H108" s="1" t="n">
        <v>0.169</v>
      </c>
      <c r="I108" s="1" t="n">
        <v>0.359222335693569</v>
      </c>
      <c r="J108" s="1" t="n">
        <v>0.394864864399644</v>
      </c>
      <c r="K108" s="1" t="n">
        <f aca="false">J108-I108</f>
        <v>0.0356425287060747</v>
      </c>
      <c r="L108" s="1" t="n">
        <v>0.71842174917648</v>
      </c>
    </row>
    <row r="109" customFormat="false" ht="15" hidden="false" customHeight="false" outlineLevel="0" collapsed="false">
      <c r="A109" s="1" t="s">
        <v>82</v>
      </c>
      <c r="B109" s="1" t="s">
        <v>83</v>
      </c>
      <c r="C109" s="1" t="s">
        <v>84</v>
      </c>
      <c r="D109" s="1" t="s">
        <v>19</v>
      </c>
      <c r="E109" s="1" t="s">
        <v>20</v>
      </c>
      <c r="F109" s="1" t="n">
        <v>34</v>
      </c>
      <c r="G109" s="1" t="s">
        <v>66</v>
      </c>
      <c r="H109" s="1" t="n">
        <v>0.1657</v>
      </c>
      <c r="I109" s="1" t="n">
        <v>0.35229288766024</v>
      </c>
      <c r="J109" s="1" t="n">
        <v>0.330391690042413</v>
      </c>
      <c r="K109" s="1" t="n">
        <f aca="false">J109-I109</f>
        <v>-0.0219011976178267</v>
      </c>
      <c r="L109" s="1" t="n">
        <v>0.71842174917648</v>
      </c>
    </row>
    <row r="110" customFormat="false" ht="15" hidden="false" customHeight="false" outlineLevel="0" collapsed="false">
      <c r="A110" s="1" t="s">
        <v>82</v>
      </c>
      <c r="B110" s="1" t="s">
        <v>83</v>
      </c>
      <c r="C110" s="1" t="s">
        <v>84</v>
      </c>
      <c r="D110" s="1" t="s">
        <v>19</v>
      </c>
      <c r="E110" s="1" t="s">
        <v>20</v>
      </c>
      <c r="F110" s="1" t="n">
        <v>34</v>
      </c>
      <c r="G110" s="1" t="s">
        <v>26</v>
      </c>
      <c r="H110" s="1" t="n">
        <v>0.1</v>
      </c>
      <c r="I110" s="1" t="n">
        <v>0.329203062426551</v>
      </c>
      <c r="J110" s="1" t="n">
        <v>0.330317069843751</v>
      </c>
      <c r="K110" s="1" t="n">
        <f aca="false">J110-I110</f>
        <v>0.00111400741720019</v>
      </c>
      <c r="L110" s="1" t="n">
        <v>0.71842174917648</v>
      </c>
    </row>
    <row r="111" customFormat="false" ht="15" hidden="false" customHeight="false" outlineLevel="0" collapsed="false">
      <c r="A111" s="1" t="s">
        <v>85</v>
      </c>
      <c r="B111" s="1" t="s">
        <v>86</v>
      </c>
      <c r="C111" s="1" t="s">
        <v>87</v>
      </c>
      <c r="D111" s="1" t="s">
        <v>19</v>
      </c>
      <c r="E111" s="1" t="s">
        <v>20</v>
      </c>
      <c r="F111" s="1" t="n">
        <v>36</v>
      </c>
      <c r="G111" s="1" t="s">
        <v>22</v>
      </c>
      <c r="H111" s="1" t="n">
        <v>0.1922</v>
      </c>
      <c r="I111" s="1" t="n">
        <v>0.394957896013742</v>
      </c>
      <c r="J111" s="1" t="n">
        <v>0.503095589294158</v>
      </c>
      <c r="K111" s="1" t="n">
        <f aca="false">J111-I111</f>
        <v>0.108137693280417</v>
      </c>
      <c r="L111" s="1" t="n">
        <v>0.676598731860284</v>
      </c>
    </row>
    <row r="112" customFormat="false" ht="15" hidden="false" customHeight="false" outlineLevel="0" collapsed="false">
      <c r="A112" s="1" t="s">
        <v>85</v>
      </c>
      <c r="B112" s="1" t="s">
        <v>86</v>
      </c>
      <c r="C112" s="1" t="s">
        <v>87</v>
      </c>
      <c r="D112" s="1" t="s">
        <v>19</v>
      </c>
      <c r="E112" s="1" t="s">
        <v>20</v>
      </c>
      <c r="F112" s="1" t="n">
        <v>36</v>
      </c>
      <c r="G112" s="1" t="s">
        <v>24</v>
      </c>
      <c r="H112" s="1" t="n">
        <v>0.1869</v>
      </c>
      <c r="I112" s="1" t="n">
        <v>0.384018763894971</v>
      </c>
      <c r="J112" s="1" t="n">
        <v>0.421503691705454</v>
      </c>
      <c r="K112" s="1" t="n">
        <f aca="false">J112-I112</f>
        <v>0.0374849278104826</v>
      </c>
      <c r="L112" s="1" t="n">
        <v>0.676598731860284</v>
      </c>
    </row>
    <row r="113" customFormat="false" ht="15" hidden="false" customHeight="false" outlineLevel="0" collapsed="false">
      <c r="A113" s="1" t="s">
        <v>85</v>
      </c>
      <c r="B113" s="1" t="s">
        <v>86</v>
      </c>
      <c r="C113" s="1" t="s">
        <v>87</v>
      </c>
      <c r="D113" s="1" t="s">
        <v>19</v>
      </c>
      <c r="E113" s="1" t="s">
        <v>20</v>
      </c>
      <c r="F113" s="1" t="n">
        <v>36</v>
      </c>
      <c r="G113" s="1" t="s">
        <v>25</v>
      </c>
      <c r="H113" s="1" t="n">
        <v>0.1779</v>
      </c>
      <c r="I113" s="1" t="n">
        <v>0.365650971538869</v>
      </c>
      <c r="J113" s="1" t="n">
        <v>0.438581995326073</v>
      </c>
      <c r="K113" s="1" t="n">
        <f aca="false">J113-I113</f>
        <v>0.0729310237872039</v>
      </c>
      <c r="L113" s="1" t="n">
        <v>0.676598731860284</v>
      </c>
    </row>
    <row r="114" customFormat="false" ht="15" hidden="false" customHeight="false" outlineLevel="0" collapsed="false">
      <c r="A114" s="1" t="s">
        <v>85</v>
      </c>
      <c r="B114" s="1" t="s">
        <v>86</v>
      </c>
      <c r="C114" s="1" t="s">
        <v>87</v>
      </c>
      <c r="D114" s="1" t="s">
        <v>19</v>
      </c>
      <c r="E114" s="1" t="s">
        <v>20</v>
      </c>
      <c r="F114" s="1" t="n">
        <v>36</v>
      </c>
      <c r="G114" s="1" t="s">
        <v>21</v>
      </c>
      <c r="H114" s="1" t="n">
        <v>0.1761</v>
      </c>
      <c r="I114" s="1" t="n">
        <v>0.361807345370273</v>
      </c>
      <c r="J114" s="1" t="n">
        <v>0.420212936695175</v>
      </c>
      <c r="K114" s="1" t="n">
        <f aca="false">J114-I114</f>
        <v>0.0584055913249019</v>
      </c>
      <c r="L114" s="1" t="n">
        <v>0.676598731860284</v>
      </c>
    </row>
    <row r="115" customFormat="false" ht="15" hidden="false" customHeight="false" outlineLevel="0" collapsed="false">
      <c r="A115" s="1" t="s">
        <v>85</v>
      </c>
      <c r="B115" s="1" t="s">
        <v>86</v>
      </c>
      <c r="C115" s="1" t="s">
        <v>87</v>
      </c>
      <c r="D115" s="1" t="s">
        <v>19</v>
      </c>
      <c r="E115" s="1" t="s">
        <v>20</v>
      </c>
      <c r="F115" s="1" t="n">
        <v>36</v>
      </c>
      <c r="G115" s="1" t="s">
        <v>56</v>
      </c>
      <c r="H115" s="1" t="n">
        <v>0.167</v>
      </c>
      <c r="I115" s="1" t="n">
        <v>0.343121410466245</v>
      </c>
      <c r="J115" s="1" t="n">
        <v>0.409612333383047</v>
      </c>
      <c r="K115" s="1" t="n">
        <f aca="false">J115-I115</f>
        <v>0.0664909229168018</v>
      </c>
      <c r="L115" s="1" t="n">
        <v>0.676598731860284</v>
      </c>
    </row>
    <row r="116" customFormat="false" ht="15" hidden="false" customHeight="false" outlineLevel="0" collapsed="false">
      <c r="A116" s="1" t="s">
        <v>85</v>
      </c>
      <c r="B116" s="1" t="s">
        <v>86</v>
      </c>
      <c r="C116" s="1" t="s">
        <v>87</v>
      </c>
      <c r="D116" s="1" t="s">
        <v>19</v>
      </c>
      <c r="E116" s="1" t="s">
        <v>20</v>
      </c>
      <c r="F116" s="1" t="n">
        <v>36</v>
      </c>
      <c r="G116" s="1" t="s">
        <v>26</v>
      </c>
      <c r="H116" s="1" t="n">
        <v>0.1</v>
      </c>
      <c r="I116" s="1" t="n">
        <v>0.249597763315365</v>
      </c>
      <c r="J116" s="1" t="n">
        <v>0.362217674139622</v>
      </c>
      <c r="K116" s="1" t="n">
        <f aca="false">J116-I116</f>
        <v>0.112619910824257</v>
      </c>
      <c r="L116" s="1" t="n">
        <v>0.676598731860284</v>
      </c>
    </row>
    <row r="117" customFormat="false" ht="15" hidden="false" customHeight="false" outlineLevel="0" collapsed="false">
      <c r="A117" s="1" t="s">
        <v>88</v>
      </c>
      <c r="B117" s="1" t="s">
        <v>89</v>
      </c>
      <c r="C117" s="1" t="s">
        <v>90</v>
      </c>
      <c r="D117" s="1" t="s">
        <v>19</v>
      </c>
      <c r="E117" s="1" t="s">
        <v>20</v>
      </c>
      <c r="F117" s="1" t="n">
        <v>38</v>
      </c>
      <c r="G117" s="1" t="s">
        <v>22</v>
      </c>
      <c r="H117" s="1" t="n">
        <v>0.2128</v>
      </c>
      <c r="I117" s="1" t="n">
        <v>0.473958891318281</v>
      </c>
      <c r="J117" s="1" t="n">
        <v>0.340644062359472</v>
      </c>
      <c r="K117" s="1" t="n">
        <f aca="false">J117-I117</f>
        <v>-0.133314828958809</v>
      </c>
      <c r="L117" s="1" t="n">
        <v>0.629078814128947</v>
      </c>
    </row>
    <row r="118" customFormat="false" ht="15" hidden="false" customHeight="false" outlineLevel="0" collapsed="false">
      <c r="A118" s="1" t="s">
        <v>88</v>
      </c>
      <c r="B118" s="1" t="s">
        <v>89</v>
      </c>
      <c r="C118" s="1" t="s">
        <v>90</v>
      </c>
      <c r="D118" s="1" t="s">
        <v>19</v>
      </c>
      <c r="E118" s="1" t="s">
        <v>20</v>
      </c>
      <c r="F118" s="1" t="n">
        <v>38</v>
      </c>
      <c r="G118" s="1" t="s">
        <v>21</v>
      </c>
      <c r="H118" s="1" t="n">
        <v>0.1768</v>
      </c>
      <c r="I118" s="1" t="n">
        <v>0.393782458751926</v>
      </c>
      <c r="J118" s="1" t="n">
        <v>0.407360186892827</v>
      </c>
      <c r="K118" s="1" t="n">
        <f aca="false">J118-I118</f>
        <v>0.013577728140901</v>
      </c>
      <c r="L118" s="1" t="n">
        <v>0.629078814128947</v>
      </c>
    </row>
    <row r="119" customFormat="false" ht="15" hidden="false" customHeight="false" outlineLevel="0" collapsed="false">
      <c r="A119" s="1" t="s">
        <v>88</v>
      </c>
      <c r="B119" s="1" t="s">
        <v>89</v>
      </c>
      <c r="C119" s="1" t="s">
        <v>90</v>
      </c>
      <c r="D119" s="1" t="s">
        <v>19</v>
      </c>
      <c r="E119" s="1" t="s">
        <v>20</v>
      </c>
      <c r="F119" s="1" t="n">
        <v>38</v>
      </c>
      <c r="G119" s="1" t="s">
        <v>25</v>
      </c>
      <c r="H119" s="1" t="n">
        <v>0.1762</v>
      </c>
      <c r="I119" s="1" t="n">
        <v>0.392436354939409</v>
      </c>
      <c r="J119" s="1" t="n">
        <v>0.327354347539269</v>
      </c>
      <c r="K119" s="1" t="n">
        <f aca="false">J119-I119</f>
        <v>-0.0650820074001404</v>
      </c>
      <c r="L119" s="1" t="n">
        <v>0.629078814128947</v>
      </c>
    </row>
    <row r="120" customFormat="false" ht="15" hidden="false" customHeight="false" outlineLevel="0" collapsed="false">
      <c r="A120" s="1" t="s">
        <v>88</v>
      </c>
      <c r="B120" s="1" t="s">
        <v>89</v>
      </c>
      <c r="C120" s="1" t="s">
        <v>90</v>
      </c>
      <c r="D120" s="1" t="s">
        <v>19</v>
      </c>
      <c r="E120" s="1" t="s">
        <v>20</v>
      </c>
      <c r="F120" s="1" t="n">
        <v>38</v>
      </c>
      <c r="G120" s="1" t="s">
        <v>24</v>
      </c>
      <c r="H120" s="1" t="n">
        <v>0.1675</v>
      </c>
      <c r="I120" s="1" t="n">
        <v>0.373043976585074</v>
      </c>
      <c r="J120" s="1" t="n">
        <v>0.301701224315882</v>
      </c>
      <c r="K120" s="1" t="n">
        <f aca="false">J120-I120</f>
        <v>-0.0713427522691917</v>
      </c>
      <c r="L120" s="1" t="n">
        <v>0.629078814128947</v>
      </c>
    </row>
    <row r="121" customFormat="false" ht="15" hidden="false" customHeight="false" outlineLevel="0" collapsed="false">
      <c r="A121" s="1" t="s">
        <v>88</v>
      </c>
      <c r="B121" s="1" t="s">
        <v>89</v>
      </c>
      <c r="C121" s="1" t="s">
        <v>90</v>
      </c>
      <c r="D121" s="1" t="s">
        <v>19</v>
      </c>
      <c r="E121" s="1" t="s">
        <v>20</v>
      </c>
      <c r="F121" s="1" t="n">
        <v>38</v>
      </c>
      <c r="G121" s="1" t="s">
        <v>56</v>
      </c>
      <c r="H121" s="1" t="n">
        <v>0.1667</v>
      </c>
      <c r="I121" s="1" t="n">
        <v>0.371236795680551</v>
      </c>
      <c r="J121" s="1" t="n">
        <v>0.257538853606795</v>
      </c>
      <c r="K121" s="1" t="n">
        <f aca="false">J121-I121</f>
        <v>-0.113697942073756</v>
      </c>
      <c r="L121" s="1" t="n">
        <v>0.629078814128947</v>
      </c>
    </row>
    <row r="122" customFormat="false" ht="15" hidden="false" customHeight="false" outlineLevel="0" collapsed="false">
      <c r="A122" s="1" t="s">
        <v>88</v>
      </c>
      <c r="B122" s="1" t="s">
        <v>89</v>
      </c>
      <c r="C122" s="1" t="s">
        <v>90</v>
      </c>
      <c r="D122" s="1" t="s">
        <v>19</v>
      </c>
      <c r="E122" s="1" t="s">
        <v>20</v>
      </c>
      <c r="F122" s="1" t="n">
        <v>38</v>
      </c>
      <c r="G122" s="1" t="s">
        <v>26</v>
      </c>
      <c r="H122" s="1" t="n">
        <v>0.1</v>
      </c>
      <c r="I122" s="1" t="n">
        <v>0.302176183484142</v>
      </c>
      <c r="J122" s="1" t="n">
        <v>0.277764450393259</v>
      </c>
      <c r="K122" s="1" t="n">
        <f aca="false">J122-I122</f>
        <v>-0.0244117330908825</v>
      </c>
      <c r="L122" s="1" t="n">
        <v>0.629078814128947</v>
      </c>
    </row>
    <row r="123" customFormat="false" ht="15" hidden="false" customHeight="false" outlineLevel="0" collapsed="false">
      <c r="A123" s="1" t="s">
        <v>91</v>
      </c>
      <c r="B123" s="1" t="s">
        <v>92</v>
      </c>
      <c r="C123" s="1" t="s">
        <v>93</v>
      </c>
      <c r="D123" s="1" t="s">
        <v>19</v>
      </c>
      <c r="E123" s="1" t="s">
        <v>20</v>
      </c>
      <c r="F123" s="1" t="n">
        <v>40</v>
      </c>
      <c r="G123" s="1" t="s">
        <v>21</v>
      </c>
      <c r="H123" s="1" t="n">
        <v>0.2122</v>
      </c>
      <c r="I123" s="1" t="n">
        <v>0.409703207995083</v>
      </c>
      <c r="J123" s="1" t="n">
        <v>0.439448720827943</v>
      </c>
      <c r="K123" s="1" t="n">
        <f aca="false">J123-I123</f>
        <v>0.0297455128328598</v>
      </c>
      <c r="L123" s="1" t="n">
        <v>0.716426666679795</v>
      </c>
    </row>
    <row r="124" customFormat="false" ht="15" hidden="false" customHeight="false" outlineLevel="0" collapsed="false">
      <c r="A124" s="1" t="s">
        <v>91</v>
      </c>
      <c r="B124" s="1" t="s">
        <v>92</v>
      </c>
      <c r="C124" s="1" t="s">
        <v>93</v>
      </c>
      <c r="D124" s="1" t="s">
        <v>19</v>
      </c>
      <c r="E124" s="1" t="s">
        <v>20</v>
      </c>
      <c r="F124" s="1" t="n">
        <v>40</v>
      </c>
      <c r="G124" s="1" t="s">
        <v>22</v>
      </c>
      <c r="H124" s="1" t="n">
        <v>0.1887</v>
      </c>
      <c r="I124" s="1" t="n">
        <v>0.364372192498289</v>
      </c>
      <c r="J124" s="1" t="n">
        <v>0.415569268788725</v>
      </c>
      <c r="K124" s="1" t="n">
        <f aca="false">J124-I124</f>
        <v>0.0511970762904358</v>
      </c>
      <c r="L124" s="1" t="n">
        <v>0.716426666679795</v>
      </c>
    </row>
    <row r="125" customFormat="false" ht="15" hidden="false" customHeight="false" outlineLevel="0" collapsed="false">
      <c r="A125" s="1" t="s">
        <v>91</v>
      </c>
      <c r="B125" s="1" t="s">
        <v>92</v>
      </c>
      <c r="C125" s="1" t="s">
        <v>93</v>
      </c>
      <c r="D125" s="1" t="s">
        <v>19</v>
      </c>
      <c r="E125" s="1" t="s">
        <v>20</v>
      </c>
      <c r="F125" s="1" t="n">
        <v>40</v>
      </c>
      <c r="G125" s="1" t="s">
        <v>25</v>
      </c>
      <c r="H125" s="1" t="n">
        <v>0.1733</v>
      </c>
      <c r="I125" s="1" t="n">
        <v>0.334504365015125</v>
      </c>
      <c r="J125" s="1" t="n">
        <v>0.425070855378922</v>
      </c>
      <c r="K125" s="1" t="n">
        <f aca="false">J125-I125</f>
        <v>0.0905664903637973</v>
      </c>
      <c r="L125" s="1" t="n">
        <v>0.716426666679795</v>
      </c>
    </row>
    <row r="126" customFormat="false" ht="15" hidden="false" customHeight="false" outlineLevel="0" collapsed="false">
      <c r="A126" s="1" t="s">
        <v>91</v>
      </c>
      <c r="B126" s="1" t="s">
        <v>92</v>
      </c>
      <c r="C126" s="1" t="s">
        <v>93</v>
      </c>
      <c r="D126" s="1" t="s">
        <v>19</v>
      </c>
      <c r="E126" s="1" t="s">
        <v>20</v>
      </c>
      <c r="F126" s="1" t="n">
        <v>40</v>
      </c>
      <c r="G126" s="1" t="s">
        <v>24</v>
      </c>
      <c r="H126" s="1" t="n">
        <v>0.1699</v>
      </c>
      <c r="I126" s="1" t="n">
        <v>0.327927901130488</v>
      </c>
      <c r="J126" s="1" t="n">
        <v>0.462968541071134</v>
      </c>
      <c r="K126" s="1" t="n">
        <f aca="false">J126-I126</f>
        <v>0.135040639940646</v>
      </c>
      <c r="L126" s="1" t="n">
        <v>0.716426666679795</v>
      </c>
    </row>
    <row r="127" customFormat="false" ht="15" hidden="false" customHeight="false" outlineLevel="0" collapsed="false">
      <c r="A127" s="1" t="s">
        <v>91</v>
      </c>
      <c r="B127" s="1" t="s">
        <v>92</v>
      </c>
      <c r="C127" s="1" t="s">
        <v>93</v>
      </c>
      <c r="D127" s="1" t="s">
        <v>19</v>
      </c>
      <c r="E127" s="1" t="s">
        <v>20</v>
      </c>
      <c r="F127" s="1" t="n">
        <v>40</v>
      </c>
      <c r="G127" s="1" t="s">
        <v>66</v>
      </c>
      <c r="H127" s="1" t="n">
        <v>0.1559</v>
      </c>
      <c r="I127" s="1" t="n">
        <v>0.300985541242307</v>
      </c>
      <c r="J127" s="1" t="n">
        <v>0.368897924707251</v>
      </c>
      <c r="K127" s="1" t="n">
        <f aca="false">J127-I127</f>
        <v>0.0679123834649431</v>
      </c>
      <c r="L127" s="1" t="n">
        <v>0.716426666679795</v>
      </c>
    </row>
    <row r="128" customFormat="false" ht="15" hidden="false" customHeight="false" outlineLevel="0" collapsed="false">
      <c r="A128" s="1" t="s">
        <v>91</v>
      </c>
      <c r="B128" s="1" t="s">
        <v>92</v>
      </c>
      <c r="C128" s="1" t="s">
        <v>93</v>
      </c>
      <c r="D128" s="1" t="s">
        <v>19</v>
      </c>
      <c r="E128" s="1" t="s">
        <v>20</v>
      </c>
      <c r="F128" s="1" t="n">
        <v>40</v>
      </c>
      <c r="G128" s="1" t="s">
        <v>26</v>
      </c>
      <c r="H128" s="1" t="n">
        <v>0.1</v>
      </c>
      <c r="I128" s="1" t="n">
        <v>0.265046422522192</v>
      </c>
      <c r="J128" s="1" t="n">
        <v>0.378826935537678</v>
      </c>
      <c r="K128" s="1" t="n">
        <f aca="false">J128-I128</f>
        <v>0.113780513015486</v>
      </c>
      <c r="L128" s="1" t="n">
        <v>0.716426666679795</v>
      </c>
    </row>
    <row r="129" customFormat="false" ht="15" hidden="false" customHeight="false" outlineLevel="0" collapsed="false">
      <c r="A129" s="1" t="s">
        <v>94</v>
      </c>
      <c r="B129" s="1" t="s">
        <v>95</v>
      </c>
      <c r="C129" s="1" t="s">
        <v>96</v>
      </c>
      <c r="D129" s="1" t="s">
        <v>19</v>
      </c>
      <c r="E129" s="1" t="s">
        <v>20</v>
      </c>
      <c r="F129" s="1" t="n">
        <v>42</v>
      </c>
      <c r="G129" s="1" t="s">
        <v>24</v>
      </c>
      <c r="H129" s="1" t="n">
        <v>0.1926</v>
      </c>
      <c r="I129" s="1" t="n">
        <v>0.463722610369977</v>
      </c>
      <c r="J129" s="1" t="n">
        <v>0.405836862286097</v>
      </c>
      <c r="K129" s="1" t="n">
        <f aca="false">J129-I129</f>
        <v>-0.0578857480838806</v>
      </c>
      <c r="L129" s="1" t="n">
        <v>0.671030917852718</v>
      </c>
    </row>
    <row r="130" customFormat="false" ht="15" hidden="false" customHeight="false" outlineLevel="0" collapsed="false">
      <c r="A130" s="1" t="s">
        <v>94</v>
      </c>
      <c r="B130" s="1" t="s">
        <v>95</v>
      </c>
      <c r="C130" s="1" t="s">
        <v>96</v>
      </c>
      <c r="D130" s="1" t="s">
        <v>19</v>
      </c>
      <c r="E130" s="1" t="s">
        <v>20</v>
      </c>
      <c r="F130" s="1" t="n">
        <v>42</v>
      </c>
      <c r="G130" s="1" t="s">
        <v>26</v>
      </c>
      <c r="H130" s="1" t="n">
        <v>0.1709</v>
      </c>
      <c r="I130" s="1" t="n">
        <v>0.411549965545951</v>
      </c>
      <c r="J130" s="1" t="n">
        <v>0.307673139239765</v>
      </c>
      <c r="K130" s="1" t="n">
        <f aca="false">J130-I130</f>
        <v>-0.103876826306186</v>
      </c>
      <c r="L130" s="1" t="n">
        <v>0.671030917852718</v>
      </c>
    </row>
    <row r="131" customFormat="false" ht="15" hidden="false" customHeight="false" outlineLevel="0" collapsed="false">
      <c r="A131" s="1" t="s">
        <v>94</v>
      </c>
      <c r="B131" s="1" t="s">
        <v>95</v>
      </c>
      <c r="C131" s="1" t="s">
        <v>96</v>
      </c>
      <c r="D131" s="1" t="s">
        <v>19</v>
      </c>
      <c r="E131" s="1" t="s">
        <v>20</v>
      </c>
      <c r="F131" s="1" t="n">
        <v>42</v>
      </c>
      <c r="G131" s="1" t="s">
        <v>21</v>
      </c>
      <c r="H131" s="1" t="n">
        <v>0.1654</v>
      </c>
      <c r="I131" s="1" t="n">
        <v>0.398259126407745</v>
      </c>
      <c r="J131" s="1" t="n">
        <v>0.414299637819255</v>
      </c>
      <c r="K131" s="1" t="n">
        <f aca="false">J131-I131</f>
        <v>0.0160405114115105</v>
      </c>
      <c r="L131" s="1" t="n">
        <v>0.671030917852718</v>
      </c>
    </row>
    <row r="132" customFormat="false" ht="15" hidden="false" customHeight="false" outlineLevel="0" collapsed="false">
      <c r="A132" s="1" t="s">
        <v>94</v>
      </c>
      <c r="B132" s="1" t="s">
        <v>95</v>
      </c>
      <c r="C132" s="1" t="s">
        <v>96</v>
      </c>
      <c r="D132" s="1" t="s">
        <v>19</v>
      </c>
      <c r="E132" s="1" t="s">
        <v>20</v>
      </c>
      <c r="F132" s="1" t="n">
        <v>42</v>
      </c>
      <c r="G132" s="1" t="s">
        <v>23</v>
      </c>
      <c r="H132" s="1" t="n">
        <v>0.1623</v>
      </c>
      <c r="I132" s="1" t="n">
        <v>0.390960948110751</v>
      </c>
      <c r="J132" s="1" t="n">
        <v>0.355717120544012</v>
      </c>
      <c r="K132" s="1" t="n">
        <f aca="false">J132-I132</f>
        <v>-0.0352438275667388</v>
      </c>
      <c r="L132" s="1" t="n">
        <v>0.671030917852718</v>
      </c>
    </row>
    <row r="133" customFormat="false" ht="15" hidden="false" customHeight="false" outlineLevel="0" collapsed="false">
      <c r="A133" s="1" t="s">
        <v>94</v>
      </c>
      <c r="B133" s="1" t="s">
        <v>95</v>
      </c>
      <c r="C133" s="1" t="s">
        <v>96</v>
      </c>
      <c r="D133" s="1" t="s">
        <v>19</v>
      </c>
      <c r="E133" s="1" t="s">
        <v>20</v>
      </c>
      <c r="F133" s="1" t="n">
        <v>42</v>
      </c>
      <c r="G133" s="1" t="s">
        <v>22</v>
      </c>
      <c r="H133" s="1" t="n">
        <v>0.1577</v>
      </c>
      <c r="I133" s="1" t="n">
        <v>0.379773776082122</v>
      </c>
      <c r="J133" s="1" t="n">
        <v>0.376664145262836</v>
      </c>
      <c r="K133" s="1" t="n">
        <f aca="false">J133-I133</f>
        <v>-0.00310963081928539</v>
      </c>
      <c r="L133" s="1" t="n">
        <v>0.671030917852718</v>
      </c>
    </row>
    <row r="134" customFormat="false" ht="15" hidden="false" customHeight="false" outlineLevel="0" collapsed="false">
      <c r="A134" s="1" t="s">
        <v>94</v>
      </c>
      <c r="B134" s="1" t="s">
        <v>95</v>
      </c>
      <c r="C134" s="1" t="s">
        <v>96</v>
      </c>
      <c r="D134" s="1" t="s">
        <v>19</v>
      </c>
      <c r="E134" s="1" t="s">
        <v>20</v>
      </c>
      <c r="F134" s="1" t="n">
        <v>42</v>
      </c>
      <c r="G134" s="1" t="s">
        <v>66</v>
      </c>
      <c r="H134" s="1" t="n">
        <v>0.1511</v>
      </c>
      <c r="I134" s="1" t="n">
        <v>0.364006122199054</v>
      </c>
      <c r="J134" s="1" t="n">
        <v>0.309036512776822</v>
      </c>
      <c r="K134" s="1" t="n">
        <f aca="false">J134-I134</f>
        <v>-0.0549696094222319</v>
      </c>
      <c r="L134" s="1" t="n">
        <v>0.671030917852718</v>
      </c>
    </row>
    <row r="135" customFormat="false" ht="15" hidden="false" customHeight="false" outlineLevel="0" collapsed="false">
      <c r="A135" s="1" t="s">
        <v>97</v>
      </c>
      <c r="B135" s="1" t="s">
        <v>98</v>
      </c>
      <c r="C135" s="1" t="s">
        <v>99</v>
      </c>
      <c r="D135" s="1" t="s">
        <v>19</v>
      </c>
      <c r="E135" s="1" t="s">
        <v>20</v>
      </c>
      <c r="F135" s="1" t="n">
        <v>44</v>
      </c>
      <c r="G135" s="1" t="s">
        <v>24</v>
      </c>
      <c r="H135" s="1" t="n">
        <v>0.1959</v>
      </c>
      <c r="I135" s="1" t="n">
        <v>0.405071300952822</v>
      </c>
      <c r="J135" s="1" t="n">
        <v>0.419594702971168</v>
      </c>
      <c r="K135" s="1" t="n">
        <f aca="false">J135-I135</f>
        <v>0.0145234020183468</v>
      </c>
      <c r="L135" s="1" t="n">
        <v>0.727473528774715</v>
      </c>
    </row>
    <row r="136" customFormat="false" ht="15" hidden="false" customHeight="false" outlineLevel="0" collapsed="false">
      <c r="A136" s="1" t="s">
        <v>97</v>
      </c>
      <c r="B136" s="1" t="s">
        <v>98</v>
      </c>
      <c r="C136" s="1" t="s">
        <v>99</v>
      </c>
      <c r="D136" s="1" t="s">
        <v>19</v>
      </c>
      <c r="E136" s="1" t="s">
        <v>20</v>
      </c>
      <c r="F136" s="1" t="n">
        <v>44</v>
      </c>
      <c r="G136" s="1" t="s">
        <v>21</v>
      </c>
      <c r="H136" s="1" t="n">
        <v>0.1917</v>
      </c>
      <c r="I136" s="1" t="n">
        <v>0.39644730045227</v>
      </c>
      <c r="J136" s="1" t="n">
        <v>0.452300451452388</v>
      </c>
      <c r="K136" s="1" t="n">
        <f aca="false">J136-I136</f>
        <v>0.0558531510001179</v>
      </c>
      <c r="L136" s="1" t="n">
        <v>0.727473528774715</v>
      </c>
    </row>
    <row r="137" customFormat="false" ht="15" hidden="false" customHeight="false" outlineLevel="0" collapsed="false">
      <c r="A137" s="1" t="s">
        <v>97</v>
      </c>
      <c r="B137" s="1" t="s">
        <v>98</v>
      </c>
      <c r="C137" s="1" t="s">
        <v>99</v>
      </c>
      <c r="D137" s="1" t="s">
        <v>19</v>
      </c>
      <c r="E137" s="1" t="s">
        <v>20</v>
      </c>
      <c r="F137" s="1" t="n">
        <v>44</v>
      </c>
      <c r="G137" s="1" t="s">
        <v>22</v>
      </c>
      <c r="H137" s="1" t="n">
        <v>0.175</v>
      </c>
      <c r="I137" s="1" t="n">
        <v>0.361968361646986</v>
      </c>
      <c r="J137" s="1" t="n">
        <v>0.440868953111424</v>
      </c>
      <c r="K137" s="1" t="n">
        <f aca="false">J137-I137</f>
        <v>0.0789005914644385</v>
      </c>
      <c r="L137" s="1" t="n">
        <v>0.727473528774715</v>
      </c>
    </row>
    <row r="138" customFormat="false" ht="15" hidden="false" customHeight="false" outlineLevel="0" collapsed="false">
      <c r="A138" s="1" t="s">
        <v>97</v>
      </c>
      <c r="B138" s="1" t="s">
        <v>98</v>
      </c>
      <c r="C138" s="1" t="s">
        <v>99</v>
      </c>
      <c r="D138" s="1" t="s">
        <v>19</v>
      </c>
      <c r="E138" s="1" t="s">
        <v>20</v>
      </c>
      <c r="F138" s="1" t="n">
        <v>44</v>
      </c>
      <c r="G138" s="1" t="s">
        <v>23</v>
      </c>
      <c r="H138" s="1" t="n">
        <v>0.1749</v>
      </c>
      <c r="I138" s="1" t="n">
        <v>0.361757545550667</v>
      </c>
      <c r="J138" s="1" t="n">
        <v>0.393245454423875</v>
      </c>
      <c r="K138" s="1" t="n">
        <f aca="false">J138-I138</f>
        <v>0.0314879088732078</v>
      </c>
      <c r="L138" s="1" t="n">
        <v>0.727473528774715</v>
      </c>
    </row>
    <row r="139" customFormat="false" ht="15" hidden="false" customHeight="false" outlineLevel="0" collapsed="false">
      <c r="A139" s="1" t="s">
        <v>97</v>
      </c>
      <c r="B139" s="1" t="s">
        <v>98</v>
      </c>
      <c r="C139" s="1" t="s">
        <v>99</v>
      </c>
      <c r="D139" s="1" t="s">
        <v>19</v>
      </c>
      <c r="E139" s="1" t="s">
        <v>20</v>
      </c>
      <c r="F139" s="1" t="n">
        <v>44</v>
      </c>
      <c r="G139" s="1" t="s">
        <v>34</v>
      </c>
      <c r="H139" s="1" t="n">
        <v>0.1625</v>
      </c>
      <c r="I139" s="1" t="n">
        <v>0.33606364690381</v>
      </c>
      <c r="J139" s="1" t="n">
        <v>0.381010638053142</v>
      </c>
      <c r="K139" s="1" t="n">
        <f aca="false">J139-I139</f>
        <v>0.044946991149332</v>
      </c>
      <c r="L139" s="1" t="n">
        <v>0.727473528774715</v>
      </c>
    </row>
    <row r="140" customFormat="false" ht="15" hidden="false" customHeight="false" outlineLevel="0" collapsed="false">
      <c r="A140" s="1" t="s">
        <v>97</v>
      </c>
      <c r="B140" s="1" t="s">
        <v>98</v>
      </c>
      <c r="C140" s="1" t="s">
        <v>99</v>
      </c>
      <c r="D140" s="1" t="s">
        <v>19</v>
      </c>
      <c r="E140" s="1" t="s">
        <v>20</v>
      </c>
      <c r="F140" s="1" t="n">
        <v>44</v>
      </c>
      <c r="G140" s="1" t="s">
        <v>26</v>
      </c>
      <c r="H140" s="1" t="n">
        <v>0.1</v>
      </c>
      <c r="I140" s="1" t="n">
        <v>0.291981498495767</v>
      </c>
      <c r="J140" s="1" t="n">
        <v>0.346097277080988</v>
      </c>
      <c r="K140" s="1" t="n">
        <f aca="false">J140-I140</f>
        <v>0.0541157785852204</v>
      </c>
      <c r="L140" s="1" t="n">
        <v>0.727473528774715</v>
      </c>
    </row>
    <row r="141" customFormat="false" ht="15" hidden="false" customHeight="false" outlineLevel="0" collapsed="false">
      <c r="A141" s="1" t="s">
        <v>100</v>
      </c>
      <c r="B141" s="1" t="s">
        <v>101</v>
      </c>
      <c r="C141" s="1" t="s">
        <v>102</v>
      </c>
      <c r="D141" s="1" t="s">
        <v>19</v>
      </c>
      <c r="E141" s="1" t="s">
        <v>20</v>
      </c>
      <c r="F141" s="1" t="n">
        <v>46</v>
      </c>
      <c r="G141" s="1" t="s">
        <v>24</v>
      </c>
      <c r="H141" s="1" t="n">
        <v>0.1966</v>
      </c>
      <c r="I141" s="1" t="n">
        <v>0.37793900984506</v>
      </c>
      <c r="J141" s="1" t="n">
        <v>0.426596335485311</v>
      </c>
      <c r="K141" s="1" t="n">
        <f aca="false">J141-I141</f>
        <v>0.0486573256402504</v>
      </c>
      <c r="L141" s="1" t="n">
        <v>0.721776373024424</v>
      </c>
    </row>
    <row r="142" customFormat="false" ht="15" hidden="false" customHeight="false" outlineLevel="0" collapsed="false">
      <c r="A142" s="1" t="s">
        <v>100</v>
      </c>
      <c r="B142" s="1" t="s">
        <v>101</v>
      </c>
      <c r="C142" s="1" t="s">
        <v>102</v>
      </c>
      <c r="D142" s="1" t="s">
        <v>19</v>
      </c>
      <c r="E142" s="1" t="s">
        <v>20</v>
      </c>
      <c r="F142" s="1" t="n">
        <v>46</v>
      </c>
      <c r="G142" s="1" t="s">
        <v>22</v>
      </c>
      <c r="H142" s="1" t="n">
        <v>0.1811</v>
      </c>
      <c r="I142" s="1" t="n">
        <v>0.348132527002617</v>
      </c>
      <c r="J142" s="1" t="n">
        <v>0.392953893202717</v>
      </c>
      <c r="K142" s="1" t="n">
        <f aca="false">J142-I142</f>
        <v>0.0448213662000997</v>
      </c>
      <c r="L142" s="1" t="n">
        <v>0.721776373024424</v>
      </c>
    </row>
    <row r="143" customFormat="false" ht="15" hidden="false" customHeight="false" outlineLevel="0" collapsed="false">
      <c r="A143" s="1" t="s">
        <v>100</v>
      </c>
      <c r="B143" s="1" t="s">
        <v>101</v>
      </c>
      <c r="C143" s="1" t="s">
        <v>102</v>
      </c>
      <c r="D143" s="1" t="s">
        <v>19</v>
      </c>
      <c r="E143" s="1" t="s">
        <v>20</v>
      </c>
      <c r="F143" s="1" t="n">
        <v>46</v>
      </c>
      <c r="G143" s="1" t="s">
        <v>21</v>
      </c>
      <c r="H143" s="1" t="n">
        <v>0.1761</v>
      </c>
      <c r="I143" s="1" t="n">
        <v>0.338444514639121</v>
      </c>
      <c r="J143" s="1" t="n">
        <v>0.394609837235129</v>
      </c>
      <c r="K143" s="1" t="n">
        <f aca="false">J143-I143</f>
        <v>0.0561653225960078</v>
      </c>
      <c r="L143" s="1" t="n">
        <v>0.721776373024424</v>
      </c>
    </row>
    <row r="144" customFormat="false" ht="15" hidden="false" customHeight="false" outlineLevel="0" collapsed="false">
      <c r="A144" s="1" t="s">
        <v>100</v>
      </c>
      <c r="B144" s="1" t="s">
        <v>101</v>
      </c>
      <c r="C144" s="1" t="s">
        <v>102</v>
      </c>
      <c r="D144" s="1" t="s">
        <v>19</v>
      </c>
      <c r="E144" s="1" t="s">
        <v>20</v>
      </c>
      <c r="F144" s="1" t="n">
        <v>46</v>
      </c>
      <c r="G144" s="1" t="s">
        <v>23</v>
      </c>
      <c r="H144" s="1" t="n">
        <v>0.1741</v>
      </c>
      <c r="I144" s="1" t="n">
        <v>0.334688543408398</v>
      </c>
      <c r="J144" s="1" t="n">
        <v>0.387666074531601</v>
      </c>
      <c r="K144" s="1" t="n">
        <f aca="false">J144-I144</f>
        <v>0.052977531123203</v>
      </c>
      <c r="L144" s="1" t="n">
        <v>0.721776373024424</v>
      </c>
    </row>
    <row r="145" customFormat="false" ht="15" hidden="false" customHeight="false" outlineLevel="0" collapsed="false">
      <c r="A145" s="1" t="s">
        <v>100</v>
      </c>
      <c r="B145" s="1" t="s">
        <v>101</v>
      </c>
      <c r="C145" s="1" t="s">
        <v>102</v>
      </c>
      <c r="D145" s="1" t="s">
        <v>19</v>
      </c>
      <c r="E145" s="1" t="s">
        <v>20</v>
      </c>
      <c r="F145" s="1" t="n">
        <v>46</v>
      </c>
      <c r="G145" s="1" t="s">
        <v>45</v>
      </c>
      <c r="H145" s="1" t="n">
        <v>0.1721</v>
      </c>
      <c r="I145" s="1" t="n">
        <v>0.330881391491849</v>
      </c>
      <c r="J145" s="1" t="n">
        <v>0.320639317119938</v>
      </c>
      <c r="K145" s="1" t="n">
        <f aca="false">J145-I145</f>
        <v>-0.0102420743719117</v>
      </c>
      <c r="L145" s="1" t="n">
        <v>0.721776373024424</v>
      </c>
    </row>
    <row r="146" customFormat="false" ht="15" hidden="false" customHeight="false" outlineLevel="0" collapsed="false">
      <c r="A146" s="1" t="s">
        <v>100</v>
      </c>
      <c r="B146" s="1" t="s">
        <v>101</v>
      </c>
      <c r="C146" s="1" t="s">
        <v>102</v>
      </c>
      <c r="D146" s="1" t="s">
        <v>19</v>
      </c>
      <c r="E146" s="1" t="s">
        <v>20</v>
      </c>
      <c r="F146" s="1" t="n">
        <v>46</v>
      </c>
      <c r="G146" s="1" t="s">
        <v>26</v>
      </c>
      <c r="H146" s="1" t="n">
        <v>0.1</v>
      </c>
      <c r="I146" s="1" t="n">
        <v>0.266305852944833</v>
      </c>
      <c r="J146" s="1" t="n">
        <v>0.386244393773529</v>
      </c>
      <c r="K146" s="1" t="n">
        <f aca="false">J146-I146</f>
        <v>0.119938540828695</v>
      </c>
      <c r="L146" s="1" t="n">
        <v>0.721776373024424</v>
      </c>
    </row>
    <row r="147" customFormat="false" ht="15" hidden="false" customHeight="false" outlineLevel="0" collapsed="false">
      <c r="A147" s="1" t="s">
        <v>103</v>
      </c>
      <c r="B147" s="1" t="s">
        <v>104</v>
      </c>
      <c r="C147" s="1" t="s">
        <v>105</v>
      </c>
      <c r="D147" s="1" t="s">
        <v>19</v>
      </c>
      <c r="E147" s="1" t="s">
        <v>20</v>
      </c>
      <c r="F147" s="1" t="n">
        <v>48</v>
      </c>
      <c r="G147" s="1" t="s">
        <v>24</v>
      </c>
      <c r="H147" s="1" t="n">
        <v>0.1777</v>
      </c>
      <c r="I147" s="1" t="n">
        <v>0.400545583566598</v>
      </c>
      <c r="J147" s="1" t="n">
        <v>0.368406732834094</v>
      </c>
      <c r="K147" s="1" t="n">
        <f aca="false">J147-I147</f>
        <v>-0.0321388507325038</v>
      </c>
      <c r="L147" s="1" t="n">
        <v>0.665583111085999</v>
      </c>
    </row>
    <row r="148" customFormat="false" ht="15" hidden="false" customHeight="false" outlineLevel="0" collapsed="false">
      <c r="A148" s="1" t="s">
        <v>103</v>
      </c>
      <c r="B148" s="1" t="s">
        <v>104</v>
      </c>
      <c r="C148" s="1" t="s">
        <v>105</v>
      </c>
      <c r="D148" s="1" t="s">
        <v>19</v>
      </c>
      <c r="E148" s="1" t="s">
        <v>20</v>
      </c>
      <c r="F148" s="1" t="n">
        <v>48</v>
      </c>
      <c r="G148" s="1" t="s">
        <v>26</v>
      </c>
      <c r="H148" s="1" t="n">
        <v>0.1661</v>
      </c>
      <c r="I148" s="1" t="n">
        <v>0.374496931532998</v>
      </c>
      <c r="J148" s="1" t="n">
        <v>0.319775139476138</v>
      </c>
      <c r="K148" s="1" t="n">
        <f aca="false">J148-I148</f>
        <v>-0.0547217920568596</v>
      </c>
      <c r="L148" s="1" t="n">
        <v>0.665583111085999</v>
      </c>
    </row>
    <row r="149" customFormat="false" ht="15" hidden="false" customHeight="false" outlineLevel="0" collapsed="false">
      <c r="A149" s="1" t="s">
        <v>103</v>
      </c>
      <c r="B149" s="1" t="s">
        <v>104</v>
      </c>
      <c r="C149" s="1" t="s">
        <v>105</v>
      </c>
      <c r="D149" s="1" t="s">
        <v>19</v>
      </c>
      <c r="E149" s="1" t="s">
        <v>20</v>
      </c>
      <c r="F149" s="1" t="n">
        <v>48</v>
      </c>
      <c r="G149" s="1" t="s">
        <v>23</v>
      </c>
      <c r="H149" s="1" t="n">
        <v>0.1652</v>
      </c>
      <c r="I149" s="1" t="n">
        <v>0.372356596772599</v>
      </c>
      <c r="J149" s="1" t="n">
        <v>0.353610682609568</v>
      </c>
      <c r="K149" s="1" t="n">
        <f aca="false">J149-I149</f>
        <v>-0.0187459141630308</v>
      </c>
      <c r="L149" s="1" t="n">
        <v>0.665583111085999</v>
      </c>
    </row>
    <row r="150" customFormat="false" ht="15" hidden="false" customHeight="false" outlineLevel="0" collapsed="false">
      <c r="A150" s="1" t="s">
        <v>103</v>
      </c>
      <c r="B150" s="1" t="s">
        <v>104</v>
      </c>
      <c r="C150" s="1" t="s">
        <v>105</v>
      </c>
      <c r="D150" s="1" t="s">
        <v>19</v>
      </c>
      <c r="E150" s="1" t="s">
        <v>20</v>
      </c>
      <c r="F150" s="1" t="n">
        <v>48</v>
      </c>
      <c r="G150" s="1" t="s">
        <v>21</v>
      </c>
      <c r="H150" s="1" t="n">
        <v>0.1651</v>
      </c>
      <c r="I150" s="1" t="n">
        <v>0.372222080321638</v>
      </c>
      <c r="J150" s="1" t="n">
        <v>0.438770111382881</v>
      </c>
      <c r="K150" s="1" t="n">
        <f aca="false">J150-I150</f>
        <v>0.0665480310612425</v>
      </c>
      <c r="L150" s="1" t="n">
        <v>0.665583111085999</v>
      </c>
    </row>
    <row r="151" customFormat="false" ht="15" hidden="false" customHeight="false" outlineLevel="0" collapsed="false">
      <c r="A151" s="1" t="s">
        <v>103</v>
      </c>
      <c r="B151" s="1" t="s">
        <v>104</v>
      </c>
      <c r="C151" s="1" t="s">
        <v>105</v>
      </c>
      <c r="D151" s="1" t="s">
        <v>19</v>
      </c>
      <c r="E151" s="1" t="s">
        <v>20</v>
      </c>
      <c r="F151" s="1" t="n">
        <v>48</v>
      </c>
      <c r="G151" s="1" t="s">
        <v>22</v>
      </c>
      <c r="H151" s="1" t="n">
        <v>0.1639</v>
      </c>
      <c r="I151" s="1" t="n">
        <v>0.369598396482495</v>
      </c>
      <c r="J151" s="1" t="n">
        <v>0.382559905981518</v>
      </c>
      <c r="K151" s="1" t="n">
        <f aca="false">J151-I151</f>
        <v>0.0129615094990229</v>
      </c>
      <c r="L151" s="1" t="n">
        <v>0.665583111085999</v>
      </c>
    </row>
    <row r="152" customFormat="false" ht="15" hidden="false" customHeight="false" outlineLevel="0" collapsed="false">
      <c r="A152" s="1" t="s">
        <v>103</v>
      </c>
      <c r="B152" s="1" t="s">
        <v>104</v>
      </c>
      <c r="C152" s="1" t="s">
        <v>105</v>
      </c>
      <c r="D152" s="1" t="s">
        <v>19</v>
      </c>
      <c r="E152" s="1" t="s">
        <v>20</v>
      </c>
      <c r="F152" s="1" t="n">
        <v>48</v>
      </c>
      <c r="G152" s="1" t="s">
        <v>66</v>
      </c>
      <c r="H152" s="1" t="n">
        <v>0.162</v>
      </c>
      <c r="I152" s="1" t="n">
        <v>0.365185801848474</v>
      </c>
      <c r="J152" s="1" t="n">
        <v>0.392268001365351</v>
      </c>
      <c r="K152" s="1" t="n">
        <f aca="false">J152-I152</f>
        <v>0.0270821995168774</v>
      </c>
      <c r="L152" s="1" t="n">
        <v>0.665583111085999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1" width="19.32"/>
  </cols>
  <sheetData>
    <row r="1" customFormat="false" ht="12.8" hidden="false" customHeight="false" outlineLevel="0" collapsed="false">
      <c r="A1" s="5" t="s">
        <v>106</v>
      </c>
      <c r="B1" s="5"/>
    </row>
    <row r="2" customFormat="false" ht="12.8" hidden="false" customHeight="false" outlineLevel="0" collapsed="false">
      <c r="A2" s="5"/>
      <c r="B2" s="5"/>
    </row>
    <row r="3" customFormat="false" ht="12.8" hidden="false" customHeight="false" outlineLevel="0" collapsed="false">
      <c r="A3" s="5" t="s">
        <v>107</v>
      </c>
      <c r="B3" s="6" t="n">
        <f aca="false">scen5_ac15p!P2</f>
        <v>150</v>
      </c>
    </row>
    <row r="4" customFormat="false" ht="12.8" hidden="false" customHeight="false" outlineLevel="0" collapsed="false">
      <c r="A4" s="5" t="s">
        <v>108</v>
      </c>
      <c r="B4" s="5" t="n">
        <f aca="false">B10*SQRT((B3-2)/(1-B10^2))</f>
        <v>-3.1926588344065</v>
      </c>
    </row>
    <row r="5" customFormat="false" ht="12.8" hidden="false" customHeight="false" outlineLevel="0" collapsed="false">
      <c r="A5" s="5" t="s">
        <v>109</v>
      </c>
      <c r="B5" s="5" t="n">
        <f aca="false">_xlfn.T.DIST.2T(ABS(B4),B3-2)</f>
        <v>0.00172218608992693</v>
      </c>
    </row>
    <row r="6" customFormat="false" ht="12.8" hidden="false" customHeight="false" outlineLevel="0" collapsed="false">
      <c r="A6" s="5"/>
      <c r="B6" s="7"/>
    </row>
    <row r="7" customFormat="false" ht="12.8" hidden="false" customHeight="false" outlineLevel="0" collapsed="false">
      <c r="A7" s="5"/>
      <c r="B7" s="7"/>
    </row>
    <row r="8" customFormat="false" ht="12.8" hidden="false" customHeight="false" outlineLevel="0" collapsed="false">
      <c r="A8" s="5"/>
      <c r="B8" s="7"/>
    </row>
    <row r="9" customFormat="false" ht="19.4" hidden="false" customHeight="false" outlineLevel="0" collapsed="false">
      <c r="A9" s="2" t="s">
        <v>12</v>
      </c>
      <c r="B9" s="2" t="s">
        <v>14</v>
      </c>
    </row>
    <row r="10" customFormat="false" ht="12.8" hidden="false" customHeight="false" outlineLevel="0" collapsed="false">
      <c r="A10" s="8" t="n">
        <f aca="false">B3</f>
        <v>150</v>
      </c>
      <c r="B10" s="8" t="n">
        <f aca="false">scen5_ac15p!R2</f>
        <v>-0.253839255197165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8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4" activeCellId="0" sqref="A4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2" min="2" style="1" width="19.32"/>
  </cols>
  <sheetData>
    <row r="2" customFormat="false" ht="12.8" hidden="false" customHeight="false" outlineLevel="0" collapsed="false">
      <c r="A2" s="9" t="s">
        <v>110</v>
      </c>
      <c r="B2" s="9"/>
    </row>
    <row r="3" customFormat="false" ht="12.8" hidden="false" customHeight="false" outlineLevel="0" collapsed="false">
      <c r="A3" s="10" t="s">
        <v>111</v>
      </c>
      <c r="B3" s="4" t="s">
        <v>112</v>
      </c>
    </row>
    <row r="4" customFormat="false" ht="12.8" hidden="false" customHeight="false" outlineLevel="0" collapsed="false">
      <c r="A4" s="7" t="n">
        <v>1</v>
      </c>
      <c r="B4" s="1" t="n">
        <v>0.775953672739373</v>
      </c>
    </row>
    <row r="5" customFormat="false" ht="12.8" hidden="false" customHeight="false" outlineLevel="0" collapsed="false">
      <c r="A5" s="7" t="n">
        <v>2</v>
      </c>
      <c r="B5" s="1" t="n">
        <v>0.742381155272784</v>
      </c>
    </row>
    <row r="6" customFormat="false" ht="12.8" hidden="false" customHeight="false" outlineLevel="0" collapsed="false">
      <c r="A6" s="7" t="n">
        <v>3</v>
      </c>
      <c r="B6" s="1" t="n">
        <v>0.71959451369822</v>
      </c>
    </row>
    <row r="7" customFormat="false" ht="12.8" hidden="false" customHeight="false" outlineLevel="0" collapsed="false">
      <c r="A7" s="7" t="n">
        <v>4</v>
      </c>
      <c r="B7" s="1" t="n">
        <v>0.744685778636444</v>
      </c>
    </row>
    <row r="8" customFormat="false" ht="12.8" hidden="false" customHeight="false" outlineLevel="0" collapsed="false">
      <c r="A8" s="7" t="n">
        <v>5</v>
      </c>
      <c r="B8" s="1" t="n">
        <v>0.810472087374711</v>
      </c>
    </row>
    <row r="9" customFormat="false" ht="12.8" hidden="false" customHeight="false" outlineLevel="0" collapsed="false">
      <c r="A9" s="7" t="n">
        <v>6</v>
      </c>
      <c r="B9" s="1" t="n">
        <v>0.726316259765409</v>
      </c>
    </row>
    <row r="10" customFormat="false" ht="12.8" hidden="false" customHeight="false" outlineLevel="0" collapsed="false">
      <c r="A10" s="7" t="n">
        <v>7</v>
      </c>
      <c r="B10" s="1" t="n">
        <v>0.793215439015998</v>
      </c>
    </row>
    <row r="11" customFormat="false" ht="12.8" hidden="false" customHeight="false" outlineLevel="0" collapsed="false">
      <c r="A11" s="7" t="n">
        <v>8</v>
      </c>
      <c r="B11" s="1" t="n">
        <v>0.704599278382629</v>
      </c>
    </row>
    <row r="12" customFormat="false" ht="12.8" hidden="false" customHeight="false" outlineLevel="0" collapsed="false">
      <c r="A12" s="7" t="n">
        <v>9</v>
      </c>
      <c r="B12" s="1" t="n">
        <v>0.753231887262209</v>
      </c>
    </row>
    <row r="13" customFormat="false" ht="12.8" hidden="false" customHeight="false" outlineLevel="0" collapsed="false">
      <c r="A13" s="7" t="n">
        <v>10</v>
      </c>
      <c r="B13" s="1" t="n">
        <v>0.786918063323164</v>
      </c>
    </row>
    <row r="14" customFormat="false" ht="12.8" hidden="false" customHeight="false" outlineLevel="0" collapsed="false">
      <c r="A14" s="7" t="n">
        <v>11</v>
      </c>
      <c r="B14" s="1" t="n">
        <v>0.757737648671806</v>
      </c>
    </row>
    <row r="15" customFormat="false" ht="12.8" hidden="false" customHeight="false" outlineLevel="0" collapsed="false">
      <c r="A15" s="7" t="n">
        <v>12</v>
      </c>
      <c r="B15" s="1" t="n">
        <v>0.790488784330214</v>
      </c>
    </row>
    <row r="16" customFormat="false" ht="12.8" hidden="false" customHeight="false" outlineLevel="0" collapsed="false">
      <c r="A16" s="7" t="n">
        <v>13</v>
      </c>
      <c r="B16" s="1" t="n">
        <v>0.692187737762497</v>
      </c>
    </row>
    <row r="17" customFormat="false" ht="12.8" hidden="false" customHeight="false" outlineLevel="0" collapsed="false">
      <c r="A17" s="7" t="n">
        <v>14</v>
      </c>
      <c r="B17" s="1" t="n">
        <v>0.689379869171306</v>
      </c>
    </row>
    <row r="18" customFormat="false" ht="12.8" hidden="false" customHeight="false" outlineLevel="0" collapsed="false">
      <c r="A18" s="7" t="n">
        <v>15</v>
      </c>
      <c r="B18" s="1" t="n">
        <v>0.769786735181106</v>
      </c>
    </row>
    <row r="19" customFormat="false" ht="12.8" hidden="false" customHeight="false" outlineLevel="0" collapsed="false">
      <c r="A19" s="7" t="n">
        <v>16</v>
      </c>
      <c r="B19" s="1" t="n">
        <v>0.784212018718249</v>
      </c>
    </row>
    <row r="20" customFormat="false" ht="12.8" hidden="false" customHeight="false" outlineLevel="0" collapsed="false">
      <c r="A20" s="7" t="n">
        <v>17</v>
      </c>
      <c r="B20" s="1" t="n">
        <v>0.741725308103978</v>
      </c>
    </row>
    <row r="21" customFormat="false" ht="12.8" hidden="false" customHeight="false" outlineLevel="0" collapsed="false">
      <c r="A21" s="7" t="n">
        <v>18</v>
      </c>
      <c r="B21" s="1" t="n">
        <v>0.71842174917648</v>
      </c>
    </row>
    <row r="22" customFormat="false" ht="12.8" hidden="false" customHeight="false" outlineLevel="0" collapsed="false">
      <c r="A22" s="7" t="n">
        <v>19</v>
      </c>
      <c r="B22" s="1" t="n">
        <v>0.676598731860284</v>
      </c>
    </row>
    <row r="23" customFormat="false" ht="12.8" hidden="false" customHeight="false" outlineLevel="0" collapsed="false">
      <c r="A23" s="7" t="n">
        <v>20</v>
      </c>
      <c r="B23" s="1" t="n">
        <v>0.629078814128947</v>
      </c>
    </row>
    <row r="24" customFormat="false" ht="12.8" hidden="false" customHeight="false" outlineLevel="0" collapsed="false">
      <c r="A24" s="7" t="n">
        <v>21</v>
      </c>
      <c r="B24" s="1" t="n">
        <v>0.716426666679795</v>
      </c>
    </row>
    <row r="25" customFormat="false" ht="12.8" hidden="false" customHeight="false" outlineLevel="0" collapsed="false">
      <c r="A25" s="7" t="n">
        <v>22</v>
      </c>
      <c r="B25" s="1" t="n">
        <v>0.671030917852718</v>
      </c>
    </row>
    <row r="26" customFormat="false" ht="12.8" hidden="false" customHeight="false" outlineLevel="0" collapsed="false">
      <c r="A26" s="7" t="n">
        <v>23</v>
      </c>
      <c r="B26" s="1" t="n">
        <v>0.727473528774715</v>
      </c>
    </row>
    <row r="27" customFormat="false" ht="12.8" hidden="false" customHeight="false" outlineLevel="0" collapsed="false">
      <c r="A27" s="7" t="n">
        <v>24</v>
      </c>
      <c r="B27" s="1" t="n">
        <v>0.721776373024424</v>
      </c>
    </row>
    <row r="28" customFormat="false" ht="12.8" hidden="false" customHeight="false" outlineLevel="0" collapsed="false">
      <c r="A28" s="11" t="n">
        <v>25</v>
      </c>
      <c r="B28" s="1" t="n">
        <v>0.665583111085999</v>
      </c>
    </row>
  </sheetData>
  <mergeCells count="1">
    <mergeCell ref="A2:B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L28"/>
  <sheetViews>
    <sheetView showFormulas="false" showGridLines="true" showRowColHeaders="true" showZeros="true" rightToLeft="false" tabSelected="true" showOutlineSymbols="true" defaultGridColor="true" view="normal" topLeftCell="A1" colorId="64" zoomScale="125" zoomScaleNormal="125" zoomScalePageLayoutView="100" workbookViewId="0">
      <selection pane="topLeft" activeCell="E32" activeCellId="0" sqref="E32"/>
    </sheetView>
  </sheetViews>
  <sheetFormatPr defaultColWidth="12.43359375" defaultRowHeight="12.8" customHeight="false" zeroHeight="false" outlineLevelRow="0" outlineLevelCol="0"/>
  <cols>
    <col collapsed="false" customWidth="true" hidden="false" outlineLevel="0" max="3" min="2" style="1" width="19.32"/>
    <col collapsed="false" customWidth="true" hidden="false" outlineLevel="0" max="5" min="5" style="1" width="30.83"/>
    <col collapsed="false" customWidth="true" hidden="false" outlineLevel="0" max="7" min="6" style="1" width="20.4"/>
    <col collapsed="false" customWidth="true" hidden="false" outlineLevel="0" max="9" min="8" style="1" width="21.95"/>
    <col collapsed="false" customWidth="true" hidden="false" outlineLevel="0" max="10" min="10" style="1" width="20.4"/>
    <col collapsed="false" customWidth="true" hidden="false" outlineLevel="0" max="12" min="12" style="0" width="14.95"/>
  </cols>
  <sheetData>
    <row r="2" customFormat="false" ht="12.8" hidden="false" customHeight="true" outlineLevel="0" collapsed="false">
      <c r="A2" s="1"/>
      <c r="B2" s="12" t="s">
        <v>11</v>
      </c>
      <c r="C2" s="12"/>
    </row>
    <row r="3" customFormat="false" ht="12.8" hidden="false" customHeight="false" outlineLevel="0" collapsed="false">
      <c r="A3" s="10" t="s">
        <v>111</v>
      </c>
      <c r="B3" s="4" t="s">
        <v>112</v>
      </c>
      <c r="C3" s="11" t="s">
        <v>113</v>
      </c>
      <c r="E3" s="11" t="s">
        <v>114</v>
      </c>
      <c r="F3" s="11" t="s">
        <v>115</v>
      </c>
      <c r="G3" s="11" t="s">
        <v>116</v>
      </c>
      <c r="H3" s="11" t="s">
        <v>117</v>
      </c>
      <c r="I3" s="11" t="s">
        <v>118</v>
      </c>
      <c r="J3" s="11" t="s">
        <v>119</v>
      </c>
      <c r="K3" s="0" t="s">
        <v>120</v>
      </c>
      <c r="L3" s="0" t="s">
        <v>121</v>
      </c>
    </row>
    <row r="4" customFormat="false" ht="12.8" hidden="false" customHeight="false" outlineLevel="0" collapsed="false">
      <c r="A4" s="7" t="n">
        <v>1</v>
      </c>
      <c r="B4" s="1" t="n">
        <v>0.775953672739373</v>
      </c>
      <c r="C4" s="1" t="n">
        <v>0.75451956501659</v>
      </c>
      <c r="E4" s="11" t="n">
        <f aca="false">_xlfn.STDEV.S(B4:B28)</f>
        <v>0.0459084001451673</v>
      </c>
      <c r="F4" s="11" t="n">
        <f aca="false">_xlfn.STDEV.S(C4:C28)</f>
        <v>0.0705884316876649</v>
      </c>
      <c r="G4" s="11" t="n">
        <f aca="false">_xlfn.F.TEST(B4:B28,C4:C28)</f>
        <v>0.0398571829844579</v>
      </c>
      <c r="H4" s="11" t="n">
        <f aca="false">_xlfn.T.TEST(B4:B28, C4:C28, 2,2)</f>
        <v>5.45339144696633E-007</v>
      </c>
      <c r="I4" s="11" t="n">
        <f aca="false">_xlfn.T.TEST(B4:B28,C4:C28, 2,3)</f>
        <v>8.77890504042088E-007</v>
      </c>
      <c r="J4" s="11" t="n">
        <f aca="false">AVERAGE(B4:B28)-AVERAGE(C4:C28)</f>
        <v>0.0973154966138868</v>
      </c>
      <c r="K4" s="0" t="n">
        <f aca="false">AVERAGE(B4:B28)</f>
        <v>0.732371045199738</v>
      </c>
      <c r="L4" s="0" t="n">
        <f aca="false">AVERAGE(C4:C28)</f>
        <v>0.635055548585851</v>
      </c>
    </row>
    <row r="5" customFormat="false" ht="12.8" hidden="false" customHeight="false" outlineLevel="0" collapsed="false">
      <c r="A5" s="7" t="n">
        <v>2</v>
      </c>
      <c r="B5" s="1" t="n">
        <v>0.742381155272784</v>
      </c>
      <c r="C5" s="1" t="n">
        <v>0.583157820853806</v>
      </c>
    </row>
    <row r="6" customFormat="false" ht="12.8" hidden="false" customHeight="false" outlineLevel="0" collapsed="false">
      <c r="A6" s="7" t="n">
        <v>3</v>
      </c>
      <c r="B6" s="1" t="n">
        <v>0.71959451369822</v>
      </c>
      <c r="C6" s="1" t="n">
        <v>0.618904917761491</v>
      </c>
    </row>
    <row r="7" customFormat="false" ht="12.8" hidden="false" customHeight="false" outlineLevel="0" collapsed="false">
      <c r="A7" s="7" t="n">
        <v>4</v>
      </c>
      <c r="B7" s="1" t="n">
        <v>0.744685778636444</v>
      </c>
      <c r="C7" s="1" t="n">
        <v>0.74737712465141</v>
      </c>
      <c r="E7" s="13" t="s">
        <v>122</v>
      </c>
    </row>
    <row r="8" customFormat="false" ht="12.8" hidden="false" customHeight="false" outlineLevel="0" collapsed="false">
      <c r="A8" s="7" t="n">
        <v>5</v>
      </c>
      <c r="B8" s="1" t="n">
        <v>0.810472087374711</v>
      </c>
      <c r="C8" s="1" t="n">
        <v>0.548980230623881</v>
      </c>
      <c r="E8" s="14" t="s">
        <v>123</v>
      </c>
      <c r="F8" s="1" t="n">
        <v>0.05</v>
      </c>
    </row>
    <row r="9" customFormat="false" ht="12.8" hidden="false" customHeight="false" outlineLevel="0" collapsed="false">
      <c r="A9" s="7" t="n">
        <v>6</v>
      </c>
      <c r="B9" s="1" t="n">
        <v>0.726316259765409</v>
      </c>
      <c r="C9" s="1" t="n">
        <v>0.632690227255637</v>
      </c>
      <c r="E9" s="14" t="s">
        <v>124</v>
      </c>
      <c r="F9" s="1" t="n">
        <v>0</v>
      </c>
    </row>
    <row r="10" customFormat="false" ht="12.8" hidden="false" customHeight="false" outlineLevel="0" collapsed="false">
      <c r="A10" s="7" t="n">
        <v>7</v>
      </c>
      <c r="B10" s="1" t="n">
        <v>0.793215439015998</v>
      </c>
      <c r="C10" s="1" t="n">
        <v>0.701786769943752</v>
      </c>
      <c r="E10" s="14"/>
      <c r="F10" s="15" t="s">
        <v>125</v>
      </c>
      <c r="G10" s="15" t="s">
        <v>126</v>
      </c>
    </row>
    <row r="11" customFormat="false" ht="12.8" hidden="false" customHeight="false" outlineLevel="0" collapsed="false">
      <c r="A11" s="7" t="n">
        <v>8</v>
      </c>
      <c r="B11" s="1" t="n">
        <v>0.704599278382629</v>
      </c>
      <c r="C11" s="1" t="n">
        <v>0.584562320768019</v>
      </c>
      <c r="E11" s="14" t="s">
        <v>127</v>
      </c>
      <c r="F11" s="15" t="n">
        <f aca="false">AVERAGE(inter_system_stats!$B$3:$B$28)</f>
        <v>0.732371045199738</v>
      </c>
      <c r="G11" s="15" t="n">
        <f aca="false">AVERAGE(inter_system_stats!$C$3:$C$28)</f>
        <v>0.635055548585851</v>
      </c>
    </row>
    <row r="12" customFormat="false" ht="12.8" hidden="false" customHeight="false" outlineLevel="0" collapsed="false">
      <c r="A12" s="7" t="n">
        <v>9</v>
      </c>
      <c r="B12" s="1" t="n">
        <v>0.753231887262209</v>
      </c>
      <c r="C12" s="1" t="n">
        <v>0.635530236435515</v>
      </c>
      <c r="E12" s="14" t="s">
        <v>128</v>
      </c>
      <c r="F12" s="15" t="n">
        <f aca="false">VAR(inter_system_stats!$B$3:$B$28)</f>
        <v>0.0021075812038888</v>
      </c>
      <c r="G12" s="15" t="n">
        <f aca="false">VAR(inter_system_stats!$C$3:$C$28)</f>
        <v>0.00498272668812414</v>
      </c>
    </row>
    <row r="13" customFormat="false" ht="12.8" hidden="false" customHeight="false" outlineLevel="0" collapsed="false">
      <c r="A13" s="7" t="n">
        <v>10</v>
      </c>
      <c r="B13" s="1" t="n">
        <v>0.786918063323164</v>
      </c>
      <c r="C13" s="1" t="n">
        <v>0.69186077854627</v>
      </c>
      <c r="E13" s="14" t="s">
        <v>129</v>
      </c>
      <c r="F13" s="15" t="n">
        <f aca="false">COUNT(inter_system_stats!$B$3:$B$28)</f>
        <v>25</v>
      </c>
      <c r="G13" s="15" t="n">
        <f aca="false">COUNT(inter_system_stats!$C$3:$C$28)</f>
        <v>25</v>
      </c>
    </row>
    <row r="14" customFormat="false" ht="12.8" hidden="false" customHeight="false" outlineLevel="0" collapsed="false">
      <c r="A14" s="7" t="n">
        <v>11</v>
      </c>
      <c r="B14" s="1" t="n">
        <v>0.757737648671806</v>
      </c>
      <c r="C14" s="1" t="n">
        <v>0.746874410758284</v>
      </c>
      <c r="E14" s="14" t="s">
        <v>130</v>
      </c>
      <c r="F14" s="15" t="n">
        <f aca="false">CORREL(inter_system_stats!$B$3:$B$28,inter_system_stats!$C$3:$C$28)</f>
        <v>0.308552971366554</v>
      </c>
      <c r="G14" s="15"/>
    </row>
    <row r="15" customFormat="false" ht="12.8" hidden="false" customHeight="false" outlineLevel="0" collapsed="false">
      <c r="A15" s="7" t="n">
        <v>12</v>
      </c>
      <c r="B15" s="1" t="n">
        <v>0.790488784330214</v>
      </c>
      <c r="C15" s="1" t="n">
        <v>0.646103343046236</v>
      </c>
      <c r="E15" s="14" t="s">
        <v>131</v>
      </c>
      <c r="F15" s="15" t="n">
        <f aca="false" t="array" ref="F15:F15">AVERAGE(IF(ISODD(IF(ISNUMBER(inter_system_stats!$B$3:$B$28), 1, 0) * IF(ISNUMBER(inter_system_stats!$C$3:$C$28), 1, 0)), inter_system_stats!$B$3:$B$28 - inter_system_stats!$C$3:$C$28, "NA"))</f>
        <v>0.0973154966138869</v>
      </c>
      <c r="G15" s="15"/>
    </row>
    <row r="16" customFormat="false" ht="12.8" hidden="false" customHeight="false" outlineLevel="0" collapsed="false">
      <c r="A16" s="7" t="n">
        <v>13</v>
      </c>
      <c r="B16" s="1" t="n">
        <v>0.692187737762497</v>
      </c>
      <c r="C16" s="1" t="n">
        <v>0.714267452106315</v>
      </c>
      <c r="E16" s="14" t="s">
        <v>132</v>
      </c>
      <c r="F16" s="15" t="n">
        <f aca="false" t="array" ref="F16:F16">VAR(IF(ISODD(IF(ISNUMBER(inter_system_stats!$B$3:$B$28), 1, 0) * IF(ISNUMBER(inter_system_stats!$C$3:$C$28), 1, 0)), inter_system_stats!$B$3:$B$28 - inter_system_stats!$C$3:$C$28, "NA"))</f>
        <v>0.00509051315981318</v>
      </c>
      <c r="G16" s="15"/>
    </row>
    <row r="17" customFormat="false" ht="12.8" hidden="false" customHeight="false" outlineLevel="0" collapsed="false">
      <c r="A17" s="7" t="n">
        <v>14</v>
      </c>
      <c r="B17" s="1" t="n">
        <v>0.689379869171306</v>
      </c>
      <c r="C17" s="1" t="n">
        <v>0.64598849418726</v>
      </c>
      <c r="E17" s="14" t="s">
        <v>133</v>
      </c>
      <c r="F17" s="15" t="n">
        <f aca="false" t="array" ref="F17:F17">SUM(IF(ISNUMBER(inter_system_stats!$B$3:$B$28), 1, 0) * IF(ISNUMBER(inter_system_stats!$C$3:$C$28), 1, 0)) - 1</f>
        <v>24</v>
      </c>
      <c r="G17" s="15"/>
    </row>
    <row r="18" customFormat="false" ht="12.8" hidden="false" customHeight="false" outlineLevel="0" collapsed="false">
      <c r="A18" s="7" t="n">
        <v>15</v>
      </c>
      <c r="B18" s="1" t="n">
        <v>0.769786735181106</v>
      </c>
      <c r="C18" s="1" t="n">
        <v>0.559125581602383</v>
      </c>
      <c r="E18" s="14" t="s">
        <v>134</v>
      </c>
      <c r="F18" s="15" t="n">
        <f aca="false">(inter_system_stats!$F$15 - inter_system_stats!$F$9) / (inter_system_stats!$F$16 / ( inter_system_stats!$F$17 + 1)) ^ 0.5</f>
        <v>6.8197935109951</v>
      </c>
      <c r="G18" s="15"/>
    </row>
    <row r="19" customFormat="false" ht="12.8" hidden="false" customHeight="false" outlineLevel="0" collapsed="false">
      <c r="A19" s="7" t="n">
        <v>16</v>
      </c>
      <c r="B19" s="1" t="n">
        <v>0.784212018718249</v>
      </c>
      <c r="C19" s="1" t="n">
        <v>0.664444142276853</v>
      </c>
      <c r="E19" s="14" t="s">
        <v>135</v>
      </c>
      <c r="F19" s="15" t="n">
        <f aca="false">TDIST(ABS(inter_system_stats!$F$18), inter_system_stats!$F$17, 1)</f>
        <v>2.35469134032101E-007</v>
      </c>
      <c r="G19" s="15"/>
    </row>
    <row r="20" customFormat="false" ht="12.8" hidden="false" customHeight="false" outlineLevel="0" collapsed="false">
      <c r="A20" s="7" t="n">
        <v>17</v>
      </c>
      <c r="B20" s="1" t="n">
        <v>0.741725308103978</v>
      </c>
      <c r="C20" s="1" t="n">
        <v>0.682928718328554</v>
      </c>
      <c r="E20" s="14" t="s">
        <v>136</v>
      </c>
      <c r="F20" s="15" t="n">
        <f aca="false">TINV(2*inter_system_stats!$F$8, inter_system_stats!$F$17)</f>
        <v>1.71088207990943</v>
      </c>
      <c r="G20" s="15"/>
    </row>
    <row r="21" customFormat="false" ht="12.8" hidden="false" customHeight="false" outlineLevel="0" collapsed="false">
      <c r="A21" s="7" t="n">
        <v>18</v>
      </c>
      <c r="B21" s="1" t="n">
        <v>0.71842174917648</v>
      </c>
      <c r="C21" s="1" t="n">
        <v>0.609029777075647</v>
      </c>
      <c r="E21" s="14" t="s">
        <v>137</v>
      </c>
      <c r="F21" s="15" t="n">
        <f aca="false">TDIST(ABS(inter_system_stats!$F$18), inter_system_stats!$F$17, 2)</f>
        <v>4.70938268064202E-007</v>
      </c>
      <c r="G21" s="15"/>
    </row>
    <row r="22" customFormat="false" ht="12.8" hidden="false" customHeight="false" outlineLevel="0" collapsed="false">
      <c r="A22" s="7" t="n">
        <v>19</v>
      </c>
      <c r="B22" s="1" t="n">
        <v>0.676598731860284</v>
      </c>
      <c r="C22" s="1" t="n">
        <v>0.625136354501309</v>
      </c>
      <c r="E22" s="14" t="s">
        <v>138</v>
      </c>
      <c r="F22" s="15" t="n">
        <f aca="false">TINV(inter_system_stats!$F$8, inter_system_stats!$F$17)</f>
        <v>2.06389856162803</v>
      </c>
      <c r="G22" s="15"/>
    </row>
    <row r="23" customFormat="false" ht="12.8" hidden="false" customHeight="false" outlineLevel="0" collapsed="false">
      <c r="A23" s="7" t="n">
        <v>20</v>
      </c>
      <c r="B23" s="1" t="n">
        <v>0.629078814128947</v>
      </c>
      <c r="C23" s="1" t="n">
        <v>0.628896991007055</v>
      </c>
    </row>
    <row r="24" customFormat="false" ht="12.8" hidden="false" customHeight="false" outlineLevel="0" collapsed="false">
      <c r="A24" s="7" t="n">
        <v>21</v>
      </c>
      <c r="B24" s="1" t="n">
        <v>0.716426666679795</v>
      </c>
      <c r="C24" s="1" t="n">
        <v>0.49049501481858</v>
      </c>
    </row>
    <row r="25" customFormat="false" ht="12.8" hidden="false" customHeight="false" outlineLevel="0" collapsed="false">
      <c r="A25" s="7" t="n">
        <v>22</v>
      </c>
      <c r="B25" s="1" t="n">
        <v>0.671030917852718</v>
      </c>
      <c r="C25" s="1" t="n">
        <v>0.551218385467124</v>
      </c>
    </row>
    <row r="26" customFormat="false" ht="12.8" hidden="false" customHeight="false" outlineLevel="0" collapsed="false">
      <c r="A26" s="7" t="n">
        <v>23</v>
      </c>
      <c r="B26" s="1" t="n">
        <v>0.727473528774715</v>
      </c>
      <c r="C26" s="1" t="n">
        <v>0.644659585583856</v>
      </c>
    </row>
    <row r="27" customFormat="false" ht="12.8" hidden="false" customHeight="false" outlineLevel="0" collapsed="false">
      <c r="A27" s="7" t="n">
        <v>24</v>
      </c>
      <c r="B27" s="1" t="n">
        <v>0.721776373024424</v>
      </c>
      <c r="C27" s="1" t="n">
        <v>0.654980886002206</v>
      </c>
    </row>
    <row r="28" customFormat="false" ht="12.8" hidden="false" customHeight="false" outlineLevel="0" collapsed="false">
      <c r="A28" s="11" t="n">
        <v>25</v>
      </c>
      <c r="B28" s="1" t="n">
        <v>0.665583111085999</v>
      </c>
      <c r="C28" s="1" t="n">
        <v>0.512869586028254</v>
      </c>
    </row>
  </sheetData>
  <mergeCells count="1">
    <mergeCell ref="B2:C2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LibreOffice/26.2.0.3$Linux_X86_64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2026-02-11T16:41:07Z</dcterms:created>
  <dc:creator>openpyxl</dc:creator>
  <dc:description/>
  <dc:language>en-US</dc:language>
  <cp:lastModifiedBy/>
  <dcterms:modified xsi:type="dcterms:W3CDTF">2026-02-20T16:15:41Z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
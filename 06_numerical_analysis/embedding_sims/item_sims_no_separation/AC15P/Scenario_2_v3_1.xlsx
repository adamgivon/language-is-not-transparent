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2_ac15p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definedNames>
    <definedName function="false" hidden="true" localSheetId="2" name="_xlnm._FilterDatabase" vbProcedure="false">actdel_prompt_response!$C$3:$C$27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<sst xmlns="http://schemas.openxmlformats.org/spreadsheetml/2006/main" count="908" uniqueCount="137">
  <si>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</si>
  <si>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</si>
  <si>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</si>
  <si>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</si>
  <si>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</si>
  <si>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</si>
  <si>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</si>
  <si>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</si>
  <si>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</si>
  <si>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</si>
  <si>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</si>
  <si>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</si>
  <si>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</si>
  <si>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</si>
  <si>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</si>
  <si>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</si>
  <si>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</si>
  <si>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ce5c286d-cf7c-4f21-acca-96829addae4b</t>
  </si>
  <si>
    <t xml:space="preserve">cmj9wrb0d0011zcyqu1jsm0k1</t>
  </si>
  <si>
    <t xml:space="preserve">cmj9wsedv001izcyqfmbz7fno</t>
  </si>
  <si>
    <t xml:space="preserve">ac15-plain</t>
  </si>
  <si>
    <t xml:space="preserve">Scenario_2_v3</t>
  </si>
  <si>
    <t xml:space="preserve">practicality_and_feasibility</t>
  </si>
  <si>
    <t xml:space="preserve">temporal_dynamics</t>
  </si>
  <si>
    <t xml:space="preserve">mathematics_computer_science_engineering</t>
  </si>
  <si>
    <t xml:space="preserve">affective_interface</t>
  </si>
  <si>
    <t xml:space="preserve">imagination_and_possibility</t>
  </si>
  <si>
    <t xml:space="preserve">truth_and_fact</t>
  </si>
  <si>
    <t xml:space="preserve">ce3a83d5-84b1-4782-8a1b-9339c0ac7b3f</t>
  </si>
  <si>
    <t xml:space="preserve">cmj9wwl4b001mzcyql8irdgfa</t>
  </si>
  <si>
    <t xml:space="preserve">cmj9wxsc90023zcyq989zvie9</t>
  </si>
  <si>
    <t xml:space="preserve">sovereignty</t>
  </si>
  <si>
    <t xml:space="preserve">adbe0cc2-05ff-4dfa-98d0-16f472d301e3</t>
  </si>
  <si>
    <t xml:space="preserve">cmj9wz6to0027zcyqe55009e3</t>
  </si>
  <si>
    <t xml:space="preserve">cmj9wzv76002ozcyqo8tkuywo</t>
  </si>
  <si>
    <t xml:space="preserve">6c024c7c-de30-4915-be0e-43cb40782ce7</t>
  </si>
  <si>
    <t xml:space="preserve">cmj9x0yaw002szcyqatsdxe11</t>
  </si>
  <si>
    <t xml:space="preserve">cmj9x1mkj0039zcyqy85cwm98</t>
  </si>
  <si>
    <t xml:space="preserve">36815b24-8033-4152-bdde-9b210b90557a</t>
  </si>
  <si>
    <t xml:space="preserve">cmj9x3o06003dzcyqw1y82d0d</t>
  </si>
  <si>
    <t xml:space="preserve">cmj9x48fz003uzcyqwktot01w</t>
  </si>
  <si>
    <t xml:space="preserve">7fd71c82-50c3-43e6-9e8a-3e7b6c2bd89f</t>
  </si>
  <si>
    <t xml:space="preserve">cmj9x7oh4003yzcyqdwkswpug</t>
  </si>
  <si>
    <t xml:space="preserve">cmj9x8j4m004fzcyqa9lz7ko5</t>
  </si>
  <si>
    <t xml:space="preserve">34de177a-0699-47c2-a3a2-0eb9afd3b009</t>
  </si>
  <si>
    <t xml:space="preserve">cmj9xaoqr004jzcyqlb2pq8bd</t>
  </si>
  <si>
    <t xml:space="preserve">cmj9xbcwf0050zcyqefvhe6e0</t>
  </si>
  <si>
    <t xml:space="preserve">ac3154ac-1048-4a0c-ad89-18297fd21373</t>
  </si>
  <si>
    <t xml:space="preserve">cmj9xbq770054zcyq2cl029sr</t>
  </si>
  <si>
    <t xml:space="preserve">cmj9xccwr005lzcyqeq1mhxu6</t>
  </si>
  <si>
    <t xml:space="preserve">c5a81547-83ca-4922-b06f-d0102adaf647</t>
  </si>
  <si>
    <t xml:space="preserve">cmj9xdk1z005pzcyq681d0gi8</t>
  </si>
  <si>
    <t xml:space="preserve">cmj9xe58j0066zcyqg954uoiz</t>
  </si>
  <si>
    <t xml:space="preserve">7b24a1e3-9cd3-4f76-bce1-4d4f287e7759</t>
  </si>
  <si>
    <t xml:space="preserve">cmj9xfp6n006azcyqbhv37oqd</t>
  </si>
  <si>
    <t xml:space="preserve">cmj9xgd0z006rzcyqb7xyyus8</t>
  </si>
  <si>
    <t xml:space="preserve">2a230e83-33ad-4562-9fac-463a58a28979</t>
  </si>
  <si>
    <t xml:space="preserve">cmj9xhvj6006vzcyqixowilv9</t>
  </si>
  <si>
    <t xml:space="preserve">cmj9xiktg007czcyq1s5d9yca</t>
  </si>
  <si>
    <t xml:space="preserve">context_dependent_expression</t>
  </si>
  <si>
    <t xml:space="preserve">82c8cfcb-c5fc-41cd-98da-09e504771c62</t>
  </si>
  <si>
    <t xml:space="preserve">cmj9xjgfx007gzcyq73xnwwme</t>
  </si>
  <si>
    <t xml:space="preserve">cmj9xjyon007xzcyqbzsk7awj</t>
  </si>
  <si>
    <t xml:space="preserve">ae76befd-d081-44f6-91b8-40837b3cbf49</t>
  </si>
  <si>
    <t xml:space="preserve">cmj9xl40r0081zcyqjvxkqvxw</t>
  </si>
  <si>
    <t xml:space="preserve">cmj9xlivf008izcyq2t3wu3ud</t>
  </si>
  <si>
    <t xml:space="preserve">d52640a4-7416-4234-9ebc-dcd9dba88138</t>
  </si>
  <si>
    <t xml:space="preserve">cmj9xmfi1008mzcyqkombvinb</t>
  </si>
  <si>
    <t xml:space="preserve">cmj9xn5cn0093zcyqpcf30o2i</t>
  </si>
  <si>
    <t xml:space="preserve">246dbd77-5a85-4caa-807b-beccedfb3533</t>
  </si>
  <si>
    <t xml:space="preserve">cmj9xo0ao0097zcyqrbibfub3</t>
  </si>
  <si>
    <t xml:space="preserve">cmj9xookg009ozcyqxqflfxnl</t>
  </si>
  <si>
    <t xml:space="preserve">080154f2-6bb0-46f3-a661-acde84b2135e</t>
  </si>
  <si>
    <t xml:space="preserve">cmj9xqa6y009szcyqs8uihdm3</t>
  </si>
  <si>
    <t xml:space="preserve">cmj9xqzuf00a9zcyqo3olxksr</t>
  </si>
  <si>
    <t xml:space="preserve">ca4eb61e-c373-4284-b0c4-8ac10ecd436f</t>
  </si>
  <si>
    <t xml:space="preserve">cmj9xrodk00adzcyqim68ize1</t>
  </si>
  <si>
    <t xml:space="preserve">cmj9xsgmd00auzcyqdpk7k2vv</t>
  </si>
  <si>
    <t xml:space="preserve">6541132e-da00-4ad1-9443-5865f0703561</t>
  </si>
  <si>
    <t xml:space="preserve">cmj9xsxj700ayzcyq4tedumoo</t>
  </si>
  <si>
    <t xml:space="preserve">cmj9xtu0w00bfzcyqoqn4c4b9</t>
  </si>
  <si>
    <t xml:space="preserve">19063861-c07f-4fbc-8046-32efb14422de</t>
  </si>
  <si>
    <t xml:space="preserve">cmj9xue9600bjzcyqjpbdly82</t>
  </si>
  <si>
    <t xml:space="preserve">cmj9xuzsv00c0zcyqy16zacfo</t>
  </si>
  <si>
    <t xml:space="preserve">science</t>
  </si>
  <si>
    <t xml:space="preserve">79198a24-ab26-4fe4-aaad-4cbdd3db6a1a</t>
  </si>
  <si>
    <t xml:space="preserve">cmj9xw7sj00c4zcyqdocbqwj3</t>
  </si>
  <si>
    <t xml:space="preserve">cmj9xwdw300clzcyqzce08aeg</t>
  </si>
  <si>
    <t xml:space="preserve">4789481c-d2c8-46f1-b07d-76778b7eb734</t>
  </si>
  <si>
    <t xml:space="preserve">cmj9xxpaf00cpzcyqf614n4j8</t>
  </si>
  <si>
    <t xml:space="preserve">cmj9xy3u000d6zcyq8pggcdj3</t>
  </si>
  <si>
    <t xml:space="preserve">163c3cc7-a7c3-422b-9e1c-c655a4045801</t>
  </si>
  <si>
    <t xml:space="preserve">cmj9xzbcp00dazcyq5nh6d6wc</t>
  </si>
  <si>
    <t xml:space="preserve">cmj9xzxqf00drzcyqojfn5976</t>
  </si>
  <si>
    <t xml:space="preserve">ca8ba2f3-b369-4b50-bc43-74756277b8eb</t>
  </si>
  <si>
    <t xml:space="preserve">cmj9y0wt700dvzcyqq2bo77it</t>
  </si>
  <si>
    <t xml:space="preserve">cmj9y15nq00eczcyq3l80nu5v</t>
  </si>
  <si>
    <t xml:space="preserve">metaphorical_scaffolding</t>
  </si>
  <si>
    <t xml:space="preserve">eb7fcc43-bb32-464e-848b-0f161736fd97</t>
  </si>
  <si>
    <t xml:space="preserve">cmj9y30pj00egzcyqqfu42fef</t>
  </si>
  <si>
    <t xml:space="preserve">cmj9y3laj00exzcyqd0xzyudg</t>
  </si>
  <si>
    <t xml:space="preserve">461ad291-af82-43cc-afc4-88386514b87c</t>
  </si>
  <si>
    <t xml:space="preserve">cmj9y4c5z00f1zcyqk14i1n5j</t>
  </si>
  <si>
    <t xml:space="preserve">cmj9y4mvk00fizcyq1zxyuorv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</si>
  <si>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</si>
  <si>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</si>
  <si>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</si>
  <si>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</si>
  <si>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Correlation</t>
  </si>
  <si>
    <t xml:space="preserve">T-statistic</t>
  </si>
  <si>
    <t xml:space="preserve">turn</t>
  </si>
  <si>
    <t xml:space="preserve">Prompt-response</t>
  </si>
  <si>
    <t xml:space="preserve">ac15p</t>
  </si>
  <si>
    <t xml:space="preserve">control</t>
  </si>
  <si>
    <t xml:space="preserve">std. Ac15p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</si>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</sst>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actdel_prompt_response!$B$3:$B$27</c:f>
              <c:numCache>
                <c:formatCode>General</c:formatCode>
                <c:ptCount val="25"/>
                <c:pt idx="0">
                  <c:v>0.842837131615738</c:v>
                </c:pt>
                <c:pt idx="1">
                  <c:v>0.75574434703051</c:v>
                </c:pt>
                <c:pt idx="2">
                  <c:v>0.75246138552499</c:v>
                </c:pt>
                <c:pt idx="3">
                  <c:v>0.755239937675953</c:v>
                </c:pt>
                <c:pt idx="4">
                  <c:v>0.68196906691827</c:v>
                </c:pt>
                <c:pt idx="5">
                  <c:v>0.805094582904182</c:v>
                </c:pt>
                <c:pt idx="6">
                  <c:v>0.731449097356676</c:v>
                </c:pt>
                <c:pt idx="7">
                  <c:v>0.798699397007465</c:v>
                </c:pt>
                <c:pt idx="8">
                  <c:v>0.751181065835833</c:v>
                </c:pt>
                <c:pt idx="9">
                  <c:v>0.780317010541866</c:v>
                </c:pt>
                <c:pt idx="10">
                  <c:v>0.788964918757002</c:v>
                </c:pt>
                <c:pt idx="11">
                  <c:v>0.744429655439828</c:v>
                </c:pt>
                <c:pt idx="12">
                  <c:v>0.764347939487069</c:v>
                </c:pt>
                <c:pt idx="13">
                  <c:v>0.716647920997565</c:v>
                </c:pt>
                <c:pt idx="14">
                  <c:v>0.761929247616581</c:v>
                </c:pt>
                <c:pt idx="15">
                  <c:v>0.742748731630287</c:v>
                </c:pt>
                <c:pt idx="16">
                  <c:v>0.764209873398772</c:v>
                </c:pt>
                <c:pt idx="17">
                  <c:v>0.700796274261234</c:v>
                </c:pt>
                <c:pt idx="18">
                  <c:v>0.716284059047156</c:v>
                </c:pt>
                <c:pt idx="19">
                  <c:v>0.839023541568098</c:v>
                </c:pt>
                <c:pt idx="20">
                  <c:v>0.704024831920364</c:v>
                </c:pt>
                <c:pt idx="21">
                  <c:v>0.684998594155911</c:v>
                </c:pt>
                <c:pt idx="22">
                  <c:v>0.69681187759039</c:v>
                </c:pt>
                <c:pt idx="23">
                  <c:v>0.809836609324266</c:v>
                </c:pt>
                <c:pt idx="24">
                  <c:v>0.715111970099327</c:v>
                </c:pt>
              </c:numCache>
            </c:numRef>
          </c:yVal>
          <c:smooth val="0"/>
        </c:ser>
        <c:axId val="90312585"/>
        <c:axId val="87163649"/>
      </c:scatterChart>
      <c:valAx>
        <c:axId val="903125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163649"/>
        <c:crosses val="autoZero"/>
        <c:crossBetween val="midCat"/>
      </c:valAx>
      <c:valAx>
        <c:axId val="871636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3125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6120</xdr:colOff>
      <xdr:row>10</xdr:row>
      <xdr:rowOff>36720</xdr:rowOff>
    </xdr:from>
    <xdr:to>
      <xdr:col>12</xdr:col>
      <xdr:colOff>418680</xdr:colOff>
      <xdr:row>30</xdr:row>
      <xdr:rowOff>22320</xdr:rowOff>
    </xdr:to>
    <xdr:graphicFrame>
      <xdr:nvGraphicFramePr>
        <xdr:cNvPr id="1" name=""/>
        <xdr:cNvGraphicFramePr/>
      </xdr:nvGraphicFramePr>
      <xdr:xfrm>
        <a:off x="6064560" y="1662480"/>
        <a:ext cx="513576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101" activePane="bottomLeft" state="frozen"/>
      <selection pane="topLeft" activeCell="B1" activeCellId="0" sqref="B1"/>
      <selection pane="bottomLeft" activeCell="N3" activeCellId="1" sqref="F10:G10 N3"/>
    </sheetView>
  </sheetViews>
  <sheetFormatPr defaultColWidth="10.5078125" defaultRowHeight="15" customHeight="false" zeroHeight="false" outlineLevelRow="0" outlineLevelCol="0"/>
  <cols>
    <col collapsed="false" customWidth="false" hidden="false" outlineLevel="0" max="3" min="1" style="1" width="10.5"/>
    <col collapsed="false" customWidth="true" hidden="false" outlineLevel="0" max="4" min="4" style="1" width="22.79"/>
    <col collapsed="false" customWidth="true" hidden="false" outlineLevel="0" max="5" min="5" style="1" width="21.88"/>
    <col collapsed="false" customWidth="false" hidden="false" outlineLevel="0" max="6" min="6" style="1" width="10.5"/>
    <col collapsed="false" customWidth="true" hidden="false" outlineLevel="0" max="7" min="7" style="2" width="27.72"/>
    <col collapsed="false" customWidth="true" hidden="false" outlineLevel="0" max="8" min="8" style="2" width="20.08"/>
    <col collapsed="false" customWidth="true" hidden="false" outlineLevel="0" max="9" min="9" style="2" width="26.08"/>
    <col collapsed="false" customWidth="true" hidden="false" outlineLevel="0" max="10" min="10" style="2" width="27.58"/>
    <col collapsed="false" customWidth="true" hidden="false" outlineLevel="0" max="12" min="11" style="2" width="23.88"/>
    <col collapsed="false" customWidth="false" hidden="false" outlineLevel="0" max="13" min="13" style="1" width="10.5"/>
    <col collapsed="false" customWidth="true" hidden="false" outlineLevel="0" max="14" min="14" style="1" width="21.62"/>
    <col collapsed="false" customWidth="true" hidden="false" outlineLevel="0" max="15" min="15" style="1" width="23.88"/>
    <col collapsed="false" customWidth="true" hidden="false" outlineLevel="0" max="16" min="16" style="1" width="12.59"/>
    <col collapsed="false" customWidth="true" hidden="false" outlineLevel="0" max="17" min="17" style="1" width="25.23"/>
    <col collapsed="false" customWidth="false" hidden="false" outlineLevel="0" max="16384" min="18" style="1" width="10.5"/>
  </cols>
  <sheetData>
    <row r="1" customFormat="false" ht="19.4" hidden="false" customHeight="false" outlineLevel="0" collapsed="false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 t="s">
        <v>16</v>
      </c>
    </row>
    <row r="2" customFormat="false" ht="15" hidden="false" customHeight="false" outlineLevel="0" collapsed="false">
      <c r="A2" s="3"/>
      <c r="B2" s="3"/>
      <c r="C2" s="3"/>
      <c r="D2" s="2"/>
      <c r="E2" s="2"/>
      <c r="F2" s="2"/>
      <c r="N2" s="5"/>
      <c r="O2" s="5"/>
      <c r="P2" s="5"/>
      <c r="Q2" s="6"/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2" t="s">
        <v>20</v>
      </c>
      <c r="E3" s="2" t="s">
        <v>21</v>
      </c>
      <c r="F3" s="2" t="n">
        <v>2</v>
      </c>
      <c r="G3" s="2" t="s">
        <v>22</v>
      </c>
      <c r="H3" s="2" t="n">
        <v>0.2152</v>
      </c>
      <c r="I3" s="2" t="n">
        <v>0.314603231108839</v>
      </c>
      <c r="J3" s="2" t="n">
        <v>0.394511877433604</v>
      </c>
      <c r="K3" s="2" t="n">
        <f aca="false">J3-I3</f>
        <v>0.079908646324765</v>
      </c>
      <c r="L3" s="2" t="n">
        <v>0.842837131615738</v>
      </c>
      <c r="N3" s="2" t="n">
        <f aca="false">AVERAGE(K3:K8)</f>
        <v>0.0744731963053217</v>
      </c>
      <c r="O3" s="5" t="n">
        <f aca="false">K3:K144</f>
        <v>0.079908646324765</v>
      </c>
      <c r="P3" s="7" t="n">
        <f aca="false">COUNT(K3:K144)</f>
        <v>142</v>
      </c>
      <c r="Q3" s="5" t="n">
        <f aca="false">CORREL(H3:H144,K3:K144)</f>
        <v>0.0886763951697985</v>
      </c>
      <c r="R3" s="1" t="n">
        <v>0.29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2" t="s">
        <v>20</v>
      </c>
      <c r="E4" s="2" t="s">
        <v>21</v>
      </c>
      <c r="F4" s="2" t="n">
        <v>2</v>
      </c>
      <c r="G4" s="2" t="s">
        <v>23</v>
      </c>
      <c r="H4" s="2" t="n">
        <v>0.1928</v>
      </c>
      <c r="I4" s="2" t="n">
        <v>0.281863689960671</v>
      </c>
      <c r="J4" s="2" t="n">
        <v>0.335413945845686</v>
      </c>
      <c r="K4" s="2" t="n">
        <f aca="false">J4-I4</f>
        <v>0.053550255885015</v>
      </c>
      <c r="L4" s="2" t="n">
        <v>0.842837131615738</v>
      </c>
      <c r="N4" s="2"/>
      <c r="O4" s="5"/>
      <c r="P4" s="5"/>
      <c r="Q4" s="6"/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2" t="s">
        <v>20</v>
      </c>
      <c r="E5" s="2" t="s">
        <v>21</v>
      </c>
      <c r="F5" s="2" t="n">
        <v>2</v>
      </c>
      <c r="G5" s="2" t="s">
        <v>24</v>
      </c>
      <c r="H5" s="2" t="n">
        <v>0.1676</v>
      </c>
      <c r="I5" s="2" t="n">
        <v>0.24505359824739</v>
      </c>
      <c r="J5" s="2" t="n">
        <v>0.323707999655774</v>
      </c>
      <c r="K5" s="2" t="n">
        <f aca="false">J5-I5</f>
        <v>0.078654401408384</v>
      </c>
      <c r="L5" s="2" t="n">
        <v>0.842837131615738</v>
      </c>
      <c r="N5" s="2"/>
      <c r="O5" s="5"/>
      <c r="P5" s="5"/>
      <c r="Q5" s="6"/>
    </row>
    <row r="6" customFormat="false" ht="15" hidden="false" customHeight="false" outlineLevel="0" collapsed="false">
      <c r="A6" s="3" t="s">
        <v>17</v>
      </c>
      <c r="B6" s="3" t="s">
        <v>18</v>
      </c>
      <c r="C6" s="3" t="s">
        <v>19</v>
      </c>
      <c r="D6" s="2" t="s">
        <v>20</v>
      </c>
      <c r="E6" s="2" t="s">
        <v>21</v>
      </c>
      <c r="F6" s="2" t="n">
        <v>2</v>
      </c>
      <c r="G6" s="2" t="s">
        <v>25</v>
      </c>
      <c r="H6" s="2" t="n">
        <v>0.1634</v>
      </c>
      <c r="I6" s="2" t="n">
        <v>0.238988506667432</v>
      </c>
      <c r="J6" s="2" t="n">
        <v>0.310672930393466</v>
      </c>
      <c r="K6" s="2" t="n">
        <f aca="false">J6-I6</f>
        <v>0.071684423726034</v>
      </c>
      <c r="L6" s="2" t="n">
        <v>0.842837131615738</v>
      </c>
      <c r="N6" s="2"/>
      <c r="O6" s="5"/>
      <c r="P6" s="5"/>
      <c r="Q6" s="6"/>
    </row>
    <row r="7" customFormat="false" ht="15" hidden="false" customHeight="false" outlineLevel="0" collapsed="false">
      <c r="A7" s="3" t="s">
        <v>17</v>
      </c>
      <c r="B7" s="3" t="s">
        <v>18</v>
      </c>
      <c r="C7" s="3" t="s">
        <v>19</v>
      </c>
      <c r="D7" s="2" t="s">
        <v>20</v>
      </c>
      <c r="E7" s="2" t="s">
        <v>21</v>
      </c>
      <c r="F7" s="2" t="n">
        <v>2</v>
      </c>
      <c r="G7" s="2" t="s">
        <v>26</v>
      </c>
      <c r="H7" s="2" t="n">
        <v>0.1611</v>
      </c>
      <c r="I7" s="2" t="n">
        <v>0.235496992226433</v>
      </c>
      <c r="J7" s="2" t="n">
        <v>0.289648191435873</v>
      </c>
      <c r="K7" s="2" t="n">
        <f aca="false">J7-I7</f>
        <v>0.05415119920944</v>
      </c>
      <c r="L7" s="2" t="n">
        <v>0.842837131615738</v>
      </c>
      <c r="N7" s="2"/>
      <c r="O7" s="5"/>
      <c r="P7" s="5"/>
      <c r="Q7" s="6"/>
    </row>
    <row r="8" customFormat="false" ht="15" hidden="false" customHeight="false" outlineLevel="0" collapsed="false">
      <c r="A8" s="3" t="s">
        <v>17</v>
      </c>
      <c r="B8" s="3" t="s">
        <v>18</v>
      </c>
      <c r="C8" s="3" t="s">
        <v>19</v>
      </c>
      <c r="D8" s="2" t="s">
        <v>20</v>
      </c>
      <c r="E8" s="2" t="s">
        <v>21</v>
      </c>
      <c r="F8" s="2" t="n">
        <v>2</v>
      </c>
      <c r="G8" s="2" t="s">
        <v>27</v>
      </c>
      <c r="H8" s="2" t="n">
        <v>0.1</v>
      </c>
      <c r="I8" s="2" t="n">
        <v>0.144065988273709</v>
      </c>
      <c r="J8" s="2" t="n">
        <v>0.252956239552001</v>
      </c>
      <c r="K8" s="2" t="n">
        <f aca="false">J8-I8</f>
        <v>0.108890251278292</v>
      </c>
      <c r="L8" s="2" t="n">
        <v>0.842837131615738</v>
      </c>
      <c r="N8" s="2"/>
      <c r="O8" s="5"/>
      <c r="P8" s="5"/>
      <c r="Q8" s="6"/>
    </row>
    <row r="9" customFormat="false" ht="15" hidden="false" customHeight="false" outlineLevel="0" collapsed="false">
      <c r="A9" s="3" t="s">
        <v>28</v>
      </c>
      <c r="B9" s="3" t="s">
        <v>29</v>
      </c>
      <c r="C9" s="3" t="s">
        <v>30</v>
      </c>
      <c r="D9" s="2" t="s">
        <v>20</v>
      </c>
      <c r="E9" s="2" t="s">
        <v>21</v>
      </c>
      <c r="F9" s="2" t="n">
        <v>4</v>
      </c>
      <c r="G9" s="2" t="s">
        <v>22</v>
      </c>
      <c r="H9" s="2" t="n">
        <v>0.2137</v>
      </c>
      <c r="I9" s="2" t="n">
        <v>0.310148554305041</v>
      </c>
      <c r="J9" s="2" t="n">
        <v>0.384480956069897</v>
      </c>
      <c r="K9" s="2" t="n">
        <f aca="false">J9-I9</f>
        <v>0.074332401764856</v>
      </c>
      <c r="L9" s="2" t="n">
        <v>0.75574434703051</v>
      </c>
      <c r="N9" s="2" t="n">
        <f aca="false">AVERAGE(K9:K14)</f>
        <v>0.0684659369448775</v>
      </c>
      <c r="O9" s="5"/>
      <c r="P9" s="5"/>
      <c r="Q9" s="6"/>
    </row>
    <row r="10" customFormat="false" ht="15" hidden="false" customHeight="false" outlineLevel="0" collapsed="false">
      <c r="A10" s="3" t="s">
        <v>28</v>
      </c>
      <c r="B10" s="3" t="s">
        <v>29</v>
      </c>
      <c r="C10" s="3" t="s">
        <v>30</v>
      </c>
      <c r="D10" s="2" t="s">
        <v>20</v>
      </c>
      <c r="E10" s="2" t="s">
        <v>21</v>
      </c>
      <c r="F10" s="2" t="n">
        <v>4</v>
      </c>
      <c r="G10" s="2" t="s">
        <v>23</v>
      </c>
      <c r="H10" s="2" t="n">
        <v>0.1849</v>
      </c>
      <c r="I10" s="2" t="n">
        <v>0.26847894252884</v>
      </c>
      <c r="J10" s="2" t="n">
        <v>0.316437056864393</v>
      </c>
      <c r="K10" s="2" t="n">
        <f aca="false">J10-I10</f>
        <v>0.047958114335553</v>
      </c>
      <c r="L10" s="2" t="n">
        <v>0.75574434703051</v>
      </c>
      <c r="N10" s="2"/>
      <c r="O10" s="5"/>
      <c r="P10" s="5"/>
      <c r="Q10" s="6"/>
    </row>
    <row r="11" customFormat="false" ht="15" hidden="false" customHeight="false" outlineLevel="0" collapsed="false">
      <c r="A11" s="3" t="s">
        <v>28</v>
      </c>
      <c r="B11" s="3" t="s">
        <v>29</v>
      </c>
      <c r="C11" s="3" t="s">
        <v>30</v>
      </c>
      <c r="D11" s="2" t="s">
        <v>20</v>
      </c>
      <c r="E11" s="2" t="s">
        <v>21</v>
      </c>
      <c r="F11" s="2" t="n">
        <v>4</v>
      </c>
      <c r="G11" s="2" t="s">
        <v>31</v>
      </c>
      <c r="H11" s="2" t="n">
        <v>0.1779</v>
      </c>
      <c r="I11" s="2" t="n">
        <v>0.258220559487838</v>
      </c>
      <c r="J11" s="2" t="n">
        <v>0.302665365334542</v>
      </c>
      <c r="K11" s="2" t="n">
        <f aca="false">J11-I11</f>
        <v>0.044444805846704</v>
      </c>
      <c r="L11" s="2" t="n">
        <v>0.75574434703051</v>
      </c>
      <c r="N11" s="2"/>
      <c r="O11" s="5"/>
      <c r="P11" s="5"/>
      <c r="Q11" s="6"/>
    </row>
    <row r="12" customFormat="false" ht="15" hidden="false" customHeight="false" outlineLevel="0" collapsed="false">
      <c r="A12" s="3" t="s">
        <v>28</v>
      </c>
      <c r="B12" s="3" t="s">
        <v>29</v>
      </c>
      <c r="C12" s="3" t="s">
        <v>30</v>
      </c>
      <c r="D12" s="2" t="s">
        <v>20</v>
      </c>
      <c r="E12" s="2" t="s">
        <v>21</v>
      </c>
      <c r="F12" s="2" t="n">
        <v>4</v>
      </c>
      <c r="G12" s="2" t="s">
        <v>24</v>
      </c>
      <c r="H12" s="2" t="n">
        <v>0.163</v>
      </c>
      <c r="I12" s="2" t="n">
        <v>0.236600484284804</v>
      </c>
      <c r="J12" s="2" t="n">
        <v>0.314157162937689</v>
      </c>
      <c r="K12" s="2" t="n">
        <f aca="false">J12-I12</f>
        <v>0.077556678652885</v>
      </c>
      <c r="L12" s="2" t="n">
        <v>0.75574434703051</v>
      </c>
      <c r="N12" s="2"/>
      <c r="O12" s="5"/>
      <c r="P12" s="5"/>
      <c r="Q12" s="6"/>
    </row>
    <row r="13" customFormat="false" ht="15" hidden="false" customHeight="false" outlineLevel="0" collapsed="false">
      <c r="A13" s="3" t="s">
        <v>28</v>
      </c>
      <c r="B13" s="3" t="s">
        <v>29</v>
      </c>
      <c r="C13" s="3" t="s">
        <v>30</v>
      </c>
      <c r="D13" s="2" t="s">
        <v>20</v>
      </c>
      <c r="E13" s="2" t="s">
        <v>21</v>
      </c>
      <c r="F13" s="2" t="n">
        <v>4</v>
      </c>
      <c r="G13" s="2" t="s">
        <v>25</v>
      </c>
      <c r="H13" s="2" t="n">
        <v>0.1605</v>
      </c>
      <c r="I13" s="2" t="n">
        <v>0.233038667105658</v>
      </c>
      <c r="J13" s="2" t="n">
        <v>0.318246559563422</v>
      </c>
      <c r="K13" s="2" t="n">
        <f aca="false">J13-I13</f>
        <v>0.085207892457764</v>
      </c>
      <c r="L13" s="2" t="n">
        <v>0.75574434703051</v>
      </c>
      <c r="N13" s="2"/>
      <c r="O13" s="5"/>
      <c r="P13" s="5"/>
      <c r="Q13" s="6"/>
    </row>
    <row r="14" customFormat="false" ht="15" hidden="false" customHeight="false" outlineLevel="0" collapsed="false">
      <c r="A14" s="3" t="s">
        <v>28</v>
      </c>
      <c r="B14" s="3" t="s">
        <v>29</v>
      </c>
      <c r="C14" s="3" t="s">
        <v>30</v>
      </c>
      <c r="D14" s="2" t="s">
        <v>20</v>
      </c>
      <c r="E14" s="2" t="s">
        <v>21</v>
      </c>
      <c r="F14" s="2" t="n">
        <v>4</v>
      </c>
      <c r="G14" s="2" t="s">
        <v>27</v>
      </c>
      <c r="H14" s="2" t="n">
        <v>0.1</v>
      </c>
      <c r="I14" s="2" t="n">
        <v>0.176207235234544</v>
      </c>
      <c r="J14" s="2" t="n">
        <v>0.257502963846047</v>
      </c>
      <c r="K14" s="2" t="n">
        <f aca="false">J14-I14</f>
        <v>0.081295728611503</v>
      </c>
      <c r="L14" s="2" t="n">
        <v>0.75574434703051</v>
      </c>
      <c r="N14" s="2"/>
      <c r="O14" s="5"/>
      <c r="P14" s="5"/>
      <c r="Q14" s="6"/>
    </row>
    <row r="15" customFormat="false" ht="15" hidden="false" customHeight="false" outlineLevel="0" collapsed="false">
      <c r="A15" s="3" t="s">
        <v>32</v>
      </c>
      <c r="B15" s="3" t="s">
        <v>33</v>
      </c>
      <c r="C15" s="3" t="s">
        <v>34</v>
      </c>
      <c r="D15" s="2" t="s">
        <v>20</v>
      </c>
      <c r="E15" s="2" t="s">
        <v>21</v>
      </c>
      <c r="F15" s="2" t="n">
        <v>6</v>
      </c>
      <c r="G15" s="2" t="s">
        <v>22</v>
      </c>
      <c r="H15" s="2" t="n">
        <v>0.2125</v>
      </c>
      <c r="I15" s="2" t="n">
        <v>0.368534051301459</v>
      </c>
      <c r="J15" s="2" t="n">
        <v>0.421896428821689</v>
      </c>
      <c r="K15" s="2" t="n">
        <f aca="false">J15-I15</f>
        <v>0.05336237752023</v>
      </c>
      <c r="L15" s="2" t="n">
        <v>0.75246138552499</v>
      </c>
      <c r="N15" s="2" t="n">
        <f aca="false">AVERAGE(K15:K20)</f>
        <v>0.0595489650755445</v>
      </c>
      <c r="O15" s="5"/>
      <c r="P15" s="5"/>
      <c r="Q15" s="6"/>
    </row>
    <row r="16" customFormat="false" ht="15" hidden="false" customHeight="false" outlineLevel="0" collapsed="false">
      <c r="A16" s="3" t="s">
        <v>32</v>
      </c>
      <c r="B16" s="3" t="s">
        <v>33</v>
      </c>
      <c r="C16" s="3" t="s">
        <v>34</v>
      </c>
      <c r="D16" s="2" t="s">
        <v>20</v>
      </c>
      <c r="E16" s="2" t="s">
        <v>21</v>
      </c>
      <c r="F16" s="2" t="n">
        <v>6</v>
      </c>
      <c r="G16" s="2" t="s">
        <v>23</v>
      </c>
      <c r="H16" s="2" t="n">
        <v>0.1871</v>
      </c>
      <c r="I16" s="2" t="n">
        <v>0.3244709355272</v>
      </c>
      <c r="J16" s="2" t="n">
        <v>0.385782379554174</v>
      </c>
      <c r="K16" s="2" t="n">
        <f aca="false">J16-I16</f>
        <v>0.061311444026974</v>
      </c>
      <c r="L16" s="2" t="n">
        <v>0.75246138552499</v>
      </c>
      <c r="N16" s="2"/>
      <c r="O16" s="5"/>
      <c r="P16" s="5"/>
      <c r="Q16" s="6"/>
    </row>
    <row r="17" customFormat="false" ht="15" hidden="false" customHeight="false" outlineLevel="0" collapsed="false">
      <c r="A17" s="3" t="s">
        <v>32</v>
      </c>
      <c r="B17" s="3" t="s">
        <v>33</v>
      </c>
      <c r="C17" s="3" t="s">
        <v>34</v>
      </c>
      <c r="D17" s="2" t="s">
        <v>20</v>
      </c>
      <c r="E17" s="2" t="s">
        <v>21</v>
      </c>
      <c r="F17" s="2" t="n">
        <v>6</v>
      </c>
      <c r="G17" s="2" t="s">
        <v>25</v>
      </c>
      <c r="H17" s="2" t="n">
        <v>0.1772</v>
      </c>
      <c r="I17" s="2" t="n">
        <v>0.30735517132608</v>
      </c>
      <c r="J17" s="2" t="n">
        <v>0.362542351398503</v>
      </c>
      <c r="K17" s="2" t="n">
        <f aca="false">J17-I17</f>
        <v>0.055187180072423</v>
      </c>
      <c r="L17" s="2" t="n">
        <v>0.75246138552499</v>
      </c>
      <c r="N17" s="2"/>
      <c r="O17" s="5"/>
      <c r="P17" s="5"/>
      <c r="Q17" s="6"/>
    </row>
    <row r="18" customFormat="false" ht="15" hidden="false" customHeight="false" outlineLevel="0" collapsed="false">
      <c r="A18" s="3" t="s">
        <v>32</v>
      </c>
      <c r="B18" s="3" t="s">
        <v>33</v>
      </c>
      <c r="C18" s="3" t="s">
        <v>34</v>
      </c>
      <c r="D18" s="2" t="s">
        <v>20</v>
      </c>
      <c r="E18" s="2" t="s">
        <v>21</v>
      </c>
      <c r="F18" s="2" t="n">
        <v>6</v>
      </c>
      <c r="G18" s="2" t="s">
        <v>31</v>
      </c>
      <c r="H18" s="2" t="n">
        <v>0.1658</v>
      </c>
      <c r="I18" s="2" t="n">
        <v>0.287634184719091</v>
      </c>
      <c r="J18" s="2" t="n">
        <v>0.338050469510302</v>
      </c>
      <c r="K18" s="2" t="n">
        <f aca="false">J18-I18</f>
        <v>0.050416284791211</v>
      </c>
      <c r="L18" s="2" t="n">
        <v>0.75246138552499</v>
      </c>
      <c r="N18" s="2"/>
      <c r="O18" s="5"/>
      <c r="P18" s="5"/>
      <c r="Q18" s="6"/>
    </row>
    <row r="19" customFormat="false" ht="15" hidden="false" customHeight="false" outlineLevel="0" collapsed="false">
      <c r="A19" s="3" t="s">
        <v>32</v>
      </c>
      <c r="B19" s="3" t="s">
        <v>33</v>
      </c>
      <c r="C19" s="3" t="s">
        <v>34</v>
      </c>
      <c r="D19" s="2" t="s">
        <v>20</v>
      </c>
      <c r="E19" s="2" t="s">
        <v>21</v>
      </c>
      <c r="F19" s="2" t="n">
        <v>6</v>
      </c>
      <c r="G19" s="2" t="s">
        <v>24</v>
      </c>
      <c r="H19" s="2" t="n">
        <v>0.1575</v>
      </c>
      <c r="I19" s="2" t="n">
        <v>0.27311865634939</v>
      </c>
      <c r="J19" s="2" t="n">
        <v>0.352722608334477</v>
      </c>
      <c r="K19" s="2" t="n">
        <f aca="false">J19-I19</f>
        <v>0.079603951985087</v>
      </c>
      <c r="L19" s="2" t="n">
        <v>0.75246138552499</v>
      </c>
      <c r="N19" s="2"/>
      <c r="O19" s="5"/>
      <c r="P19" s="5"/>
      <c r="Q19" s="6"/>
    </row>
    <row r="20" customFormat="false" ht="15" hidden="false" customHeight="false" outlineLevel="0" collapsed="false">
      <c r="A20" s="3" t="s">
        <v>32</v>
      </c>
      <c r="B20" s="3" t="s">
        <v>33</v>
      </c>
      <c r="C20" s="3" t="s">
        <v>34</v>
      </c>
      <c r="D20" s="2" t="s">
        <v>20</v>
      </c>
      <c r="E20" s="2" t="s">
        <v>21</v>
      </c>
      <c r="F20" s="2" t="n">
        <v>6</v>
      </c>
      <c r="G20" s="2" t="s">
        <v>27</v>
      </c>
      <c r="H20" s="2" t="n">
        <v>0.1</v>
      </c>
      <c r="I20" s="2" t="n">
        <v>0.209168975767373</v>
      </c>
      <c r="J20" s="2" t="n">
        <v>0.266581527824715</v>
      </c>
      <c r="K20" s="2" t="n">
        <f aca="false">J20-I20</f>
        <v>0.057412552057342</v>
      </c>
      <c r="L20" s="2" t="n">
        <v>0.75246138552499</v>
      </c>
      <c r="N20" s="2"/>
      <c r="O20" s="5"/>
      <c r="P20" s="5"/>
      <c r="Q20" s="6"/>
    </row>
    <row r="21" customFormat="false" ht="15" hidden="false" customHeight="false" outlineLevel="0" collapsed="false">
      <c r="A21" s="3" t="s">
        <v>35</v>
      </c>
      <c r="B21" s="3" t="s">
        <v>36</v>
      </c>
      <c r="C21" s="3" t="s">
        <v>37</v>
      </c>
      <c r="D21" s="2" t="s">
        <v>20</v>
      </c>
      <c r="E21" s="2" t="s">
        <v>21</v>
      </c>
      <c r="F21" s="2" t="n">
        <v>8</v>
      </c>
      <c r="G21" s="2" t="s">
        <v>22</v>
      </c>
      <c r="H21" s="2" t="n">
        <v>0.225</v>
      </c>
      <c r="I21" s="2" t="n">
        <v>0.35934998444597</v>
      </c>
      <c r="J21" s="2" t="n">
        <v>0.398808617627635</v>
      </c>
      <c r="K21" s="2" t="n">
        <f aca="false">J21-I21</f>
        <v>0.039458633181665</v>
      </c>
      <c r="L21" s="2" t="n">
        <v>0.755239937675953</v>
      </c>
      <c r="N21" s="2" t="n">
        <f aca="false">AVERAGE(K21:K26)</f>
        <v>0.0615013223907123</v>
      </c>
      <c r="O21" s="5"/>
      <c r="P21" s="5"/>
      <c r="Q21" s="6"/>
    </row>
    <row r="22" customFormat="false" ht="15" hidden="false" customHeight="false" outlineLevel="0" collapsed="false">
      <c r="A22" s="3" t="s">
        <v>35</v>
      </c>
      <c r="B22" s="3" t="s">
        <v>36</v>
      </c>
      <c r="C22" s="3" t="s">
        <v>37</v>
      </c>
      <c r="D22" s="2" t="s">
        <v>20</v>
      </c>
      <c r="E22" s="2" t="s">
        <v>21</v>
      </c>
      <c r="F22" s="2" t="n">
        <v>8</v>
      </c>
      <c r="G22" s="2" t="s">
        <v>23</v>
      </c>
      <c r="H22" s="2" t="n">
        <v>0.1964</v>
      </c>
      <c r="I22" s="2" t="n">
        <v>0.313802015818658</v>
      </c>
      <c r="J22" s="2" t="n">
        <v>0.328798587142286</v>
      </c>
      <c r="K22" s="2" t="n">
        <f aca="false">J22-I22</f>
        <v>0.014996571323628</v>
      </c>
      <c r="L22" s="2" t="n">
        <v>0.755239937675953</v>
      </c>
      <c r="N22" s="2"/>
      <c r="O22" s="5"/>
      <c r="P22" s="5"/>
      <c r="Q22" s="6"/>
    </row>
    <row r="23" customFormat="false" ht="15" hidden="false" customHeight="false" outlineLevel="0" collapsed="false">
      <c r="A23" s="3" t="s">
        <v>35</v>
      </c>
      <c r="B23" s="3" t="s">
        <v>36</v>
      </c>
      <c r="C23" s="3" t="s">
        <v>37</v>
      </c>
      <c r="D23" s="2" t="s">
        <v>20</v>
      </c>
      <c r="E23" s="2" t="s">
        <v>21</v>
      </c>
      <c r="F23" s="2" t="n">
        <v>8</v>
      </c>
      <c r="G23" s="2" t="s">
        <v>24</v>
      </c>
      <c r="H23" s="2" t="n">
        <v>0.1655</v>
      </c>
      <c r="I23" s="2" t="n">
        <v>0.264454230829185</v>
      </c>
      <c r="J23" s="2" t="n">
        <v>0.339402161353752</v>
      </c>
      <c r="K23" s="2" t="n">
        <f aca="false">J23-I23</f>
        <v>0.074947930524567</v>
      </c>
      <c r="L23" s="2" t="n">
        <v>0.755239937675953</v>
      </c>
      <c r="N23" s="2"/>
      <c r="O23" s="5"/>
      <c r="P23" s="5"/>
      <c r="Q23" s="6"/>
    </row>
    <row r="24" customFormat="false" ht="15" hidden="false" customHeight="false" outlineLevel="0" collapsed="false">
      <c r="A24" s="3" t="s">
        <v>35</v>
      </c>
      <c r="B24" s="3" t="s">
        <v>36</v>
      </c>
      <c r="C24" s="3" t="s">
        <v>37</v>
      </c>
      <c r="D24" s="2" t="s">
        <v>20</v>
      </c>
      <c r="E24" s="2" t="s">
        <v>21</v>
      </c>
      <c r="F24" s="2" t="n">
        <v>8</v>
      </c>
      <c r="G24" s="2" t="s">
        <v>31</v>
      </c>
      <c r="H24" s="2" t="n">
        <v>0.1569</v>
      </c>
      <c r="I24" s="2" t="n">
        <v>0.250649356120999</v>
      </c>
      <c r="J24" s="2" t="n">
        <v>0.329033231669835</v>
      </c>
      <c r="K24" s="2" t="n">
        <f aca="false">J24-I24</f>
        <v>0.078383875548836</v>
      </c>
      <c r="L24" s="2" t="n">
        <v>0.755239937675953</v>
      </c>
      <c r="N24" s="2"/>
      <c r="O24" s="5"/>
      <c r="P24" s="5"/>
      <c r="Q24" s="6"/>
    </row>
    <row r="25" customFormat="false" ht="15" hidden="false" customHeight="false" outlineLevel="0" collapsed="false">
      <c r="A25" s="3" t="s">
        <v>35</v>
      </c>
      <c r="B25" s="3" t="s">
        <v>36</v>
      </c>
      <c r="C25" s="3" t="s">
        <v>37</v>
      </c>
      <c r="D25" s="2" t="s">
        <v>20</v>
      </c>
      <c r="E25" s="2" t="s">
        <v>21</v>
      </c>
      <c r="F25" s="2" t="n">
        <v>8</v>
      </c>
      <c r="G25" s="2" t="s">
        <v>25</v>
      </c>
      <c r="H25" s="2" t="n">
        <v>0.1562</v>
      </c>
      <c r="I25" s="2" t="n">
        <v>0.24945620962805</v>
      </c>
      <c r="J25" s="2" t="n">
        <v>0.311705933973273</v>
      </c>
      <c r="K25" s="2" t="n">
        <f aca="false">J25-I25</f>
        <v>0.062249724345223</v>
      </c>
      <c r="L25" s="2" t="n">
        <v>0.755239937675953</v>
      </c>
      <c r="N25" s="2"/>
      <c r="O25" s="5"/>
      <c r="P25" s="5"/>
      <c r="Q25" s="6"/>
    </row>
    <row r="26" customFormat="false" ht="15" hidden="false" customHeight="false" outlineLevel="0" collapsed="false">
      <c r="A26" s="3" t="s">
        <v>35</v>
      </c>
      <c r="B26" s="3" t="s">
        <v>36</v>
      </c>
      <c r="C26" s="3" t="s">
        <v>37</v>
      </c>
      <c r="D26" s="2" t="s">
        <v>20</v>
      </c>
      <c r="E26" s="2" t="s">
        <v>21</v>
      </c>
      <c r="F26" s="2" t="n">
        <v>8</v>
      </c>
      <c r="G26" s="2" t="s">
        <v>27</v>
      </c>
      <c r="H26" s="2" t="n">
        <v>0.1</v>
      </c>
      <c r="I26" s="2" t="n">
        <v>0.178441837251068</v>
      </c>
      <c r="J26" s="2" t="n">
        <v>0.277413036671423</v>
      </c>
      <c r="K26" s="2" t="n">
        <f aca="false">J26-I26</f>
        <v>0.098971199420355</v>
      </c>
      <c r="L26" s="2" t="n">
        <v>0.755239937675953</v>
      </c>
      <c r="N26" s="2"/>
      <c r="O26" s="5"/>
      <c r="P26" s="5"/>
      <c r="Q26" s="6"/>
    </row>
    <row r="27" customFormat="false" ht="15" hidden="false" customHeight="false" outlineLevel="0" collapsed="false">
      <c r="A27" s="3" t="s">
        <v>38</v>
      </c>
      <c r="B27" s="3" t="s">
        <v>39</v>
      </c>
      <c r="C27" s="3" t="s">
        <v>40</v>
      </c>
      <c r="D27" s="2" t="s">
        <v>20</v>
      </c>
      <c r="E27" s="2" t="s">
        <v>21</v>
      </c>
      <c r="F27" s="2" t="n">
        <v>10</v>
      </c>
      <c r="G27" s="2" t="s">
        <v>22</v>
      </c>
      <c r="H27" s="2" t="n">
        <v>0.2138</v>
      </c>
      <c r="I27" s="2" t="n">
        <v>0.338035591472491</v>
      </c>
      <c r="J27" s="2" t="n">
        <v>0.392505405619549</v>
      </c>
      <c r="K27" s="2" t="n">
        <f aca="false">J27-I27</f>
        <v>0.054469814147058</v>
      </c>
      <c r="L27" s="2" t="n">
        <v>0.68196906691827</v>
      </c>
      <c r="N27" s="2" t="n">
        <f aca="false">AVERAGE(K27:K32)</f>
        <v>0.0445945082536915</v>
      </c>
      <c r="O27" s="5"/>
      <c r="P27" s="5"/>
      <c r="Q27" s="6"/>
    </row>
    <row r="28" customFormat="false" ht="15" hidden="false" customHeight="false" outlineLevel="0" collapsed="false">
      <c r="A28" s="3" t="s">
        <v>38</v>
      </c>
      <c r="B28" s="3" t="s">
        <v>39</v>
      </c>
      <c r="C28" s="3" t="s">
        <v>40</v>
      </c>
      <c r="D28" s="2" t="s">
        <v>20</v>
      </c>
      <c r="E28" s="2" t="s">
        <v>21</v>
      </c>
      <c r="F28" s="2" t="n">
        <v>10</v>
      </c>
      <c r="G28" s="2" t="s">
        <v>23</v>
      </c>
      <c r="H28" s="2" t="n">
        <v>0.1822</v>
      </c>
      <c r="I28" s="2" t="n">
        <v>0.287965342299327</v>
      </c>
      <c r="J28" s="2" t="n">
        <v>0.320657544092939</v>
      </c>
      <c r="K28" s="2" t="n">
        <f aca="false">J28-I28</f>
        <v>0.032692201793612</v>
      </c>
      <c r="L28" s="2" t="n">
        <v>0.68196906691827</v>
      </c>
      <c r="N28" s="2"/>
      <c r="O28" s="5"/>
      <c r="P28" s="5"/>
      <c r="Q28" s="6"/>
    </row>
    <row r="29" customFormat="false" ht="15" hidden="false" customHeight="false" outlineLevel="0" collapsed="false">
      <c r="A29" s="3" t="s">
        <v>38</v>
      </c>
      <c r="B29" s="3" t="s">
        <v>39</v>
      </c>
      <c r="C29" s="3" t="s">
        <v>40</v>
      </c>
      <c r="D29" s="2" t="s">
        <v>20</v>
      </c>
      <c r="E29" s="2" t="s">
        <v>21</v>
      </c>
      <c r="F29" s="2" t="n">
        <v>10</v>
      </c>
      <c r="G29" s="2" t="s">
        <v>31</v>
      </c>
      <c r="H29" s="2" t="n">
        <v>0.1812</v>
      </c>
      <c r="I29" s="2" t="n">
        <v>0.286464650948703</v>
      </c>
      <c r="J29" s="2" t="n">
        <v>0.3327643999433</v>
      </c>
      <c r="K29" s="2" t="n">
        <f aca="false">J29-I29</f>
        <v>0.046299748994597</v>
      </c>
      <c r="L29" s="2" t="n">
        <v>0.68196906691827</v>
      </c>
      <c r="N29" s="2"/>
      <c r="O29" s="5"/>
      <c r="P29" s="5"/>
      <c r="Q29" s="6"/>
    </row>
    <row r="30" customFormat="false" ht="15" hidden="false" customHeight="false" outlineLevel="0" collapsed="false">
      <c r="A30" s="3" t="s">
        <v>38</v>
      </c>
      <c r="B30" s="3" t="s">
        <v>39</v>
      </c>
      <c r="C30" s="3" t="s">
        <v>40</v>
      </c>
      <c r="D30" s="2" t="s">
        <v>20</v>
      </c>
      <c r="E30" s="2" t="s">
        <v>21</v>
      </c>
      <c r="F30" s="2" t="n">
        <v>10</v>
      </c>
      <c r="G30" s="2" t="s">
        <v>24</v>
      </c>
      <c r="H30" s="2" t="n">
        <v>0.1631</v>
      </c>
      <c r="I30" s="2" t="n">
        <v>0.257804281166539</v>
      </c>
      <c r="J30" s="2" t="n">
        <v>0.314516588052044</v>
      </c>
      <c r="K30" s="2" t="n">
        <f aca="false">J30-I30</f>
        <v>0.0567123068855051</v>
      </c>
      <c r="L30" s="2" t="n">
        <v>0.68196906691827</v>
      </c>
      <c r="N30" s="2"/>
      <c r="O30" s="5"/>
      <c r="P30" s="5"/>
      <c r="Q30" s="6"/>
    </row>
    <row r="31" customFormat="false" ht="15" hidden="false" customHeight="false" outlineLevel="0" collapsed="false">
      <c r="A31" s="3" t="s">
        <v>38</v>
      </c>
      <c r="B31" s="3" t="s">
        <v>39</v>
      </c>
      <c r="C31" s="3" t="s">
        <v>40</v>
      </c>
      <c r="D31" s="2" t="s">
        <v>20</v>
      </c>
      <c r="E31" s="2" t="s">
        <v>21</v>
      </c>
      <c r="F31" s="2" t="n">
        <v>10</v>
      </c>
      <c r="G31" s="2" t="s">
        <v>25</v>
      </c>
      <c r="H31" s="2" t="n">
        <v>0.1597</v>
      </c>
      <c r="I31" s="2" t="n">
        <v>0.252428055152614</v>
      </c>
      <c r="J31" s="2" t="n">
        <v>0.319284422379026</v>
      </c>
      <c r="K31" s="2" t="n">
        <f aca="false">J31-I31</f>
        <v>0.066856367226412</v>
      </c>
      <c r="L31" s="2" t="n">
        <v>0.68196906691827</v>
      </c>
      <c r="N31" s="2"/>
      <c r="O31" s="5"/>
      <c r="P31" s="5"/>
      <c r="Q31" s="6"/>
    </row>
    <row r="32" customFormat="false" ht="15" hidden="false" customHeight="false" outlineLevel="0" collapsed="false">
      <c r="A32" s="3" t="s">
        <v>38</v>
      </c>
      <c r="B32" s="3" t="s">
        <v>39</v>
      </c>
      <c r="C32" s="3" t="s">
        <v>40</v>
      </c>
      <c r="D32" s="2" t="s">
        <v>20</v>
      </c>
      <c r="E32" s="2" t="s">
        <v>21</v>
      </c>
      <c r="F32" s="2" t="n">
        <v>10</v>
      </c>
      <c r="G32" s="2" t="s">
        <v>27</v>
      </c>
      <c r="H32" s="2" t="n">
        <v>0.1</v>
      </c>
      <c r="I32" s="2" t="n">
        <v>0.231223425661054</v>
      </c>
      <c r="J32" s="2" t="n">
        <v>0.241760036136019</v>
      </c>
      <c r="K32" s="2" t="n">
        <f aca="false">J32-I32</f>
        <v>0.010536610474965</v>
      </c>
      <c r="L32" s="2" t="n">
        <v>0.68196906691827</v>
      </c>
      <c r="N32" s="2"/>
      <c r="O32" s="5"/>
      <c r="P32" s="5"/>
      <c r="Q32" s="6"/>
    </row>
    <row r="33" customFormat="false" ht="15" hidden="false" customHeight="false" outlineLevel="0" collapsed="false">
      <c r="A33" s="3" t="s">
        <v>41</v>
      </c>
      <c r="B33" s="3" t="s">
        <v>42</v>
      </c>
      <c r="C33" s="3" t="s">
        <v>43</v>
      </c>
      <c r="D33" s="2" t="s">
        <v>20</v>
      </c>
      <c r="E33" s="2" t="s">
        <v>21</v>
      </c>
      <c r="F33" s="2" t="n">
        <v>12</v>
      </c>
      <c r="G33" s="2" t="s">
        <v>22</v>
      </c>
      <c r="H33" s="2" t="n">
        <v>0.2215</v>
      </c>
      <c r="I33" s="2" t="n">
        <v>0.295812001463691</v>
      </c>
      <c r="J33" s="2" t="n">
        <v>0.36395522267466</v>
      </c>
      <c r="K33" s="2" t="n">
        <f aca="false">J33-I33</f>
        <v>0.068143221210969</v>
      </c>
      <c r="L33" s="2" t="n">
        <v>0.805094582904182</v>
      </c>
      <c r="N33" s="2" t="n">
        <f aca="false">AVERAGE(K33:K38)</f>
        <v>0.0695086871786393</v>
      </c>
      <c r="O33" s="5"/>
      <c r="P33" s="5"/>
      <c r="Q33" s="6"/>
    </row>
    <row r="34" customFormat="false" ht="15" hidden="false" customHeight="false" outlineLevel="0" collapsed="false">
      <c r="A34" s="3" t="s">
        <v>41</v>
      </c>
      <c r="B34" s="3" t="s">
        <v>42</v>
      </c>
      <c r="C34" s="3" t="s">
        <v>43</v>
      </c>
      <c r="D34" s="2" t="s">
        <v>20</v>
      </c>
      <c r="E34" s="2" t="s">
        <v>21</v>
      </c>
      <c r="F34" s="2" t="n">
        <v>12</v>
      </c>
      <c r="G34" s="2" t="s">
        <v>23</v>
      </c>
      <c r="H34" s="2" t="n">
        <v>0.1978</v>
      </c>
      <c r="I34" s="2" t="n">
        <v>0.264244868563241</v>
      </c>
      <c r="J34" s="2" t="n">
        <v>0.315853386264105</v>
      </c>
      <c r="K34" s="2" t="n">
        <f aca="false">J34-I34</f>
        <v>0.051608517700864</v>
      </c>
      <c r="L34" s="2" t="n">
        <v>0.805094582904182</v>
      </c>
      <c r="N34" s="2"/>
      <c r="O34" s="5"/>
      <c r="P34" s="5"/>
      <c r="Q34" s="6"/>
    </row>
    <row r="35" customFormat="false" ht="15" hidden="false" customHeight="false" outlineLevel="0" collapsed="false">
      <c r="A35" s="3" t="s">
        <v>41</v>
      </c>
      <c r="B35" s="3" t="s">
        <v>42</v>
      </c>
      <c r="C35" s="3" t="s">
        <v>43</v>
      </c>
      <c r="D35" s="2" t="s">
        <v>20</v>
      </c>
      <c r="E35" s="2" t="s">
        <v>21</v>
      </c>
      <c r="F35" s="2" t="n">
        <v>12</v>
      </c>
      <c r="G35" s="2" t="s">
        <v>24</v>
      </c>
      <c r="H35" s="2" t="n">
        <v>0.1621</v>
      </c>
      <c r="I35" s="2" t="n">
        <v>0.21645563755105</v>
      </c>
      <c r="J35" s="2" t="n">
        <v>0.29265243939807</v>
      </c>
      <c r="K35" s="2" t="n">
        <f aca="false">J35-I35</f>
        <v>0.07619680184702</v>
      </c>
      <c r="L35" s="2" t="n">
        <v>0.805094582904182</v>
      </c>
      <c r="N35" s="2"/>
      <c r="O35" s="5"/>
      <c r="P35" s="5"/>
      <c r="Q35" s="6"/>
    </row>
    <row r="36" customFormat="false" ht="15" hidden="false" customHeight="false" outlineLevel="0" collapsed="false">
      <c r="A36" s="3" t="s">
        <v>41</v>
      </c>
      <c r="B36" s="3" t="s">
        <v>42</v>
      </c>
      <c r="C36" s="3" t="s">
        <v>43</v>
      </c>
      <c r="D36" s="2" t="s">
        <v>20</v>
      </c>
      <c r="E36" s="2" t="s">
        <v>21</v>
      </c>
      <c r="F36" s="2" t="n">
        <v>12</v>
      </c>
      <c r="G36" s="2" t="s">
        <v>25</v>
      </c>
      <c r="H36" s="2" t="n">
        <v>0.1602</v>
      </c>
      <c r="I36" s="2" t="n">
        <v>0.213910129669268</v>
      </c>
      <c r="J36" s="2" t="n">
        <v>0.282764895060527</v>
      </c>
      <c r="K36" s="2" t="n">
        <f aca="false">J36-I36</f>
        <v>0.068854765391259</v>
      </c>
      <c r="L36" s="2" t="n">
        <v>0.805094582904182</v>
      </c>
      <c r="N36" s="2"/>
      <c r="O36" s="5"/>
      <c r="P36" s="5"/>
      <c r="Q36" s="6"/>
    </row>
    <row r="37" customFormat="false" ht="15" hidden="false" customHeight="false" outlineLevel="0" collapsed="false">
      <c r="A37" s="3" t="s">
        <v>41</v>
      </c>
      <c r="B37" s="3" t="s">
        <v>42</v>
      </c>
      <c r="C37" s="3" t="s">
        <v>43</v>
      </c>
      <c r="D37" s="2" t="s">
        <v>20</v>
      </c>
      <c r="E37" s="2" t="s">
        <v>21</v>
      </c>
      <c r="F37" s="2" t="n">
        <v>12</v>
      </c>
      <c r="G37" s="2" t="s">
        <v>31</v>
      </c>
      <c r="H37" s="2" t="n">
        <v>0.1584</v>
      </c>
      <c r="I37" s="2" t="n">
        <v>0.211604760375367</v>
      </c>
      <c r="J37" s="2" t="n">
        <v>0.280422314897375</v>
      </c>
      <c r="K37" s="2" t="n">
        <f aca="false">J37-I37</f>
        <v>0.068817554522008</v>
      </c>
      <c r="L37" s="2" t="n">
        <v>0.805094582904182</v>
      </c>
      <c r="N37" s="2"/>
      <c r="O37" s="5"/>
      <c r="P37" s="5"/>
      <c r="Q37" s="6"/>
    </row>
    <row r="38" customFormat="false" ht="15" hidden="false" customHeight="false" outlineLevel="0" collapsed="false">
      <c r="A38" s="3" t="s">
        <v>41</v>
      </c>
      <c r="B38" s="3" t="s">
        <v>42</v>
      </c>
      <c r="C38" s="3" t="s">
        <v>43</v>
      </c>
      <c r="D38" s="2" t="s">
        <v>20</v>
      </c>
      <c r="E38" s="2" t="s">
        <v>21</v>
      </c>
      <c r="F38" s="2" t="n">
        <v>12</v>
      </c>
      <c r="G38" s="2" t="s">
        <v>27</v>
      </c>
      <c r="H38" s="2" t="n">
        <v>0.1</v>
      </c>
      <c r="I38" s="2" t="n">
        <v>0.144673234718816</v>
      </c>
      <c r="J38" s="2" t="n">
        <v>0.228104497118532</v>
      </c>
      <c r="K38" s="2" t="n">
        <f aca="false">J38-I38</f>
        <v>0.083431262399716</v>
      </c>
      <c r="L38" s="2" t="n">
        <v>0.805094582904182</v>
      </c>
      <c r="N38" s="2"/>
      <c r="O38" s="5"/>
      <c r="P38" s="5"/>
      <c r="Q38" s="6"/>
    </row>
    <row r="39" customFormat="false" ht="15" hidden="false" customHeight="false" outlineLevel="0" collapsed="false">
      <c r="A39" s="3" t="s">
        <v>44</v>
      </c>
      <c r="B39" s="3" t="s">
        <v>45</v>
      </c>
      <c r="C39" s="3" t="s">
        <v>46</v>
      </c>
      <c r="D39" s="2" t="s">
        <v>20</v>
      </c>
      <c r="E39" s="2" t="s">
        <v>21</v>
      </c>
      <c r="F39" s="2" t="n">
        <v>14</v>
      </c>
      <c r="G39" s="2" t="s">
        <v>22</v>
      </c>
      <c r="H39" s="2" t="n">
        <v>0.2263</v>
      </c>
      <c r="I39" s="2" t="n">
        <v>0.300365127793072</v>
      </c>
      <c r="J39" s="2" t="n">
        <v>0.398265874607612</v>
      </c>
      <c r="K39" s="2" t="n">
        <f aca="false">J39-I39</f>
        <v>0.09790074681454</v>
      </c>
      <c r="L39" s="2" t="n">
        <v>0.731449097356676</v>
      </c>
      <c r="N39" s="2" t="n">
        <f aca="false">AVERAGE(K39:K44)</f>
        <v>0.114192399991019</v>
      </c>
      <c r="O39" s="5"/>
      <c r="P39" s="5"/>
      <c r="Q39" s="6"/>
    </row>
    <row r="40" customFormat="false" ht="15" hidden="false" customHeight="false" outlineLevel="0" collapsed="false">
      <c r="A40" s="3" t="s">
        <v>44</v>
      </c>
      <c r="B40" s="3" t="s">
        <v>45</v>
      </c>
      <c r="C40" s="3" t="s">
        <v>46</v>
      </c>
      <c r="D40" s="2" t="s">
        <v>20</v>
      </c>
      <c r="E40" s="2" t="s">
        <v>21</v>
      </c>
      <c r="F40" s="2" t="n">
        <v>14</v>
      </c>
      <c r="G40" s="2" t="s">
        <v>23</v>
      </c>
      <c r="H40" s="2" t="n">
        <v>0.1786</v>
      </c>
      <c r="I40" s="2" t="n">
        <v>0.237078038033555</v>
      </c>
      <c r="J40" s="2" t="n">
        <v>0.339542556159805</v>
      </c>
      <c r="K40" s="2" t="n">
        <f aca="false">J40-I40</f>
        <v>0.10246451812625</v>
      </c>
      <c r="L40" s="2" t="n">
        <v>0.731449097356676</v>
      </c>
      <c r="N40" s="2"/>
      <c r="O40" s="5"/>
      <c r="P40" s="5"/>
      <c r="Q40" s="6"/>
    </row>
    <row r="41" customFormat="false" ht="15" hidden="false" customHeight="false" outlineLevel="0" collapsed="false">
      <c r="A41" s="3" t="s">
        <v>44</v>
      </c>
      <c r="B41" s="3" t="s">
        <v>45</v>
      </c>
      <c r="C41" s="3" t="s">
        <v>46</v>
      </c>
      <c r="D41" s="2" t="s">
        <v>20</v>
      </c>
      <c r="E41" s="2" t="s">
        <v>21</v>
      </c>
      <c r="F41" s="2" t="n">
        <v>14</v>
      </c>
      <c r="G41" s="2" t="s">
        <v>24</v>
      </c>
      <c r="H41" s="2" t="n">
        <v>0.1752</v>
      </c>
      <c r="I41" s="2" t="n">
        <v>0.232551199116869</v>
      </c>
      <c r="J41" s="2" t="n">
        <v>0.334839364086749</v>
      </c>
      <c r="K41" s="2" t="n">
        <f aca="false">J41-I41</f>
        <v>0.10228816496988</v>
      </c>
      <c r="L41" s="2" t="n">
        <v>0.731449097356676</v>
      </c>
      <c r="N41" s="2"/>
      <c r="O41" s="5"/>
      <c r="P41" s="5"/>
      <c r="Q41" s="6"/>
    </row>
    <row r="42" customFormat="false" ht="15" hidden="false" customHeight="false" outlineLevel="0" collapsed="false">
      <c r="A42" s="3" t="s">
        <v>44</v>
      </c>
      <c r="B42" s="3" t="s">
        <v>45</v>
      </c>
      <c r="C42" s="3" t="s">
        <v>46</v>
      </c>
      <c r="D42" s="2" t="s">
        <v>20</v>
      </c>
      <c r="E42" s="2" t="s">
        <v>21</v>
      </c>
      <c r="F42" s="2" t="n">
        <v>14</v>
      </c>
      <c r="G42" s="2" t="s">
        <v>31</v>
      </c>
      <c r="H42" s="2" t="n">
        <v>0.1642</v>
      </c>
      <c r="I42" s="2" t="n">
        <v>0.217962288358858</v>
      </c>
      <c r="J42" s="2" t="n">
        <v>0.354691296552701</v>
      </c>
      <c r="K42" s="2" t="n">
        <f aca="false">J42-I42</f>
        <v>0.136729008193843</v>
      </c>
      <c r="L42" s="2" t="n">
        <v>0.731449097356676</v>
      </c>
      <c r="N42" s="2"/>
      <c r="O42" s="5"/>
      <c r="P42" s="5"/>
      <c r="Q42" s="6"/>
    </row>
    <row r="43" customFormat="false" ht="15" hidden="false" customHeight="false" outlineLevel="0" collapsed="false">
      <c r="A43" s="3" t="s">
        <v>44</v>
      </c>
      <c r="B43" s="3" t="s">
        <v>45</v>
      </c>
      <c r="C43" s="3" t="s">
        <v>46</v>
      </c>
      <c r="D43" s="2" t="s">
        <v>20</v>
      </c>
      <c r="E43" s="2" t="s">
        <v>21</v>
      </c>
      <c r="F43" s="2" t="n">
        <v>14</v>
      </c>
      <c r="G43" s="2" t="s">
        <v>25</v>
      </c>
      <c r="H43" s="2" t="n">
        <v>0.1557</v>
      </c>
      <c r="I43" s="2" t="n">
        <v>0.206746584782871</v>
      </c>
      <c r="J43" s="2" t="n">
        <v>0.331086827350885</v>
      </c>
      <c r="K43" s="2" t="n">
        <f aca="false">J43-I43</f>
        <v>0.124340242568014</v>
      </c>
      <c r="L43" s="2" t="n">
        <v>0.731449097356676</v>
      </c>
      <c r="N43" s="2"/>
      <c r="O43" s="5"/>
      <c r="P43" s="5"/>
      <c r="Q43" s="6"/>
    </row>
    <row r="44" customFormat="false" ht="15" hidden="false" customHeight="false" outlineLevel="0" collapsed="false">
      <c r="A44" s="3" t="s">
        <v>44</v>
      </c>
      <c r="B44" s="3" t="s">
        <v>45</v>
      </c>
      <c r="C44" s="3" t="s">
        <v>46</v>
      </c>
      <c r="D44" s="2" t="s">
        <v>20</v>
      </c>
      <c r="E44" s="2" t="s">
        <v>21</v>
      </c>
      <c r="F44" s="2" t="n">
        <v>14</v>
      </c>
      <c r="G44" s="2" t="s">
        <v>27</v>
      </c>
      <c r="H44" s="2" t="n">
        <v>0.1</v>
      </c>
      <c r="I44" s="2" t="n">
        <v>0.141719062286851</v>
      </c>
      <c r="J44" s="2" t="n">
        <v>0.263150781560439</v>
      </c>
      <c r="K44" s="2" t="n">
        <f aca="false">J44-I44</f>
        <v>0.121431719273588</v>
      </c>
      <c r="L44" s="2" t="n">
        <v>0.731449097356676</v>
      </c>
      <c r="N44" s="5"/>
      <c r="O44" s="5"/>
      <c r="P44" s="5"/>
      <c r="Q44" s="6"/>
    </row>
    <row r="45" customFormat="false" ht="15" hidden="false" customHeight="false" outlineLevel="0" collapsed="false">
      <c r="A45" s="3" t="s">
        <v>47</v>
      </c>
      <c r="B45" s="3" t="s">
        <v>48</v>
      </c>
      <c r="C45" s="3" t="s">
        <v>49</v>
      </c>
      <c r="D45" s="2" t="s">
        <v>20</v>
      </c>
      <c r="E45" s="2" t="s">
        <v>21</v>
      </c>
      <c r="F45" s="2" t="n">
        <v>16</v>
      </c>
      <c r="G45" s="2" t="s">
        <v>22</v>
      </c>
      <c r="H45" s="2" t="n">
        <v>0.202</v>
      </c>
      <c r="I45" s="2" t="n">
        <v>0.317839918335177</v>
      </c>
      <c r="J45" s="2" t="n">
        <v>0.416799275459668</v>
      </c>
      <c r="K45" s="2" t="n">
        <f aca="false">J45-I45</f>
        <v>0.098959357124491</v>
      </c>
      <c r="L45" s="2" t="n">
        <v>0.798699397007465</v>
      </c>
      <c r="N45" s="2" t="n">
        <f aca="false">AVERAGE(K45:K50)</f>
        <v>0.100783995984822</v>
      </c>
      <c r="O45" s="5"/>
      <c r="P45" s="5"/>
      <c r="Q45" s="6"/>
    </row>
    <row r="46" customFormat="false" ht="15" hidden="false" customHeight="false" outlineLevel="0" collapsed="false">
      <c r="A46" s="3" t="s">
        <v>47</v>
      </c>
      <c r="B46" s="3" t="s">
        <v>48</v>
      </c>
      <c r="C46" s="3" t="s">
        <v>49</v>
      </c>
      <c r="D46" s="2" t="s">
        <v>20</v>
      </c>
      <c r="E46" s="2" t="s">
        <v>21</v>
      </c>
      <c r="F46" s="2" t="n">
        <v>16</v>
      </c>
      <c r="G46" s="2" t="s">
        <v>23</v>
      </c>
      <c r="H46" s="2" t="n">
        <v>0.1975</v>
      </c>
      <c r="I46" s="2" t="n">
        <v>0.310869571170128</v>
      </c>
      <c r="J46" s="2" t="n">
        <v>0.39009154143057</v>
      </c>
      <c r="K46" s="2" t="n">
        <f aca="false">J46-I46</f>
        <v>0.079221970260442</v>
      </c>
      <c r="L46" s="2" t="n">
        <v>0.798699397007465</v>
      </c>
      <c r="N46" s="2"/>
      <c r="O46" s="5"/>
      <c r="P46" s="5"/>
      <c r="Q46" s="6"/>
    </row>
    <row r="47" customFormat="false" ht="15" hidden="false" customHeight="false" outlineLevel="0" collapsed="false">
      <c r="A47" s="3" t="s">
        <v>47</v>
      </c>
      <c r="B47" s="3" t="s">
        <v>48</v>
      </c>
      <c r="C47" s="3" t="s">
        <v>49</v>
      </c>
      <c r="D47" s="2" t="s">
        <v>20</v>
      </c>
      <c r="E47" s="2" t="s">
        <v>21</v>
      </c>
      <c r="F47" s="2" t="n">
        <v>16</v>
      </c>
      <c r="G47" s="2" t="s">
        <v>31</v>
      </c>
      <c r="H47" s="2" t="n">
        <v>0.1745</v>
      </c>
      <c r="I47" s="2" t="n">
        <v>0.27455471400976</v>
      </c>
      <c r="J47" s="2" t="n">
        <v>0.373368769041045</v>
      </c>
      <c r="K47" s="2" t="n">
        <f aca="false">J47-I47</f>
        <v>0.098814055031285</v>
      </c>
      <c r="L47" s="2" t="n">
        <v>0.798699397007465</v>
      </c>
      <c r="N47" s="2"/>
      <c r="O47" s="5"/>
      <c r="P47" s="5"/>
      <c r="Q47" s="6"/>
    </row>
    <row r="48" customFormat="false" ht="15" hidden="false" customHeight="false" outlineLevel="0" collapsed="false">
      <c r="A48" s="3" t="s">
        <v>47</v>
      </c>
      <c r="B48" s="3" t="s">
        <v>48</v>
      </c>
      <c r="C48" s="3" t="s">
        <v>49</v>
      </c>
      <c r="D48" s="2" t="s">
        <v>20</v>
      </c>
      <c r="E48" s="2" t="s">
        <v>21</v>
      </c>
      <c r="F48" s="2" t="n">
        <v>16</v>
      </c>
      <c r="G48" s="2" t="s">
        <v>24</v>
      </c>
      <c r="H48" s="2" t="n">
        <v>0.1636</v>
      </c>
      <c r="I48" s="2" t="n">
        <v>0.257396780463109</v>
      </c>
      <c r="J48" s="2" t="n">
        <v>0.353576271358626</v>
      </c>
      <c r="K48" s="2" t="n">
        <f aca="false">J48-I48</f>
        <v>0.096179490895517</v>
      </c>
      <c r="L48" s="2" t="n">
        <v>0.798699397007465</v>
      </c>
      <c r="N48" s="2"/>
      <c r="O48" s="5"/>
      <c r="P48" s="5"/>
      <c r="Q48" s="6"/>
    </row>
    <row r="49" customFormat="false" ht="15" hidden="false" customHeight="false" outlineLevel="0" collapsed="false">
      <c r="A49" s="3" t="s">
        <v>47</v>
      </c>
      <c r="B49" s="3" t="s">
        <v>48</v>
      </c>
      <c r="C49" s="3" t="s">
        <v>49</v>
      </c>
      <c r="D49" s="2" t="s">
        <v>20</v>
      </c>
      <c r="E49" s="2" t="s">
        <v>21</v>
      </c>
      <c r="F49" s="2" t="n">
        <v>16</v>
      </c>
      <c r="G49" s="2" t="s">
        <v>25</v>
      </c>
      <c r="H49" s="2" t="n">
        <v>0.1625</v>
      </c>
      <c r="I49" s="2" t="n">
        <v>0.255693008532523</v>
      </c>
      <c r="J49" s="2" t="n">
        <v>0.368942328022185</v>
      </c>
      <c r="K49" s="2" t="n">
        <f aca="false">J49-I49</f>
        <v>0.113249319489662</v>
      </c>
      <c r="L49" s="2" t="n">
        <v>0.798699397007465</v>
      </c>
      <c r="N49" s="2"/>
      <c r="O49" s="5"/>
      <c r="P49" s="5"/>
      <c r="Q49" s="6"/>
    </row>
    <row r="50" customFormat="false" ht="15" hidden="false" customHeight="false" outlineLevel="0" collapsed="false">
      <c r="A50" s="3" t="s">
        <v>47</v>
      </c>
      <c r="B50" s="3" t="s">
        <v>48</v>
      </c>
      <c r="C50" s="3" t="s">
        <v>49</v>
      </c>
      <c r="D50" s="2" t="s">
        <v>20</v>
      </c>
      <c r="E50" s="2" t="s">
        <v>21</v>
      </c>
      <c r="F50" s="2" t="n">
        <v>16</v>
      </c>
      <c r="G50" s="2" t="s">
        <v>27</v>
      </c>
      <c r="H50" s="2" t="n">
        <v>0.1</v>
      </c>
      <c r="I50" s="2" t="n">
        <v>0.173392759974205</v>
      </c>
      <c r="J50" s="2" t="n">
        <v>0.291672543081737</v>
      </c>
      <c r="K50" s="2" t="n">
        <f aca="false">J50-I50</f>
        <v>0.118279783107532</v>
      </c>
      <c r="L50" s="2" t="n">
        <v>0.798699397007465</v>
      </c>
      <c r="N50" s="2"/>
      <c r="O50" s="5"/>
      <c r="P50" s="5"/>
      <c r="Q50" s="6"/>
    </row>
    <row r="51" customFormat="false" ht="15" hidden="false" customHeight="false" outlineLevel="0" collapsed="false">
      <c r="A51" s="3" t="s">
        <v>50</v>
      </c>
      <c r="B51" s="3" t="s">
        <v>51</v>
      </c>
      <c r="C51" s="3" t="s">
        <v>52</v>
      </c>
      <c r="D51" s="2" t="s">
        <v>20</v>
      </c>
      <c r="E51" s="2" t="s">
        <v>21</v>
      </c>
      <c r="F51" s="2" t="n">
        <v>18</v>
      </c>
      <c r="G51" s="2" t="s">
        <v>23</v>
      </c>
      <c r="H51" s="2" t="n">
        <v>0.2036</v>
      </c>
      <c r="I51" s="2" t="n">
        <v>0.339451170819568</v>
      </c>
      <c r="J51" s="2" t="n">
        <v>0.376286860669646</v>
      </c>
      <c r="K51" s="2" t="n">
        <f aca="false">J51-I51</f>
        <v>0.036835689850078</v>
      </c>
      <c r="L51" s="2" t="n">
        <v>0.751181065835833</v>
      </c>
      <c r="N51" s="2" t="n">
        <f aca="false">AVERAGE(K51:K56)</f>
        <v>0.0530617922713375</v>
      </c>
      <c r="O51" s="5"/>
      <c r="P51" s="5"/>
      <c r="Q51" s="6"/>
    </row>
    <row r="52" customFormat="false" ht="15" hidden="false" customHeight="false" outlineLevel="0" collapsed="false">
      <c r="A52" s="3" t="s">
        <v>50</v>
      </c>
      <c r="B52" s="3" t="s">
        <v>51</v>
      </c>
      <c r="C52" s="3" t="s">
        <v>52</v>
      </c>
      <c r="D52" s="2" t="s">
        <v>20</v>
      </c>
      <c r="E52" s="2" t="s">
        <v>21</v>
      </c>
      <c r="F52" s="2" t="n">
        <v>18</v>
      </c>
      <c r="G52" s="2" t="s">
        <v>22</v>
      </c>
      <c r="H52" s="2" t="n">
        <v>0.2005</v>
      </c>
      <c r="I52" s="2" t="n">
        <v>0.334306189674039</v>
      </c>
      <c r="J52" s="2" t="n">
        <v>0.419646492680522</v>
      </c>
      <c r="K52" s="2" t="n">
        <f aca="false">J52-I52</f>
        <v>0.085340303006483</v>
      </c>
      <c r="L52" s="2" t="n">
        <v>0.751181065835833</v>
      </c>
      <c r="N52" s="2"/>
      <c r="O52" s="5"/>
      <c r="P52" s="5"/>
      <c r="Q52" s="6"/>
    </row>
    <row r="53" customFormat="false" ht="15" hidden="false" customHeight="false" outlineLevel="0" collapsed="false">
      <c r="A53" s="3" t="s">
        <v>50</v>
      </c>
      <c r="B53" s="3" t="s">
        <v>51</v>
      </c>
      <c r="C53" s="3" t="s">
        <v>52</v>
      </c>
      <c r="D53" s="2" t="s">
        <v>20</v>
      </c>
      <c r="E53" s="2" t="s">
        <v>21</v>
      </c>
      <c r="F53" s="2" t="n">
        <v>18</v>
      </c>
      <c r="G53" s="2" t="s">
        <v>31</v>
      </c>
      <c r="H53" s="2" t="n">
        <v>0.1684</v>
      </c>
      <c r="I53" s="2" t="n">
        <v>0.280746753948904</v>
      </c>
      <c r="J53" s="2" t="n">
        <v>0.343590849920501</v>
      </c>
      <c r="K53" s="2" t="n">
        <f aca="false">J53-I53</f>
        <v>0.062844095971597</v>
      </c>
      <c r="L53" s="2" t="n">
        <v>0.751181065835833</v>
      </c>
      <c r="N53" s="2"/>
      <c r="O53" s="5"/>
      <c r="P53" s="5"/>
      <c r="Q53" s="6"/>
    </row>
    <row r="54" customFormat="false" ht="15" hidden="false" customHeight="false" outlineLevel="0" collapsed="false">
      <c r="A54" s="3" t="s">
        <v>50</v>
      </c>
      <c r="B54" s="3" t="s">
        <v>51</v>
      </c>
      <c r="C54" s="3" t="s">
        <v>52</v>
      </c>
      <c r="D54" s="2" t="s">
        <v>20</v>
      </c>
      <c r="E54" s="2" t="s">
        <v>21</v>
      </c>
      <c r="F54" s="2" t="n">
        <v>18</v>
      </c>
      <c r="G54" s="2" t="s">
        <v>25</v>
      </c>
      <c r="H54" s="2" t="n">
        <v>0.1652</v>
      </c>
      <c r="I54" s="2" t="n">
        <v>0.275399355887745</v>
      </c>
      <c r="J54" s="2" t="n">
        <v>0.315773496845295</v>
      </c>
      <c r="K54" s="2" t="n">
        <f aca="false">J54-I54</f>
        <v>0.04037414095755</v>
      </c>
      <c r="L54" s="2" t="n">
        <v>0.751181065835833</v>
      </c>
      <c r="N54" s="2"/>
      <c r="O54" s="5"/>
      <c r="P54" s="5"/>
      <c r="Q54" s="6"/>
    </row>
    <row r="55" customFormat="false" ht="15" hidden="false" customHeight="false" outlineLevel="0" collapsed="false">
      <c r="A55" s="3" t="s">
        <v>50</v>
      </c>
      <c r="B55" s="3" t="s">
        <v>51</v>
      </c>
      <c r="C55" s="3" t="s">
        <v>52</v>
      </c>
      <c r="D55" s="2" t="s">
        <v>20</v>
      </c>
      <c r="E55" s="2" t="s">
        <v>21</v>
      </c>
      <c r="F55" s="2" t="n">
        <v>18</v>
      </c>
      <c r="G55" s="2" t="s">
        <v>26</v>
      </c>
      <c r="H55" s="2" t="n">
        <v>0.1623</v>
      </c>
      <c r="I55" s="2" t="n">
        <v>0.270529323597777</v>
      </c>
      <c r="J55" s="2" t="n">
        <v>0.319575230050195</v>
      </c>
      <c r="K55" s="2" t="n">
        <f aca="false">J55-I55</f>
        <v>0.049045906452418</v>
      </c>
      <c r="L55" s="2" t="n">
        <v>0.751181065835833</v>
      </c>
      <c r="N55" s="2"/>
      <c r="O55" s="5"/>
      <c r="P55" s="5"/>
      <c r="Q55" s="6"/>
    </row>
    <row r="56" customFormat="false" ht="15" hidden="false" customHeight="false" outlineLevel="0" collapsed="false">
      <c r="A56" s="3" t="s">
        <v>50</v>
      </c>
      <c r="B56" s="3" t="s">
        <v>51</v>
      </c>
      <c r="C56" s="3" t="s">
        <v>52</v>
      </c>
      <c r="D56" s="2" t="s">
        <v>20</v>
      </c>
      <c r="E56" s="2" t="s">
        <v>21</v>
      </c>
      <c r="F56" s="2" t="n">
        <v>18</v>
      </c>
      <c r="G56" s="2" t="s">
        <v>27</v>
      </c>
      <c r="H56" s="2" t="n">
        <v>0.1</v>
      </c>
      <c r="I56" s="2" t="n">
        <v>0.230913553526948</v>
      </c>
      <c r="J56" s="2" t="n">
        <v>0.274844170916847</v>
      </c>
      <c r="K56" s="2" t="n">
        <f aca="false">J56-I56</f>
        <v>0.043930617389899</v>
      </c>
      <c r="L56" s="2" t="n">
        <v>0.751181065835833</v>
      </c>
      <c r="N56" s="2"/>
      <c r="O56" s="5"/>
      <c r="P56" s="5"/>
      <c r="Q56" s="6"/>
    </row>
    <row r="57" customFormat="false" ht="15" hidden="false" customHeight="false" outlineLevel="0" collapsed="false">
      <c r="A57" s="3" t="s">
        <v>53</v>
      </c>
      <c r="B57" s="3" t="s">
        <v>54</v>
      </c>
      <c r="C57" s="3" t="s">
        <v>55</v>
      </c>
      <c r="D57" s="2" t="s">
        <v>20</v>
      </c>
      <c r="E57" s="2" t="s">
        <v>21</v>
      </c>
      <c r="F57" s="2" t="n">
        <v>20</v>
      </c>
      <c r="G57" s="2" t="s">
        <v>22</v>
      </c>
      <c r="H57" s="2" t="n">
        <v>0.21</v>
      </c>
      <c r="I57" s="2" t="n">
        <v>0.317104158928247</v>
      </c>
      <c r="J57" s="2" t="n">
        <v>0.386395380213274</v>
      </c>
      <c r="K57" s="2" t="n">
        <f aca="false">J57-I57</f>
        <v>0.069291221285027</v>
      </c>
      <c r="L57" s="2" t="n">
        <v>0.780317010541866</v>
      </c>
      <c r="N57" s="2" t="n">
        <f aca="false">AVERAGE(K57:K62)</f>
        <v>0.0702259476888905</v>
      </c>
      <c r="O57" s="5"/>
      <c r="P57" s="5"/>
      <c r="Q57" s="6"/>
    </row>
    <row r="58" customFormat="false" ht="15" hidden="false" customHeight="false" outlineLevel="0" collapsed="false">
      <c r="A58" s="3" t="s">
        <v>53</v>
      </c>
      <c r="B58" s="3" t="s">
        <v>54</v>
      </c>
      <c r="C58" s="3" t="s">
        <v>55</v>
      </c>
      <c r="D58" s="2" t="s">
        <v>20</v>
      </c>
      <c r="E58" s="2" t="s">
        <v>21</v>
      </c>
      <c r="F58" s="2" t="n">
        <v>20</v>
      </c>
      <c r="G58" s="2" t="s">
        <v>23</v>
      </c>
      <c r="H58" s="2" t="n">
        <v>0.1959</v>
      </c>
      <c r="I58" s="2" t="n">
        <v>0.295808603732436</v>
      </c>
      <c r="J58" s="2" t="n">
        <v>0.341395334141774</v>
      </c>
      <c r="K58" s="2" t="n">
        <f aca="false">J58-I58</f>
        <v>0.045586730409338</v>
      </c>
      <c r="L58" s="2" t="n">
        <v>0.780317010541866</v>
      </c>
      <c r="N58" s="2"/>
      <c r="O58" s="5"/>
      <c r="P58" s="5"/>
      <c r="Q58" s="6"/>
    </row>
    <row r="59" customFormat="false" ht="15" hidden="false" customHeight="false" outlineLevel="0" collapsed="false">
      <c r="A59" s="3" t="s">
        <v>53</v>
      </c>
      <c r="B59" s="3" t="s">
        <v>54</v>
      </c>
      <c r="C59" s="3" t="s">
        <v>55</v>
      </c>
      <c r="D59" s="2" t="s">
        <v>20</v>
      </c>
      <c r="E59" s="2" t="s">
        <v>21</v>
      </c>
      <c r="F59" s="2" t="n">
        <v>20</v>
      </c>
      <c r="G59" s="2" t="s">
        <v>24</v>
      </c>
      <c r="H59" s="2" t="n">
        <v>0.1734</v>
      </c>
      <c r="I59" s="2" t="n">
        <v>0.261773403453128</v>
      </c>
      <c r="J59" s="2" t="n">
        <v>0.319659290195777</v>
      </c>
      <c r="K59" s="2" t="n">
        <f aca="false">J59-I59</f>
        <v>0.057885886742649</v>
      </c>
      <c r="L59" s="2" t="n">
        <v>0.780317010541866</v>
      </c>
      <c r="N59" s="2"/>
      <c r="O59" s="5"/>
      <c r="P59" s="5"/>
      <c r="Q59" s="6"/>
    </row>
    <row r="60" customFormat="false" ht="15" hidden="false" customHeight="false" outlineLevel="0" collapsed="false">
      <c r="A60" s="3" t="s">
        <v>53</v>
      </c>
      <c r="B60" s="3" t="s">
        <v>54</v>
      </c>
      <c r="C60" s="3" t="s">
        <v>55</v>
      </c>
      <c r="D60" s="2" t="s">
        <v>20</v>
      </c>
      <c r="E60" s="2" t="s">
        <v>21</v>
      </c>
      <c r="F60" s="2" t="n">
        <v>20</v>
      </c>
      <c r="G60" s="2" t="s">
        <v>25</v>
      </c>
      <c r="H60" s="2" t="n">
        <v>0.1634</v>
      </c>
      <c r="I60" s="2" t="n">
        <v>0.246676505606816</v>
      </c>
      <c r="J60" s="2" t="n">
        <v>0.343240966208737</v>
      </c>
      <c r="K60" s="2" t="n">
        <f aca="false">J60-I60</f>
        <v>0.096564460601921</v>
      </c>
      <c r="L60" s="2" t="n">
        <v>0.780317010541866</v>
      </c>
      <c r="N60" s="2"/>
      <c r="O60" s="5"/>
      <c r="P60" s="5"/>
      <c r="Q60" s="6"/>
    </row>
    <row r="61" customFormat="false" ht="15" hidden="false" customHeight="false" outlineLevel="0" collapsed="false">
      <c r="A61" s="3" t="s">
        <v>53</v>
      </c>
      <c r="B61" s="3" t="s">
        <v>54</v>
      </c>
      <c r="C61" s="3" t="s">
        <v>55</v>
      </c>
      <c r="D61" s="2" t="s">
        <v>20</v>
      </c>
      <c r="E61" s="2" t="s">
        <v>21</v>
      </c>
      <c r="F61" s="2" t="n">
        <v>20</v>
      </c>
      <c r="G61" s="2" t="s">
        <v>31</v>
      </c>
      <c r="H61" s="2" t="n">
        <v>0.1574</v>
      </c>
      <c r="I61" s="2" t="n">
        <v>0.23762647008475</v>
      </c>
      <c r="J61" s="2" t="n">
        <v>0.311360095892549</v>
      </c>
      <c r="K61" s="2" t="n">
        <f aca="false">J61-I61</f>
        <v>0.073733625807799</v>
      </c>
      <c r="L61" s="2" t="n">
        <v>0.780317010541866</v>
      </c>
      <c r="N61" s="2"/>
      <c r="O61" s="5"/>
      <c r="P61" s="5"/>
      <c r="Q61" s="6"/>
    </row>
    <row r="62" customFormat="false" ht="15" hidden="false" customHeight="false" outlineLevel="0" collapsed="false">
      <c r="A62" s="3" t="s">
        <v>53</v>
      </c>
      <c r="B62" s="3" t="s">
        <v>54</v>
      </c>
      <c r="C62" s="3" t="s">
        <v>55</v>
      </c>
      <c r="D62" s="2" t="s">
        <v>20</v>
      </c>
      <c r="E62" s="2" t="s">
        <v>21</v>
      </c>
      <c r="F62" s="2" t="n">
        <v>20</v>
      </c>
      <c r="G62" s="2" t="s">
        <v>27</v>
      </c>
      <c r="H62" s="2" t="n">
        <v>0.1</v>
      </c>
      <c r="I62" s="2" t="n">
        <v>0.18277882853791</v>
      </c>
      <c r="J62" s="2" t="n">
        <v>0.261072589824519</v>
      </c>
      <c r="K62" s="2" t="n">
        <f aca="false">J62-I62</f>
        <v>0.078293761286609</v>
      </c>
      <c r="L62" s="2" t="n">
        <v>0.780317010541866</v>
      </c>
      <c r="N62" s="2"/>
      <c r="O62" s="5"/>
      <c r="P62" s="5"/>
      <c r="Q62" s="6"/>
    </row>
    <row r="63" customFormat="false" ht="15" hidden="false" customHeight="false" outlineLevel="0" collapsed="false">
      <c r="A63" s="3" t="s">
        <v>56</v>
      </c>
      <c r="B63" s="3" t="s">
        <v>57</v>
      </c>
      <c r="C63" s="3" t="s">
        <v>58</v>
      </c>
      <c r="D63" s="2" t="s">
        <v>20</v>
      </c>
      <c r="E63" s="2" t="s">
        <v>21</v>
      </c>
      <c r="F63" s="2" t="n">
        <v>22</v>
      </c>
      <c r="G63" s="2" t="s">
        <v>23</v>
      </c>
      <c r="H63" s="2" t="n">
        <v>0.2046</v>
      </c>
      <c r="I63" s="2" t="n">
        <v>0.292411344790941</v>
      </c>
      <c r="J63" s="2" t="n">
        <v>0.353636078594856</v>
      </c>
      <c r="K63" s="2" t="n">
        <f aca="false">J63-I63</f>
        <v>0.061224733803915</v>
      </c>
      <c r="L63" s="2" t="n">
        <v>0.788964918757002</v>
      </c>
      <c r="N63" s="2" t="n">
        <f aca="false">AVERAGE(K63:K68)</f>
        <v>0.069101535676453</v>
      </c>
      <c r="O63" s="5"/>
      <c r="P63" s="5"/>
      <c r="Q63" s="6"/>
    </row>
    <row r="64" customFormat="false" ht="15" hidden="false" customHeight="false" outlineLevel="0" collapsed="false">
      <c r="A64" s="3" t="s">
        <v>56</v>
      </c>
      <c r="B64" s="3" t="s">
        <v>57</v>
      </c>
      <c r="C64" s="3" t="s">
        <v>58</v>
      </c>
      <c r="D64" s="2" t="s">
        <v>20</v>
      </c>
      <c r="E64" s="2" t="s">
        <v>21</v>
      </c>
      <c r="F64" s="2" t="n">
        <v>22</v>
      </c>
      <c r="G64" s="2" t="s">
        <v>22</v>
      </c>
      <c r="H64" s="2" t="n">
        <v>0.1923</v>
      </c>
      <c r="I64" s="2" t="n">
        <v>0.274757545632689</v>
      </c>
      <c r="J64" s="2" t="n">
        <v>0.376217244539474</v>
      </c>
      <c r="K64" s="2" t="n">
        <f aca="false">J64-I64</f>
        <v>0.101459698906785</v>
      </c>
      <c r="L64" s="2" t="n">
        <v>0.788964918757002</v>
      </c>
      <c r="N64" s="2"/>
      <c r="O64" s="5"/>
      <c r="P64" s="5"/>
      <c r="Q64" s="6"/>
    </row>
    <row r="65" customFormat="false" ht="15" hidden="false" customHeight="false" outlineLevel="0" collapsed="false">
      <c r="A65" s="3" t="s">
        <v>56</v>
      </c>
      <c r="B65" s="3" t="s">
        <v>57</v>
      </c>
      <c r="C65" s="3" t="s">
        <v>58</v>
      </c>
      <c r="D65" s="2" t="s">
        <v>20</v>
      </c>
      <c r="E65" s="2" t="s">
        <v>21</v>
      </c>
      <c r="F65" s="2" t="n">
        <v>22</v>
      </c>
      <c r="G65" s="2" t="s">
        <v>25</v>
      </c>
      <c r="H65" s="2" t="n">
        <v>0.1716</v>
      </c>
      <c r="I65" s="2" t="n">
        <v>0.245162623988159</v>
      </c>
      <c r="J65" s="2" t="n">
        <v>0.314801609768149</v>
      </c>
      <c r="K65" s="2" t="n">
        <f aca="false">J65-I65</f>
        <v>0.06963898577999</v>
      </c>
      <c r="L65" s="2" t="n">
        <v>0.788964918757002</v>
      </c>
      <c r="N65" s="2"/>
      <c r="O65" s="5"/>
      <c r="P65" s="5"/>
      <c r="Q65" s="6"/>
    </row>
    <row r="66" customFormat="false" ht="15" hidden="false" customHeight="false" outlineLevel="0" collapsed="false">
      <c r="A66" s="3" t="s">
        <v>56</v>
      </c>
      <c r="B66" s="3" t="s">
        <v>57</v>
      </c>
      <c r="C66" s="3" t="s">
        <v>58</v>
      </c>
      <c r="D66" s="2" t="s">
        <v>20</v>
      </c>
      <c r="E66" s="2" t="s">
        <v>21</v>
      </c>
      <c r="F66" s="2" t="n">
        <v>22</v>
      </c>
      <c r="G66" s="2" t="s">
        <v>59</v>
      </c>
      <c r="H66" s="2" t="n">
        <v>0.1711</v>
      </c>
      <c r="I66" s="2" t="n">
        <v>0.244509222289262</v>
      </c>
      <c r="J66" s="2" t="n">
        <v>0.265772300841625</v>
      </c>
      <c r="K66" s="2" t="n">
        <f aca="false">J66-I66</f>
        <v>0.021263078552363</v>
      </c>
      <c r="L66" s="2" t="n">
        <v>0.788964918757002</v>
      </c>
      <c r="N66" s="2"/>
      <c r="O66" s="5"/>
      <c r="P66" s="5"/>
      <c r="Q66" s="6"/>
    </row>
    <row r="67" customFormat="false" ht="15" hidden="false" customHeight="false" outlineLevel="0" collapsed="false">
      <c r="A67" s="3" t="s">
        <v>56</v>
      </c>
      <c r="B67" s="3" t="s">
        <v>57</v>
      </c>
      <c r="C67" s="3" t="s">
        <v>58</v>
      </c>
      <c r="D67" s="2" t="s">
        <v>20</v>
      </c>
      <c r="E67" s="2" t="s">
        <v>21</v>
      </c>
      <c r="F67" s="2" t="n">
        <v>22</v>
      </c>
      <c r="G67" s="2" t="s">
        <v>24</v>
      </c>
      <c r="H67" s="2" t="n">
        <v>0.1604</v>
      </c>
      <c r="I67" s="2" t="n">
        <v>0.229201385719236</v>
      </c>
      <c r="J67" s="2" t="n">
        <v>0.30886302466889</v>
      </c>
      <c r="K67" s="2" t="n">
        <f aca="false">J67-I67</f>
        <v>0.079661638949654</v>
      </c>
      <c r="L67" s="2" t="n">
        <v>0.788964918757002</v>
      </c>
      <c r="N67" s="2"/>
      <c r="O67" s="5"/>
      <c r="P67" s="5"/>
      <c r="Q67" s="6"/>
    </row>
    <row r="68" customFormat="false" ht="15" hidden="false" customHeight="false" outlineLevel="0" collapsed="false">
      <c r="A68" s="3" t="s">
        <v>56</v>
      </c>
      <c r="B68" s="3" t="s">
        <v>57</v>
      </c>
      <c r="C68" s="3" t="s">
        <v>58</v>
      </c>
      <c r="D68" s="2" t="s">
        <v>20</v>
      </c>
      <c r="E68" s="2" t="s">
        <v>21</v>
      </c>
      <c r="F68" s="2" t="n">
        <v>22</v>
      </c>
      <c r="G68" s="2" t="s">
        <v>27</v>
      </c>
      <c r="H68" s="2" t="n">
        <v>0.1</v>
      </c>
      <c r="I68" s="2" t="n">
        <v>0.153146117667913</v>
      </c>
      <c r="J68" s="2" t="n">
        <v>0.234507195733924</v>
      </c>
      <c r="K68" s="2" t="n">
        <f aca="false">J68-I68</f>
        <v>0.081361078066011</v>
      </c>
      <c r="L68" s="2" t="n">
        <v>0.788964918757002</v>
      </c>
      <c r="N68" s="2"/>
      <c r="O68" s="5"/>
      <c r="P68" s="5"/>
      <c r="Q68" s="6"/>
    </row>
    <row r="69" customFormat="false" ht="15" hidden="false" customHeight="false" outlineLevel="0" collapsed="false">
      <c r="A69" s="3" t="s">
        <v>60</v>
      </c>
      <c r="B69" s="3" t="s">
        <v>61</v>
      </c>
      <c r="C69" s="3" t="s">
        <v>62</v>
      </c>
      <c r="D69" s="2" t="s">
        <v>20</v>
      </c>
      <c r="E69" s="2" t="s">
        <v>21</v>
      </c>
      <c r="F69" s="2" t="n">
        <v>24</v>
      </c>
      <c r="G69" s="2" t="s">
        <v>22</v>
      </c>
      <c r="H69" s="2" t="n">
        <v>0.2409</v>
      </c>
      <c r="I69" s="2" t="n">
        <v>0.249771950307753</v>
      </c>
      <c r="J69" s="2" t="n">
        <v>0.365506099311138</v>
      </c>
      <c r="K69" s="2" t="n">
        <f aca="false">J69-I69</f>
        <v>0.115734149003385</v>
      </c>
      <c r="L69" s="2" t="n">
        <v>0.744429655439828</v>
      </c>
      <c r="N69" s="2" t="n">
        <f aca="false">AVERAGE(K69:K73)</f>
        <v>0.112097440964618</v>
      </c>
      <c r="O69" s="5"/>
      <c r="P69" s="5"/>
      <c r="Q69" s="6"/>
    </row>
    <row r="70" customFormat="false" ht="15" hidden="false" customHeight="false" outlineLevel="0" collapsed="false">
      <c r="A70" s="3" t="s">
        <v>60</v>
      </c>
      <c r="B70" s="3" t="s">
        <v>61</v>
      </c>
      <c r="C70" s="3" t="s">
        <v>62</v>
      </c>
      <c r="D70" s="2" t="s">
        <v>20</v>
      </c>
      <c r="E70" s="2" t="s">
        <v>21</v>
      </c>
      <c r="F70" s="2" t="n">
        <v>24</v>
      </c>
      <c r="G70" s="2" t="s">
        <v>23</v>
      </c>
      <c r="H70" s="2" t="n">
        <v>0.2352</v>
      </c>
      <c r="I70" s="2" t="n">
        <v>0.243930024517746</v>
      </c>
      <c r="J70" s="2" t="n">
        <v>0.307986660509056</v>
      </c>
      <c r="K70" s="2" t="n">
        <f aca="false">J70-I70</f>
        <v>0.06405663599131</v>
      </c>
      <c r="L70" s="2" t="n">
        <v>0.744429655439828</v>
      </c>
      <c r="N70" s="2"/>
      <c r="O70" s="5"/>
      <c r="P70" s="5"/>
      <c r="Q70" s="6"/>
    </row>
    <row r="71" customFormat="false" ht="15" hidden="false" customHeight="false" outlineLevel="0" collapsed="false">
      <c r="A71" s="3" t="s">
        <v>60</v>
      </c>
      <c r="B71" s="3" t="s">
        <v>61</v>
      </c>
      <c r="C71" s="3" t="s">
        <v>62</v>
      </c>
      <c r="D71" s="2" t="s">
        <v>20</v>
      </c>
      <c r="E71" s="2" t="s">
        <v>21</v>
      </c>
      <c r="F71" s="2" t="n">
        <v>24</v>
      </c>
      <c r="G71" s="2" t="s">
        <v>25</v>
      </c>
      <c r="H71" s="2" t="n">
        <v>0.2261</v>
      </c>
      <c r="I71" s="2" t="n">
        <v>0.23448058446797</v>
      </c>
      <c r="J71" s="2" t="n">
        <v>0.357682547542221</v>
      </c>
      <c r="K71" s="2" t="n">
        <f aca="false">J71-I71</f>
        <v>0.123201963074251</v>
      </c>
      <c r="L71" s="2" t="n">
        <v>0.744429655439828</v>
      </c>
      <c r="N71" s="2"/>
      <c r="O71" s="5"/>
      <c r="P71" s="5"/>
      <c r="Q71" s="6"/>
    </row>
    <row r="72" customFormat="false" ht="15" hidden="false" customHeight="false" outlineLevel="0" collapsed="false">
      <c r="A72" s="3" t="s">
        <v>60</v>
      </c>
      <c r="B72" s="3" t="s">
        <v>61</v>
      </c>
      <c r="C72" s="3" t="s">
        <v>62</v>
      </c>
      <c r="D72" s="2" t="s">
        <v>20</v>
      </c>
      <c r="E72" s="2" t="s">
        <v>21</v>
      </c>
      <c r="F72" s="2" t="n">
        <v>24</v>
      </c>
      <c r="G72" s="2" t="s">
        <v>31</v>
      </c>
      <c r="H72" s="2" t="n">
        <v>0.1978</v>
      </c>
      <c r="I72" s="2" t="n">
        <v>0.205093631079163</v>
      </c>
      <c r="J72" s="2" t="n">
        <v>0.324810841364439</v>
      </c>
      <c r="K72" s="2" t="n">
        <f aca="false">J72-I72</f>
        <v>0.119717210285276</v>
      </c>
      <c r="L72" s="2" t="n">
        <v>0.744429655439828</v>
      </c>
      <c r="N72" s="2"/>
      <c r="O72" s="5"/>
      <c r="P72" s="5"/>
      <c r="Q72" s="6"/>
    </row>
    <row r="73" customFormat="false" ht="15" hidden="false" customHeight="false" outlineLevel="0" collapsed="false">
      <c r="A73" s="3" t="s">
        <v>60</v>
      </c>
      <c r="B73" s="3" t="s">
        <v>61</v>
      </c>
      <c r="C73" s="3" t="s">
        <v>62</v>
      </c>
      <c r="D73" s="2" t="s">
        <v>20</v>
      </c>
      <c r="E73" s="2" t="s">
        <v>21</v>
      </c>
      <c r="F73" s="2" t="n">
        <v>24</v>
      </c>
      <c r="G73" s="2" t="s">
        <v>27</v>
      </c>
      <c r="H73" s="2" t="n">
        <v>0.1</v>
      </c>
      <c r="I73" s="2" t="n">
        <v>0.117459665096455</v>
      </c>
      <c r="J73" s="2" t="n">
        <v>0.255236911565325</v>
      </c>
      <c r="K73" s="2" t="n">
        <f aca="false">J73-I73</f>
        <v>0.13777724646887</v>
      </c>
      <c r="L73" s="2" t="n">
        <v>0.744429655439828</v>
      </c>
      <c r="N73" s="2"/>
      <c r="O73" s="5"/>
      <c r="P73" s="5"/>
      <c r="Q73" s="6"/>
    </row>
    <row r="74" customFormat="false" ht="15" hidden="false" customHeight="false" outlineLevel="0" collapsed="false">
      <c r="A74" s="3" t="s">
        <v>63</v>
      </c>
      <c r="B74" s="3" t="s">
        <v>64</v>
      </c>
      <c r="C74" s="3" t="s">
        <v>65</v>
      </c>
      <c r="D74" s="2" t="s">
        <v>20</v>
      </c>
      <c r="E74" s="2" t="s">
        <v>21</v>
      </c>
      <c r="F74" s="2" t="n">
        <v>26</v>
      </c>
      <c r="G74" s="2" t="s">
        <v>22</v>
      </c>
      <c r="H74" s="2" t="n">
        <v>0.3418</v>
      </c>
      <c r="I74" s="2" t="n">
        <v>0.249655717111631</v>
      </c>
      <c r="J74" s="2" t="n">
        <v>0.394601308546414</v>
      </c>
      <c r="K74" s="2" t="n">
        <f aca="false">J74-I74</f>
        <v>0.144945591434783</v>
      </c>
      <c r="L74" s="2" t="n">
        <v>0.764347939487069</v>
      </c>
      <c r="N74" s="2" t="n">
        <f aca="false">AVERAGE(K74:K77)</f>
        <v>0.131579018419902</v>
      </c>
      <c r="O74" s="5"/>
      <c r="P74" s="5"/>
      <c r="Q74" s="6"/>
    </row>
    <row r="75" customFormat="false" ht="15" hidden="false" customHeight="false" outlineLevel="0" collapsed="false">
      <c r="A75" s="3" t="s">
        <v>63</v>
      </c>
      <c r="B75" s="3" t="s">
        <v>64</v>
      </c>
      <c r="C75" s="3" t="s">
        <v>65</v>
      </c>
      <c r="D75" s="2" t="s">
        <v>20</v>
      </c>
      <c r="E75" s="2" t="s">
        <v>21</v>
      </c>
      <c r="F75" s="2" t="n">
        <v>26</v>
      </c>
      <c r="G75" s="2" t="s">
        <v>25</v>
      </c>
      <c r="H75" s="2" t="n">
        <v>0.2837</v>
      </c>
      <c r="I75" s="2" t="n">
        <v>0.207175726455005</v>
      </c>
      <c r="J75" s="2" t="n">
        <v>0.336341222262341</v>
      </c>
      <c r="K75" s="2" t="n">
        <f aca="false">J75-I75</f>
        <v>0.129165495807336</v>
      </c>
      <c r="L75" s="2" t="n">
        <v>0.764347939487069</v>
      </c>
      <c r="N75" s="2"/>
      <c r="O75" s="5"/>
      <c r="P75" s="5"/>
      <c r="Q75" s="6"/>
    </row>
    <row r="76" customFormat="false" ht="15" hidden="false" customHeight="false" outlineLevel="0" collapsed="false">
      <c r="A76" s="3" t="s">
        <v>63</v>
      </c>
      <c r="B76" s="3" t="s">
        <v>64</v>
      </c>
      <c r="C76" s="3" t="s">
        <v>65</v>
      </c>
      <c r="D76" s="2" t="s">
        <v>20</v>
      </c>
      <c r="E76" s="2" t="s">
        <v>21</v>
      </c>
      <c r="F76" s="2" t="n">
        <v>26</v>
      </c>
      <c r="G76" s="2" t="s">
        <v>31</v>
      </c>
      <c r="H76" s="2" t="n">
        <v>0.2745</v>
      </c>
      <c r="I76" s="2" t="n">
        <v>0.20051266534926</v>
      </c>
      <c r="J76" s="2" t="n">
        <v>0.332413603016174</v>
      </c>
      <c r="K76" s="2" t="n">
        <f aca="false">J76-I76</f>
        <v>0.131900937666914</v>
      </c>
      <c r="L76" s="2" t="n">
        <v>0.764347939487069</v>
      </c>
      <c r="N76" s="2"/>
      <c r="O76" s="5"/>
      <c r="P76" s="5"/>
      <c r="Q76" s="6"/>
    </row>
    <row r="77" customFormat="false" ht="15" hidden="false" customHeight="false" outlineLevel="0" collapsed="false">
      <c r="A77" s="3" t="s">
        <v>63</v>
      </c>
      <c r="B77" s="3" t="s">
        <v>64</v>
      </c>
      <c r="C77" s="3" t="s">
        <v>65</v>
      </c>
      <c r="D77" s="2" t="s">
        <v>20</v>
      </c>
      <c r="E77" s="2" t="s">
        <v>21</v>
      </c>
      <c r="F77" s="2" t="n">
        <v>26</v>
      </c>
      <c r="G77" s="2" t="s">
        <v>27</v>
      </c>
      <c r="H77" s="2" t="n">
        <v>0.1</v>
      </c>
      <c r="I77" s="2" t="n">
        <v>0.119907181810369</v>
      </c>
      <c r="J77" s="2" t="n">
        <v>0.240211230580945</v>
      </c>
      <c r="K77" s="2" t="n">
        <f aca="false">J77-I77</f>
        <v>0.120304048770576</v>
      </c>
      <c r="L77" s="2" t="n">
        <v>0.764347939487069</v>
      </c>
      <c r="N77" s="2"/>
      <c r="O77" s="5"/>
      <c r="P77" s="5"/>
      <c r="Q77" s="6"/>
    </row>
    <row r="78" customFormat="false" ht="15" hidden="false" customHeight="false" outlineLevel="0" collapsed="false">
      <c r="A78" s="3" t="s">
        <v>66</v>
      </c>
      <c r="B78" s="3" t="s">
        <v>67</v>
      </c>
      <c r="C78" s="3" t="s">
        <v>68</v>
      </c>
      <c r="D78" s="2" t="s">
        <v>20</v>
      </c>
      <c r="E78" s="2" t="s">
        <v>21</v>
      </c>
      <c r="F78" s="2" t="n">
        <v>28</v>
      </c>
      <c r="G78" s="2" t="s">
        <v>22</v>
      </c>
      <c r="H78" s="2" t="n">
        <v>0.2217</v>
      </c>
      <c r="I78" s="2" t="n">
        <v>0.346236215250766</v>
      </c>
      <c r="J78" s="2" t="n">
        <v>0.441362629363436</v>
      </c>
      <c r="K78" s="2" t="n">
        <f aca="false">J78-I78</f>
        <v>0.09512641411267</v>
      </c>
      <c r="L78" s="2" t="n">
        <v>0.716647920997565</v>
      </c>
      <c r="N78" s="2" t="n">
        <f aca="false">AVERAGE(K78:K83)</f>
        <v>0.0966625654735413</v>
      </c>
      <c r="O78" s="5"/>
      <c r="P78" s="5"/>
      <c r="Q78" s="6"/>
    </row>
    <row r="79" customFormat="false" ht="15" hidden="false" customHeight="false" outlineLevel="0" collapsed="false">
      <c r="A79" s="3" t="s">
        <v>66</v>
      </c>
      <c r="B79" s="3" t="s">
        <v>67</v>
      </c>
      <c r="C79" s="3" t="s">
        <v>68</v>
      </c>
      <c r="D79" s="2" t="s">
        <v>20</v>
      </c>
      <c r="E79" s="2" t="s">
        <v>21</v>
      </c>
      <c r="F79" s="2" t="n">
        <v>28</v>
      </c>
      <c r="G79" s="2" t="s">
        <v>25</v>
      </c>
      <c r="H79" s="2" t="n">
        <v>0.1752</v>
      </c>
      <c r="I79" s="2" t="n">
        <v>0.273536839949526</v>
      </c>
      <c r="J79" s="2" t="n">
        <v>0.33529076504411</v>
      </c>
      <c r="K79" s="2" t="n">
        <f aca="false">J79-I79</f>
        <v>0.061753925094584</v>
      </c>
      <c r="L79" s="2" t="n">
        <v>0.716647920997565</v>
      </c>
      <c r="N79" s="2"/>
      <c r="O79" s="5"/>
      <c r="P79" s="5"/>
      <c r="Q79" s="6"/>
    </row>
    <row r="80" customFormat="false" ht="15" hidden="false" customHeight="false" outlineLevel="0" collapsed="false">
      <c r="A80" s="3" t="s">
        <v>66</v>
      </c>
      <c r="B80" s="3" t="s">
        <v>67</v>
      </c>
      <c r="C80" s="3" t="s">
        <v>68</v>
      </c>
      <c r="D80" s="2" t="s">
        <v>20</v>
      </c>
      <c r="E80" s="2" t="s">
        <v>21</v>
      </c>
      <c r="F80" s="2" t="n">
        <v>28</v>
      </c>
      <c r="G80" s="2" t="s">
        <v>31</v>
      </c>
      <c r="H80" s="2" t="n">
        <v>0.1747</v>
      </c>
      <c r="I80" s="2" t="n">
        <v>0.272811027810642</v>
      </c>
      <c r="J80" s="2" t="n">
        <v>0.356330273906782</v>
      </c>
      <c r="K80" s="2" t="n">
        <f aca="false">J80-I80</f>
        <v>0.08351924609614</v>
      </c>
      <c r="L80" s="2" t="n">
        <v>0.716647920997565</v>
      </c>
      <c r="N80" s="2"/>
      <c r="O80" s="5"/>
      <c r="P80" s="5"/>
      <c r="Q80" s="6"/>
    </row>
    <row r="81" customFormat="false" ht="15" hidden="false" customHeight="false" outlineLevel="0" collapsed="false">
      <c r="A81" s="3" t="s">
        <v>66</v>
      </c>
      <c r="B81" s="3" t="s">
        <v>67</v>
      </c>
      <c r="C81" s="3" t="s">
        <v>68</v>
      </c>
      <c r="D81" s="2" t="s">
        <v>20</v>
      </c>
      <c r="E81" s="2" t="s">
        <v>21</v>
      </c>
      <c r="F81" s="2" t="n">
        <v>28</v>
      </c>
      <c r="G81" s="2" t="s">
        <v>23</v>
      </c>
      <c r="H81" s="2" t="n">
        <v>0.1695</v>
      </c>
      <c r="I81" s="2" t="n">
        <v>0.264617438818592</v>
      </c>
      <c r="J81" s="2" t="n">
        <v>0.379610460798771</v>
      </c>
      <c r="K81" s="2" t="n">
        <f aca="false">J81-I81</f>
        <v>0.114993021980179</v>
      </c>
      <c r="L81" s="2" t="n">
        <v>0.716647920997565</v>
      </c>
      <c r="N81" s="2"/>
      <c r="O81" s="5"/>
      <c r="P81" s="5"/>
      <c r="Q81" s="6"/>
    </row>
    <row r="82" customFormat="false" ht="15" hidden="false" customHeight="false" outlineLevel="0" collapsed="false">
      <c r="A82" s="3" t="s">
        <v>66</v>
      </c>
      <c r="B82" s="3" t="s">
        <v>67</v>
      </c>
      <c r="C82" s="3" t="s">
        <v>68</v>
      </c>
      <c r="D82" s="2" t="s">
        <v>20</v>
      </c>
      <c r="E82" s="2" t="s">
        <v>21</v>
      </c>
      <c r="F82" s="2" t="n">
        <v>28</v>
      </c>
      <c r="G82" s="2" t="s">
        <v>24</v>
      </c>
      <c r="H82" s="2" t="n">
        <v>0.159</v>
      </c>
      <c r="I82" s="2" t="n">
        <v>0.248245363574022</v>
      </c>
      <c r="J82" s="2" t="n">
        <v>0.387439710412212</v>
      </c>
      <c r="K82" s="2" t="n">
        <f aca="false">J82-I82</f>
        <v>0.13919434683819</v>
      </c>
      <c r="L82" s="2" t="n">
        <v>0.716647920997565</v>
      </c>
      <c r="N82" s="2"/>
      <c r="O82" s="5"/>
      <c r="P82" s="5"/>
      <c r="Q82" s="6"/>
    </row>
    <row r="83" customFormat="false" ht="15" hidden="false" customHeight="false" outlineLevel="0" collapsed="false">
      <c r="A83" s="3" t="s">
        <v>66</v>
      </c>
      <c r="B83" s="3" t="s">
        <v>67</v>
      </c>
      <c r="C83" s="3" t="s">
        <v>68</v>
      </c>
      <c r="D83" s="2" t="s">
        <v>20</v>
      </c>
      <c r="E83" s="2" t="s">
        <v>21</v>
      </c>
      <c r="F83" s="2" t="n">
        <v>28</v>
      </c>
      <c r="G83" s="2" t="s">
        <v>27</v>
      </c>
      <c r="H83" s="2" t="n">
        <v>0.1</v>
      </c>
      <c r="I83" s="2" t="n">
        <v>0.20232643502372</v>
      </c>
      <c r="J83" s="2" t="n">
        <v>0.287714873743205</v>
      </c>
      <c r="K83" s="2" t="n">
        <f aca="false">J83-I83</f>
        <v>0.085388438719485</v>
      </c>
      <c r="L83" s="2" t="n">
        <v>0.716647920997565</v>
      </c>
      <c r="N83" s="2"/>
      <c r="O83" s="5"/>
      <c r="P83" s="5"/>
      <c r="Q83" s="6"/>
    </row>
    <row r="84" customFormat="false" ht="15" hidden="false" customHeight="false" outlineLevel="0" collapsed="false">
      <c r="A84" s="3" t="s">
        <v>69</v>
      </c>
      <c r="B84" s="3" t="s">
        <v>70</v>
      </c>
      <c r="C84" s="3" t="s">
        <v>71</v>
      </c>
      <c r="D84" s="2" t="s">
        <v>20</v>
      </c>
      <c r="E84" s="2" t="s">
        <v>21</v>
      </c>
      <c r="F84" s="2" t="n">
        <v>30</v>
      </c>
      <c r="G84" s="2" t="s">
        <v>22</v>
      </c>
      <c r="H84" s="2" t="n">
        <v>0.2233</v>
      </c>
      <c r="I84" s="2" t="n">
        <v>0.364742984552974</v>
      </c>
      <c r="J84" s="2" t="n">
        <v>0.426780442584094</v>
      </c>
      <c r="K84" s="2" t="n">
        <f aca="false">J84-I84</f>
        <v>0.06203745803112</v>
      </c>
      <c r="L84" s="2" t="n">
        <v>0.761929247616581</v>
      </c>
      <c r="N84" s="2" t="n">
        <f aca="false">AVERAGE(K84:K89)</f>
        <v>0.0372773888863182</v>
      </c>
      <c r="O84" s="5"/>
      <c r="P84" s="5"/>
      <c r="Q84" s="6"/>
    </row>
    <row r="85" customFormat="false" ht="15" hidden="false" customHeight="false" outlineLevel="0" collapsed="false">
      <c r="A85" s="3" t="s">
        <v>69</v>
      </c>
      <c r="B85" s="3" t="s">
        <v>70</v>
      </c>
      <c r="C85" s="3" t="s">
        <v>71</v>
      </c>
      <c r="D85" s="2" t="s">
        <v>20</v>
      </c>
      <c r="E85" s="2" t="s">
        <v>21</v>
      </c>
      <c r="F85" s="2" t="n">
        <v>30</v>
      </c>
      <c r="G85" s="2" t="s">
        <v>23</v>
      </c>
      <c r="H85" s="2" t="n">
        <v>0.185</v>
      </c>
      <c r="I85" s="2" t="n">
        <v>0.302147894239991</v>
      </c>
      <c r="J85" s="2" t="n">
        <v>0.319901085595222</v>
      </c>
      <c r="K85" s="2" t="n">
        <f aca="false">J85-I85</f>
        <v>0.017753191355231</v>
      </c>
      <c r="L85" s="2" t="n">
        <v>0.761929247616581</v>
      </c>
      <c r="N85" s="2"/>
      <c r="O85" s="5"/>
      <c r="P85" s="5"/>
      <c r="Q85" s="6"/>
    </row>
    <row r="86" customFormat="false" ht="15" hidden="false" customHeight="false" outlineLevel="0" collapsed="false">
      <c r="A86" s="3" t="s">
        <v>69</v>
      </c>
      <c r="B86" s="3" t="s">
        <v>70</v>
      </c>
      <c r="C86" s="3" t="s">
        <v>71</v>
      </c>
      <c r="D86" s="2" t="s">
        <v>20</v>
      </c>
      <c r="E86" s="2" t="s">
        <v>21</v>
      </c>
      <c r="F86" s="2" t="n">
        <v>30</v>
      </c>
      <c r="G86" s="2" t="s">
        <v>24</v>
      </c>
      <c r="H86" s="2" t="n">
        <v>0.1726</v>
      </c>
      <c r="I86" s="2" t="n">
        <v>0.281895896494934</v>
      </c>
      <c r="J86" s="2" t="n">
        <v>0.323640264816298</v>
      </c>
      <c r="K86" s="2" t="n">
        <f aca="false">J86-I86</f>
        <v>0.041744368321364</v>
      </c>
      <c r="L86" s="2" t="n">
        <v>0.761929247616581</v>
      </c>
      <c r="N86" s="2"/>
      <c r="O86" s="5"/>
      <c r="P86" s="5"/>
      <c r="Q86" s="6"/>
    </row>
    <row r="87" customFormat="false" ht="15" hidden="false" customHeight="false" outlineLevel="0" collapsed="false">
      <c r="A87" s="3" t="s">
        <v>69</v>
      </c>
      <c r="B87" s="3" t="s">
        <v>70</v>
      </c>
      <c r="C87" s="3" t="s">
        <v>71</v>
      </c>
      <c r="D87" s="2" t="s">
        <v>20</v>
      </c>
      <c r="E87" s="2" t="s">
        <v>21</v>
      </c>
      <c r="F87" s="2" t="n">
        <v>30</v>
      </c>
      <c r="G87" s="2" t="s">
        <v>31</v>
      </c>
      <c r="H87" s="2" t="n">
        <v>0.1635</v>
      </c>
      <c r="I87" s="2" t="n">
        <v>0.266978703702187</v>
      </c>
      <c r="J87" s="2" t="n">
        <v>0.28431359553051</v>
      </c>
      <c r="K87" s="2" t="n">
        <f aca="false">J87-I87</f>
        <v>0.017334891828323</v>
      </c>
      <c r="L87" s="2" t="n">
        <v>0.761929247616581</v>
      </c>
      <c r="N87" s="2"/>
      <c r="O87" s="5"/>
      <c r="P87" s="5"/>
      <c r="Q87" s="6"/>
    </row>
    <row r="88" customFormat="false" ht="15" hidden="false" customHeight="false" outlineLevel="0" collapsed="false">
      <c r="A88" s="3" t="s">
        <v>69</v>
      </c>
      <c r="B88" s="3" t="s">
        <v>70</v>
      </c>
      <c r="C88" s="3" t="s">
        <v>71</v>
      </c>
      <c r="D88" s="2" t="s">
        <v>20</v>
      </c>
      <c r="E88" s="2" t="s">
        <v>21</v>
      </c>
      <c r="F88" s="2" t="n">
        <v>30</v>
      </c>
      <c r="G88" s="2" t="s">
        <v>25</v>
      </c>
      <c r="H88" s="2" t="n">
        <v>0.1555</v>
      </c>
      <c r="I88" s="2" t="n">
        <v>0.254015409749107</v>
      </c>
      <c r="J88" s="2" t="n">
        <v>0.283602361126453</v>
      </c>
      <c r="K88" s="2" t="n">
        <f aca="false">J88-I88</f>
        <v>0.029586951377346</v>
      </c>
      <c r="L88" s="2" t="n">
        <v>0.761929247616581</v>
      </c>
      <c r="N88" s="2"/>
      <c r="O88" s="5"/>
      <c r="P88" s="5"/>
      <c r="Q88" s="6"/>
    </row>
    <row r="89" customFormat="false" ht="15" hidden="false" customHeight="false" outlineLevel="0" collapsed="false">
      <c r="A89" s="3" t="s">
        <v>69</v>
      </c>
      <c r="B89" s="3" t="s">
        <v>70</v>
      </c>
      <c r="C89" s="3" t="s">
        <v>71</v>
      </c>
      <c r="D89" s="2" t="s">
        <v>20</v>
      </c>
      <c r="E89" s="2" t="s">
        <v>21</v>
      </c>
      <c r="F89" s="2" t="n">
        <v>30</v>
      </c>
      <c r="G89" s="2" t="s">
        <v>27</v>
      </c>
      <c r="H89" s="2" t="n">
        <v>0.1</v>
      </c>
      <c r="I89" s="2" t="n">
        <v>0.169143121477947</v>
      </c>
      <c r="J89" s="2" t="n">
        <v>0.224350593882472</v>
      </c>
      <c r="K89" s="2" t="n">
        <f aca="false">J89-I89</f>
        <v>0.055207472404525</v>
      </c>
      <c r="L89" s="2" t="n">
        <v>0.761929247616581</v>
      </c>
      <c r="N89" s="2"/>
      <c r="O89" s="5"/>
      <c r="P89" s="5"/>
      <c r="Q89" s="6"/>
    </row>
    <row r="90" customFormat="false" ht="15" hidden="false" customHeight="false" outlineLevel="0" collapsed="false">
      <c r="A90" s="3" t="s">
        <v>72</v>
      </c>
      <c r="B90" s="3" t="s">
        <v>73</v>
      </c>
      <c r="C90" s="3" t="s">
        <v>74</v>
      </c>
      <c r="D90" s="2" t="s">
        <v>20</v>
      </c>
      <c r="E90" s="2" t="s">
        <v>21</v>
      </c>
      <c r="F90" s="2" t="n">
        <v>32</v>
      </c>
      <c r="G90" s="2" t="s">
        <v>22</v>
      </c>
      <c r="H90" s="2" t="n">
        <v>0.3416</v>
      </c>
      <c r="I90" s="2" t="n">
        <v>0.265149658469519</v>
      </c>
      <c r="J90" s="2" t="n">
        <v>0.34583517096219</v>
      </c>
      <c r="K90" s="2" t="n">
        <f aca="false">J90-I90</f>
        <v>0.080685512492671</v>
      </c>
      <c r="L90" s="2" t="n">
        <v>0.742748731630287</v>
      </c>
      <c r="N90" s="2" t="n">
        <f aca="false">AVERAGE(K90:K93)</f>
        <v>0.0858391008097288</v>
      </c>
      <c r="O90" s="5"/>
      <c r="P90" s="5"/>
      <c r="Q90" s="6"/>
    </row>
    <row r="91" customFormat="false" ht="15" hidden="false" customHeight="false" outlineLevel="0" collapsed="false">
      <c r="A91" s="3" t="s">
        <v>72</v>
      </c>
      <c r="B91" s="3" t="s">
        <v>73</v>
      </c>
      <c r="C91" s="3" t="s">
        <v>74</v>
      </c>
      <c r="D91" s="2" t="s">
        <v>20</v>
      </c>
      <c r="E91" s="2" t="s">
        <v>21</v>
      </c>
      <c r="F91" s="2" t="n">
        <v>32</v>
      </c>
      <c r="G91" s="2" t="s">
        <v>23</v>
      </c>
      <c r="H91" s="2" t="n">
        <v>0.2906</v>
      </c>
      <c r="I91" s="2" t="n">
        <v>0.225570600328186</v>
      </c>
      <c r="J91" s="2" t="n">
        <v>0.317879489533146</v>
      </c>
      <c r="K91" s="2" t="n">
        <f aca="false">J91-I91</f>
        <v>0.09230888920496</v>
      </c>
      <c r="L91" s="2" t="n">
        <v>0.742748731630287</v>
      </c>
      <c r="N91" s="2"/>
      <c r="O91" s="5"/>
      <c r="P91" s="5"/>
      <c r="Q91" s="6"/>
    </row>
    <row r="92" customFormat="false" ht="15" hidden="false" customHeight="false" outlineLevel="0" collapsed="false">
      <c r="A92" s="3" t="s">
        <v>72</v>
      </c>
      <c r="B92" s="3" t="s">
        <v>73</v>
      </c>
      <c r="C92" s="3" t="s">
        <v>74</v>
      </c>
      <c r="D92" s="2" t="s">
        <v>20</v>
      </c>
      <c r="E92" s="2" t="s">
        <v>21</v>
      </c>
      <c r="F92" s="2" t="n">
        <v>32</v>
      </c>
      <c r="G92" s="2" t="s">
        <v>24</v>
      </c>
      <c r="H92" s="2" t="n">
        <v>0.2678</v>
      </c>
      <c r="I92" s="2" t="n">
        <v>0.207862892519753</v>
      </c>
      <c r="J92" s="2" t="n">
        <v>0.292604982666377</v>
      </c>
      <c r="K92" s="2" t="n">
        <f aca="false">J92-I92</f>
        <v>0.084742090146624</v>
      </c>
      <c r="L92" s="2" t="n">
        <v>0.742748731630287</v>
      </c>
      <c r="N92" s="2"/>
      <c r="O92" s="5"/>
      <c r="P92" s="5"/>
      <c r="Q92" s="6"/>
    </row>
    <row r="93" customFormat="false" ht="15" hidden="false" customHeight="false" outlineLevel="0" collapsed="false">
      <c r="A93" s="3" t="s">
        <v>72</v>
      </c>
      <c r="B93" s="3" t="s">
        <v>73</v>
      </c>
      <c r="C93" s="3" t="s">
        <v>74</v>
      </c>
      <c r="D93" s="2" t="s">
        <v>20</v>
      </c>
      <c r="E93" s="2" t="s">
        <v>21</v>
      </c>
      <c r="F93" s="2" t="n">
        <v>32</v>
      </c>
      <c r="G93" s="2" t="s">
        <v>27</v>
      </c>
      <c r="H93" s="2" t="n">
        <v>0.1</v>
      </c>
      <c r="I93" s="2" t="n">
        <v>0.128836442767581</v>
      </c>
      <c r="J93" s="2" t="n">
        <v>0.214456354162241</v>
      </c>
      <c r="K93" s="2" t="n">
        <f aca="false">J93-I93</f>
        <v>0.08561991139466</v>
      </c>
      <c r="L93" s="2" t="n">
        <v>0.742748731630287</v>
      </c>
      <c r="N93" s="2"/>
      <c r="O93" s="5"/>
      <c r="P93" s="5"/>
      <c r="Q93" s="6"/>
    </row>
    <row r="94" customFormat="false" ht="15" hidden="false" customHeight="false" outlineLevel="0" collapsed="false">
      <c r="A94" s="3" t="s">
        <v>75</v>
      </c>
      <c r="B94" s="3" t="s">
        <v>76</v>
      </c>
      <c r="C94" s="3" t="s">
        <v>77</v>
      </c>
      <c r="D94" s="2" t="s">
        <v>20</v>
      </c>
      <c r="E94" s="2" t="s">
        <v>21</v>
      </c>
      <c r="F94" s="2" t="n">
        <v>34</v>
      </c>
      <c r="G94" s="2" t="s">
        <v>23</v>
      </c>
      <c r="H94" s="2" t="n">
        <v>0.2084</v>
      </c>
      <c r="I94" s="2" t="n">
        <v>0.273890708357667</v>
      </c>
      <c r="J94" s="2" t="n">
        <v>0.335991794077805</v>
      </c>
      <c r="K94" s="2" t="n">
        <f aca="false">J94-I94</f>
        <v>0.062101085720138</v>
      </c>
      <c r="L94" s="2" t="n">
        <v>0.764209873398772</v>
      </c>
      <c r="N94" s="2" t="n">
        <f aca="false">AVERAGE(K94:K99)</f>
        <v>0.0836966106331657</v>
      </c>
      <c r="O94" s="5"/>
      <c r="P94" s="5"/>
      <c r="Q94" s="6"/>
    </row>
    <row r="95" customFormat="false" ht="15" hidden="false" customHeight="false" outlineLevel="0" collapsed="false">
      <c r="A95" s="3" t="s">
        <v>75</v>
      </c>
      <c r="B95" s="3" t="s">
        <v>76</v>
      </c>
      <c r="C95" s="3" t="s">
        <v>77</v>
      </c>
      <c r="D95" s="2" t="s">
        <v>20</v>
      </c>
      <c r="E95" s="2" t="s">
        <v>21</v>
      </c>
      <c r="F95" s="2" t="n">
        <v>34</v>
      </c>
      <c r="G95" s="2" t="s">
        <v>25</v>
      </c>
      <c r="H95" s="2" t="n">
        <v>0.1888</v>
      </c>
      <c r="I95" s="2" t="n">
        <v>0.248186193932347</v>
      </c>
      <c r="J95" s="2" t="n">
        <v>0.299975303457499</v>
      </c>
      <c r="K95" s="2" t="n">
        <f aca="false">J95-I95</f>
        <v>0.051789109525152</v>
      </c>
      <c r="L95" s="2" t="n">
        <v>0.764209873398772</v>
      </c>
      <c r="N95" s="2"/>
      <c r="O95" s="5"/>
      <c r="P95" s="5"/>
      <c r="Q95" s="6"/>
    </row>
    <row r="96" customFormat="false" ht="15" hidden="false" customHeight="false" outlineLevel="0" collapsed="false">
      <c r="A96" s="3" t="s">
        <v>75</v>
      </c>
      <c r="B96" s="3" t="s">
        <v>76</v>
      </c>
      <c r="C96" s="3" t="s">
        <v>77</v>
      </c>
      <c r="D96" s="2" t="s">
        <v>20</v>
      </c>
      <c r="E96" s="2" t="s">
        <v>21</v>
      </c>
      <c r="F96" s="2" t="n">
        <v>34</v>
      </c>
      <c r="G96" s="2" t="s">
        <v>22</v>
      </c>
      <c r="H96" s="2" t="n">
        <v>0.1874</v>
      </c>
      <c r="I96" s="2" t="n">
        <v>0.246307743812518</v>
      </c>
      <c r="J96" s="2" t="n">
        <v>0.365767950667706</v>
      </c>
      <c r="K96" s="2" t="n">
        <f aca="false">J96-I96</f>
        <v>0.119460206855188</v>
      </c>
      <c r="L96" s="2" t="n">
        <v>0.764209873398772</v>
      </c>
      <c r="N96" s="2"/>
      <c r="O96" s="5"/>
      <c r="P96" s="5"/>
      <c r="Q96" s="6"/>
    </row>
    <row r="97" customFormat="false" ht="15" hidden="false" customHeight="false" outlineLevel="0" collapsed="false">
      <c r="A97" s="3" t="s">
        <v>75</v>
      </c>
      <c r="B97" s="3" t="s">
        <v>76</v>
      </c>
      <c r="C97" s="3" t="s">
        <v>77</v>
      </c>
      <c r="D97" s="2" t="s">
        <v>20</v>
      </c>
      <c r="E97" s="2" t="s">
        <v>21</v>
      </c>
      <c r="F97" s="2" t="n">
        <v>34</v>
      </c>
      <c r="G97" s="2" t="s">
        <v>24</v>
      </c>
      <c r="H97" s="2" t="n">
        <v>0.1609</v>
      </c>
      <c r="I97" s="2" t="n">
        <v>0.211437257419436</v>
      </c>
      <c r="J97" s="2" t="n">
        <v>0.295909869349739</v>
      </c>
      <c r="K97" s="2" t="n">
        <f aca="false">J97-I97</f>
        <v>0.084472611930303</v>
      </c>
      <c r="L97" s="2" t="n">
        <v>0.764209873398772</v>
      </c>
      <c r="N97" s="2"/>
      <c r="O97" s="5"/>
      <c r="P97" s="5"/>
      <c r="Q97" s="6"/>
    </row>
    <row r="98" customFormat="false" ht="15" hidden="false" customHeight="false" outlineLevel="0" collapsed="false">
      <c r="A98" s="3" t="s">
        <v>75</v>
      </c>
      <c r="B98" s="3" t="s">
        <v>76</v>
      </c>
      <c r="C98" s="3" t="s">
        <v>77</v>
      </c>
      <c r="D98" s="2" t="s">
        <v>20</v>
      </c>
      <c r="E98" s="2" t="s">
        <v>21</v>
      </c>
      <c r="F98" s="2" t="n">
        <v>34</v>
      </c>
      <c r="G98" s="2" t="s">
        <v>31</v>
      </c>
      <c r="H98" s="2" t="n">
        <v>0.1545</v>
      </c>
      <c r="I98" s="2" t="n">
        <v>0.20298953774724</v>
      </c>
      <c r="J98" s="2" t="n">
        <v>0.285941378825541</v>
      </c>
      <c r="K98" s="2" t="n">
        <f aca="false">J98-I98</f>
        <v>0.082951841078301</v>
      </c>
      <c r="L98" s="2" t="n">
        <v>0.764209873398772</v>
      </c>
      <c r="N98" s="2"/>
      <c r="O98" s="5"/>
      <c r="P98" s="5"/>
      <c r="Q98" s="6"/>
    </row>
    <row r="99" customFormat="false" ht="15" hidden="false" customHeight="false" outlineLevel="0" collapsed="false">
      <c r="A99" s="3" t="s">
        <v>75</v>
      </c>
      <c r="B99" s="3" t="s">
        <v>76</v>
      </c>
      <c r="C99" s="3" t="s">
        <v>77</v>
      </c>
      <c r="D99" s="2" t="s">
        <v>20</v>
      </c>
      <c r="E99" s="2" t="s">
        <v>21</v>
      </c>
      <c r="F99" s="2" t="n">
        <v>34</v>
      </c>
      <c r="G99" s="2" t="s">
        <v>27</v>
      </c>
      <c r="H99" s="2" t="n">
        <v>0.1</v>
      </c>
      <c r="I99" s="2" t="n">
        <v>0.123861130180186</v>
      </c>
      <c r="J99" s="2" t="n">
        <v>0.225265938870098</v>
      </c>
      <c r="K99" s="2" t="n">
        <f aca="false">J99-I99</f>
        <v>0.101404808689912</v>
      </c>
      <c r="L99" s="2" t="n">
        <v>0.764209873398772</v>
      </c>
      <c r="N99" s="2"/>
      <c r="O99" s="5"/>
      <c r="P99" s="5"/>
      <c r="Q99" s="6"/>
    </row>
    <row r="100" customFormat="false" ht="15" hidden="false" customHeight="false" outlineLevel="0" collapsed="false">
      <c r="A100" s="3" t="s">
        <v>78</v>
      </c>
      <c r="B100" s="3" t="s">
        <v>79</v>
      </c>
      <c r="C100" s="3" t="s">
        <v>80</v>
      </c>
      <c r="D100" s="2" t="s">
        <v>20</v>
      </c>
      <c r="E100" s="2" t="s">
        <v>21</v>
      </c>
      <c r="F100" s="2" t="n">
        <v>36</v>
      </c>
      <c r="G100" s="2" t="s">
        <v>22</v>
      </c>
      <c r="H100" s="2" t="n">
        <v>0.2027</v>
      </c>
      <c r="I100" s="2" t="n">
        <v>0.294737010273913</v>
      </c>
      <c r="J100" s="2" t="n">
        <v>0.40856981189792</v>
      </c>
      <c r="K100" s="2" t="n">
        <f aca="false">J100-I100</f>
        <v>0.113832801624007</v>
      </c>
      <c r="L100" s="2" t="n">
        <v>0.700796274261234</v>
      </c>
      <c r="N100" s="2" t="n">
        <f aca="false">AVERAGE(K100:K105)</f>
        <v>0.10848379527715</v>
      </c>
      <c r="O100" s="5"/>
      <c r="P100" s="5"/>
      <c r="Q100" s="6"/>
    </row>
    <row r="101" customFormat="false" ht="15" hidden="false" customHeight="false" outlineLevel="0" collapsed="false">
      <c r="A101" s="3" t="s">
        <v>78</v>
      </c>
      <c r="B101" s="3" t="s">
        <v>79</v>
      </c>
      <c r="C101" s="3" t="s">
        <v>80</v>
      </c>
      <c r="D101" s="2" t="s">
        <v>20</v>
      </c>
      <c r="E101" s="2" t="s">
        <v>21</v>
      </c>
      <c r="F101" s="2" t="n">
        <v>36</v>
      </c>
      <c r="G101" s="2" t="s">
        <v>23</v>
      </c>
      <c r="H101" s="2" t="n">
        <v>0.1879</v>
      </c>
      <c r="I101" s="2" t="n">
        <v>0.273214507275594</v>
      </c>
      <c r="J101" s="2" t="n">
        <v>0.402188367473083</v>
      </c>
      <c r="K101" s="2" t="n">
        <f aca="false">J101-I101</f>
        <v>0.128973860197489</v>
      </c>
      <c r="L101" s="2" t="n">
        <v>0.700796274261234</v>
      </c>
      <c r="N101" s="2"/>
      <c r="O101" s="5"/>
      <c r="P101" s="5"/>
      <c r="Q101" s="6"/>
    </row>
    <row r="102" customFormat="false" ht="15" hidden="false" customHeight="false" outlineLevel="0" collapsed="false">
      <c r="A102" s="3" t="s">
        <v>78</v>
      </c>
      <c r="B102" s="3" t="s">
        <v>79</v>
      </c>
      <c r="C102" s="3" t="s">
        <v>80</v>
      </c>
      <c r="D102" s="2" t="s">
        <v>20</v>
      </c>
      <c r="E102" s="2" t="s">
        <v>21</v>
      </c>
      <c r="F102" s="2" t="n">
        <v>36</v>
      </c>
      <c r="G102" s="2" t="s">
        <v>25</v>
      </c>
      <c r="H102" s="2" t="n">
        <v>0.1762</v>
      </c>
      <c r="I102" s="2" t="n">
        <v>0.256150700817249</v>
      </c>
      <c r="J102" s="2" t="n">
        <v>0.35479999066993</v>
      </c>
      <c r="K102" s="2" t="n">
        <f aca="false">J102-I102</f>
        <v>0.098649289852681</v>
      </c>
      <c r="L102" s="2" t="n">
        <v>0.700796274261234</v>
      </c>
      <c r="N102" s="2"/>
      <c r="O102" s="5"/>
      <c r="P102" s="5"/>
      <c r="Q102" s="6"/>
    </row>
    <row r="103" customFormat="false" ht="15" hidden="false" customHeight="false" outlineLevel="0" collapsed="false">
      <c r="A103" s="3" t="s">
        <v>78</v>
      </c>
      <c r="B103" s="3" t="s">
        <v>79</v>
      </c>
      <c r="C103" s="3" t="s">
        <v>80</v>
      </c>
      <c r="D103" s="2" t="s">
        <v>20</v>
      </c>
      <c r="E103" s="2" t="s">
        <v>21</v>
      </c>
      <c r="F103" s="2" t="n">
        <v>36</v>
      </c>
      <c r="G103" s="2" t="s">
        <v>24</v>
      </c>
      <c r="H103" s="2" t="n">
        <v>0.1735</v>
      </c>
      <c r="I103" s="2" t="n">
        <v>0.252193104903212</v>
      </c>
      <c r="J103" s="2" t="n">
        <v>0.342222606461976</v>
      </c>
      <c r="K103" s="2" t="n">
        <f aca="false">J103-I103</f>
        <v>0.090029501558764</v>
      </c>
      <c r="L103" s="2" t="n">
        <v>0.700796274261234</v>
      </c>
      <c r="N103" s="2"/>
      <c r="O103" s="5"/>
      <c r="P103" s="5"/>
      <c r="Q103" s="6"/>
    </row>
    <row r="104" customFormat="false" ht="15" hidden="false" customHeight="false" outlineLevel="0" collapsed="false">
      <c r="A104" s="3" t="s">
        <v>78</v>
      </c>
      <c r="B104" s="3" t="s">
        <v>79</v>
      </c>
      <c r="C104" s="3" t="s">
        <v>80</v>
      </c>
      <c r="D104" s="2" t="s">
        <v>20</v>
      </c>
      <c r="E104" s="2" t="s">
        <v>21</v>
      </c>
      <c r="F104" s="2" t="n">
        <v>36</v>
      </c>
      <c r="G104" s="2" t="s">
        <v>26</v>
      </c>
      <c r="H104" s="2" t="n">
        <v>0.1596</v>
      </c>
      <c r="I104" s="2" t="n">
        <v>0.232067426014444</v>
      </c>
      <c r="J104" s="2" t="n">
        <v>0.31224697182451</v>
      </c>
      <c r="K104" s="2" t="n">
        <f aca="false">J104-I104</f>
        <v>0.080179545810066</v>
      </c>
      <c r="L104" s="2" t="n">
        <v>0.700796274261234</v>
      </c>
      <c r="N104" s="2"/>
      <c r="O104" s="5"/>
      <c r="P104" s="5"/>
      <c r="Q104" s="6"/>
    </row>
    <row r="105" customFormat="false" ht="15" hidden="false" customHeight="false" outlineLevel="0" collapsed="false">
      <c r="A105" s="3" t="s">
        <v>78</v>
      </c>
      <c r="B105" s="3" t="s">
        <v>79</v>
      </c>
      <c r="C105" s="3" t="s">
        <v>80</v>
      </c>
      <c r="D105" s="2" t="s">
        <v>20</v>
      </c>
      <c r="E105" s="2" t="s">
        <v>21</v>
      </c>
      <c r="F105" s="2" t="n">
        <v>36</v>
      </c>
      <c r="G105" s="2" t="s">
        <v>27</v>
      </c>
      <c r="H105" s="2" t="n">
        <v>0.1</v>
      </c>
      <c r="I105" s="2" t="n">
        <v>0.193375018107961</v>
      </c>
      <c r="J105" s="2" t="n">
        <v>0.332612790727852</v>
      </c>
      <c r="K105" s="2" t="n">
        <f aca="false">J105-I105</f>
        <v>0.139237772619891</v>
      </c>
      <c r="L105" s="2" t="n">
        <v>0.700796274261234</v>
      </c>
      <c r="N105" s="2"/>
      <c r="O105" s="5"/>
      <c r="P105" s="5"/>
      <c r="Q105" s="6"/>
    </row>
    <row r="106" customFormat="false" ht="15" hidden="false" customHeight="false" outlineLevel="0" collapsed="false">
      <c r="A106" s="3" t="s">
        <v>81</v>
      </c>
      <c r="B106" s="3" t="s">
        <v>82</v>
      </c>
      <c r="C106" s="3" t="s">
        <v>83</v>
      </c>
      <c r="D106" s="2" t="s">
        <v>20</v>
      </c>
      <c r="E106" s="2" t="s">
        <v>21</v>
      </c>
      <c r="F106" s="2" t="n">
        <v>38</v>
      </c>
      <c r="G106" s="2" t="s">
        <v>22</v>
      </c>
      <c r="H106" s="2" t="n">
        <v>0.2017</v>
      </c>
      <c r="I106" s="2" t="n">
        <v>0.358852133754308</v>
      </c>
      <c r="J106" s="2" t="n">
        <v>0.353168847091486</v>
      </c>
      <c r="K106" s="2" t="n">
        <f aca="false">J106-I106</f>
        <v>-0.00568328666282203</v>
      </c>
      <c r="L106" s="2" t="n">
        <v>0.716284059047156</v>
      </c>
      <c r="N106" s="2" t="n">
        <f aca="false">AVERAGE(K106:K111)</f>
        <v>-0.0196140762725247</v>
      </c>
      <c r="O106" s="5"/>
      <c r="P106" s="5"/>
      <c r="Q106" s="6"/>
    </row>
    <row r="107" customFormat="false" ht="15" hidden="false" customHeight="false" outlineLevel="0" collapsed="false">
      <c r="A107" s="3" t="s">
        <v>81</v>
      </c>
      <c r="B107" s="3" t="s">
        <v>82</v>
      </c>
      <c r="C107" s="3" t="s">
        <v>83</v>
      </c>
      <c r="D107" s="2" t="s">
        <v>20</v>
      </c>
      <c r="E107" s="2" t="s">
        <v>21</v>
      </c>
      <c r="F107" s="2" t="n">
        <v>38</v>
      </c>
      <c r="G107" s="2" t="s">
        <v>23</v>
      </c>
      <c r="H107" s="2" t="n">
        <v>0.1943</v>
      </c>
      <c r="I107" s="2" t="n">
        <v>0.345722438229077</v>
      </c>
      <c r="J107" s="2" t="n">
        <v>0.309338847624062</v>
      </c>
      <c r="K107" s="2" t="n">
        <f aca="false">J107-I107</f>
        <v>-0.036383590605015</v>
      </c>
      <c r="L107" s="2" t="n">
        <v>0.716284059047156</v>
      </c>
      <c r="N107" s="2"/>
      <c r="O107" s="5"/>
      <c r="P107" s="5"/>
      <c r="Q107" s="6"/>
    </row>
    <row r="108" customFormat="false" ht="15" hidden="false" customHeight="false" outlineLevel="0" collapsed="false">
      <c r="A108" s="3" t="s">
        <v>81</v>
      </c>
      <c r="B108" s="3" t="s">
        <v>82</v>
      </c>
      <c r="C108" s="3" t="s">
        <v>83</v>
      </c>
      <c r="D108" s="2" t="s">
        <v>20</v>
      </c>
      <c r="E108" s="2" t="s">
        <v>21</v>
      </c>
      <c r="F108" s="2" t="n">
        <v>38</v>
      </c>
      <c r="G108" s="2" t="s">
        <v>31</v>
      </c>
      <c r="H108" s="2" t="n">
        <v>0.1721</v>
      </c>
      <c r="I108" s="2" t="n">
        <v>0.306216423572464</v>
      </c>
      <c r="J108" s="2" t="n">
        <v>0.302328456763291</v>
      </c>
      <c r="K108" s="2" t="n">
        <f aca="false">J108-I108</f>
        <v>-0.00388796680917297</v>
      </c>
      <c r="L108" s="2" t="n">
        <v>0.716284059047156</v>
      </c>
      <c r="N108" s="2"/>
      <c r="O108" s="5"/>
      <c r="P108" s="5"/>
      <c r="Q108" s="6"/>
    </row>
    <row r="109" customFormat="false" ht="15" hidden="false" customHeight="false" outlineLevel="0" collapsed="false">
      <c r="A109" s="3" t="s">
        <v>81</v>
      </c>
      <c r="B109" s="3" t="s">
        <v>82</v>
      </c>
      <c r="C109" s="3" t="s">
        <v>83</v>
      </c>
      <c r="D109" s="2" t="s">
        <v>20</v>
      </c>
      <c r="E109" s="2" t="s">
        <v>21</v>
      </c>
      <c r="F109" s="2" t="n">
        <v>38</v>
      </c>
      <c r="G109" s="2" t="s">
        <v>24</v>
      </c>
      <c r="H109" s="2" t="n">
        <v>0.1704</v>
      </c>
      <c r="I109" s="2" t="n">
        <v>0.303233638878414</v>
      </c>
      <c r="J109" s="2" t="n">
        <v>0.292672256529857</v>
      </c>
      <c r="K109" s="2" t="n">
        <f aca="false">J109-I109</f>
        <v>-0.010561382348557</v>
      </c>
      <c r="L109" s="2" t="n">
        <v>0.716284059047156</v>
      </c>
      <c r="N109" s="2"/>
      <c r="O109" s="5"/>
      <c r="P109" s="5"/>
      <c r="Q109" s="6"/>
    </row>
    <row r="110" customFormat="false" ht="15" hidden="false" customHeight="false" outlineLevel="0" collapsed="false">
      <c r="A110" s="3" t="s">
        <v>81</v>
      </c>
      <c r="B110" s="3" t="s">
        <v>82</v>
      </c>
      <c r="C110" s="3" t="s">
        <v>83</v>
      </c>
      <c r="D110" s="2" t="s">
        <v>20</v>
      </c>
      <c r="E110" s="2" t="s">
        <v>21</v>
      </c>
      <c r="F110" s="2" t="n">
        <v>38</v>
      </c>
      <c r="G110" s="2" t="s">
        <v>84</v>
      </c>
      <c r="H110" s="2" t="n">
        <v>0.1614</v>
      </c>
      <c r="I110" s="2" t="n">
        <v>0.287112138466246</v>
      </c>
      <c r="J110" s="2" t="n">
        <v>0.269623707277688</v>
      </c>
      <c r="K110" s="2" t="n">
        <f aca="false">J110-I110</f>
        <v>-0.017488431188558</v>
      </c>
      <c r="L110" s="2" t="n">
        <v>0.716284059047156</v>
      </c>
      <c r="N110" s="2"/>
      <c r="O110" s="5"/>
      <c r="P110" s="5"/>
      <c r="Q110" s="6"/>
    </row>
    <row r="111" customFormat="false" ht="15" hidden="false" customHeight="false" outlineLevel="0" collapsed="false">
      <c r="A111" s="3" t="s">
        <v>81</v>
      </c>
      <c r="B111" s="3" t="s">
        <v>82</v>
      </c>
      <c r="C111" s="3" t="s">
        <v>83</v>
      </c>
      <c r="D111" s="2" t="s">
        <v>20</v>
      </c>
      <c r="E111" s="2" t="s">
        <v>21</v>
      </c>
      <c r="F111" s="2" t="n">
        <v>38</v>
      </c>
      <c r="G111" s="2" t="s">
        <v>27</v>
      </c>
      <c r="H111" s="2" t="n">
        <v>0.1</v>
      </c>
      <c r="I111" s="2" t="n">
        <v>0.285989311896476</v>
      </c>
      <c r="J111" s="2" t="n">
        <v>0.242309511875453</v>
      </c>
      <c r="K111" s="2" t="n">
        <f aca="false">J111-I111</f>
        <v>-0.043679800021023</v>
      </c>
      <c r="L111" s="2" t="n">
        <v>0.716284059047156</v>
      </c>
      <c r="N111" s="2"/>
      <c r="O111" s="5"/>
      <c r="P111" s="5"/>
      <c r="Q111" s="6"/>
    </row>
    <row r="112" customFormat="false" ht="15" hidden="false" customHeight="false" outlineLevel="0" collapsed="false">
      <c r="A112" s="3" t="s">
        <v>85</v>
      </c>
      <c r="B112" s="3" t="s">
        <v>86</v>
      </c>
      <c r="C112" s="3" t="s">
        <v>87</v>
      </c>
      <c r="D112" s="2" t="s">
        <v>20</v>
      </c>
      <c r="E112" s="2" t="s">
        <v>21</v>
      </c>
      <c r="F112" s="2" t="n">
        <v>40</v>
      </c>
      <c r="G112" s="2" t="s">
        <v>22</v>
      </c>
      <c r="H112" s="2" t="n">
        <v>0.2004</v>
      </c>
      <c r="I112" s="2" t="n">
        <v>0.261366920209871</v>
      </c>
      <c r="J112" s="2" t="n">
        <v>0.321396243452934</v>
      </c>
      <c r="K112" s="2" t="n">
        <f aca="false">J112-I112</f>
        <v>0.060029323243063</v>
      </c>
      <c r="L112" s="2" t="n">
        <v>0.839023541568098</v>
      </c>
      <c r="N112" s="2" t="n">
        <f aca="false">AVERAGE(K112:K117)</f>
        <v>0.0531657811114937</v>
      </c>
      <c r="O112" s="5"/>
      <c r="P112" s="5"/>
      <c r="Q112" s="6"/>
    </row>
    <row r="113" customFormat="false" ht="15" hidden="false" customHeight="false" outlineLevel="0" collapsed="false">
      <c r="A113" s="3" t="s">
        <v>85</v>
      </c>
      <c r="B113" s="3" t="s">
        <v>86</v>
      </c>
      <c r="C113" s="3" t="s">
        <v>87</v>
      </c>
      <c r="D113" s="2" t="s">
        <v>20</v>
      </c>
      <c r="E113" s="2" t="s">
        <v>21</v>
      </c>
      <c r="F113" s="2" t="n">
        <v>40</v>
      </c>
      <c r="G113" s="2" t="s">
        <v>23</v>
      </c>
      <c r="H113" s="2" t="n">
        <v>0.1954</v>
      </c>
      <c r="I113" s="2" t="n">
        <v>0.254886585651946</v>
      </c>
      <c r="J113" s="2" t="n">
        <v>0.283846574687904</v>
      </c>
      <c r="K113" s="2" t="n">
        <f aca="false">J113-I113</f>
        <v>0.028959989035958</v>
      </c>
      <c r="L113" s="2" t="n">
        <v>0.839023541568098</v>
      </c>
      <c r="N113" s="2"/>
      <c r="O113" s="5"/>
      <c r="P113" s="5"/>
      <c r="Q113" s="6"/>
    </row>
    <row r="114" customFormat="false" ht="15" hidden="false" customHeight="false" outlineLevel="0" collapsed="false">
      <c r="A114" s="3" t="s">
        <v>85</v>
      </c>
      <c r="B114" s="3" t="s">
        <v>86</v>
      </c>
      <c r="C114" s="3" t="s">
        <v>87</v>
      </c>
      <c r="D114" s="2" t="s">
        <v>20</v>
      </c>
      <c r="E114" s="2" t="s">
        <v>21</v>
      </c>
      <c r="F114" s="2" t="n">
        <v>40</v>
      </c>
      <c r="G114" s="2" t="s">
        <v>25</v>
      </c>
      <c r="H114" s="2" t="n">
        <v>0.1767</v>
      </c>
      <c r="I114" s="2" t="n">
        <v>0.230460163995811</v>
      </c>
      <c r="J114" s="2" t="n">
        <v>0.287238415857731</v>
      </c>
      <c r="K114" s="2" t="n">
        <f aca="false">J114-I114</f>
        <v>0.05677825186192</v>
      </c>
      <c r="L114" s="2" t="n">
        <v>0.839023541568098</v>
      </c>
      <c r="N114" s="2"/>
      <c r="O114" s="5"/>
      <c r="P114" s="5"/>
      <c r="Q114" s="6"/>
    </row>
    <row r="115" customFormat="false" ht="15" hidden="false" customHeight="false" outlineLevel="0" collapsed="false">
      <c r="A115" s="3" t="s">
        <v>85</v>
      </c>
      <c r="B115" s="3" t="s">
        <v>86</v>
      </c>
      <c r="C115" s="3" t="s">
        <v>87</v>
      </c>
      <c r="D115" s="2" t="s">
        <v>20</v>
      </c>
      <c r="E115" s="2" t="s">
        <v>21</v>
      </c>
      <c r="F115" s="2" t="n">
        <v>40</v>
      </c>
      <c r="G115" s="2" t="s">
        <v>24</v>
      </c>
      <c r="H115" s="2" t="n">
        <v>0.1683</v>
      </c>
      <c r="I115" s="2" t="n">
        <v>0.219529620284491</v>
      </c>
      <c r="J115" s="2" t="n">
        <v>0.273914755437634</v>
      </c>
      <c r="K115" s="2" t="n">
        <f aca="false">J115-I115</f>
        <v>0.054385135153143</v>
      </c>
      <c r="L115" s="2" t="n">
        <v>0.839023541568098</v>
      </c>
      <c r="N115" s="2"/>
      <c r="O115" s="5"/>
      <c r="P115" s="5"/>
      <c r="Q115" s="6"/>
    </row>
    <row r="116" customFormat="false" ht="15" hidden="false" customHeight="false" outlineLevel="0" collapsed="false">
      <c r="A116" s="3" t="s">
        <v>85</v>
      </c>
      <c r="B116" s="3" t="s">
        <v>86</v>
      </c>
      <c r="C116" s="3" t="s">
        <v>87</v>
      </c>
      <c r="D116" s="2" t="s">
        <v>20</v>
      </c>
      <c r="E116" s="2" t="s">
        <v>21</v>
      </c>
      <c r="F116" s="2" t="n">
        <v>40</v>
      </c>
      <c r="G116" s="2" t="s">
        <v>31</v>
      </c>
      <c r="H116" s="2" t="n">
        <v>0.1593</v>
      </c>
      <c r="I116" s="2" t="n">
        <v>0.20776430223247</v>
      </c>
      <c r="J116" s="2" t="n">
        <v>0.271587325862802</v>
      </c>
      <c r="K116" s="2" t="n">
        <f aca="false">J116-I116</f>
        <v>0.063823023630332</v>
      </c>
      <c r="L116" s="2" t="n">
        <v>0.839023541568098</v>
      </c>
      <c r="N116" s="2"/>
      <c r="O116" s="5"/>
      <c r="P116" s="5"/>
      <c r="Q116" s="6"/>
    </row>
    <row r="117" customFormat="false" ht="15" hidden="false" customHeight="false" outlineLevel="0" collapsed="false">
      <c r="A117" s="3" t="s">
        <v>85</v>
      </c>
      <c r="B117" s="3" t="s">
        <v>86</v>
      </c>
      <c r="C117" s="3" t="s">
        <v>87</v>
      </c>
      <c r="D117" s="2" t="s">
        <v>20</v>
      </c>
      <c r="E117" s="2" t="s">
        <v>21</v>
      </c>
      <c r="F117" s="2" t="n">
        <v>40</v>
      </c>
      <c r="G117" s="2" t="s">
        <v>27</v>
      </c>
      <c r="H117" s="2" t="n">
        <v>0.1</v>
      </c>
      <c r="I117" s="2" t="n">
        <v>0.145463024226503</v>
      </c>
      <c r="J117" s="2" t="n">
        <v>0.200481987971049</v>
      </c>
      <c r="K117" s="2" t="n">
        <f aca="false">J117-I117</f>
        <v>0.055018963744546</v>
      </c>
      <c r="L117" s="2" t="n">
        <v>0.839023541568098</v>
      </c>
      <c r="N117" s="2"/>
      <c r="O117" s="5"/>
      <c r="P117" s="5"/>
      <c r="Q117" s="6"/>
    </row>
    <row r="118" customFormat="false" ht="15" hidden="false" customHeight="false" outlineLevel="0" collapsed="false">
      <c r="A118" s="3" t="s">
        <v>88</v>
      </c>
      <c r="B118" s="3" t="s">
        <v>89</v>
      </c>
      <c r="C118" s="3" t="s">
        <v>90</v>
      </c>
      <c r="D118" s="2" t="s">
        <v>20</v>
      </c>
      <c r="E118" s="2" t="s">
        <v>21</v>
      </c>
      <c r="F118" s="2" t="n">
        <v>42</v>
      </c>
      <c r="G118" s="2" t="s">
        <v>23</v>
      </c>
      <c r="H118" s="2" t="n">
        <v>0.2078</v>
      </c>
      <c r="I118" s="2" t="n">
        <v>0.267970191264535</v>
      </c>
      <c r="J118" s="2" t="n">
        <v>0.38948999316284</v>
      </c>
      <c r="K118" s="2" t="n">
        <f aca="false">J118-I118</f>
        <v>0.121519801898305</v>
      </c>
      <c r="L118" s="2" t="n">
        <v>0.704024831920364</v>
      </c>
      <c r="N118" s="2" t="n">
        <f aca="false">AVERAGE(K118:K123)</f>
        <v>0.126971708402813</v>
      </c>
      <c r="O118" s="5"/>
      <c r="P118" s="5"/>
      <c r="Q118" s="6"/>
    </row>
    <row r="119" customFormat="false" ht="15" hidden="false" customHeight="false" outlineLevel="0" collapsed="false">
      <c r="A119" s="3" t="s">
        <v>88</v>
      </c>
      <c r="B119" s="3" t="s">
        <v>89</v>
      </c>
      <c r="C119" s="3" t="s">
        <v>90</v>
      </c>
      <c r="D119" s="2" t="s">
        <v>20</v>
      </c>
      <c r="E119" s="2" t="s">
        <v>21</v>
      </c>
      <c r="F119" s="2" t="n">
        <v>42</v>
      </c>
      <c r="G119" s="2" t="s">
        <v>22</v>
      </c>
      <c r="H119" s="2" t="n">
        <v>0.2038</v>
      </c>
      <c r="I119" s="2" t="n">
        <v>0.262713995841006</v>
      </c>
      <c r="J119" s="2" t="n">
        <v>0.455299332739908</v>
      </c>
      <c r="K119" s="2" t="n">
        <f aca="false">J119-I119</f>
        <v>0.192585336898902</v>
      </c>
      <c r="L119" s="2" t="n">
        <v>0.704024831920364</v>
      </c>
      <c r="N119" s="2"/>
      <c r="O119" s="5"/>
      <c r="P119" s="5"/>
      <c r="Q119" s="6"/>
    </row>
    <row r="120" customFormat="false" ht="15" hidden="false" customHeight="false" outlineLevel="0" collapsed="false">
      <c r="A120" s="3" t="s">
        <v>88</v>
      </c>
      <c r="B120" s="3" t="s">
        <v>89</v>
      </c>
      <c r="C120" s="3" t="s">
        <v>90</v>
      </c>
      <c r="D120" s="2" t="s">
        <v>20</v>
      </c>
      <c r="E120" s="2" t="s">
        <v>21</v>
      </c>
      <c r="F120" s="2" t="n">
        <v>42</v>
      </c>
      <c r="G120" s="2" t="s">
        <v>24</v>
      </c>
      <c r="H120" s="2" t="n">
        <v>0.1705</v>
      </c>
      <c r="I120" s="2" t="n">
        <v>0.21984728108867</v>
      </c>
      <c r="J120" s="2" t="n">
        <v>0.332329526853768</v>
      </c>
      <c r="K120" s="2" t="n">
        <f aca="false">J120-I120</f>
        <v>0.112482245765098</v>
      </c>
      <c r="L120" s="2" t="n">
        <v>0.704024831920364</v>
      </c>
      <c r="N120" s="2"/>
      <c r="O120" s="5"/>
      <c r="P120" s="5"/>
      <c r="Q120" s="6"/>
    </row>
    <row r="121" customFormat="false" ht="15" hidden="false" customHeight="false" outlineLevel="0" collapsed="false">
      <c r="A121" s="3" t="s">
        <v>88</v>
      </c>
      <c r="B121" s="3" t="s">
        <v>89</v>
      </c>
      <c r="C121" s="3" t="s">
        <v>90</v>
      </c>
      <c r="D121" s="2" t="s">
        <v>20</v>
      </c>
      <c r="E121" s="2" t="s">
        <v>21</v>
      </c>
      <c r="F121" s="2" t="n">
        <v>42</v>
      </c>
      <c r="G121" s="2" t="s">
        <v>25</v>
      </c>
      <c r="H121" s="2" t="n">
        <v>0.1614</v>
      </c>
      <c r="I121" s="2" t="n">
        <v>0.208075394000722</v>
      </c>
      <c r="J121" s="2" t="n">
        <v>0.28176320133001</v>
      </c>
      <c r="K121" s="2" t="n">
        <f aca="false">J121-I121</f>
        <v>0.073687807329288</v>
      </c>
      <c r="L121" s="2" t="n">
        <v>0.704024831920364</v>
      </c>
      <c r="N121" s="2"/>
      <c r="O121" s="5"/>
      <c r="P121" s="5"/>
      <c r="Q121" s="6"/>
    </row>
    <row r="122" customFormat="false" ht="15" hidden="false" customHeight="false" outlineLevel="0" collapsed="false">
      <c r="A122" s="3" t="s">
        <v>88</v>
      </c>
      <c r="B122" s="3" t="s">
        <v>89</v>
      </c>
      <c r="C122" s="3" t="s">
        <v>90</v>
      </c>
      <c r="D122" s="2" t="s">
        <v>20</v>
      </c>
      <c r="E122" s="2" t="s">
        <v>21</v>
      </c>
      <c r="F122" s="2" t="n">
        <v>42</v>
      </c>
      <c r="G122" s="2" t="s">
        <v>26</v>
      </c>
      <c r="H122" s="2" t="n">
        <v>0.1565</v>
      </c>
      <c r="I122" s="2" t="n">
        <v>0.201752280278808</v>
      </c>
      <c r="J122" s="2" t="n">
        <v>0.333673196766544</v>
      </c>
      <c r="K122" s="2" t="n">
        <f aca="false">J122-I122</f>
        <v>0.131920916487736</v>
      </c>
      <c r="L122" s="2" t="n">
        <v>0.704024831920364</v>
      </c>
      <c r="N122" s="2"/>
      <c r="O122" s="5"/>
      <c r="P122" s="5"/>
      <c r="Q122" s="6"/>
    </row>
    <row r="123" customFormat="false" ht="15" hidden="false" customHeight="false" outlineLevel="0" collapsed="false">
      <c r="A123" s="3" t="s">
        <v>88</v>
      </c>
      <c r="B123" s="3" t="s">
        <v>89</v>
      </c>
      <c r="C123" s="3" t="s">
        <v>90</v>
      </c>
      <c r="D123" s="2" t="s">
        <v>20</v>
      </c>
      <c r="E123" s="2" t="s">
        <v>21</v>
      </c>
      <c r="F123" s="2" t="n">
        <v>42</v>
      </c>
      <c r="G123" s="2" t="s">
        <v>27</v>
      </c>
      <c r="H123" s="2" t="n">
        <v>0.1</v>
      </c>
      <c r="I123" s="2" t="n">
        <v>0.133662734683863</v>
      </c>
      <c r="J123" s="2" t="n">
        <v>0.263296876721413</v>
      </c>
      <c r="K123" s="2" t="n">
        <f aca="false">J123-I123</f>
        <v>0.12963414203755</v>
      </c>
      <c r="L123" s="2" t="n">
        <v>0.704024831920364</v>
      </c>
      <c r="N123" s="2"/>
      <c r="O123" s="5"/>
      <c r="P123" s="5"/>
      <c r="Q123" s="6"/>
    </row>
    <row r="124" customFormat="false" ht="15" hidden="false" customHeight="false" outlineLevel="0" collapsed="false">
      <c r="A124" s="3" t="s">
        <v>91</v>
      </c>
      <c r="B124" s="3" t="s">
        <v>92</v>
      </c>
      <c r="C124" s="3" t="s">
        <v>93</v>
      </c>
      <c r="D124" s="2" t="s">
        <v>20</v>
      </c>
      <c r="E124" s="2" t="s">
        <v>21</v>
      </c>
      <c r="F124" s="2" t="n">
        <v>44</v>
      </c>
      <c r="G124" s="2" t="s">
        <v>22</v>
      </c>
      <c r="H124" s="2" t="n">
        <v>0.2261</v>
      </c>
      <c r="I124" s="2" t="n">
        <v>0.374432782594032</v>
      </c>
      <c r="J124" s="2" t="n">
        <v>0.427143184626375</v>
      </c>
      <c r="K124" s="2" t="n">
        <f aca="false">J124-I124</f>
        <v>0.052710402032343</v>
      </c>
      <c r="L124" s="2" t="n">
        <v>0.684998594155911</v>
      </c>
      <c r="N124" s="2" t="n">
        <f aca="false">AVERAGE(K124:K129)</f>
        <v>0.076239567308538</v>
      </c>
      <c r="O124" s="5"/>
      <c r="P124" s="5"/>
      <c r="Q124" s="6"/>
    </row>
    <row r="125" customFormat="false" ht="15" hidden="false" customHeight="false" outlineLevel="0" collapsed="false">
      <c r="A125" s="3" t="s">
        <v>91</v>
      </c>
      <c r="B125" s="3" t="s">
        <v>92</v>
      </c>
      <c r="C125" s="3" t="s">
        <v>93</v>
      </c>
      <c r="D125" s="2" t="s">
        <v>20</v>
      </c>
      <c r="E125" s="2" t="s">
        <v>21</v>
      </c>
      <c r="F125" s="2" t="n">
        <v>44</v>
      </c>
      <c r="G125" s="2" t="s">
        <v>23</v>
      </c>
      <c r="H125" s="2" t="n">
        <v>0.2078</v>
      </c>
      <c r="I125" s="2" t="n">
        <v>0.344204361507038</v>
      </c>
      <c r="J125" s="2" t="n">
        <v>0.393588058061921</v>
      </c>
      <c r="K125" s="2" t="n">
        <f aca="false">J125-I125</f>
        <v>0.049383696554883</v>
      </c>
      <c r="L125" s="2" t="n">
        <v>0.684998594155911</v>
      </c>
      <c r="N125" s="2"/>
      <c r="O125" s="5"/>
      <c r="P125" s="5"/>
      <c r="Q125" s="6"/>
    </row>
    <row r="126" customFormat="false" ht="15" hidden="false" customHeight="false" outlineLevel="0" collapsed="false">
      <c r="A126" s="3" t="s">
        <v>91</v>
      </c>
      <c r="B126" s="3" t="s">
        <v>92</v>
      </c>
      <c r="C126" s="3" t="s">
        <v>93</v>
      </c>
      <c r="D126" s="2" t="s">
        <v>20</v>
      </c>
      <c r="E126" s="2" t="s">
        <v>21</v>
      </c>
      <c r="F126" s="2" t="n">
        <v>44</v>
      </c>
      <c r="G126" s="2" t="s">
        <v>31</v>
      </c>
      <c r="H126" s="2" t="n">
        <v>0.1566</v>
      </c>
      <c r="I126" s="2" t="n">
        <v>0.259372661816163</v>
      </c>
      <c r="J126" s="2" t="n">
        <v>0.346790027472287</v>
      </c>
      <c r="K126" s="2" t="n">
        <f aca="false">J126-I126</f>
        <v>0.087417365656124</v>
      </c>
      <c r="L126" s="2" t="n">
        <v>0.684998594155911</v>
      </c>
      <c r="N126" s="2"/>
      <c r="O126" s="5"/>
      <c r="P126" s="5"/>
      <c r="Q126" s="6"/>
    </row>
    <row r="127" customFormat="false" ht="15" hidden="false" customHeight="false" outlineLevel="0" collapsed="false">
      <c r="A127" s="3" t="s">
        <v>91</v>
      </c>
      <c r="B127" s="3" t="s">
        <v>92</v>
      </c>
      <c r="C127" s="3" t="s">
        <v>93</v>
      </c>
      <c r="D127" s="2" t="s">
        <v>20</v>
      </c>
      <c r="E127" s="2" t="s">
        <v>21</v>
      </c>
      <c r="F127" s="2" t="n">
        <v>44</v>
      </c>
      <c r="G127" s="2" t="s">
        <v>26</v>
      </c>
      <c r="H127" s="2" t="n">
        <v>0.1553</v>
      </c>
      <c r="I127" s="2" t="n">
        <v>0.257159257931643</v>
      </c>
      <c r="J127" s="2" t="n">
        <v>0.32133750660127</v>
      </c>
      <c r="K127" s="2" t="n">
        <f aca="false">J127-I127</f>
        <v>0.064178248669627</v>
      </c>
      <c r="L127" s="2" t="n">
        <v>0.684998594155911</v>
      </c>
      <c r="N127" s="2"/>
      <c r="O127" s="5"/>
      <c r="P127" s="5"/>
      <c r="Q127" s="6"/>
    </row>
    <row r="128" customFormat="false" ht="15" hidden="false" customHeight="false" outlineLevel="0" collapsed="false">
      <c r="A128" s="3" t="s">
        <v>91</v>
      </c>
      <c r="B128" s="3" t="s">
        <v>92</v>
      </c>
      <c r="C128" s="3" t="s">
        <v>93</v>
      </c>
      <c r="D128" s="2" t="s">
        <v>20</v>
      </c>
      <c r="E128" s="2" t="s">
        <v>21</v>
      </c>
      <c r="F128" s="2" t="n">
        <v>44</v>
      </c>
      <c r="G128" s="2" t="s">
        <v>24</v>
      </c>
      <c r="H128" s="2" t="n">
        <v>0.1542</v>
      </c>
      <c r="I128" s="2" t="n">
        <v>0.255281119697119</v>
      </c>
      <c r="J128" s="2" t="n">
        <v>0.345354864779273</v>
      </c>
      <c r="K128" s="2" t="n">
        <f aca="false">J128-I128</f>
        <v>0.090073745082154</v>
      </c>
      <c r="L128" s="2" t="n">
        <v>0.684998594155911</v>
      </c>
      <c r="N128" s="2"/>
      <c r="O128" s="5"/>
      <c r="P128" s="5"/>
      <c r="Q128" s="6"/>
    </row>
    <row r="129" customFormat="false" ht="15" hidden="false" customHeight="false" outlineLevel="0" collapsed="false">
      <c r="A129" s="3" t="s">
        <v>91</v>
      </c>
      <c r="B129" s="3" t="s">
        <v>92</v>
      </c>
      <c r="C129" s="3" t="s">
        <v>93</v>
      </c>
      <c r="D129" s="2" t="s">
        <v>20</v>
      </c>
      <c r="E129" s="2" t="s">
        <v>21</v>
      </c>
      <c r="F129" s="2" t="n">
        <v>44</v>
      </c>
      <c r="G129" s="2" t="s">
        <v>27</v>
      </c>
      <c r="H129" s="2" t="n">
        <v>0.1</v>
      </c>
      <c r="I129" s="2" t="n">
        <v>0.165628319163593</v>
      </c>
      <c r="J129" s="2" t="n">
        <v>0.27930226501969</v>
      </c>
      <c r="K129" s="2" t="n">
        <f aca="false">J129-I129</f>
        <v>0.113673945856097</v>
      </c>
      <c r="L129" s="2" t="n">
        <v>0.684998594155911</v>
      </c>
      <c r="N129" s="2"/>
      <c r="O129" s="5"/>
      <c r="P129" s="5"/>
      <c r="Q129" s="6"/>
    </row>
    <row r="130" customFormat="false" ht="15" hidden="false" customHeight="false" outlineLevel="0" collapsed="false">
      <c r="A130" s="3" t="s">
        <v>94</v>
      </c>
      <c r="B130" s="3" t="s">
        <v>95</v>
      </c>
      <c r="C130" s="3" t="s">
        <v>96</v>
      </c>
      <c r="D130" s="2" t="s">
        <v>20</v>
      </c>
      <c r="E130" s="2" t="s">
        <v>21</v>
      </c>
      <c r="F130" s="2" t="n">
        <v>46</v>
      </c>
      <c r="G130" s="2" t="s">
        <v>22</v>
      </c>
      <c r="H130" s="2" t="n">
        <v>0.2137</v>
      </c>
      <c r="I130" s="2" t="n">
        <v>0.392535765362882</v>
      </c>
      <c r="J130" s="2" t="n">
        <v>0.343761763299269</v>
      </c>
      <c r="K130" s="2" t="n">
        <f aca="false">J130-I130</f>
        <v>-0.048774002063613</v>
      </c>
      <c r="L130" s="2" t="n">
        <v>0.69681187759039</v>
      </c>
      <c r="N130" s="2" t="n">
        <f aca="false">AVERAGE(K130:K135)</f>
        <v>-0.0362696798929848</v>
      </c>
      <c r="O130" s="5"/>
      <c r="P130" s="5"/>
      <c r="Q130" s="6"/>
    </row>
    <row r="131" customFormat="false" ht="15" hidden="false" customHeight="false" outlineLevel="0" collapsed="false">
      <c r="A131" s="3" t="s">
        <v>94</v>
      </c>
      <c r="B131" s="3" t="s">
        <v>95</v>
      </c>
      <c r="C131" s="3" t="s">
        <v>96</v>
      </c>
      <c r="D131" s="2" t="s">
        <v>20</v>
      </c>
      <c r="E131" s="2" t="s">
        <v>21</v>
      </c>
      <c r="F131" s="2" t="n">
        <v>46</v>
      </c>
      <c r="G131" s="2" t="s">
        <v>23</v>
      </c>
      <c r="H131" s="2" t="n">
        <v>0.1923</v>
      </c>
      <c r="I131" s="2" t="n">
        <v>0.353211029915639</v>
      </c>
      <c r="J131" s="2" t="n">
        <v>0.314622132030988</v>
      </c>
      <c r="K131" s="2" t="n">
        <f aca="false">J131-I131</f>
        <v>-0.038588897884651</v>
      </c>
      <c r="L131" s="2" t="n">
        <v>0.69681187759039</v>
      </c>
      <c r="N131" s="2"/>
      <c r="O131" s="5"/>
      <c r="P131" s="5"/>
      <c r="Q131" s="6"/>
    </row>
    <row r="132" customFormat="false" ht="15" hidden="false" customHeight="false" outlineLevel="0" collapsed="false">
      <c r="A132" s="3" t="s">
        <v>94</v>
      </c>
      <c r="B132" s="3" t="s">
        <v>95</v>
      </c>
      <c r="C132" s="3" t="s">
        <v>96</v>
      </c>
      <c r="D132" s="2" t="s">
        <v>20</v>
      </c>
      <c r="E132" s="2" t="s">
        <v>21</v>
      </c>
      <c r="F132" s="2" t="n">
        <v>46</v>
      </c>
      <c r="G132" s="2" t="s">
        <v>24</v>
      </c>
      <c r="H132" s="2" t="n">
        <v>0.1682</v>
      </c>
      <c r="I132" s="2" t="n">
        <v>0.309044047850312</v>
      </c>
      <c r="J132" s="2" t="n">
        <v>0.291806873235546</v>
      </c>
      <c r="K132" s="2" t="n">
        <f aca="false">J132-I132</f>
        <v>-0.017237174614766</v>
      </c>
      <c r="L132" s="2" t="n">
        <v>0.69681187759039</v>
      </c>
      <c r="N132" s="2"/>
      <c r="O132" s="5"/>
      <c r="P132" s="5"/>
      <c r="Q132" s="6"/>
    </row>
    <row r="133" customFormat="false" ht="15" hidden="false" customHeight="false" outlineLevel="0" collapsed="false">
      <c r="A133" s="3" t="s">
        <v>94</v>
      </c>
      <c r="B133" s="3" t="s">
        <v>95</v>
      </c>
      <c r="C133" s="3" t="s">
        <v>96</v>
      </c>
      <c r="D133" s="2" t="s">
        <v>20</v>
      </c>
      <c r="E133" s="2" t="s">
        <v>21</v>
      </c>
      <c r="F133" s="2" t="n">
        <v>46</v>
      </c>
      <c r="G133" s="2" t="s">
        <v>25</v>
      </c>
      <c r="H133" s="2" t="n">
        <v>0.1643</v>
      </c>
      <c r="I133" s="2" t="n">
        <v>0.301867631163643</v>
      </c>
      <c r="J133" s="2" t="n">
        <v>0.301986156377068</v>
      </c>
      <c r="K133" s="2" t="n">
        <f aca="false">J133-I133</f>
        <v>0.00011852521342498</v>
      </c>
      <c r="L133" s="2" t="n">
        <v>0.69681187759039</v>
      </c>
      <c r="N133" s="7"/>
      <c r="O133" s="5"/>
      <c r="P133" s="5"/>
      <c r="Q133" s="6"/>
    </row>
    <row r="134" customFormat="false" ht="15" hidden="false" customHeight="false" outlineLevel="0" collapsed="false">
      <c r="A134" s="3" t="s">
        <v>94</v>
      </c>
      <c r="B134" s="3" t="s">
        <v>95</v>
      </c>
      <c r="C134" s="3" t="s">
        <v>96</v>
      </c>
      <c r="D134" s="2" t="s">
        <v>20</v>
      </c>
      <c r="E134" s="2" t="s">
        <v>21</v>
      </c>
      <c r="F134" s="2" t="n">
        <v>46</v>
      </c>
      <c r="G134" s="2" t="s">
        <v>97</v>
      </c>
      <c r="H134" s="2" t="n">
        <v>0.1616</v>
      </c>
      <c r="I134" s="2" t="n">
        <v>0.29681252474044</v>
      </c>
      <c r="J134" s="2" t="n">
        <v>0.249470632941031</v>
      </c>
      <c r="K134" s="2" t="n">
        <f aca="false">J134-I134</f>
        <v>-0.047341891799409</v>
      </c>
      <c r="L134" s="2" t="n">
        <v>0.69681187759039</v>
      </c>
      <c r="N134" s="5"/>
      <c r="O134" s="5"/>
      <c r="P134" s="5"/>
      <c r="Q134" s="6"/>
    </row>
    <row r="135" customFormat="false" ht="15" hidden="false" customHeight="false" outlineLevel="0" collapsed="false">
      <c r="A135" s="3" t="s">
        <v>94</v>
      </c>
      <c r="B135" s="3" t="s">
        <v>95</v>
      </c>
      <c r="C135" s="3" t="s">
        <v>96</v>
      </c>
      <c r="D135" s="2" t="s">
        <v>20</v>
      </c>
      <c r="E135" s="2" t="s">
        <v>21</v>
      </c>
      <c r="F135" s="2" t="n">
        <v>46</v>
      </c>
      <c r="G135" s="2" t="s">
        <v>27</v>
      </c>
      <c r="H135" s="2" t="n">
        <v>0.1</v>
      </c>
      <c r="I135" s="2" t="n">
        <v>0.277779197391399</v>
      </c>
      <c r="J135" s="2" t="n">
        <v>0.211984559182504</v>
      </c>
      <c r="K135" s="2" t="n">
        <f aca="false">J135-I135</f>
        <v>-0.065794638208895</v>
      </c>
      <c r="L135" s="2" t="n">
        <v>0.69681187759039</v>
      </c>
      <c r="N135" s="5"/>
      <c r="O135" s="5"/>
      <c r="P135" s="5"/>
      <c r="Q135" s="6"/>
    </row>
    <row r="136" customFormat="false" ht="15" hidden="false" customHeight="false" outlineLevel="0" collapsed="false">
      <c r="A136" s="3" t="s">
        <v>98</v>
      </c>
      <c r="B136" s="3" t="s">
        <v>99</v>
      </c>
      <c r="C136" s="3" t="s">
        <v>100</v>
      </c>
      <c r="D136" s="2" t="s">
        <v>20</v>
      </c>
      <c r="E136" s="2" t="s">
        <v>21</v>
      </c>
      <c r="F136" s="2" t="n">
        <v>48</v>
      </c>
      <c r="G136" s="2" t="s">
        <v>22</v>
      </c>
      <c r="H136" s="2" t="n">
        <v>0.4543</v>
      </c>
      <c r="I136" s="2" t="n">
        <v>0.227848172417374</v>
      </c>
      <c r="J136" s="2" t="n">
        <v>0.348361731264173</v>
      </c>
      <c r="K136" s="2" t="n">
        <f aca="false">J136-I136</f>
        <v>0.120513558846799</v>
      </c>
      <c r="L136" s="2" t="n">
        <v>0.809836609324266</v>
      </c>
      <c r="N136" s="2" t="n">
        <f aca="false">AVERAGE(K136:K138)</f>
        <v>0.106881690875756</v>
      </c>
      <c r="O136" s="5"/>
      <c r="P136" s="5"/>
      <c r="Q136" s="6"/>
    </row>
    <row r="137" customFormat="false" ht="15" hidden="false" customHeight="false" outlineLevel="0" collapsed="false">
      <c r="A137" s="3" t="s">
        <v>98</v>
      </c>
      <c r="B137" s="3" t="s">
        <v>99</v>
      </c>
      <c r="C137" s="3" t="s">
        <v>100</v>
      </c>
      <c r="D137" s="2" t="s">
        <v>20</v>
      </c>
      <c r="E137" s="2" t="s">
        <v>21</v>
      </c>
      <c r="F137" s="2" t="n">
        <v>48</v>
      </c>
      <c r="G137" s="2" t="s">
        <v>23</v>
      </c>
      <c r="H137" s="2" t="n">
        <v>0.4457</v>
      </c>
      <c r="I137" s="2" t="n">
        <v>0.223534491213215</v>
      </c>
      <c r="J137" s="2" t="n">
        <v>0.314267012464322</v>
      </c>
      <c r="K137" s="2" t="n">
        <f aca="false">J137-I137</f>
        <v>0.090732521251107</v>
      </c>
      <c r="L137" s="2" t="n">
        <v>0.809836609324266</v>
      </c>
      <c r="N137" s="2"/>
      <c r="O137" s="5"/>
      <c r="P137" s="5"/>
      <c r="Q137" s="6"/>
    </row>
    <row r="138" customFormat="false" ht="15" hidden="false" customHeight="false" outlineLevel="0" collapsed="false">
      <c r="A138" s="3" t="s">
        <v>98</v>
      </c>
      <c r="B138" s="3" t="s">
        <v>99</v>
      </c>
      <c r="C138" s="3" t="s">
        <v>100</v>
      </c>
      <c r="D138" s="2" t="s">
        <v>20</v>
      </c>
      <c r="E138" s="2" t="s">
        <v>21</v>
      </c>
      <c r="F138" s="2" t="n">
        <v>48</v>
      </c>
      <c r="G138" s="2" t="s">
        <v>27</v>
      </c>
      <c r="H138" s="2" t="n">
        <v>0.1</v>
      </c>
      <c r="I138" s="2" t="n">
        <v>0.107646060242814</v>
      </c>
      <c r="J138" s="2" t="n">
        <v>0.217045052772176</v>
      </c>
      <c r="K138" s="2" t="n">
        <f aca="false">J138-I138</f>
        <v>0.109398992529362</v>
      </c>
      <c r="L138" s="2" t="n">
        <v>0.809836609324266</v>
      </c>
      <c r="N138" s="2"/>
      <c r="O138" s="5"/>
      <c r="P138" s="5"/>
      <c r="Q138" s="6"/>
    </row>
    <row r="139" customFormat="false" ht="15" hidden="false" customHeight="false" outlineLevel="0" collapsed="false">
      <c r="A139" s="3" t="s">
        <v>101</v>
      </c>
      <c r="B139" s="3" t="s">
        <v>102</v>
      </c>
      <c r="C139" s="3" t="s">
        <v>103</v>
      </c>
      <c r="D139" s="2" t="s">
        <v>20</v>
      </c>
      <c r="E139" s="2" t="s">
        <v>21</v>
      </c>
      <c r="F139" s="2" t="n">
        <v>50</v>
      </c>
      <c r="G139" s="2" t="s">
        <v>22</v>
      </c>
      <c r="H139" s="2" t="n">
        <v>0.2148</v>
      </c>
      <c r="I139" s="2" t="n">
        <v>0.282759440271041</v>
      </c>
      <c r="J139" s="2" t="n">
        <v>0.356642495052095</v>
      </c>
      <c r="K139" s="2" t="n">
        <f aca="false">J139-I139</f>
        <v>0.073883054781054</v>
      </c>
      <c r="L139" s="2" t="n">
        <v>0.715111970099327</v>
      </c>
      <c r="N139" s="2" t="n">
        <f aca="false">AVERAGE(K139:K144)</f>
        <v>0.0601206607898443</v>
      </c>
      <c r="O139" s="5"/>
      <c r="P139" s="5"/>
      <c r="Q139" s="6"/>
    </row>
    <row r="140" customFormat="false" ht="15" hidden="false" customHeight="false" outlineLevel="0" collapsed="false">
      <c r="A140" s="3" t="s">
        <v>101</v>
      </c>
      <c r="B140" s="3" t="s">
        <v>102</v>
      </c>
      <c r="C140" s="3" t="s">
        <v>103</v>
      </c>
      <c r="D140" s="2" t="s">
        <v>20</v>
      </c>
      <c r="E140" s="2" t="s">
        <v>21</v>
      </c>
      <c r="F140" s="2" t="n">
        <v>50</v>
      </c>
      <c r="G140" s="2" t="s">
        <v>23</v>
      </c>
      <c r="H140" s="2" t="n">
        <v>0.1991</v>
      </c>
      <c r="I140" s="2" t="n">
        <v>0.262133917027364</v>
      </c>
      <c r="J140" s="2" t="n">
        <v>0.308341388694781</v>
      </c>
      <c r="K140" s="2" t="n">
        <f aca="false">J140-I140</f>
        <v>0.046207471667417</v>
      </c>
      <c r="L140" s="2" t="n">
        <v>0.715111970099327</v>
      </c>
      <c r="N140" s="2"/>
      <c r="O140" s="5"/>
      <c r="P140" s="5"/>
      <c r="Q140" s="6"/>
    </row>
    <row r="141" customFormat="false" ht="15" hidden="false" customHeight="false" outlineLevel="0" collapsed="false">
      <c r="A141" s="3" t="s">
        <v>101</v>
      </c>
      <c r="B141" s="3" t="s">
        <v>102</v>
      </c>
      <c r="C141" s="3" t="s">
        <v>103</v>
      </c>
      <c r="D141" s="2" t="s">
        <v>20</v>
      </c>
      <c r="E141" s="2" t="s">
        <v>21</v>
      </c>
      <c r="F141" s="2" t="n">
        <v>50</v>
      </c>
      <c r="G141" s="2" t="s">
        <v>24</v>
      </c>
      <c r="H141" s="2" t="n">
        <v>0.1668</v>
      </c>
      <c r="I141" s="2" t="n">
        <v>0.219545137920129</v>
      </c>
      <c r="J141" s="2" t="n">
        <v>0.276765998071865</v>
      </c>
      <c r="K141" s="2" t="n">
        <f aca="false">J141-I141</f>
        <v>0.057220860151736</v>
      </c>
      <c r="L141" s="2" t="n">
        <v>0.715111970099327</v>
      </c>
      <c r="N141" s="7"/>
      <c r="O141" s="5"/>
      <c r="P141" s="5"/>
      <c r="Q141" s="6"/>
    </row>
    <row r="142" customFormat="false" ht="15" hidden="false" customHeight="false" outlineLevel="0" collapsed="false">
      <c r="A142" s="3" t="s">
        <v>101</v>
      </c>
      <c r="B142" s="3" t="s">
        <v>102</v>
      </c>
      <c r="C142" s="3" t="s">
        <v>103</v>
      </c>
      <c r="D142" s="2" t="s">
        <v>20</v>
      </c>
      <c r="E142" s="2" t="s">
        <v>21</v>
      </c>
      <c r="F142" s="2" t="n">
        <v>50</v>
      </c>
      <c r="G142" s="2" t="s">
        <v>26</v>
      </c>
      <c r="H142" s="2" t="n">
        <v>0.1613</v>
      </c>
      <c r="I142" s="2" t="n">
        <v>0.212307259275799</v>
      </c>
      <c r="J142" s="2" t="n">
        <v>0.244100313188196</v>
      </c>
      <c r="K142" s="2" t="n">
        <f aca="false">J142-I142</f>
        <v>0.031793053912397</v>
      </c>
      <c r="L142" s="2" t="n">
        <v>0.715111970099327</v>
      </c>
      <c r="N142" s="6"/>
      <c r="O142" s="5"/>
      <c r="P142" s="5"/>
      <c r="Q142" s="6"/>
    </row>
    <row r="143" customFormat="false" ht="15" hidden="false" customHeight="false" outlineLevel="0" collapsed="false">
      <c r="A143" s="3" t="s">
        <v>101</v>
      </c>
      <c r="B143" s="3" t="s">
        <v>102</v>
      </c>
      <c r="C143" s="3" t="s">
        <v>103</v>
      </c>
      <c r="D143" s="2" t="s">
        <v>20</v>
      </c>
      <c r="E143" s="2" t="s">
        <v>21</v>
      </c>
      <c r="F143" s="2" t="n">
        <v>50</v>
      </c>
      <c r="G143" s="2" t="s">
        <v>31</v>
      </c>
      <c r="H143" s="2" t="n">
        <v>0.1581</v>
      </c>
      <c r="I143" s="2" t="n">
        <v>0.208103862087462</v>
      </c>
      <c r="J143" s="2" t="n">
        <v>0.282798449892975</v>
      </c>
      <c r="K143" s="2" t="n">
        <f aca="false">J143-I143</f>
        <v>0.074694587805513</v>
      </c>
      <c r="L143" s="2" t="n">
        <v>0.715111970099327</v>
      </c>
      <c r="N143" s="6"/>
      <c r="O143" s="5"/>
      <c r="P143" s="5"/>
      <c r="Q143" s="6"/>
    </row>
    <row r="144" customFormat="false" ht="15" hidden="false" customHeight="false" outlineLevel="0" collapsed="false">
      <c r="A144" s="3" t="s">
        <v>101</v>
      </c>
      <c r="B144" s="3" t="s">
        <v>102</v>
      </c>
      <c r="C144" s="3" t="s">
        <v>103</v>
      </c>
      <c r="D144" s="2" t="s">
        <v>20</v>
      </c>
      <c r="E144" s="2" t="s">
        <v>21</v>
      </c>
      <c r="F144" s="2" t="n">
        <v>50</v>
      </c>
      <c r="G144" s="2" t="s">
        <v>27</v>
      </c>
      <c r="H144" s="2" t="n">
        <v>0.1</v>
      </c>
      <c r="I144" s="2" t="n">
        <v>0.147085616008921</v>
      </c>
      <c r="J144" s="2" t="n">
        <v>0.22401055242987</v>
      </c>
      <c r="K144" s="2" t="n">
        <f aca="false">J144-I144</f>
        <v>0.076924936420949</v>
      </c>
      <c r="L144" s="2" t="n">
        <v>0.715111970099327</v>
      </c>
      <c r="N144" s="6"/>
      <c r="O144" s="5"/>
      <c r="P144" s="5"/>
      <c r="Q144" s="6"/>
    </row>
    <row r="145" customFormat="false" ht="15" hidden="false" customHeight="false" outlineLevel="0" collapsed="false">
      <c r="A145" s="3"/>
      <c r="B145" s="3"/>
      <c r="C145" s="3"/>
      <c r="D145" s="2"/>
      <c r="E145" s="2"/>
      <c r="F145" s="2"/>
      <c r="N145" s="6"/>
      <c r="O145" s="5"/>
      <c r="P145" s="5"/>
      <c r="Q145" s="6"/>
    </row>
    <row r="146" customFormat="false" ht="15" hidden="false" customHeight="false" outlineLevel="0" collapsed="false">
      <c r="A146" s="3"/>
      <c r="B146" s="3"/>
      <c r="C146" s="3"/>
      <c r="D146" s="2"/>
      <c r="E146" s="2"/>
      <c r="F146" s="2"/>
      <c r="N146" s="6"/>
      <c r="O146" s="5"/>
      <c r="P146" s="5"/>
      <c r="Q146" s="6"/>
    </row>
    <row r="147" customFormat="false" ht="15" hidden="false" customHeight="false" outlineLevel="0" collapsed="false">
      <c r="A147" s="3"/>
      <c r="B147" s="3"/>
      <c r="C147" s="3"/>
      <c r="D147" s="2"/>
      <c r="E147" s="2"/>
      <c r="F147" s="2"/>
      <c r="N147" s="6"/>
      <c r="O147" s="5"/>
      <c r="P147" s="5"/>
      <c r="Q147" s="6"/>
    </row>
    <row r="148" customFormat="false" ht="15" hidden="false" customHeight="false" outlineLevel="0" collapsed="false">
      <c r="A148" s="3"/>
      <c r="B148" s="3"/>
      <c r="C148" s="3"/>
      <c r="D148" s="2"/>
      <c r="E148" s="2"/>
      <c r="F148" s="2"/>
      <c r="N148" s="4"/>
      <c r="O148" s="4"/>
      <c r="P148" s="4"/>
      <c r="Q148" s="4"/>
    </row>
    <row r="149" customFormat="false" ht="15" hidden="false" customHeight="false" outlineLevel="0" collapsed="false">
      <c r="A149" s="3"/>
      <c r="B149" s="3"/>
      <c r="C149" s="3"/>
      <c r="D149" s="2"/>
      <c r="E149" s="2"/>
      <c r="F1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4" activeCellId="1" sqref="F10:G10 B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6" width="20.4"/>
  </cols>
  <sheetData>
    <row r="1" customFormat="false" ht="12.8" hidden="false" customHeight="false" outlineLevel="0" collapsed="false">
      <c r="A1" s="3" t="s">
        <v>104</v>
      </c>
      <c r="B1" s="3"/>
    </row>
    <row r="2" customFormat="false" ht="12.8" hidden="false" customHeight="false" outlineLevel="0" collapsed="false">
      <c r="A2" s="3"/>
      <c r="B2" s="3"/>
    </row>
    <row r="3" customFormat="false" ht="12.8" hidden="false" customHeight="false" outlineLevel="0" collapsed="false">
      <c r="A3" s="3" t="s">
        <v>105</v>
      </c>
      <c r="B3" s="3" t="n">
        <f aca="false">A10</f>
        <v>142</v>
      </c>
    </row>
    <row r="4" customFormat="false" ht="12.8" hidden="false" customHeight="false" outlineLevel="0" collapsed="false">
      <c r="A4" s="3" t="s">
        <v>106</v>
      </c>
      <c r="B4" s="3" t="n">
        <f aca="false">B10*SQRT((B3-2)/(1-B10^2))</f>
        <v>1.05338307203072</v>
      </c>
    </row>
    <row r="5" customFormat="false" ht="12.8" hidden="false" customHeight="false" outlineLevel="0" collapsed="false">
      <c r="A5" s="3" t="s">
        <v>107</v>
      </c>
      <c r="B5" s="3" t="n">
        <f aca="false">_xlfn.T.DIST.2T(ABS(B4),B3-2)</f>
        <v>0.293980095547209</v>
      </c>
    </row>
    <row r="9" customFormat="false" ht="19.4" hidden="false" customHeight="false" outlineLevel="0" collapsed="false">
      <c r="A9" s="4" t="s">
        <v>14</v>
      </c>
      <c r="B9" s="4" t="s">
        <v>15</v>
      </c>
    </row>
    <row r="10" customFormat="false" ht="12.8" hidden="false" customHeight="false" outlineLevel="0" collapsed="false">
      <c r="A10" s="6" t="n">
        <v>142</v>
      </c>
      <c r="B10" s="6" t="n">
        <v>0.0886763951697985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H3" activeCellId="1" sqref="F10:G10 H3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6" width="19.55"/>
    <col collapsed="false" customWidth="true" hidden="false" outlineLevel="0" max="3" min="3" style="6" width="23.16"/>
    <col collapsed="false" customWidth="true" hidden="false" outlineLevel="0" max="8" min="8" style="6" width="19.32"/>
    <col collapsed="false" customWidth="true" hidden="false" outlineLevel="0" max="10" min="10" style="6" width="18.24"/>
    <col collapsed="false" customWidth="true" hidden="false" outlineLevel="0" max="11" min="11" style="6" width="19.32"/>
  </cols>
  <sheetData>
    <row r="1" customFormat="false" ht="12.8" hidden="false" customHeight="false" outlineLevel="0" collapsed="false">
      <c r="B1" s="4" t="s">
        <v>11</v>
      </c>
      <c r="C1" s="4" t="s">
        <v>12</v>
      </c>
      <c r="D1" s="2"/>
      <c r="E1" s="2"/>
      <c r="F1" s="2"/>
      <c r="G1" s="2"/>
      <c r="H1" s="2" t="s">
        <v>108</v>
      </c>
      <c r="I1" s="2" t="s">
        <v>14</v>
      </c>
      <c r="J1" s="2" t="s">
        <v>109</v>
      </c>
      <c r="K1" s="2" t="s">
        <v>16</v>
      </c>
    </row>
    <row r="2" customFormat="false" ht="12.8" hidden="false" customHeight="false" outlineLevel="0" collapsed="false">
      <c r="A2" s="2" t="s">
        <v>110</v>
      </c>
    </row>
    <row r="3" customFormat="false" ht="12.8" hidden="false" customHeight="false" outlineLevel="0" collapsed="false">
      <c r="A3" s="6" t="n">
        <v>1</v>
      </c>
      <c r="B3" s="2" t="n">
        <v>0.842837131615738</v>
      </c>
      <c r="C3" s="2" t="n">
        <v>0.0744731963053217</v>
      </c>
      <c r="H3" s="2" t="n">
        <f aca="false">CORREL(B3:B27,C3:C27)</f>
        <v>0.159216157413326</v>
      </c>
      <c r="I3" s="2" t="n">
        <f aca="false">COUNT(C3:C27)</f>
        <v>25</v>
      </c>
      <c r="J3" s="2" t="n">
        <f aca="false">H3*SQRT((I3-2)/(1-H3^2))</f>
        <v>0.77344006418506</v>
      </c>
      <c r="K3" s="2" t="n">
        <f aca="false">_xlfn.T.DIST.2T(ABS(J3),I3-2)</f>
        <v>0.447138984070973</v>
      </c>
    </row>
    <row r="4" customFormat="false" ht="12.8" hidden="false" customHeight="false" outlineLevel="0" collapsed="false">
      <c r="A4" s="6" t="n">
        <v>2</v>
      </c>
      <c r="B4" s="2" t="n">
        <v>0.75574434703051</v>
      </c>
      <c r="C4" s="2" t="n">
        <v>0.0684659369448775</v>
      </c>
    </row>
    <row r="5" customFormat="false" ht="12.8" hidden="false" customHeight="false" outlineLevel="0" collapsed="false">
      <c r="A5" s="6" t="n">
        <v>3</v>
      </c>
      <c r="B5" s="2" t="n">
        <v>0.75246138552499</v>
      </c>
      <c r="C5" s="2" t="n">
        <v>0.0595489650755445</v>
      </c>
    </row>
    <row r="6" customFormat="false" ht="12.8" hidden="false" customHeight="false" outlineLevel="0" collapsed="false">
      <c r="A6" s="6" t="n">
        <v>4</v>
      </c>
      <c r="B6" s="2" t="n">
        <v>0.755239937675953</v>
      </c>
      <c r="C6" s="2" t="n">
        <v>0.0615013223907123</v>
      </c>
    </row>
    <row r="7" customFormat="false" ht="12.8" hidden="false" customHeight="false" outlineLevel="0" collapsed="false">
      <c r="A7" s="6" t="n">
        <v>5</v>
      </c>
      <c r="B7" s="2" t="n">
        <v>0.68196906691827</v>
      </c>
      <c r="C7" s="2" t="n">
        <v>0.0445945082536915</v>
      </c>
    </row>
    <row r="8" customFormat="false" ht="12.8" hidden="false" customHeight="false" outlineLevel="0" collapsed="false">
      <c r="A8" s="6" t="n">
        <v>6</v>
      </c>
      <c r="B8" s="2" t="n">
        <v>0.805094582904182</v>
      </c>
      <c r="C8" s="2" t="n">
        <v>0.0695086871786393</v>
      </c>
    </row>
    <row r="9" customFormat="false" ht="12.8" hidden="false" customHeight="false" outlineLevel="0" collapsed="false">
      <c r="A9" s="6" t="n">
        <v>7</v>
      </c>
      <c r="B9" s="2" t="n">
        <v>0.731449097356676</v>
      </c>
      <c r="C9" s="2" t="n">
        <v>0.114192399991019</v>
      </c>
    </row>
    <row r="10" customFormat="false" ht="12.8" hidden="false" customHeight="false" outlineLevel="0" collapsed="false">
      <c r="A10" s="6" t="n">
        <v>8</v>
      </c>
      <c r="B10" s="2" t="n">
        <v>0.798699397007465</v>
      </c>
      <c r="C10" s="2" t="n">
        <v>0.100783995984822</v>
      </c>
    </row>
    <row r="11" customFormat="false" ht="12.8" hidden="false" customHeight="false" outlineLevel="0" collapsed="false">
      <c r="A11" s="6" t="n">
        <v>9</v>
      </c>
      <c r="B11" s="2" t="n">
        <v>0.751181065835833</v>
      </c>
      <c r="C11" s="2" t="n">
        <v>0.0530617922713375</v>
      </c>
    </row>
    <row r="12" customFormat="false" ht="12.8" hidden="false" customHeight="false" outlineLevel="0" collapsed="false">
      <c r="A12" s="6" t="n">
        <v>10</v>
      </c>
      <c r="B12" s="2" t="n">
        <v>0.780317010541866</v>
      </c>
      <c r="C12" s="2" t="n">
        <v>0.0702259476888905</v>
      </c>
    </row>
    <row r="13" customFormat="false" ht="12.8" hidden="false" customHeight="false" outlineLevel="0" collapsed="false">
      <c r="A13" s="6" t="n">
        <v>11</v>
      </c>
      <c r="B13" s="2" t="n">
        <v>0.788964918757002</v>
      </c>
      <c r="C13" s="2" t="n">
        <v>0.069101535676453</v>
      </c>
    </row>
    <row r="14" customFormat="false" ht="12.8" hidden="false" customHeight="false" outlineLevel="0" collapsed="false">
      <c r="A14" s="6" t="n">
        <v>12</v>
      </c>
      <c r="B14" s="2" t="n">
        <v>0.744429655439828</v>
      </c>
      <c r="C14" s="2" t="n">
        <v>0.112097440964618</v>
      </c>
    </row>
    <row r="15" customFormat="false" ht="12.8" hidden="false" customHeight="false" outlineLevel="0" collapsed="false">
      <c r="A15" s="6" t="n">
        <v>13</v>
      </c>
      <c r="B15" s="2" t="n">
        <v>0.764347939487069</v>
      </c>
      <c r="C15" s="2" t="n">
        <v>0.131579018419902</v>
      </c>
    </row>
    <row r="16" customFormat="false" ht="12.8" hidden="false" customHeight="false" outlineLevel="0" collapsed="false">
      <c r="A16" s="6" t="n">
        <v>14</v>
      </c>
      <c r="B16" s="2" t="n">
        <v>0.716647920997565</v>
      </c>
      <c r="C16" s="2" t="n">
        <v>0.0966625654735413</v>
      </c>
    </row>
    <row r="17" customFormat="false" ht="12.8" hidden="false" customHeight="false" outlineLevel="0" collapsed="false">
      <c r="A17" s="6" t="n">
        <v>15</v>
      </c>
      <c r="B17" s="2" t="n">
        <v>0.761929247616581</v>
      </c>
      <c r="C17" s="2" t="n">
        <v>0.0372773888863182</v>
      </c>
    </row>
    <row r="18" customFormat="false" ht="12.8" hidden="false" customHeight="false" outlineLevel="0" collapsed="false">
      <c r="A18" s="6" t="n">
        <v>16</v>
      </c>
      <c r="B18" s="2" t="n">
        <v>0.742748731630287</v>
      </c>
      <c r="C18" s="2" t="n">
        <v>0.0858391008097288</v>
      </c>
    </row>
    <row r="19" customFormat="false" ht="12.8" hidden="false" customHeight="false" outlineLevel="0" collapsed="false">
      <c r="A19" s="6" t="n">
        <v>17</v>
      </c>
      <c r="B19" s="2" t="n">
        <v>0.764209873398772</v>
      </c>
      <c r="C19" s="2" t="n">
        <v>0.0836966106331657</v>
      </c>
    </row>
    <row r="20" customFormat="false" ht="12.8" hidden="false" customHeight="false" outlineLevel="0" collapsed="false">
      <c r="A20" s="6" t="n">
        <v>18</v>
      </c>
      <c r="B20" s="2" t="n">
        <v>0.700796274261234</v>
      </c>
      <c r="C20" s="2" t="n">
        <v>0.10848379527715</v>
      </c>
    </row>
    <row r="21" customFormat="false" ht="12.8" hidden="false" customHeight="false" outlineLevel="0" collapsed="false">
      <c r="A21" s="6" t="n">
        <v>19</v>
      </c>
      <c r="B21" s="2" t="n">
        <v>0.716284059047156</v>
      </c>
      <c r="C21" s="2" t="n">
        <v>-0.0196140762725247</v>
      </c>
    </row>
    <row r="22" customFormat="false" ht="12.8" hidden="false" customHeight="false" outlineLevel="0" collapsed="false">
      <c r="A22" s="6" t="n">
        <v>20</v>
      </c>
      <c r="B22" s="2" t="n">
        <v>0.839023541568098</v>
      </c>
      <c r="C22" s="2" t="n">
        <v>0.0531657811114937</v>
      </c>
    </row>
    <row r="23" customFormat="false" ht="12.8" hidden="false" customHeight="false" outlineLevel="0" collapsed="false">
      <c r="A23" s="6" t="n">
        <v>21</v>
      </c>
      <c r="B23" s="2" t="n">
        <v>0.704024831920364</v>
      </c>
      <c r="C23" s="2" t="n">
        <v>0.126971708402813</v>
      </c>
    </row>
    <row r="24" customFormat="false" ht="12.8" hidden="false" customHeight="false" outlineLevel="0" collapsed="false">
      <c r="A24" s="6" t="n">
        <v>22</v>
      </c>
      <c r="B24" s="2" t="n">
        <v>0.684998594155911</v>
      </c>
      <c r="C24" s="2" t="n">
        <v>0.076239567308538</v>
      </c>
    </row>
    <row r="25" customFormat="false" ht="12.8" hidden="false" customHeight="false" outlineLevel="0" collapsed="false">
      <c r="A25" s="6" t="n">
        <v>23</v>
      </c>
      <c r="B25" s="2" t="n">
        <v>0.69681187759039</v>
      </c>
      <c r="C25" s="2" t="n">
        <v>-0.0362696798929848</v>
      </c>
    </row>
    <row r="26" customFormat="false" ht="12.8" hidden="false" customHeight="false" outlineLevel="0" collapsed="false">
      <c r="A26" s="6" t="n">
        <v>24</v>
      </c>
      <c r="B26" s="2" t="n">
        <v>0.809836609324266</v>
      </c>
      <c r="C26" s="2" t="n">
        <v>0.106881690875756</v>
      </c>
    </row>
    <row r="27" customFormat="false" ht="12.8" hidden="false" customHeight="false" outlineLevel="0" collapsed="false">
      <c r="A27" s="6" t="n">
        <v>25</v>
      </c>
      <c r="B27" s="2" t="n">
        <v>0.715111970099327</v>
      </c>
      <c r="C27" s="2" t="n">
        <v>0.0601206607898443</v>
      </c>
    </row>
    <row r="30" customFormat="false" ht="12.8" hidden="false" customHeight="false" outlineLevel="0" collapsed="false">
      <c r="B30" s="2"/>
    </row>
    <row r="31" customFormat="false" ht="12.8" hidden="false" customHeight="false" outlineLevel="0" collapsed="false">
      <c r="B31" s="2"/>
    </row>
    <row r="57" customFormat="false" ht="12.8" hidden="false" customHeight="false" outlineLevel="0" collapsed="false">
      <c r="B57" s="2"/>
    </row>
    <row r="58" customFormat="false" ht="12.8" hidden="false" customHeight="false" outlineLevel="0" collapsed="false">
      <c r="B58" s="2"/>
    </row>
    <row r="59" customFormat="false" ht="12.8" hidden="false" customHeight="false" outlineLevel="0" collapsed="false">
      <c r="B59" s="2"/>
    </row>
    <row r="60" customFormat="false" ht="12.8" hidden="false" customHeight="false" outlineLevel="0" collapsed="false">
      <c r="B60" s="2"/>
    </row>
    <row r="61" customFormat="false" ht="12.8" hidden="false" customHeight="false" outlineLevel="0" collapsed="false">
      <c r="B61" s="2"/>
    </row>
  </sheetData>
  <autoFilter ref="C3:C27"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F10" activeCellId="0" sqref="F10:G10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3" min="2" style="6" width="19.32"/>
    <col collapsed="false" customWidth="true" hidden="false" outlineLevel="0" max="6" min="5" style="6" width="23.74"/>
    <col collapsed="false" customWidth="true" hidden="false" outlineLevel="0" max="7" min="7" style="6" width="25.06"/>
    <col collapsed="false" customWidth="true" hidden="false" outlineLevel="0" max="8" min="8" style="6" width="24.34"/>
    <col collapsed="false" customWidth="true" hidden="false" outlineLevel="0" max="9" min="9" style="6" width="20.88"/>
    <col collapsed="false" customWidth="true" hidden="false" outlineLevel="0" max="10" min="10" style="6" width="18.35"/>
  </cols>
  <sheetData>
    <row r="2" customFormat="false" ht="26.85" hidden="false" customHeight="true" outlineLevel="0" collapsed="false">
      <c r="B2" s="8" t="s">
        <v>111</v>
      </c>
      <c r="C2" s="8"/>
    </row>
    <row r="3" customFormat="false" ht="12.8" hidden="false" customHeight="false" outlineLevel="0" collapsed="false">
      <c r="A3" s="2"/>
      <c r="B3" s="2" t="s">
        <v>112</v>
      </c>
      <c r="C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</row>
    <row r="4" customFormat="false" ht="12.8" hidden="false" customHeight="false" outlineLevel="0" collapsed="false">
      <c r="A4" s="2" t="n">
        <v>1</v>
      </c>
      <c r="B4" s="2" t="n">
        <v>0.842837131615738</v>
      </c>
      <c r="C4" s="6" t="n">
        <v>0.814239110206597</v>
      </c>
      <c r="E4" s="2" t="n">
        <f aca="false">_xlfn.STDEV.S(B4:B28)</f>
        <v>0.0449889836669305</v>
      </c>
      <c r="F4" s="2" t="n">
        <f aca="false">_xlfn.STDEV.S(C4:C28)</f>
        <v>0.115777622594574</v>
      </c>
      <c r="G4" s="2" t="n">
        <f aca="false">_xlfn.F.TEST(B4:B28,C4:C28)</f>
        <v>1.70963854549749E-005</v>
      </c>
      <c r="H4" s="2" t="n">
        <f aca="false">_xlfn.T.TEST(B4:B28, C4:C28, 2,2)</f>
        <v>2.23895049171478E-011</v>
      </c>
      <c r="I4" s="2" t="n">
        <f aca="false">_xlfn.T.TEST(B4:B28,C4:C28, 2,3)</f>
        <v>8.5891804842795E-010</v>
      </c>
      <c r="J4" s="2" t="n">
        <f aca="false">AVERAGE(B4:B28)-AVERAGE(C4:C28)</f>
        <v>0.21519230264063</v>
      </c>
    </row>
    <row r="5" customFormat="false" ht="12.8" hidden="false" customHeight="false" outlineLevel="0" collapsed="false">
      <c r="A5" s="2" t="n">
        <v>2</v>
      </c>
      <c r="B5" s="2" t="n">
        <v>0.75574434703051</v>
      </c>
      <c r="C5" s="6" t="n">
        <v>0.490374312148473</v>
      </c>
    </row>
    <row r="6" customFormat="false" ht="12.8" hidden="false" customHeight="false" outlineLevel="0" collapsed="false">
      <c r="A6" s="2" t="n">
        <v>3</v>
      </c>
      <c r="B6" s="2" t="n">
        <v>0.75246138552499</v>
      </c>
      <c r="C6" s="6" t="n">
        <v>0.511020333673144</v>
      </c>
      <c r="E6" s="9" t="s">
        <v>120</v>
      </c>
    </row>
    <row r="7" customFormat="false" ht="12.8" hidden="false" customHeight="false" outlineLevel="0" collapsed="false">
      <c r="A7" s="2" t="n">
        <v>4</v>
      </c>
      <c r="B7" s="2" t="n">
        <v>0.755239937675953</v>
      </c>
      <c r="C7" s="6" t="n">
        <v>0.732127465170909</v>
      </c>
      <c r="E7" s="6" t="s">
        <v>121</v>
      </c>
      <c r="F7" s="6" t="n">
        <v>0.05</v>
      </c>
    </row>
    <row r="8" customFormat="false" ht="19.4" hidden="false" customHeight="false" outlineLevel="0" collapsed="false">
      <c r="A8" s="2" t="n">
        <v>5</v>
      </c>
      <c r="B8" s="2" t="n">
        <v>0.68196906691827</v>
      </c>
      <c r="C8" s="6" t="n">
        <v>0.504587895177563</v>
      </c>
      <c r="E8" s="6" t="s">
        <v>122</v>
      </c>
      <c r="F8" s="6" t="n">
        <v>0</v>
      </c>
    </row>
    <row r="9" customFormat="false" ht="12.8" hidden="false" customHeight="false" outlineLevel="0" collapsed="false">
      <c r="A9" s="2" t="n">
        <v>6</v>
      </c>
      <c r="B9" s="2" t="n">
        <v>0.805094582904182</v>
      </c>
      <c r="C9" s="6" t="n">
        <v>0.622216951394874</v>
      </c>
      <c r="F9" s="9" t="s">
        <v>123</v>
      </c>
      <c r="G9" s="9" t="s">
        <v>124</v>
      </c>
    </row>
    <row r="10" customFormat="false" ht="12.8" hidden="false" customHeight="false" outlineLevel="0" collapsed="false">
      <c r="A10" s="2" t="n">
        <v>7</v>
      </c>
      <c r="B10" s="2" t="n">
        <v>0.731449097356676</v>
      </c>
      <c r="C10" s="6" t="n">
        <v>0.568213401724064</v>
      </c>
      <c r="E10" s="6" t="s">
        <v>125</v>
      </c>
      <c r="F10" s="6" t="n">
        <f aca="false">AVERAGE(inter_system_stats!$B$3:$B$28)</f>
        <v>0.752206362708213</v>
      </c>
      <c r="G10" s="6" t="n">
        <f aca="false">AVERAGE(inter_system_stats!$C$3:$C$28)</f>
        <v>0.537014060067584</v>
      </c>
    </row>
    <row r="11" customFormat="false" ht="12.8" hidden="false" customHeight="false" outlineLevel="0" collapsed="false">
      <c r="A11" s="2" t="n">
        <v>8</v>
      </c>
      <c r="B11" s="2" t="n">
        <v>0.798699397007465</v>
      </c>
      <c r="C11" s="6" t="n">
        <v>0.41336820596451</v>
      </c>
      <c r="E11" s="6" t="s">
        <v>126</v>
      </c>
      <c r="F11" s="6" t="n">
        <f aca="false">VAR(inter_system_stats!$B$3:$B$28)</f>
        <v>0.00202400865138334</v>
      </c>
      <c r="G11" s="6" t="n">
        <f aca="false">VAR(inter_system_stats!$C$3:$C$28)</f>
        <v>0.0134044578936517</v>
      </c>
    </row>
    <row r="12" customFormat="false" ht="12.8" hidden="false" customHeight="false" outlineLevel="0" collapsed="false">
      <c r="A12" s="2" t="n">
        <v>9</v>
      </c>
      <c r="B12" s="2" t="n">
        <v>0.751181065835833</v>
      </c>
      <c r="C12" s="6" t="n">
        <v>0.469619098748715</v>
      </c>
      <c r="E12" s="6" t="s">
        <v>127</v>
      </c>
      <c r="F12" s="6" t="n">
        <f aca="false">COUNT(inter_system_stats!$B$3:$B$28)</f>
        <v>25</v>
      </c>
      <c r="G12" s="6" t="n">
        <f aca="false">COUNT(inter_system_stats!$C$3:$C$28)</f>
        <v>25</v>
      </c>
    </row>
    <row r="13" customFormat="false" ht="12.8" hidden="false" customHeight="false" outlineLevel="0" collapsed="false">
      <c r="A13" s="2" t="n">
        <v>10</v>
      </c>
      <c r="B13" s="2" t="n">
        <v>0.780317010541866</v>
      </c>
      <c r="C13" s="6" t="n">
        <v>0.702597542452374</v>
      </c>
      <c r="E13" s="6" t="s">
        <v>128</v>
      </c>
      <c r="F13" s="6" t="n">
        <f aca="false">CORREL(inter_system_stats!$B$3:$B$28,inter_system_stats!$C$3:$C$28)</f>
        <v>0.498913150199408</v>
      </c>
    </row>
    <row r="14" customFormat="false" ht="12.8" hidden="false" customHeight="false" outlineLevel="0" collapsed="false">
      <c r="A14" s="2" t="n">
        <v>11</v>
      </c>
      <c r="B14" s="2" t="n">
        <v>0.788964918757002</v>
      </c>
      <c r="C14" s="6" t="n">
        <v>0.535746887825282</v>
      </c>
      <c r="E14" s="6" t="s">
        <v>129</v>
      </c>
      <c r="F14" s="6" t="n">
        <f aca="false" t="array" ref="F14:F14">AVERAGE(IF(ISODD(IF(ISNUMBER(inter_system_stats!$B$3:$B$28), 1, 0) * IF(ISNUMBER(inter_system_stats!$C$3:$C$28), 1, 0)), inter_system_stats!$B$3:$B$28 - inter_system_stats!$C$3:$C$28, "NA"))</f>
        <v>0.21519230264063</v>
      </c>
    </row>
    <row r="15" customFormat="false" ht="12.8" hidden="false" customHeight="false" outlineLevel="0" collapsed="false">
      <c r="A15" s="2" t="n">
        <v>12</v>
      </c>
      <c r="B15" s="2" t="n">
        <v>0.744429655439828</v>
      </c>
      <c r="C15" s="6" t="n">
        <v>0.616806330672693</v>
      </c>
      <c r="E15" s="6" t="s">
        <v>130</v>
      </c>
      <c r="F15" s="6" t="n">
        <f aca="false" t="array" ref="F15:F15">VAR(IF(ISODD(IF(ISNUMBER(inter_system_stats!$B$3:$B$28), 1, 0) * IF(ISNUMBER(inter_system_stats!$C$3:$C$28), 1, 0)), inter_system_stats!$B$3:$B$28 - inter_system_stats!$C$3:$C$28, "NA"))</f>
        <v>0.0102310711604404</v>
      </c>
    </row>
    <row r="16" customFormat="false" ht="12.8" hidden="false" customHeight="false" outlineLevel="0" collapsed="false">
      <c r="A16" s="2" t="n">
        <v>13</v>
      </c>
      <c r="B16" s="2" t="n">
        <v>0.764347939487069</v>
      </c>
      <c r="C16" s="6" t="n">
        <v>0.526308913298082</v>
      </c>
      <c r="E16" s="6" t="s">
        <v>131</v>
      </c>
      <c r="F16" s="6" t="n">
        <f aca="false" t="array" ref="F16:F16">SUM(IF(ISNUMBER(inter_system_stats!$B$3:$B$28), 1, 0) * IF(ISNUMBER(inter_system_stats!$C$3:$C$28), 1, 0)) - 1</f>
        <v>24</v>
      </c>
    </row>
    <row r="17" customFormat="false" ht="12.8" hidden="false" customHeight="false" outlineLevel="0" collapsed="false">
      <c r="A17" s="2" t="n">
        <v>14</v>
      </c>
      <c r="B17" s="2" t="n">
        <v>0.716647920997565</v>
      </c>
      <c r="C17" s="6" t="n">
        <v>0.427683818632696</v>
      </c>
      <c r="E17" s="6" t="s">
        <v>132</v>
      </c>
      <c r="F17" s="6" t="n">
        <f aca="false">(inter_system_stats!$F$14 - inter_system_stats!$F$8) / (inter_system_stats!$F$15 / ( inter_system_stats!$F$16 + 1)) ^ 0.5</f>
        <v>10.6374169977107</v>
      </c>
    </row>
    <row r="18" customFormat="false" ht="12.8" hidden="false" customHeight="false" outlineLevel="0" collapsed="false">
      <c r="A18" s="2" t="n">
        <v>15</v>
      </c>
      <c r="B18" s="2" t="n">
        <v>0.761929247616581</v>
      </c>
      <c r="C18" s="6" t="n">
        <v>0.575658160345531</v>
      </c>
      <c r="E18" s="6" t="s">
        <v>133</v>
      </c>
      <c r="F18" s="6" t="n">
        <f aca="false">TDIST(ABS(inter_system_stats!$F$17), inter_system_stats!$F$16, 1)</f>
        <v>7.25405454148248E-011</v>
      </c>
    </row>
    <row r="19" customFormat="false" ht="12.8" hidden="false" customHeight="false" outlineLevel="0" collapsed="false">
      <c r="A19" s="2" t="n">
        <v>16</v>
      </c>
      <c r="B19" s="2" t="n">
        <v>0.742748731630287</v>
      </c>
      <c r="C19" s="6" t="n">
        <v>0.577045877569951</v>
      </c>
      <c r="E19" s="6" t="s">
        <v>134</v>
      </c>
      <c r="F19" s="6" t="n">
        <f aca="false">TINV(2*inter_system_stats!$F$7, inter_system_stats!$F$16)</f>
        <v>1.71088207990943</v>
      </c>
    </row>
    <row r="20" customFormat="false" ht="12.8" hidden="false" customHeight="false" outlineLevel="0" collapsed="false">
      <c r="A20" s="2" t="n">
        <v>17</v>
      </c>
      <c r="B20" s="2" t="n">
        <v>0.764209873398772</v>
      </c>
      <c r="C20" s="6" t="n">
        <v>0.651295774227774</v>
      </c>
      <c r="E20" s="6" t="s">
        <v>135</v>
      </c>
      <c r="F20" s="6" t="n">
        <f aca="false">TDIST(ABS(inter_system_stats!$F$17), inter_system_stats!$F$16, 2)</f>
        <v>1.4508109082965E-010</v>
      </c>
    </row>
    <row r="21" customFormat="false" ht="12.8" hidden="false" customHeight="false" outlineLevel="0" collapsed="false">
      <c r="A21" s="2" t="n">
        <v>18</v>
      </c>
      <c r="B21" s="2" t="n">
        <v>0.700796274261234</v>
      </c>
      <c r="C21" s="6" t="n">
        <v>0.599275891539331</v>
      </c>
      <c r="E21" s="6" t="s">
        <v>136</v>
      </c>
      <c r="F21" s="6" t="n">
        <f aca="false">TINV(inter_system_stats!$F$7, inter_system_stats!$F$16)</f>
        <v>2.06389856162803</v>
      </c>
    </row>
    <row r="22" customFormat="false" ht="12.8" hidden="false" customHeight="false" outlineLevel="0" collapsed="false">
      <c r="A22" s="2" t="n">
        <v>19</v>
      </c>
      <c r="B22" s="2" t="n">
        <v>0.716284059047156</v>
      </c>
      <c r="C22" s="6" t="n">
        <v>0.50621471844151</v>
      </c>
    </row>
    <row r="23" customFormat="false" ht="12.8" hidden="false" customHeight="false" outlineLevel="0" collapsed="false">
      <c r="A23" s="2" t="n">
        <v>20</v>
      </c>
      <c r="B23" s="2" t="n">
        <v>0.839023541568098</v>
      </c>
      <c r="C23" s="6" t="n">
        <v>0.478099594542392</v>
      </c>
    </row>
    <row r="24" customFormat="false" ht="12.8" hidden="false" customHeight="false" outlineLevel="0" collapsed="false">
      <c r="A24" s="2" t="n">
        <v>21</v>
      </c>
      <c r="B24" s="2" t="n">
        <v>0.704024831920364</v>
      </c>
      <c r="C24" s="6" t="n">
        <v>0.382151937725075</v>
      </c>
    </row>
    <row r="25" customFormat="false" ht="12.8" hidden="false" customHeight="false" outlineLevel="0" collapsed="false">
      <c r="A25" s="2" t="n">
        <v>22</v>
      </c>
      <c r="B25" s="2" t="n">
        <v>0.684998594155911</v>
      </c>
      <c r="C25" s="6" t="n">
        <v>0.428068760639408</v>
      </c>
    </row>
    <row r="26" customFormat="false" ht="12.8" hidden="false" customHeight="false" outlineLevel="0" collapsed="false">
      <c r="A26" s="2" t="n">
        <v>23</v>
      </c>
      <c r="B26" s="2" t="n">
        <v>0.69681187759039</v>
      </c>
      <c r="C26" s="6" t="n">
        <v>0.344371087443739</v>
      </c>
    </row>
    <row r="27" customFormat="false" ht="12.8" hidden="false" customHeight="false" outlineLevel="0" collapsed="false">
      <c r="A27" s="2" t="n">
        <v>24</v>
      </c>
      <c r="B27" s="2" t="n">
        <v>0.809836609324266</v>
      </c>
      <c r="C27" s="6" t="n">
        <v>0.582850658814915</v>
      </c>
    </row>
    <row r="28" customFormat="false" ht="12.8" hidden="false" customHeight="false" outlineLevel="0" collapsed="false">
      <c r="A28" s="2" t="n">
        <v>25</v>
      </c>
      <c r="B28" s="2" t="n">
        <v>0.715111970099327</v>
      </c>
      <c r="C28" s="6" t="n">
        <v>0.365408773309983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2026-02-20T14:19:30Z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
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7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<sst xmlns="http://schemas.openxmlformats.org/spreadsheetml/2006/main" count="835" uniqueCount="121">
  <si>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</si>
  <si>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</si>
  <si>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</si>
  <si>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</si>
  <si>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</si>
  <si>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</si>
  <si>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</si>
  <si>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</si>
  <si>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</si>
  <si>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</si>
  <si>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</si>
  <si>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</si>
  <si>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</si>
  <si>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</si>
  <si>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</si>
  <si>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</si>
  <si>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8174d821-529d-4ec9-8310-718fb368284c</t>
  </si>
  <si>
    <t xml:space="preserve">cmjjvd6bl00unzceeobckuo7i</t>
  </si>
  <si>
    <t xml:space="preserve">cmjjve6oi00v4zceehu1q6ocq</t>
  </si>
  <si>
    <t xml:space="preserve">ac15-plain</t>
  </si>
  <si>
    <t xml:space="preserve">Scenario_7</t>
  </si>
  <si>
    <t xml:space="preserve">temporal_dynamics</t>
  </si>
  <si>
    <t xml:space="preserve">imagination_and_possibility</t>
  </si>
  <si>
    <t xml:space="preserve">practicality_and_feasibility</t>
  </si>
  <si>
    <t xml:space="preserve">truth_and_fact</t>
  </si>
  <si>
    <t xml:space="preserve">2e41fd22-c59a-4276-86d1-583ca4548cf6</t>
  </si>
  <si>
    <t xml:space="preserve">cmjjvf44300v8zceenh7rb6ys</t>
  </si>
  <si>
    <t xml:space="preserve">cmjjvfl5z00vpzceep9kqoimx</t>
  </si>
  <si>
    <t xml:space="preserve">a6dd4dba-32bb-4598-b4bb-ff49e35a016e</t>
  </si>
  <si>
    <t xml:space="preserve">cmjjvg5o600vtzcee64p1d8i7</t>
  </si>
  <si>
    <t xml:space="preserve">cmjjvgmno00wazceexzf3mat6</t>
  </si>
  <si>
    <t xml:space="preserve">affective_interface</t>
  </si>
  <si>
    <t xml:space="preserve">electricity</t>
  </si>
  <si>
    <t xml:space="preserve">context_dependent_expression</t>
  </si>
  <si>
    <t xml:space="preserve">bd7bbacf-6b90-4622-b850-3ea54c9b70de</t>
  </si>
  <si>
    <t xml:space="preserve">cmjjvh46000wezcee5q30evgv</t>
  </si>
  <si>
    <t xml:space="preserve">cmjjvhnze00wvzceezrf6iwz8</t>
  </si>
  <si>
    <t xml:space="preserve">sovereignty</t>
  </si>
  <si>
    <t xml:space="preserve">c615298e-7c8f-49ed-9fa9-376b7189aa07</t>
  </si>
  <si>
    <t xml:space="preserve">cmjjvhxor00wzzceebiwonflt</t>
  </si>
  <si>
    <t xml:space="preserve">cmjjvilqa00xgzceepp9wqdck</t>
  </si>
  <si>
    <t xml:space="preserve">science</t>
  </si>
  <si>
    <t xml:space="preserve">a6d3e5d8-6c74-43a9-b731-f20d24f0a550</t>
  </si>
  <si>
    <t xml:space="preserve">cmjjvj9p400xkzceec7jsfi12</t>
  </si>
  <si>
    <t xml:space="preserve">cmjjvjsd800y1zcee5i89tku5</t>
  </si>
  <si>
    <t xml:space="preserve">50f4d3e7-e33d-434a-a0a1-b1b6eb5ec081</t>
  </si>
  <si>
    <t xml:space="preserve">cmjjvk9ps00y5zceerbbtl3xd</t>
  </si>
  <si>
    <t xml:space="preserve">cmjjvkykj00ymzceeq0hyn556</t>
  </si>
  <si>
    <t xml:space="preserve">eec2896b-a557-43ab-9a17-1e5794a8aff5</t>
  </si>
  <si>
    <t xml:space="preserve">cmjjvmc9e00yqzcee1ae2jilr</t>
  </si>
  <si>
    <t xml:space="preserve">cmjjvmtly00z7zcee64x1nqae</t>
  </si>
  <si>
    <t xml:space="preserve">b31242fd-d3dd-4639-aaad-c437b8db192b</t>
  </si>
  <si>
    <t xml:space="preserve">cmjjvn19e00zbzceexx7eu4ek</t>
  </si>
  <si>
    <t xml:space="preserve">cmjjvnlz300zszceehmr95slw</t>
  </si>
  <si>
    <t xml:space="preserve">071c411e-39c9-49db-93b4-117b43cafc3d</t>
  </si>
  <si>
    <t xml:space="preserve">cmjjvo47y00zwzceeii4dsdb4</t>
  </si>
  <si>
    <t xml:space="preserve">cmjjvor8b010dzcee78gvmqvu</t>
  </si>
  <si>
    <t xml:space="preserve">freedom_and_limitations</t>
  </si>
  <si>
    <t xml:space="preserve">2b418e36-9eba-4619-b8e0-cac857952b85</t>
  </si>
  <si>
    <t xml:space="preserve">cmjjvp5ug010hzceem84ukzl7</t>
  </si>
  <si>
    <t xml:space="preserve">cmjjvpoyr010yzceeybdi39mp</t>
  </si>
  <si>
    <t xml:space="preserve">e5aae0d2-a041-4130-ba51-0bb28251d07c</t>
  </si>
  <si>
    <t xml:space="preserve">cmjjvqpfb0112zceeki1aooh4</t>
  </si>
  <si>
    <t xml:space="preserve">cmjjvrcu6011jzceecjld4m6d</t>
  </si>
  <si>
    <t xml:space="preserve">identity</t>
  </si>
  <si>
    <t xml:space="preserve">ae06598a-99da-4085-a731-084f270802be</t>
  </si>
  <si>
    <t xml:space="preserve">cmjjvrit2011nzcee5e7wsy60</t>
  </si>
  <si>
    <t xml:space="preserve">cmjjvs1bc0124zceer35n1d5j</t>
  </si>
  <si>
    <t xml:space="preserve">08086e90-e475-46c5-aeb7-7fa20c3e6e89</t>
  </si>
  <si>
    <t xml:space="preserve">cmjjvsbhz0128zcee9l9kdwdk</t>
  </si>
  <si>
    <t xml:space="preserve">cmjjvsw7a012pzceeho1c3a7d</t>
  </si>
  <si>
    <t xml:space="preserve">319266a0-3854-47d1-9535-391b501e64b7</t>
  </si>
  <si>
    <t xml:space="preserve">cmjjvtlmp012tzcee88a7v38l</t>
  </si>
  <si>
    <t xml:space="preserve">cmjjvu4y2013azceermevxyar</t>
  </si>
  <si>
    <t xml:space="preserve">mathematics_computer_science_engineering</t>
  </si>
  <si>
    <t xml:space="preserve">0eb52c80-3ac2-4232-8cdb-acb51517c72e</t>
  </si>
  <si>
    <t xml:space="preserve">cmjjvuful013ezceeimbtunoy</t>
  </si>
  <si>
    <t xml:space="preserve">cmjjvuwxb013vzcee8xjooanb</t>
  </si>
  <si>
    <t xml:space="preserve">db962231-7287-4400-aad3-2dc8ce74224d</t>
  </si>
  <si>
    <t xml:space="preserve">cmjjvv7s1013zzceezqneanj7</t>
  </si>
  <si>
    <t xml:space="preserve">cmjjvvsk0014gzcee27kblhej</t>
  </si>
  <si>
    <t xml:space="preserve">53548503-6f8d-4b27-9824-29c189da3aea</t>
  </si>
  <si>
    <t xml:space="preserve">cmjjvw0d7014kzceerl515zfv</t>
  </si>
  <si>
    <t xml:space="preserve">cmjjvwgex0151zceesou6gyvq</t>
  </si>
  <si>
    <t xml:space="preserve">10f52fb0-8222-4e44-b515-a78550543bf7</t>
  </si>
  <si>
    <t xml:space="preserve">cmjjvwpgk0155zcee4cg05o0d</t>
  </si>
  <si>
    <t xml:space="preserve">cmjjvxfz4015mzcee6oi4cqrl</t>
  </si>
  <si>
    <t xml:space="preserve">65f1a6ee-06a6-400a-a50d-fa9f7e542eb3</t>
  </si>
  <si>
    <t xml:space="preserve">cmjjvy8pu015qzcee9chcfyvs</t>
  </si>
  <si>
    <t xml:space="preserve">cmjjvyr7z0167zceekrgvj7ym</t>
  </si>
  <si>
    <t xml:space="preserve">e08f9b74-10a6-4cd4-87d0-edea1782aae1</t>
  </si>
  <si>
    <t xml:space="preserve">cmjjvz1na016bzceew5d4m2a2</t>
  </si>
  <si>
    <t xml:space="preserve">cmjjvzoq9016szceeina4dyoj</t>
  </si>
  <si>
    <t xml:space="preserve">3126c9ca-4d53-4d48-8056-811464e872c9</t>
  </si>
  <si>
    <t xml:space="preserve">cmjjw03sd016wzcee1m46in4y</t>
  </si>
  <si>
    <t xml:space="preserve">cmjjw0l6t017dzceelepw806x</t>
  </si>
  <si>
    <t xml:space="preserve">c6e6fd4f-298b-474e-b304-46bfdf17a555</t>
  </si>
  <si>
    <t xml:space="preserve">cmjjw0tkd017hzceeipk6i8n1</t>
  </si>
  <si>
    <t xml:space="preserve">cmjjw1i83017yzceemibfbdl4</t>
  </si>
  <si>
    <t xml:space="preserve">7a183e1c-efb2-4eeb-a868-b2e32c5718ac</t>
  </si>
  <si>
    <t xml:space="preserve">cmjjw1sck0182zceem18u0m5o</t>
  </si>
  <si>
    <t xml:space="preserve">cmjjw2f03018jzceef7cc3ubf</t>
  </si>
  <si>
    <t xml:space="preserve">9cfd2669-f59c-44e6-b330-11b604a0a34e</t>
  </si>
  <si>
    <t xml:space="preserve">cmjjw2qk7018nzcee5i1yypcc</t>
  </si>
  <si>
    <t xml:space="preserve">cmjjw3hyx0194zceeu4vjfxxz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</si>
  <si>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</si>
  <si>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</si>
  <si>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</si>
  <si>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</si>
  <si>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</si>
  <si>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</si>
  <si>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ac15p</t>
  </si>
  <si>
    <t xml:space="preserve">control</t>
  </si>
  <si>
    <t xml:space="preserve">std. Ac15p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</si>
  <si>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</si>
  <si>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</si>
  <si>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</si>
  <si>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</si>
  <si>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</si>
  <si>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ac15p</t>
  </si>
  <si>
    <t xml:space="preserve">Mean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</si>
</sst>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5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2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77086589559237"/>
          <c:y val="0.0322688327584288"/>
          <c:w val="0.759612378868396"/>
          <c:h val="0.865583620785579"/>
        </c:manualLayout>
      </c:layout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0.726604447396414</c:v>
                </c:pt>
                <c:pt idx="1">
                  <c:v>0.708959829151642</c:v>
                </c:pt>
                <c:pt idx="2">
                  <c:v>0.656250791088745</c:v>
                </c:pt>
                <c:pt idx="3">
                  <c:v>0.682480064346605</c:v>
                </c:pt>
                <c:pt idx="4">
                  <c:v>0.750666088952323</c:v>
                </c:pt>
                <c:pt idx="5">
                  <c:v>0.690037613967929</c:v>
                </c:pt>
                <c:pt idx="6">
                  <c:v>0.70889799084929</c:v>
                </c:pt>
                <c:pt idx="7">
                  <c:v>0.685546620467512</c:v>
                </c:pt>
                <c:pt idx="8">
                  <c:v>0.727629515141836</c:v>
                </c:pt>
                <c:pt idx="9">
                  <c:v>0.637485514971611</c:v>
                </c:pt>
                <c:pt idx="10">
                  <c:v>0.717989456556699</c:v>
                </c:pt>
                <c:pt idx="11">
                  <c:v>0.770906292597071</c:v>
                </c:pt>
                <c:pt idx="12">
                  <c:v>0.709827899363474</c:v>
                </c:pt>
                <c:pt idx="13">
                  <c:v>0.824775999287701</c:v>
                </c:pt>
                <c:pt idx="14">
                  <c:v>0.611331502918536</c:v>
                </c:pt>
                <c:pt idx="15">
                  <c:v>0.743473367956861</c:v>
                </c:pt>
                <c:pt idx="16">
                  <c:v>0.657769103514598</c:v>
                </c:pt>
                <c:pt idx="17">
                  <c:v>0.7336678926738</c:v>
                </c:pt>
                <c:pt idx="18">
                  <c:v>0.664769831999005</c:v>
                </c:pt>
                <c:pt idx="19">
                  <c:v>0.735511761701567</c:v>
                </c:pt>
                <c:pt idx="20">
                  <c:v>0.715466613809298</c:v>
                </c:pt>
                <c:pt idx="21">
                  <c:v>0.70902009513028</c:v>
                </c:pt>
                <c:pt idx="22">
                  <c:v>0.675856447847683</c:v>
                </c:pt>
                <c:pt idx="23">
                  <c:v>0.770886115042279</c:v>
                </c:pt>
                <c:pt idx="24">
                  <c:v>0.769586409524463</c:v>
                </c:pt>
              </c:numCache>
            </c:numRef>
          </c:yVal>
          <c:smooth val="0"/>
        </c:ser>
        <c:axId val="13603216"/>
        <c:axId val="69132330"/>
      </c:scatterChart>
      <c:valAx>
        <c:axId val="13603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132330"/>
        <c:crosses val="autoZero"/>
        <c:crossBetween val="midCat"/>
      </c:valAx>
      <c:valAx>
        <c:axId val="691323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6032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0.726604447396414</c:v>
                </c:pt>
                <c:pt idx="1">
                  <c:v>0.708959829151642</c:v>
                </c:pt>
                <c:pt idx="2">
                  <c:v>0.656250791088745</c:v>
                </c:pt>
                <c:pt idx="3">
                  <c:v>0.682480064346605</c:v>
                </c:pt>
                <c:pt idx="4">
                  <c:v>0.750666088952323</c:v>
                </c:pt>
                <c:pt idx="5">
                  <c:v>0.690037613967929</c:v>
                </c:pt>
                <c:pt idx="6">
                  <c:v>0.70889799084929</c:v>
                </c:pt>
                <c:pt idx="7">
                  <c:v>0.685546620467512</c:v>
                </c:pt>
                <c:pt idx="8">
                  <c:v>0.727629515141836</c:v>
                </c:pt>
                <c:pt idx="9">
                  <c:v>0.637485514971611</c:v>
                </c:pt>
                <c:pt idx="10">
                  <c:v>0.717989456556699</c:v>
                </c:pt>
                <c:pt idx="11">
                  <c:v>0.770906292597071</c:v>
                </c:pt>
                <c:pt idx="12">
                  <c:v>0.709827899363474</c:v>
                </c:pt>
                <c:pt idx="13">
                  <c:v>0.824775999287701</c:v>
                </c:pt>
                <c:pt idx="14">
                  <c:v>0.611331502918536</c:v>
                </c:pt>
                <c:pt idx="15">
                  <c:v>0.743473367956861</c:v>
                </c:pt>
                <c:pt idx="16">
                  <c:v>0.657769103514598</c:v>
                </c:pt>
                <c:pt idx="17">
                  <c:v>0.7336678926738</c:v>
                </c:pt>
                <c:pt idx="18">
                  <c:v>0.664769831999005</c:v>
                </c:pt>
                <c:pt idx="19">
                  <c:v>0.735511761701567</c:v>
                </c:pt>
                <c:pt idx="20">
                  <c:v>0.715466613809298</c:v>
                </c:pt>
                <c:pt idx="21">
                  <c:v>0.70902009513028</c:v>
                </c:pt>
                <c:pt idx="22">
                  <c:v>0.675856447847683</c:v>
                </c:pt>
                <c:pt idx="23">
                  <c:v>0.770886115042279</c:v>
                </c:pt>
                <c:pt idx="24">
                  <c:v>0.769586409524463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0.780357842803317</c:v>
                </c:pt>
                <c:pt idx="1">
                  <c:v>0.416207094658953</c:v>
                </c:pt>
                <c:pt idx="2">
                  <c:v>0.440694734258005</c:v>
                </c:pt>
                <c:pt idx="3">
                  <c:v>0.50298342709053</c:v>
                </c:pt>
                <c:pt idx="4">
                  <c:v>0.648378238204048</c:v>
                </c:pt>
                <c:pt idx="5">
                  <c:v>0.556905413484638</c:v>
                </c:pt>
                <c:pt idx="6">
                  <c:v>0.676587781456039</c:v>
                </c:pt>
                <c:pt idx="7">
                  <c:v>0.537556987618538</c:v>
                </c:pt>
                <c:pt idx="8">
                  <c:v>0.547450655337536</c:v>
                </c:pt>
                <c:pt idx="9">
                  <c:v>0.404475709994457</c:v>
                </c:pt>
                <c:pt idx="10">
                  <c:v>0.573512450710954</c:v>
                </c:pt>
                <c:pt idx="11">
                  <c:v>0.688426389427952</c:v>
                </c:pt>
                <c:pt idx="12">
                  <c:v>0.536732539192105</c:v>
                </c:pt>
                <c:pt idx="13">
                  <c:v>0.706905423359106</c:v>
                </c:pt>
                <c:pt idx="14">
                  <c:v>0.559275980049327</c:v>
                </c:pt>
                <c:pt idx="15">
                  <c:v>0.696687598503719</c:v>
                </c:pt>
                <c:pt idx="16">
                  <c:v>0.48999145280364</c:v>
                </c:pt>
                <c:pt idx="17">
                  <c:v>0.703777326026319</c:v>
                </c:pt>
                <c:pt idx="18">
                  <c:v>0.538311826027795</c:v>
                </c:pt>
                <c:pt idx="19">
                  <c:v>0.658619577213029</c:v>
                </c:pt>
                <c:pt idx="20">
                  <c:v>0.407653544913038</c:v>
                </c:pt>
                <c:pt idx="21">
                  <c:v>0.515876791249462</c:v>
                </c:pt>
                <c:pt idx="22">
                  <c:v>0.47404366030989</c:v>
                </c:pt>
                <c:pt idx="23">
                  <c:v>0.690137110745753</c:v>
                </c:pt>
                <c:pt idx="24">
                  <c:v>0.454708104680646</c:v>
                </c:pt>
              </c:numCache>
            </c:numRef>
          </c:yVal>
          <c:smooth val="0"/>
        </c:ser>
        <c:axId val="79076408"/>
        <c:axId val="39579074"/>
      </c:scatterChart>
      <c:valAx>
        <c:axId val="79076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579074"/>
        <c:crosses val="autoZero"/>
        <c:crossBetween val="midCat"/>
      </c:valAx>
      <c:valAx>
        <c:axId val="395790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07640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810360</xdr:colOff>
      <xdr:row>2</xdr:row>
      <xdr:rowOff>7920</xdr:rowOff>
    </xdr:from>
    <xdr:to>
      <xdr:col>10</xdr:col>
      <xdr:colOff>65880</xdr:colOff>
      <xdr:row>21</xdr:row>
      <xdr:rowOff>154080</xdr:rowOff>
    </xdr:to>
    <xdr:graphicFrame>
      <xdr:nvGraphicFramePr>
        <xdr:cNvPr id="1" name=""/>
        <xdr:cNvGraphicFramePr/>
      </xdr:nvGraphicFramePr>
      <xdr:xfrm>
        <a:off x="2762280" y="333000"/>
        <a:ext cx="575784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17280</xdr:colOff>
      <xdr:row>6</xdr:row>
      <xdr:rowOff>0</xdr:rowOff>
    </xdr:from>
    <xdr:to>
      <xdr:col>8</xdr:col>
      <xdr:colOff>819720</xdr:colOff>
      <xdr:row>25</xdr:row>
      <xdr:rowOff>146160</xdr:rowOff>
    </xdr:to>
    <xdr:graphicFrame>
      <xdr:nvGraphicFramePr>
        <xdr:cNvPr id="2" name=""/>
        <xdr:cNvGraphicFramePr/>
      </xdr:nvGraphicFramePr>
      <xdr:xfrm>
        <a:off x="3268440" y="975240"/>
        <a:ext cx="576504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1" sqref="L4 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15.32"/>
    <col collapsed="false" customWidth="true" hidden="false" outlineLevel="0" max="5" min="5" style="1" width="15.49"/>
    <col collapsed="false" customWidth="false" hidden="false" outlineLevel="0" max="6" min="6" style="1" width="10.58"/>
    <col collapsed="false" customWidth="true" hidden="false" outlineLevel="0" max="7" min="7" style="2" width="47.9"/>
    <col collapsed="false" customWidth="true" hidden="false" outlineLevel="0" max="8" min="8" style="1" width="9.38"/>
    <col collapsed="false" customWidth="true" hidden="false" outlineLevel="0" max="12" min="9" style="1" width="24.32"/>
    <col collapsed="false" customWidth="true" hidden="false" outlineLevel="0" max="16" min="16" style="1" width="19.18"/>
    <col collapsed="false" customWidth="true" hidden="false" outlineLevel="0" max="18" min="17" style="1" width="18.71"/>
    <col collapsed="false" customWidth="true" hidden="false" outlineLevel="0" max="19" min="19" style="1" width="21.77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3" t="s">
        <v>12</v>
      </c>
      <c r="Q1" s="3" t="s">
        <v>13</v>
      </c>
      <c r="R1" s="3" t="s">
        <v>14</v>
      </c>
      <c r="S1" s="4" t="s">
        <v>15</v>
      </c>
    </row>
    <row r="2" customFormat="false" ht="15" hidden="false" customHeight="false" outlineLevel="0" collapsed="false">
      <c r="G2" s="1"/>
      <c r="P2" s="5" t="n">
        <f aca="false">COUNT(K3:K135)</f>
        <v>133</v>
      </c>
      <c r="Q2" s="5" t="n">
        <f aca="false">AVERAGE(K3:K135)</f>
        <v>0.0461287444860408</v>
      </c>
      <c r="R2" s="5" t="n">
        <f aca="false">CORREL(H3:H135,K3:K135)</f>
        <v>0.185101107986304</v>
      </c>
      <c r="S2" s="5" t="n">
        <v>0.033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0.3195</v>
      </c>
      <c r="I3" s="1" t="n">
        <v>0.235797024730345</v>
      </c>
      <c r="J3" s="1" t="n">
        <v>0.295975481630813</v>
      </c>
      <c r="K3" s="1" t="n">
        <f aca="false">J3-I3</f>
        <v>0.0601784569004674</v>
      </c>
      <c r="L3" s="1" t="n">
        <v>0.726604447396414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2" t="s">
        <v>22</v>
      </c>
      <c r="H4" s="1" t="n">
        <v>0.2925</v>
      </c>
      <c r="I4" s="1" t="n">
        <v>0.21585406886399</v>
      </c>
      <c r="J4" s="1" t="n">
        <v>0.288648693490249</v>
      </c>
      <c r="K4" s="1" t="n">
        <f aca="false">J4-I4</f>
        <v>0.0727946246262595</v>
      </c>
      <c r="L4" s="1" t="n">
        <v>0.726604447396414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2" t="s">
        <v>23</v>
      </c>
      <c r="H5" s="1" t="n">
        <v>0.288</v>
      </c>
      <c r="I5" s="1" t="n">
        <v>0.212584987468646</v>
      </c>
      <c r="J5" s="1" t="n">
        <v>0.343744449136529</v>
      </c>
      <c r="K5" s="1" t="n">
        <f aca="false">J5-I5</f>
        <v>0.131159461667884</v>
      </c>
      <c r="L5" s="1" t="n">
        <v>0.726604447396414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2" t="s">
        <v>24</v>
      </c>
      <c r="H6" s="1" t="n">
        <v>0.1</v>
      </c>
      <c r="I6" s="1" t="n">
        <v>0.141028747482862</v>
      </c>
      <c r="J6" s="1" t="n">
        <v>0.251367616019981</v>
      </c>
      <c r="K6" s="1" t="n">
        <f aca="false">J6-I6</f>
        <v>0.110338868537119</v>
      </c>
      <c r="L6" s="1" t="n">
        <v>0.726604447396414</v>
      </c>
    </row>
    <row r="7" customFormat="false" ht="15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19</v>
      </c>
      <c r="E7" s="1" t="s">
        <v>20</v>
      </c>
      <c r="F7" s="1" t="n">
        <v>2</v>
      </c>
      <c r="G7" s="2" t="s">
        <v>23</v>
      </c>
      <c r="H7" s="1" t="n">
        <v>0.9</v>
      </c>
      <c r="I7" s="1" t="n">
        <v>0.210880768562453</v>
      </c>
      <c r="J7" s="1" t="n">
        <v>0.344402041033556</v>
      </c>
      <c r="K7" s="1" t="n">
        <f aca="false">J7-I7</f>
        <v>0.133521272471103</v>
      </c>
      <c r="L7" s="1" t="n">
        <v>0.708959829151642</v>
      </c>
    </row>
    <row r="8" customFormat="false" ht="15" hidden="false" customHeight="false" outlineLevel="0" collapsed="false">
      <c r="A8" s="1" t="s">
        <v>25</v>
      </c>
      <c r="B8" s="1" t="s">
        <v>26</v>
      </c>
      <c r="C8" s="1" t="s">
        <v>27</v>
      </c>
      <c r="D8" s="1" t="s">
        <v>19</v>
      </c>
      <c r="E8" s="1" t="s">
        <v>20</v>
      </c>
      <c r="F8" s="1" t="n">
        <v>2</v>
      </c>
      <c r="G8" s="2" t="s">
        <v>24</v>
      </c>
      <c r="H8" s="1" t="n">
        <v>0.1</v>
      </c>
      <c r="I8" s="1" t="n">
        <v>0.145953140879776</v>
      </c>
      <c r="J8" s="1" t="n">
        <v>0.255184365760402</v>
      </c>
      <c r="K8" s="1" t="n">
        <f aca="false">J8-I8</f>
        <v>0.109231224880626</v>
      </c>
      <c r="L8" s="1" t="n">
        <v>0.708959829151642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19</v>
      </c>
      <c r="E9" s="1" t="s">
        <v>20</v>
      </c>
      <c r="F9" s="1" t="n">
        <v>4</v>
      </c>
      <c r="G9" s="2" t="s">
        <v>31</v>
      </c>
      <c r="H9" s="1" t="n">
        <v>0.241</v>
      </c>
      <c r="I9" s="1" t="n">
        <v>0.235452097838442</v>
      </c>
      <c r="J9" s="1" t="n">
        <v>0.288390480386016</v>
      </c>
      <c r="K9" s="1" t="n">
        <f aca="false">J9-I9</f>
        <v>0.0529383825475747</v>
      </c>
      <c r="L9" s="1" t="n">
        <v>0.656250791088745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19</v>
      </c>
      <c r="E10" s="1" t="s">
        <v>20</v>
      </c>
      <c r="F10" s="1" t="n">
        <v>4</v>
      </c>
      <c r="G10" s="2" t="s">
        <v>23</v>
      </c>
      <c r="H10" s="1" t="n">
        <v>0.2312</v>
      </c>
      <c r="I10" s="1" t="n">
        <v>0.225866989120406</v>
      </c>
      <c r="J10" s="1" t="n">
        <v>0.341988692154148</v>
      </c>
      <c r="K10" s="1" t="n">
        <f aca="false">J10-I10</f>
        <v>0.116121703033741</v>
      </c>
      <c r="L10" s="1" t="n">
        <v>0.656250791088745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19</v>
      </c>
      <c r="E11" s="1" t="s">
        <v>20</v>
      </c>
      <c r="F11" s="1" t="n">
        <v>4</v>
      </c>
      <c r="G11" s="2" t="s">
        <v>32</v>
      </c>
      <c r="H11" s="1" t="n">
        <v>0.2187</v>
      </c>
      <c r="I11" s="1" t="n">
        <v>0.213672700739823</v>
      </c>
      <c r="J11" s="1" t="n">
        <v>0.180563729497695</v>
      </c>
      <c r="K11" s="1" t="n">
        <f aca="false">J11-I11</f>
        <v>-0.0331089712421283</v>
      </c>
      <c r="L11" s="1" t="n">
        <v>0.656250791088745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19</v>
      </c>
      <c r="E12" s="1" t="s">
        <v>20</v>
      </c>
      <c r="F12" s="1" t="n">
        <v>4</v>
      </c>
      <c r="G12" s="2" t="s">
        <v>33</v>
      </c>
      <c r="H12" s="1" t="n">
        <v>0.2091</v>
      </c>
      <c r="I12" s="1" t="n">
        <v>0.204341527537988</v>
      </c>
      <c r="J12" s="1" t="n">
        <v>0.281389048805254</v>
      </c>
      <c r="K12" s="1" t="n">
        <f aca="false">J12-I12</f>
        <v>0.0770475212672662</v>
      </c>
      <c r="L12" s="1" t="n">
        <v>0.656250791088745</v>
      </c>
    </row>
    <row r="13" customFormat="false" ht="15" hidden="false" customHeight="false" outlineLevel="0" collapsed="false">
      <c r="A13" s="1" t="s">
        <v>28</v>
      </c>
      <c r="B13" s="1" t="s">
        <v>29</v>
      </c>
      <c r="C13" s="1" t="s">
        <v>30</v>
      </c>
      <c r="D13" s="1" t="s">
        <v>19</v>
      </c>
      <c r="E13" s="1" t="s">
        <v>20</v>
      </c>
      <c r="F13" s="1" t="n">
        <v>4</v>
      </c>
      <c r="G13" s="2" t="s">
        <v>24</v>
      </c>
      <c r="H13" s="1" t="n">
        <v>0.1</v>
      </c>
      <c r="I13" s="1" t="n">
        <v>0.148129064388805</v>
      </c>
      <c r="J13" s="1" t="n">
        <v>0.272217385796805</v>
      </c>
      <c r="K13" s="1" t="n">
        <f aca="false">J13-I13</f>
        <v>0.124088321408001</v>
      </c>
      <c r="L13" s="1" t="n">
        <v>0.656250791088745</v>
      </c>
    </row>
    <row r="14" customFormat="false" ht="15" hidden="false" customHeight="false" outlineLevel="0" collapsed="false">
      <c r="A14" s="1" t="s">
        <v>34</v>
      </c>
      <c r="B14" s="1" t="s">
        <v>35</v>
      </c>
      <c r="C14" s="1" t="s">
        <v>36</v>
      </c>
      <c r="D14" s="1" t="s">
        <v>19</v>
      </c>
      <c r="E14" s="1" t="s">
        <v>20</v>
      </c>
      <c r="F14" s="1" t="n">
        <v>6</v>
      </c>
      <c r="G14" s="2" t="s">
        <v>31</v>
      </c>
      <c r="H14" s="1" t="n">
        <v>0.1788</v>
      </c>
      <c r="I14" s="1" t="n">
        <v>0.272923350393192</v>
      </c>
      <c r="J14" s="1" t="n">
        <v>0.326937263883596</v>
      </c>
      <c r="K14" s="1" t="n">
        <f aca="false">J14-I14</f>
        <v>0.0540139134904032</v>
      </c>
      <c r="L14" s="1" t="n">
        <v>0.682480064346605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1" t="s">
        <v>36</v>
      </c>
      <c r="D15" s="1" t="s">
        <v>19</v>
      </c>
      <c r="E15" s="1" t="s">
        <v>20</v>
      </c>
      <c r="F15" s="1" t="n">
        <v>6</v>
      </c>
      <c r="G15" s="2" t="s">
        <v>33</v>
      </c>
      <c r="H15" s="1" t="n">
        <v>0.1718</v>
      </c>
      <c r="I15" s="1" t="n">
        <v>0.26217763246438</v>
      </c>
      <c r="J15" s="1" t="n">
        <v>0.295927948291558</v>
      </c>
      <c r="K15" s="1" t="n">
        <f aca="false">J15-I15</f>
        <v>0.033750315827178</v>
      </c>
      <c r="L15" s="1" t="n">
        <v>0.682480064346605</v>
      </c>
    </row>
    <row r="16" customFormat="false" ht="15" hidden="false" customHeight="false" outlineLevel="0" collapsed="false">
      <c r="A16" s="1" t="s">
        <v>34</v>
      </c>
      <c r="B16" s="1" t="s">
        <v>35</v>
      </c>
      <c r="C16" s="1" t="s">
        <v>36</v>
      </c>
      <c r="D16" s="1" t="s">
        <v>19</v>
      </c>
      <c r="E16" s="1" t="s">
        <v>20</v>
      </c>
      <c r="F16" s="1" t="n">
        <v>6</v>
      </c>
      <c r="G16" s="2" t="s">
        <v>37</v>
      </c>
      <c r="H16" s="1" t="n">
        <v>0.1648</v>
      </c>
      <c r="I16" s="1" t="n">
        <v>0.251556961524342</v>
      </c>
      <c r="J16" s="1" t="n">
        <v>0.3078409283405</v>
      </c>
      <c r="K16" s="1" t="n">
        <f aca="false">J16-I16</f>
        <v>0.0562839668161581</v>
      </c>
      <c r="L16" s="1" t="n">
        <v>0.682480064346605</v>
      </c>
    </row>
    <row r="17" customFormat="false" ht="15" hidden="false" customHeight="false" outlineLevel="0" collapsed="false">
      <c r="A17" s="1" t="s">
        <v>34</v>
      </c>
      <c r="B17" s="1" t="s">
        <v>35</v>
      </c>
      <c r="C17" s="1" t="s">
        <v>36</v>
      </c>
      <c r="D17" s="1" t="s">
        <v>19</v>
      </c>
      <c r="E17" s="1" t="s">
        <v>20</v>
      </c>
      <c r="F17" s="1" t="n">
        <v>6</v>
      </c>
      <c r="G17" s="2" t="s">
        <v>23</v>
      </c>
      <c r="H17" s="1" t="n">
        <v>0.1644</v>
      </c>
      <c r="I17" s="1" t="n">
        <v>0.250997200223574</v>
      </c>
      <c r="J17" s="1" t="n">
        <v>0.362468990143727</v>
      </c>
      <c r="K17" s="1" t="n">
        <f aca="false">J17-I17</f>
        <v>0.111471789920153</v>
      </c>
      <c r="L17" s="1" t="n">
        <v>0.682480064346605</v>
      </c>
    </row>
    <row r="18" customFormat="false" ht="15" hidden="false" customHeight="false" outlineLevel="0" collapsed="false">
      <c r="A18" s="1" t="s">
        <v>34</v>
      </c>
      <c r="B18" s="1" t="s">
        <v>35</v>
      </c>
      <c r="C18" s="1" t="s">
        <v>36</v>
      </c>
      <c r="D18" s="1" t="s">
        <v>19</v>
      </c>
      <c r="E18" s="1" t="s">
        <v>20</v>
      </c>
      <c r="F18" s="1" t="n">
        <v>6</v>
      </c>
      <c r="G18" s="2" t="s">
        <v>22</v>
      </c>
      <c r="H18" s="1" t="n">
        <v>0.1617</v>
      </c>
      <c r="I18" s="1" t="n">
        <v>0.246870944388805</v>
      </c>
      <c r="J18" s="1" t="n">
        <v>0.353694291189113</v>
      </c>
      <c r="K18" s="1" t="n">
        <f aca="false">J18-I18</f>
        <v>0.106823346800308</v>
      </c>
      <c r="L18" s="1" t="n">
        <v>0.682480064346605</v>
      </c>
    </row>
    <row r="19" customFormat="false" ht="15" hidden="false" customHeight="false" outlineLevel="0" collapsed="false">
      <c r="A19" s="1" t="s">
        <v>34</v>
      </c>
      <c r="B19" s="1" t="s">
        <v>35</v>
      </c>
      <c r="C19" s="1" t="s">
        <v>36</v>
      </c>
      <c r="D19" s="1" t="s">
        <v>19</v>
      </c>
      <c r="E19" s="1" t="s">
        <v>20</v>
      </c>
      <c r="F19" s="1" t="n">
        <v>6</v>
      </c>
      <c r="G19" s="2" t="s">
        <v>24</v>
      </c>
      <c r="H19" s="1" t="n">
        <v>0.1585</v>
      </c>
      <c r="I19" s="1" t="n">
        <v>0.241937041433656</v>
      </c>
      <c r="J19" s="1" t="n">
        <v>0.313586257854214</v>
      </c>
      <c r="K19" s="1" t="n">
        <f aca="false">J19-I19</f>
        <v>0.071649216420558</v>
      </c>
      <c r="L19" s="1" t="n">
        <v>0.682480064346605</v>
      </c>
    </row>
    <row r="20" customFormat="false" ht="15" hidden="false" customHeight="false" outlineLevel="0" collapsed="false">
      <c r="A20" s="1" t="s">
        <v>38</v>
      </c>
      <c r="B20" s="1" t="s">
        <v>39</v>
      </c>
      <c r="C20" s="1" t="s">
        <v>40</v>
      </c>
      <c r="D20" s="1" t="s">
        <v>19</v>
      </c>
      <c r="E20" s="1" t="s">
        <v>20</v>
      </c>
      <c r="F20" s="1" t="n">
        <v>8</v>
      </c>
      <c r="G20" s="2" t="s">
        <v>22</v>
      </c>
      <c r="H20" s="1" t="n">
        <v>0.1781</v>
      </c>
      <c r="I20" s="1" t="n">
        <v>0.294365183660308</v>
      </c>
      <c r="J20" s="1" t="n">
        <v>0.326073316201205</v>
      </c>
      <c r="K20" s="1" t="n">
        <f aca="false">J20-I20</f>
        <v>0.031708132540897</v>
      </c>
      <c r="L20" s="1" t="n">
        <v>0.750666088952323</v>
      </c>
    </row>
    <row r="21" customFormat="false" ht="15" hidden="false" customHeight="false" outlineLevel="0" collapsed="false">
      <c r="A21" s="1" t="s">
        <v>38</v>
      </c>
      <c r="B21" s="1" t="s">
        <v>39</v>
      </c>
      <c r="C21" s="1" t="s">
        <v>40</v>
      </c>
      <c r="D21" s="1" t="s">
        <v>19</v>
      </c>
      <c r="E21" s="1" t="s">
        <v>20</v>
      </c>
      <c r="F21" s="1" t="n">
        <v>8</v>
      </c>
      <c r="G21" s="2" t="s">
        <v>31</v>
      </c>
      <c r="H21" s="1" t="n">
        <v>0.1687</v>
      </c>
      <c r="I21" s="1" t="n">
        <v>0.2788657502234</v>
      </c>
      <c r="J21" s="1" t="n">
        <v>0.302632499634757</v>
      </c>
      <c r="K21" s="1" t="n">
        <f aca="false">J21-I21</f>
        <v>0.0237667494113572</v>
      </c>
      <c r="L21" s="1" t="n">
        <v>0.750666088952323</v>
      </c>
    </row>
    <row r="22" customFormat="false" ht="15" hidden="false" customHeight="false" outlineLevel="0" collapsed="false">
      <c r="A22" s="1" t="s">
        <v>38</v>
      </c>
      <c r="B22" s="1" t="s">
        <v>39</v>
      </c>
      <c r="C22" s="1" t="s">
        <v>40</v>
      </c>
      <c r="D22" s="1" t="s">
        <v>19</v>
      </c>
      <c r="E22" s="1" t="s">
        <v>20</v>
      </c>
      <c r="F22" s="1" t="n">
        <v>8</v>
      </c>
      <c r="G22" s="2" t="s">
        <v>21</v>
      </c>
      <c r="H22" s="1" t="n">
        <v>0.1679</v>
      </c>
      <c r="I22" s="1" t="n">
        <v>0.277490809893631</v>
      </c>
      <c r="J22" s="1" t="n">
        <v>0.316573244895918</v>
      </c>
      <c r="K22" s="1" t="n">
        <f aca="false">J22-I22</f>
        <v>0.0390824350022864</v>
      </c>
      <c r="L22" s="1" t="n">
        <v>0.750666088952323</v>
      </c>
    </row>
    <row r="23" customFormat="false" ht="15" hidden="false" customHeight="false" outlineLevel="0" collapsed="false">
      <c r="A23" s="1" t="s">
        <v>38</v>
      </c>
      <c r="B23" s="1" t="s">
        <v>39</v>
      </c>
      <c r="C23" s="1" t="s">
        <v>40</v>
      </c>
      <c r="D23" s="1" t="s">
        <v>19</v>
      </c>
      <c r="E23" s="1" t="s">
        <v>20</v>
      </c>
      <c r="F23" s="1" t="n">
        <v>8</v>
      </c>
      <c r="G23" s="2" t="s">
        <v>23</v>
      </c>
      <c r="H23" s="1" t="n">
        <v>0.1677</v>
      </c>
      <c r="I23" s="1" t="n">
        <v>0.27719267981174</v>
      </c>
      <c r="J23" s="1" t="n">
        <v>0.346633737526501</v>
      </c>
      <c r="K23" s="1" t="n">
        <f aca="false">J23-I23</f>
        <v>0.069441057714761</v>
      </c>
      <c r="L23" s="1" t="n">
        <v>0.750666088952323</v>
      </c>
    </row>
    <row r="24" customFormat="false" ht="15" hidden="false" customHeight="false" outlineLevel="0" collapsed="false">
      <c r="A24" s="1" t="s">
        <v>38</v>
      </c>
      <c r="B24" s="1" t="s">
        <v>39</v>
      </c>
      <c r="C24" s="1" t="s">
        <v>40</v>
      </c>
      <c r="D24" s="1" t="s">
        <v>19</v>
      </c>
      <c r="E24" s="1" t="s">
        <v>20</v>
      </c>
      <c r="F24" s="1" t="n">
        <v>8</v>
      </c>
      <c r="G24" s="2" t="s">
        <v>24</v>
      </c>
      <c r="H24" s="1" t="n">
        <v>0.1615</v>
      </c>
      <c r="I24" s="1" t="n">
        <v>0.26693397693462</v>
      </c>
      <c r="J24" s="1" t="n">
        <v>0.303673394976545</v>
      </c>
      <c r="K24" s="1" t="n">
        <f aca="false">J24-I24</f>
        <v>0.0367394180419249</v>
      </c>
      <c r="L24" s="1" t="n">
        <v>0.750666088952323</v>
      </c>
    </row>
    <row r="25" customFormat="false" ht="15" hidden="false" customHeight="false" outlineLevel="0" collapsed="false">
      <c r="A25" s="1" t="s">
        <v>38</v>
      </c>
      <c r="B25" s="1" t="s">
        <v>39</v>
      </c>
      <c r="C25" s="1" t="s">
        <v>40</v>
      </c>
      <c r="D25" s="1" t="s">
        <v>19</v>
      </c>
      <c r="E25" s="1" t="s">
        <v>20</v>
      </c>
      <c r="F25" s="1" t="n">
        <v>8</v>
      </c>
      <c r="G25" s="2" t="s">
        <v>41</v>
      </c>
      <c r="H25" s="1" t="n">
        <v>0.1563</v>
      </c>
      <c r="I25" s="1" t="n">
        <v>0.258318843109046</v>
      </c>
      <c r="J25" s="1" t="n">
        <v>0.343235941546216</v>
      </c>
      <c r="K25" s="1" t="n">
        <f aca="false">J25-I25</f>
        <v>0.0849170984371703</v>
      </c>
      <c r="L25" s="1" t="n">
        <v>0.750666088952323</v>
      </c>
    </row>
    <row r="26" customFormat="false" ht="15" hidden="false" customHeight="false" outlineLevel="0" collapsed="false">
      <c r="A26" s="1" t="s">
        <v>42</v>
      </c>
      <c r="B26" s="1" t="s">
        <v>43</v>
      </c>
      <c r="C26" s="1" t="s">
        <v>44</v>
      </c>
      <c r="D26" s="1" t="s">
        <v>19</v>
      </c>
      <c r="E26" s="1" t="s">
        <v>20</v>
      </c>
      <c r="F26" s="1" t="n">
        <v>10</v>
      </c>
      <c r="G26" s="2" t="s">
        <v>21</v>
      </c>
      <c r="H26" s="1" t="n">
        <v>0.2228</v>
      </c>
      <c r="I26" s="1" t="n">
        <v>0.313303549040475</v>
      </c>
      <c r="J26" s="1" t="n">
        <v>0.317822249465143</v>
      </c>
      <c r="K26" s="1" t="n">
        <f aca="false">J26-I26</f>
        <v>0.00451870042466801</v>
      </c>
      <c r="L26" s="1" t="n">
        <v>0.690037613967929</v>
      </c>
    </row>
    <row r="27" customFormat="false" ht="15" hidden="false" customHeight="false" outlineLevel="0" collapsed="false">
      <c r="A27" s="1" t="s">
        <v>42</v>
      </c>
      <c r="B27" s="1" t="s">
        <v>43</v>
      </c>
      <c r="C27" s="1" t="s">
        <v>44</v>
      </c>
      <c r="D27" s="1" t="s">
        <v>19</v>
      </c>
      <c r="E27" s="1" t="s">
        <v>20</v>
      </c>
      <c r="F27" s="1" t="n">
        <v>10</v>
      </c>
      <c r="G27" s="2" t="s">
        <v>23</v>
      </c>
      <c r="H27" s="1" t="n">
        <v>0.1778</v>
      </c>
      <c r="I27" s="1" t="n">
        <v>0.250133415061246</v>
      </c>
      <c r="J27" s="1" t="n">
        <v>0.295439998414699</v>
      </c>
      <c r="K27" s="1" t="n">
        <f aca="false">J27-I27</f>
        <v>0.0453065833534527</v>
      </c>
      <c r="L27" s="1" t="n">
        <v>0.690037613967929</v>
      </c>
    </row>
    <row r="28" customFormat="false" ht="15" hidden="false" customHeight="false" outlineLevel="0" collapsed="false">
      <c r="A28" s="1" t="s">
        <v>42</v>
      </c>
      <c r="B28" s="1" t="s">
        <v>43</v>
      </c>
      <c r="C28" s="1" t="s">
        <v>44</v>
      </c>
      <c r="D28" s="1" t="s">
        <v>19</v>
      </c>
      <c r="E28" s="1" t="s">
        <v>20</v>
      </c>
      <c r="F28" s="1" t="n">
        <v>10</v>
      </c>
      <c r="G28" s="2" t="s">
        <v>22</v>
      </c>
      <c r="H28" s="1" t="n">
        <v>0.1732</v>
      </c>
      <c r="I28" s="1" t="n">
        <v>0.243525553912455</v>
      </c>
      <c r="J28" s="1" t="n">
        <v>0.250718826826078</v>
      </c>
      <c r="K28" s="1" t="n">
        <f aca="false">J28-I28</f>
        <v>0.00719327291362282</v>
      </c>
      <c r="L28" s="1" t="n">
        <v>0.690037613967929</v>
      </c>
    </row>
    <row r="29" customFormat="false" ht="15" hidden="false" customHeight="false" outlineLevel="0" collapsed="false">
      <c r="A29" s="1" t="s">
        <v>42</v>
      </c>
      <c r="B29" s="1" t="s">
        <v>43</v>
      </c>
      <c r="C29" s="1" t="s">
        <v>44</v>
      </c>
      <c r="D29" s="1" t="s">
        <v>19</v>
      </c>
      <c r="E29" s="1" t="s">
        <v>20</v>
      </c>
      <c r="F29" s="1" t="n">
        <v>10</v>
      </c>
      <c r="G29" s="2" t="s">
        <v>31</v>
      </c>
      <c r="H29" s="1" t="n">
        <v>0.1641</v>
      </c>
      <c r="I29" s="1" t="n">
        <v>0.230775882984654</v>
      </c>
      <c r="J29" s="1" t="n">
        <v>0.240618901924414</v>
      </c>
      <c r="K29" s="1" t="n">
        <f aca="false">J29-I29</f>
        <v>0.00984301893975989</v>
      </c>
      <c r="L29" s="1" t="n">
        <v>0.690037613967929</v>
      </c>
    </row>
    <row r="30" customFormat="false" ht="15" hidden="false" customHeight="false" outlineLevel="0" collapsed="false">
      <c r="A30" s="1" t="s">
        <v>42</v>
      </c>
      <c r="B30" s="1" t="s">
        <v>43</v>
      </c>
      <c r="C30" s="1" t="s">
        <v>44</v>
      </c>
      <c r="D30" s="1" t="s">
        <v>19</v>
      </c>
      <c r="E30" s="1" t="s">
        <v>20</v>
      </c>
      <c r="F30" s="1" t="n">
        <v>10</v>
      </c>
      <c r="G30" s="2" t="s">
        <v>41</v>
      </c>
      <c r="H30" s="1" t="n">
        <v>0.1622</v>
      </c>
      <c r="I30" s="1" t="n">
        <v>0.22805416147886</v>
      </c>
      <c r="J30" s="1" t="n">
        <v>0.184365875855069</v>
      </c>
      <c r="K30" s="1" t="n">
        <f aca="false">J30-I30</f>
        <v>-0.0436882856237909</v>
      </c>
      <c r="L30" s="1" t="n">
        <v>0.690037613967929</v>
      </c>
    </row>
    <row r="31" customFormat="false" ht="15" hidden="false" customHeight="false" outlineLevel="0" collapsed="false">
      <c r="A31" s="1" t="s">
        <v>42</v>
      </c>
      <c r="B31" s="1" t="s">
        <v>43</v>
      </c>
      <c r="C31" s="1" t="s">
        <v>44</v>
      </c>
      <c r="D31" s="1" t="s">
        <v>19</v>
      </c>
      <c r="E31" s="1" t="s">
        <v>20</v>
      </c>
      <c r="F31" s="1" t="n">
        <v>10</v>
      </c>
      <c r="G31" s="2" t="s">
        <v>24</v>
      </c>
      <c r="H31" s="1" t="n">
        <v>0.1</v>
      </c>
      <c r="I31" s="1" t="n">
        <v>0.215352392566222</v>
      </c>
      <c r="J31" s="1" t="n">
        <v>0.179973523643997</v>
      </c>
      <c r="K31" s="1" t="n">
        <f aca="false">J31-I31</f>
        <v>-0.0353788689222245</v>
      </c>
      <c r="L31" s="1" t="n">
        <v>0.690037613967929</v>
      </c>
    </row>
    <row r="32" customFormat="false" ht="15" hidden="false" customHeight="false" outlineLevel="0" collapsed="false">
      <c r="A32" s="1" t="s">
        <v>45</v>
      </c>
      <c r="B32" s="1" t="s">
        <v>46</v>
      </c>
      <c r="C32" s="1" t="s">
        <v>47</v>
      </c>
      <c r="D32" s="1" t="s">
        <v>19</v>
      </c>
      <c r="E32" s="1" t="s">
        <v>20</v>
      </c>
      <c r="F32" s="1" t="n">
        <v>12</v>
      </c>
      <c r="G32" s="2" t="s">
        <v>21</v>
      </c>
      <c r="H32" s="1" t="n">
        <v>0.3348</v>
      </c>
      <c r="I32" s="1" t="n">
        <v>0.265039832753732</v>
      </c>
      <c r="J32" s="1" t="n">
        <v>0.26765982613875</v>
      </c>
      <c r="K32" s="1" t="n">
        <f aca="false">J32-I32</f>
        <v>0.002619993385018</v>
      </c>
      <c r="L32" s="1" t="n">
        <v>0.70889799084929</v>
      </c>
    </row>
    <row r="33" customFormat="false" ht="15" hidden="false" customHeight="false" outlineLevel="0" collapsed="false">
      <c r="A33" s="1" t="s">
        <v>45</v>
      </c>
      <c r="B33" s="1" t="s">
        <v>46</v>
      </c>
      <c r="C33" s="1" t="s">
        <v>47</v>
      </c>
      <c r="D33" s="1" t="s">
        <v>19</v>
      </c>
      <c r="E33" s="1" t="s">
        <v>20</v>
      </c>
      <c r="F33" s="1" t="n">
        <v>12</v>
      </c>
      <c r="G33" s="2" t="s">
        <v>23</v>
      </c>
      <c r="H33" s="1" t="n">
        <v>0.3045</v>
      </c>
      <c r="I33" s="1" t="n">
        <v>0.241073271048021</v>
      </c>
      <c r="J33" s="1" t="n">
        <v>0.296310827673262</v>
      </c>
      <c r="K33" s="1" t="n">
        <f aca="false">J33-I33</f>
        <v>0.0552375566252415</v>
      </c>
      <c r="L33" s="1" t="n">
        <v>0.70889799084929</v>
      </c>
    </row>
    <row r="34" customFormat="false" ht="15" hidden="false" customHeight="false" outlineLevel="0" collapsed="false">
      <c r="A34" s="1" t="s">
        <v>45</v>
      </c>
      <c r="B34" s="1" t="s">
        <v>46</v>
      </c>
      <c r="C34" s="1" t="s">
        <v>47</v>
      </c>
      <c r="D34" s="1" t="s">
        <v>19</v>
      </c>
      <c r="E34" s="1" t="s">
        <v>20</v>
      </c>
      <c r="F34" s="1" t="n">
        <v>12</v>
      </c>
      <c r="G34" s="2" t="s">
        <v>22</v>
      </c>
      <c r="H34" s="1" t="n">
        <v>0.2607</v>
      </c>
      <c r="I34" s="1" t="n">
        <v>0.206381848955748</v>
      </c>
      <c r="J34" s="1" t="n">
        <v>0.247360627877774</v>
      </c>
      <c r="K34" s="1" t="n">
        <f aca="false">J34-I34</f>
        <v>0.040978778922026</v>
      </c>
      <c r="L34" s="1" t="n">
        <v>0.70889799084929</v>
      </c>
    </row>
    <row r="35" customFormat="false" ht="15" hidden="false" customHeight="false" outlineLevel="0" collapsed="false">
      <c r="A35" s="1" t="s">
        <v>45</v>
      </c>
      <c r="B35" s="1" t="s">
        <v>46</v>
      </c>
      <c r="C35" s="1" t="s">
        <v>47</v>
      </c>
      <c r="D35" s="1" t="s">
        <v>19</v>
      </c>
      <c r="E35" s="1" t="s">
        <v>20</v>
      </c>
      <c r="F35" s="1" t="n">
        <v>12</v>
      </c>
      <c r="G35" s="2" t="s">
        <v>24</v>
      </c>
      <c r="H35" s="1" t="n">
        <v>0.1</v>
      </c>
      <c r="I35" s="1" t="n">
        <v>0.114383090627893</v>
      </c>
      <c r="J35" s="1" t="n">
        <v>0.230392094402566</v>
      </c>
      <c r="K35" s="1" t="n">
        <f aca="false">J35-I35</f>
        <v>0.116009003774673</v>
      </c>
      <c r="L35" s="1" t="n">
        <v>0.70889799084929</v>
      </c>
    </row>
    <row r="36" customFormat="false" ht="15" hidden="false" customHeight="false" outlineLevel="0" collapsed="false">
      <c r="A36" s="1" t="s">
        <v>48</v>
      </c>
      <c r="B36" s="1" t="s">
        <v>49</v>
      </c>
      <c r="C36" s="1" t="s">
        <v>50</v>
      </c>
      <c r="D36" s="1" t="s">
        <v>19</v>
      </c>
      <c r="E36" s="1" t="s">
        <v>20</v>
      </c>
      <c r="F36" s="1" t="n">
        <v>14</v>
      </c>
      <c r="G36" s="2" t="s">
        <v>37</v>
      </c>
      <c r="H36" s="1" t="n">
        <v>0.4851</v>
      </c>
      <c r="I36" s="1" t="n">
        <v>0.241520665520469</v>
      </c>
      <c r="J36" s="1" t="n">
        <v>0.282720437081835</v>
      </c>
      <c r="K36" s="1" t="n">
        <f aca="false">J36-I36</f>
        <v>0.0411997715613665</v>
      </c>
      <c r="L36" s="1" t="n">
        <v>0.685546620467512</v>
      </c>
    </row>
    <row r="37" customFormat="false" ht="15" hidden="false" customHeight="false" outlineLevel="0" collapsed="false">
      <c r="A37" s="1" t="s">
        <v>48</v>
      </c>
      <c r="B37" s="1" t="s">
        <v>49</v>
      </c>
      <c r="C37" s="1" t="s">
        <v>50</v>
      </c>
      <c r="D37" s="1" t="s">
        <v>19</v>
      </c>
      <c r="E37" s="1" t="s">
        <v>20</v>
      </c>
      <c r="F37" s="1" t="n">
        <v>14</v>
      </c>
      <c r="G37" s="2" t="s">
        <v>23</v>
      </c>
      <c r="H37" s="1" t="n">
        <v>0.4149</v>
      </c>
      <c r="I37" s="1" t="n">
        <v>0.206575758025688</v>
      </c>
      <c r="J37" s="1" t="n">
        <v>0.349726992568922</v>
      </c>
      <c r="K37" s="1" t="n">
        <f aca="false">J37-I37</f>
        <v>0.143151234543235</v>
      </c>
      <c r="L37" s="1" t="n">
        <v>0.685546620467512</v>
      </c>
    </row>
    <row r="38" customFormat="false" ht="15" hidden="false" customHeight="false" outlineLevel="0" collapsed="false">
      <c r="A38" s="1" t="s">
        <v>48</v>
      </c>
      <c r="B38" s="1" t="s">
        <v>49</v>
      </c>
      <c r="C38" s="1" t="s">
        <v>50</v>
      </c>
      <c r="D38" s="1" t="s">
        <v>19</v>
      </c>
      <c r="E38" s="1" t="s">
        <v>20</v>
      </c>
      <c r="F38" s="1" t="n">
        <v>14</v>
      </c>
      <c r="G38" s="2" t="s">
        <v>24</v>
      </c>
      <c r="H38" s="1" t="n">
        <v>0.1</v>
      </c>
      <c r="I38" s="1" t="n">
        <v>0.122050911176336</v>
      </c>
      <c r="J38" s="1" t="n">
        <v>0.218760415062685</v>
      </c>
      <c r="K38" s="1" t="n">
        <f aca="false">J38-I38</f>
        <v>0.0967095038863489</v>
      </c>
      <c r="L38" s="1" t="n">
        <v>0.685546620467512</v>
      </c>
    </row>
    <row r="39" customFormat="false" ht="15" hidden="false" customHeight="false" outlineLevel="0" collapsed="false">
      <c r="A39" s="1" t="s">
        <v>51</v>
      </c>
      <c r="B39" s="1" t="s">
        <v>52</v>
      </c>
      <c r="C39" s="1" t="s">
        <v>53</v>
      </c>
      <c r="D39" s="1" t="s">
        <v>19</v>
      </c>
      <c r="E39" s="1" t="s">
        <v>20</v>
      </c>
      <c r="F39" s="1" t="n">
        <v>16</v>
      </c>
      <c r="G39" s="2" t="s">
        <v>23</v>
      </c>
      <c r="H39" s="1" t="n">
        <v>0.9</v>
      </c>
      <c r="I39" s="1" t="n">
        <v>0.205943324916854</v>
      </c>
      <c r="J39" s="1" t="n">
        <v>0.338235879724564</v>
      </c>
      <c r="K39" s="1" t="n">
        <f aca="false">J39-I39</f>
        <v>0.13229255480771</v>
      </c>
      <c r="L39" s="1" t="n">
        <v>0.727629515141836</v>
      </c>
    </row>
    <row r="40" customFormat="false" ht="15" hidden="false" customHeight="false" outlineLevel="0" collapsed="false">
      <c r="A40" s="1" t="s">
        <v>51</v>
      </c>
      <c r="B40" s="1" t="s">
        <v>52</v>
      </c>
      <c r="C40" s="1" t="s">
        <v>53</v>
      </c>
      <c r="D40" s="1" t="s">
        <v>19</v>
      </c>
      <c r="E40" s="1" t="s">
        <v>20</v>
      </c>
      <c r="F40" s="1" t="n">
        <v>16</v>
      </c>
      <c r="G40" s="2" t="s">
        <v>24</v>
      </c>
      <c r="H40" s="1" t="n">
        <v>0.1</v>
      </c>
      <c r="I40" s="1" t="n">
        <v>0.108283243924442</v>
      </c>
      <c r="J40" s="1" t="n">
        <v>0.192608403035315</v>
      </c>
      <c r="K40" s="1" t="n">
        <f aca="false">J40-I40</f>
        <v>0.0843251591108734</v>
      </c>
      <c r="L40" s="1" t="n">
        <v>0.727629515141836</v>
      </c>
    </row>
    <row r="41" customFormat="false" ht="15" hidden="false" customHeight="false" outlineLevel="0" collapsed="false">
      <c r="A41" s="1" t="s">
        <v>54</v>
      </c>
      <c r="B41" s="1" t="s">
        <v>55</v>
      </c>
      <c r="C41" s="1" t="s">
        <v>56</v>
      </c>
      <c r="D41" s="1" t="s">
        <v>19</v>
      </c>
      <c r="E41" s="1" t="s">
        <v>20</v>
      </c>
      <c r="F41" s="1" t="n">
        <v>18</v>
      </c>
      <c r="G41" s="2" t="s">
        <v>23</v>
      </c>
      <c r="H41" s="1" t="n">
        <v>0.2268</v>
      </c>
      <c r="I41" s="1" t="n">
        <v>0.33741066087711</v>
      </c>
      <c r="J41" s="1" t="n">
        <v>0.39605438287118</v>
      </c>
      <c r="K41" s="1" t="n">
        <f aca="false">J41-I41</f>
        <v>0.0586437219940703</v>
      </c>
      <c r="L41" s="1" t="n">
        <v>0.637485514971611</v>
      </c>
    </row>
    <row r="42" customFormat="false" ht="15" hidden="false" customHeight="false" outlineLevel="0" collapsed="false">
      <c r="A42" s="1" t="s">
        <v>54</v>
      </c>
      <c r="B42" s="1" t="s">
        <v>55</v>
      </c>
      <c r="C42" s="1" t="s">
        <v>56</v>
      </c>
      <c r="D42" s="1" t="s">
        <v>19</v>
      </c>
      <c r="E42" s="1" t="s">
        <v>20</v>
      </c>
      <c r="F42" s="1" t="n">
        <v>18</v>
      </c>
      <c r="G42" s="2" t="s">
        <v>22</v>
      </c>
      <c r="H42" s="1" t="n">
        <v>0.1921</v>
      </c>
      <c r="I42" s="1" t="n">
        <v>0.285799837629342</v>
      </c>
      <c r="J42" s="1" t="n">
        <v>0.326151370309038</v>
      </c>
      <c r="K42" s="1" t="n">
        <f aca="false">J42-I42</f>
        <v>0.040351532679696</v>
      </c>
      <c r="L42" s="1" t="n">
        <v>0.637485514971611</v>
      </c>
    </row>
    <row r="43" customFormat="false" ht="15" hidden="false" customHeight="false" outlineLevel="0" collapsed="false">
      <c r="A43" s="1" t="s">
        <v>54</v>
      </c>
      <c r="B43" s="1" t="s">
        <v>55</v>
      </c>
      <c r="C43" s="1" t="s">
        <v>56</v>
      </c>
      <c r="D43" s="1" t="s">
        <v>19</v>
      </c>
      <c r="E43" s="1" t="s">
        <v>20</v>
      </c>
      <c r="F43" s="1" t="n">
        <v>18</v>
      </c>
      <c r="G43" s="2" t="s">
        <v>21</v>
      </c>
      <c r="H43" s="1" t="n">
        <v>0.1712</v>
      </c>
      <c r="I43" s="1" t="n">
        <v>0.254672024434497</v>
      </c>
      <c r="J43" s="1" t="n">
        <v>0.315554088102524</v>
      </c>
      <c r="K43" s="1" t="n">
        <f aca="false">J43-I43</f>
        <v>0.0608820636680267</v>
      </c>
      <c r="L43" s="1" t="n">
        <v>0.637485514971611</v>
      </c>
    </row>
    <row r="44" customFormat="false" ht="15" hidden="false" customHeight="false" outlineLevel="0" collapsed="false">
      <c r="A44" s="1" t="s">
        <v>54</v>
      </c>
      <c r="B44" s="1" t="s">
        <v>55</v>
      </c>
      <c r="C44" s="1" t="s">
        <v>56</v>
      </c>
      <c r="D44" s="1" t="s">
        <v>19</v>
      </c>
      <c r="E44" s="1" t="s">
        <v>20</v>
      </c>
      <c r="F44" s="1" t="n">
        <v>18</v>
      </c>
      <c r="G44" s="2" t="s">
        <v>57</v>
      </c>
      <c r="H44" s="1" t="n">
        <v>0.1666</v>
      </c>
      <c r="I44" s="1" t="n">
        <v>0.247836473055099</v>
      </c>
      <c r="J44" s="1" t="n">
        <v>0.270520158274429</v>
      </c>
      <c r="K44" s="1" t="n">
        <f aca="false">J44-I44</f>
        <v>0.0226836852193301</v>
      </c>
      <c r="L44" s="1" t="n">
        <v>0.637485514971611</v>
      </c>
    </row>
    <row r="45" customFormat="false" ht="15" hidden="false" customHeight="false" outlineLevel="0" collapsed="false">
      <c r="A45" s="1" t="s">
        <v>54</v>
      </c>
      <c r="B45" s="1" t="s">
        <v>55</v>
      </c>
      <c r="C45" s="1" t="s">
        <v>56</v>
      </c>
      <c r="D45" s="1" t="s">
        <v>19</v>
      </c>
      <c r="E45" s="1" t="s">
        <v>20</v>
      </c>
      <c r="F45" s="1" t="n">
        <v>18</v>
      </c>
      <c r="G45" s="2" t="s">
        <v>33</v>
      </c>
      <c r="H45" s="1" t="n">
        <v>0.1433</v>
      </c>
      <c r="I45" s="1" t="n">
        <v>0.213111043769402</v>
      </c>
      <c r="J45" s="1" t="n">
        <v>0.278934898830169</v>
      </c>
      <c r="K45" s="1" t="n">
        <f aca="false">J45-I45</f>
        <v>0.0658238550607667</v>
      </c>
      <c r="L45" s="1" t="n">
        <v>0.637485514971611</v>
      </c>
    </row>
    <row r="46" customFormat="false" ht="15" hidden="false" customHeight="false" outlineLevel="0" collapsed="false">
      <c r="A46" s="1" t="s">
        <v>54</v>
      </c>
      <c r="B46" s="1" t="s">
        <v>55</v>
      </c>
      <c r="C46" s="1" t="s">
        <v>56</v>
      </c>
      <c r="D46" s="1" t="s">
        <v>19</v>
      </c>
      <c r="E46" s="1" t="s">
        <v>20</v>
      </c>
      <c r="F46" s="1" t="n">
        <v>18</v>
      </c>
      <c r="G46" s="2" t="s">
        <v>24</v>
      </c>
      <c r="H46" s="1" t="n">
        <v>0.1</v>
      </c>
      <c r="I46" s="1" t="n">
        <v>0.204104355504372</v>
      </c>
      <c r="J46" s="1" t="n">
        <v>0.295568058293931</v>
      </c>
      <c r="K46" s="1" t="n">
        <f aca="false">J46-I46</f>
        <v>0.091463702789559</v>
      </c>
      <c r="L46" s="1" t="n">
        <v>0.637485514971611</v>
      </c>
    </row>
    <row r="47" customFormat="false" ht="15" hidden="false" customHeight="false" outlineLevel="0" collapsed="false">
      <c r="A47" s="1" t="s">
        <v>58</v>
      </c>
      <c r="B47" s="1" t="s">
        <v>59</v>
      </c>
      <c r="C47" s="1" t="s">
        <v>60</v>
      </c>
      <c r="D47" s="1" t="s">
        <v>19</v>
      </c>
      <c r="E47" s="1" t="s">
        <v>20</v>
      </c>
      <c r="F47" s="1" t="n">
        <v>20</v>
      </c>
      <c r="G47" s="2" t="s">
        <v>23</v>
      </c>
      <c r="H47" s="1" t="n">
        <v>0.1765</v>
      </c>
      <c r="I47" s="1" t="n">
        <v>0.266998487194173</v>
      </c>
      <c r="J47" s="1" t="n">
        <v>0.270460731621828</v>
      </c>
      <c r="K47" s="1" t="n">
        <f aca="false">J47-I47</f>
        <v>0.00346224442765541</v>
      </c>
      <c r="L47" s="1" t="n">
        <v>0.717989456556699</v>
      </c>
    </row>
    <row r="48" customFormat="false" ht="15" hidden="false" customHeight="false" outlineLevel="0" collapsed="false">
      <c r="A48" s="1" t="s">
        <v>58</v>
      </c>
      <c r="B48" s="1" t="s">
        <v>59</v>
      </c>
      <c r="C48" s="1" t="s">
        <v>60</v>
      </c>
      <c r="D48" s="1" t="s">
        <v>19</v>
      </c>
      <c r="E48" s="1" t="s">
        <v>20</v>
      </c>
      <c r="F48" s="1" t="n">
        <v>20</v>
      </c>
      <c r="G48" s="2" t="s">
        <v>22</v>
      </c>
      <c r="H48" s="1" t="n">
        <v>0.1737</v>
      </c>
      <c r="I48" s="1" t="n">
        <v>0.262691530000105</v>
      </c>
      <c r="J48" s="1" t="n">
        <v>0.269534082538195</v>
      </c>
      <c r="K48" s="1" t="n">
        <f aca="false">J48-I48</f>
        <v>0.00684255253808969</v>
      </c>
      <c r="L48" s="1" t="n">
        <v>0.717989456556699</v>
      </c>
    </row>
    <row r="49" customFormat="false" ht="15" hidden="false" customHeight="false" outlineLevel="0" collapsed="false">
      <c r="A49" s="1" t="s">
        <v>58</v>
      </c>
      <c r="B49" s="1" t="s">
        <v>59</v>
      </c>
      <c r="C49" s="1" t="s">
        <v>60</v>
      </c>
      <c r="D49" s="1" t="s">
        <v>19</v>
      </c>
      <c r="E49" s="1" t="s">
        <v>20</v>
      </c>
      <c r="F49" s="1" t="n">
        <v>20</v>
      </c>
      <c r="G49" s="2" t="s">
        <v>37</v>
      </c>
      <c r="H49" s="1" t="n">
        <v>0.166</v>
      </c>
      <c r="I49" s="1" t="n">
        <v>0.251030387928667</v>
      </c>
      <c r="J49" s="1" t="n">
        <v>0.298548575182799</v>
      </c>
      <c r="K49" s="1" t="n">
        <f aca="false">J49-I49</f>
        <v>0.0475181872541316</v>
      </c>
      <c r="L49" s="1" t="n">
        <v>0.717989456556699</v>
      </c>
    </row>
    <row r="50" customFormat="false" ht="15" hidden="false" customHeight="false" outlineLevel="0" collapsed="false">
      <c r="A50" s="1" t="s">
        <v>58</v>
      </c>
      <c r="B50" s="1" t="s">
        <v>59</v>
      </c>
      <c r="C50" s="1" t="s">
        <v>60</v>
      </c>
      <c r="D50" s="1" t="s">
        <v>19</v>
      </c>
      <c r="E50" s="1" t="s">
        <v>20</v>
      </c>
      <c r="F50" s="1" t="n">
        <v>20</v>
      </c>
      <c r="G50" s="2" t="s">
        <v>24</v>
      </c>
      <c r="H50" s="1" t="n">
        <v>0.1652</v>
      </c>
      <c r="I50" s="1" t="n">
        <v>0.249888027991423</v>
      </c>
      <c r="J50" s="1" t="n">
        <v>0.277667921810212</v>
      </c>
      <c r="K50" s="1" t="n">
        <f aca="false">J50-I50</f>
        <v>0.0277798938187889</v>
      </c>
      <c r="L50" s="1" t="n">
        <v>0.717989456556699</v>
      </c>
    </row>
    <row r="51" customFormat="false" ht="15" hidden="false" customHeight="false" outlineLevel="0" collapsed="false">
      <c r="A51" s="1" t="s">
        <v>58</v>
      </c>
      <c r="B51" s="1" t="s">
        <v>59</v>
      </c>
      <c r="C51" s="1" t="s">
        <v>60</v>
      </c>
      <c r="D51" s="1" t="s">
        <v>19</v>
      </c>
      <c r="E51" s="1" t="s">
        <v>20</v>
      </c>
      <c r="F51" s="1" t="n">
        <v>20</v>
      </c>
      <c r="G51" s="2" t="s">
        <v>41</v>
      </c>
      <c r="H51" s="1" t="n">
        <v>0.1647</v>
      </c>
      <c r="I51" s="1" t="n">
        <v>0.249138758969826</v>
      </c>
      <c r="J51" s="1" t="n">
        <v>0.234911077893434</v>
      </c>
      <c r="K51" s="1" t="n">
        <f aca="false">J51-I51</f>
        <v>-0.0142276810763919</v>
      </c>
      <c r="L51" s="1" t="n">
        <v>0.717989456556699</v>
      </c>
    </row>
    <row r="52" customFormat="false" ht="15" hidden="false" customHeight="false" outlineLevel="0" collapsed="false">
      <c r="A52" s="1" t="s">
        <v>58</v>
      </c>
      <c r="B52" s="1" t="s">
        <v>59</v>
      </c>
      <c r="C52" s="1" t="s">
        <v>60</v>
      </c>
      <c r="D52" s="1" t="s">
        <v>19</v>
      </c>
      <c r="E52" s="1" t="s">
        <v>20</v>
      </c>
      <c r="F52" s="1" t="n">
        <v>20</v>
      </c>
      <c r="G52" s="2" t="s">
        <v>21</v>
      </c>
      <c r="H52" s="1" t="n">
        <v>0.154</v>
      </c>
      <c r="I52" s="1" t="n">
        <v>0.232935653487861</v>
      </c>
      <c r="J52" s="1" t="n">
        <v>0.265645188605288</v>
      </c>
      <c r="K52" s="1" t="n">
        <f aca="false">J52-I52</f>
        <v>0.0327095351174273</v>
      </c>
      <c r="L52" s="1" t="n">
        <v>0.717989456556699</v>
      </c>
    </row>
    <row r="53" customFormat="false" ht="15" hidden="false" customHeight="false" outlineLevel="0" collapsed="false">
      <c r="A53" s="1" t="s">
        <v>61</v>
      </c>
      <c r="B53" s="1" t="s">
        <v>62</v>
      </c>
      <c r="C53" s="1" t="s">
        <v>63</v>
      </c>
      <c r="D53" s="1" t="s">
        <v>19</v>
      </c>
      <c r="E53" s="1" t="s">
        <v>20</v>
      </c>
      <c r="F53" s="1" t="n">
        <v>22</v>
      </c>
      <c r="G53" s="2" t="s">
        <v>31</v>
      </c>
      <c r="H53" s="1" t="n">
        <v>0.1804</v>
      </c>
      <c r="I53" s="1" t="n">
        <v>0.242738216026124</v>
      </c>
      <c r="J53" s="1" t="n">
        <v>0.331275521422268</v>
      </c>
      <c r="K53" s="1" t="n">
        <f aca="false">J53-I53</f>
        <v>0.0885373053961444</v>
      </c>
      <c r="L53" s="1" t="n">
        <v>0.770906292597071</v>
      </c>
    </row>
    <row r="54" customFormat="false" ht="15" hidden="false" customHeight="false" outlineLevel="0" collapsed="false">
      <c r="A54" s="1" t="s">
        <v>61</v>
      </c>
      <c r="B54" s="1" t="s">
        <v>62</v>
      </c>
      <c r="C54" s="1" t="s">
        <v>63</v>
      </c>
      <c r="D54" s="1" t="s">
        <v>19</v>
      </c>
      <c r="E54" s="1" t="s">
        <v>20</v>
      </c>
      <c r="F54" s="1" t="n">
        <v>22</v>
      </c>
      <c r="G54" s="2" t="s">
        <v>37</v>
      </c>
      <c r="H54" s="1" t="n">
        <v>0.1765</v>
      </c>
      <c r="I54" s="1" t="n">
        <v>0.23751251395433</v>
      </c>
      <c r="J54" s="1" t="n">
        <v>0.317831901926953</v>
      </c>
      <c r="K54" s="1" t="n">
        <f aca="false">J54-I54</f>
        <v>0.0803193879726231</v>
      </c>
      <c r="L54" s="1" t="n">
        <v>0.770906292597071</v>
      </c>
    </row>
    <row r="55" customFormat="false" ht="15" hidden="false" customHeight="false" outlineLevel="0" collapsed="false">
      <c r="A55" s="1" t="s">
        <v>61</v>
      </c>
      <c r="B55" s="1" t="s">
        <v>62</v>
      </c>
      <c r="C55" s="1" t="s">
        <v>63</v>
      </c>
      <c r="D55" s="1" t="s">
        <v>19</v>
      </c>
      <c r="E55" s="1" t="s">
        <v>20</v>
      </c>
      <c r="F55" s="1" t="n">
        <v>22</v>
      </c>
      <c r="G55" s="2" t="s">
        <v>21</v>
      </c>
      <c r="H55" s="1" t="n">
        <v>0.1654</v>
      </c>
      <c r="I55" s="1" t="n">
        <v>0.222526469142193</v>
      </c>
      <c r="J55" s="1" t="n">
        <v>0.271571326454675</v>
      </c>
      <c r="K55" s="1" t="n">
        <f aca="false">J55-I55</f>
        <v>0.0490448573124822</v>
      </c>
      <c r="L55" s="1" t="n">
        <v>0.770906292597071</v>
      </c>
    </row>
    <row r="56" customFormat="false" ht="15" hidden="false" customHeight="false" outlineLevel="0" collapsed="false">
      <c r="A56" s="1" t="s">
        <v>61</v>
      </c>
      <c r="B56" s="1" t="s">
        <v>62</v>
      </c>
      <c r="C56" s="1" t="s">
        <v>63</v>
      </c>
      <c r="D56" s="1" t="s">
        <v>19</v>
      </c>
      <c r="E56" s="1" t="s">
        <v>20</v>
      </c>
      <c r="F56" s="1" t="n">
        <v>22</v>
      </c>
      <c r="G56" s="2" t="s">
        <v>24</v>
      </c>
      <c r="H56" s="1" t="n">
        <v>0.1654</v>
      </c>
      <c r="I56" s="1" t="n">
        <v>0.222548551211435</v>
      </c>
      <c r="J56" s="1" t="n">
        <v>0.305001604418757</v>
      </c>
      <c r="K56" s="1" t="n">
        <f aca="false">J56-I56</f>
        <v>0.0824530532073217</v>
      </c>
      <c r="L56" s="1" t="n">
        <v>0.770906292597071</v>
      </c>
    </row>
    <row r="57" customFormat="false" ht="15" hidden="false" customHeight="false" outlineLevel="0" collapsed="false">
      <c r="A57" s="1" t="s">
        <v>61</v>
      </c>
      <c r="B57" s="1" t="s">
        <v>62</v>
      </c>
      <c r="C57" s="1" t="s">
        <v>63</v>
      </c>
      <c r="D57" s="1" t="s">
        <v>19</v>
      </c>
      <c r="E57" s="1" t="s">
        <v>20</v>
      </c>
      <c r="F57" s="1" t="n">
        <v>22</v>
      </c>
      <c r="G57" s="2" t="s">
        <v>64</v>
      </c>
      <c r="H57" s="1" t="n">
        <v>0.1574</v>
      </c>
      <c r="I57" s="1" t="n">
        <v>0.211824672163421</v>
      </c>
      <c r="J57" s="1" t="n">
        <v>0.22992437815977</v>
      </c>
      <c r="K57" s="1" t="n">
        <f aca="false">J57-I57</f>
        <v>0.0180997059963486</v>
      </c>
      <c r="L57" s="1" t="n">
        <v>0.770906292597071</v>
      </c>
    </row>
    <row r="58" customFormat="false" ht="15" hidden="false" customHeight="false" outlineLevel="0" collapsed="false">
      <c r="A58" s="1" t="s">
        <v>61</v>
      </c>
      <c r="B58" s="1" t="s">
        <v>62</v>
      </c>
      <c r="C58" s="1" t="s">
        <v>63</v>
      </c>
      <c r="D58" s="1" t="s">
        <v>19</v>
      </c>
      <c r="E58" s="1" t="s">
        <v>20</v>
      </c>
      <c r="F58" s="1" t="n">
        <v>22</v>
      </c>
      <c r="G58" s="2" t="s">
        <v>33</v>
      </c>
      <c r="H58" s="1" t="n">
        <v>0.1549</v>
      </c>
      <c r="I58" s="1" t="n">
        <v>0.20846970621224</v>
      </c>
      <c r="J58" s="1" t="n">
        <v>0.277910278443743</v>
      </c>
      <c r="K58" s="1" t="n">
        <f aca="false">J58-I58</f>
        <v>0.069440572231503</v>
      </c>
      <c r="L58" s="1" t="n">
        <v>0.770906292597071</v>
      </c>
    </row>
    <row r="59" customFormat="false" ht="15" hidden="false" customHeight="false" outlineLevel="0" collapsed="false">
      <c r="A59" s="1" t="s">
        <v>65</v>
      </c>
      <c r="B59" s="1" t="s">
        <v>66</v>
      </c>
      <c r="C59" s="1" t="s">
        <v>67</v>
      </c>
      <c r="D59" s="1" t="s">
        <v>19</v>
      </c>
      <c r="E59" s="1" t="s">
        <v>20</v>
      </c>
      <c r="F59" s="1" t="n">
        <v>24</v>
      </c>
      <c r="G59" s="2" t="s">
        <v>22</v>
      </c>
      <c r="H59" s="1" t="n">
        <v>0.194</v>
      </c>
      <c r="I59" s="1" t="n">
        <v>0.274109087887139</v>
      </c>
      <c r="J59" s="1" t="n">
        <v>0.354134432793193</v>
      </c>
      <c r="K59" s="1" t="n">
        <f aca="false">J59-I59</f>
        <v>0.0800253449060531</v>
      </c>
      <c r="L59" s="1" t="n">
        <v>0.709827899363474</v>
      </c>
    </row>
    <row r="60" customFormat="false" ht="15" hidden="false" customHeight="false" outlineLevel="0" collapsed="false">
      <c r="A60" s="1" t="s">
        <v>65</v>
      </c>
      <c r="B60" s="1" t="s">
        <v>66</v>
      </c>
      <c r="C60" s="1" t="s">
        <v>67</v>
      </c>
      <c r="D60" s="1" t="s">
        <v>19</v>
      </c>
      <c r="E60" s="1" t="s">
        <v>20</v>
      </c>
      <c r="F60" s="1" t="n">
        <v>24</v>
      </c>
      <c r="G60" s="2" t="s">
        <v>21</v>
      </c>
      <c r="H60" s="1" t="n">
        <v>0.1845</v>
      </c>
      <c r="I60" s="1" t="n">
        <v>0.260787817400938</v>
      </c>
      <c r="J60" s="1" t="n">
        <v>0.370949950096039</v>
      </c>
      <c r="K60" s="1" t="n">
        <f aca="false">J60-I60</f>
        <v>0.110162132695102</v>
      </c>
      <c r="L60" s="1" t="n">
        <v>0.709827899363474</v>
      </c>
    </row>
    <row r="61" customFormat="false" ht="15" hidden="false" customHeight="false" outlineLevel="0" collapsed="false">
      <c r="A61" s="1" t="s">
        <v>65</v>
      </c>
      <c r="B61" s="1" t="s">
        <v>66</v>
      </c>
      <c r="C61" s="1" t="s">
        <v>67</v>
      </c>
      <c r="D61" s="1" t="s">
        <v>19</v>
      </c>
      <c r="E61" s="1" t="s">
        <v>20</v>
      </c>
      <c r="F61" s="1" t="n">
        <v>24</v>
      </c>
      <c r="G61" s="2" t="s">
        <v>23</v>
      </c>
      <c r="H61" s="1" t="n">
        <v>0.1814</v>
      </c>
      <c r="I61" s="1" t="n">
        <v>0.256343217655502</v>
      </c>
      <c r="J61" s="1" t="n">
        <v>0.375144557465765</v>
      </c>
      <c r="K61" s="1" t="n">
        <f aca="false">J61-I61</f>
        <v>0.118801339810264</v>
      </c>
      <c r="L61" s="1" t="n">
        <v>0.709827899363474</v>
      </c>
    </row>
    <row r="62" customFormat="false" ht="15" hidden="false" customHeight="false" outlineLevel="0" collapsed="false">
      <c r="A62" s="1" t="s">
        <v>65</v>
      </c>
      <c r="B62" s="1" t="s">
        <v>66</v>
      </c>
      <c r="C62" s="1" t="s">
        <v>67</v>
      </c>
      <c r="D62" s="1" t="s">
        <v>19</v>
      </c>
      <c r="E62" s="1" t="s">
        <v>20</v>
      </c>
      <c r="F62" s="1" t="n">
        <v>24</v>
      </c>
      <c r="G62" s="2" t="s">
        <v>31</v>
      </c>
      <c r="H62" s="1" t="n">
        <v>0.1767</v>
      </c>
      <c r="I62" s="1" t="n">
        <v>0.249709713284936</v>
      </c>
      <c r="J62" s="1" t="n">
        <v>0.298687529478928</v>
      </c>
      <c r="K62" s="1" t="n">
        <f aca="false">J62-I62</f>
        <v>0.0489778161939923</v>
      </c>
      <c r="L62" s="1" t="n">
        <v>0.709827899363474</v>
      </c>
    </row>
    <row r="63" customFormat="false" ht="15" hidden="false" customHeight="false" outlineLevel="0" collapsed="false">
      <c r="A63" s="1" t="s">
        <v>65</v>
      </c>
      <c r="B63" s="1" t="s">
        <v>66</v>
      </c>
      <c r="C63" s="1" t="s">
        <v>67</v>
      </c>
      <c r="D63" s="1" t="s">
        <v>19</v>
      </c>
      <c r="E63" s="1" t="s">
        <v>20</v>
      </c>
      <c r="F63" s="1" t="n">
        <v>24</v>
      </c>
      <c r="G63" s="2" t="s">
        <v>37</v>
      </c>
      <c r="H63" s="1" t="n">
        <v>0.1634</v>
      </c>
      <c r="I63" s="1" t="n">
        <v>0.230885742672652</v>
      </c>
      <c r="J63" s="1" t="n">
        <v>0.323867816036139</v>
      </c>
      <c r="K63" s="1" t="n">
        <f aca="false">J63-I63</f>
        <v>0.0929820733634869</v>
      </c>
      <c r="L63" s="1" t="n">
        <v>0.709827899363474</v>
      </c>
    </row>
    <row r="64" customFormat="false" ht="15" hidden="false" customHeight="false" outlineLevel="0" collapsed="false">
      <c r="A64" s="1" t="s">
        <v>65</v>
      </c>
      <c r="B64" s="1" t="s">
        <v>66</v>
      </c>
      <c r="C64" s="1" t="s">
        <v>67</v>
      </c>
      <c r="D64" s="1" t="s">
        <v>19</v>
      </c>
      <c r="E64" s="1" t="s">
        <v>20</v>
      </c>
      <c r="F64" s="1" t="n">
        <v>24</v>
      </c>
      <c r="G64" s="2" t="s">
        <v>24</v>
      </c>
      <c r="H64" s="1" t="n">
        <v>0.1</v>
      </c>
      <c r="I64" s="1" t="n">
        <v>0.218936508783372</v>
      </c>
      <c r="J64" s="1" t="n">
        <v>0.279010513047055</v>
      </c>
      <c r="K64" s="1" t="n">
        <f aca="false">J64-I64</f>
        <v>0.0600740042636836</v>
      </c>
      <c r="L64" s="1" t="n">
        <v>0.709827899363474</v>
      </c>
    </row>
    <row r="65" customFormat="false" ht="15" hidden="false" customHeight="false" outlineLevel="0" collapsed="false">
      <c r="A65" s="1" t="s">
        <v>68</v>
      </c>
      <c r="B65" s="1" t="s">
        <v>69</v>
      </c>
      <c r="C65" s="1" t="s">
        <v>70</v>
      </c>
      <c r="D65" s="1" t="s">
        <v>19</v>
      </c>
      <c r="E65" s="1" t="s">
        <v>20</v>
      </c>
      <c r="F65" s="1" t="n">
        <v>26</v>
      </c>
      <c r="G65" s="2" t="s">
        <v>21</v>
      </c>
      <c r="H65" s="1" t="n">
        <v>0.1946</v>
      </c>
      <c r="I65" s="1" t="n">
        <v>0.389174990135541</v>
      </c>
      <c r="J65" s="1" t="n">
        <v>0.39636515569747</v>
      </c>
      <c r="K65" s="1" t="n">
        <f aca="false">J65-I65</f>
        <v>0.0071901655619292</v>
      </c>
      <c r="L65" s="1" t="n">
        <v>0.824775999287701</v>
      </c>
    </row>
    <row r="66" customFormat="false" ht="15" hidden="false" customHeight="false" outlineLevel="0" collapsed="false">
      <c r="A66" s="1" t="s">
        <v>68</v>
      </c>
      <c r="B66" s="1" t="s">
        <v>69</v>
      </c>
      <c r="C66" s="1" t="s">
        <v>70</v>
      </c>
      <c r="D66" s="1" t="s">
        <v>19</v>
      </c>
      <c r="E66" s="1" t="s">
        <v>20</v>
      </c>
      <c r="F66" s="1" t="n">
        <v>26</v>
      </c>
      <c r="G66" s="2" t="s">
        <v>23</v>
      </c>
      <c r="H66" s="1" t="n">
        <v>0.1759</v>
      </c>
      <c r="I66" s="1" t="n">
        <v>0.351730338187734</v>
      </c>
      <c r="J66" s="1" t="n">
        <v>0.392023579965067</v>
      </c>
      <c r="K66" s="1" t="n">
        <f aca="false">J66-I66</f>
        <v>0.0402932417773329</v>
      </c>
      <c r="L66" s="1" t="n">
        <v>0.824775999287701</v>
      </c>
    </row>
    <row r="67" customFormat="false" ht="15" hidden="false" customHeight="false" outlineLevel="0" collapsed="false">
      <c r="A67" s="1" t="s">
        <v>68</v>
      </c>
      <c r="B67" s="1" t="s">
        <v>69</v>
      </c>
      <c r="C67" s="1" t="s">
        <v>70</v>
      </c>
      <c r="D67" s="1" t="s">
        <v>19</v>
      </c>
      <c r="E67" s="1" t="s">
        <v>20</v>
      </c>
      <c r="F67" s="1" t="n">
        <v>26</v>
      </c>
      <c r="G67" s="2" t="s">
        <v>22</v>
      </c>
      <c r="H67" s="1" t="n">
        <v>0.1749</v>
      </c>
      <c r="I67" s="1" t="n">
        <v>0.349676051544142</v>
      </c>
      <c r="J67" s="1" t="n">
        <v>0.373972684922607</v>
      </c>
      <c r="K67" s="1" t="n">
        <f aca="false">J67-I67</f>
        <v>0.0242966333784656</v>
      </c>
      <c r="L67" s="1" t="n">
        <v>0.824775999287701</v>
      </c>
    </row>
    <row r="68" customFormat="false" ht="15" hidden="false" customHeight="false" outlineLevel="0" collapsed="false">
      <c r="A68" s="1" t="s">
        <v>68</v>
      </c>
      <c r="B68" s="1" t="s">
        <v>69</v>
      </c>
      <c r="C68" s="1" t="s">
        <v>70</v>
      </c>
      <c r="D68" s="1" t="s">
        <v>19</v>
      </c>
      <c r="E68" s="1" t="s">
        <v>20</v>
      </c>
      <c r="F68" s="1" t="n">
        <v>26</v>
      </c>
      <c r="G68" s="2" t="s">
        <v>57</v>
      </c>
      <c r="H68" s="1" t="n">
        <v>0.1596</v>
      </c>
      <c r="I68" s="1" t="n">
        <v>0.319118112324745</v>
      </c>
      <c r="J68" s="1" t="n">
        <v>0.364661775535064</v>
      </c>
      <c r="K68" s="1" t="n">
        <f aca="false">J68-I68</f>
        <v>0.0455436632103197</v>
      </c>
      <c r="L68" s="1" t="n">
        <v>0.824775999287701</v>
      </c>
    </row>
    <row r="69" customFormat="false" ht="15" hidden="false" customHeight="false" outlineLevel="0" collapsed="false">
      <c r="A69" s="1" t="s">
        <v>68</v>
      </c>
      <c r="B69" s="1" t="s">
        <v>69</v>
      </c>
      <c r="C69" s="1" t="s">
        <v>70</v>
      </c>
      <c r="D69" s="1" t="s">
        <v>19</v>
      </c>
      <c r="E69" s="1" t="s">
        <v>20</v>
      </c>
      <c r="F69" s="1" t="n">
        <v>26</v>
      </c>
      <c r="G69" s="2" t="s">
        <v>24</v>
      </c>
      <c r="H69" s="1" t="n">
        <v>0.1558</v>
      </c>
      <c r="I69" s="1" t="n">
        <v>0.311466071542607</v>
      </c>
      <c r="J69" s="1" t="n">
        <v>0.323464309329734</v>
      </c>
      <c r="K69" s="1" t="n">
        <f aca="false">J69-I69</f>
        <v>0.0119982377871277</v>
      </c>
      <c r="L69" s="1" t="n">
        <v>0.824775999287701</v>
      </c>
    </row>
    <row r="70" customFormat="false" ht="15" hidden="false" customHeight="false" outlineLevel="0" collapsed="false">
      <c r="A70" s="1" t="s">
        <v>68</v>
      </c>
      <c r="B70" s="1" t="s">
        <v>69</v>
      </c>
      <c r="C70" s="1" t="s">
        <v>70</v>
      </c>
      <c r="D70" s="1" t="s">
        <v>19</v>
      </c>
      <c r="E70" s="1" t="s">
        <v>20</v>
      </c>
      <c r="F70" s="1" t="n">
        <v>26</v>
      </c>
      <c r="G70" s="2" t="s">
        <v>37</v>
      </c>
      <c r="H70" s="1" t="n">
        <v>0.1392</v>
      </c>
      <c r="I70" s="1" t="n">
        <v>0.278231832851151</v>
      </c>
      <c r="J70" s="1" t="n">
        <v>0.351988334324612</v>
      </c>
      <c r="K70" s="1" t="n">
        <f aca="false">J70-I70</f>
        <v>0.0737565014734608</v>
      </c>
      <c r="L70" s="1" t="n">
        <v>0.824775999287701</v>
      </c>
    </row>
    <row r="71" customFormat="false" ht="15" hidden="false" customHeight="false" outlineLevel="0" collapsed="false">
      <c r="A71" s="1" t="s">
        <v>71</v>
      </c>
      <c r="B71" s="1" t="s">
        <v>72</v>
      </c>
      <c r="C71" s="1" t="s">
        <v>73</v>
      </c>
      <c r="D71" s="1" t="s">
        <v>19</v>
      </c>
      <c r="E71" s="1" t="s">
        <v>20</v>
      </c>
      <c r="F71" s="1" t="n">
        <v>28</v>
      </c>
      <c r="G71" s="2" t="s">
        <v>23</v>
      </c>
      <c r="H71" s="1" t="n">
        <v>0.1923</v>
      </c>
      <c r="I71" s="1" t="n">
        <v>0.427664063065082</v>
      </c>
      <c r="J71" s="1" t="n">
        <v>0.394966837480924</v>
      </c>
      <c r="K71" s="1" t="n">
        <f aca="false">J71-I71</f>
        <v>-0.0326972255841586</v>
      </c>
      <c r="L71" s="1" t="n">
        <v>0.611331502918536</v>
      </c>
    </row>
    <row r="72" customFormat="false" ht="15" hidden="false" customHeight="false" outlineLevel="0" collapsed="false">
      <c r="A72" s="1" t="s">
        <v>71</v>
      </c>
      <c r="B72" s="1" t="s">
        <v>72</v>
      </c>
      <c r="C72" s="1" t="s">
        <v>73</v>
      </c>
      <c r="D72" s="1" t="s">
        <v>19</v>
      </c>
      <c r="E72" s="1" t="s">
        <v>20</v>
      </c>
      <c r="F72" s="1" t="n">
        <v>28</v>
      </c>
      <c r="G72" s="2" t="s">
        <v>22</v>
      </c>
      <c r="H72" s="1" t="n">
        <v>0.1826</v>
      </c>
      <c r="I72" s="1" t="n">
        <v>0.406220511098738</v>
      </c>
      <c r="J72" s="1" t="n">
        <v>0.327727162523718</v>
      </c>
      <c r="K72" s="1" t="n">
        <f aca="false">J72-I72</f>
        <v>-0.07849334857502</v>
      </c>
      <c r="L72" s="1" t="n">
        <v>0.611331502918536</v>
      </c>
    </row>
    <row r="73" customFormat="false" ht="15" hidden="false" customHeight="false" outlineLevel="0" collapsed="false">
      <c r="A73" s="1" t="s">
        <v>71</v>
      </c>
      <c r="B73" s="1" t="s">
        <v>72</v>
      </c>
      <c r="C73" s="1" t="s">
        <v>73</v>
      </c>
      <c r="D73" s="1" t="s">
        <v>19</v>
      </c>
      <c r="E73" s="1" t="s">
        <v>20</v>
      </c>
      <c r="F73" s="1" t="n">
        <v>28</v>
      </c>
      <c r="G73" s="2" t="s">
        <v>57</v>
      </c>
      <c r="H73" s="1" t="n">
        <v>0.1717</v>
      </c>
      <c r="I73" s="1" t="n">
        <v>0.381979646533214</v>
      </c>
      <c r="J73" s="1" t="n">
        <v>0.30043857337769</v>
      </c>
      <c r="K73" s="1" t="n">
        <f aca="false">J73-I73</f>
        <v>-0.0815410731555236</v>
      </c>
      <c r="L73" s="1" t="n">
        <v>0.611331502918536</v>
      </c>
    </row>
    <row r="74" customFormat="false" ht="15" hidden="false" customHeight="false" outlineLevel="0" collapsed="false">
      <c r="A74" s="1" t="s">
        <v>71</v>
      </c>
      <c r="B74" s="1" t="s">
        <v>72</v>
      </c>
      <c r="C74" s="1" t="s">
        <v>73</v>
      </c>
      <c r="D74" s="1" t="s">
        <v>19</v>
      </c>
      <c r="E74" s="1" t="s">
        <v>20</v>
      </c>
      <c r="F74" s="1" t="n">
        <v>28</v>
      </c>
      <c r="G74" s="2" t="s">
        <v>21</v>
      </c>
      <c r="H74" s="1" t="n">
        <v>0.1667</v>
      </c>
      <c r="I74" s="1" t="n">
        <v>0.370912013199831</v>
      </c>
      <c r="J74" s="1" t="n">
        <v>0.332923545642528</v>
      </c>
      <c r="K74" s="1" t="n">
        <f aca="false">J74-I74</f>
        <v>-0.0379884675573025</v>
      </c>
      <c r="L74" s="1" t="n">
        <v>0.611331502918536</v>
      </c>
    </row>
    <row r="75" customFormat="false" ht="15" hidden="false" customHeight="false" outlineLevel="0" collapsed="false">
      <c r="A75" s="1" t="s">
        <v>71</v>
      </c>
      <c r="B75" s="1" t="s">
        <v>72</v>
      </c>
      <c r="C75" s="1" t="s">
        <v>73</v>
      </c>
      <c r="D75" s="1" t="s">
        <v>19</v>
      </c>
      <c r="E75" s="1" t="s">
        <v>20</v>
      </c>
      <c r="F75" s="1" t="n">
        <v>28</v>
      </c>
      <c r="G75" s="2" t="s">
        <v>24</v>
      </c>
      <c r="H75" s="1" t="n">
        <v>0.1457</v>
      </c>
      <c r="I75" s="1" t="n">
        <v>0.323997381463446</v>
      </c>
      <c r="J75" s="1" t="n">
        <v>0.317650634299068</v>
      </c>
      <c r="K75" s="1" t="n">
        <f aca="false">J75-I75</f>
        <v>-0.00634674716437716</v>
      </c>
      <c r="L75" s="1" t="n">
        <v>0.611331502918536</v>
      </c>
    </row>
    <row r="76" customFormat="false" ht="15" hidden="false" customHeight="false" outlineLevel="0" collapsed="false">
      <c r="A76" s="1" t="s">
        <v>71</v>
      </c>
      <c r="B76" s="1" t="s">
        <v>72</v>
      </c>
      <c r="C76" s="1" t="s">
        <v>73</v>
      </c>
      <c r="D76" s="1" t="s">
        <v>19</v>
      </c>
      <c r="E76" s="1" t="s">
        <v>20</v>
      </c>
      <c r="F76" s="1" t="n">
        <v>28</v>
      </c>
      <c r="G76" s="2" t="s">
        <v>74</v>
      </c>
      <c r="H76" s="1" t="n">
        <v>0.141</v>
      </c>
      <c r="I76" s="1" t="n">
        <v>0.313660049191421</v>
      </c>
      <c r="J76" s="1" t="n">
        <v>0.324755613074504</v>
      </c>
      <c r="K76" s="1" t="n">
        <f aca="false">J76-I76</f>
        <v>0.0110955638830823</v>
      </c>
      <c r="L76" s="1" t="n">
        <v>0.611331502918536</v>
      </c>
    </row>
    <row r="77" customFormat="false" ht="15" hidden="false" customHeight="false" outlineLevel="0" collapsed="false">
      <c r="A77" s="1" t="s">
        <v>75</v>
      </c>
      <c r="B77" s="1" t="s">
        <v>76</v>
      </c>
      <c r="C77" s="1" t="s">
        <v>77</v>
      </c>
      <c r="D77" s="1" t="s">
        <v>19</v>
      </c>
      <c r="E77" s="1" t="s">
        <v>20</v>
      </c>
      <c r="F77" s="1" t="n">
        <v>30</v>
      </c>
      <c r="G77" s="2" t="s">
        <v>31</v>
      </c>
      <c r="H77" s="1" t="n">
        <v>0.2202</v>
      </c>
      <c r="I77" s="1" t="n">
        <v>0.242274005795491</v>
      </c>
      <c r="J77" s="1" t="n">
        <v>0.342318480472885</v>
      </c>
      <c r="K77" s="1" t="n">
        <f aca="false">J77-I77</f>
        <v>0.100044474677394</v>
      </c>
      <c r="L77" s="1" t="n">
        <v>0.743473367956861</v>
      </c>
    </row>
    <row r="78" customFormat="false" ht="15" hidden="false" customHeight="false" outlineLevel="0" collapsed="false">
      <c r="A78" s="1" t="s">
        <v>75</v>
      </c>
      <c r="B78" s="1" t="s">
        <v>76</v>
      </c>
      <c r="C78" s="1" t="s">
        <v>77</v>
      </c>
      <c r="D78" s="1" t="s">
        <v>19</v>
      </c>
      <c r="E78" s="1" t="s">
        <v>20</v>
      </c>
      <c r="F78" s="1" t="n">
        <v>30</v>
      </c>
      <c r="G78" s="2" t="s">
        <v>21</v>
      </c>
      <c r="H78" s="1" t="n">
        <v>0.2078</v>
      </c>
      <c r="I78" s="1" t="n">
        <v>0.228595130128362</v>
      </c>
      <c r="J78" s="1" t="n">
        <v>0.264364582904302</v>
      </c>
      <c r="K78" s="1" t="n">
        <f aca="false">J78-I78</f>
        <v>0.0357694527759402</v>
      </c>
      <c r="L78" s="1" t="n">
        <v>0.743473367956861</v>
      </c>
    </row>
    <row r="79" customFormat="false" ht="15" hidden="false" customHeight="false" outlineLevel="0" collapsed="false">
      <c r="A79" s="1" t="s">
        <v>75</v>
      </c>
      <c r="B79" s="1" t="s">
        <v>76</v>
      </c>
      <c r="C79" s="1" t="s">
        <v>77</v>
      </c>
      <c r="D79" s="1" t="s">
        <v>19</v>
      </c>
      <c r="E79" s="1" t="s">
        <v>20</v>
      </c>
      <c r="F79" s="1" t="n">
        <v>30</v>
      </c>
      <c r="G79" s="2" t="s">
        <v>23</v>
      </c>
      <c r="H79" s="1" t="n">
        <v>0.1985</v>
      </c>
      <c r="I79" s="1" t="n">
        <v>0.218368744960792</v>
      </c>
      <c r="J79" s="1" t="n">
        <v>0.279341186907486</v>
      </c>
      <c r="K79" s="1" t="n">
        <f aca="false">J79-I79</f>
        <v>0.0609724419466933</v>
      </c>
      <c r="L79" s="1" t="n">
        <v>0.743473367956861</v>
      </c>
    </row>
    <row r="80" customFormat="false" ht="15" hidden="false" customHeight="false" outlineLevel="0" collapsed="false">
      <c r="A80" s="1" t="s">
        <v>75</v>
      </c>
      <c r="B80" s="1" t="s">
        <v>76</v>
      </c>
      <c r="C80" s="1" t="s">
        <v>77</v>
      </c>
      <c r="D80" s="1" t="s">
        <v>19</v>
      </c>
      <c r="E80" s="1" t="s">
        <v>20</v>
      </c>
      <c r="F80" s="1" t="n">
        <v>30</v>
      </c>
      <c r="G80" s="2" t="s">
        <v>37</v>
      </c>
      <c r="H80" s="1" t="n">
        <v>0.1885</v>
      </c>
      <c r="I80" s="1" t="n">
        <v>0.207384090152858</v>
      </c>
      <c r="J80" s="1" t="n">
        <v>0.263330923756483</v>
      </c>
      <c r="K80" s="1" t="n">
        <f aca="false">J80-I80</f>
        <v>0.0559468336036247</v>
      </c>
      <c r="L80" s="1" t="n">
        <v>0.743473367956861</v>
      </c>
    </row>
    <row r="81" customFormat="false" ht="15" hidden="false" customHeight="false" outlineLevel="0" collapsed="false">
      <c r="A81" s="1" t="s">
        <v>75</v>
      </c>
      <c r="B81" s="1" t="s">
        <v>76</v>
      </c>
      <c r="C81" s="1" t="s">
        <v>77</v>
      </c>
      <c r="D81" s="1" t="s">
        <v>19</v>
      </c>
      <c r="E81" s="1" t="s">
        <v>20</v>
      </c>
      <c r="F81" s="1" t="n">
        <v>30</v>
      </c>
      <c r="G81" s="2" t="s">
        <v>24</v>
      </c>
      <c r="H81" s="1" t="n">
        <v>0.1849</v>
      </c>
      <c r="I81" s="1" t="n">
        <v>0.203438168968218</v>
      </c>
      <c r="J81" s="1" t="n">
        <v>0.265788408453597</v>
      </c>
      <c r="K81" s="1" t="n">
        <f aca="false">J81-I81</f>
        <v>0.0623502394853795</v>
      </c>
      <c r="L81" s="1" t="n">
        <v>0.743473367956861</v>
      </c>
    </row>
    <row r="82" customFormat="false" ht="15" hidden="false" customHeight="false" outlineLevel="0" collapsed="false">
      <c r="A82" s="1" t="s">
        <v>78</v>
      </c>
      <c r="B82" s="1" t="s">
        <v>79</v>
      </c>
      <c r="C82" s="1" t="s">
        <v>80</v>
      </c>
      <c r="D82" s="1" t="s">
        <v>19</v>
      </c>
      <c r="E82" s="1" t="s">
        <v>20</v>
      </c>
      <c r="F82" s="1" t="n">
        <v>32</v>
      </c>
      <c r="G82" s="2" t="s">
        <v>31</v>
      </c>
      <c r="H82" s="1" t="n">
        <v>0.2032</v>
      </c>
      <c r="I82" s="1" t="n">
        <v>0.31341096871984</v>
      </c>
      <c r="J82" s="1" t="n">
        <v>0.383018957420991</v>
      </c>
      <c r="K82" s="1" t="n">
        <f aca="false">J82-I82</f>
        <v>0.069607988701151</v>
      </c>
      <c r="L82" s="1" t="n">
        <v>0.657769103514598</v>
      </c>
    </row>
    <row r="83" customFormat="false" ht="15" hidden="false" customHeight="false" outlineLevel="0" collapsed="false">
      <c r="A83" s="1" t="s">
        <v>78</v>
      </c>
      <c r="B83" s="1" t="s">
        <v>79</v>
      </c>
      <c r="C83" s="1" t="s">
        <v>80</v>
      </c>
      <c r="D83" s="1" t="s">
        <v>19</v>
      </c>
      <c r="E83" s="1" t="s">
        <v>20</v>
      </c>
      <c r="F83" s="1" t="n">
        <v>32</v>
      </c>
      <c r="G83" s="2" t="s">
        <v>24</v>
      </c>
      <c r="H83" s="1" t="n">
        <v>0.1827</v>
      </c>
      <c r="I83" s="1" t="n">
        <v>0.281701661773863</v>
      </c>
      <c r="J83" s="1" t="n">
        <v>0.406088110045655</v>
      </c>
      <c r="K83" s="1" t="n">
        <f aca="false">J83-I83</f>
        <v>0.124386448271792</v>
      </c>
      <c r="L83" s="1" t="n">
        <v>0.657769103514598</v>
      </c>
    </row>
    <row r="84" customFormat="false" ht="15" hidden="false" customHeight="false" outlineLevel="0" collapsed="false">
      <c r="A84" s="1" t="s">
        <v>78</v>
      </c>
      <c r="B84" s="1" t="s">
        <v>79</v>
      </c>
      <c r="C84" s="1" t="s">
        <v>80</v>
      </c>
      <c r="D84" s="1" t="s">
        <v>19</v>
      </c>
      <c r="E84" s="1" t="s">
        <v>20</v>
      </c>
      <c r="F84" s="1" t="n">
        <v>32</v>
      </c>
      <c r="G84" s="2" t="s">
        <v>23</v>
      </c>
      <c r="H84" s="1" t="n">
        <v>0.1657</v>
      </c>
      <c r="I84" s="1" t="n">
        <v>0.25555431387837</v>
      </c>
      <c r="J84" s="1" t="n">
        <v>0.409580480625927</v>
      </c>
      <c r="K84" s="1" t="n">
        <f aca="false">J84-I84</f>
        <v>0.154026166747557</v>
      </c>
      <c r="L84" s="1" t="n">
        <v>0.657769103514598</v>
      </c>
    </row>
    <row r="85" customFormat="false" ht="15" hidden="false" customHeight="false" outlineLevel="0" collapsed="false">
      <c r="A85" s="1" t="s">
        <v>78</v>
      </c>
      <c r="B85" s="1" t="s">
        <v>79</v>
      </c>
      <c r="C85" s="1" t="s">
        <v>80</v>
      </c>
      <c r="D85" s="1" t="s">
        <v>19</v>
      </c>
      <c r="E85" s="1" t="s">
        <v>20</v>
      </c>
      <c r="F85" s="1" t="n">
        <v>32</v>
      </c>
      <c r="G85" s="2" t="s">
        <v>41</v>
      </c>
      <c r="H85" s="1" t="n">
        <v>0.1569</v>
      </c>
      <c r="I85" s="1" t="n">
        <v>0.241922432855441</v>
      </c>
      <c r="J85" s="1" t="n">
        <v>0.389281572736847</v>
      </c>
      <c r="K85" s="1" t="n">
        <f aca="false">J85-I85</f>
        <v>0.147359139881407</v>
      </c>
      <c r="L85" s="1" t="n">
        <v>0.657769103514598</v>
      </c>
    </row>
    <row r="86" customFormat="false" ht="15" hidden="false" customHeight="false" outlineLevel="0" collapsed="false">
      <c r="A86" s="1" t="s">
        <v>78</v>
      </c>
      <c r="B86" s="1" t="s">
        <v>79</v>
      </c>
      <c r="C86" s="1" t="s">
        <v>80</v>
      </c>
      <c r="D86" s="1" t="s">
        <v>19</v>
      </c>
      <c r="E86" s="1" t="s">
        <v>20</v>
      </c>
      <c r="F86" s="1" t="n">
        <v>32</v>
      </c>
      <c r="G86" s="2" t="s">
        <v>22</v>
      </c>
      <c r="H86" s="1" t="n">
        <v>0.146</v>
      </c>
      <c r="I86" s="1" t="n">
        <v>0.225164278317607</v>
      </c>
      <c r="J86" s="1" t="n">
        <v>0.377444196153469</v>
      </c>
      <c r="K86" s="1" t="n">
        <f aca="false">J86-I86</f>
        <v>0.152279917835862</v>
      </c>
      <c r="L86" s="1" t="n">
        <v>0.657769103514598</v>
      </c>
    </row>
    <row r="87" customFormat="false" ht="15" hidden="false" customHeight="false" outlineLevel="0" collapsed="false">
      <c r="A87" s="1" t="s">
        <v>78</v>
      </c>
      <c r="B87" s="1" t="s">
        <v>79</v>
      </c>
      <c r="C87" s="1" t="s">
        <v>80</v>
      </c>
      <c r="D87" s="1" t="s">
        <v>19</v>
      </c>
      <c r="E87" s="1" t="s">
        <v>20</v>
      </c>
      <c r="F87" s="1" t="n">
        <v>32</v>
      </c>
      <c r="G87" s="2" t="s">
        <v>37</v>
      </c>
      <c r="H87" s="1" t="n">
        <v>0.1455</v>
      </c>
      <c r="I87" s="1" t="n">
        <v>0.224369251068397</v>
      </c>
      <c r="J87" s="1" t="n">
        <v>0.373311371992385</v>
      </c>
      <c r="K87" s="1" t="n">
        <f aca="false">J87-I87</f>
        <v>0.148942120923988</v>
      </c>
      <c r="L87" s="1" t="n">
        <v>0.657769103514598</v>
      </c>
    </row>
    <row r="88" customFormat="false" ht="15" hidden="false" customHeight="false" outlineLevel="0" collapsed="false">
      <c r="A88" s="1" t="s">
        <v>81</v>
      </c>
      <c r="B88" s="1" t="s">
        <v>82</v>
      </c>
      <c r="C88" s="1" t="s">
        <v>83</v>
      </c>
      <c r="D88" s="1" t="s">
        <v>19</v>
      </c>
      <c r="E88" s="1" t="s">
        <v>20</v>
      </c>
      <c r="F88" s="1" t="n">
        <v>34</v>
      </c>
      <c r="G88" s="2" t="s">
        <v>37</v>
      </c>
      <c r="H88" s="1" t="n">
        <v>0.1788</v>
      </c>
      <c r="I88" s="1" t="n">
        <v>0.276722223002548</v>
      </c>
      <c r="J88" s="1" t="n">
        <v>0.255808816686076</v>
      </c>
      <c r="K88" s="1" t="n">
        <f aca="false">J88-I88</f>
        <v>-0.0209134063164721</v>
      </c>
      <c r="L88" s="1" t="n">
        <v>0.7336678926738</v>
      </c>
    </row>
    <row r="89" customFormat="false" ht="15" hidden="false" customHeight="false" outlineLevel="0" collapsed="false">
      <c r="A89" s="1" t="s">
        <v>81</v>
      </c>
      <c r="B89" s="1" t="s">
        <v>82</v>
      </c>
      <c r="C89" s="1" t="s">
        <v>83</v>
      </c>
      <c r="D89" s="1" t="s">
        <v>19</v>
      </c>
      <c r="E89" s="1" t="s">
        <v>20</v>
      </c>
      <c r="F89" s="1" t="n">
        <v>34</v>
      </c>
      <c r="G89" s="2" t="s">
        <v>31</v>
      </c>
      <c r="H89" s="1" t="n">
        <v>0.1746</v>
      </c>
      <c r="I89" s="1" t="n">
        <v>0.270126564258386</v>
      </c>
      <c r="J89" s="1" t="n">
        <v>0.238738802798724</v>
      </c>
      <c r="K89" s="1" t="n">
        <f aca="false">J89-I89</f>
        <v>-0.0313877614596623</v>
      </c>
      <c r="L89" s="1" t="n">
        <v>0.7336678926738</v>
      </c>
    </row>
    <row r="90" customFormat="false" ht="15" hidden="false" customHeight="false" outlineLevel="0" collapsed="false">
      <c r="A90" s="1" t="s">
        <v>81</v>
      </c>
      <c r="B90" s="1" t="s">
        <v>82</v>
      </c>
      <c r="C90" s="1" t="s">
        <v>83</v>
      </c>
      <c r="D90" s="1" t="s">
        <v>19</v>
      </c>
      <c r="E90" s="1" t="s">
        <v>20</v>
      </c>
      <c r="F90" s="1" t="n">
        <v>34</v>
      </c>
      <c r="G90" s="2" t="s">
        <v>24</v>
      </c>
      <c r="H90" s="1" t="n">
        <v>0.1704</v>
      </c>
      <c r="I90" s="1" t="n">
        <v>0.263661793532873</v>
      </c>
      <c r="J90" s="1" t="n">
        <v>0.215012722615359</v>
      </c>
      <c r="K90" s="1" t="n">
        <f aca="false">J90-I90</f>
        <v>-0.048649070917514</v>
      </c>
      <c r="L90" s="1" t="n">
        <v>0.7336678926738</v>
      </c>
    </row>
    <row r="91" customFormat="false" ht="15" hidden="false" customHeight="false" outlineLevel="0" collapsed="false">
      <c r="A91" s="1" t="s">
        <v>81</v>
      </c>
      <c r="B91" s="1" t="s">
        <v>82</v>
      </c>
      <c r="C91" s="1" t="s">
        <v>83</v>
      </c>
      <c r="D91" s="1" t="s">
        <v>19</v>
      </c>
      <c r="E91" s="1" t="s">
        <v>20</v>
      </c>
      <c r="F91" s="1" t="n">
        <v>34</v>
      </c>
      <c r="G91" s="2" t="s">
        <v>23</v>
      </c>
      <c r="H91" s="1" t="n">
        <v>0.1696</v>
      </c>
      <c r="I91" s="1" t="n">
        <v>0.262462578354751</v>
      </c>
      <c r="J91" s="1" t="n">
        <v>0.237528810642723</v>
      </c>
      <c r="K91" s="1" t="n">
        <f aca="false">J91-I91</f>
        <v>-0.0249337677120286</v>
      </c>
      <c r="L91" s="1" t="n">
        <v>0.7336678926738</v>
      </c>
    </row>
    <row r="92" customFormat="false" ht="15" hidden="false" customHeight="false" outlineLevel="0" collapsed="false">
      <c r="A92" s="1" t="s">
        <v>81</v>
      </c>
      <c r="B92" s="1" t="s">
        <v>82</v>
      </c>
      <c r="C92" s="1" t="s">
        <v>83</v>
      </c>
      <c r="D92" s="1" t="s">
        <v>19</v>
      </c>
      <c r="E92" s="1" t="s">
        <v>20</v>
      </c>
      <c r="F92" s="1" t="n">
        <v>34</v>
      </c>
      <c r="G92" s="2" t="s">
        <v>22</v>
      </c>
      <c r="H92" s="1" t="n">
        <v>0.1536</v>
      </c>
      <c r="I92" s="1" t="n">
        <v>0.237698869933613</v>
      </c>
      <c r="J92" s="1" t="n">
        <v>0.22509922648023</v>
      </c>
      <c r="K92" s="1" t="n">
        <f aca="false">J92-I92</f>
        <v>-0.012599643453383</v>
      </c>
      <c r="L92" s="1" t="n">
        <v>0.7336678926738</v>
      </c>
    </row>
    <row r="93" customFormat="false" ht="15" hidden="false" customHeight="false" outlineLevel="0" collapsed="false">
      <c r="A93" s="1" t="s">
        <v>81</v>
      </c>
      <c r="B93" s="1" t="s">
        <v>82</v>
      </c>
      <c r="C93" s="1" t="s">
        <v>83</v>
      </c>
      <c r="D93" s="1" t="s">
        <v>19</v>
      </c>
      <c r="E93" s="1" t="s">
        <v>20</v>
      </c>
      <c r="F93" s="1" t="n">
        <v>34</v>
      </c>
      <c r="G93" s="2" t="s">
        <v>21</v>
      </c>
      <c r="H93" s="1" t="n">
        <v>0.153</v>
      </c>
      <c r="I93" s="1" t="n">
        <v>0.236778623637486</v>
      </c>
      <c r="J93" s="1" t="n">
        <v>0.21913094471418</v>
      </c>
      <c r="K93" s="1" t="n">
        <f aca="false">J93-I93</f>
        <v>-0.0176476789233062</v>
      </c>
      <c r="L93" s="1" t="n">
        <v>0.7336678926738</v>
      </c>
    </row>
    <row r="94" customFormat="false" ht="15" hidden="false" customHeight="false" outlineLevel="0" collapsed="false">
      <c r="A94" s="1" t="s">
        <v>84</v>
      </c>
      <c r="B94" s="1" t="s">
        <v>85</v>
      </c>
      <c r="C94" s="1" t="s">
        <v>86</v>
      </c>
      <c r="D94" s="1" t="s">
        <v>19</v>
      </c>
      <c r="E94" s="1" t="s">
        <v>20</v>
      </c>
      <c r="F94" s="1" t="n">
        <v>36</v>
      </c>
      <c r="G94" s="2" t="s">
        <v>37</v>
      </c>
      <c r="H94" s="1" t="n">
        <v>0.1797</v>
      </c>
      <c r="I94" s="1" t="n">
        <v>0.240740592526884</v>
      </c>
      <c r="J94" s="1" t="n">
        <v>0.328777883703904</v>
      </c>
      <c r="K94" s="1" t="n">
        <f aca="false">J94-I94</f>
        <v>0.0880372911770193</v>
      </c>
      <c r="L94" s="1" t="n">
        <v>0.664769831999005</v>
      </c>
    </row>
    <row r="95" customFormat="false" ht="15" hidden="false" customHeight="false" outlineLevel="0" collapsed="false">
      <c r="A95" s="1" t="s">
        <v>84</v>
      </c>
      <c r="B95" s="1" t="s">
        <v>85</v>
      </c>
      <c r="C95" s="1" t="s">
        <v>86</v>
      </c>
      <c r="D95" s="1" t="s">
        <v>19</v>
      </c>
      <c r="E95" s="1" t="s">
        <v>20</v>
      </c>
      <c r="F95" s="1" t="n">
        <v>36</v>
      </c>
      <c r="G95" s="2" t="s">
        <v>31</v>
      </c>
      <c r="H95" s="1" t="n">
        <v>0.1736</v>
      </c>
      <c r="I95" s="1" t="n">
        <v>0.232499477336808</v>
      </c>
      <c r="J95" s="1" t="n">
        <v>0.358209577401589</v>
      </c>
      <c r="K95" s="1" t="n">
        <f aca="false">J95-I95</f>
        <v>0.125710100064781</v>
      </c>
      <c r="L95" s="1" t="n">
        <v>0.664769831999005</v>
      </c>
    </row>
    <row r="96" customFormat="false" ht="15" hidden="false" customHeight="false" outlineLevel="0" collapsed="false">
      <c r="A96" s="1" t="s">
        <v>84</v>
      </c>
      <c r="B96" s="1" t="s">
        <v>85</v>
      </c>
      <c r="C96" s="1" t="s">
        <v>86</v>
      </c>
      <c r="D96" s="1" t="s">
        <v>19</v>
      </c>
      <c r="E96" s="1" t="s">
        <v>20</v>
      </c>
      <c r="F96" s="1" t="n">
        <v>36</v>
      </c>
      <c r="G96" s="2" t="s">
        <v>23</v>
      </c>
      <c r="H96" s="1" t="n">
        <v>0.1712</v>
      </c>
      <c r="I96" s="1" t="n">
        <v>0.229294602434085</v>
      </c>
      <c r="J96" s="1" t="n">
        <v>0.340726684921745</v>
      </c>
      <c r="K96" s="1" t="n">
        <f aca="false">J96-I96</f>
        <v>0.11143208248766</v>
      </c>
      <c r="L96" s="1" t="n">
        <v>0.664769831999005</v>
      </c>
    </row>
    <row r="97" customFormat="false" ht="15" hidden="false" customHeight="false" outlineLevel="0" collapsed="false">
      <c r="A97" s="1" t="s">
        <v>84</v>
      </c>
      <c r="B97" s="1" t="s">
        <v>85</v>
      </c>
      <c r="C97" s="1" t="s">
        <v>86</v>
      </c>
      <c r="D97" s="1" t="s">
        <v>19</v>
      </c>
      <c r="E97" s="1" t="s">
        <v>20</v>
      </c>
      <c r="F97" s="1" t="n">
        <v>36</v>
      </c>
      <c r="G97" s="2" t="s">
        <v>22</v>
      </c>
      <c r="H97" s="1" t="n">
        <v>0.1647</v>
      </c>
      <c r="I97" s="1" t="n">
        <v>0.220681077220474</v>
      </c>
      <c r="J97" s="1" t="n">
        <v>0.305086152535215</v>
      </c>
      <c r="K97" s="1" t="n">
        <f aca="false">J97-I97</f>
        <v>0.0844050753147402</v>
      </c>
      <c r="L97" s="1" t="n">
        <v>0.664769831999005</v>
      </c>
    </row>
    <row r="98" customFormat="false" ht="15" hidden="false" customHeight="false" outlineLevel="0" collapsed="false">
      <c r="A98" s="1" t="s">
        <v>84</v>
      </c>
      <c r="B98" s="1" t="s">
        <v>85</v>
      </c>
      <c r="C98" s="1" t="s">
        <v>86</v>
      </c>
      <c r="D98" s="1" t="s">
        <v>19</v>
      </c>
      <c r="E98" s="1" t="s">
        <v>20</v>
      </c>
      <c r="F98" s="1" t="n">
        <v>36</v>
      </c>
      <c r="G98" s="2" t="s">
        <v>21</v>
      </c>
      <c r="H98" s="1" t="n">
        <v>0.1586</v>
      </c>
      <c r="I98" s="1" t="n">
        <v>0.212508241785507</v>
      </c>
      <c r="J98" s="1" t="n">
        <v>0.296259938622126</v>
      </c>
      <c r="K98" s="1" t="n">
        <f aca="false">J98-I98</f>
        <v>0.083751696836619</v>
      </c>
      <c r="L98" s="1" t="n">
        <v>0.664769831999005</v>
      </c>
    </row>
    <row r="99" customFormat="false" ht="15" hidden="false" customHeight="false" outlineLevel="0" collapsed="false">
      <c r="A99" s="1" t="s">
        <v>84</v>
      </c>
      <c r="B99" s="1" t="s">
        <v>85</v>
      </c>
      <c r="C99" s="1" t="s">
        <v>86</v>
      </c>
      <c r="D99" s="1" t="s">
        <v>19</v>
      </c>
      <c r="E99" s="1" t="s">
        <v>20</v>
      </c>
      <c r="F99" s="1" t="n">
        <v>36</v>
      </c>
      <c r="G99" s="2" t="s">
        <v>24</v>
      </c>
      <c r="H99" s="1" t="n">
        <v>0.1522</v>
      </c>
      <c r="I99" s="1" t="n">
        <v>0.203936286696472</v>
      </c>
      <c r="J99" s="1" t="n">
        <v>0.302400418093643</v>
      </c>
      <c r="K99" s="1" t="n">
        <f aca="false">J99-I99</f>
        <v>0.0984641313971714</v>
      </c>
      <c r="L99" s="1" t="n">
        <v>0.664769831999005</v>
      </c>
    </row>
    <row r="100" customFormat="false" ht="15" hidden="false" customHeight="false" outlineLevel="0" collapsed="false">
      <c r="A100" s="1" t="s">
        <v>87</v>
      </c>
      <c r="B100" s="1" t="s">
        <v>88</v>
      </c>
      <c r="C100" s="1" t="s">
        <v>89</v>
      </c>
      <c r="D100" s="1" t="s">
        <v>19</v>
      </c>
      <c r="E100" s="1" t="s">
        <v>20</v>
      </c>
      <c r="F100" s="1" t="n">
        <v>38</v>
      </c>
      <c r="G100" s="2" t="s">
        <v>23</v>
      </c>
      <c r="H100" s="1" t="n">
        <v>0.1987</v>
      </c>
      <c r="I100" s="1" t="n">
        <v>0.2809892413362</v>
      </c>
      <c r="J100" s="1" t="n">
        <v>0.370132572266908</v>
      </c>
      <c r="K100" s="1" t="n">
        <f aca="false">J100-I100</f>
        <v>0.0891433309307075</v>
      </c>
      <c r="L100" s="1" t="n">
        <v>0.735511761701567</v>
      </c>
    </row>
    <row r="101" customFormat="false" ht="15" hidden="false" customHeight="false" outlineLevel="0" collapsed="false">
      <c r="A101" s="1" t="s">
        <v>87</v>
      </c>
      <c r="B101" s="1" t="s">
        <v>88</v>
      </c>
      <c r="C101" s="1" t="s">
        <v>89</v>
      </c>
      <c r="D101" s="1" t="s">
        <v>19</v>
      </c>
      <c r="E101" s="1" t="s">
        <v>20</v>
      </c>
      <c r="F101" s="1" t="n">
        <v>38</v>
      </c>
      <c r="G101" s="2" t="s">
        <v>37</v>
      </c>
      <c r="H101" s="1" t="n">
        <v>0.1869</v>
      </c>
      <c r="I101" s="1" t="n">
        <v>0.264310375612992</v>
      </c>
      <c r="J101" s="1" t="n">
        <v>0.308206930470678</v>
      </c>
      <c r="K101" s="1" t="n">
        <f aca="false">J101-I101</f>
        <v>0.0438965548576856</v>
      </c>
      <c r="L101" s="1" t="n">
        <v>0.735511761701567</v>
      </c>
    </row>
    <row r="102" customFormat="false" ht="15" hidden="false" customHeight="false" outlineLevel="0" collapsed="false">
      <c r="A102" s="1" t="s">
        <v>87</v>
      </c>
      <c r="B102" s="1" t="s">
        <v>88</v>
      </c>
      <c r="C102" s="1" t="s">
        <v>89</v>
      </c>
      <c r="D102" s="1" t="s">
        <v>19</v>
      </c>
      <c r="E102" s="1" t="s">
        <v>20</v>
      </c>
      <c r="F102" s="1" t="n">
        <v>38</v>
      </c>
      <c r="G102" s="2" t="s">
        <v>22</v>
      </c>
      <c r="H102" s="1" t="n">
        <v>0.1747</v>
      </c>
      <c r="I102" s="1" t="n">
        <v>0.247079058074704</v>
      </c>
      <c r="J102" s="1" t="n">
        <v>0.305541111256795</v>
      </c>
      <c r="K102" s="1" t="n">
        <f aca="false">J102-I102</f>
        <v>0.0584620531820915</v>
      </c>
      <c r="L102" s="1" t="n">
        <v>0.735511761701567</v>
      </c>
    </row>
    <row r="103" customFormat="false" ht="15" hidden="false" customHeight="false" outlineLevel="0" collapsed="false">
      <c r="A103" s="1" t="s">
        <v>87</v>
      </c>
      <c r="B103" s="1" t="s">
        <v>88</v>
      </c>
      <c r="C103" s="1" t="s">
        <v>89</v>
      </c>
      <c r="D103" s="1" t="s">
        <v>19</v>
      </c>
      <c r="E103" s="1" t="s">
        <v>20</v>
      </c>
      <c r="F103" s="1" t="n">
        <v>38</v>
      </c>
      <c r="G103" s="2" t="s">
        <v>21</v>
      </c>
      <c r="H103" s="1" t="n">
        <v>0.1742</v>
      </c>
      <c r="I103" s="1" t="n">
        <v>0.246311927152849</v>
      </c>
      <c r="J103" s="1" t="n">
        <v>0.29771220244515</v>
      </c>
      <c r="K103" s="1" t="n">
        <f aca="false">J103-I103</f>
        <v>0.0514002752923008</v>
      </c>
      <c r="L103" s="1" t="n">
        <v>0.735511761701567</v>
      </c>
    </row>
    <row r="104" customFormat="false" ht="15" hidden="false" customHeight="false" outlineLevel="0" collapsed="false">
      <c r="A104" s="1" t="s">
        <v>87</v>
      </c>
      <c r="B104" s="1" t="s">
        <v>88</v>
      </c>
      <c r="C104" s="1" t="s">
        <v>89</v>
      </c>
      <c r="D104" s="1" t="s">
        <v>19</v>
      </c>
      <c r="E104" s="1" t="s">
        <v>20</v>
      </c>
      <c r="F104" s="1" t="n">
        <v>38</v>
      </c>
      <c r="G104" s="2" t="s">
        <v>57</v>
      </c>
      <c r="H104" s="1" t="n">
        <v>0.1655</v>
      </c>
      <c r="I104" s="1" t="n">
        <v>0.234102640350324</v>
      </c>
      <c r="J104" s="1" t="n">
        <v>0.273299759176841</v>
      </c>
      <c r="K104" s="1" t="n">
        <f aca="false">J104-I104</f>
        <v>0.0391971188265167</v>
      </c>
      <c r="L104" s="1" t="n">
        <v>0.735511761701567</v>
      </c>
    </row>
    <row r="105" customFormat="false" ht="15" hidden="false" customHeight="false" outlineLevel="0" collapsed="false">
      <c r="A105" s="1" t="s">
        <v>87</v>
      </c>
      <c r="B105" s="1" t="s">
        <v>88</v>
      </c>
      <c r="C105" s="1" t="s">
        <v>89</v>
      </c>
      <c r="D105" s="1" t="s">
        <v>19</v>
      </c>
      <c r="E105" s="1" t="s">
        <v>20</v>
      </c>
      <c r="F105" s="1" t="n">
        <v>38</v>
      </c>
      <c r="G105" s="2" t="s">
        <v>24</v>
      </c>
      <c r="H105" s="1" t="n">
        <v>0.1</v>
      </c>
      <c r="I105" s="1" t="n">
        <v>0.220642148982151</v>
      </c>
      <c r="J105" s="1" t="n">
        <v>0.269677332871371</v>
      </c>
      <c r="K105" s="1" t="n">
        <f aca="false">J105-I105</f>
        <v>0.0490351838892198</v>
      </c>
      <c r="L105" s="1" t="n">
        <v>0.735511761701567</v>
      </c>
    </row>
    <row r="106" customFormat="false" ht="15" hidden="false" customHeight="false" outlineLevel="0" collapsed="false">
      <c r="A106" s="1" t="s">
        <v>90</v>
      </c>
      <c r="B106" s="1" t="s">
        <v>91</v>
      </c>
      <c r="C106" s="1" t="s">
        <v>92</v>
      </c>
      <c r="D106" s="1" t="s">
        <v>19</v>
      </c>
      <c r="E106" s="1" t="s">
        <v>20</v>
      </c>
      <c r="F106" s="1" t="n">
        <v>40</v>
      </c>
      <c r="G106" s="2" t="s">
        <v>23</v>
      </c>
      <c r="H106" s="1" t="n">
        <v>0.2005</v>
      </c>
      <c r="I106" s="1" t="n">
        <v>0.356117045364217</v>
      </c>
      <c r="J106" s="1" t="n">
        <v>0.38219905214778</v>
      </c>
      <c r="K106" s="1" t="n">
        <f aca="false">J106-I106</f>
        <v>0.0260820067835633</v>
      </c>
      <c r="L106" s="1" t="n">
        <v>0.715466613809298</v>
      </c>
    </row>
    <row r="107" customFormat="false" ht="15" hidden="false" customHeight="false" outlineLevel="0" collapsed="false">
      <c r="A107" s="1" t="s">
        <v>90</v>
      </c>
      <c r="B107" s="1" t="s">
        <v>91</v>
      </c>
      <c r="C107" s="1" t="s">
        <v>92</v>
      </c>
      <c r="D107" s="1" t="s">
        <v>19</v>
      </c>
      <c r="E107" s="1" t="s">
        <v>20</v>
      </c>
      <c r="F107" s="1" t="n">
        <v>40</v>
      </c>
      <c r="G107" s="2" t="s">
        <v>21</v>
      </c>
      <c r="H107" s="1" t="n">
        <v>0.1813</v>
      </c>
      <c r="I107" s="1" t="n">
        <v>0.321942482107111</v>
      </c>
      <c r="J107" s="1" t="n">
        <v>0.329539154993366</v>
      </c>
      <c r="K107" s="1" t="n">
        <f aca="false">J107-I107</f>
        <v>0.00759667288625515</v>
      </c>
      <c r="L107" s="1" t="n">
        <v>0.715466613809298</v>
      </c>
    </row>
    <row r="108" customFormat="false" ht="15" hidden="false" customHeight="false" outlineLevel="0" collapsed="false">
      <c r="A108" s="1" t="s">
        <v>90</v>
      </c>
      <c r="B108" s="1" t="s">
        <v>91</v>
      </c>
      <c r="C108" s="1" t="s">
        <v>92</v>
      </c>
      <c r="D108" s="1" t="s">
        <v>19</v>
      </c>
      <c r="E108" s="1" t="s">
        <v>20</v>
      </c>
      <c r="F108" s="1" t="n">
        <v>40</v>
      </c>
      <c r="G108" s="2" t="s">
        <v>22</v>
      </c>
      <c r="H108" s="1" t="n">
        <v>0.1657</v>
      </c>
      <c r="I108" s="1" t="n">
        <v>0.294363537889766</v>
      </c>
      <c r="J108" s="1" t="n">
        <v>0.338607095692772</v>
      </c>
      <c r="K108" s="1" t="n">
        <f aca="false">J108-I108</f>
        <v>0.0442435578030058</v>
      </c>
      <c r="L108" s="1" t="n">
        <v>0.715466613809298</v>
      </c>
    </row>
    <row r="109" customFormat="false" ht="15" hidden="false" customHeight="false" outlineLevel="0" collapsed="false">
      <c r="A109" s="1" t="s">
        <v>90</v>
      </c>
      <c r="B109" s="1" t="s">
        <v>91</v>
      </c>
      <c r="C109" s="1" t="s">
        <v>92</v>
      </c>
      <c r="D109" s="1" t="s">
        <v>19</v>
      </c>
      <c r="E109" s="1" t="s">
        <v>20</v>
      </c>
      <c r="F109" s="1" t="n">
        <v>40</v>
      </c>
      <c r="G109" s="2" t="s">
        <v>57</v>
      </c>
      <c r="H109" s="1" t="n">
        <v>0.1598</v>
      </c>
      <c r="I109" s="1" t="n">
        <v>0.283922051572683</v>
      </c>
      <c r="J109" s="1" t="n">
        <v>0.300380016476762</v>
      </c>
      <c r="K109" s="1" t="n">
        <f aca="false">J109-I109</f>
        <v>0.0164579649040791</v>
      </c>
      <c r="L109" s="1" t="n">
        <v>0.715466613809298</v>
      </c>
    </row>
    <row r="110" customFormat="false" ht="15" hidden="false" customHeight="false" outlineLevel="0" collapsed="false">
      <c r="A110" s="1" t="s">
        <v>90</v>
      </c>
      <c r="B110" s="1" t="s">
        <v>91</v>
      </c>
      <c r="C110" s="1" t="s">
        <v>92</v>
      </c>
      <c r="D110" s="1" t="s">
        <v>19</v>
      </c>
      <c r="E110" s="1" t="s">
        <v>20</v>
      </c>
      <c r="F110" s="1" t="n">
        <v>40</v>
      </c>
      <c r="G110" s="2" t="s">
        <v>37</v>
      </c>
      <c r="H110" s="1" t="n">
        <v>0.1468</v>
      </c>
      <c r="I110" s="1" t="n">
        <v>0.2607817763803</v>
      </c>
      <c r="J110" s="1" t="n">
        <v>0.325155173752592</v>
      </c>
      <c r="K110" s="1" t="n">
        <f aca="false">J110-I110</f>
        <v>0.064373397372292</v>
      </c>
      <c r="L110" s="1" t="n">
        <v>0.715466613809298</v>
      </c>
    </row>
    <row r="111" customFormat="false" ht="15" hidden="false" customHeight="false" outlineLevel="0" collapsed="false">
      <c r="A111" s="1" t="s">
        <v>90</v>
      </c>
      <c r="B111" s="1" t="s">
        <v>91</v>
      </c>
      <c r="C111" s="1" t="s">
        <v>92</v>
      </c>
      <c r="D111" s="1" t="s">
        <v>19</v>
      </c>
      <c r="E111" s="1" t="s">
        <v>20</v>
      </c>
      <c r="F111" s="1" t="n">
        <v>40</v>
      </c>
      <c r="G111" s="2" t="s">
        <v>24</v>
      </c>
      <c r="H111" s="1" t="n">
        <v>0.1459</v>
      </c>
      <c r="I111" s="1" t="n">
        <v>0.259086425105784</v>
      </c>
      <c r="J111" s="1" t="n">
        <v>0.310981138944593</v>
      </c>
      <c r="K111" s="1" t="n">
        <f aca="false">J111-I111</f>
        <v>0.051894713838809</v>
      </c>
      <c r="L111" s="1" t="n">
        <v>0.715466613809298</v>
      </c>
    </row>
    <row r="112" customFormat="false" ht="15" hidden="false" customHeight="false" outlineLevel="0" collapsed="false">
      <c r="A112" s="1" t="s">
        <v>93</v>
      </c>
      <c r="B112" s="1" t="s">
        <v>94</v>
      </c>
      <c r="C112" s="1" t="s">
        <v>95</v>
      </c>
      <c r="D112" s="1" t="s">
        <v>19</v>
      </c>
      <c r="E112" s="1" t="s">
        <v>20</v>
      </c>
      <c r="F112" s="1" t="n">
        <v>42</v>
      </c>
      <c r="G112" s="2" t="s">
        <v>23</v>
      </c>
      <c r="H112" s="1" t="n">
        <v>0.2032</v>
      </c>
      <c r="I112" s="1" t="n">
        <v>0.344907609166868</v>
      </c>
      <c r="J112" s="1" t="n">
        <v>0.358310549851787</v>
      </c>
      <c r="K112" s="1" t="n">
        <f aca="false">J112-I112</f>
        <v>0.0134029406849188</v>
      </c>
      <c r="L112" s="1" t="n">
        <v>0.70902009513028</v>
      </c>
    </row>
    <row r="113" customFormat="false" ht="15" hidden="false" customHeight="false" outlineLevel="0" collapsed="false">
      <c r="A113" s="1" t="s">
        <v>93</v>
      </c>
      <c r="B113" s="1" t="s">
        <v>94</v>
      </c>
      <c r="C113" s="1" t="s">
        <v>95</v>
      </c>
      <c r="D113" s="1" t="s">
        <v>19</v>
      </c>
      <c r="E113" s="1" t="s">
        <v>20</v>
      </c>
      <c r="F113" s="1" t="n">
        <v>42</v>
      </c>
      <c r="G113" s="2" t="s">
        <v>22</v>
      </c>
      <c r="H113" s="1" t="n">
        <v>0.1863</v>
      </c>
      <c r="I113" s="1" t="n">
        <v>0.31616636901233</v>
      </c>
      <c r="J113" s="1" t="n">
        <v>0.327810428939554</v>
      </c>
      <c r="K113" s="1" t="n">
        <f aca="false">J113-I113</f>
        <v>0.0116440599272236</v>
      </c>
      <c r="L113" s="1" t="n">
        <v>0.70902009513028</v>
      </c>
    </row>
    <row r="114" customFormat="false" ht="15" hidden="false" customHeight="false" outlineLevel="0" collapsed="false">
      <c r="A114" s="1" t="s">
        <v>93</v>
      </c>
      <c r="B114" s="1" t="s">
        <v>94</v>
      </c>
      <c r="C114" s="1" t="s">
        <v>95</v>
      </c>
      <c r="D114" s="1" t="s">
        <v>19</v>
      </c>
      <c r="E114" s="1" t="s">
        <v>20</v>
      </c>
      <c r="F114" s="1" t="n">
        <v>42</v>
      </c>
      <c r="G114" s="2" t="s">
        <v>21</v>
      </c>
      <c r="H114" s="1" t="n">
        <v>0.1746</v>
      </c>
      <c r="I114" s="1" t="n">
        <v>0.296393281830907</v>
      </c>
      <c r="J114" s="1" t="n">
        <v>0.333149141204764</v>
      </c>
      <c r="K114" s="1" t="n">
        <f aca="false">J114-I114</f>
        <v>0.0367558593738577</v>
      </c>
      <c r="L114" s="1" t="n">
        <v>0.70902009513028</v>
      </c>
    </row>
    <row r="115" customFormat="false" ht="15" hidden="false" customHeight="false" outlineLevel="0" collapsed="false">
      <c r="A115" s="1" t="s">
        <v>93</v>
      </c>
      <c r="B115" s="1" t="s">
        <v>94</v>
      </c>
      <c r="C115" s="1" t="s">
        <v>95</v>
      </c>
      <c r="D115" s="1" t="s">
        <v>19</v>
      </c>
      <c r="E115" s="1" t="s">
        <v>20</v>
      </c>
      <c r="F115" s="1" t="n">
        <v>42</v>
      </c>
      <c r="G115" s="2" t="s">
        <v>37</v>
      </c>
      <c r="H115" s="1" t="n">
        <v>0.1709</v>
      </c>
      <c r="I115" s="1" t="n">
        <v>0.29016285928307</v>
      </c>
      <c r="J115" s="1" t="n">
        <v>0.306170028644197</v>
      </c>
      <c r="K115" s="1" t="n">
        <f aca="false">J115-I115</f>
        <v>0.016007169361127</v>
      </c>
      <c r="L115" s="1" t="n">
        <v>0.70902009513028</v>
      </c>
    </row>
    <row r="116" customFormat="false" ht="15" hidden="false" customHeight="false" outlineLevel="0" collapsed="false">
      <c r="A116" s="1" t="s">
        <v>93</v>
      </c>
      <c r="B116" s="1" t="s">
        <v>94</v>
      </c>
      <c r="C116" s="1" t="s">
        <v>95</v>
      </c>
      <c r="D116" s="1" t="s">
        <v>19</v>
      </c>
      <c r="E116" s="1" t="s">
        <v>20</v>
      </c>
      <c r="F116" s="1" t="n">
        <v>42</v>
      </c>
      <c r="G116" s="2" t="s">
        <v>57</v>
      </c>
      <c r="H116" s="1" t="n">
        <v>0.165</v>
      </c>
      <c r="I116" s="1" t="n">
        <v>0.280141587781872</v>
      </c>
      <c r="J116" s="1" t="n">
        <v>0.314229751218926</v>
      </c>
      <c r="K116" s="1" t="n">
        <f aca="false">J116-I116</f>
        <v>0.0340881634370546</v>
      </c>
      <c r="L116" s="1" t="n">
        <v>0.70902009513028</v>
      </c>
    </row>
    <row r="117" customFormat="false" ht="15" hidden="false" customHeight="false" outlineLevel="0" collapsed="false">
      <c r="A117" s="1" t="s">
        <v>93</v>
      </c>
      <c r="B117" s="1" t="s">
        <v>94</v>
      </c>
      <c r="C117" s="1" t="s">
        <v>95</v>
      </c>
      <c r="D117" s="1" t="s">
        <v>19</v>
      </c>
      <c r="E117" s="1" t="s">
        <v>20</v>
      </c>
      <c r="F117" s="1" t="n">
        <v>42</v>
      </c>
      <c r="G117" s="2" t="s">
        <v>24</v>
      </c>
      <c r="H117" s="1" t="n">
        <v>0.1</v>
      </c>
      <c r="I117" s="1" t="n">
        <v>0.249353328988451</v>
      </c>
      <c r="J117" s="1" t="n">
        <v>0.287936043320497</v>
      </c>
      <c r="K117" s="1" t="n">
        <f aca="false">J117-I117</f>
        <v>0.0385827143320466</v>
      </c>
      <c r="L117" s="1" t="n">
        <v>0.70902009513028</v>
      </c>
    </row>
    <row r="118" customFormat="false" ht="15" hidden="false" customHeight="false" outlineLevel="0" collapsed="false">
      <c r="A118" s="1" t="s">
        <v>96</v>
      </c>
      <c r="B118" s="1" t="s">
        <v>97</v>
      </c>
      <c r="C118" s="1" t="s">
        <v>98</v>
      </c>
      <c r="D118" s="1" t="s">
        <v>19</v>
      </c>
      <c r="E118" s="1" t="s">
        <v>20</v>
      </c>
      <c r="F118" s="1" t="n">
        <v>44</v>
      </c>
      <c r="G118" s="2" t="s">
        <v>23</v>
      </c>
      <c r="H118" s="1" t="n">
        <v>0.1851</v>
      </c>
      <c r="I118" s="1" t="n">
        <v>0.329669540048064</v>
      </c>
      <c r="J118" s="1" t="n">
        <v>0.335176192587645</v>
      </c>
      <c r="K118" s="1" t="n">
        <f aca="false">J118-I118</f>
        <v>0.00550665253958088</v>
      </c>
      <c r="L118" s="1" t="n">
        <v>0.675856447847683</v>
      </c>
    </row>
    <row r="119" customFormat="false" ht="15" hidden="false" customHeight="false" outlineLevel="0" collapsed="false">
      <c r="A119" s="1" t="s">
        <v>96</v>
      </c>
      <c r="B119" s="1" t="s">
        <v>97</v>
      </c>
      <c r="C119" s="1" t="s">
        <v>98</v>
      </c>
      <c r="D119" s="1" t="s">
        <v>19</v>
      </c>
      <c r="E119" s="1" t="s">
        <v>20</v>
      </c>
      <c r="F119" s="1" t="n">
        <v>44</v>
      </c>
      <c r="G119" s="2" t="s">
        <v>22</v>
      </c>
      <c r="H119" s="1" t="n">
        <v>0.183</v>
      </c>
      <c r="I119" s="1" t="n">
        <v>0.326039035669117</v>
      </c>
      <c r="J119" s="1" t="n">
        <v>0.308526323698507</v>
      </c>
      <c r="K119" s="1" t="n">
        <f aca="false">J119-I119</f>
        <v>-0.0175127119706099</v>
      </c>
      <c r="L119" s="1" t="n">
        <v>0.675856447847683</v>
      </c>
    </row>
    <row r="120" customFormat="false" ht="15" hidden="false" customHeight="false" outlineLevel="0" collapsed="false">
      <c r="A120" s="1" t="s">
        <v>96</v>
      </c>
      <c r="B120" s="1" t="s">
        <v>97</v>
      </c>
      <c r="C120" s="1" t="s">
        <v>98</v>
      </c>
      <c r="D120" s="1" t="s">
        <v>19</v>
      </c>
      <c r="E120" s="1" t="s">
        <v>20</v>
      </c>
      <c r="F120" s="1" t="n">
        <v>44</v>
      </c>
      <c r="G120" s="2" t="s">
        <v>21</v>
      </c>
      <c r="H120" s="1" t="n">
        <v>0.1784</v>
      </c>
      <c r="I120" s="1" t="n">
        <v>0.317833304283465</v>
      </c>
      <c r="J120" s="1" t="n">
        <v>0.28662782818738</v>
      </c>
      <c r="K120" s="1" t="n">
        <f aca="false">J120-I120</f>
        <v>-0.031205476096085</v>
      </c>
      <c r="L120" s="1" t="n">
        <v>0.675856447847683</v>
      </c>
    </row>
    <row r="121" customFormat="false" ht="15" hidden="false" customHeight="false" outlineLevel="0" collapsed="false">
      <c r="A121" s="1" t="s">
        <v>96</v>
      </c>
      <c r="B121" s="1" t="s">
        <v>97</v>
      </c>
      <c r="C121" s="1" t="s">
        <v>98</v>
      </c>
      <c r="D121" s="1" t="s">
        <v>19</v>
      </c>
      <c r="E121" s="1" t="s">
        <v>20</v>
      </c>
      <c r="F121" s="1" t="n">
        <v>44</v>
      </c>
      <c r="G121" s="2" t="s">
        <v>31</v>
      </c>
      <c r="H121" s="1" t="n">
        <v>0.177</v>
      </c>
      <c r="I121" s="1" t="n">
        <v>0.315309654994218</v>
      </c>
      <c r="J121" s="1" t="n">
        <v>0.276288412716992</v>
      </c>
      <c r="K121" s="1" t="n">
        <f aca="false">J121-I121</f>
        <v>-0.0390212422772255</v>
      </c>
      <c r="L121" s="1" t="n">
        <v>0.675856447847683</v>
      </c>
    </row>
    <row r="122" customFormat="false" ht="15" hidden="false" customHeight="false" outlineLevel="0" collapsed="false">
      <c r="A122" s="1" t="s">
        <v>96</v>
      </c>
      <c r="B122" s="1" t="s">
        <v>97</v>
      </c>
      <c r="C122" s="1" t="s">
        <v>98</v>
      </c>
      <c r="D122" s="1" t="s">
        <v>19</v>
      </c>
      <c r="E122" s="1" t="s">
        <v>20</v>
      </c>
      <c r="F122" s="1" t="n">
        <v>44</v>
      </c>
      <c r="G122" s="2" t="s">
        <v>57</v>
      </c>
      <c r="H122" s="1" t="n">
        <v>0.1765</v>
      </c>
      <c r="I122" s="1" t="n">
        <v>0.314312932989579</v>
      </c>
      <c r="J122" s="1" t="n">
        <v>0.26818883362231</v>
      </c>
      <c r="K122" s="1" t="n">
        <f aca="false">J122-I122</f>
        <v>-0.0461240993672686</v>
      </c>
      <c r="L122" s="1" t="n">
        <v>0.675856447847683</v>
      </c>
    </row>
    <row r="123" customFormat="false" ht="15" hidden="false" customHeight="false" outlineLevel="0" collapsed="false">
      <c r="A123" s="1" t="s">
        <v>96</v>
      </c>
      <c r="B123" s="1" t="s">
        <v>97</v>
      </c>
      <c r="C123" s="1" t="s">
        <v>98</v>
      </c>
      <c r="D123" s="1" t="s">
        <v>19</v>
      </c>
      <c r="E123" s="1" t="s">
        <v>20</v>
      </c>
      <c r="F123" s="1" t="n">
        <v>44</v>
      </c>
      <c r="G123" s="2" t="s">
        <v>24</v>
      </c>
      <c r="H123" s="1" t="n">
        <v>0.1</v>
      </c>
      <c r="I123" s="1" t="n">
        <v>0.293502044189856</v>
      </c>
      <c r="J123" s="1" t="n">
        <v>0.270387306327423</v>
      </c>
      <c r="K123" s="1" t="n">
        <f aca="false">J123-I123</f>
        <v>-0.0231147378624327</v>
      </c>
      <c r="L123" s="1" t="n">
        <v>0.675856447847683</v>
      </c>
    </row>
    <row r="124" customFormat="false" ht="15" hidden="false" customHeight="false" outlineLevel="0" collapsed="false">
      <c r="A124" s="1" t="s">
        <v>99</v>
      </c>
      <c r="B124" s="1" t="s">
        <v>100</v>
      </c>
      <c r="C124" s="1" t="s">
        <v>101</v>
      </c>
      <c r="D124" s="1" t="s">
        <v>19</v>
      </c>
      <c r="E124" s="1" t="s">
        <v>20</v>
      </c>
      <c r="F124" s="1" t="n">
        <v>46</v>
      </c>
      <c r="G124" s="2" t="s">
        <v>23</v>
      </c>
      <c r="H124" s="1" t="n">
        <v>0.2002</v>
      </c>
      <c r="I124" s="1" t="n">
        <v>0.306983920530162</v>
      </c>
      <c r="J124" s="1" t="n">
        <v>0.363453736128474</v>
      </c>
      <c r="K124" s="1" t="n">
        <f aca="false">J124-I124</f>
        <v>0.0564698155983124</v>
      </c>
      <c r="L124" s="1" t="n">
        <v>0.770886115042279</v>
      </c>
    </row>
    <row r="125" customFormat="false" ht="15" hidden="false" customHeight="false" outlineLevel="0" collapsed="false">
      <c r="A125" s="1" t="s">
        <v>99</v>
      </c>
      <c r="B125" s="1" t="s">
        <v>100</v>
      </c>
      <c r="C125" s="1" t="s">
        <v>101</v>
      </c>
      <c r="D125" s="1" t="s">
        <v>19</v>
      </c>
      <c r="E125" s="1" t="s">
        <v>20</v>
      </c>
      <c r="F125" s="1" t="n">
        <v>46</v>
      </c>
      <c r="G125" s="2" t="s">
        <v>22</v>
      </c>
      <c r="H125" s="1" t="n">
        <v>0.1812</v>
      </c>
      <c r="I125" s="1" t="n">
        <v>0.277826419889096</v>
      </c>
      <c r="J125" s="1" t="n">
        <v>0.306437249588727</v>
      </c>
      <c r="K125" s="1" t="n">
        <f aca="false">J125-I125</f>
        <v>0.0286108296996312</v>
      </c>
      <c r="L125" s="1" t="n">
        <v>0.770886115042279</v>
      </c>
    </row>
    <row r="126" customFormat="false" ht="15" hidden="false" customHeight="false" outlineLevel="0" collapsed="false">
      <c r="A126" s="1" t="s">
        <v>99</v>
      </c>
      <c r="B126" s="1" t="s">
        <v>100</v>
      </c>
      <c r="C126" s="1" t="s">
        <v>101</v>
      </c>
      <c r="D126" s="1" t="s">
        <v>19</v>
      </c>
      <c r="E126" s="1" t="s">
        <v>20</v>
      </c>
      <c r="F126" s="1" t="n">
        <v>46</v>
      </c>
      <c r="G126" s="2" t="s">
        <v>21</v>
      </c>
      <c r="H126" s="1" t="n">
        <v>0.1774</v>
      </c>
      <c r="I126" s="1" t="n">
        <v>0.2719757202375</v>
      </c>
      <c r="J126" s="1" t="n">
        <v>0.271093902190612</v>
      </c>
      <c r="K126" s="1" t="n">
        <f aca="false">J126-I126</f>
        <v>-0.000881818046888472</v>
      </c>
      <c r="L126" s="1" t="n">
        <v>0.770886115042279</v>
      </c>
    </row>
    <row r="127" customFormat="false" ht="15" hidden="false" customHeight="false" outlineLevel="0" collapsed="false">
      <c r="A127" s="1" t="s">
        <v>99</v>
      </c>
      <c r="B127" s="1" t="s">
        <v>100</v>
      </c>
      <c r="C127" s="1" t="s">
        <v>101</v>
      </c>
      <c r="D127" s="1" t="s">
        <v>19</v>
      </c>
      <c r="E127" s="1" t="s">
        <v>20</v>
      </c>
      <c r="F127" s="1" t="n">
        <v>46</v>
      </c>
      <c r="G127" s="2" t="s">
        <v>37</v>
      </c>
      <c r="H127" s="1" t="n">
        <v>0.1755</v>
      </c>
      <c r="I127" s="1" t="n">
        <v>0.26900277557191</v>
      </c>
      <c r="J127" s="1" t="n">
        <v>0.32713666252313</v>
      </c>
      <c r="K127" s="1" t="n">
        <f aca="false">J127-I127</f>
        <v>0.0581338869512199</v>
      </c>
      <c r="L127" s="1" t="n">
        <v>0.770886115042279</v>
      </c>
    </row>
    <row r="128" customFormat="false" ht="15" hidden="false" customHeight="false" outlineLevel="0" collapsed="false">
      <c r="A128" s="1" t="s">
        <v>99</v>
      </c>
      <c r="B128" s="1" t="s">
        <v>100</v>
      </c>
      <c r="C128" s="1" t="s">
        <v>101</v>
      </c>
      <c r="D128" s="1" t="s">
        <v>19</v>
      </c>
      <c r="E128" s="1" t="s">
        <v>20</v>
      </c>
      <c r="F128" s="1" t="n">
        <v>46</v>
      </c>
      <c r="G128" s="2" t="s">
        <v>57</v>
      </c>
      <c r="H128" s="1" t="n">
        <v>0.1657</v>
      </c>
      <c r="I128" s="1" t="n">
        <v>0.254015277008236</v>
      </c>
      <c r="J128" s="1" t="n">
        <v>0.306928299397677</v>
      </c>
      <c r="K128" s="1" t="n">
        <f aca="false">J128-I128</f>
        <v>0.0529130223894407</v>
      </c>
      <c r="L128" s="1" t="n">
        <v>0.770886115042279</v>
      </c>
    </row>
    <row r="129" customFormat="false" ht="15" hidden="false" customHeight="false" outlineLevel="0" collapsed="false">
      <c r="A129" s="1" t="s">
        <v>99</v>
      </c>
      <c r="B129" s="1" t="s">
        <v>100</v>
      </c>
      <c r="C129" s="1" t="s">
        <v>101</v>
      </c>
      <c r="D129" s="1" t="s">
        <v>19</v>
      </c>
      <c r="E129" s="1" t="s">
        <v>20</v>
      </c>
      <c r="F129" s="1" t="n">
        <v>46</v>
      </c>
      <c r="G129" s="2" t="s">
        <v>24</v>
      </c>
      <c r="H129" s="1" t="n">
        <v>0.1</v>
      </c>
      <c r="I129" s="1" t="n">
        <v>0.233185421521088</v>
      </c>
      <c r="J129" s="1" t="n">
        <v>0.340940383618715</v>
      </c>
      <c r="K129" s="1" t="n">
        <f aca="false">J129-I129</f>
        <v>0.107754962097627</v>
      </c>
      <c r="L129" s="1" t="n">
        <v>0.770886115042279</v>
      </c>
    </row>
    <row r="130" customFormat="false" ht="15" hidden="false" customHeight="false" outlineLevel="0" collapsed="false">
      <c r="A130" s="1" t="s">
        <v>102</v>
      </c>
      <c r="B130" s="1" t="s">
        <v>103</v>
      </c>
      <c r="C130" s="1" t="s">
        <v>104</v>
      </c>
      <c r="D130" s="1" t="s">
        <v>19</v>
      </c>
      <c r="E130" s="1" t="s">
        <v>20</v>
      </c>
      <c r="F130" s="1" t="n">
        <v>48</v>
      </c>
      <c r="G130" s="2" t="s">
        <v>23</v>
      </c>
      <c r="H130" s="1" t="n">
        <v>0.1865</v>
      </c>
      <c r="I130" s="1" t="n">
        <v>0.342022736801234</v>
      </c>
      <c r="J130" s="1" t="n">
        <v>0.376186860560966</v>
      </c>
      <c r="K130" s="1" t="n">
        <f aca="false">J130-I130</f>
        <v>0.0341641237597315</v>
      </c>
      <c r="L130" s="1" t="n">
        <v>0.769586409524463</v>
      </c>
    </row>
    <row r="131" customFormat="false" ht="15" hidden="false" customHeight="false" outlineLevel="0" collapsed="false">
      <c r="A131" s="1" t="s">
        <v>102</v>
      </c>
      <c r="B131" s="1" t="s">
        <v>103</v>
      </c>
      <c r="C131" s="1" t="s">
        <v>104</v>
      </c>
      <c r="D131" s="1" t="s">
        <v>19</v>
      </c>
      <c r="E131" s="1" t="s">
        <v>20</v>
      </c>
      <c r="F131" s="1" t="n">
        <v>48</v>
      </c>
      <c r="G131" s="2" t="s">
        <v>24</v>
      </c>
      <c r="H131" s="1" t="n">
        <v>0.1685</v>
      </c>
      <c r="I131" s="1" t="n">
        <v>0.308973722050594</v>
      </c>
      <c r="J131" s="1" t="n">
        <v>0.289555925629909</v>
      </c>
      <c r="K131" s="1" t="n">
        <f aca="false">J131-I131</f>
        <v>-0.0194177964206844</v>
      </c>
      <c r="L131" s="1" t="n">
        <v>0.769586409524463</v>
      </c>
    </row>
    <row r="132" customFormat="false" ht="15" hidden="false" customHeight="false" outlineLevel="0" collapsed="false">
      <c r="A132" s="1" t="s">
        <v>102</v>
      </c>
      <c r="B132" s="1" t="s">
        <v>103</v>
      </c>
      <c r="C132" s="1" t="s">
        <v>104</v>
      </c>
      <c r="D132" s="1" t="s">
        <v>19</v>
      </c>
      <c r="E132" s="1" t="s">
        <v>20</v>
      </c>
      <c r="F132" s="1" t="n">
        <v>48</v>
      </c>
      <c r="G132" s="2" t="s">
        <v>41</v>
      </c>
      <c r="H132" s="1" t="n">
        <v>0.1677</v>
      </c>
      <c r="I132" s="1" t="n">
        <v>0.307506289585121</v>
      </c>
      <c r="J132" s="1" t="n">
        <v>0.309807898586628</v>
      </c>
      <c r="K132" s="1" t="n">
        <f aca="false">J132-I132</f>
        <v>0.00230160900150689</v>
      </c>
      <c r="L132" s="1" t="n">
        <v>0.769586409524463</v>
      </c>
    </row>
    <row r="133" customFormat="false" ht="15" hidden="false" customHeight="false" outlineLevel="0" collapsed="false">
      <c r="A133" s="1" t="s">
        <v>102</v>
      </c>
      <c r="B133" s="1" t="s">
        <v>103</v>
      </c>
      <c r="C133" s="1" t="s">
        <v>104</v>
      </c>
      <c r="D133" s="1" t="s">
        <v>19</v>
      </c>
      <c r="E133" s="1" t="s">
        <v>20</v>
      </c>
      <c r="F133" s="1" t="n">
        <v>48</v>
      </c>
      <c r="G133" s="2" t="s">
        <v>21</v>
      </c>
      <c r="H133" s="1" t="n">
        <v>0.1633</v>
      </c>
      <c r="I133" s="1" t="n">
        <v>0.299571698317251</v>
      </c>
      <c r="J133" s="1" t="n">
        <v>0.302942428554296</v>
      </c>
      <c r="K133" s="1" t="n">
        <f aca="false">J133-I133</f>
        <v>0.00337073023704559</v>
      </c>
      <c r="L133" s="1" t="n">
        <v>0.769586409524463</v>
      </c>
    </row>
    <row r="134" customFormat="false" ht="15" hidden="false" customHeight="false" outlineLevel="0" collapsed="false">
      <c r="A134" s="1" t="s">
        <v>102</v>
      </c>
      <c r="B134" s="1" t="s">
        <v>103</v>
      </c>
      <c r="C134" s="1" t="s">
        <v>104</v>
      </c>
      <c r="D134" s="1" t="s">
        <v>19</v>
      </c>
      <c r="E134" s="1" t="s">
        <v>20</v>
      </c>
      <c r="F134" s="1" t="n">
        <v>48</v>
      </c>
      <c r="G134" s="2" t="s">
        <v>74</v>
      </c>
      <c r="H134" s="1" t="n">
        <v>0.1601</v>
      </c>
      <c r="I134" s="1" t="n">
        <v>0.293582144522431</v>
      </c>
      <c r="J134" s="1" t="n">
        <v>0.282108182367118</v>
      </c>
      <c r="K134" s="1" t="n">
        <f aca="false">J134-I134</f>
        <v>-0.0114739621553124</v>
      </c>
      <c r="L134" s="1" t="n">
        <v>0.769586409524463</v>
      </c>
    </row>
    <row r="135" customFormat="false" ht="15" hidden="false" customHeight="false" outlineLevel="0" collapsed="false">
      <c r="A135" s="1" t="s">
        <v>102</v>
      </c>
      <c r="B135" s="1" t="s">
        <v>103</v>
      </c>
      <c r="C135" s="1" t="s">
        <v>104</v>
      </c>
      <c r="D135" s="1" t="s">
        <v>19</v>
      </c>
      <c r="E135" s="1" t="s">
        <v>20</v>
      </c>
      <c r="F135" s="1" t="n">
        <v>48</v>
      </c>
      <c r="G135" s="2" t="s">
        <v>37</v>
      </c>
      <c r="H135" s="1" t="n">
        <v>0.154</v>
      </c>
      <c r="I135" s="1" t="n">
        <v>0.282503855147619</v>
      </c>
      <c r="J135" s="1" t="n">
        <v>0.323300756585751</v>
      </c>
      <c r="K135" s="1" t="n">
        <f aca="false">J135-I135</f>
        <v>0.0407969014381315</v>
      </c>
      <c r="L135" s="1" t="n">
        <v>0.769586409524463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1" sqref="L4 A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22.96"/>
  </cols>
  <sheetData>
    <row r="1" customFormat="false" ht="12.8" hidden="false" customHeight="false" outlineLevel="0" collapsed="false">
      <c r="A1" s="6" t="s">
        <v>105</v>
      </c>
      <c r="B1" s="6"/>
    </row>
    <row r="2" customFormat="false" ht="12.8" hidden="false" customHeight="false" outlineLevel="0" collapsed="false">
      <c r="A2" s="6"/>
      <c r="B2" s="6"/>
    </row>
    <row r="3" customFormat="false" ht="12.8" hidden="false" customHeight="false" outlineLevel="0" collapsed="false">
      <c r="A3" s="6" t="s">
        <v>106</v>
      </c>
      <c r="B3" s="7" t="n">
        <f aca="false">scen7_ac15p!P2</f>
        <v>133</v>
      </c>
    </row>
    <row r="4" customFormat="false" ht="12.8" hidden="false" customHeight="false" outlineLevel="0" collapsed="false">
      <c r="A4" s="6" t="s">
        <v>107</v>
      </c>
      <c r="B4" s="6" t="n">
        <f aca="false">B10*SQRT((B3-2)/(1-B10^2))</f>
        <v>2.1558329253126</v>
      </c>
    </row>
    <row r="5" customFormat="false" ht="12.8" hidden="false" customHeight="false" outlineLevel="0" collapsed="false">
      <c r="A5" s="6" t="s">
        <v>108</v>
      </c>
      <c r="B5" s="6" t="n">
        <f aca="false">_xlfn.T.DIST.2T(ABS(B4),B3-2)</f>
        <v>0.0329240615406982</v>
      </c>
    </row>
    <row r="6" customFormat="false" ht="12.8" hidden="false" customHeight="false" outlineLevel="0" collapsed="false">
      <c r="A6" s="6"/>
      <c r="B6" s="8"/>
    </row>
    <row r="7" customFormat="false" ht="12.8" hidden="false" customHeight="false" outlineLevel="0" collapsed="false">
      <c r="A7" s="6"/>
      <c r="B7" s="8"/>
    </row>
    <row r="8" customFormat="false" ht="12.8" hidden="false" customHeight="false" outlineLevel="0" collapsed="false">
      <c r="A8" s="6"/>
      <c r="B8" s="8"/>
    </row>
    <row r="9" customFormat="false" ht="19.4" hidden="false" customHeight="false" outlineLevel="0" collapsed="false">
      <c r="A9" s="3" t="s">
        <v>12</v>
      </c>
      <c r="B9" s="3" t="s">
        <v>14</v>
      </c>
    </row>
    <row r="10" customFormat="false" ht="12.8" hidden="false" customHeight="false" outlineLevel="0" collapsed="false">
      <c r="A10" s="9" t="n">
        <f aca="false">B3</f>
        <v>133</v>
      </c>
      <c r="B10" s="9" t="n">
        <f aca="false">scen7_ac15p!R2</f>
        <v>0.185101107986304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2" activeCellId="1" sqref="L4 A2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9.71"/>
  </cols>
  <sheetData>
    <row r="2" customFormat="false" ht="12.8" hidden="false" customHeight="false" outlineLevel="0" collapsed="false">
      <c r="A2" s="10" t="s">
        <v>109</v>
      </c>
      <c r="B2" s="10"/>
    </row>
    <row r="3" customFormat="false" ht="12.8" hidden="false" customHeight="false" outlineLevel="0" collapsed="false">
      <c r="A3" s="11" t="s">
        <v>110</v>
      </c>
      <c r="B3" s="5" t="s">
        <v>111</v>
      </c>
    </row>
    <row r="4" customFormat="false" ht="12.8" hidden="false" customHeight="false" outlineLevel="0" collapsed="false">
      <c r="A4" s="8" t="n">
        <v>1</v>
      </c>
      <c r="B4" s="1" t="n">
        <v>0.726604447396414</v>
      </c>
    </row>
    <row r="5" customFormat="false" ht="12.8" hidden="false" customHeight="false" outlineLevel="0" collapsed="false">
      <c r="A5" s="8" t="n">
        <v>2</v>
      </c>
      <c r="B5" s="1" t="n">
        <v>0.708959829151642</v>
      </c>
    </row>
    <row r="6" customFormat="false" ht="12.8" hidden="false" customHeight="false" outlineLevel="0" collapsed="false">
      <c r="A6" s="8" t="n">
        <v>3</v>
      </c>
      <c r="B6" s="1" t="n">
        <v>0.656250791088745</v>
      </c>
    </row>
    <row r="7" customFormat="false" ht="12.8" hidden="false" customHeight="false" outlineLevel="0" collapsed="false">
      <c r="A7" s="8" t="n">
        <v>4</v>
      </c>
      <c r="B7" s="1" t="n">
        <v>0.682480064346605</v>
      </c>
    </row>
    <row r="8" customFormat="false" ht="12.8" hidden="false" customHeight="false" outlineLevel="0" collapsed="false">
      <c r="A8" s="8" t="n">
        <v>5</v>
      </c>
      <c r="B8" s="1" t="n">
        <v>0.750666088952323</v>
      </c>
    </row>
    <row r="9" customFormat="false" ht="12.8" hidden="false" customHeight="false" outlineLevel="0" collapsed="false">
      <c r="A9" s="8" t="n">
        <v>6</v>
      </c>
      <c r="B9" s="1" t="n">
        <v>0.690037613967929</v>
      </c>
    </row>
    <row r="10" customFormat="false" ht="12.8" hidden="false" customHeight="false" outlineLevel="0" collapsed="false">
      <c r="A10" s="8" t="n">
        <v>7</v>
      </c>
      <c r="B10" s="1" t="n">
        <v>0.70889799084929</v>
      </c>
    </row>
    <row r="11" customFormat="false" ht="12.8" hidden="false" customHeight="false" outlineLevel="0" collapsed="false">
      <c r="A11" s="8" t="n">
        <v>8</v>
      </c>
      <c r="B11" s="1" t="n">
        <v>0.685546620467512</v>
      </c>
    </row>
    <row r="12" customFormat="false" ht="12.8" hidden="false" customHeight="false" outlineLevel="0" collapsed="false">
      <c r="A12" s="8" t="n">
        <v>9</v>
      </c>
      <c r="B12" s="1" t="n">
        <v>0.727629515141836</v>
      </c>
    </row>
    <row r="13" customFormat="false" ht="12.8" hidden="false" customHeight="false" outlineLevel="0" collapsed="false">
      <c r="A13" s="8" t="n">
        <v>10</v>
      </c>
      <c r="B13" s="1" t="n">
        <v>0.637485514971611</v>
      </c>
    </row>
    <row r="14" customFormat="false" ht="12.8" hidden="false" customHeight="false" outlineLevel="0" collapsed="false">
      <c r="A14" s="8" t="n">
        <v>11</v>
      </c>
      <c r="B14" s="1" t="n">
        <v>0.717989456556699</v>
      </c>
    </row>
    <row r="15" customFormat="false" ht="12.8" hidden="false" customHeight="false" outlineLevel="0" collapsed="false">
      <c r="A15" s="8" t="n">
        <v>12</v>
      </c>
      <c r="B15" s="1" t="n">
        <v>0.770906292597071</v>
      </c>
    </row>
    <row r="16" customFormat="false" ht="12.8" hidden="false" customHeight="false" outlineLevel="0" collapsed="false">
      <c r="A16" s="8" t="n">
        <v>13</v>
      </c>
      <c r="B16" s="1" t="n">
        <v>0.709827899363474</v>
      </c>
    </row>
    <row r="17" customFormat="false" ht="12.8" hidden="false" customHeight="false" outlineLevel="0" collapsed="false">
      <c r="A17" s="8" t="n">
        <v>14</v>
      </c>
      <c r="B17" s="1" t="n">
        <v>0.824775999287701</v>
      </c>
    </row>
    <row r="18" customFormat="false" ht="12.8" hidden="false" customHeight="false" outlineLevel="0" collapsed="false">
      <c r="A18" s="8" t="n">
        <v>15</v>
      </c>
      <c r="B18" s="1" t="n">
        <v>0.611331502918536</v>
      </c>
    </row>
    <row r="19" customFormat="false" ht="12.8" hidden="false" customHeight="false" outlineLevel="0" collapsed="false">
      <c r="A19" s="8" t="n">
        <v>16</v>
      </c>
      <c r="B19" s="1" t="n">
        <v>0.743473367956861</v>
      </c>
    </row>
    <row r="20" customFormat="false" ht="12.8" hidden="false" customHeight="false" outlineLevel="0" collapsed="false">
      <c r="A20" s="8" t="n">
        <v>17</v>
      </c>
      <c r="B20" s="1" t="n">
        <v>0.657769103514598</v>
      </c>
    </row>
    <row r="21" customFormat="false" ht="12.8" hidden="false" customHeight="false" outlineLevel="0" collapsed="false">
      <c r="A21" s="8" t="n">
        <v>18</v>
      </c>
      <c r="B21" s="1" t="n">
        <v>0.7336678926738</v>
      </c>
    </row>
    <row r="22" customFormat="false" ht="12.8" hidden="false" customHeight="false" outlineLevel="0" collapsed="false">
      <c r="A22" s="8" t="n">
        <v>19</v>
      </c>
      <c r="B22" s="1" t="n">
        <v>0.664769831999005</v>
      </c>
    </row>
    <row r="23" customFormat="false" ht="12.8" hidden="false" customHeight="false" outlineLevel="0" collapsed="false">
      <c r="A23" s="8" t="n">
        <v>20</v>
      </c>
      <c r="B23" s="1" t="n">
        <v>0.735511761701567</v>
      </c>
    </row>
    <row r="24" customFormat="false" ht="12.8" hidden="false" customHeight="false" outlineLevel="0" collapsed="false">
      <c r="A24" s="8" t="n">
        <v>21</v>
      </c>
      <c r="B24" s="1" t="n">
        <v>0.715466613809298</v>
      </c>
    </row>
    <row r="25" customFormat="false" ht="12.8" hidden="false" customHeight="false" outlineLevel="0" collapsed="false">
      <c r="A25" s="8" t="n">
        <v>22</v>
      </c>
      <c r="B25" s="1" t="n">
        <v>0.70902009513028</v>
      </c>
    </row>
    <row r="26" customFormat="false" ht="12.8" hidden="false" customHeight="false" outlineLevel="0" collapsed="false">
      <c r="A26" s="8" t="n">
        <v>23</v>
      </c>
      <c r="B26" s="1" t="n">
        <v>0.675856447847683</v>
      </c>
    </row>
    <row r="27" customFormat="false" ht="12.8" hidden="false" customHeight="false" outlineLevel="0" collapsed="false">
      <c r="A27" s="8" t="n">
        <v>24</v>
      </c>
      <c r="B27" s="1" t="n">
        <v>0.770886115042279</v>
      </c>
    </row>
    <row r="28" customFormat="false" ht="12.8" hidden="false" customHeight="false" outlineLevel="0" collapsed="false">
      <c r="A28" s="4" t="n">
        <v>25</v>
      </c>
      <c r="B28" s="1" t="n">
        <v>0.769586409524463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4" activeCellId="0" sqref="L4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5" min="5" style="1" width="20.79"/>
    <col collapsed="false" customWidth="true" hidden="false" outlineLevel="0" max="6" min="6" style="1" width="19.71"/>
    <col collapsed="false" customWidth="true" hidden="false" outlineLevel="0" max="7" min="7" style="1" width="22.96"/>
    <col collapsed="false" customWidth="true" hidden="false" outlineLevel="0" max="9" min="8" style="1" width="22.42"/>
    <col collapsed="false" customWidth="true" hidden="false" outlineLevel="0" max="10" min="10" style="1" width="19.71"/>
  </cols>
  <sheetData>
    <row r="2" customFormat="false" ht="12.8" hidden="false" customHeight="false" outlineLevel="0" collapsed="false">
      <c r="A2" s="10" t="s">
        <v>109</v>
      </c>
      <c r="B2" s="10"/>
    </row>
    <row r="3" customFormat="false" ht="12.8" hidden="false" customHeight="false" outlineLevel="0" collapsed="false">
      <c r="A3" s="11" t="s">
        <v>110</v>
      </c>
      <c r="B3" s="5" t="s">
        <v>111</v>
      </c>
      <c r="C3" s="1" t="s">
        <v>112</v>
      </c>
      <c r="E3" s="4" t="s">
        <v>113</v>
      </c>
      <c r="F3" s="4" t="s">
        <v>114</v>
      </c>
      <c r="G3" s="4" t="s">
        <v>115</v>
      </c>
      <c r="H3" s="4" t="s">
        <v>116</v>
      </c>
      <c r="I3" s="4" t="s">
        <v>117</v>
      </c>
      <c r="J3" s="4" t="s">
        <v>118</v>
      </c>
      <c r="K3" s="0" t="s">
        <v>119</v>
      </c>
      <c r="L3" s="0" t="s">
        <v>120</v>
      </c>
    </row>
    <row r="4" customFormat="false" ht="12.8" hidden="false" customHeight="false" outlineLevel="0" collapsed="false">
      <c r="A4" s="8" t="n">
        <v>1</v>
      </c>
      <c r="B4" s="1" t="n">
        <v>0.726604447396414</v>
      </c>
      <c r="C4" s="1" t="n">
        <v>0.780357842803317</v>
      </c>
      <c r="E4" s="4" t="n">
        <f aca="false">_xlfn.STDEV.S(B4:B28)</f>
        <v>0.0475813342639696</v>
      </c>
      <c r="F4" s="4" t="n">
        <f aca="false">_xlfn.STDEV.S(C4:C28)</f>
        <v>0.108991128921815</v>
      </c>
      <c r="G4" s="4" t="n">
        <f aca="false">_xlfn.F.TEST(B4:B28,C4:C28)</f>
        <v>0.000133261828486721</v>
      </c>
      <c r="H4" s="4" t="n">
        <f aca="false">_xlfn.T.TEST(B4:B28, C4:C28, 2,2)</f>
        <v>2.34382720015352E-007</v>
      </c>
      <c r="I4" s="4" t="n">
        <f aca="false">_xlfn.T.TEST(B4:B28,C4:C28, 2,3)</f>
        <v>9.30370774775643E-007</v>
      </c>
      <c r="J4" s="4" t="n">
        <f aca="false">AVERAGE(B4:B28)-AVERAGE(C4:C28)</f>
        <v>0.143165584245537</v>
      </c>
      <c r="K4" s="0" t="n">
        <f aca="false">AVERAGE(B4:B28)</f>
        <v>0.711415890650289</v>
      </c>
      <c r="L4" s="0" t="n">
        <f aca="false">AVERAGE(C4:C28)</f>
        <v>0.568250306404752</v>
      </c>
    </row>
    <row r="5" customFormat="false" ht="12.8" hidden="false" customHeight="false" outlineLevel="0" collapsed="false">
      <c r="A5" s="8" t="n">
        <v>2</v>
      </c>
      <c r="B5" s="1" t="n">
        <v>0.708959829151642</v>
      </c>
      <c r="C5" s="1" t="n">
        <v>0.416207094658953</v>
      </c>
    </row>
    <row r="6" customFormat="false" ht="12.8" hidden="false" customHeight="false" outlineLevel="0" collapsed="false">
      <c r="A6" s="8" t="n">
        <v>3</v>
      </c>
      <c r="B6" s="1" t="n">
        <v>0.656250791088745</v>
      </c>
      <c r="C6" s="1" t="n">
        <v>0.440694734258005</v>
      </c>
    </row>
    <row r="7" customFormat="false" ht="12.8" hidden="false" customHeight="false" outlineLevel="0" collapsed="false">
      <c r="A7" s="8" t="n">
        <v>4</v>
      </c>
      <c r="B7" s="1" t="n">
        <v>0.682480064346605</v>
      </c>
      <c r="C7" s="1" t="n">
        <v>0.50298342709053</v>
      </c>
    </row>
    <row r="8" customFormat="false" ht="12.8" hidden="false" customHeight="false" outlineLevel="0" collapsed="false">
      <c r="A8" s="8" t="n">
        <v>5</v>
      </c>
      <c r="B8" s="1" t="n">
        <v>0.750666088952323</v>
      </c>
      <c r="C8" s="1" t="n">
        <v>0.648378238204048</v>
      </c>
    </row>
    <row r="9" customFormat="false" ht="12.8" hidden="false" customHeight="false" outlineLevel="0" collapsed="false">
      <c r="A9" s="8" t="n">
        <v>6</v>
      </c>
      <c r="B9" s="1" t="n">
        <v>0.690037613967929</v>
      </c>
      <c r="C9" s="1" t="n">
        <v>0.556905413484638</v>
      </c>
    </row>
    <row r="10" customFormat="false" ht="12.8" hidden="false" customHeight="false" outlineLevel="0" collapsed="false">
      <c r="A10" s="8" t="n">
        <v>7</v>
      </c>
      <c r="B10" s="1" t="n">
        <v>0.70889799084929</v>
      </c>
      <c r="C10" s="1" t="n">
        <v>0.676587781456039</v>
      </c>
    </row>
    <row r="11" customFormat="false" ht="12.8" hidden="false" customHeight="false" outlineLevel="0" collapsed="false">
      <c r="A11" s="8" t="n">
        <v>8</v>
      </c>
      <c r="B11" s="1" t="n">
        <v>0.685546620467512</v>
      </c>
      <c r="C11" s="1" t="n">
        <v>0.537556987618538</v>
      </c>
    </row>
    <row r="12" customFormat="false" ht="12.8" hidden="false" customHeight="false" outlineLevel="0" collapsed="false">
      <c r="A12" s="8" t="n">
        <v>9</v>
      </c>
      <c r="B12" s="1" t="n">
        <v>0.727629515141836</v>
      </c>
      <c r="C12" s="1" t="n">
        <v>0.547450655337536</v>
      </c>
    </row>
    <row r="13" customFormat="false" ht="12.8" hidden="false" customHeight="false" outlineLevel="0" collapsed="false">
      <c r="A13" s="8" t="n">
        <v>10</v>
      </c>
      <c r="B13" s="1" t="n">
        <v>0.637485514971611</v>
      </c>
      <c r="C13" s="1" t="n">
        <v>0.404475709994457</v>
      </c>
    </row>
    <row r="14" customFormat="false" ht="12.8" hidden="false" customHeight="false" outlineLevel="0" collapsed="false">
      <c r="A14" s="8" t="n">
        <v>11</v>
      </c>
      <c r="B14" s="1" t="n">
        <v>0.717989456556699</v>
      </c>
      <c r="C14" s="1" t="n">
        <v>0.573512450710954</v>
      </c>
    </row>
    <row r="15" customFormat="false" ht="12.8" hidden="false" customHeight="false" outlineLevel="0" collapsed="false">
      <c r="A15" s="8" t="n">
        <v>12</v>
      </c>
      <c r="B15" s="1" t="n">
        <v>0.770906292597071</v>
      </c>
      <c r="C15" s="1" t="n">
        <v>0.688426389427952</v>
      </c>
    </row>
    <row r="16" customFormat="false" ht="12.8" hidden="false" customHeight="false" outlineLevel="0" collapsed="false">
      <c r="A16" s="8" t="n">
        <v>13</v>
      </c>
      <c r="B16" s="1" t="n">
        <v>0.709827899363474</v>
      </c>
      <c r="C16" s="1" t="n">
        <v>0.536732539192105</v>
      </c>
    </row>
    <row r="17" customFormat="false" ht="12.8" hidden="false" customHeight="false" outlineLevel="0" collapsed="false">
      <c r="A17" s="8" t="n">
        <v>14</v>
      </c>
      <c r="B17" s="1" t="n">
        <v>0.824775999287701</v>
      </c>
      <c r="C17" s="1" t="n">
        <v>0.706905423359106</v>
      </c>
    </row>
    <row r="18" customFormat="false" ht="12.8" hidden="false" customHeight="false" outlineLevel="0" collapsed="false">
      <c r="A18" s="8" t="n">
        <v>15</v>
      </c>
      <c r="B18" s="1" t="n">
        <v>0.611331502918536</v>
      </c>
      <c r="C18" s="1" t="n">
        <v>0.559275980049327</v>
      </c>
    </row>
    <row r="19" customFormat="false" ht="12.8" hidden="false" customHeight="false" outlineLevel="0" collapsed="false">
      <c r="A19" s="8" t="n">
        <v>16</v>
      </c>
      <c r="B19" s="1" t="n">
        <v>0.743473367956861</v>
      </c>
      <c r="C19" s="1" t="n">
        <v>0.696687598503719</v>
      </c>
    </row>
    <row r="20" customFormat="false" ht="12.8" hidden="false" customHeight="false" outlineLevel="0" collapsed="false">
      <c r="A20" s="8" t="n">
        <v>17</v>
      </c>
      <c r="B20" s="1" t="n">
        <v>0.657769103514598</v>
      </c>
      <c r="C20" s="1" t="n">
        <v>0.48999145280364</v>
      </c>
    </row>
    <row r="21" customFormat="false" ht="12.8" hidden="false" customHeight="false" outlineLevel="0" collapsed="false">
      <c r="A21" s="8" t="n">
        <v>18</v>
      </c>
      <c r="B21" s="1" t="n">
        <v>0.7336678926738</v>
      </c>
      <c r="C21" s="1" t="n">
        <v>0.703777326026319</v>
      </c>
    </row>
    <row r="22" customFormat="false" ht="12.8" hidden="false" customHeight="false" outlineLevel="0" collapsed="false">
      <c r="A22" s="8" t="n">
        <v>19</v>
      </c>
      <c r="B22" s="1" t="n">
        <v>0.664769831999005</v>
      </c>
      <c r="C22" s="1" t="n">
        <v>0.538311826027795</v>
      </c>
    </row>
    <row r="23" customFormat="false" ht="12.8" hidden="false" customHeight="false" outlineLevel="0" collapsed="false">
      <c r="A23" s="8" t="n">
        <v>20</v>
      </c>
      <c r="B23" s="1" t="n">
        <v>0.735511761701567</v>
      </c>
      <c r="C23" s="1" t="n">
        <v>0.658619577213029</v>
      </c>
    </row>
    <row r="24" customFormat="false" ht="12.8" hidden="false" customHeight="false" outlineLevel="0" collapsed="false">
      <c r="A24" s="8" t="n">
        <v>21</v>
      </c>
      <c r="B24" s="1" t="n">
        <v>0.715466613809298</v>
      </c>
      <c r="C24" s="1" t="n">
        <v>0.407653544913038</v>
      </c>
    </row>
    <row r="25" customFormat="false" ht="12.8" hidden="false" customHeight="false" outlineLevel="0" collapsed="false">
      <c r="A25" s="8" t="n">
        <v>22</v>
      </c>
      <c r="B25" s="1" t="n">
        <v>0.70902009513028</v>
      </c>
      <c r="C25" s="1" t="n">
        <v>0.515876791249462</v>
      </c>
    </row>
    <row r="26" customFormat="false" ht="12.8" hidden="false" customHeight="false" outlineLevel="0" collapsed="false">
      <c r="A26" s="8" t="n">
        <v>23</v>
      </c>
      <c r="B26" s="1" t="n">
        <v>0.675856447847683</v>
      </c>
      <c r="C26" s="1" t="n">
        <v>0.47404366030989</v>
      </c>
    </row>
    <row r="27" customFormat="false" ht="12.8" hidden="false" customHeight="false" outlineLevel="0" collapsed="false">
      <c r="A27" s="8" t="n">
        <v>24</v>
      </c>
      <c r="B27" s="1" t="n">
        <v>0.770886115042279</v>
      </c>
      <c r="C27" s="1" t="n">
        <v>0.690137110745753</v>
      </c>
    </row>
    <row r="28" customFormat="false" ht="12.8" hidden="false" customHeight="false" outlineLevel="0" collapsed="false">
      <c r="A28" s="4" t="n">
        <v>25</v>
      </c>
      <c r="B28" s="1" t="n">
        <v>0.769586409524463</v>
      </c>
      <c r="C28" s="1" t="n">
        <v>0.454708104680646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2026-02-20T16:41:10Z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
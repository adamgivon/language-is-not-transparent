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8_ac15p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<sst xmlns="http://schemas.openxmlformats.org/spreadsheetml/2006/main" count="838" uniqueCount="121">
  <si>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</si>
  <si>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</si>
  <si>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</si>
  <si>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</si>
  <si>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</si>
  <si>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</si>
  <si>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</si>
  <si>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</si>
  <si>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</si>
  <si>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</si>
  <si>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</si>
  <si>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</si>
  <si>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</si>
  <si>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</si>
  <si>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</si>
  <si>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</si>
  <si>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e41090fb-57cb-4690-8e07-398843646e4f</t>
  </si>
  <si>
    <t xml:space="preserve">cmjl454a600u0zccms1ttmwij</t>
  </si>
  <si>
    <t xml:space="preserve">cmjl45zyj00uhzccmhh8mnkh1</t>
  </si>
  <si>
    <t xml:space="preserve">ac15-plain</t>
  </si>
  <si>
    <t xml:space="preserve">Scenario_8</t>
  </si>
  <si>
    <t xml:space="preserve">truth_and_fact</t>
  </si>
  <si>
    <t xml:space="preserve">b8f5092e-f4ac-4865-b955-3f6b621b1df6</t>
  </si>
  <si>
    <t xml:space="preserve">cmjl46bpy00ulzccmvl0i2rw1</t>
  </si>
  <si>
    <t xml:space="preserve">cmjl46uj400v2zccmfghzs9qu</t>
  </si>
  <si>
    <t xml:space="preserve">affective_interface</t>
  </si>
  <si>
    <t xml:space="preserve">923a17c9-59c1-405c-8f89-5deabe3ffed0</t>
  </si>
  <si>
    <t xml:space="preserve">cmjl47alz00v6zccmadnzobtf</t>
  </si>
  <si>
    <t xml:space="preserve">cmjl47nu800vnzccmyp7ofs52</t>
  </si>
  <si>
    <t xml:space="preserve">practicality_and_feasibility</t>
  </si>
  <si>
    <t xml:space="preserve">context_dependent_expression</t>
  </si>
  <si>
    <t xml:space="preserve">c56d619c-080a-4287-b3c2-4efbc26c49a1</t>
  </si>
  <si>
    <t xml:space="preserve">cmjl489pt00vrzccm8w8007ca</t>
  </si>
  <si>
    <t xml:space="preserve">cmjl48vsv00w8zccmja5x6lws</t>
  </si>
  <si>
    <t xml:space="preserve">imagination_and_possibility</t>
  </si>
  <si>
    <t xml:space="preserve">science</t>
  </si>
  <si>
    <t xml:space="preserve">35117b02-57b4-4d96-959f-61f040f51380</t>
  </si>
  <si>
    <t xml:space="preserve">cmjl498gv00wczccmiz3wo8ti</t>
  </si>
  <si>
    <t xml:space="preserve">cmjl49flx00wtzccmmsqohwyw</t>
  </si>
  <si>
    <t xml:space="preserve">freedom_and_limitations</t>
  </si>
  <si>
    <t xml:space="preserve">d33658bd-913c-4645-a034-621bd1063b4a</t>
  </si>
  <si>
    <t xml:space="preserve">cmjl49sii00wxzccmb1l6nmte</t>
  </si>
  <si>
    <t xml:space="preserve">cmjl4a6pl00xezccmhiu52fyb</t>
  </si>
  <si>
    <t xml:space="preserve">identity</t>
  </si>
  <si>
    <t xml:space="preserve">f24e733c-2b12-4df3-a250-83b1e909d3b3</t>
  </si>
  <si>
    <t xml:space="preserve">cmjl4apxc00xizccmlzt2d6cr</t>
  </si>
  <si>
    <t xml:space="preserve">cmjl4b47k00xzzccm6g4d0nze</t>
  </si>
  <si>
    <t xml:space="preserve">temporal_dynamics</t>
  </si>
  <si>
    <t xml:space="preserve">8b0969e3-1702-4873-8cdc-3ececca50d36</t>
  </si>
  <si>
    <t xml:space="preserve">cmjl4bjv000y3zccmqm5d4e9l</t>
  </si>
  <si>
    <t xml:space="preserve">cmjl4bxoq00ykzccm307b3ouo</t>
  </si>
  <si>
    <t xml:space="preserve">sovereignty</t>
  </si>
  <si>
    <t xml:space="preserve">09257b68-c889-47e4-a887-542e94fb5ef0</t>
  </si>
  <si>
    <t xml:space="preserve">cmjl4c1vl00yozccmuhuhqf3z</t>
  </si>
  <si>
    <t xml:space="preserve">cmjl4cbty00z5zccmce67yr2k</t>
  </si>
  <si>
    <t xml:space="preserve">40da4331-609d-4e14-a40e-20880a08bf44</t>
  </si>
  <si>
    <t xml:space="preserve">cmjl4coml00z9zccmgw2fst44</t>
  </si>
  <si>
    <t xml:space="preserve">cmjl4d05x00zqzccm5oe1ecpb</t>
  </si>
  <si>
    <t xml:space="preserve">b9637c73-9f52-4897-b136-fd7dc0e409e7</t>
  </si>
  <si>
    <t xml:space="preserve">cmjl4dgy500zuzccmw11ehw41</t>
  </si>
  <si>
    <t xml:space="preserve">cmjl4e2go010bzccm0jm46coh</t>
  </si>
  <si>
    <t xml:space="preserve">80f103f6-15d8-4bf6-ae76-79b8972ef904</t>
  </si>
  <si>
    <t xml:space="preserve">cmjl4ecxl010fzccm202419jn</t>
  </si>
  <si>
    <t xml:space="preserve">cmjl4en95010wzccmdiitf1dp</t>
  </si>
  <si>
    <t xml:space="preserve">4ef79cc2-27ab-4d44-bcac-278dfc23cc6b</t>
  </si>
  <si>
    <t xml:space="preserve">cmjl4f3m80110zccmev8fpuhr</t>
  </si>
  <si>
    <t xml:space="preserve">cmjl4fj3c011hzccm1x769lht</t>
  </si>
  <si>
    <t xml:space="preserve">009b6c2e-1c51-45b0-9587-f12cc9f4b81d</t>
  </si>
  <si>
    <t xml:space="preserve">cmjl4frcn011lzccmig4iye0x</t>
  </si>
  <si>
    <t xml:space="preserve">cmjl4g1zj0122zccml7sqovwn</t>
  </si>
  <si>
    <t xml:space="preserve">metaphorical_scaffolding</t>
  </si>
  <si>
    <t xml:space="preserve">295b8806-b639-40f6-a6a5-fff19e5950dc</t>
  </si>
  <si>
    <t xml:space="preserve">cmjl4gdof0126zccmdf2p2l25</t>
  </si>
  <si>
    <t xml:space="preserve">cmjl4gwvq012nzccmtc06s5oa</t>
  </si>
  <si>
    <t xml:space="preserve">d2b65161-a0b0-4d1c-b274-5f0b50b9992d</t>
  </si>
  <si>
    <t xml:space="preserve">cmjl4h6r3012rzccm8nztggmm</t>
  </si>
  <si>
    <t xml:space="preserve">cmjl4hele0138zccmehmgk4lm</t>
  </si>
  <si>
    <t xml:space="preserve">f1221d3c-02f4-4bb8-b2bf-04857c3494f7</t>
  </si>
  <si>
    <t xml:space="preserve">cmjl4hqxw013czccm93alnglm</t>
  </si>
  <si>
    <t xml:space="preserve">cmjl4i2u4013tzccmcm8d8txy</t>
  </si>
  <si>
    <t xml:space="preserve">9663d0a3-da13-41e4-b913-ddbe677e69c6</t>
  </si>
  <si>
    <t xml:space="preserve">cmjl4ihr7013xzccmp7dzlxpp</t>
  </si>
  <si>
    <t xml:space="preserve">cmjl4j003014ezccmplwtm561</t>
  </si>
  <si>
    <t xml:space="preserve">469cbeb4-7f56-4879-83d5-850d986549c5</t>
  </si>
  <si>
    <t xml:space="preserve">cmjl4jgqb014izccm8qsvsi2w</t>
  </si>
  <si>
    <t xml:space="preserve">cmjl4jris014zzccmkszvs0o5</t>
  </si>
  <si>
    <t xml:space="preserve">0216321e-1049-4d69-9c0b-f6db1a918991</t>
  </si>
  <si>
    <t xml:space="preserve">cmjl4jz5y0153zccmtd7on74g</t>
  </si>
  <si>
    <t xml:space="preserve">cmjl4kan6015kzccmelcpffyd</t>
  </si>
  <si>
    <t xml:space="preserve">513174be-9b55-4ca2-89a5-eec3c549cb14</t>
  </si>
  <si>
    <t xml:space="preserve">cmjl4kogq015ozccmw1vank4n</t>
  </si>
  <si>
    <t xml:space="preserve">cmjl4l1rc0165zccm6wc0hu9e</t>
  </si>
  <si>
    <t xml:space="preserve">3c6d7c0d-a1e1-4c5d-a143-36bcafe7b681</t>
  </si>
  <si>
    <t xml:space="preserve">cmjl4lh850169zccmfyl0uytw</t>
  </si>
  <si>
    <t xml:space="preserve">cmjl4lwch016qzccmek98dlsw</t>
  </si>
  <si>
    <t xml:space="preserve">6fa5ea82-5fb8-47a4-a351-cccb3cc87bdd</t>
  </si>
  <si>
    <t xml:space="preserve">cmjl4m1eu016uzccm261j0am7</t>
  </si>
  <si>
    <t xml:space="preserve">cmjl4mhs9017bzccmi46d1nwp</t>
  </si>
  <si>
    <t xml:space="preserve">6f3c1757-c0b8-4163-bbcc-a62ef0f4fa51</t>
  </si>
  <si>
    <t xml:space="preserve">cmjl4mzkv017fzccmnrqfld3q</t>
  </si>
  <si>
    <t xml:space="preserve">cmjl4naa5017wzccmgt6wpe4h</t>
  </si>
  <si>
    <t xml:space="preserve">1bc1f178-e4d0-4446-86f4-e6416ef4745d</t>
  </si>
  <si>
    <t xml:space="preserve">cmjl4no2v0180zccm3h3m7zpu</t>
  </si>
  <si>
    <t xml:space="preserve">cmjl4o1lj018hzccm4trpq9tr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</si>
  <si>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</si>
  <si>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</si>
  <si>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</si>
  <si>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</si>
  <si>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</si>
  <si>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</si>
  <si>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ac15p</t>
  </si>
  <si>
    <t xml:space="preserve">control</t>
  </si>
  <si>
    <t xml:space="preserve">std. Ac15p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</si>
  <si>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</si>
  <si>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</si>
  <si>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</si>
  <si>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</si>
  <si>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</si>
  <si>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ac15p </t>
  </si>
  <si>
    <t xml:space="preserve">Mean control</t>
  </si>
  <si>
    <t xml:space="preserve">General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</si>
</sst>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5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3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General</c:formatCode>
                <c:ptCount val="25"/>
                <c:pt idx="0">
                  <c:v>0.746899633688936</c:v>
                </c:pt>
                <c:pt idx="1">
                  <c:v>0.760440771561493</c:v>
                </c:pt>
                <c:pt idx="2">
                  <c:v>0.74542610185569</c:v>
                </c:pt>
                <c:pt idx="3">
                  <c:v>0.754518286707164</c:v>
                </c:pt>
                <c:pt idx="4">
                  <c:v>0.818716946973898</c:v>
                </c:pt>
                <c:pt idx="5">
                  <c:v>0.661475371813803</c:v>
                </c:pt>
                <c:pt idx="6">
                  <c:v>0.704831094854699</c:v>
                </c:pt>
                <c:pt idx="7">
                  <c:v>0.775445669459668</c:v>
                </c:pt>
                <c:pt idx="8">
                  <c:v>0.734922592013555</c:v>
                </c:pt>
                <c:pt idx="9">
                  <c:v>0.809553468856414</c:v>
                </c:pt>
                <c:pt idx="10">
                  <c:v>0.736193634280327</c:v>
                </c:pt>
                <c:pt idx="11">
                  <c:v>0.760450688692101</c:v>
                </c:pt>
                <c:pt idx="12">
                  <c:v>0.783417145572671</c:v>
                </c:pt>
                <c:pt idx="13">
                  <c:v>0.736351406600312</c:v>
                </c:pt>
                <c:pt idx="14">
                  <c:v>0.695164645499178</c:v>
                </c:pt>
                <c:pt idx="15">
                  <c:v>0.753663706301646</c:v>
                </c:pt>
                <c:pt idx="16">
                  <c:v>0.75925493365687</c:v>
                </c:pt>
                <c:pt idx="17">
                  <c:v>0.744001794349238</c:v>
                </c:pt>
                <c:pt idx="18">
                  <c:v>0.777745722291328</c:v>
                </c:pt>
                <c:pt idx="19">
                  <c:v>0.784404877175123</c:v>
                </c:pt>
                <c:pt idx="20">
                  <c:v>0.646558702401536</c:v>
                </c:pt>
                <c:pt idx="21">
                  <c:v>0.64627244396815</c:v>
                </c:pt>
                <c:pt idx="22">
                  <c:v>0.72738343602134</c:v>
                </c:pt>
                <c:pt idx="23">
                  <c:v>0.81572575422772</c:v>
                </c:pt>
                <c:pt idx="24">
                  <c:v>0.672703350703668</c:v>
                </c:pt>
              </c:numCache>
            </c:numRef>
          </c:yVal>
          <c:smooth val="0"/>
        </c:ser>
        <c:axId val="22528189"/>
        <c:axId val="44182541"/>
      </c:scatterChart>
      <c:valAx>
        <c:axId val="225281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4182541"/>
        <c:crosses val="autoZero"/>
        <c:crossBetween val="midCat"/>
      </c:valAx>
      <c:valAx>
        <c:axId val="441825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5281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inter_system_stats!$B$2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inter_system_stats!$B$3:$B$27</c:f>
              <c:numCache>
                <c:formatCode>General</c:formatCode>
                <c:ptCount val="25"/>
                <c:pt idx="0">
                  <c:v>0.746899633688936</c:v>
                </c:pt>
                <c:pt idx="1">
                  <c:v>0.760440771561493</c:v>
                </c:pt>
                <c:pt idx="2">
                  <c:v>0.74542610185569</c:v>
                </c:pt>
                <c:pt idx="3">
                  <c:v>0.754518286707164</c:v>
                </c:pt>
                <c:pt idx="4">
                  <c:v>0.818716946973898</c:v>
                </c:pt>
                <c:pt idx="5">
                  <c:v>0.661475371813803</c:v>
                </c:pt>
                <c:pt idx="6">
                  <c:v>0.704831094854699</c:v>
                </c:pt>
                <c:pt idx="7">
                  <c:v>0.775445669459668</c:v>
                </c:pt>
                <c:pt idx="8">
                  <c:v>0.734922592013555</c:v>
                </c:pt>
                <c:pt idx="9">
                  <c:v>0.809553468856414</c:v>
                </c:pt>
                <c:pt idx="10">
                  <c:v>0.736193634280327</c:v>
                </c:pt>
                <c:pt idx="11">
                  <c:v>0.760450688692101</c:v>
                </c:pt>
                <c:pt idx="12">
                  <c:v>0.783417145572671</c:v>
                </c:pt>
                <c:pt idx="13">
                  <c:v>0.736351406600312</c:v>
                </c:pt>
                <c:pt idx="14">
                  <c:v>0.695164645499178</c:v>
                </c:pt>
                <c:pt idx="15">
                  <c:v>0.753663706301646</c:v>
                </c:pt>
                <c:pt idx="16">
                  <c:v>0.75925493365687</c:v>
                </c:pt>
                <c:pt idx="17">
                  <c:v>0.744001794349238</c:v>
                </c:pt>
                <c:pt idx="18">
                  <c:v>0.777745722291328</c:v>
                </c:pt>
                <c:pt idx="19">
                  <c:v>0.784404877175123</c:v>
                </c:pt>
                <c:pt idx="20">
                  <c:v>0.646558702401536</c:v>
                </c:pt>
                <c:pt idx="21">
                  <c:v>0.64627244396815</c:v>
                </c:pt>
                <c:pt idx="22">
                  <c:v>0.72738343602134</c:v>
                </c:pt>
                <c:pt idx="23">
                  <c:v>0.81572575422772</c:v>
                </c:pt>
                <c:pt idx="24">
                  <c:v>0.672703350703668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inter_system_stats!$C$2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inter_system_stats!$C$3:$C$27</c:f>
              <c:numCache>
                <c:formatCode>General</c:formatCode>
                <c:ptCount val="25"/>
                <c:pt idx="0">
                  <c:v>0.771814729489856</c:v>
                </c:pt>
                <c:pt idx="1">
                  <c:v>0.585748724447829</c:v>
                </c:pt>
                <c:pt idx="2">
                  <c:v>0.594422528559652</c:v>
                </c:pt>
                <c:pt idx="3">
                  <c:v>0.60678636857711</c:v>
                </c:pt>
                <c:pt idx="4">
                  <c:v>0.69941561269435</c:v>
                </c:pt>
                <c:pt idx="5">
                  <c:v>0.584983605559223</c:v>
                </c:pt>
                <c:pt idx="6">
                  <c:v>0.523434497974195</c:v>
                </c:pt>
                <c:pt idx="7">
                  <c:v>0.733177377705096</c:v>
                </c:pt>
                <c:pt idx="8">
                  <c:v>0.623029352644154</c:v>
                </c:pt>
                <c:pt idx="9">
                  <c:v>0.569126443983933</c:v>
                </c:pt>
                <c:pt idx="10">
                  <c:v>0.712616848746921</c:v>
                </c:pt>
                <c:pt idx="11">
                  <c:v>0.623994668934615</c:v>
                </c:pt>
                <c:pt idx="12">
                  <c:v>0.708175167658807</c:v>
                </c:pt>
                <c:pt idx="13">
                  <c:v>0.598847369877094</c:v>
                </c:pt>
                <c:pt idx="14">
                  <c:v>0.598448875288242</c:v>
                </c:pt>
                <c:pt idx="15">
                  <c:v>0.686112684184051</c:v>
                </c:pt>
                <c:pt idx="16">
                  <c:v>0.656452493829178</c:v>
                </c:pt>
                <c:pt idx="17">
                  <c:v>0.708590115686799</c:v>
                </c:pt>
                <c:pt idx="18">
                  <c:v>0.656250234555418</c:v>
                </c:pt>
                <c:pt idx="19">
                  <c:v>0.766144095586904</c:v>
                </c:pt>
                <c:pt idx="20">
                  <c:v>0.611673917355993</c:v>
                </c:pt>
                <c:pt idx="21">
                  <c:v>0.57321383560315</c:v>
                </c:pt>
                <c:pt idx="22">
                  <c:v>0.46202133657173</c:v>
                </c:pt>
                <c:pt idx="23">
                  <c:v>0.752686085299576</c:v>
                </c:pt>
                <c:pt idx="24">
                  <c:v>0.637351019647471</c:v>
                </c:pt>
              </c:numCache>
            </c:numRef>
          </c:yVal>
          <c:smooth val="0"/>
        </c:ser>
        <c:axId val="11371015"/>
        <c:axId val="39370553"/>
      </c:scatterChart>
      <c:valAx>
        <c:axId val="1137101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370553"/>
        <c:crosses val="autoZero"/>
        <c:crossBetween val="midCat"/>
      </c:valAx>
      <c:valAx>
        <c:axId val="393705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137101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221040</xdr:colOff>
      <xdr:row>2</xdr:row>
      <xdr:rowOff>54360</xdr:rowOff>
    </xdr:from>
    <xdr:to>
      <xdr:col>11</xdr:col>
      <xdr:colOff>283680</xdr:colOff>
      <xdr:row>22</xdr:row>
      <xdr:rowOff>38520</xdr:rowOff>
    </xdr:to>
    <xdr:graphicFrame>
      <xdr:nvGraphicFramePr>
        <xdr:cNvPr id="1" name=""/>
        <xdr:cNvGraphicFramePr/>
      </xdr:nvGraphicFramePr>
      <xdr:xfrm>
        <a:off x="3472200" y="379440"/>
        <a:ext cx="575244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592920</xdr:colOff>
      <xdr:row>7</xdr:row>
      <xdr:rowOff>54000</xdr:rowOff>
    </xdr:from>
    <xdr:to>
      <xdr:col>8</xdr:col>
      <xdr:colOff>644760</xdr:colOff>
      <xdr:row>27</xdr:row>
      <xdr:rowOff>38520</xdr:rowOff>
    </xdr:to>
    <xdr:graphicFrame>
      <xdr:nvGraphicFramePr>
        <xdr:cNvPr id="2" name=""/>
        <xdr:cNvGraphicFramePr/>
      </xdr:nvGraphicFramePr>
      <xdr:xfrm>
        <a:off x="3684240" y="1191960"/>
        <a:ext cx="576432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1" sqref="L3 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5.32"/>
    <col collapsed="false" customWidth="true" hidden="false" outlineLevel="0" max="5" min="5" style="1" width="15.49"/>
    <col collapsed="false" customWidth="true" hidden="false" outlineLevel="0" max="7" min="7" style="2" width="27.72"/>
    <col collapsed="false" customWidth="true" hidden="false" outlineLevel="0" max="8" min="8" style="1" width="7.68"/>
    <col collapsed="false" customWidth="true" hidden="false" outlineLevel="0" max="10" min="9" style="1" width="18.71"/>
    <col collapsed="false" customWidth="true" hidden="false" outlineLevel="0" max="11" min="11" style="1" width="22.45"/>
    <col collapsed="false" customWidth="true" hidden="false" outlineLevel="0" max="12" min="12" style="1" width="19.22"/>
    <col collapsed="false" customWidth="true" hidden="false" outlineLevel="0" max="16" min="16" style="1" width="12.73"/>
    <col collapsed="false" customWidth="true" hidden="false" outlineLevel="0" max="17" min="17" style="1" width="19.74"/>
    <col collapsed="false" customWidth="true" hidden="false" outlineLevel="0" max="18" min="18" style="1" width="18.71"/>
    <col collapsed="false" customWidth="true" hidden="false" outlineLevel="0" max="19" min="19" style="1" width="12.73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3" t="s">
        <v>12</v>
      </c>
      <c r="Q1" s="3" t="s">
        <v>13</v>
      </c>
      <c r="R1" s="3" t="s">
        <v>14</v>
      </c>
      <c r="S1" s="4" t="s">
        <v>15</v>
      </c>
    </row>
    <row r="2" customFormat="false" ht="15" hidden="false" customHeight="false" outlineLevel="0" collapsed="false">
      <c r="P2" s="5" t="n">
        <f aca="false">COUNT(K3:K135)</f>
        <v>133</v>
      </c>
      <c r="Q2" s="5" t="n">
        <f aca="false">AVERAGE(K3:K135)</f>
        <v>0.0575251998774339</v>
      </c>
      <c r="R2" s="5" t="n">
        <f aca="false">CORREL(H3:H135,K3:K135)</f>
        <v>0.114369859069299</v>
      </c>
      <c r="S2" s="5" t="n">
        <v>0.19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2" t="s">
        <v>21</v>
      </c>
      <c r="H3" s="1" t="n">
        <v>0.1</v>
      </c>
      <c r="I3" s="1" t="n">
        <v>0.140496195082432</v>
      </c>
      <c r="J3" s="1" t="n">
        <v>0.317229646994351</v>
      </c>
      <c r="K3" s="1" t="n">
        <f aca="false">J3-I3</f>
        <v>0.176733451911919</v>
      </c>
      <c r="L3" s="1" t="n">
        <v>0.746899633688936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19</v>
      </c>
      <c r="E4" s="1" t="s">
        <v>20</v>
      </c>
      <c r="F4" s="1" t="n">
        <v>2</v>
      </c>
      <c r="G4" s="2" t="s">
        <v>25</v>
      </c>
      <c r="H4" s="1" t="n">
        <v>0.5302</v>
      </c>
      <c r="I4" s="1" t="n">
        <v>0.230122772182647</v>
      </c>
      <c r="J4" s="1" t="n">
        <v>0.337398140149173</v>
      </c>
      <c r="K4" s="1" t="n">
        <f aca="false">J4-I4</f>
        <v>0.107275367966527</v>
      </c>
      <c r="L4" s="1" t="n">
        <v>0.760440771561493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19</v>
      </c>
      <c r="E5" s="1" t="s">
        <v>20</v>
      </c>
      <c r="F5" s="1" t="n">
        <v>2</v>
      </c>
      <c r="G5" s="2" t="s">
        <v>21</v>
      </c>
      <c r="H5" s="1" t="n">
        <v>0.4698</v>
      </c>
      <c r="I5" s="1" t="n">
        <v>0.203871677999365</v>
      </c>
      <c r="J5" s="1" t="n">
        <v>0.270342339952562</v>
      </c>
      <c r="K5" s="1" t="n">
        <f aca="false">J5-I5</f>
        <v>0.066470661953197</v>
      </c>
      <c r="L5" s="1" t="n">
        <v>0.760440771561493</v>
      </c>
    </row>
    <row r="6" customFormat="false" ht="1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19</v>
      </c>
      <c r="E6" s="1" t="s">
        <v>20</v>
      </c>
      <c r="F6" s="1" t="n">
        <v>4</v>
      </c>
      <c r="G6" s="2" t="s">
        <v>25</v>
      </c>
      <c r="H6" s="1" t="n">
        <v>0.3441</v>
      </c>
      <c r="I6" s="1" t="n">
        <v>0.264878782153</v>
      </c>
      <c r="J6" s="1" t="n">
        <v>0.37649952535435</v>
      </c>
      <c r="K6" s="1" t="n">
        <f aca="false">J6-I6</f>
        <v>0.11162074320135</v>
      </c>
      <c r="L6" s="1" t="n">
        <v>0.74542610185569</v>
      </c>
    </row>
    <row r="7" customFormat="false" ht="15" hidden="false" customHeight="false" outlineLevel="0" collapsed="false">
      <c r="A7" s="1" t="s">
        <v>26</v>
      </c>
      <c r="B7" s="1" t="s">
        <v>27</v>
      </c>
      <c r="C7" s="1" t="s">
        <v>28</v>
      </c>
      <c r="D7" s="1" t="s">
        <v>19</v>
      </c>
      <c r="E7" s="1" t="s">
        <v>20</v>
      </c>
      <c r="F7" s="1" t="n">
        <v>4</v>
      </c>
      <c r="G7" s="2" t="s">
        <v>29</v>
      </c>
      <c r="H7" s="1" t="n">
        <v>0.294</v>
      </c>
      <c r="I7" s="1" t="n">
        <v>0.226325068538678</v>
      </c>
      <c r="J7" s="1" t="n">
        <v>0.310188478064384</v>
      </c>
      <c r="K7" s="1" t="n">
        <f aca="false">J7-I7</f>
        <v>0.0838634095257061</v>
      </c>
      <c r="L7" s="1" t="n">
        <v>0.74542610185569</v>
      </c>
    </row>
    <row r="8" customFormat="false" ht="15" hidden="false" customHeight="false" outlineLevel="0" collapsed="false">
      <c r="A8" s="1" t="s">
        <v>26</v>
      </c>
      <c r="B8" s="1" t="s">
        <v>27</v>
      </c>
      <c r="C8" s="1" t="s">
        <v>28</v>
      </c>
      <c r="D8" s="1" t="s">
        <v>19</v>
      </c>
      <c r="E8" s="1" t="s">
        <v>20</v>
      </c>
      <c r="F8" s="1" t="n">
        <v>4</v>
      </c>
      <c r="G8" s="2" t="s">
        <v>30</v>
      </c>
      <c r="H8" s="1" t="n">
        <v>0.2618</v>
      </c>
      <c r="I8" s="1" t="n">
        <v>0.201529838345689</v>
      </c>
      <c r="J8" s="1" t="n">
        <v>0.268481817374273</v>
      </c>
      <c r="K8" s="1" t="n">
        <f aca="false">J8-I8</f>
        <v>0.0669519790285842</v>
      </c>
      <c r="L8" s="1" t="n">
        <v>0.74542610185569</v>
      </c>
    </row>
    <row r="9" customFormat="false" ht="15" hidden="false" customHeight="false" outlineLevel="0" collapsed="false">
      <c r="A9" s="1" t="s">
        <v>26</v>
      </c>
      <c r="B9" s="1" t="s">
        <v>27</v>
      </c>
      <c r="C9" s="1" t="s">
        <v>28</v>
      </c>
      <c r="D9" s="1" t="s">
        <v>19</v>
      </c>
      <c r="E9" s="1" t="s">
        <v>20</v>
      </c>
      <c r="F9" s="1" t="n">
        <v>4</v>
      </c>
      <c r="G9" s="2" t="s">
        <v>21</v>
      </c>
      <c r="H9" s="1" t="n">
        <v>0.1</v>
      </c>
      <c r="I9" s="1" t="n">
        <v>0.191767015723003</v>
      </c>
      <c r="J9" s="1" t="n">
        <v>0.27874453631529</v>
      </c>
      <c r="K9" s="1" t="n">
        <f aca="false">J9-I9</f>
        <v>0.0869775205922862</v>
      </c>
      <c r="L9" s="1" t="n">
        <v>0.74542610185569</v>
      </c>
    </row>
    <row r="10" customFormat="false" ht="15" hidden="false" customHeight="false" outlineLevel="0" collapsed="false">
      <c r="A10" s="1" t="s">
        <v>31</v>
      </c>
      <c r="B10" s="1" t="s">
        <v>32</v>
      </c>
      <c r="C10" s="1" t="s">
        <v>33</v>
      </c>
      <c r="D10" s="1" t="s">
        <v>19</v>
      </c>
      <c r="E10" s="1" t="s">
        <v>20</v>
      </c>
      <c r="F10" s="1" t="n">
        <v>6</v>
      </c>
      <c r="G10" s="2" t="s">
        <v>25</v>
      </c>
      <c r="H10" s="1" t="n">
        <v>0.2033</v>
      </c>
      <c r="I10" s="1" t="n">
        <v>0.292970407448909</v>
      </c>
      <c r="J10" s="1" t="n">
        <v>0.34199436135352</v>
      </c>
      <c r="K10" s="1" t="n">
        <f aca="false">J10-I10</f>
        <v>0.0490239539046105</v>
      </c>
      <c r="L10" s="1" t="n">
        <v>0.754518286707164</v>
      </c>
    </row>
    <row r="11" customFormat="false" ht="15" hidden="false" customHeight="false" outlineLevel="0" collapsed="false">
      <c r="A11" s="1" t="s">
        <v>31</v>
      </c>
      <c r="B11" s="1" t="s">
        <v>32</v>
      </c>
      <c r="C11" s="1" t="s">
        <v>33</v>
      </c>
      <c r="D11" s="1" t="s">
        <v>19</v>
      </c>
      <c r="E11" s="1" t="s">
        <v>20</v>
      </c>
      <c r="F11" s="1" t="n">
        <v>6</v>
      </c>
      <c r="G11" s="2" t="s">
        <v>21</v>
      </c>
      <c r="H11" s="1" t="n">
        <v>0.1718</v>
      </c>
      <c r="I11" s="1" t="n">
        <v>0.247554371918155</v>
      </c>
      <c r="J11" s="1" t="n">
        <v>0.356692091319812</v>
      </c>
      <c r="K11" s="1" t="n">
        <f aca="false">J11-I11</f>
        <v>0.109137719401657</v>
      </c>
      <c r="L11" s="1" t="n">
        <v>0.754518286707164</v>
      </c>
    </row>
    <row r="12" customFormat="false" ht="15" hidden="false" customHeight="false" outlineLevel="0" collapsed="false">
      <c r="A12" s="1" t="s">
        <v>31</v>
      </c>
      <c r="B12" s="1" t="s">
        <v>32</v>
      </c>
      <c r="C12" s="1" t="s">
        <v>33</v>
      </c>
      <c r="D12" s="1" t="s">
        <v>19</v>
      </c>
      <c r="E12" s="1" t="s">
        <v>20</v>
      </c>
      <c r="F12" s="1" t="n">
        <v>6</v>
      </c>
      <c r="G12" s="2" t="s">
        <v>34</v>
      </c>
      <c r="H12" s="1" t="n">
        <v>0.165</v>
      </c>
      <c r="I12" s="1" t="n">
        <v>0.237693809462056</v>
      </c>
      <c r="J12" s="1" t="n">
        <v>0.308360170552527</v>
      </c>
      <c r="K12" s="1" t="n">
        <f aca="false">J12-I12</f>
        <v>0.0706663610904711</v>
      </c>
      <c r="L12" s="1" t="n">
        <v>0.754518286707164</v>
      </c>
    </row>
    <row r="13" customFormat="false" ht="15" hidden="false" customHeight="false" outlineLevel="0" collapsed="false">
      <c r="A13" s="1" t="s">
        <v>31</v>
      </c>
      <c r="B13" s="1" t="s">
        <v>32</v>
      </c>
      <c r="C13" s="1" t="s">
        <v>33</v>
      </c>
      <c r="D13" s="1" t="s">
        <v>19</v>
      </c>
      <c r="E13" s="1" t="s">
        <v>20</v>
      </c>
      <c r="F13" s="1" t="n">
        <v>6</v>
      </c>
      <c r="G13" s="2" t="s">
        <v>29</v>
      </c>
      <c r="H13" s="1" t="n">
        <v>0.1618</v>
      </c>
      <c r="I13" s="1" t="n">
        <v>0.233097011716563</v>
      </c>
      <c r="J13" s="1" t="n">
        <v>0.326995703243371</v>
      </c>
      <c r="K13" s="1" t="n">
        <f aca="false">J13-I13</f>
        <v>0.0938986915268078</v>
      </c>
      <c r="L13" s="1" t="n">
        <v>0.754518286707164</v>
      </c>
    </row>
    <row r="14" customFormat="false" ht="15" hidden="false" customHeight="false" outlineLevel="0" collapsed="false">
      <c r="A14" s="1" t="s">
        <v>31</v>
      </c>
      <c r="B14" s="1" t="s">
        <v>32</v>
      </c>
      <c r="C14" s="1" t="s">
        <v>33</v>
      </c>
      <c r="D14" s="1" t="s">
        <v>19</v>
      </c>
      <c r="E14" s="1" t="s">
        <v>20</v>
      </c>
      <c r="F14" s="1" t="n">
        <v>6</v>
      </c>
      <c r="G14" s="2" t="s">
        <v>35</v>
      </c>
      <c r="H14" s="1" t="n">
        <v>0.1564</v>
      </c>
      <c r="I14" s="1" t="n">
        <v>0.22538869619327</v>
      </c>
      <c r="J14" s="1" t="n">
        <v>0.329070667060416</v>
      </c>
      <c r="K14" s="1" t="n">
        <f aca="false">J14-I14</f>
        <v>0.103681970867146</v>
      </c>
      <c r="L14" s="1" t="n">
        <v>0.754518286707164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19</v>
      </c>
      <c r="E15" s="1" t="s">
        <v>20</v>
      </c>
      <c r="F15" s="1" t="n">
        <v>6</v>
      </c>
      <c r="G15" s="2" t="s">
        <v>30</v>
      </c>
      <c r="H15" s="1" t="n">
        <v>0.1417</v>
      </c>
      <c r="I15" s="1" t="n">
        <v>0.20423742518434</v>
      </c>
      <c r="J15" s="1" t="n">
        <v>0.256270131284508</v>
      </c>
      <c r="K15" s="1" t="n">
        <f aca="false">J15-I15</f>
        <v>0.0520327061001673</v>
      </c>
      <c r="L15" s="1" t="n">
        <v>0.754518286707164</v>
      </c>
    </row>
    <row r="16" customFormat="false" ht="15" hidden="false" customHeight="false" outlineLevel="0" collapsed="false">
      <c r="A16" s="1" t="s">
        <v>36</v>
      </c>
      <c r="B16" s="1" t="s">
        <v>37</v>
      </c>
      <c r="C16" s="1" t="s">
        <v>38</v>
      </c>
      <c r="D16" s="1" t="s">
        <v>19</v>
      </c>
      <c r="E16" s="1" t="s">
        <v>20</v>
      </c>
      <c r="F16" s="1" t="n">
        <v>8</v>
      </c>
      <c r="G16" s="2" t="s">
        <v>25</v>
      </c>
      <c r="H16" s="1" t="n">
        <v>0.1875</v>
      </c>
      <c r="I16" s="1" t="n">
        <v>0.297791365796184</v>
      </c>
      <c r="J16" s="1" t="n">
        <v>0.345627375904114</v>
      </c>
      <c r="K16" s="1" t="n">
        <f aca="false">J16-I16</f>
        <v>0.0478360101079297</v>
      </c>
      <c r="L16" s="1" t="n">
        <v>0.818716946973898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1" t="s">
        <v>38</v>
      </c>
      <c r="D17" s="1" t="s">
        <v>19</v>
      </c>
      <c r="E17" s="1" t="s">
        <v>20</v>
      </c>
      <c r="F17" s="1" t="n">
        <v>8</v>
      </c>
      <c r="G17" s="2" t="s">
        <v>21</v>
      </c>
      <c r="H17" s="1" t="n">
        <v>0.1804</v>
      </c>
      <c r="I17" s="1" t="n">
        <v>0.286516727038688</v>
      </c>
      <c r="J17" s="1" t="n">
        <v>0.292084715407077</v>
      </c>
      <c r="K17" s="1" t="n">
        <f aca="false">J17-I17</f>
        <v>0.00556798836838868</v>
      </c>
      <c r="L17" s="1" t="n">
        <v>0.818716946973898</v>
      </c>
    </row>
    <row r="18" customFormat="false" ht="15" hidden="false" customHeight="false" outlineLevel="0" collapsed="false">
      <c r="A18" s="1" t="s">
        <v>36</v>
      </c>
      <c r="B18" s="1" t="s">
        <v>37</v>
      </c>
      <c r="C18" s="1" t="s">
        <v>38</v>
      </c>
      <c r="D18" s="1" t="s">
        <v>19</v>
      </c>
      <c r="E18" s="1" t="s">
        <v>20</v>
      </c>
      <c r="F18" s="1" t="n">
        <v>8</v>
      </c>
      <c r="G18" s="2" t="s">
        <v>29</v>
      </c>
      <c r="H18" s="1" t="n">
        <v>0.1626</v>
      </c>
      <c r="I18" s="1" t="n">
        <v>0.258241346472148</v>
      </c>
      <c r="J18" s="1" t="n">
        <v>0.307696421831035</v>
      </c>
      <c r="K18" s="1" t="n">
        <f aca="false">J18-I18</f>
        <v>0.0494550753588877</v>
      </c>
      <c r="L18" s="1" t="n">
        <v>0.818716946973898</v>
      </c>
    </row>
    <row r="19" customFormat="false" ht="15" hidden="false" customHeight="false" outlineLevel="0" collapsed="false">
      <c r="A19" s="1" t="s">
        <v>36</v>
      </c>
      <c r="B19" s="1" t="s">
        <v>37</v>
      </c>
      <c r="C19" s="1" t="s">
        <v>38</v>
      </c>
      <c r="D19" s="1" t="s">
        <v>19</v>
      </c>
      <c r="E19" s="1" t="s">
        <v>20</v>
      </c>
      <c r="F19" s="1" t="n">
        <v>8</v>
      </c>
      <c r="G19" s="2" t="s">
        <v>34</v>
      </c>
      <c r="H19" s="1" t="n">
        <v>0.1583</v>
      </c>
      <c r="I19" s="1" t="n">
        <v>0.251453092791707</v>
      </c>
      <c r="J19" s="1" t="n">
        <v>0.259957413538392</v>
      </c>
      <c r="K19" s="1" t="n">
        <f aca="false">J19-I19</f>
        <v>0.00850432074668522</v>
      </c>
      <c r="L19" s="1" t="n">
        <v>0.818716946973898</v>
      </c>
    </row>
    <row r="20" customFormat="false" ht="15" hidden="false" customHeight="false" outlineLevel="0" collapsed="false">
      <c r="A20" s="1" t="s">
        <v>36</v>
      </c>
      <c r="B20" s="1" t="s">
        <v>37</v>
      </c>
      <c r="C20" s="1" t="s">
        <v>38</v>
      </c>
      <c r="D20" s="1" t="s">
        <v>19</v>
      </c>
      <c r="E20" s="1" t="s">
        <v>20</v>
      </c>
      <c r="F20" s="1" t="n">
        <v>8</v>
      </c>
      <c r="G20" s="2" t="s">
        <v>35</v>
      </c>
      <c r="H20" s="1" t="n">
        <v>0.1557</v>
      </c>
      <c r="I20" s="1" t="n">
        <v>0.247204590871547</v>
      </c>
      <c r="J20" s="1" t="n">
        <v>0.284780694530365</v>
      </c>
      <c r="K20" s="1" t="n">
        <f aca="false">J20-I20</f>
        <v>0.0375761036588182</v>
      </c>
      <c r="L20" s="1" t="n">
        <v>0.818716946973898</v>
      </c>
    </row>
    <row r="21" customFormat="false" ht="15" hidden="false" customHeight="false" outlineLevel="0" collapsed="false">
      <c r="A21" s="1" t="s">
        <v>36</v>
      </c>
      <c r="B21" s="1" t="s">
        <v>37</v>
      </c>
      <c r="C21" s="1" t="s">
        <v>38</v>
      </c>
      <c r="D21" s="1" t="s">
        <v>19</v>
      </c>
      <c r="E21" s="1" t="s">
        <v>20</v>
      </c>
      <c r="F21" s="1" t="n">
        <v>8</v>
      </c>
      <c r="G21" s="2" t="s">
        <v>39</v>
      </c>
      <c r="H21" s="1" t="n">
        <v>0.1554</v>
      </c>
      <c r="I21" s="1" t="n">
        <v>0.24685841683015</v>
      </c>
      <c r="J21" s="1" t="n">
        <v>0.293441753880621</v>
      </c>
      <c r="K21" s="1" t="n">
        <f aca="false">J21-I21</f>
        <v>0.0465833370504718</v>
      </c>
      <c r="L21" s="1" t="n">
        <v>0.818716946973898</v>
      </c>
    </row>
    <row r="22" customFormat="false" ht="15" hidden="false" customHeight="false" outlineLevel="0" collapsed="false">
      <c r="A22" s="1" t="s">
        <v>40</v>
      </c>
      <c r="B22" s="1" t="s">
        <v>41</v>
      </c>
      <c r="C22" s="1" t="s">
        <v>42</v>
      </c>
      <c r="D22" s="1" t="s">
        <v>19</v>
      </c>
      <c r="E22" s="1" t="s">
        <v>20</v>
      </c>
      <c r="F22" s="1" t="n">
        <v>10</v>
      </c>
      <c r="G22" s="2" t="s">
        <v>25</v>
      </c>
      <c r="H22" s="1" t="n">
        <v>0.3397</v>
      </c>
      <c r="I22" s="1" t="n">
        <v>0.260618585741267</v>
      </c>
      <c r="J22" s="1" t="n">
        <v>0.330991989896633</v>
      </c>
      <c r="K22" s="1" t="n">
        <f aca="false">J22-I22</f>
        <v>0.0703734041553661</v>
      </c>
      <c r="L22" s="1" t="n">
        <v>0.661475371813803</v>
      </c>
    </row>
    <row r="23" customFormat="false" ht="15" hidden="false" customHeight="false" outlineLevel="0" collapsed="false">
      <c r="A23" s="1" t="s">
        <v>40</v>
      </c>
      <c r="B23" s="1" t="s">
        <v>41</v>
      </c>
      <c r="C23" s="1" t="s">
        <v>42</v>
      </c>
      <c r="D23" s="1" t="s">
        <v>19</v>
      </c>
      <c r="E23" s="1" t="s">
        <v>20</v>
      </c>
      <c r="F23" s="1" t="n">
        <v>10</v>
      </c>
      <c r="G23" s="2" t="s">
        <v>43</v>
      </c>
      <c r="H23" s="1" t="n">
        <v>0.2903</v>
      </c>
      <c r="I23" s="1" t="n">
        <v>0.222716211379617</v>
      </c>
      <c r="J23" s="1" t="n">
        <v>0.286207461015023</v>
      </c>
      <c r="K23" s="1" t="n">
        <f aca="false">J23-I23</f>
        <v>0.0634912496354056</v>
      </c>
      <c r="L23" s="1" t="n">
        <v>0.661475371813803</v>
      </c>
    </row>
    <row r="24" customFormat="false" ht="15" hidden="false" customHeight="false" outlineLevel="0" collapsed="false">
      <c r="A24" s="1" t="s">
        <v>40</v>
      </c>
      <c r="B24" s="1" t="s">
        <v>41</v>
      </c>
      <c r="C24" s="1" t="s">
        <v>42</v>
      </c>
      <c r="D24" s="1" t="s">
        <v>19</v>
      </c>
      <c r="E24" s="1" t="s">
        <v>20</v>
      </c>
      <c r="F24" s="1" t="n">
        <v>10</v>
      </c>
      <c r="G24" s="2" t="s">
        <v>39</v>
      </c>
      <c r="H24" s="1" t="n">
        <v>0.2701</v>
      </c>
      <c r="I24" s="1" t="n">
        <v>0.207227387407759</v>
      </c>
      <c r="J24" s="1" t="n">
        <v>0.263982670243705</v>
      </c>
      <c r="K24" s="1" t="n">
        <f aca="false">J24-I24</f>
        <v>0.0567552828359458</v>
      </c>
      <c r="L24" s="1" t="n">
        <v>0.661475371813803</v>
      </c>
    </row>
    <row r="25" customFormat="false" ht="15" hidden="false" customHeight="false" outlineLevel="0" collapsed="false">
      <c r="A25" s="1" t="s">
        <v>40</v>
      </c>
      <c r="B25" s="1" t="s">
        <v>41</v>
      </c>
      <c r="C25" s="1" t="s">
        <v>42</v>
      </c>
      <c r="D25" s="1" t="s">
        <v>19</v>
      </c>
      <c r="E25" s="1" t="s">
        <v>20</v>
      </c>
      <c r="F25" s="1" t="n">
        <v>10</v>
      </c>
      <c r="G25" s="2" t="s">
        <v>21</v>
      </c>
      <c r="H25" s="1" t="n">
        <v>0.1</v>
      </c>
      <c r="I25" s="1" t="n">
        <v>0.183659843795093</v>
      </c>
      <c r="J25" s="1" t="n">
        <v>0.251993840604499</v>
      </c>
      <c r="K25" s="1" t="n">
        <f aca="false">J25-I25</f>
        <v>0.0683339968094062</v>
      </c>
      <c r="L25" s="1" t="n">
        <v>0.661475371813803</v>
      </c>
    </row>
    <row r="26" customFormat="false" ht="15" hidden="false" customHeight="false" outlineLevel="0" collapsed="false">
      <c r="A26" s="1" t="s">
        <v>44</v>
      </c>
      <c r="B26" s="1" t="s">
        <v>45</v>
      </c>
      <c r="C26" s="1" t="s">
        <v>46</v>
      </c>
      <c r="D26" s="1" t="s">
        <v>19</v>
      </c>
      <c r="E26" s="1" t="s">
        <v>20</v>
      </c>
      <c r="F26" s="1" t="n">
        <v>12</v>
      </c>
      <c r="G26" s="2" t="s">
        <v>25</v>
      </c>
      <c r="H26" s="1" t="n">
        <v>0.2154</v>
      </c>
      <c r="I26" s="1" t="n">
        <v>0.305087411806651</v>
      </c>
      <c r="J26" s="1" t="n">
        <v>0.418085700197655</v>
      </c>
      <c r="K26" s="1" t="n">
        <f aca="false">J26-I26</f>
        <v>0.112998288391003</v>
      </c>
      <c r="L26" s="1" t="n">
        <v>0.704831094854699</v>
      </c>
    </row>
    <row r="27" customFormat="false" ht="15" hidden="false" customHeight="false" outlineLevel="0" collapsed="false">
      <c r="A27" s="1" t="s">
        <v>44</v>
      </c>
      <c r="B27" s="1" t="s">
        <v>45</v>
      </c>
      <c r="C27" s="1" t="s">
        <v>46</v>
      </c>
      <c r="D27" s="1" t="s">
        <v>19</v>
      </c>
      <c r="E27" s="1" t="s">
        <v>20</v>
      </c>
      <c r="F27" s="1" t="n">
        <v>12</v>
      </c>
      <c r="G27" s="2" t="s">
        <v>21</v>
      </c>
      <c r="H27" s="1" t="n">
        <v>0.1675</v>
      </c>
      <c r="I27" s="1" t="n">
        <v>0.237222101743029</v>
      </c>
      <c r="J27" s="1" t="n">
        <v>0.364924951013638</v>
      </c>
      <c r="K27" s="1" t="n">
        <f aca="false">J27-I27</f>
        <v>0.127702849270608</v>
      </c>
      <c r="L27" s="1" t="n">
        <v>0.704831094854699</v>
      </c>
    </row>
    <row r="28" customFormat="false" ht="15" hidden="false" customHeight="false" outlineLevel="0" collapsed="false">
      <c r="A28" s="1" t="s">
        <v>44</v>
      </c>
      <c r="B28" s="1" t="s">
        <v>45</v>
      </c>
      <c r="C28" s="1" t="s">
        <v>46</v>
      </c>
      <c r="D28" s="1" t="s">
        <v>19</v>
      </c>
      <c r="E28" s="1" t="s">
        <v>20</v>
      </c>
      <c r="F28" s="1" t="n">
        <v>12</v>
      </c>
      <c r="G28" s="2" t="s">
        <v>29</v>
      </c>
      <c r="H28" s="1" t="n">
        <v>0.1603</v>
      </c>
      <c r="I28" s="1" t="n">
        <v>0.227056506510943</v>
      </c>
      <c r="J28" s="1" t="n">
        <v>0.375595168969814</v>
      </c>
      <c r="K28" s="1" t="n">
        <f aca="false">J28-I28</f>
        <v>0.148538662458871</v>
      </c>
      <c r="L28" s="1" t="n">
        <v>0.704831094854699</v>
      </c>
    </row>
    <row r="29" customFormat="false" ht="15" hidden="false" customHeight="false" outlineLevel="0" collapsed="false">
      <c r="A29" s="1" t="s">
        <v>44</v>
      </c>
      <c r="B29" s="1" t="s">
        <v>45</v>
      </c>
      <c r="C29" s="1" t="s">
        <v>46</v>
      </c>
      <c r="D29" s="1" t="s">
        <v>19</v>
      </c>
      <c r="E29" s="1" t="s">
        <v>20</v>
      </c>
      <c r="F29" s="1" t="n">
        <v>12</v>
      </c>
      <c r="G29" s="2" t="s">
        <v>39</v>
      </c>
      <c r="H29" s="1" t="n">
        <v>0.1597</v>
      </c>
      <c r="I29" s="1" t="n">
        <v>0.22623016945746</v>
      </c>
      <c r="J29" s="1" t="n">
        <v>0.342418182869467</v>
      </c>
      <c r="K29" s="1" t="n">
        <f aca="false">J29-I29</f>
        <v>0.116188013412007</v>
      </c>
      <c r="L29" s="1" t="n">
        <v>0.704831094854699</v>
      </c>
    </row>
    <row r="30" customFormat="false" ht="15" hidden="false" customHeight="false" outlineLevel="0" collapsed="false">
      <c r="A30" s="1" t="s">
        <v>44</v>
      </c>
      <c r="B30" s="1" t="s">
        <v>45</v>
      </c>
      <c r="C30" s="1" t="s">
        <v>46</v>
      </c>
      <c r="D30" s="1" t="s">
        <v>19</v>
      </c>
      <c r="E30" s="1" t="s">
        <v>20</v>
      </c>
      <c r="F30" s="1" t="n">
        <v>12</v>
      </c>
      <c r="G30" s="2" t="s">
        <v>43</v>
      </c>
      <c r="H30" s="1" t="n">
        <v>0.1541</v>
      </c>
      <c r="I30" s="1" t="n">
        <v>0.218342899813269</v>
      </c>
      <c r="J30" s="1" t="n">
        <v>0.297133353492245</v>
      </c>
      <c r="K30" s="1" t="n">
        <f aca="false">J30-I30</f>
        <v>0.0787904536789754</v>
      </c>
      <c r="L30" s="1" t="n">
        <v>0.704831094854699</v>
      </c>
    </row>
    <row r="31" customFormat="false" ht="15" hidden="false" customHeight="false" outlineLevel="0" collapsed="false">
      <c r="A31" s="1" t="s">
        <v>44</v>
      </c>
      <c r="B31" s="1" t="s">
        <v>45</v>
      </c>
      <c r="C31" s="1" t="s">
        <v>46</v>
      </c>
      <c r="D31" s="1" t="s">
        <v>19</v>
      </c>
      <c r="E31" s="1" t="s">
        <v>20</v>
      </c>
      <c r="F31" s="1" t="n">
        <v>12</v>
      </c>
      <c r="G31" s="2" t="s">
        <v>47</v>
      </c>
      <c r="H31" s="1" t="n">
        <v>0.1431</v>
      </c>
      <c r="I31" s="1" t="n">
        <v>0.202676362556826</v>
      </c>
      <c r="J31" s="1" t="n">
        <v>0.324332129730832</v>
      </c>
      <c r="K31" s="1" t="n">
        <f aca="false">J31-I31</f>
        <v>0.121655767174006</v>
      </c>
      <c r="L31" s="1" t="n">
        <v>0.704831094854699</v>
      </c>
    </row>
    <row r="32" customFormat="false" ht="15" hidden="false" customHeight="false" outlineLevel="0" collapsed="false">
      <c r="A32" s="1" t="s">
        <v>48</v>
      </c>
      <c r="B32" s="1" t="s">
        <v>49</v>
      </c>
      <c r="C32" s="1" t="s">
        <v>50</v>
      </c>
      <c r="D32" s="1" t="s">
        <v>19</v>
      </c>
      <c r="E32" s="1" t="s">
        <v>20</v>
      </c>
      <c r="F32" s="1" t="n">
        <v>14</v>
      </c>
      <c r="G32" s="2" t="s">
        <v>25</v>
      </c>
      <c r="H32" s="1" t="n">
        <v>0.2159</v>
      </c>
      <c r="I32" s="1" t="n">
        <v>0.329389238619274</v>
      </c>
      <c r="J32" s="1" t="n">
        <v>0.367168635640732</v>
      </c>
      <c r="K32" s="1" t="n">
        <f aca="false">J32-I32</f>
        <v>0.0377793970214577</v>
      </c>
      <c r="L32" s="1" t="n">
        <v>0.775445669459668</v>
      </c>
    </row>
    <row r="33" customFormat="false" ht="15" hidden="false" customHeight="false" outlineLevel="0" collapsed="false">
      <c r="A33" s="1" t="s">
        <v>48</v>
      </c>
      <c r="B33" s="1" t="s">
        <v>49</v>
      </c>
      <c r="C33" s="1" t="s">
        <v>50</v>
      </c>
      <c r="D33" s="1" t="s">
        <v>19</v>
      </c>
      <c r="E33" s="1" t="s">
        <v>20</v>
      </c>
      <c r="F33" s="1" t="n">
        <v>14</v>
      </c>
      <c r="G33" s="2" t="s">
        <v>21</v>
      </c>
      <c r="H33" s="1" t="n">
        <v>0.1673</v>
      </c>
      <c r="I33" s="1" t="n">
        <v>0.255239791954779</v>
      </c>
      <c r="J33" s="1" t="n">
        <v>0.27468668466155</v>
      </c>
      <c r="K33" s="1" t="n">
        <f aca="false">J33-I33</f>
        <v>0.0194468927067707</v>
      </c>
      <c r="L33" s="1" t="n">
        <v>0.775445669459668</v>
      </c>
    </row>
    <row r="34" customFormat="false" ht="15" hidden="false" customHeight="false" outlineLevel="0" collapsed="false">
      <c r="A34" s="1" t="s">
        <v>48</v>
      </c>
      <c r="B34" s="1" t="s">
        <v>49</v>
      </c>
      <c r="C34" s="1" t="s">
        <v>50</v>
      </c>
      <c r="D34" s="1" t="s">
        <v>19</v>
      </c>
      <c r="E34" s="1" t="s">
        <v>20</v>
      </c>
      <c r="F34" s="1" t="n">
        <v>14</v>
      </c>
      <c r="G34" s="2" t="s">
        <v>39</v>
      </c>
      <c r="H34" s="1" t="n">
        <v>0.1571</v>
      </c>
      <c r="I34" s="1" t="n">
        <v>0.239630520953511</v>
      </c>
      <c r="J34" s="1" t="n">
        <v>0.249391934073914</v>
      </c>
      <c r="K34" s="1" t="n">
        <f aca="false">J34-I34</f>
        <v>0.00976141312040221</v>
      </c>
      <c r="L34" s="1" t="n">
        <v>0.775445669459668</v>
      </c>
    </row>
    <row r="35" customFormat="false" ht="15" hidden="false" customHeight="false" outlineLevel="0" collapsed="false">
      <c r="A35" s="1" t="s">
        <v>48</v>
      </c>
      <c r="B35" s="1" t="s">
        <v>49</v>
      </c>
      <c r="C35" s="1" t="s">
        <v>50</v>
      </c>
      <c r="D35" s="1" t="s">
        <v>19</v>
      </c>
      <c r="E35" s="1" t="s">
        <v>20</v>
      </c>
      <c r="F35" s="1" t="n">
        <v>14</v>
      </c>
      <c r="G35" s="2" t="s">
        <v>51</v>
      </c>
      <c r="H35" s="1" t="n">
        <v>0.1553</v>
      </c>
      <c r="I35" s="1" t="n">
        <v>0.236892141707269</v>
      </c>
      <c r="J35" s="1" t="n">
        <v>0.2694075030706</v>
      </c>
      <c r="K35" s="1" t="n">
        <f aca="false">J35-I35</f>
        <v>0.0325153613633313</v>
      </c>
      <c r="L35" s="1" t="n">
        <v>0.775445669459668</v>
      </c>
    </row>
    <row r="36" customFormat="false" ht="15" hidden="false" customHeight="false" outlineLevel="0" collapsed="false">
      <c r="A36" s="1" t="s">
        <v>48</v>
      </c>
      <c r="B36" s="1" t="s">
        <v>49</v>
      </c>
      <c r="C36" s="1" t="s">
        <v>50</v>
      </c>
      <c r="D36" s="1" t="s">
        <v>19</v>
      </c>
      <c r="E36" s="1" t="s">
        <v>20</v>
      </c>
      <c r="F36" s="1" t="n">
        <v>14</v>
      </c>
      <c r="G36" s="2" t="s">
        <v>30</v>
      </c>
      <c r="H36" s="1" t="n">
        <v>0.1526</v>
      </c>
      <c r="I36" s="1" t="n">
        <v>0.232722732578475</v>
      </c>
      <c r="J36" s="1" t="n">
        <v>0.264001553400579</v>
      </c>
      <c r="K36" s="1" t="n">
        <f aca="false">J36-I36</f>
        <v>0.0312788208221037</v>
      </c>
      <c r="L36" s="1" t="n">
        <v>0.775445669459668</v>
      </c>
    </row>
    <row r="37" customFormat="false" ht="15" hidden="false" customHeight="false" outlineLevel="0" collapsed="false">
      <c r="A37" s="1" t="s">
        <v>48</v>
      </c>
      <c r="B37" s="1" t="s">
        <v>49</v>
      </c>
      <c r="C37" s="1" t="s">
        <v>50</v>
      </c>
      <c r="D37" s="1" t="s">
        <v>19</v>
      </c>
      <c r="E37" s="1" t="s">
        <v>20</v>
      </c>
      <c r="F37" s="1" t="n">
        <v>14</v>
      </c>
      <c r="G37" s="2" t="s">
        <v>29</v>
      </c>
      <c r="H37" s="1" t="n">
        <v>0.1518</v>
      </c>
      <c r="I37" s="1" t="n">
        <v>0.231588009545548</v>
      </c>
      <c r="J37" s="1" t="n">
        <v>0.258984524303908</v>
      </c>
      <c r="K37" s="1" t="n">
        <f aca="false">J37-I37</f>
        <v>0.0273965147583604</v>
      </c>
      <c r="L37" s="1" t="n">
        <v>0.775445669459668</v>
      </c>
    </row>
    <row r="38" customFormat="false" ht="15" hidden="false" customHeight="false" outlineLevel="0" collapsed="false">
      <c r="A38" s="1" t="s">
        <v>52</v>
      </c>
      <c r="B38" s="1" t="s">
        <v>53</v>
      </c>
      <c r="C38" s="1" t="s">
        <v>54</v>
      </c>
      <c r="D38" s="1" t="s">
        <v>19</v>
      </c>
      <c r="E38" s="1" t="s">
        <v>20</v>
      </c>
      <c r="F38" s="1" t="n">
        <v>16</v>
      </c>
      <c r="G38" s="2" t="s">
        <v>25</v>
      </c>
      <c r="H38" s="1" t="n">
        <v>0.9</v>
      </c>
      <c r="I38" s="1" t="n">
        <v>0.233994769175597</v>
      </c>
      <c r="J38" s="1" t="n">
        <v>0.361170571853313</v>
      </c>
      <c r="K38" s="1" t="n">
        <f aca="false">J38-I38</f>
        <v>0.127175802677716</v>
      </c>
      <c r="L38" s="1" t="n">
        <v>0.734922592013555</v>
      </c>
    </row>
    <row r="39" customFormat="false" ht="15" hidden="false" customHeight="false" outlineLevel="0" collapsed="false">
      <c r="A39" s="1" t="s">
        <v>52</v>
      </c>
      <c r="B39" s="1" t="s">
        <v>53</v>
      </c>
      <c r="C39" s="1" t="s">
        <v>54</v>
      </c>
      <c r="D39" s="1" t="s">
        <v>19</v>
      </c>
      <c r="E39" s="1" t="s">
        <v>20</v>
      </c>
      <c r="F39" s="1" t="n">
        <v>16</v>
      </c>
      <c r="G39" s="2" t="s">
        <v>21</v>
      </c>
      <c r="H39" s="1" t="n">
        <v>0.1</v>
      </c>
      <c r="I39" s="1" t="n">
        <v>0.179356890365369</v>
      </c>
      <c r="J39" s="1" t="n">
        <v>0.294945348174329</v>
      </c>
      <c r="K39" s="1" t="n">
        <f aca="false">J39-I39</f>
        <v>0.11558845780896</v>
      </c>
      <c r="L39" s="1" t="n">
        <v>0.734922592013555</v>
      </c>
    </row>
    <row r="40" customFormat="false" ht="15" hidden="false" customHeight="false" outlineLevel="0" collapsed="false">
      <c r="A40" s="1" t="s">
        <v>55</v>
      </c>
      <c r="B40" s="1" t="s">
        <v>56</v>
      </c>
      <c r="C40" s="1" t="s">
        <v>57</v>
      </c>
      <c r="D40" s="1" t="s">
        <v>19</v>
      </c>
      <c r="E40" s="1" t="s">
        <v>20</v>
      </c>
      <c r="F40" s="1" t="n">
        <v>18</v>
      </c>
      <c r="G40" s="2" t="s">
        <v>25</v>
      </c>
      <c r="H40" s="1" t="n">
        <v>0.2045</v>
      </c>
      <c r="I40" s="1" t="n">
        <v>0.297967529694893</v>
      </c>
      <c r="J40" s="1" t="n">
        <v>0.326655224485143</v>
      </c>
      <c r="K40" s="1" t="n">
        <f aca="false">J40-I40</f>
        <v>0.0286876947902494</v>
      </c>
      <c r="L40" s="1" t="n">
        <v>0.809553468856414</v>
      </c>
    </row>
    <row r="41" customFormat="false" ht="15" hidden="false" customHeight="false" outlineLevel="0" collapsed="false">
      <c r="A41" s="1" t="s">
        <v>55</v>
      </c>
      <c r="B41" s="1" t="s">
        <v>56</v>
      </c>
      <c r="C41" s="1" t="s">
        <v>57</v>
      </c>
      <c r="D41" s="1" t="s">
        <v>19</v>
      </c>
      <c r="E41" s="1" t="s">
        <v>20</v>
      </c>
      <c r="F41" s="1" t="n">
        <v>18</v>
      </c>
      <c r="G41" s="2" t="s">
        <v>43</v>
      </c>
      <c r="H41" s="1" t="n">
        <v>0.178</v>
      </c>
      <c r="I41" s="1" t="n">
        <v>0.259451360534251</v>
      </c>
      <c r="J41" s="1" t="n">
        <v>0.286912475002282</v>
      </c>
      <c r="K41" s="1" t="n">
        <f aca="false">J41-I41</f>
        <v>0.0274611144680312</v>
      </c>
      <c r="L41" s="1" t="n">
        <v>0.809553468856414</v>
      </c>
    </row>
    <row r="42" customFormat="false" ht="15" hidden="false" customHeight="false" outlineLevel="0" collapsed="false">
      <c r="A42" s="1" t="s">
        <v>55</v>
      </c>
      <c r="B42" s="1" t="s">
        <v>56</v>
      </c>
      <c r="C42" s="1" t="s">
        <v>57</v>
      </c>
      <c r="D42" s="1" t="s">
        <v>19</v>
      </c>
      <c r="E42" s="1" t="s">
        <v>20</v>
      </c>
      <c r="F42" s="1" t="n">
        <v>18</v>
      </c>
      <c r="G42" s="2" t="s">
        <v>34</v>
      </c>
      <c r="H42" s="1" t="n">
        <v>0.1741</v>
      </c>
      <c r="I42" s="1" t="n">
        <v>0.25367737994462</v>
      </c>
      <c r="J42" s="1" t="n">
        <v>0.27960770337037</v>
      </c>
      <c r="K42" s="1" t="n">
        <f aca="false">J42-I42</f>
        <v>0.0259303234257494</v>
      </c>
      <c r="L42" s="1" t="n">
        <v>0.809553468856414</v>
      </c>
    </row>
    <row r="43" customFormat="false" ht="15" hidden="false" customHeight="false" outlineLevel="0" collapsed="false">
      <c r="A43" s="1" t="s">
        <v>55</v>
      </c>
      <c r="B43" s="1" t="s">
        <v>56</v>
      </c>
      <c r="C43" s="1" t="s">
        <v>57</v>
      </c>
      <c r="D43" s="1" t="s">
        <v>19</v>
      </c>
      <c r="E43" s="1" t="s">
        <v>20</v>
      </c>
      <c r="F43" s="1" t="n">
        <v>18</v>
      </c>
      <c r="G43" s="2" t="s">
        <v>39</v>
      </c>
      <c r="H43" s="1" t="n">
        <v>0.1725</v>
      </c>
      <c r="I43" s="1" t="n">
        <v>0.251311095362303</v>
      </c>
      <c r="J43" s="1" t="n">
        <v>0.26081770365903</v>
      </c>
      <c r="K43" s="1" t="n">
        <f aca="false">J43-I43</f>
        <v>0.00950660829672706</v>
      </c>
      <c r="L43" s="1" t="n">
        <v>0.809553468856414</v>
      </c>
    </row>
    <row r="44" customFormat="false" ht="15" hidden="false" customHeight="false" outlineLevel="0" collapsed="false">
      <c r="A44" s="1" t="s">
        <v>55</v>
      </c>
      <c r="B44" s="1" t="s">
        <v>56</v>
      </c>
      <c r="C44" s="1" t="s">
        <v>57</v>
      </c>
      <c r="D44" s="1" t="s">
        <v>19</v>
      </c>
      <c r="E44" s="1" t="s">
        <v>20</v>
      </c>
      <c r="F44" s="1" t="n">
        <v>18</v>
      </c>
      <c r="G44" s="2" t="s">
        <v>47</v>
      </c>
      <c r="H44" s="1" t="n">
        <v>0.171</v>
      </c>
      <c r="I44" s="1" t="n">
        <v>0.249140364210026</v>
      </c>
      <c r="J44" s="1" t="n">
        <v>0.282728537174463</v>
      </c>
      <c r="K44" s="1" t="n">
        <f aca="false">J44-I44</f>
        <v>0.0335881729644367</v>
      </c>
      <c r="L44" s="1" t="n">
        <v>0.809553468856414</v>
      </c>
    </row>
    <row r="45" customFormat="false" ht="15" hidden="false" customHeight="false" outlineLevel="0" collapsed="false">
      <c r="A45" s="1" t="s">
        <v>55</v>
      </c>
      <c r="B45" s="1" t="s">
        <v>56</v>
      </c>
      <c r="C45" s="1" t="s">
        <v>57</v>
      </c>
      <c r="D45" s="1" t="s">
        <v>19</v>
      </c>
      <c r="E45" s="1" t="s">
        <v>20</v>
      </c>
      <c r="F45" s="1" t="n">
        <v>18</v>
      </c>
      <c r="G45" s="2" t="s">
        <v>21</v>
      </c>
      <c r="H45" s="1" t="n">
        <v>0.1</v>
      </c>
      <c r="I45" s="1" t="n">
        <v>0.233951969962894</v>
      </c>
      <c r="J45" s="1" t="n">
        <v>0.243540655844951</v>
      </c>
      <c r="K45" s="1" t="n">
        <f aca="false">J45-I45</f>
        <v>0.0095886858820568</v>
      </c>
      <c r="L45" s="1" t="n">
        <v>0.809553468856414</v>
      </c>
    </row>
    <row r="46" customFormat="false" ht="15" hidden="false" customHeight="false" outlineLevel="0" collapsed="false">
      <c r="A46" s="1" t="s">
        <v>58</v>
      </c>
      <c r="B46" s="1" t="s">
        <v>59</v>
      </c>
      <c r="C46" s="1" t="s">
        <v>60</v>
      </c>
      <c r="D46" s="1" t="s">
        <v>19</v>
      </c>
      <c r="E46" s="1" t="s">
        <v>20</v>
      </c>
      <c r="F46" s="1" t="n">
        <v>20</v>
      </c>
      <c r="G46" s="2" t="s">
        <v>25</v>
      </c>
      <c r="H46" s="1" t="n">
        <v>0.2064</v>
      </c>
      <c r="I46" s="1" t="n">
        <v>0.319281119277207</v>
      </c>
      <c r="J46" s="1" t="n">
        <v>0.37434368130889</v>
      </c>
      <c r="K46" s="1" t="n">
        <f aca="false">J46-I46</f>
        <v>0.0550625620316831</v>
      </c>
      <c r="L46" s="1" t="n">
        <v>0.736193634280327</v>
      </c>
    </row>
    <row r="47" customFormat="false" ht="15" hidden="false" customHeight="false" outlineLevel="0" collapsed="false">
      <c r="A47" s="1" t="s">
        <v>58</v>
      </c>
      <c r="B47" s="1" t="s">
        <v>59</v>
      </c>
      <c r="C47" s="1" t="s">
        <v>60</v>
      </c>
      <c r="D47" s="1" t="s">
        <v>19</v>
      </c>
      <c r="E47" s="1" t="s">
        <v>20</v>
      </c>
      <c r="F47" s="1" t="n">
        <v>20</v>
      </c>
      <c r="G47" s="2" t="s">
        <v>47</v>
      </c>
      <c r="H47" s="1" t="n">
        <v>0.1694</v>
      </c>
      <c r="I47" s="1" t="n">
        <v>0.262056232373334</v>
      </c>
      <c r="J47" s="1" t="n">
        <v>0.310886265353613</v>
      </c>
      <c r="K47" s="1" t="n">
        <f aca="false">J47-I47</f>
        <v>0.0488300329802791</v>
      </c>
      <c r="L47" s="1" t="n">
        <v>0.736193634280327</v>
      </c>
    </row>
    <row r="48" customFormat="false" ht="15" hidden="false" customHeight="false" outlineLevel="0" collapsed="false">
      <c r="A48" s="1" t="s">
        <v>58</v>
      </c>
      <c r="B48" s="1" t="s">
        <v>59</v>
      </c>
      <c r="C48" s="1" t="s">
        <v>60</v>
      </c>
      <c r="D48" s="1" t="s">
        <v>19</v>
      </c>
      <c r="E48" s="1" t="s">
        <v>20</v>
      </c>
      <c r="F48" s="1" t="n">
        <v>20</v>
      </c>
      <c r="G48" s="2" t="s">
        <v>30</v>
      </c>
      <c r="H48" s="1" t="n">
        <v>0.1621</v>
      </c>
      <c r="I48" s="1" t="n">
        <v>0.250755650281157</v>
      </c>
      <c r="J48" s="1" t="n">
        <v>0.307151211030965</v>
      </c>
      <c r="K48" s="1" t="n">
        <f aca="false">J48-I48</f>
        <v>0.0563955607498079</v>
      </c>
      <c r="L48" s="1" t="n">
        <v>0.736193634280327</v>
      </c>
    </row>
    <row r="49" customFormat="false" ht="15" hidden="false" customHeight="false" outlineLevel="0" collapsed="false">
      <c r="A49" s="1" t="s">
        <v>58</v>
      </c>
      <c r="B49" s="1" t="s">
        <v>59</v>
      </c>
      <c r="C49" s="1" t="s">
        <v>60</v>
      </c>
      <c r="D49" s="1" t="s">
        <v>19</v>
      </c>
      <c r="E49" s="1" t="s">
        <v>20</v>
      </c>
      <c r="F49" s="1" t="n">
        <v>20</v>
      </c>
      <c r="G49" s="2" t="s">
        <v>21</v>
      </c>
      <c r="H49" s="1" t="n">
        <v>0.1561</v>
      </c>
      <c r="I49" s="1" t="n">
        <v>0.241423326410195</v>
      </c>
      <c r="J49" s="1" t="n">
        <v>0.349816670773723</v>
      </c>
      <c r="K49" s="1" t="n">
        <f aca="false">J49-I49</f>
        <v>0.108393344363528</v>
      </c>
      <c r="L49" s="1" t="n">
        <v>0.736193634280327</v>
      </c>
    </row>
    <row r="50" customFormat="false" ht="15" hidden="false" customHeight="false" outlineLevel="0" collapsed="false">
      <c r="A50" s="1" t="s">
        <v>58</v>
      </c>
      <c r="B50" s="1" t="s">
        <v>59</v>
      </c>
      <c r="C50" s="1" t="s">
        <v>60</v>
      </c>
      <c r="D50" s="1" t="s">
        <v>19</v>
      </c>
      <c r="E50" s="1" t="s">
        <v>20</v>
      </c>
      <c r="F50" s="1" t="n">
        <v>20</v>
      </c>
      <c r="G50" s="2" t="s">
        <v>34</v>
      </c>
      <c r="H50" s="1" t="n">
        <v>0.1551</v>
      </c>
      <c r="I50" s="1" t="n">
        <v>0.239888909166639</v>
      </c>
      <c r="J50" s="1" t="n">
        <v>0.315828793362399</v>
      </c>
      <c r="K50" s="1" t="n">
        <f aca="false">J50-I50</f>
        <v>0.0759398841957599</v>
      </c>
      <c r="L50" s="1" t="n">
        <v>0.736193634280327</v>
      </c>
    </row>
    <row r="51" customFormat="false" ht="15" hidden="false" customHeight="false" outlineLevel="0" collapsed="false">
      <c r="A51" s="1" t="s">
        <v>58</v>
      </c>
      <c r="B51" s="1" t="s">
        <v>59</v>
      </c>
      <c r="C51" s="1" t="s">
        <v>60</v>
      </c>
      <c r="D51" s="1" t="s">
        <v>19</v>
      </c>
      <c r="E51" s="1" t="s">
        <v>20</v>
      </c>
      <c r="F51" s="1" t="n">
        <v>20</v>
      </c>
      <c r="G51" s="2" t="s">
        <v>35</v>
      </c>
      <c r="H51" s="1" t="n">
        <v>0.1509</v>
      </c>
      <c r="I51" s="1" t="n">
        <v>0.233477672452516</v>
      </c>
      <c r="J51" s="1" t="n">
        <v>0.367547076291935</v>
      </c>
      <c r="K51" s="1" t="n">
        <f aca="false">J51-I51</f>
        <v>0.134069403839419</v>
      </c>
      <c r="L51" s="1" t="n">
        <v>0.736193634280327</v>
      </c>
    </row>
    <row r="52" customFormat="false" ht="15" hidden="false" customHeight="false" outlineLevel="0" collapsed="false">
      <c r="A52" s="1" t="s">
        <v>61</v>
      </c>
      <c r="B52" s="1" t="s">
        <v>62</v>
      </c>
      <c r="C52" s="1" t="s">
        <v>63</v>
      </c>
      <c r="D52" s="1" t="s">
        <v>19</v>
      </c>
      <c r="E52" s="1" t="s">
        <v>20</v>
      </c>
      <c r="F52" s="1" t="n">
        <v>22</v>
      </c>
      <c r="G52" s="2" t="s">
        <v>25</v>
      </c>
      <c r="H52" s="1" t="n">
        <v>0.207</v>
      </c>
      <c r="I52" s="1" t="n">
        <v>0.276892783415656</v>
      </c>
      <c r="J52" s="1" t="n">
        <v>0.378012420756937</v>
      </c>
      <c r="K52" s="1" t="n">
        <f aca="false">J52-I52</f>
        <v>0.10111963734128</v>
      </c>
      <c r="L52" s="1" t="n">
        <v>0.760450688692101</v>
      </c>
    </row>
    <row r="53" customFormat="false" ht="15" hidden="false" customHeight="false" outlineLevel="0" collapsed="false">
      <c r="A53" s="1" t="s">
        <v>61</v>
      </c>
      <c r="B53" s="1" t="s">
        <v>62</v>
      </c>
      <c r="C53" s="1" t="s">
        <v>63</v>
      </c>
      <c r="D53" s="1" t="s">
        <v>19</v>
      </c>
      <c r="E53" s="1" t="s">
        <v>20</v>
      </c>
      <c r="F53" s="1" t="n">
        <v>22</v>
      </c>
      <c r="G53" s="2" t="s">
        <v>39</v>
      </c>
      <c r="H53" s="1" t="n">
        <v>0.1876</v>
      </c>
      <c r="I53" s="1" t="n">
        <v>0.250864800258391</v>
      </c>
      <c r="J53" s="1" t="n">
        <v>0.341184089192488</v>
      </c>
      <c r="K53" s="1" t="n">
        <f aca="false">J53-I53</f>
        <v>0.0903192889340967</v>
      </c>
      <c r="L53" s="1" t="n">
        <v>0.760450688692101</v>
      </c>
    </row>
    <row r="54" customFormat="false" ht="15" hidden="false" customHeight="false" outlineLevel="0" collapsed="false">
      <c r="A54" s="1" t="s">
        <v>61</v>
      </c>
      <c r="B54" s="1" t="s">
        <v>62</v>
      </c>
      <c r="C54" s="1" t="s">
        <v>63</v>
      </c>
      <c r="D54" s="1" t="s">
        <v>19</v>
      </c>
      <c r="E54" s="1" t="s">
        <v>20</v>
      </c>
      <c r="F54" s="1" t="n">
        <v>22</v>
      </c>
      <c r="G54" s="2" t="s">
        <v>34</v>
      </c>
      <c r="H54" s="1" t="n">
        <v>0.1716</v>
      </c>
      <c r="I54" s="1" t="n">
        <v>0.229464742865245</v>
      </c>
      <c r="J54" s="1" t="n">
        <v>0.338503778323641</v>
      </c>
      <c r="K54" s="1" t="n">
        <f aca="false">J54-I54</f>
        <v>0.109039035458396</v>
      </c>
      <c r="L54" s="1" t="n">
        <v>0.760450688692101</v>
      </c>
    </row>
    <row r="55" customFormat="false" ht="15" hidden="false" customHeight="false" outlineLevel="0" collapsed="false">
      <c r="A55" s="1" t="s">
        <v>61</v>
      </c>
      <c r="B55" s="1" t="s">
        <v>62</v>
      </c>
      <c r="C55" s="1" t="s">
        <v>63</v>
      </c>
      <c r="D55" s="1" t="s">
        <v>19</v>
      </c>
      <c r="E55" s="1" t="s">
        <v>20</v>
      </c>
      <c r="F55" s="1" t="n">
        <v>22</v>
      </c>
      <c r="G55" s="2" t="s">
        <v>29</v>
      </c>
      <c r="H55" s="1" t="n">
        <v>0.1683</v>
      </c>
      <c r="I55" s="1" t="n">
        <v>0.225048378121567</v>
      </c>
      <c r="J55" s="1" t="n">
        <v>0.329702285969501</v>
      </c>
      <c r="K55" s="1" t="n">
        <f aca="false">J55-I55</f>
        <v>0.104653907847934</v>
      </c>
      <c r="L55" s="1" t="n">
        <v>0.760450688692101</v>
      </c>
    </row>
    <row r="56" customFormat="false" ht="15" hidden="false" customHeight="false" outlineLevel="0" collapsed="false">
      <c r="A56" s="1" t="s">
        <v>61</v>
      </c>
      <c r="B56" s="1" t="s">
        <v>62</v>
      </c>
      <c r="C56" s="1" t="s">
        <v>63</v>
      </c>
      <c r="D56" s="1" t="s">
        <v>19</v>
      </c>
      <c r="E56" s="1" t="s">
        <v>20</v>
      </c>
      <c r="F56" s="1" t="n">
        <v>22</v>
      </c>
      <c r="G56" s="2" t="s">
        <v>35</v>
      </c>
      <c r="H56" s="1" t="n">
        <v>0.1656</v>
      </c>
      <c r="I56" s="1" t="n">
        <v>0.221430089512585</v>
      </c>
      <c r="J56" s="1" t="n">
        <v>0.297893636497975</v>
      </c>
      <c r="K56" s="1" t="n">
        <f aca="false">J56-I56</f>
        <v>0.0764635469853901</v>
      </c>
      <c r="L56" s="1" t="n">
        <v>0.760450688692101</v>
      </c>
    </row>
    <row r="57" customFormat="false" ht="15" hidden="false" customHeight="false" outlineLevel="0" collapsed="false">
      <c r="A57" s="1" t="s">
        <v>61</v>
      </c>
      <c r="B57" s="1" t="s">
        <v>62</v>
      </c>
      <c r="C57" s="1" t="s">
        <v>63</v>
      </c>
      <c r="D57" s="1" t="s">
        <v>19</v>
      </c>
      <c r="E57" s="1" t="s">
        <v>20</v>
      </c>
      <c r="F57" s="1" t="n">
        <v>22</v>
      </c>
      <c r="G57" s="2" t="s">
        <v>21</v>
      </c>
      <c r="H57" s="1" t="n">
        <v>0.1</v>
      </c>
      <c r="I57" s="1" t="n">
        <v>0.213273189318438</v>
      </c>
      <c r="J57" s="1" t="n">
        <v>0.313745674859876</v>
      </c>
      <c r="K57" s="1" t="n">
        <f aca="false">J57-I57</f>
        <v>0.100472485541438</v>
      </c>
      <c r="L57" s="1" t="n">
        <v>0.760450688692101</v>
      </c>
    </row>
    <row r="58" customFormat="false" ht="15" hidden="false" customHeight="false" outlineLevel="0" collapsed="false">
      <c r="A58" s="1" t="s">
        <v>64</v>
      </c>
      <c r="B58" s="1" t="s">
        <v>65</v>
      </c>
      <c r="C58" s="1" t="s">
        <v>66</v>
      </c>
      <c r="D58" s="1" t="s">
        <v>19</v>
      </c>
      <c r="E58" s="1" t="s">
        <v>20</v>
      </c>
      <c r="F58" s="1" t="n">
        <v>24</v>
      </c>
      <c r="G58" s="2" t="s">
        <v>25</v>
      </c>
      <c r="H58" s="1" t="n">
        <v>0.1998</v>
      </c>
      <c r="I58" s="1" t="n">
        <v>0.286519510231655</v>
      </c>
      <c r="J58" s="1" t="n">
        <v>0.333692163065974</v>
      </c>
      <c r="K58" s="1" t="n">
        <f aca="false">J58-I58</f>
        <v>0.0471726528343188</v>
      </c>
      <c r="L58" s="1" t="n">
        <v>0.783417145572671</v>
      </c>
    </row>
    <row r="59" customFormat="false" ht="15" hidden="false" customHeight="false" outlineLevel="0" collapsed="false">
      <c r="A59" s="1" t="s">
        <v>64</v>
      </c>
      <c r="B59" s="1" t="s">
        <v>65</v>
      </c>
      <c r="C59" s="1" t="s">
        <v>66</v>
      </c>
      <c r="D59" s="1" t="s">
        <v>19</v>
      </c>
      <c r="E59" s="1" t="s">
        <v>20</v>
      </c>
      <c r="F59" s="1" t="n">
        <v>24</v>
      </c>
      <c r="G59" s="2" t="s">
        <v>29</v>
      </c>
      <c r="H59" s="1" t="n">
        <v>0.1689</v>
      </c>
      <c r="I59" s="1" t="n">
        <v>0.242139668974698</v>
      </c>
      <c r="J59" s="1" t="n">
        <v>0.329415570587293</v>
      </c>
      <c r="K59" s="1" t="n">
        <f aca="false">J59-I59</f>
        <v>0.0872759016125948</v>
      </c>
      <c r="L59" s="1" t="n">
        <v>0.783417145572671</v>
      </c>
    </row>
    <row r="60" customFormat="false" ht="15" hidden="false" customHeight="false" outlineLevel="0" collapsed="false">
      <c r="A60" s="1" t="s">
        <v>64</v>
      </c>
      <c r="B60" s="1" t="s">
        <v>65</v>
      </c>
      <c r="C60" s="1" t="s">
        <v>66</v>
      </c>
      <c r="D60" s="1" t="s">
        <v>19</v>
      </c>
      <c r="E60" s="1" t="s">
        <v>20</v>
      </c>
      <c r="F60" s="1" t="n">
        <v>24</v>
      </c>
      <c r="G60" s="2" t="s">
        <v>34</v>
      </c>
      <c r="H60" s="1" t="n">
        <v>0.1642</v>
      </c>
      <c r="I60" s="1" t="n">
        <v>0.235476955017011</v>
      </c>
      <c r="J60" s="1" t="n">
        <v>0.289414119740723</v>
      </c>
      <c r="K60" s="1" t="n">
        <f aca="false">J60-I60</f>
        <v>0.0539371647237122</v>
      </c>
      <c r="L60" s="1" t="n">
        <v>0.783417145572671</v>
      </c>
    </row>
    <row r="61" customFormat="false" ht="15" hidden="false" customHeight="false" outlineLevel="0" collapsed="false">
      <c r="A61" s="1" t="s">
        <v>64</v>
      </c>
      <c r="B61" s="1" t="s">
        <v>65</v>
      </c>
      <c r="C61" s="1" t="s">
        <v>66</v>
      </c>
      <c r="D61" s="1" t="s">
        <v>19</v>
      </c>
      <c r="E61" s="1" t="s">
        <v>20</v>
      </c>
      <c r="F61" s="1" t="n">
        <v>24</v>
      </c>
      <c r="G61" s="2" t="s">
        <v>39</v>
      </c>
      <c r="H61" s="1" t="n">
        <v>0.158</v>
      </c>
      <c r="I61" s="1" t="n">
        <v>0.226556179297545</v>
      </c>
      <c r="J61" s="1" t="n">
        <v>0.287293609281264</v>
      </c>
      <c r="K61" s="1" t="n">
        <f aca="false">J61-I61</f>
        <v>0.0607374299837187</v>
      </c>
      <c r="L61" s="1" t="n">
        <v>0.783417145572671</v>
      </c>
    </row>
    <row r="62" customFormat="false" ht="15" hidden="false" customHeight="false" outlineLevel="0" collapsed="false">
      <c r="A62" s="1" t="s">
        <v>64</v>
      </c>
      <c r="B62" s="1" t="s">
        <v>65</v>
      </c>
      <c r="C62" s="1" t="s">
        <v>66</v>
      </c>
      <c r="D62" s="1" t="s">
        <v>19</v>
      </c>
      <c r="E62" s="1" t="s">
        <v>20</v>
      </c>
      <c r="F62" s="1" t="n">
        <v>24</v>
      </c>
      <c r="G62" s="2" t="s">
        <v>30</v>
      </c>
      <c r="H62" s="1" t="n">
        <v>0.157</v>
      </c>
      <c r="I62" s="1" t="n">
        <v>0.225158809428638</v>
      </c>
      <c r="J62" s="1" t="n">
        <v>0.286099862752087</v>
      </c>
      <c r="K62" s="1" t="n">
        <f aca="false">J62-I62</f>
        <v>0.0609410533234495</v>
      </c>
      <c r="L62" s="1" t="n">
        <v>0.783417145572671</v>
      </c>
    </row>
    <row r="63" customFormat="false" ht="15" hidden="false" customHeight="false" outlineLevel="0" collapsed="false">
      <c r="A63" s="1" t="s">
        <v>64</v>
      </c>
      <c r="B63" s="1" t="s">
        <v>65</v>
      </c>
      <c r="C63" s="1" t="s">
        <v>66</v>
      </c>
      <c r="D63" s="1" t="s">
        <v>19</v>
      </c>
      <c r="E63" s="1" t="s">
        <v>20</v>
      </c>
      <c r="F63" s="1" t="n">
        <v>24</v>
      </c>
      <c r="G63" s="2" t="s">
        <v>21</v>
      </c>
      <c r="H63" s="1" t="n">
        <v>0.152</v>
      </c>
      <c r="I63" s="1" t="n">
        <v>0.217986697074492</v>
      </c>
      <c r="J63" s="1" t="n">
        <v>0.304646865430469</v>
      </c>
      <c r="K63" s="1" t="n">
        <f aca="false">J63-I63</f>
        <v>0.0866601683559762</v>
      </c>
      <c r="L63" s="1" t="n">
        <v>0.783417145572671</v>
      </c>
    </row>
    <row r="64" customFormat="false" ht="15" hidden="false" customHeight="false" outlineLevel="0" collapsed="false">
      <c r="A64" s="1" t="s">
        <v>67</v>
      </c>
      <c r="B64" s="1" t="s">
        <v>68</v>
      </c>
      <c r="C64" s="1" t="s">
        <v>69</v>
      </c>
      <c r="D64" s="1" t="s">
        <v>19</v>
      </c>
      <c r="E64" s="1" t="s">
        <v>20</v>
      </c>
      <c r="F64" s="1" t="n">
        <v>26</v>
      </c>
      <c r="G64" s="2" t="s">
        <v>25</v>
      </c>
      <c r="H64" s="1" t="n">
        <v>0.2088</v>
      </c>
      <c r="I64" s="1" t="n">
        <v>0.300607645916587</v>
      </c>
      <c r="J64" s="1" t="n">
        <v>0.398715498505921</v>
      </c>
      <c r="K64" s="1" t="n">
        <f aca="false">J64-I64</f>
        <v>0.0981078525893332</v>
      </c>
      <c r="L64" s="1" t="n">
        <v>0.736351406600312</v>
      </c>
    </row>
    <row r="65" customFormat="false" ht="15" hidden="false" customHeight="false" outlineLevel="0" collapsed="false">
      <c r="A65" s="1" t="s">
        <v>67</v>
      </c>
      <c r="B65" s="1" t="s">
        <v>68</v>
      </c>
      <c r="C65" s="1" t="s">
        <v>69</v>
      </c>
      <c r="D65" s="1" t="s">
        <v>19</v>
      </c>
      <c r="E65" s="1" t="s">
        <v>20</v>
      </c>
      <c r="F65" s="1" t="n">
        <v>26</v>
      </c>
      <c r="G65" s="2" t="s">
        <v>29</v>
      </c>
      <c r="H65" s="1" t="n">
        <v>0.1701</v>
      </c>
      <c r="I65" s="1" t="n">
        <v>0.244991302004305</v>
      </c>
      <c r="J65" s="1" t="n">
        <v>0.368633956331592</v>
      </c>
      <c r="K65" s="1" t="n">
        <f aca="false">J65-I65</f>
        <v>0.123642654327287</v>
      </c>
      <c r="L65" s="1" t="n">
        <v>0.736351406600312</v>
      </c>
    </row>
    <row r="66" customFormat="false" ht="15" hidden="false" customHeight="false" outlineLevel="0" collapsed="false">
      <c r="A66" s="1" t="s">
        <v>67</v>
      </c>
      <c r="B66" s="1" t="s">
        <v>68</v>
      </c>
      <c r="C66" s="1" t="s">
        <v>69</v>
      </c>
      <c r="D66" s="1" t="s">
        <v>19</v>
      </c>
      <c r="E66" s="1" t="s">
        <v>20</v>
      </c>
      <c r="F66" s="1" t="n">
        <v>26</v>
      </c>
      <c r="G66" s="2" t="s">
        <v>39</v>
      </c>
      <c r="H66" s="1" t="n">
        <v>0.1591</v>
      </c>
      <c r="I66" s="1" t="n">
        <v>0.229059990853365</v>
      </c>
      <c r="J66" s="1" t="n">
        <v>0.370324110835123</v>
      </c>
      <c r="K66" s="1" t="n">
        <f aca="false">J66-I66</f>
        <v>0.141264119981758</v>
      </c>
      <c r="L66" s="1" t="n">
        <v>0.736351406600312</v>
      </c>
    </row>
    <row r="67" customFormat="false" ht="15" hidden="false" customHeight="false" outlineLevel="0" collapsed="false">
      <c r="A67" s="1" t="s">
        <v>67</v>
      </c>
      <c r="B67" s="1" t="s">
        <v>68</v>
      </c>
      <c r="C67" s="1" t="s">
        <v>69</v>
      </c>
      <c r="D67" s="1" t="s">
        <v>19</v>
      </c>
      <c r="E67" s="1" t="s">
        <v>20</v>
      </c>
      <c r="F67" s="1" t="n">
        <v>26</v>
      </c>
      <c r="G67" s="2" t="s">
        <v>70</v>
      </c>
      <c r="H67" s="1" t="n">
        <v>0.155</v>
      </c>
      <c r="I67" s="1" t="n">
        <v>0.223232048188366</v>
      </c>
      <c r="J67" s="1" t="n">
        <v>0.326535736544816</v>
      </c>
      <c r="K67" s="1" t="n">
        <f aca="false">J67-I67</f>
        <v>0.10330368835645</v>
      </c>
      <c r="L67" s="1" t="n">
        <v>0.736351406600312</v>
      </c>
    </row>
    <row r="68" customFormat="false" ht="15" hidden="false" customHeight="false" outlineLevel="0" collapsed="false">
      <c r="A68" s="1" t="s">
        <v>67</v>
      </c>
      <c r="B68" s="1" t="s">
        <v>68</v>
      </c>
      <c r="C68" s="1" t="s">
        <v>69</v>
      </c>
      <c r="D68" s="1" t="s">
        <v>19</v>
      </c>
      <c r="E68" s="1" t="s">
        <v>20</v>
      </c>
      <c r="F68" s="1" t="n">
        <v>26</v>
      </c>
      <c r="G68" s="2" t="s">
        <v>43</v>
      </c>
      <c r="H68" s="1" t="n">
        <v>0.1547</v>
      </c>
      <c r="I68" s="1" t="n">
        <v>0.222793356525174</v>
      </c>
      <c r="J68" s="1" t="n">
        <v>0.332140701700494</v>
      </c>
      <c r="K68" s="1" t="n">
        <f aca="false">J68-I68</f>
        <v>0.10934734517532</v>
      </c>
      <c r="L68" s="1" t="n">
        <v>0.736351406600312</v>
      </c>
    </row>
    <row r="69" customFormat="false" ht="15" hidden="false" customHeight="false" outlineLevel="0" collapsed="false">
      <c r="A69" s="1" t="s">
        <v>67</v>
      </c>
      <c r="B69" s="1" t="s">
        <v>68</v>
      </c>
      <c r="C69" s="1" t="s">
        <v>69</v>
      </c>
      <c r="D69" s="1" t="s">
        <v>19</v>
      </c>
      <c r="E69" s="1" t="s">
        <v>20</v>
      </c>
      <c r="F69" s="1" t="n">
        <v>26</v>
      </c>
      <c r="G69" s="2" t="s">
        <v>21</v>
      </c>
      <c r="H69" s="1" t="n">
        <v>0.1523</v>
      </c>
      <c r="I69" s="1" t="n">
        <v>0.219333931142157</v>
      </c>
      <c r="J69" s="1" t="n">
        <v>0.388964000545492</v>
      </c>
      <c r="K69" s="1" t="n">
        <f aca="false">J69-I69</f>
        <v>0.169630069403335</v>
      </c>
      <c r="L69" s="1" t="n">
        <v>0.736351406600312</v>
      </c>
    </row>
    <row r="70" customFormat="false" ht="15" hidden="false" customHeight="false" outlineLevel="0" collapsed="false">
      <c r="A70" s="1" t="s">
        <v>71</v>
      </c>
      <c r="B70" s="1" t="s">
        <v>72</v>
      </c>
      <c r="C70" s="1" t="s">
        <v>73</v>
      </c>
      <c r="D70" s="1" t="s">
        <v>19</v>
      </c>
      <c r="E70" s="1" t="s">
        <v>20</v>
      </c>
      <c r="F70" s="1" t="n">
        <v>28</v>
      </c>
      <c r="G70" s="2" t="s">
        <v>21</v>
      </c>
      <c r="H70" s="1" t="n">
        <v>0.1763</v>
      </c>
      <c r="I70" s="1" t="n">
        <v>0.342820729428008</v>
      </c>
      <c r="J70" s="1" t="n">
        <v>0.374307121958983</v>
      </c>
      <c r="K70" s="1" t="n">
        <f aca="false">J70-I70</f>
        <v>0.031486392530975</v>
      </c>
      <c r="L70" s="1" t="n">
        <v>0.695164645499178</v>
      </c>
    </row>
    <row r="71" customFormat="false" ht="15" hidden="false" customHeight="false" outlineLevel="0" collapsed="false">
      <c r="A71" s="1" t="s">
        <v>71</v>
      </c>
      <c r="B71" s="1" t="s">
        <v>72</v>
      </c>
      <c r="C71" s="1" t="s">
        <v>73</v>
      </c>
      <c r="D71" s="1" t="s">
        <v>19</v>
      </c>
      <c r="E71" s="1" t="s">
        <v>20</v>
      </c>
      <c r="F71" s="1" t="n">
        <v>28</v>
      </c>
      <c r="G71" s="2" t="s">
        <v>25</v>
      </c>
      <c r="H71" s="1" t="n">
        <v>0.1737</v>
      </c>
      <c r="I71" s="1" t="n">
        <v>0.337853439593389</v>
      </c>
      <c r="J71" s="1" t="n">
        <v>0.400022165536272</v>
      </c>
      <c r="K71" s="1" t="n">
        <f aca="false">J71-I71</f>
        <v>0.0621687259428836</v>
      </c>
      <c r="L71" s="1" t="n">
        <v>0.695164645499178</v>
      </c>
    </row>
    <row r="72" customFormat="false" ht="15" hidden="false" customHeight="false" outlineLevel="0" collapsed="false">
      <c r="A72" s="1" t="s">
        <v>71</v>
      </c>
      <c r="B72" s="1" t="s">
        <v>72</v>
      </c>
      <c r="C72" s="1" t="s">
        <v>73</v>
      </c>
      <c r="D72" s="1" t="s">
        <v>19</v>
      </c>
      <c r="E72" s="1" t="s">
        <v>20</v>
      </c>
      <c r="F72" s="1" t="n">
        <v>28</v>
      </c>
      <c r="G72" s="2" t="s">
        <v>39</v>
      </c>
      <c r="H72" s="1" t="n">
        <v>0.1704</v>
      </c>
      <c r="I72" s="1" t="n">
        <v>0.331365230021299</v>
      </c>
      <c r="J72" s="1" t="n">
        <v>0.347634291522638</v>
      </c>
      <c r="K72" s="1" t="n">
        <f aca="false">J72-I72</f>
        <v>0.0162690615013385</v>
      </c>
      <c r="L72" s="1" t="n">
        <v>0.695164645499178</v>
      </c>
    </row>
    <row r="73" customFormat="false" ht="15" hidden="false" customHeight="false" outlineLevel="0" collapsed="false">
      <c r="A73" s="1" t="s">
        <v>71</v>
      </c>
      <c r="B73" s="1" t="s">
        <v>72</v>
      </c>
      <c r="C73" s="1" t="s">
        <v>73</v>
      </c>
      <c r="D73" s="1" t="s">
        <v>19</v>
      </c>
      <c r="E73" s="1" t="s">
        <v>20</v>
      </c>
      <c r="F73" s="1" t="n">
        <v>28</v>
      </c>
      <c r="G73" s="2" t="s">
        <v>34</v>
      </c>
      <c r="H73" s="1" t="n">
        <v>0.163</v>
      </c>
      <c r="I73" s="1" t="n">
        <v>0.31690452096615</v>
      </c>
      <c r="J73" s="1" t="n">
        <v>0.348840625873718</v>
      </c>
      <c r="K73" s="1" t="n">
        <f aca="false">J73-I73</f>
        <v>0.0319361049075685</v>
      </c>
      <c r="L73" s="1" t="n">
        <v>0.695164645499178</v>
      </c>
    </row>
    <row r="74" customFormat="false" ht="15" hidden="false" customHeight="false" outlineLevel="0" collapsed="false">
      <c r="A74" s="1" t="s">
        <v>71</v>
      </c>
      <c r="B74" s="1" t="s">
        <v>72</v>
      </c>
      <c r="C74" s="1" t="s">
        <v>73</v>
      </c>
      <c r="D74" s="1" t="s">
        <v>19</v>
      </c>
      <c r="E74" s="1" t="s">
        <v>20</v>
      </c>
      <c r="F74" s="1" t="n">
        <v>28</v>
      </c>
      <c r="G74" s="2" t="s">
        <v>29</v>
      </c>
      <c r="H74" s="1" t="n">
        <v>0.161</v>
      </c>
      <c r="I74" s="1" t="n">
        <v>0.313148252405787</v>
      </c>
      <c r="J74" s="1" t="n">
        <v>0.371804301847042</v>
      </c>
      <c r="K74" s="1" t="n">
        <f aca="false">J74-I74</f>
        <v>0.0586560494412545</v>
      </c>
      <c r="L74" s="1" t="n">
        <v>0.695164645499178</v>
      </c>
    </row>
    <row r="75" customFormat="false" ht="15" hidden="false" customHeight="false" outlineLevel="0" collapsed="false">
      <c r="A75" s="1" t="s">
        <v>71</v>
      </c>
      <c r="B75" s="1" t="s">
        <v>72</v>
      </c>
      <c r="C75" s="1" t="s">
        <v>73</v>
      </c>
      <c r="D75" s="1" t="s">
        <v>19</v>
      </c>
      <c r="E75" s="1" t="s">
        <v>20</v>
      </c>
      <c r="F75" s="1" t="n">
        <v>28</v>
      </c>
      <c r="G75" s="2" t="s">
        <v>70</v>
      </c>
      <c r="H75" s="1" t="n">
        <v>0.1555</v>
      </c>
      <c r="I75" s="1" t="n">
        <v>0.302423227271491</v>
      </c>
      <c r="J75" s="1" t="n">
        <v>0.312626919960433</v>
      </c>
      <c r="K75" s="1" t="n">
        <f aca="false">J75-I75</f>
        <v>0.0102036926889421</v>
      </c>
      <c r="L75" s="1" t="n">
        <v>0.695164645499178</v>
      </c>
    </row>
    <row r="76" customFormat="false" ht="15" hidden="false" customHeight="false" outlineLevel="0" collapsed="false">
      <c r="A76" s="1" t="s">
        <v>74</v>
      </c>
      <c r="B76" s="1" t="s">
        <v>75</v>
      </c>
      <c r="C76" s="1" t="s">
        <v>76</v>
      </c>
      <c r="D76" s="1" t="s">
        <v>19</v>
      </c>
      <c r="E76" s="1" t="s">
        <v>20</v>
      </c>
      <c r="F76" s="1" t="n">
        <v>30</v>
      </c>
      <c r="G76" s="2" t="s">
        <v>21</v>
      </c>
      <c r="H76" s="1" t="n">
        <v>0.2134</v>
      </c>
      <c r="I76" s="1" t="n">
        <v>0.449833316823559</v>
      </c>
      <c r="J76" s="1" t="n">
        <v>0.386729254831491</v>
      </c>
      <c r="K76" s="1" t="n">
        <f aca="false">J76-I76</f>
        <v>-0.0631040619920686</v>
      </c>
      <c r="L76" s="1" t="n">
        <v>0.753663706301646</v>
      </c>
    </row>
    <row r="77" customFormat="false" ht="15" hidden="false" customHeight="false" outlineLevel="0" collapsed="false">
      <c r="A77" s="1" t="s">
        <v>74</v>
      </c>
      <c r="B77" s="1" t="s">
        <v>75</v>
      </c>
      <c r="C77" s="1" t="s">
        <v>76</v>
      </c>
      <c r="D77" s="1" t="s">
        <v>19</v>
      </c>
      <c r="E77" s="1" t="s">
        <v>20</v>
      </c>
      <c r="F77" s="1" t="n">
        <v>30</v>
      </c>
      <c r="G77" s="2" t="s">
        <v>25</v>
      </c>
      <c r="H77" s="1" t="n">
        <v>0.1645</v>
      </c>
      <c r="I77" s="1" t="n">
        <v>0.346774399683522</v>
      </c>
      <c r="J77" s="1" t="n">
        <v>0.361620303850627</v>
      </c>
      <c r="K77" s="1" t="n">
        <f aca="false">J77-I77</f>
        <v>0.0148459041671044</v>
      </c>
      <c r="L77" s="1" t="n">
        <v>0.753663706301646</v>
      </c>
    </row>
    <row r="78" customFormat="false" ht="15" hidden="false" customHeight="false" outlineLevel="0" collapsed="false">
      <c r="A78" s="1" t="s">
        <v>74</v>
      </c>
      <c r="B78" s="1" t="s">
        <v>75</v>
      </c>
      <c r="C78" s="1" t="s">
        <v>76</v>
      </c>
      <c r="D78" s="1" t="s">
        <v>19</v>
      </c>
      <c r="E78" s="1" t="s">
        <v>20</v>
      </c>
      <c r="F78" s="1" t="n">
        <v>30</v>
      </c>
      <c r="G78" s="2" t="s">
        <v>29</v>
      </c>
      <c r="H78" s="1" t="n">
        <v>0.1625</v>
      </c>
      <c r="I78" s="1" t="n">
        <v>0.342559126595317</v>
      </c>
      <c r="J78" s="1" t="n">
        <v>0.350459685218506</v>
      </c>
      <c r="K78" s="1" t="n">
        <f aca="false">J78-I78</f>
        <v>0.00790055862318861</v>
      </c>
      <c r="L78" s="1" t="n">
        <v>0.753663706301646</v>
      </c>
    </row>
    <row r="79" customFormat="false" ht="15" hidden="false" customHeight="false" outlineLevel="0" collapsed="false">
      <c r="A79" s="1" t="s">
        <v>74</v>
      </c>
      <c r="B79" s="1" t="s">
        <v>75</v>
      </c>
      <c r="C79" s="1" t="s">
        <v>76</v>
      </c>
      <c r="D79" s="1" t="s">
        <v>19</v>
      </c>
      <c r="E79" s="1" t="s">
        <v>20</v>
      </c>
      <c r="F79" s="1" t="n">
        <v>30</v>
      </c>
      <c r="G79" s="2" t="s">
        <v>35</v>
      </c>
      <c r="H79" s="1" t="n">
        <v>0.1587</v>
      </c>
      <c r="I79" s="1" t="n">
        <v>0.334515047874022</v>
      </c>
      <c r="J79" s="1" t="n">
        <v>0.335583318981586</v>
      </c>
      <c r="K79" s="1" t="n">
        <f aca="false">J79-I79</f>
        <v>0.0010682711075638</v>
      </c>
      <c r="L79" s="1" t="n">
        <v>0.753663706301646</v>
      </c>
    </row>
    <row r="80" customFormat="false" ht="15" hidden="false" customHeight="false" outlineLevel="0" collapsed="false">
      <c r="A80" s="1" t="s">
        <v>74</v>
      </c>
      <c r="B80" s="1" t="s">
        <v>75</v>
      </c>
      <c r="C80" s="1" t="s">
        <v>76</v>
      </c>
      <c r="D80" s="1" t="s">
        <v>19</v>
      </c>
      <c r="E80" s="1" t="s">
        <v>20</v>
      </c>
      <c r="F80" s="1" t="n">
        <v>30</v>
      </c>
      <c r="G80" s="2" t="s">
        <v>39</v>
      </c>
      <c r="H80" s="1" t="n">
        <v>0.1533</v>
      </c>
      <c r="I80" s="1" t="n">
        <v>0.323144986756734</v>
      </c>
      <c r="J80" s="1" t="n">
        <v>0.327925874796682</v>
      </c>
      <c r="K80" s="1" t="n">
        <f aca="false">J80-I80</f>
        <v>0.00478088803994819</v>
      </c>
      <c r="L80" s="1" t="n">
        <v>0.753663706301646</v>
      </c>
    </row>
    <row r="81" customFormat="false" ht="15" hidden="false" customHeight="false" outlineLevel="0" collapsed="false">
      <c r="A81" s="1" t="s">
        <v>74</v>
      </c>
      <c r="B81" s="1" t="s">
        <v>75</v>
      </c>
      <c r="C81" s="1" t="s">
        <v>76</v>
      </c>
      <c r="D81" s="1" t="s">
        <v>19</v>
      </c>
      <c r="E81" s="1" t="s">
        <v>20</v>
      </c>
      <c r="F81" s="1" t="n">
        <v>30</v>
      </c>
      <c r="G81" s="2" t="s">
        <v>34</v>
      </c>
      <c r="H81" s="1" t="n">
        <v>0.1474</v>
      </c>
      <c r="I81" s="1" t="n">
        <v>0.31062699660801</v>
      </c>
      <c r="J81" s="1" t="n">
        <v>0.315313496077429</v>
      </c>
      <c r="K81" s="1" t="n">
        <f aca="false">J81-I81</f>
        <v>0.00468649946941924</v>
      </c>
      <c r="L81" s="1" t="n">
        <v>0.753663706301646</v>
      </c>
    </row>
    <row r="82" customFormat="false" ht="15" hidden="false" customHeight="false" outlineLevel="0" collapsed="false">
      <c r="A82" s="1" t="s">
        <v>77</v>
      </c>
      <c r="B82" s="1" t="s">
        <v>78</v>
      </c>
      <c r="C82" s="1" t="s">
        <v>79</v>
      </c>
      <c r="D82" s="1" t="s">
        <v>19</v>
      </c>
      <c r="E82" s="1" t="s">
        <v>20</v>
      </c>
      <c r="F82" s="1" t="n">
        <v>32</v>
      </c>
      <c r="G82" s="2" t="s">
        <v>25</v>
      </c>
      <c r="H82" s="1" t="n">
        <v>0.1819</v>
      </c>
      <c r="I82" s="1" t="n">
        <v>0.267792140498913</v>
      </c>
      <c r="J82" s="1" t="n">
        <v>0.339755373873045</v>
      </c>
      <c r="K82" s="1" t="n">
        <f aca="false">J82-I82</f>
        <v>0.0719632333741312</v>
      </c>
      <c r="L82" s="1" t="n">
        <v>0.75925493365687</v>
      </c>
    </row>
    <row r="83" customFormat="false" ht="15" hidden="false" customHeight="false" outlineLevel="0" collapsed="false">
      <c r="A83" s="1" t="s">
        <v>77</v>
      </c>
      <c r="B83" s="1" t="s">
        <v>78</v>
      </c>
      <c r="C83" s="1" t="s">
        <v>79</v>
      </c>
      <c r="D83" s="1" t="s">
        <v>19</v>
      </c>
      <c r="E83" s="1" t="s">
        <v>20</v>
      </c>
      <c r="F83" s="1" t="n">
        <v>32</v>
      </c>
      <c r="G83" s="2" t="s">
        <v>21</v>
      </c>
      <c r="H83" s="1" t="n">
        <v>0.1784</v>
      </c>
      <c r="I83" s="1" t="n">
        <v>0.262562518058556</v>
      </c>
      <c r="J83" s="1" t="n">
        <v>0.346264267943202</v>
      </c>
      <c r="K83" s="1" t="n">
        <f aca="false">J83-I83</f>
        <v>0.0837017498846466</v>
      </c>
      <c r="L83" s="1" t="n">
        <v>0.75925493365687</v>
      </c>
    </row>
    <row r="84" customFormat="false" ht="15" hidden="false" customHeight="false" outlineLevel="0" collapsed="false">
      <c r="A84" s="1" t="s">
        <v>77</v>
      </c>
      <c r="B84" s="1" t="s">
        <v>78</v>
      </c>
      <c r="C84" s="1" t="s">
        <v>79</v>
      </c>
      <c r="D84" s="1" t="s">
        <v>19</v>
      </c>
      <c r="E84" s="1" t="s">
        <v>20</v>
      </c>
      <c r="F84" s="1" t="n">
        <v>32</v>
      </c>
      <c r="G84" s="2" t="s">
        <v>43</v>
      </c>
      <c r="H84" s="1" t="n">
        <v>0.1627</v>
      </c>
      <c r="I84" s="1" t="n">
        <v>0.239588769847136</v>
      </c>
      <c r="J84" s="1" t="n">
        <v>0.351337741814522</v>
      </c>
      <c r="K84" s="1" t="n">
        <f aca="false">J84-I84</f>
        <v>0.111748971967386</v>
      </c>
      <c r="L84" s="1" t="n">
        <v>0.75925493365687</v>
      </c>
    </row>
    <row r="85" customFormat="false" ht="15" hidden="false" customHeight="false" outlineLevel="0" collapsed="false">
      <c r="A85" s="1" t="s">
        <v>77</v>
      </c>
      <c r="B85" s="1" t="s">
        <v>78</v>
      </c>
      <c r="C85" s="1" t="s">
        <v>79</v>
      </c>
      <c r="D85" s="1" t="s">
        <v>19</v>
      </c>
      <c r="E85" s="1" t="s">
        <v>20</v>
      </c>
      <c r="F85" s="1" t="n">
        <v>32</v>
      </c>
      <c r="G85" s="2" t="s">
        <v>29</v>
      </c>
      <c r="H85" s="1" t="n">
        <v>0.162</v>
      </c>
      <c r="I85" s="1" t="n">
        <v>0.238440736959323</v>
      </c>
      <c r="J85" s="1" t="n">
        <v>0.335341310409115</v>
      </c>
      <c r="K85" s="1" t="n">
        <f aca="false">J85-I85</f>
        <v>0.0969005734497915</v>
      </c>
      <c r="L85" s="1" t="n">
        <v>0.75925493365687</v>
      </c>
    </row>
    <row r="86" customFormat="false" ht="15" hidden="false" customHeight="false" outlineLevel="0" collapsed="false">
      <c r="A86" s="1" t="s">
        <v>77</v>
      </c>
      <c r="B86" s="1" t="s">
        <v>78</v>
      </c>
      <c r="C86" s="1" t="s">
        <v>79</v>
      </c>
      <c r="D86" s="1" t="s">
        <v>19</v>
      </c>
      <c r="E86" s="1" t="s">
        <v>20</v>
      </c>
      <c r="F86" s="1" t="n">
        <v>32</v>
      </c>
      <c r="G86" s="2" t="s">
        <v>35</v>
      </c>
      <c r="H86" s="1" t="n">
        <v>0.1591</v>
      </c>
      <c r="I86" s="1" t="n">
        <v>0.234191570921598</v>
      </c>
      <c r="J86" s="1" t="n">
        <v>0.303409839951757</v>
      </c>
      <c r="K86" s="1" t="n">
        <f aca="false">J86-I86</f>
        <v>0.0692182690301589</v>
      </c>
      <c r="L86" s="1" t="n">
        <v>0.75925493365687</v>
      </c>
    </row>
    <row r="87" customFormat="false" ht="15" hidden="false" customHeight="false" outlineLevel="0" collapsed="false">
      <c r="A87" s="1" t="s">
        <v>77</v>
      </c>
      <c r="B87" s="1" t="s">
        <v>78</v>
      </c>
      <c r="C87" s="1" t="s">
        <v>79</v>
      </c>
      <c r="D87" s="1" t="s">
        <v>19</v>
      </c>
      <c r="E87" s="1" t="s">
        <v>20</v>
      </c>
      <c r="F87" s="1" t="n">
        <v>32</v>
      </c>
      <c r="G87" s="2" t="s">
        <v>39</v>
      </c>
      <c r="H87" s="1" t="n">
        <v>0.1559</v>
      </c>
      <c r="I87" s="1" t="n">
        <v>0.229567655867713</v>
      </c>
      <c r="J87" s="1" t="n">
        <v>0.335962649275611</v>
      </c>
      <c r="K87" s="1" t="n">
        <f aca="false">J87-I87</f>
        <v>0.106394993407899</v>
      </c>
      <c r="L87" s="1" t="n">
        <v>0.75925493365687</v>
      </c>
    </row>
    <row r="88" customFormat="false" ht="15" hidden="false" customHeight="false" outlineLevel="0" collapsed="false">
      <c r="A88" s="1" t="s">
        <v>80</v>
      </c>
      <c r="B88" s="1" t="s">
        <v>81</v>
      </c>
      <c r="C88" s="1" t="s">
        <v>82</v>
      </c>
      <c r="D88" s="1" t="s">
        <v>19</v>
      </c>
      <c r="E88" s="1" t="s">
        <v>20</v>
      </c>
      <c r="F88" s="1" t="n">
        <v>34</v>
      </c>
      <c r="G88" s="2" t="s">
        <v>21</v>
      </c>
      <c r="H88" s="1" t="n">
        <v>0.1918</v>
      </c>
      <c r="I88" s="1" t="n">
        <v>0.266340688712792</v>
      </c>
      <c r="J88" s="1" t="n">
        <v>0.340473985660737</v>
      </c>
      <c r="K88" s="1" t="n">
        <f aca="false">J88-I88</f>
        <v>0.0741332969479446</v>
      </c>
      <c r="L88" s="1" t="n">
        <v>0.744001794349238</v>
      </c>
    </row>
    <row r="89" customFormat="false" ht="15" hidden="false" customHeight="false" outlineLevel="0" collapsed="false">
      <c r="A89" s="1" t="s">
        <v>80</v>
      </c>
      <c r="B89" s="1" t="s">
        <v>81</v>
      </c>
      <c r="C89" s="1" t="s">
        <v>82</v>
      </c>
      <c r="D89" s="1" t="s">
        <v>19</v>
      </c>
      <c r="E89" s="1" t="s">
        <v>20</v>
      </c>
      <c r="F89" s="1" t="n">
        <v>34</v>
      </c>
      <c r="G89" s="2" t="s">
        <v>25</v>
      </c>
      <c r="H89" s="1" t="n">
        <v>0.1736</v>
      </c>
      <c r="I89" s="1" t="n">
        <v>0.241030940802272</v>
      </c>
      <c r="J89" s="1" t="n">
        <v>0.373749501563934</v>
      </c>
      <c r="K89" s="1" t="n">
        <f aca="false">J89-I89</f>
        <v>0.132718560761662</v>
      </c>
      <c r="L89" s="1" t="n">
        <v>0.744001794349238</v>
      </c>
    </row>
    <row r="90" customFormat="false" ht="15" hidden="false" customHeight="false" outlineLevel="0" collapsed="false">
      <c r="A90" s="1" t="s">
        <v>80</v>
      </c>
      <c r="B90" s="1" t="s">
        <v>81</v>
      </c>
      <c r="C90" s="1" t="s">
        <v>82</v>
      </c>
      <c r="D90" s="1" t="s">
        <v>19</v>
      </c>
      <c r="E90" s="1" t="s">
        <v>20</v>
      </c>
      <c r="F90" s="1" t="n">
        <v>34</v>
      </c>
      <c r="G90" s="2" t="s">
        <v>35</v>
      </c>
      <c r="H90" s="1" t="n">
        <v>0.165</v>
      </c>
      <c r="I90" s="1" t="n">
        <v>0.229113540556856</v>
      </c>
      <c r="J90" s="1" t="n">
        <v>0.34069124964093</v>
      </c>
      <c r="K90" s="1" t="n">
        <f aca="false">J90-I90</f>
        <v>0.111577709084074</v>
      </c>
      <c r="L90" s="1" t="n">
        <v>0.744001794349238</v>
      </c>
    </row>
    <row r="91" customFormat="false" ht="15" hidden="false" customHeight="false" outlineLevel="0" collapsed="false">
      <c r="A91" s="1" t="s">
        <v>80</v>
      </c>
      <c r="B91" s="1" t="s">
        <v>81</v>
      </c>
      <c r="C91" s="1" t="s">
        <v>82</v>
      </c>
      <c r="D91" s="1" t="s">
        <v>19</v>
      </c>
      <c r="E91" s="1" t="s">
        <v>20</v>
      </c>
      <c r="F91" s="1" t="n">
        <v>34</v>
      </c>
      <c r="G91" s="2" t="s">
        <v>39</v>
      </c>
      <c r="H91" s="1" t="n">
        <v>0.1604</v>
      </c>
      <c r="I91" s="1" t="n">
        <v>0.222696709743059</v>
      </c>
      <c r="J91" s="1" t="n">
        <v>0.309291869575235</v>
      </c>
      <c r="K91" s="1" t="n">
        <f aca="false">J91-I91</f>
        <v>0.0865951598321754</v>
      </c>
      <c r="L91" s="1" t="n">
        <v>0.744001794349238</v>
      </c>
    </row>
    <row r="92" customFormat="false" ht="15" hidden="false" customHeight="false" outlineLevel="0" collapsed="false">
      <c r="A92" s="1" t="s">
        <v>80</v>
      </c>
      <c r="B92" s="1" t="s">
        <v>81</v>
      </c>
      <c r="C92" s="1" t="s">
        <v>82</v>
      </c>
      <c r="D92" s="1" t="s">
        <v>19</v>
      </c>
      <c r="E92" s="1" t="s">
        <v>20</v>
      </c>
      <c r="F92" s="1" t="n">
        <v>34</v>
      </c>
      <c r="G92" s="2" t="s">
        <v>29</v>
      </c>
      <c r="H92" s="1" t="n">
        <v>0.1576</v>
      </c>
      <c r="I92" s="1" t="n">
        <v>0.218817150865722</v>
      </c>
      <c r="J92" s="1" t="n">
        <v>0.347444392074584</v>
      </c>
      <c r="K92" s="1" t="n">
        <f aca="false">J92-I92</f>
        <v>0.128627241208863</v>
      </c>
      <c r="L92" s="1" t="n">
        <v>0.744001794349238</v>
      </c>
    </row>
    <row r="93" customFormat="false" ht="15" hidden="false" customHeight="false" outlineLevel="0" collapsed="false">
      <c r="A93" s="1" t="s">
        <v>80</v>
      </c>
      <c r="B93" s="1" t="s">
        <v>81</v>
      </c>
      <c r="C93" s="1" t="s">
        <v>82</v>
      </c>
      <c r="D93" s="1" t="s">
        <v>19</v>
      </c>
      <c r="E93" s="1" t="s">
        <v>20</v>
      </c>
      <c r="F93" s="1" t="n">
        <v>34</v>
      </c>
      <c r="G93" s="2" t="s">
        <v>43</v>
      </c>
      <c r="H93" s="1" t="n">
        <v>0.1516</v>
      </c>
      <c r="I93" s="1" t="n">
        <v>0.210494996616307</v>
      </c>
      <c r="J93" s="1" t="n">
        <v>0.283480972580343</v>
      </c>
      <c r="K93" s="1" t="n">
        <f aca="false">J93-I93</f>
        <v>0.0729859759640365</v>
      </c>
      <c r="L93" s="1" t="n">
        <v>0.744001794349238</v>
      </c>
    </row>
    <row r="94" customFormat="false" ht="15" hidden="false" customHeight="false" outlineLevel="0" collapsed="false">
      <c r="A94" s="1" t="s">
        <v>83</v>
      </c>
      <c r="B94" s="1" t="s">
        <v>84</v>
      </c>
      <c r="C94" s="1" t="s">
        <v>85</v>
      </c>
      <c r="D94" s="1" t="s">
        <v>19</v>
      </c>
      <c r="E94" s="1" t="s">
        <v>20</v>
      </c>
      <c r="F94" s="1" t="n">
        <v>36</v>
      </c>
      <c r="G94" s="2" t="s">
        <v>25</v>
      </c>
      <c r="H94" s="1" t="n">
        <v>0.189</v>
      </c>
      <c r="I94" s="1" t="n">
        <v>0.307544715061917</v>
      </c>
      <c r="J94" s="1" t="n">
        <v>0.431941763690831</v>
      </c>
      <c r="K94" s="1" t="n">
        <f aca="false">J94-I94</f>
        <v>0.124397048628913</v>
      </c>
      <c r="L94" s="1" t="n">
        <v>0.777745722291328</v>
      </c>
    </row>
    <row r="95" customFormat="false" ht="15" hidden="false" customHeight="false" outlineLevel="0" collapsed="false">
      <c r="A95" s="1" t="s">
        <v>83</v>
      </c>
      <c r="B95" s="1" t="s">
        <v>84</v>
      </c>
      <c r="C95" s="1" t="s">
        <v>85</v>
      </c>
      <c r="D95" s="1" t="s">
        <v>19</v>
      </c>
      <c r="E95" s="1" t="s">
        <v>20</v>
      </c>
      <c r="F95" s="1" t="n">
        <v>36</v>
      </c>
      <c r="G95" s="2" t="s">
        <v>47</v>
      </c>
      <c r="H95" s="1" t="n">
        <v>0.1801</v>
      </c>
      <c r="I95" s="1" t="n">
        <v>0.293091881353065</v>
      </c>
      <c r="J95" s="1" t="n">
        <v>0.296963776002285</v>
      </c>
      <c r="K95" s="1" t="n">
        <f aca="false">J95-I95</f>
        <v>0.00387189464922022</v>
      </c>
      <c r="L95" s="1" t="n">
        <v>0.777745722291328</v>
      </c>
    </row>
    <row r="96" customFormat="false" ht="15" hidden="false" customHeight="false" outlineLevel="0" collapsed="false">
      <c r="A96" s="1" t="s">
        <v>83</v>
      </c>
      <c r="B96" s="1" t="s">
        <v>84</v>
      </c>
      <c r="C96" s="1" t="s">
        <v>85</v>
      </c>
      <c r="D96" s="1" t="s">
        <v>19</v>
      </c>
      <c r="E96" s="1" t="s">
        <v>20</v>
      </c>
      <c r="F96" s="1" t="n">
        <v>36</v>
      </c>
      <c r="G96" s="2" t="s">
        <v>29</v>
      </c>
      <c r="H96" s="1" t="n">
        <v>0.1661</v>
      </c>
      <c r="I96" s="1" t="n">
        <v>0.270352317799689</v>
      </c>
      <c r="J96" s="1" t="n">
        <v>0.329233818663705</v>
      </c>
      <c r="K96" s="1" t="n">
        <f aca="false">J96-I96</f>
        <v>0.0588815008640152</v>
      </c>
      <c r="L96" s="1" t="n">
        <v>0.777745722291328</v>
      </c>
    </row>
    <row r="97" customFormat="false" ht="15" hidden="false" customHeight="false" outlineLevel="0" collapsed="false">
      <c r="A97" s="1" t="s">
        <v>83</v>
      </c>
      <c r="B97" s="1" t="s">
        <v>84</v>
      </c>
      <c r="C97" s="1" t="s">
        <v>85</v>
      </c>
      <c r="D97" s="1" t="s">
        <v>19</v>
      </c>
      <c r="E97" s="1" t="s">
        <v>20</v>
      </c>
      <c r="F97" s="1" t="n">
        <v>36</v>
      </c>
      <c r="G97" s="2" t="s">
        <v>21</v>
      </c>
      <c r="H97" s="1" t="n">
        <v>0.1573</v>
      </c>
      <c r="I97" s="1" t="n">
        <v>0.256058253805192</v>
      </c>
      <c r="J97" s="1" t="n">
        <v>0.272148150430811</v>
      </c>
      <c r="K97" s="1" t="n">
        <f aca="false">J97-I97</f>
        <v>0.0160898966256198</v>
      </c>
      <c r="L97" s="1" t="n">
        <v>0.777745722291328</v>
      </c>
    </row>
    <row r="98" customFormat="false" ht="15" hidden="false" customHeight="false" outlineLevel="0" collapsed="false">
      <c r="A98" s="1" t="s">
        <v>83</v>
      </c>
      <c r="B98" s="1" t="s">
        <v>84</v>
      </c>
      <c r="C98" s="1" t="s">
        <v>85</v>
      </c>
      <c r="D98" s="1" t="s">
        <v>19</v>
      </c>
      <c r="E98" s="1" t="s">
        <v>20</v>
      </c>
      <c r="F98" s="1" t="n">
        <v>36</v>
      </c>
      <c r="G98" s="2" t="s">
        <v>35</v>
      </c>
      <c r="H98" s="1" t="n">
        <v>0.1552</v>
      </c>
      <c r="I98" s="1" t="n">
        <v>0.252562332701945</v>
      </c>
      <c r="J98" s="1" t="n">
        <v>0.270177835247041</v>
      </c>
      <c r="K98" s="1" t="n">
        <f aca="false">J98-I98</f>
        <v>0.0176155025450959</v>
      </c>
      <c r="L98" s="1" t="n">
        <v>0.777745722291328</v>
      </c>
    </row>
    <row r="99" customFormat="false" ht="15" hidden="false" customHeight="false" outlineLevel="0" collapsed="false">
      <c r="A99" s="1" t="s">
        <v>83</v>
      </c>
      <c r="B99" s="1" t="s">
        <v>84</v>
      </c>
      <c r="C99" s="1" t="s">
        <v>85</v>
      </c>
      <c r="D99" s="1" t="s">
        <v>19</v>
      </c>
      <c r="E99" s="1" t="s">
        <v>20</v>
      </c>
      <c r="F99" s="1" t="n">
        <v>36</v>
      </c>
      <c r="G99" s="2" t="s">
        <v>34</v>
      </c>
      <c r="H99" s="1" t="n">
        <v>0.1523</v>
      </c>
      <c r="I99" s="1" t="n">
        <v>0.247890760238531</v>
      </c>
      <c r="J99" s="1" t="n">
        <v>0.292823581269875</v>
      </c>
      <c r="K99" s="1" t="n">
        <f aca="false">J99-I99</f>
        <v>0.0449328210313439</v>
      </c>
      <c r="L99" s="1" t="n">
        <v>0.777745722291328</v>
      </c>
    </row>
    <row r="100" customFormat="false" ht="15" hidden="false" customHeight="false" outlineLevel="0" collapsed="false">
      <c r="A100" s="1" t="s">
        <v>86</v>
      </c>
      <c r="B100" s="1" t="s">
        <v>87</v>
      </c>
      <c r="C100" s="1" t="s">
        <v>88</v>
      </c>
      <c r="D100" s="1" t="s">
        <v>19</v>
      </c>
      <c r="E100" s="1" t="s">
        <v>20</v>
      </c>
      <c r="F100" s="1" t="n">
        <v>38</v>
      </c>
      <c r="G100" s="2" t="s">
        <v>25</v>
      </c>
      <c r="H100" s="1" t="n">
        <v>0.2454</v>
      </c>
      <c r="I100" s="1" t="n">
        <v>0.33493806638539</v>
      </c>
      <c r="J100" s="1" t="n">
        <v>0.338830635176178</v>
      </c>
      <c r="K100" s="1" t="n">
        <f aca="false">J100-I100</f>
        <v>0.00389256879078803</v>
      </c>
      <c r="L100" s="1" t="n">
        <v>0.784404877175123</v>
      </c>
    </row>
    <row r="101" customFormat="false" ht="15" hidden="false" customHeight="false" outlineLevel="0" collapsed="false">
      <c r="A101" s="1" t="s">
        <v>86</v>
      </c>
      <c r="B101" s="1" t="s">
        <v>87</v>
      </c>
      <c r="C101" s="1" t="s">
        <v>88</v>
      </c>
      <c r="D101" s="1" t="s">
        <v>19</v>
      </c>
      <c r="E101" s="1" t="s">
        <v>20</v>
      </c>
      <c r="F101" s="1" t="n">
        <v>38</v>
      </c>
      <c r="G101" s="2" t="s">
        <v>29</v>
      </c>
      <c r="H101" s="1" t="n">
        <v>0.1807</v>
      </c>
      <c r="I101" s="1" t="n">
        <v>0.246660233766446</v>
      </c>
      <c r="J101" s="1" t="n">
        <v>0.283324983094445</v>
      </c>
      <c r="K101" s="1" t="n">
        <f aca="false">J101-I101</f>
        <v>0.0366647493279989</v>
      </c>
      <c r="L101" s="1" t="n">
        <v>0.784404877175123</v>
      </c>
    </row>
    <row r="102" customFormat="false" ht="15" hidden="false" customHeight="false" outlineLevel="0" collapsed="false">
      <c r="A102" s="1" t="s">
        <v>86</v>
      </c>
      <c r="B102" s="1" t="s">
        <v>87</v>
      </c>
      <c r="C102" s="1" t="s">
        <v>88</v>
      </c>
      <c r="D102" s="1" t="s">
        <v>19</v>
      </c>
      <c r="E102" s="1" t="s">
        <v>20</v>
      </c>
      <c r="F102" s="1" t="n">
        <v>38</v>
      </c>
      <c r="G102" s="2" t="s">
        <v>43</v>
      </c>
      <c r="H102" s="1" t="n">
        <v>0.1673</v>
      </c>
      <c r="I102" s="1" t="n">
        <v>0.228417790429768</v>
      </c>
      <c r="J102" s="1" t="n">
        <v>0.28220081711762</v>
      </c>
      <c r="K102" s="1" t="n">
        <f aca="false">J102-I102</f>
        <v>0.0537830266878521</v>
      </c>
      <c r="L102" s="1" t="n">
        <v>0.784404877175123</v>
      </c>
    </row>
    <row r="103" customFormat="false" ht="15" hidden="false" customHeight="false" outlineLevel="0" collapsed="false">
      <c r="A103" s="1" t="s">
        <v>86</v>
      </c>
      <c r="B103" s="1" t="s">
        <v>87</v>
      </c>
      <c r="C103" s="1" t="s">
        <v>88</v>
      </c>
      <c r="D103" s="1" t="s">
        <v>19</v>
      </c>
      <c r="E103" s="1" t="s">
        <v>20</v>
      </c>
      <c r="F103" s="1" t="n">
        <v>38</v>
      </c>
      <c r="G103" s="2" t="s">
        <v>51</v>
      </c>
      <c r="H103" s="1" t="n">
        <v>0.1534</v>
      </c>
      <c r="I103" s="1" t="n">
        <v>0.2094548565397</v>
      </c>
      <c r="J103" s="1" t="n">
        <v>0.2832149230038</v>
      </c>
      <c r="K103" s="1" t="n">
        <f aca="false">J103-I103</f>
        <v>0.0737600664641006</v>
      </c>
      <c r="L103" s="1" t="n">
        <v>0.784404877175123</v>
      </c>
    </row>
    <row r="104" customFormat="false" ht="15" hidden="false" customHeight="false" outlineLevel="0" collapsed="false">
      <c r="A104" s="1" t="s">
        <v>86</v>
      </c>
      <c r="B104" s="1" t="s">
        <v>87</v>
      </c>
      <c r="C104" s="1" t="s">
        <v>88</v>
      </c>
      <c r="D104" s="1" t="s">
        <v>19</v>
      </c>
      <c r="E104" s="1" t="s">
        <v>20</v>
      </c>
      <c r="F104" s="1" t="n">
        <v>38</v>
      </c>
      <c r="G104" s="2" t="s">
        <v>39</v>
      </c>
      <c r="H104" s="1" t="n">
        <v>0.1532</v>
      </c>
      <c r="I104" s="1" t="n">
        <v>0.209112161993719</v>
      </c>
      <c r="J104" s="1" t="n">
        <v>0.255400391237273</v>
      </c>
      <c r="K104" s="1" t="n">
        <f aca="false">J104-I104</f>
        <v>0.0462882292435542</v>
      </c>
      <c r="L104" s="1" t="n">
        <v>0.784404877175123</v>
      </c>
    </row>
    <row r="105" customFormat="false" ht="15" hidden="false" customHeight="false" outlineLevel="0" collapsed="false">
      <c r="A105" s="1" t="s">
        <v>86</v>
      </c>
      <c r="B105" s="1" t="s">
        <v>87</v>
      </c>
      <c r="C105" s="1" t="s">
        <v>88</v>
      </c>
      <c r="D105" s="1" t="s">
        <v>19</v>
      </c>
      <c r="E105" s="1" t="s">
        <v>20</v>
      </c>
      <c r="F105" s="1" t="n">
        <v>38</v>
      </c>
      <c r="G105" s="2" t="s">
        <v>21</v>
      </c>
      <c r="H105" s="1" t="n">
        <v>0.1</v>
      </c>
      <c r="I105" s="1" t="n">
        <v>0.198397710901732</v>
      </c>
      <c r="J105" s="1" t="n">
        <v>0.262922033511512</v>
      </c>
      <c r="K105" s="1" t="n">
        <f aca="false">J105-I105</f>
        <v>0.0645243226097802</v>
      </c>
      <c r="L105" s="1" t="n">
        <v>0.784404877175123</v>
      </c>
    </row>
    <row r="106" customFormat="false" ht="15" hidden="false" customHeight="false" outlineLevel="0" collapsed="false">
      <c r="A106" s="1" t="s">
        <v>89</v>
      </c>
      <c r="B106" s="1" t="s">
        <v>90</v>
      </c>
      <c r="C106" s="1" t="s">
        <v>91</v>
      </c>
      <c r="D106" s="1" t="s">
        <v>19</v>
      </c>
      <c r="E106" s="1" t="s">
        <v>20</v>
      </c>
      <c r="F106" s="1" t="n">
        <v>40</v>
      </c>
      <c r="G106" s="2" t="s">
        <v>25</v>
      </c>
      <c r="H106" s="1" t="n">
        <v>0.1963</v>
      </c>
      <c r="I106" s="1" t="n">
        <v>0.302898438722237</v>
      </c>
      <c r="J106" s="1" t="n">
        <v>0.409102095715599</v>
      </c>
      <c r="K106" s="1" t="n">
        <f aca="false">J106-I106</f>
        <v>0.106203656993362</v>
      </c>
      <c r="L106" s="1" t="n">
        <v>0.646558702401536</v>
      </c>
    </row>
    <row r="107" customFormat="false" ht="15" hidden="false" customHeight="false" outlineLevel="0" collapsed="false">
      <c r="A107" s="1" t="s">
        <v>89</v>
      </c>
      <c r="B107" s="1" t="s">
        <v>90</v>
      </c>
      <c r="C107" s="1" t="s">
        <v>91</v>
      </c>
      <c r="D107" s="1" t="s">
        <v>19</v>
      </c>
      <c r="E107" s="1" t="s">
        <v>20</v>
      </c>
      <c r="F107" s="1" t="n">
        <v>40</v>
      </c>
      <c r="G107" s="2" t="s">
        <v>39</v>
      </c>
      <c r="H107" s="1" t="n">
        <v>0.174</v>
      </c>
      <c r="I107" s="1" t="n">
        <v>0.2684661672265</v>
      </c>
      <c r="J107" s="1" t="n">
        <v>0.375271631387978</v>
      </c>
      <c r="K107" s="1" t="n">
        <f aca="false">J107-I107</f>
        <v>0.106805464161478</v>
      </c>
      <c r="L107" s="1" t="n">
        <v>0.646558702401536</v>
      </c>
    </row>
    <row r="108" customFormat="false" ht="15" hidden="false" customHeight="false" outlineLevel="0" collapsed="false">
      <c r="A108" s="1" t="s">
        <v>89</v>
      </c>
      <c r="B108" s="1" t="s">
        <v>90</v>
      </c>
      <c r="C108" s="1" t="s">
        <v>91</v>
      </c>
      <c r="D108" s="1" t="s">
        <v>19</v>
      </c>
      <c r="E108" s="1" t="s">
        <v>20</v>
      </c>
      <c r="F108" s="1" t="n">
        <v>40</v>
      </c>
      <c r="G108" s="2" t="s">
        <v>29</v>
      </c>
      <c r="H108" s="1" t="n">
        <v>0.1639</v>
      </c>
      <c r="I108" s="1" t="n">
        <v>0.252853582737255</v>
      </c>
      <c r="J108" s="1" t="n">
        <v>0.384712858896716</v>
      </c>
      <c r="K108" s="1" t="n">
        <f aca="false">J108-I108</f>
        <v>0.131859276159461</v>
      </c>
      <c r="L108" s="1" t="n">
        <v>0.646558702401536</v>
      </c>
    </row>
    <row r="109" customFormat="false" ht="15" hidden="false" customHeight="false" outlineLevel="0" collapsed="false">
      <c r="A109" s="1" t="s">
        <v>89</v>
      </c>
      <c r="B109" s="1" t="s">
        <v>90</v>
      </c>
      <c r="C109" s="1" t="s">
        <v>91</v>
      </c>
      <c r="D109" s="1" t="s">
        <v>19</v>
      </c>
      <c r="E109" s="1" t="s">
        <v>20</v>
      </c>
      <c r="F109" s="1" t="n">
        <v>40</v>
      </c>
      <c r="G109" s="2" t="s">
        <v>21</v>
      </c>
      <c r="H109" s="1" t="n">
        <v>0.1598</v>
      </c>
      <c r="I109" s="1" t="n">
        <v>0.246643795580565</v>
      </c>
      <c r="J109" s="1" t="n">
        <v>0.368860795410507</v>
      </c>
      <c r="K109" s="1" t="n">
        <f aca="false">J109-I109</f>
        <v>0.122216999829942</v>
      </c>
      <c r="L109" s="1" t="n">
        <v>0.646558702401536</v>
      </c>
    </row>
    <row r="110" customFormat="false" ht="15" hidden="false" customHeight="false" outlineLevel="0" collapsed="false">
      <c r="A110" s="1" t="s">
        <v>89</v>
      </c>
      <c r="B110" s="1" t="s">
        <v>90</v>
      </c>
      <c r="C110" s="1" t="s">
        <v>91</v>
      </c>
      <c r="D110" s="1" t="s">
        <v>19</v>
      </c>
      <c r="E110" s="1" t="s">
        <v>20</v>
      </c>
      <c r="F110" s="1" t="n">
        <v>40</v>
      </c>
      <c r="G110" s="2" t="s">
        <v>34</v>
      </c>
      <c r="H110" s="1" t="n">
        <v>0.1562</v>
      </c>
      <c r="I110" s="1" t="n">
        <v>0.241107488608954</v>
      </c>
      <c r="J110" s="1" t="n">
        <v>0.359895797070373</v>
      </c>
      <c r="K110" s="1" t="n">
        <f aca="false">J110-I110</f>
        <v>0.11878830846142</v>
      </c>
      <c r="L110" s="1" t="n">
        <v>0.646558702401536</v>
      </c>
    </row>
    <row r="111" customFormat="false" ht="15" hidden="false" customHeight="false" outlineLevel="0" collapsed="false">
      <c r="A111" s="1" t="s">
        <v>89</v>
      </c>
      <c r="B111" s="1" t="s">
        <v>90</v>
      </c>
      <c r="C111" s="1" t="s">
        <v>91</v>
      </c>
      <c r="D111" s="1" t="s">
        <v>19</v>
      </c>
      <c r="E111" s="1" t="s">
        <v>20</v>
      </c>
      <c r="F111" s="1" t="n">
        <v>40</v>
      </c>
      <c r="G111" s="2" t="s">
        <v>43</v>
      </c>
      <c r="H111" s="1" t="n">
        <v>0.1498</v>
      </c>
      <c r="I111" s="1" t="n">
        <v>0.231121361122962</v>
      </c>
      <c r="J111" s="1" t="n">
        <v>0.290467416375995</v>
      </c>
      <c r="K111" s="1" t="n">
        <f aca="false">J111-I111</f>
        <v>0.0593460552530327</v>
      </c>
      <c r="L111" s="1" t="n">
        <v>0.646558702401536</v>
      </c>
    </row>
    <row r="112" customFormat="false" ht="15" hidden="false" customHeight="false" outlineLevel="0" collapsed="false">
      <c r="A112" s="1" t="s">
        <v>92</v>
      </c>
      <c r="B112" s="1" t="s">
        <v>93</v>
      </c>
      <c r="C112" s="1" t="s">
        <v>94</v>
      </c>
      <c r="D112" s="1" t="s">
        <v>19</v>
      </c>
      <c r="E112" s="1" t="s">
        <v>20</v>
      </c>
      <c r="F112" s="1" t="n">
        <v>42</v>
      </c>
      <c r="G112" s="2" t="s">
        <v>29</v>
      </c>
      <c r="H112" s="1" t="n">
        <v>0.1797</v>
      </c>
      <c r="I112" s="1" t="n">
        <v>0.373817084443865</v>
      </c>
      <c r="J112" s="1" t="n">
        <v>0.363627947409906</v>
      </c>
      <c r="K112" s="1" t="n">
        <f aca="false">J112-I112</f>
        <v>-0.0101891370339586</v>
      </c>
      <c r="L112" s="1" t="n">
        <v>0.64627244396815</v>
      </c>
    </row>
    <row r="113" customFormat="false" ht="15" hidden="false" customHeight="false" outlineLevel="0" collapsed="false">
      <c r="A113" s="1" t="s">
        <v>92</v>
      </c>
      <c r="B113" s="1" t="s">
        <v>93</v>
      </c>
      <c r="C113" s="1" t="s">
        <v>94</v>
      </c>
      <c r="D113" s="1" t="s">
        <v>19</v>
      </c>
      <c r="E113" s="1" t="s">
        <v>20</v>
      </c>
      <c r="F113" s="1" t="n">
        <v>42</v>
      </c>
      <c r="G113" s="2" t="s">
        <v>39</v>
      </c>
      <c r="H113" s="1" t="n">
        <v>0.1792</v>
      </c>
      <c r="I113" s="1" t="n">
        <v>0.372764266199437</v>
      </c>
      <c r="J113" s="1" t="n">
        <v>0.305678966317402</v>
      </c>
      <c r="K113" s="1" t="n">
        <f aca="false">J113-I113</f>
        <v>-0.0670852998820356</v>
      </c>
      <c r="L113" s="1" t="n">
        <v>0.64627244396815</v>
      </c>
    </row>
    <row r="114" customFormat="false" ht="15" hidden="false" customHeight="false" outlineLevel="0" collapsed="false">
      <c r="A114" s="1" t="s">
        <v>92</v>
      </c>
      <c r="B114" s="1" t="s">
        <v>93</v>
      </c>
      <c r="C114" s="1" t="s">
        <v>94</v>
      </c>
      <c r="D114" s="1" t="s">
        <v>19</v>
      </c>
      <c r="E114" s="1" t="s">
        <v>20</v>
      </c>
      <c r="F114" s="1" t="n">
        <v>42</v>
      </c>
      <c r="G114" s="2" t="s">
        <v>25</v>
      </c>
      <c r="H114" s="1" t="n">
        <v>0.1703</v>
      </c>
      <c r="I114" s="1" t="n">
        <v>0.354125425554301</v>
      </c>
      <c r="J114" s="1" t="n">
        <v>0.326634551208806</v>
      </c>
      <c r="K114" s="1" t="n">
        <f aca="false">J114-I114</f>
        <v>-0.0274908743454948</v>
      </c>
      <c r="L114" s="1" t="n">
        <v>0.64627244396815</v>
      </c>
    </row>
    <row r="115" customFormat="false" ht="15" hidden="false" customHeight="false" outlineLevel="0" collapsed="false">
      <c r="A115" s="1" t="s">
        <v>92</v>
      </c>
      <c r="B115" s="1" t="s">
        <v>93</v>
      </c>
      <c r="C115" s="1" t="s">
        <v>94</v>
      </c>
      <c r="D115" s="1" t="s">
        <v>19</v>
      </c>
      <c r="E115" s="1" t="s">
        <v>20</v>
      </c>
      <c r="F115" s="1" t="n">
        <v>42</v>
      </c>
      <c r="G115" s="2" t="s">
        <v>34</v>
      </c>
      <c r="H115" s="1" t="n">
        <v>0.163</v>
      </c>
      <c r="I115" s="1" t="n">
        <v>0.338984241363359</v>
      </c>
      <c r="J115" s="1" t="n">
        <v>0.312525665420263</v>
      </c>
      <c r="K115" s="1" t="n">
        <f aca="false">J115-I115</f>
        <v>-0.0264585759430968</v>
      </c>
      <c r="L115" s="1" t="n">
        <v>0.64627244396815</v>
      </c>
    </row>
    <row r="116" customFormat="false" ht="15" hidden="false" customHeight="false" outlineLevel="0" collapsed="false">
      <c r="A116" s="1" t="s">
        <v>92</v>
      </c>
      <c r="B116" s="1" t="s">
        <v>93</v>
      </c>
      <c r="C116" s="1" t="s">
        <v>94</v>
      </c>
      <c r="D116" s="1" t="s">
        <v>19</v>
      </c>
      <c r="E116" s="1" t="s">
        <v>20</v>
      </c>
      <c r="F116" s="1" t="n">
        <v>42</v>
      </c>
      <c r="G116" s="2" t="s">
        <v>21</v>
      </c>
      <c r="H116" s="1" t="n">
        <v>0.1578</v>
      </c>
      <c r="I116" s="1" t="n">
        <v>0.32825188741167</v>
      </c>
      <c r="J116" s="1" t="n">
        <v>0.28420477360585</v>
      </c>
      <c r="K116" s="1" t="n">
        <f aca="false">J116-I116</f>
        <v>-0.0440471138058196</v>
      </c>
      <c r="L116" s="1" t="n">
        <v>0.64627244396815</v>
      </c>
    </row>
    <row r="117" customFormat="false" ht="15" hidden="false" customHeight="false" outlineLevel="0" collapsed="false">
      <c r="A117" s="1" t="s">
        <v>92</v>
      </c>
      <c r="B117" s="1" t="s">
        <v>93</v>
      </c>
      <c r="C117" s="1" t="s">
        <v>94</v>
      </c>
      <c r="D117" s="1" t="s">
        <v>19</v>
      </c>
      <c r="E117" s="1" t="s">
        <v>20</v>
      </c>
      <c r="F117" s="1" t="n">
        <v>42</v>
      </c>
      <c r="G117" s="2" t="s">
        <v>35</v>
      </c>
      <c r="H117" s="1" t="n">
        <v>0.1499</v>
      </c>
      <c r="I117" s="1" t="n">
        <v>0.311736093497957</v>
      </c>
      <c r="J117" s="1" t="n">
        <v>0.308402745909988</v>
      </c>
      <c r="K117" s="1" t="n">
        <f aca="false">J117-I117</f>
        <v>-0.00333334758796849</v>
      </c>
      <c r="L117" s="1" t="n">
        <v>0.64627244396815</v>
      </c>
    </row>
    <row r="118" customFormat="false" ht="15" hidden="false" customHeight="false" outlineLevel="0" collapsed="false">
      <c r="A118" s="1" t="s">
        <v>95</v>
      </c>
      <c r="B118" s="1" t="s">
        <v>96</v>
      </c>
      <c r="C118" s="1" t="s">
        <v>97</v>
      </c>
      <c r="D118" s="1" t="s">
        <v>19</v>
      </c>
      <c r="E118" s="1" t="s">
        <v>20</v>
      </c>
      <c r="F118" s="1" t="n">
        <v>44</v>
      </c>
      <c r="G118" s="2" t="s">
        <v>29</v>
      </c>
      <c r="H118" s="1" t="n">
        <v>0.178</v>
      </c>
      <c r="I118" s="1" t="n">
        <v>0.359105295123287</v>
      </c>
      <c r="J118" s="1" t="n">
        <v>0.312777303606058</v>
      </c>
      <c r="K118" s="1" t="n">
        <f aca="false">J118-I118</f>
        <v>-0.0463279915172285</v>
      </c>
      <c r="L118" s="1" t="n">
        <v>0.72738343602134</v>
      </c>
    </row>
    <row r="119" customFormat="false" ht="15" hidden="false" customHeight="false" outlineLevel="0" collapsed="false">
      <c r="A119" s="1" t="s">
        <v>95</v>
      </c>
      <c r="B119" s="1" t="s">
        <v>96</v>
      </c>
      <c r="C119" s="1" t="s">
        <v>97</v>
      </c>
      <c r="D119" s="1" t="s">
        <v>19</v>
      </c>
      <c r="E119" s="1" t="s">
        <v>20</v>
      </c>
      <c r="F119" s="1" t="n">
        <v>44</v>
      </c>
      <c r="G119" s="2" t="s">
        <v>21</v>
      </c>
      <c r="H119" s="1" t="n">
        <v>0.168</v>
      </c>
      <c r="I119" s="1" t="n">
        <v>0.338941438012546</v>
      </c>
      <c r="J119" s="1" t="n">
        <v>0.360022455443746</v>
      </c>
      <c r="K119" s="1" t="n">
        <f aca="false">J119-I119</f>
        <v>0.0210810174311993</v>
      </c>
      <c r="L119" s="1" t="n">
        <v>0.72738343602134</v>
      </c>
    </row>
    <row r="120" customFormat="false" ht="15" hidden="false" customHeight="false" outlineLevel="0" collapsed="false">
      <c r="A120" s="1" t="s">
        <v>95</v>
      </c>
      <c r="B120" s="1" t="s">
        <v>96</v>
      </c>
      <c r="C120" s="1" t="s">
        <v>97</v>
      </c>
      <c r="D120" s="1" t="s">
        <v>19</v>
      </c>
      <c r="E120" s="1" t="s">
        <v>20</v>
      </c>
      <c r="F120" s="1" t="n">
        <v>44</v>
      </c>
      <c r="G120" s="2" t="s">
        <v>39</v>
      </c>
      <c r="H120" s="1" t="n">
        <v>0.1669</v>
      </c>
      <c r="I120" s="1" t="n">
        <v>0.336693406306069</v>
      </c>
      <c r="J120" s="1" t="n">
        <v>0.344100668722454</v>
      </c>
      <c r="K120" s="1" t="n">
        <f aca="false">J120-I120</f>
        <v>0.00740726241638517</v>
      </c>
      <c r="L120" s="1" t="n">
        <v>0.72738343602134</v>
      </c>
    </row>
    <row r="121" customFormat="false" ht="15" hidden="false" customHeight="false" outlineLevel="0" collapsed="false">
      <c r="A121" s="1" t="s">
        <v>95</v>
      </c>
      <c r="B121" s="1" t="s">
        <v>96</v>
      </c>
      <c r="C121" s="1" t="s">
        <v>97</v>
      </c>
      <c r="D121" s="1" t="s">
        <v>19</v>
      </c>
      <c r="E121" s="1" t="s">
        <v>20</v>
      </c>
      <c r="F121" s="1" t="n">
        <v>44</v>
      </c>
      <c r="G121" s="2" t="s">
        <v>34</v>
      </c>
      <c r="H121" s="1" t="n">
        <v>0.1655</v>
      </c>
      <c r="I121" s="1" t="n">
        <v>0.333883757067569</v>
      </c>
      <c r="J121" s="1" t="n">
        <v>0.338831970021381</v>
      </c>
      <c r="K121" s="1" t="n">
        <f aca="false">J121-I121</f>
        <v>0.0049482129538122</v>
      </c>
      <c r="L121" s="1" t="n">
        <v>0.72738343602134</v>
      </c>
    </row>
    <row r="122" customFormat="false" ht="15" hidden="false" customHeight="false" outlineLevel="0" collapsed="false">
      <c r="A122" s="1" t="s">
        <v>95</v>
      </c>
      <c r="B122" s="1" t="s">
        <v>96</v>
      </c>
      <c r="C122" s="1" t="s">
        <v>97</v>
      </c>
      <c r="D122" s="1" t="s">
        <v>19</v>
      </c>
      <c r="E122" s="1" t="s">
        <v>20</v>
      </c>
      <c r="F122" s="1" t="n">
        <v>44</v>
      </c>
      <c r="G122" s="2" t="s">
        <v>35</v>
      </c>
      <c r="H122" s="1" t="n">
        <v>0.1631</v>
      </c>
      <c r="I122" s="1" t="n">
        <v>0.3290482522634</v>
      </c>
      <c r="J122" s="1" t="n">
        <v>0.32871808049405</v>
      </c>
      <c r="K122" s="1" t="n">
        <f aca="false">J122-I122</f>
        <v>-0.000330171769350296</v>
      </c>
      <c r="L122" s="1" t="n">
        <v>0.72738343602134</v>
      </c>
    </row>
    <row r="123" customFormat="false" ht="15" hidden="false" customHeight="false" outlineLevel="0" collapsed="false">
      <c r="A123" s="1" t="s">
        <v>95</v>
      </c>
      <c r="B123" s="1" t="s">
        <v>96</v>
      </c>
      <c r="C123" s="1" t="s">
        <v>97</v>
      </c>
      <c r="D123" s="1" t="s">
        <v>19</v>
      </c>
      <c r="E123" s="1" t="s">
        <v>20</v>
      </c>
      <c r="F123" s="1" t="n">
        <v>44</v>
      </c>
      <c r="G123" s="2" t="s">
        <v>25</v>
      </c>
      <c r="H123" s="1" t="n">
        <v>0.1583</v>
      </c>
      <c r="I123" s="1" t="n">
        <v>0.319292864431633</v>
      </c>
      <c r="J123" s="1" t="n">
        <v>0.364681626203535</v>
      </c>
      <c r="K123" s="1" t="n">
        <f aca="false">J123-I123</f>
        <v>0.0453887617719024</v>
      </c>
      <c r="L123" s="1" t="n">
        <v>0.72738343602134</v>
      </c>
    </row>
    <row r="124" customFormat="false" ht="15" hidden="false" customHeight="false" outlineLevel="0" collapsed="false">
      <c r="A124" s="1" t="s">
        <v>98</v>
      </c>
      <c r="B124" s="1" t="s">
        <v>99</v>
      </c>
      <c r="C124" s="1" t="s">
        <v>100</v>
      </c>
      <c r="D124" s="1" t="s">
        <v>19</v>
      </c>
      <c r="E124" s="1" t="s">
        <v>20</v>
      </c>
      <c r="F124" s="1" t="n">
        <v>46</v>
      </c>
      <c r="G124" s="2" t="s">
        <v>25</v>
      </c>
      <c r="H124" s="1" t="n">
        <v>0.1839</v>
      </c>
      <c r="I124" s="1" t="n">
        <v>0.322056035835714</v>
      </c>
      <c r="J124" s="1" t="n">
        <v>0.386151202277088</v>
      </c>
      <c r="K124" s="1" t="n">
        <f aca="false">J124-I124</f>
        <v>0.0640951664413742</v>
      </c>
      <c r="L124" s="1" t="n">
        <v>0.81572575422772</v>
      </c>
    </row>
    <row r="125" customFormat="false" ht="15" hidden="false" customHeight="false" outlineLevel="0" collapsed="false">
      <c r="A125" s="1" t="s">
        <v>98</v>
      </c>
      <c r="B125" s="1" t="s">
        <v>99</v>
      </c>
      <c r="C125" s="1" t="s">
        <v>100</v>
      </c>
      <c r="D125" s="1" t="s">
        <v>19</v>
      </c>
      <c r="E125" s="1" t="s">
        <v>20</v>
      </c>
      <c r="F125" s="1" t="n">
        <v>46</v>
      </c>
      <c r="G125" s="2" t="s">
        <v>21</v>
      </c>
      <c r="H125" s="1" t="n">
        <v>0.1744</v>
      </c>
      <c r="I125" s="1" t="n">
        <v>0.305350153806457</v>
      </c>
      <c r="J125" s="1" t="n">
        <v>0.353130944634357</v>
      </c>
      <c r="K125" s="1" t="n">
        <f aca="false">J125-I125</f>
        <v>0.0477807908278998</v>
      </c>
      <c r="L125" s="1" t="n">
        <v>0.81572575422772</v>
      </c>
    </row>
    <row r="126" customFormat="false" ht="15" hidden="false" customHeight="false" outlineLevel="0" collapsed="false">
      <c r="A126" s="1" t="s">
        <v>98</v>
      </c>
      <c r="B126" s="1" t="s">
        <v>99</v>
      </c>
      <c r="C126" s="1" t="s">
        <v>100</v>
      </c>
      <c r="D126" s="1" t="s">
        <v>19</v>
      </c>
      <c r="E126" s="1" t="s">
        <v>20</v>
      </c>
      <c r="F126" s="1" t="n">
        <v>46</v>
      </c>
      <c r="G126" s="2" t="s">
        <v>29</v>
      </c>
      <c r="H126" s="1" t="n">
        <v>0.1616</v>
      </c>
      <c r="I126" s="1" t="n">
        <v>0.283048516713444</v>
      </c>
      <c r="J126" s="1" t="n">
        <v>0.366468199507273</v>
      </c>
      <c r="K126" s="1" t="n">
        <f aca="false">J126-I126</f>
        <v>0.0834196827938296</v>
      </c>
      <c r="L126" s="1" t="n">
        <v>0.81572575422772</v>
      </c>
    </row>
    <row r="127" customFormat="false" ht="15" hidden="false" customHeight="false" outlineLevel="0" collapsed="false">
      <c r="A127" s="1" t="s">
        <v>98</v>
      </c>
      <c r="B127" s="1" t="s">
        <v>99</v>
      </c>
      <c r="C127" s="1" t="s">
        <v>100</v>
      </c>
      <c r="D127" s="1" t="s">
        <v>19</v>
      </c>
      <c r="E127" s="1" t="s">
        <v>20</v>
      </c>
      <c r="F127" s="1" t="n">
        <v>46</v>
      </c>
      <c r="G127" s="2" t="s">
        <v>43</v>
      </c>
      <c r="H127" s="1" t="n">
        <v>0.1609</v>
      </c>
      <c r="I127" s="1" t="n">
        <v>0.281836662463781</v>
      </c>
      <c r="J127" s="1" t="n">
        <v>0.335956228801919</v>
      </c>
      <c r="K127" s="1" t="n">
        <f aca="false">J127-I127</f>
        <v>0.0541195663381382</v>
      </c>
      <c r="L127" s="1" t="n">
        <v>0.81572575422772</v>
      </c>
    </row>
    <row r="128" customFormat="false" ht="15" hidden="false" customHeight="false" outlineLevel="0" collapsed="false">
      <c r="A128" s="1" t="s">
        <v>98</v>
      </c>
      <c r="B128" s="1" t="s">
        <v>99</v>
      </c>
      <c r="C128" s="1" t="s">
        <v>100</v>
      </c>
      <c r="D128" s="1" t="s">
        <v>19</v>
      </c>
      <c r="E128" s="1" t="s">
        <v>20</v>
      </c>
      <c r="F128" s="1" t="n">
        <v>46</v>
      </c>
      <c r="G128" s="2" t="s">
        <v>39</v>
      </c>
      <c r="H128" s="1" t="n">
        <v>0.1599</v>
      </c>
      <c r="I128" s="1" t="n">
        <v>0.280040020263504</v>
      </c>
      <c r="J128" s="1" t="n">
        <v>0.34561195764128</v>
      </c>
      <c r="K128" s="1" t="n">
        <f aca="false">J128-I128</f>
        <v>0.065571937377776</v>
      </c>
      <c r="L128" s="1" t="n">
        <v>0.81572575422772</v>
      </c>
    </row>
    <row r="129" customFormat="false" ht="15" hidden="false" customHeight="false" outlineLevel="0" collapsed="false">
      <c r="A129" s="1" t="s">
        <v>98</v>
      </c>
      <c r="B129" s="1" t="s">
        <v>99</v>
      </c>
      <c r="C129" s="1" t="s">
        <v>100</v>
      </c>
      <c r="D129" s="1" t="s">
        <v>19</v>
      </c>
      <c r="E129" s="1" t="s">
        <v>20</v>
      </c>
      <c r="F129" s="1" t="n">
        <v>46</v>
      </c>
      <c r="G129" s="2" t="s">
        <v>35</v>
      </c>
      <c r="H129" s="1" t="n">
        <v>0.1593</v>
      </c>
      <c r="I129" s="1" t="n">
        <v>0.278949412999666</v>
      </c>
      <c r="J129" s="1" t="n">
        <v>0.316772601865765</v>
      </c>
      <c r="K129" s="1" t="n">
        <f aca="false">J129-I129</f>
        <v>0.0378231888660994</v>
      </c>
      <c r="L129" s="1" t="n">
        <v>0.81572575422772</v>
      </c>
    </row>
    <row r="130" customFormat="false" ht="15" hidden="false" customHeight="false" outlineLevel="0" collapsed="false">
      <c r="A130" s="1" t="s">
        <v>101</v>
      </c>
      <c r="B130" s="1" t="s">
        <v>102</v>
      </c>
      <c r="C130" s="1" t="s">
        <v>103</v>
      </c>
      <c r="D130" s="1" t="s">
        <v>19</v>
      </c>
      <c r="E130" s="1" t="s">
        <v>20</v>
      </c>
      <c r="F130" s="1" t="n">
        <v>48</v>
      </c>
      <c r="G130" s="2" t="s">
        <v>25</v>
      </c>
      <c r="H130" s="1" t="n">
        <v>0.1827</v>
      </c>
      <c r="I130" s="1" t="n">
        <v>0.361348141358137</v>
      </c>
      <c r="J130" s="1" t="n">
        <v>0.350122019898829</v>
      </c>
      <c r="K130" s="1" t="n">
        <f aca="false">J130-I130</f>
        <v>-0.0112261214593087</v>
      </c>
      <c r="L130" s="1" t="n">
        <v>0.672703350703668</v>
      </c>
    </row>
    <row r="131" customFormat="false" ht="15" hidden="false" customHeight="false" outlineLevel="0" collapsed="false">
      <c r="A131" s="1" t="s">
        <v>101</v>
      </c>
      <c r="B131" s="1" t="s">
        <v>102</v>
      </c>
      <c r="C131" s="1" t="s">
        <v>103</v>
      </c>
      <c r="D131" s="1" t="s">
        <v>19</v>
      </c>
      <c r="E131" s="1" t="s">
        <v>20</v>
      </c>
      <c r="F131" s="1" t="n">
        <v>48</v>
      </c>
      <c r="G131" s="2" t="s">
        <v>29</v>
      </c>
      <c r="H131" s="1" t="n">
        <v>0.1747</v>
      </c>
      <c r="I131" s="1" t="n">
        <v>0.345468087158837</v>
      </c>
      <c r="J131" s="1" t="n">
        <v>0.329868603996867</v>
      </c>
      <c r="K131" s="1" t="n">
        <f aca="false">J131-I131</f>
        <v>-0.0155994831619695</v>
      </c>
      <c r="L131" s="1" t="n">
        <v>0.672703350703668</v>
      </c>
    </row>
    <row r="132" customFormat="false" ht="15" hidden="false" customHeight="false" outlineLevel="0" collapsed="false">
      <c r="A132" s="1" t="s">
        <v>101</v>
      </c>
      <c r="B132" s="1" t="s">
        <v>102</v>
      </c>
      <c r="C132" s="1" t="s">
        <v>103</v>
      </c>
      <c r="D132" s="1" t="s">
        <v>19</v>
      </c>
      <c r="E132" s="1" t="s">
        <v>20</v>
      </c>
      <c r="F132" s="1" t="n">
        <v>48</v>
      </c>
      <c r="G132" s="2" t="s">
        <v>39</v>
      </c>
      <c r="H132" s="1" t="n">
        <v>0.1741</v>
      </c>
      <c r="I132" s="1" t="n">
        <v>0.344315636643695</v>
      </c>
      <c r="J132" s="1" t="n">
        <v>0.303943452874927</v>
      </c>
      <c r="K132" s="1" t="n">
        <f aca="false">J132-I132</f>
        <v>-0.0403721837687674</v>
      </c>
      <c r="L132" s="1" t="n">
        <v>0.672703350703668</v>
      </c>
    </row>
    <row r="133" customFormat="false" ht="15" hidden="false" customHeight="false" outlineLevel="0" collapsed="false">
      <c r="A133" s="1" t="s">
        <v>101</v>
      </c>
      <c r="B133" s="1" t="s">
        <v>102</v>
      </c>
      <c r="C133" s="1" t="s">
        <v>103</v>
      </c>
      <c r="D133" s="1" t="s">
        <v>19</v>
      </c>
      <c r="E133" s="1" t="s">
        <v>20</v>
      </c>
      <c r="F133" s="1" t="n">
        <v>48</v>
      </c>
      <c r="G133" s="2" t="s">
        <v>51</v>
      </c>
      <c r="H133" s="1" t="n">
        <v>0.1594</v>
      </c>
      <c r="I133" s="1" t="n">
        <v>0.315217853542269</v>
      </c>
      <c r="J133" s="1" t="n">
        <v>0.257110763782409</v>
      </c>
      <c r="K133" s="1" t="n">
        <f aca="false">J133-I133</f>
        <v>-0.0581070897598601</v>
      </c>
      <c r="L133" s="1" t="n">
        <v>0.672703350703668</v>
      </c>
    </row>
    <row r="134" customFormat="false" ht="15" hidden="false" customHeight="false" outlineLevel="0" collapsed="false">
      <c r="A134" s="1" t="s">
        <v>101</v>
      </c>
      <c r="B134" s="1" t="s">
        <v>102</v>
      </c>
      <c r="C134" s="1" t="s">
        <v>103</v>
      </c>
      <c r="D134" s="1" t="s">
        <v>19</v>
      </c>
      <c r="E134" s="1" t="s">
        <v>20</v>
      </c>
      <c r="F134" s="1" t="n">
        <v>48</v>
      </c>
      <c r="G134" s="2" t="s">
        <v>47</v>
      </c>
      <c r="H134" s="1" t="n">
        <v>0.1587</v>
      </c>
      <c r="I134" s="1" t="n">
        <v>0.313844871043701</v>
      </c>
      <c r="J134" s="1" t="n">
        <v>0.319514399010223</v>
      </c>
      <c r="K134" s="1" t="n">
        <f aca="false">J134-I134</f>
        <v>0.00566952796652187</v>
      </c>
      <c r="L134" s="1" t="n">
        <v>0.672703350703668</v>
      </c>
    </row>
    <row r="135" customFormat="false" ht="15" hidden="false" customHeight="false" outlineLevel="0" collapsed="false">
      <c r="A135" s="1" t="s">
        <v>101</v>
      </c>
      <c r="B135" s="1" t="s">
        <v>102</v>
      </c>
      <c r="C135" s="1" t="s">
        <v>103</v>
      </c>
      <c r="D135" s="1" t="s">
        <v>19</v>
      </c>
      <c r="E135" s="1" t="s">
        <v>20</v>
      </c>
      <c r="F135" s="1" t="n">
        <v>48</v>
      </c>
      <c r="G135" s="2" t="s">
        <v>21</v>
      </c>
      <c r="H135" s="1" t="n">
        <v>0.1505</v>
      </c>
      <c r="I135" s="1" t="n">
        <v>0.297554181080502</v>
      </c>
      <c r="J135" s="1" t="n">
        <v>0.267113438735445</v>
      </c>
      <c r="K135" s="1" t="n">
        <f aca="false">J135-I135</f>
        <v>-0.0304407423450575</v>
      </c>
      <c r="L135" s="1" t="n">
        <v>0.672703350703668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1" sqref="L3 A1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19.71"/>
  </cols>
  <sheetData>
    <row r="1" customFormat="false" ht="12.8" hidden="false" customHeight="false" outlineLevel="0" collapsed="false">
      <c r="A1" s="6" t="s">
        <v>104</v>
      </c>
      <c r="B1" s="6"/>
    </row>
    <row r="2" customFormat="false" ht="12.8" hidden="false" customHeight="false" outlineLevel="0" collapsed="false">
      <c r="A2" s="6"/>
      <c r="B2" s="6"/>
    </row>
    <row r="3" customFormat="false" ht="12.8" hidden="false" customHeight="false" outlineLevel="0" collapsed="false">
      <c r="A3" s="6" t="s">
        <v>105</v>
      </c>
      <c r="B3" s="7" t="n">
        <f aca="false">scen8_ac15p!P2</f>
        <v>133</v>
      </c>
    </row>
    <row r="4" customFormat="false" ht="12.8" hidden="false" customHeight="false" outlineLevel="0" collapsed="false">
      <c r="A4" s="6" t="s">
        <v>106</v>
      </c>
      <c r="B4" s="6" t="n">
        <f aca="false">B10*SQRT((B3-2)/(1-B10^2))</f>
        <v>1.31766909803585</v>
      </c>
    </row>
    <row r="5" customFormat="false" ht="12.8" hidden="false" customHeight="false" outlineLevel="0" collapsed="false">
      <c r="A5" s="6" t="s">
        <v>107</v>
      </c>
      <c r="B5" s="6" t="n">
        <f aca="false">_xlfn.T.DIST.2T(ABS(B4),B3-2)</f>
        <v>0.189914213959513</v>
      </c>
    </row>
    <row r="6" customFormat="false" ht="12.8" hidden="false" customHeight="false" outlineLevel="0" collapsed="false">
      <c r="A6" s="6"/>
      <c r="B6" s="8"/>
    </row>
    <row r="7" customFormat="false" ht="12.8" hidden="false" customHeight="false" outlineLevel="0" collapsed="false">
      <c r="A7" s="6"/>
      <c r="B7" s="8"/>
    </row>
    <row r="8" customFormat="false" ht="12.8" hidden="false" customHeight="false" outlineLevel="0" collapsed="false">
      <c r="A8" s="6"/>
      <c r="B8" s="8"/>
    </row>
    <row r="9" customFormat="false" ht="19.4" hidden="false" customHeight="false" outlineLevel="0" collapsed="false">
      <c r="A9" s="3" t="s">
        <v>12</v>
      </c>
      <c r="B9" s="3" t="s">
        <v>14</v>
      </c>
    </row>
    <row r="10" customFormat="false" ht="12.8" hidden="false" customHeight="false" outlineLevel="0" collapsed="false">
      <c r="A10" s="9" t="n">
        <f aca="false">B3</f>
        <v>133</v>
      </c>
      <c r="B10" s="9" t="n">
        <f aca="false">scen8_ac15p!R2</f>
        <v>0.114369859069299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3" activeCellId="1" sqref="L3 A3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108</v>
      </c>
      <c r="B1" s="10"/>
    </row>
    <row r="2" customFormat="false" ht="12.8" hidden="false" customHeight="false" outlineLevel="0" collapsed="false">
      <c r="A2" s="11" t="s">
        <v>109</v>
      </c>
      <c r="B2" s="12" t="s">
        <v>110</v>
      </c>
    </row>
    <row r="3" customFormat="false" ht="12.8" hidden="false" customHeight="false" outlineLevel="0" collapsed="false">
      <c r="A3" s="8" t="n">
        <v>1</v>
      </c>
      <c r="B3" s="1" t="n">
        <v>0.746899633688936</v>
      </c>
    </row>
    <row r="4" customFormat="false" ht="12.8" hidden="false" customHeight="false" outlineLevel="0" collapsed="false">
      <c r="A4" s="8" t="n">
        <v>2</v>
      </c>
      <c r="B4" s="1" t="n">
        <v>0.760440771561493</v>
      </c>
    </row>
    <row r="5" customFormat="false" ht="12.8" hidden="false" customHeight="false" outlineLevel="0" collapsed="false">
      <c r="A5" s="8" t="n">
        <v>3</v>
      </c>
      <c r="B5" s="1" t="n">
        <v>0.74542610185569</v>
      </c>
    </row>
    <row r="6" customFormat="false" ht="12.8" hidden="false" customHeight="false" outlineLevel="0" collapsed="false">
      <c r="A6" s="8" t="n">
        <v>4</v>
      </c>
      <c r="B6" s="1" t="n">
        <v>0.754518286707164</v>
      </c>
    </row>
    <row r="7" customFormat="false" ht="12.8" hidden="false" customHeight="false" outlineLevel="0" collapsed="false">
      <c r="A7" s="8" t="n">
        <v>5</v>
      </c>
      <c r="B7" s="1" t="n">
        <v>0.818716946973898</v>
      </c>
    </row>
    <row r="8" customFormat="false" ht="12.8" hidden="false" customHeight="false" outlineLevel="0" collapsed="false">
      <c r="A8" s="8" t="n">
        <v>6</v>
      </c>
      <c r="B8" s="1" t="n">
        <v>0.661475371813803</v>
      </c>
    </row>
    <row r="9" customFormat="false" ht="12.8" hidden="false" customHeight="false" outlineLevel="0" collapsed="false">
      <c r="A9" s="8" t="n">
        <v>7</v>
      </c>
      <c r="B9" s="1" t="n">
        <v>0.704831094854699</v>
      </c>
    </row>
    <row r="10" customFormat="false" ht="12.8" hidden="false" customHeight="false" outlineLevel="0" collapsed="false">
      <c r="A10" s="8" t="n">
        <v>8</v>
      </c>
      <c r="B10" s="1" t="n">
        <v>0.775445669459668</v>
      </c>
    </row>
    <row r="11" customFormat="false" ht="12.8" hidden="false" customHeight="false" outlineLevel="0" collapsed="false">
      <c r="A11" s="8" t="n">
        <v>9</v>
      </c>
      <c r="B11" s="1" t="n">
        <v>0.734922592013555</v>
      </c>
    </row>
    <row r="12" customFormat="false" ht="12.8" hidden="false" customHeight="false" outlineLevel="0" collapsed="false">
      <c r="A12" s="8" t="n">
        <v>10</v>
      </c>
      <c r="B12" s="1" t="n">
        <v>0.809553468856414</v>
      </c>
    </row>
    <row r="13" customFormat="false" ht="12.8" hidden="false" customHeight="false" outlineLevel="0" collapsed="false">
      <c r="A13" s="8" t="n">
        <v>11</v>
      </c>
      <c r="B13" s="1" t="n">
        <v>0.736193634280327</v>
      </c>
    </row>
    <row r="14" customFormat="false" ht="12.8" hidden="false" customHeight="false" outlineLevel="0" collapsed="false">
      <c r="A14" s="8" t="n">
        <v>12</v>
      </c>
      <c r="B14" s="1" t="n">
        <v>0.760450688692101</v>
      </c>
    </row>
    <row r="15" customFormat="false" ht="12.8" hidden="false" customHeight="false" outlineLevel="0" collapsed="false">
      <c r="A15" s="8" t="n">
        <v>13</v>
      </c>
      <c r="B15" s="1" t="n">
        <v>0.783417145572671</v>
      </c>
    </row>
    <row r="16" customFormat="false" ht="12.8" hidden="false" customHeight="false" outlineLevel="0" collapsed="false">
      <c r="A16" s="8" t="n">
        <v>14</v>
      </c>
      <c r="B16" s="1" t="n">
        <v>0.736351406600312</v>
      </c>
    </row>
    <row r="17" customFormat="false" ht="12.8" hidden="false" customHeight="false" outlineLevel="0" collapsed="false">
      <c r="A17" s="8" t="n">
        <v>15</v>
      </c>
      <c r="B17" s="1" t="n">
        <v>0.695164645499178</v>
      </c>
    </row>
    <row r="18" customFormat="false" ht="12.8" hidden="false" customHeight="false" outlineLevel="0" collapsed="false">
      <c r="A18" s="8" t="n">
        <v>16</v>
      </c>
      <c r="B18" s="1" t="n">
        <v>0.753663706301646</v>
      </c>
    </row>
    <row r="19" customFormat="false" ht="12.8" hidden="false" customHeight="false" outlineLevel="0" collapsed="false">
      <c r="A19" s="8" t="n">
        <v>17</v>
      </c>
      <c r="B19" s="1" t="n">
        <v>0.75925493365687</v>
      </c>
    </row>
    <row r="20" customFormat="false" ht="12.8" hidden="false" customHeight="false" outlineLevel="0" collapsed="false">
      <c r="A20" s="8" t="n">
        <v>18</v>
      </c>
      <c r="B20" s="1" t="n">
        <v>0.744001794349238</v>
      </c>
    </row>
    <row r="21" customFormat="false" ht="12.8" hidden="false" customHeight="false" outlineLevel="0" collapsed="false">
      <c r="A21" s="8" t="n">
        <v>19</v>
      </c>
      <c r="B21" s="1" t="n">
        <v>0.777745722291328</v>
      </c>
    </row>
    <row r="22" customFormat="false" ht="12.8" hidden="false" customHeight="false" outlineLevel="0" collapsed="false">
      <c r="A22" s="8" t="n">
        <v>20</v>
      </c>
      <c r="B22" s="1" t="n">
        <v>0.784404877175123</v>
      </c>
    </row>
    <row r="23" customFormat="false" ht="12.8" hidden="false" customHeight="false" outlineLevel="0" collapsed="false">
      <c r="A23" s="8" t="n">
        <v>21</v>
      </c>
      <c r="B23" s="1" t="n">
        <v>0.646558702401536</v>
      </c>
    </row>
    <row r="24" customFormat="false" ht="12.8" hidden="false" customHeight="false" outlineLevel="0" collapsed="false">
      <c r="A24" s="8" t="n">
        <v>22</v>
      </c>
      <c r="B24" s="1" t="n">
        <v>0.64627244396815</v>
      </c>
    </row>
    <row r="25" customFormat="false" ht="12.8" hidden="false" customHeight="false" outlineLevel="0" collapsed="false">
      <c r="A25" s="8" t="n">
        <v>23</v>
      </c>
      <c r="B25" s="1" t="n">
        <v>0.72738343602134</v>
      </c>
    </row>
    <row r="26" customFormat="false" ht="12.8" hidden="false" customHeight="false" outlineLevel="0" collapsed="false">
      <c r="A26" s="8" t="n">
        <v>24</v>
      </c>
      <c r="B26" s="1" t="n">
        <v>0.81572575422772</v>
      </c>
    </row>
    <row r="27" customFormat="false" ht="12.8" hidden="false" customHeight="false" outlineLevel="0" collapsed="false">
      <c r="A27" s="4" t="n">
        <v>25</v>
      </c>
      <c r="B27" s="1" t="n">
        <v>0.672703350703668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L3" activeCellId="0" sqref="L3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3" min="2" style="1" width="19.71"/>
    <col collapsed="false" customWidth="true" hidden="false" outlineLevel="0" max="7" min="5" style="1" width="20.79"/>
    <col collapsed="false" customWidth="true" hidden="false" outlineLevel="0" max="9" min="8" style="1" width="22.42"/>
    <col collapsed="false" customWidth="true" hidden="false" outlineLevel="0" max="10" min="10" style="1" width="19.71"/>
  </cols>
  <sheetData>
    <row r="1" customFormat="false" ht="12.8" hidden="false" customHeight="false" outlineLevel="0" collapsed="false">
      <c r="A1" s="10" t="s">
        <v>108</v>
      </c>
      <c r="B1" s="10"/>
    </row>
    <row r="2" customFormat="false" ht="12.8" hidden="false" customHeight="false" outlineLevel="0" collapsed="false">
      <c r="A2" s="11" t="s">
        <v>109</v>
      </c>
      <c r="B2" s="12" t="s">
        <v>110</v>
      </c>
      <c r="C2" s="1" t="s">
        <v>111</v>
      </c>
      <c r="E2" s="4" t="s">
        <v>112</v>
      </c>
      <c r="F2" s="4" t="s">
        <v>113</v>
      </c>
      <c r="G2" s="4" t="s">
        <v>114</v>
      </c>
      <c r="H2" s="4" t="s">
        <v>115</v>
      </c>
      <c r="I2" s="4" t="s">
        <v>116</v>
      </c>
      <c r="J2" s="4" t="s">
        <v>117</v>
      </c>
      <c r="K2" s="0" t="s">
        <v>118</v>
      </c>
      <c r="L2" s="0" t="s">
        <v>119</v>
      </c>
    </row>
    <row r="3" customFormat="false" ht="12.8" hidden="false" customHeight="false" outlineLevel="0" collapsed="false">
      <c r="A3" s="8" t="n">
        <v>1</v>
      </c>
      <c r="B3" s="1" t="n">
        <v>0.746899633688936</v>
      </c>
      <c r="C3" s="1" t="n">
        <v>0.771814729489856</v>
      </c>
      <c r="E3" s="4" t="n">
        <f aca="false">_xlfn.STDEV.S(B3:B27)</f>
        <v>0.0485491512108616</v>
      </c>
      <c r="F3" s="4" t="n">
        <f aca="false">_xlfn.STDEV.S(C3:C27)</f>
        <v>0.0774803186336932</v>
      </c>
      <c r="G3" s="4" t="n">
        <f aca="false">_xlfn.F.TEST(B3:B27,C3:C27)</f>
        <v>0.0259236465052402</v>
      </c>
      <c r="H3" s="4" t="n">
        <f aca="false">_xlfn.T.TEST(B3:B27, C3:C27, 2,2)</f>
        <v>1.52505075243666E-006</v>
      </c>
      <c r="I3" s="4" t="n">
        <f aca="false">_xlfn.T.TEST(B3:B27,C3:C27, 2,3)</f>
        <v>2.45107716640042E-006</v>
      </c>
      <c r="J3" s="4" t="n">
        <f aca="false">AVERAGE(B3:B27)-AVERAGE(C3:C27)</f>
        <v>0.100280167562607</v>
      </c>
      <c r="K3" s="0" t="n">
        <f aca="false">AVERAGE(B3:B27)</f>
        <v>0.742060887181061</v>
      </c>
      <c r="L3" s="0" t="n">
        <f aca="false">AVERAGE(C3:C27)</f>
        <v>0.641780719618454</v>
      </c>
    </row>
    <row r="4" customFormat="false" ht="12.8" hidden="false" customHeight="false" outlineLevel="0" collapsed="false">
      <c r="A4" s="8" t="n">
        <v>2</v>
      </c>
      <c r="B4" s="1" t="n">
        <v>0.760440771561493</v>
      </c>
      <c r="C4" s="1" t="n">
        <v>0.585748724447829</v>
      </c>
    </row>
    <row r="5" customFormat="false" ht="12.8" hidden="false" customHeight="false" outlineLevel="0" collapsed="false">
      <c r="A5" s="8" t="n">
        <v>3</v>
      </c>
      <c r="B5" s="1" t="n">
        <v>0.74542610185569</v>
      </c>
      <c r="C5" s="1" t="n">
        <v>0.594422528559652</v>
      </c>
    </row>
    <row r="6" customFormat="false" ht="12.8" hidden="false" customHeight="false" outlineLevel="0" collapsed="false">
      <c r="A6" s="8" t="n">
        <v>4</v>
      </c>
      <c r="B6" s="1" t="n">
        <v>0.754518286707164</v>
      </c>
      <c r="C6" s="1" t="n">
        <v>0.60678636857711</v>
      </c>
    </row>
    <row r="7" customFormat="false" ht="12.8" hidden="false" customHeight="false" outlineLevel="0" collapsed="false">
      <c r="A7" s="8" t="n">
        <v>5</v>
      </c>
      <c r="B7" s="1" t="n">
        <v>0.818716946973898</v>
      </c>
      <c r="C7" s="1" t="n">
        <v>0.69941561269435</v>
      </c>
    </row>
    <row r="8" customFormat="false" ht="12.8" hidden="false" customHeight="false" outlineLevel="0" collapsed="false">
      <c r="A8" s="8" t="n">
        <v>6</v>
      </c>
      <c r="B8" s="1" t="n">
        <v>0.661475371813803</v>
      </c>
      <c r="C8" s="1" t="n">
        <v>0.584983605559223</v>
      </c>
    </row>
    <row r="9" customFormat="false" ht="12.8" hidden="false" customHeight="false" outlineLevel="0" collapsed="false">
      <c r="A9" s="8" t="n">
        <v>7</v>
      </c>
      <c r="B9" s="1" t="n">
        <v>0.704831094854699</v>
      </c>
      <c r="C9" s="1" t="n">
        <v>0.523434497974195</v>
      </c>
    </row>
    <row r="10" customFormat="false" ht="12.8" hidden="false" customHeight="false" outlineLevel="0" collapsed="false">
      <c r="A10" s="8" t="n">
        <v>8</v>
      </c>
      <c r="B10" s="1" t="n">
        <v>0.775445669459668</v>
      </c>
      <c r="C10" s="1" t="n">
        <v>0.733177377705096</v>
      </c>
    </row>
    <row r="11" customFormat="false" ht="12.8" hidden="false" customHeight="false" outlineLevel="0" collapsed="false">
      <c r="A11" s="8" t="n">
        <v>9</v>
      </c>
      <c r="B11" s="1" t="n">
        <v>0.734922592013555</v>
      </c>
      <c r="C11" s="1" t="n">
        <v>0.623029352644154</v>
      </c>
    </row>
    <row r="12" customFormat="false" ht="12.8" hidden="false" customHeight="false" outlineLevel="0" collapsed="false">
      <c r="A12" s="8" t="n">
        <v>10</v>
      </c>
      <c r="B12" s="1" t="n">
        <v>0.809553468856414</v>
      </c>
      <c r="C12" s="1" t="n">
        <v>0.569126443983933</v>
      </c>
    </row>
    <row r="13" customFormat="false" ht="12.8" hidden="false" customHeight="false" outlineLevel="0" collapsed="false">
      <c r="A13" s="8" t="n">
        <v>11</v>
      </c>
      <c r="B13" s="1" t="n">
        <v>0.736193634280327</v>
      </c>
      <c r="C13" s="1" t="n">
        <v>0.712616848746921</v>
      </c>
    </row>
    <row r="14" customFormat="false" ht="12.8" hidden="false" customHeight="false" outlineLevel="0" collapsed="false">
      <c r="A14" s="8" t="n">
        <v>12</v>
      </c>
      <c r="B14" s="1" t="n">
        <v>0.760450688692101</v>
      </c>
      <c r="C14" s="1" t="n">
        <v>0.623994668934615</v>
      </c>
    </row>
    <row r="15" customFormat="false" ht="12.8" hidden="false" customHeight="false" outlineLevel="0" collapsed="false">
      <c r="A15" s="8" t="n">
        <v>13</v>
      </c>
      <c r="B15" s="1" t="n">
        <v>0.783417145572671</v>
      </c>
      <c r="C15" s="1" t="n">
        <v>0.708175167658807</v>
      </c>
    </row>
    <row r="16" customFormat="false" ht="12.8" hidden="false" customHeight="false" outlineLevel="0" collapsed="false">
      <c r="A16" s="8" t="n">
        <v>14</v>
      </c>
      <c r="B16" s="1" t="n">
        <v>0.736351406600312</v>
      </c>
      <c r="C16" s="1" t="n">
        <v>0.598847369877094</v>
      </c>
    </row>
    <row r="17" customFormat="false" ht="12.8" hidden="false" customHeight="false" outlineLevel="0" collapsed="false">
      <c r="A17" s="8" t="n">
        <v>15</v>
      </c>
      <c r="B17" s="1" t="n">
        <v>0.695164645499178</v>
      </c>
      <c r="C17" s="1" t="n">
        <v>0.598448875288242</v>
      </c>
    </row>
    <row r="18" customFormat="false" ht="12.8" hidden="false" customHeight="false" outlineLevel="0" collapsed="false">
      <c r="A18" s="8" t="n">
        <v>16</v>
      </c>
      <c r="B18" s="1" t="n">
        <v>0.753663706301646</v>
      </c>
      <c r="C18" s="1" t="n">
        <v>0.686112684184051</v>
      </c>
    </row>
    <row r="19" customFormat="false" ht="12.8" hidden="false" customHeight="false" outlineLevel="0" collapsed="false">
      <c r="A19" s="8" t="n">
        <v>17</v>
      </c>
      <c r="B19" s="1" t="n">
        <v>0.75925493365687</v>
      </c>
      <c r="C19" s="1" t="n">
        <v>0.656452493829178</v>
      </c>
    </row>
    <row r="20" customFormat="false" ht="12.8" hidden="false" customHeight="false" outlineLevel="0" collapsed="false">
      <c r="A20" s="8" t="n">
        <v>18</v>
      </c>
      <c r="B20" s="1" t="n">
        <v>0.744001794349238</v>
      </c>
      <c r="C20" s="1" t="n">
        <v>0.708590115686799</v>
      </c>
    </row>
    <row r="21" customFormat="false" ht="12.8" hidden="false" customHeight="false" outlineLevel="0" collapsed="false">
      <c r="A21" s="8" t="n">
        <v>19</v>
      </c>
      <c r="B21" s="1" t="n">
        <v>0.777745722291328</v>
      </c>
      <c r="C21" s="1" t="n">
        <v>0.656250234555418</v>
      </c>
    </row>
    <row r="22" customFormat="false" ht="12.8" hidden="false" customHeight="false" outlineLevel="0" collapsed="false">
      <c r="A22" s="8" t="n">
        <v>20</v>
      </c>
      <c r="B22" s="1" t="n">
        <v>0.784404877175123</v>
      </c>
      <c r="C22" s="1" t="n">
        <v>0.766144095586904</v>
      </c>
    </row>
    <row r="23" customFormat="false" ht="12.8" hidden="false" customHeight="false" outlineLevel="0" collapsed="false">
      <c r="A23" s="8" t="n">
        <v>21</v>
      </c>
      <c r="B23" s="1" t="n">
        <v>0.646558702401536</v>
      </c>
      <c r="C23" s="1" t="n">
        <v>0.611673917355993</v>
      </c>
    </row>
    <row r="24" customFormat="false" ht="12.8" hidden="false" customHeight="false" outlineLevel="0" collapsed="false">
      <c r="A24" s="8" t="n">
        <v>22</v>
      </c>
      <c r="B24" s="1" t="n">
        <v>0.64627244396815</v>
      </c>
      <c r="C24" s="1" t="n">
        <v>0.57321383560315</v>
      </c>
    </row>
    <row r="25" customFormat="false" ht="12.8" hidden="false" customHeight="false" outlineLevel="0" collapsed="false">
      <c r="A25" s="8" t="n">
        <v>23</v>
      </c>
      <c r="B25" s="1" t="n">
        <v>0.72738343602134</v>
      </c>
      <c r="C25" s="1" t="n">
        <v>0.46202133657173</v>
      </c>
    </row>
    <row r="26" customFormat="false" ht="12.8" hidden="false" customHeight="false" outlineLevel="0" collapsed="false">
      <c r="A26" s="8" t="n">
        <v>24</v>
      </c>
      <c r="B26" s="1" t="n">
        <v>0.81572575422772</v>
      </c>
      <c r="C26" s="1" t="n">
        <v>0.752686085299576</v>
      </c>
    </row>
    <row r="27" customFormat="false" ht="12.8" hidden="false" customHeight="false" outlineLevel="0" collapsed="false">
      <c r="A27" s="4" t="n">
        <v>25</v>
      </c>
      <c r="B27" s="1" t="n">
        <v>0.672703350703668</v>
      </c>
      <c r="C27" s="1" t="n">
        <v>0.637351019647471</v>
      </c>
    </row>
    <row r="31" customFormat="false" ht="12.8" hidden="false" customHeight="false" outlineLevel="0" collapsed="false">
      <c r="A31" s="1" t="s">
        <v>120</v>
      </c>
    </row>
    <row r="33" customFormat="false" ht="12.8" hidden="false" customHeight="false" outlineLevel="0" collapsed="false">
      <c r="A33" s="11" t="s">
        <v>109</v>
      </c>
      <c r="B33" s="12" t="s">
        <v>110</v>
      </c>
    </row>
    <row r="34" customFormat="false" ht="12.8" hidden="false" customHeight="false" outlineLevel="0" collapsed="false">
      <c r="A34" s="8" t="n">
        <v>1</v>
      </c>
      <c r="B34" s="1" t="n">
        <v>0.746899633688936</v>
      </c>
    </row>
    <row r="35" customFormat="false" ht="12.8" hidden="false" customHeight="false" outlineLevel="0" collapsed="false">
      <c r="A35" s="8" t="n">
        <v>2</v>
      </c>
      <c r="B35" s="1" t="n">
        <v>0.760440771561493</v>
      </c>
    </row>
    <row r="36" customFormat="false" ht="12.8" hidden="false" customHeight="false" outlineLevel="0" collapsed="false">
      <c r="A36" s="8" t="n">
        <v>3</v>
      </c>
      <c r="B36" s="1" t="n">
        <v>0.74542610185569</v>
      </c>
    </row>
    <row r="37" customFormat="false" ht="12.8" hidden="false" customHeight="false" outlineLevel="0" collapsed="false">
      <c r="A37" s="8" t="n">
        <v>4</v>
      </c>
      <c r="B37" s="1" t="n">
        <v>0.754518286707164</v>
      </c>
    </row>
    <row r="38" customFormat="false" ht="12.8" hidden="false" customHeight="false" outlineLevel="0" collapsed="false">
      <c r="A38" s="8" t="n">
        <v>5</v>
      </c>
      <c r="B38" s="1" t="n">
        <v>0.818716946973898</v>
      </c>
    </row>
    <row r="39" customFormat="false" ht="12.8" hidden="false" customHeight="false" outlineLevel="0" collapsed="false">
      <c r="A39" s="8" t="n">
        <v>6</v>
      </c>
      <c r="B39" s="1" t="n">
        <v>0.661475371813803</v>
      </c>
    </row>
    <row r="40" customFormat="false" ht="12.8" hidden="false" customHeight="false" outlineLevel="0" collapsed="false">
      <c r="A40" s="8" t="n">
        <v>7</v>
      </c>
      <c r="B40" s="1" t="n">
        <v>0.704831094854699</v>
      </c>
    </row>
    <row r="41" customFormat="false" ht="12.8" hidden="false" customHeight="false" outlineLevel="0" collapsed="false">
      <c r="A41" s="8" t="n">
        <v>8</v>
      </c>
      <c r="B41" s="1" t="n">
        <v>0.775445669459668</v>
      </c>
    </row>
    <row r="42" customFormat="false" ht="12.8" hidden="false" customHeight="false" outlineLevel="0" collapsed="false">
      <c r="A42" s="8" t="n">
        <v>9</v>
      </c>
      <c r="B42" s="1" t="n">
        <v>0.734922592013555</v>
      </c>
    </row>
    <row r="43" customFormat="false" ht="12.8" hidden="false" customHeight="false" outlineLevel="0" collapsed="false">
      <c r="A43" s="8" t="n">
        <v>10</v>
      </c>
      <c r="B43" s="1" t="n">
        <v>0.809553468856414</v>
      </c>
    </row>
    <row r="44" customFormat="false" ht="12.8" hidden="false" customHeight="false" outlineLevel="0" collapsed="false">
      <c r="A44" s="8" t="n">
        <v>11</v>
      </c>
      <c r="B44" s="1" t="n">
        <v>0.736193634280327</v>
      </c>
    </row>
    <row r="45" customFormat="false" ht="12.8" hidden="false" customHeight="false" outlineLevel="0" collapsed="false">
      <c r="A45" s="8" t="n">
        <v>12</v>
      </c>
      <c r="B45" s="1" t="n">
        <v>0.760450688692101</v>
      </c>
    </row>
    <row r="46" customFormat="false" ht="12.8" hidden="false" customHeight="false" outlineLevel="0" collapsed="false">
      <c r="A46" s="8" t="n">
        <v>13</v>
      </c>
      <c r="B46" s="1" t="n">
        <v>0.783417145572671</v>
      </c>
    </row>
    <row r="47" customFormat="false" ht="12.8" hidden="false" customHeight="false" outlineLevel="0" collapsed="false">
      <c r="A47" s="8" t="n">
        <v>14</v>
      </c>
      <c r="B47" s="1" t="n">
        <v>0.736351406600312</v>
      </c>
    </row>
    <row r="48" customFormat="false" ht="12.8" hidden="false" customHeight="false" outlineLevel="0" collapsed="false">
      <c r="A48" s="8" t="n">
        <v>15</v>
      </c>
      <c r="B48" s="1" t="n">
        <v>0.695164645499178</v>
      </c>
    </row>
    <row r="49" customFormat="false" ht="12.8" hidden="false" customHeight="false" outlineLevel="0" collapsed="false">
      <c r="A49" s="8" t="n">
        <v>16</v>
      </c>
      <c r="B49" s="1" t="n">
        <v>0.753663706301646</v>
      </c>
    </row>
    <row r="50" customFormat="false" ht="12.8" hidden="false" customHeight="false" outlineLevel="0" collapsed="false">
      <c r="A50" s="8" t="n">
        <v>17</v>
      </c>
      <c r="B50" s="1" t="n">
        <v>0.75925493365687</v>
      </c>
    </row>
    <row r="51" customFormat="false" ht="12.8" hidden="false" customHeight="false" outlineLevel="0" collapsed="false">
      <c r="A51" s="8" t="n">
        <v>18</v>
      </c>
      <c r="B51" s="1" t="n">
        <v>0.744001794349238</v>
      </c>
    </row>
    <row r="52" customFormat="false" ht="12.8" hidden="false" customHeight="false" outlineLevel="0" collapsed="false">
      <c r="A52" s="8" t="n">
        <v>19</v>
      </c>
      <c r="B52" s="1" t="n">
        <v>0.777745722291328</v>
      </c>
    </row>
    <row r="53" customFormat="false" ht="12.8" hidden="false" customHeight="false" outlineLevel="0" collapsed="false">
      <c r="A53" s="8" t="n">
        <v>20</v>
      </c>
      <c r="B53" s="1" t="n">
        <v>0.784404877175123</v>
      </c>
    </row>
    <row r="54" customFormat="false" ht="12.8" hidden="false" customHeight="false" outlineLevel="0" collapsed="false">
      <c r="A54" s="8" t="n">
        <v>21</v>
      </c>
      <c r="B54" s="1" t="n">
        <v>0.646558702401536</v>
      </c>
    </row>
    <row r="55" customFormat="false" ht="12.8" hidden="false" customHeight="false" outlineLevel="0" collapsed="false">
      <c r="A55" s="8" t="n">
        <v>22</v>
      </c>
      <c r="B55" s="1" t="n">
        <v>0.64627244396815</v>
      </c>
    </row>
    <row r="56" customFormat="false" ht="12.8" hidden="false" customHeight="false" outlineLevel="0" collapsed="false">
      <c r="A56" s="8" t="n">
        <v>23</v>
      </c>
      <c r="B56" s="1" t="n">
        <v>0.72738343602134</v>
      </c>
    </row>
    <row r="57" customFormat="false" ht="12.8" hidden="false" customHeight="false" outlineLevel="0" collapsed="false">
      <c r="A57" s="8" t="n">
        <v>24</v>
      </c>
      <c r="B57" s="1" t="n">
        <v>0.81572575422772</v>
      </c>
    </row>
    <row r="58" customFormat="false" ht="12.8" hidden="false" customHeight="false" outlineLevel="0" collapsed="false">
      <c r="A58" s="4" t="n">
        <v>25</v>
      </c>
      <c r="B58" s="1" t="n">
        <v>0.672703350703668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2026-02-20T16:58:09Z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
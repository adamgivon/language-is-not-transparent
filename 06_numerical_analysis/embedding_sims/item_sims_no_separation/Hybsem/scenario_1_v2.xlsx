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cen1_hybsem" sheetId="1" state="visible" r:id="rId3"/>
    <sheet name="notes" sheetId="2" state="visible" r:id="rId4"/>
    <sheet name="actdel_prompt_response" sheetId="3" state="visible" r:id="rId5"/>
    <sheet name="inter_system stats" sheetId="4" state="visible" r:id="rId6"/>
  </sheets>
  <definedNames>
    <definedName function="false" hidden="true" localSheetId="2" name="_xlnm._FilterDatabase" vbProcedure="false">actdel_prompt_response!$C$4:$C$28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<sst xmlns="http://schemas.openxmlformats.org/spreadsheetml/2006/main" count="981" uniqueCount="160">
  <si>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</si>
  <si>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</si>
  <si>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</si>
  <si>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</si>
  <si>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</si>
  <si>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</si>
  <si>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</si>
  <si>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</si>
  <si>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</si>
  <si>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</si>
  <si>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</si>
  <si>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</si>
  <si>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Average activation/turn</t>
  </si>
  <si>
    <t xml:space="preserve">average conversation activation</t>
  </si>
  <si>
    <t xml:space="preserve">count</t>
  </si>
  <si>
    <t xml:space="preserve">correlation weights / activation delta</t>
  </si>
  <si>
    <t xml:space="preserve">p</t>
  </si>
  <si>
    <t xml:space="preserve">e2a1c274-8538-4b11-a127-f1551496f014</t>
  </si>
  <si>
    <t xml:space="preserve">cmj8klijk00h9zcr30j55eyq5</t>
  </si>
  <si>
    <t xml:space="preserve">cmj8kmhpy00hqzcr3q19ccfs0</t>
  </si>
  <si>
    <t xml:space="preserve">hybrid_v3_5_semantic</t>
  </si>
  <si>
    <t xml:space="preserve">scenario_1_v2</t>
  </si>
  <si>
    <t xml:space="preserve">practicality_and_feasibility</t>
  </si>
  <si>
    <t xml:space="preserve">temporal_dynamics</t>
  </si>
  <si>
    <t xml:space="preserve">mathematics_computer_science_engineering</t>
  </si>
  <si>
    <t xml:space="preserve">affective_interface</t>
  </si>
  <si>
    <t xml:space="preserve">sovereignty</t>
  </si>
  <si>
    <t xml:space="preserve">truth_and_fact</t>
  </si>
  <si>
    <t xml:space="preserve">5a32769e-087b-4227-b432-8a9ab7848ca9</t>
  </si>
  <si>
    <t xml:space="preserve">cmj8kox5w00huzcr3r41ck1az</t>
  </si>
  <si>
    <t xml:space="preserve">cmj8kq1dt00ibzcr38k7zaod2</t>
  </si>
  <si>
    <t xml:space="preserve">imagination_and_possibility</t>
  </si>
  <si>
    <t xml:space="preserve">electricity</t>
  </si>
  <si>
    <t xml:space="preserve">a1ef12bb-1e19-4fca-a1c4-67be27eb97d4</t>
  </si>
  <si>
    <t xml:space="preserve">cmj8kwd6200ifzcr3cna6z7cp</t>
  </si>
  <si>
    <t xml:space="preserve">cmj8kwv3w00iwzcr3r2cs3jj4</t>
  </si>
  <si>
    <t xml:space="preserve">46e9fb75-2e4e-4c23-988a-eceecb0bed1e</t>
  </si>
  <si>
    <t xml:space="preserve">cmj8kylgx00j0zcr3q1hngl6u</t>
  </si>
  <si>
    <t xml:space="preserve">cmj8kzf5v00jhzcr3vepu6u4i</t>
  </si>
  <si>
    <t xml:space="preserve">8d220410-522e-4b50-adee-9f2f07d35025</t>
  </si>
  <si>
    <t xml:space="preserve">cmj8l2r0z00jlzcr3xmhaqxb1</t>
  </si>
  <si>
    <t xml:space="preserve">cmj8l3jed00k2zcr399oism5x</t>
  </si>
  <si>
    <t xml:space="preserve">f620b784-04dc-4b50-a8ff-43b61165203d</t>
  </si>
  <si>
    <t xml:space="preserve">cmj8l6qyy00k6zcr3995erl9t</t>
  </si>
  <si>
    <t xml:space="preserve">cmj8l7ovp00knzcr3qbyjw292</t>
  </si>
  <si>
    <t xml:space="preserve">freedom_and_limitations</t>
  </si>
  <si>
    <t xml:space="preserve">f2eb5bcb-3344-4411-93d1-c12c61b69949</t>
  </si>
  <si>
    <t xml:space="preserve">cmj8ldajt00krzcr3cfmdlq71</t>
  </si>
  <si>
    <t xml:space="preserve">cmj8lebqf00l8zcr3ri13obo4</t>
  </si>
  <si>
    <t xml:space="preserve">dfc2e91c-039c-43d7-9a5d-273549c557e0</t>
  </si>
  <si>
    <t xml:space="preserve">cmj8lfylc00lczcr3d7dpm7q3</t>
  </si>
  <si>
    <t xml:space="preserve">cmj8lgx4m00ltzcr3uoon9z5n</t>
  </si>
  <si>
    <t xml:space="preserve">e520a26b-ab7d-4a94-a898-4764e05e1b7c</t>
  </si>
  <si>
    <t xml:space="preserve">cmj8li5a100lxzcr3gagcfqje</t>
  </si>
  <si>
    <t xml:space="preserve">cmj8livtq00mezcr3oztbei0j</t>
  </si>
  <si>
    <t xml:space="preserve">61675311-2c6f-469b-8945-cf8b36fe1859</t>
  </si>
  <si>
    <t xml:space="preserve">cmj8lkub800mizcr36pejjl0i</t>
  </si>
  <si>
    <t xml:space="preserve">cmj8llpxd00mzzcr3kjeuxys6</t>
  </si>
  <si>
    <t xml:space="preserve">0f849de8-ba4b-4c0f-94a0-7f8e07a2669f</t>
  </si>
  <si>
    <t xml:space="preserve">cmj8ln6en00n3zcr320xwfnco</t>
  </si>
  <si>
    <t xml:space="preserve">cmj8lnwrv00nkzcr3pago4gd1</t>
  </si>
  <si>
    <t xml:space="preserve">df1ed036-0e90-4b95-994a-df7b24a844a6</t>
  </si>
  <si>
    <t xml:space="preserve">cmj8lp6im00nozcr3d0f5gs14</t>
  </si>
  <si>
    <t xml:space="preserve">cmj8lq38r00o5zcr3u6bbgfsh</t>
  </si>
  <si>
    <t xml:space="preserve">8cd78e97-4c23-4f67-a9cc-f6e9a2896aa1</t>
  </si>
  <si>
    <t xml:space="preserve">cmj8lroa000o9zcr3hvz9zxnl</t>
  </si>
  <si>
    <t xml:space="preserve">cmj8lskat00oqzcr3td287d5r</t>
  </si>
  <si>
    <t xml:space="preserve">2251d086-ac55-4383-815d-ad15f1363a7d</t>
  </si>
  <si>
    <t xml:space="preserve">cmj8luoau00ouzcr3wfkjubei</t>
  </si>
  <si>
    <t xml:space="preserve">cmj8lvg0h00pbzcr3rmbjeu62</t>
  </si>
  <si>
    <t xml:space="preserve">aae00f2b-6c60-40aa-9dba-6c5714c13da1</t>
  </si>
  <si>
    <t xml:space="preserve">cmj8lxb7900pfzcr3tny8kot1</t>
  </si>
  <si>
    <t xml:space="preserve">cmj8ly11600pwzcr3t960eau4</t>
  </si>
  <si>
    <t xml:space="preserve">metaphorical_scaffolding</t>
  </si>
  <si>
    <t xml:space="preserve">77af21de-36fc-4be9-ad6d-b77d79572c86</t>
  </si>
  <si>
    <t xml:space="preserve">cmj8lzi9n00q0zcr3jbq9bheq</t>
  </si>
  <si>
    <t xml:space="preserve">cmj8m065k00qhzcr34qiqd5pv</t>
  </si>
  <si>
    <t xml:space="preserve">d0ad7a7e-621c-4f87-b78f-ec282ec284ff</t>
  </si>
  <si>
    <t xml:space="preserve">cmj8m1mi500qlzcr3mq7qjz50</t>
  </si>
  <si>
    <t xml:space="preserve">cmj8m2ehp00r2zcr3bdn18s7o</t>
  </si>
  <si>
    <t xml:space="preserve">fb2e82bf-cfa1-4d99-a0fe-f2032c30aef7</t>
  </si>
  <si>
    <t xml:space="preserve">cmj8m3ajq00r6zcr3g8tuuwmw</t>
  </si>
  <si>
    <t xml:space="preserve">cmj8m433s00rnzcr3naimvkd4</t>
  </si>
  <si>
    <t xml:space="preserve">8b3cbf47-e557-4571-a56c-34d87f2779db</t>
  </si>
  <si>
    <t xml:space="preserve">cmj8m5idn00rrzcr304rl9mph</t>
  </si>
  <si>
    <t xml:space="preserve">cmj8m5zr800s8zcr3a0yewcmi</t>
  </si>
  <si>
    <t xml:space="preserve">3aca43a0-68da-4dde-b956-1a7c524d26d4</t>
  </si>
  <si>
    <t xml:space="preserve">cmj8m78eb00sczcr3qj1e7l29</t>
  </si>
  <si>
    <t xml:space="preserve">cmj8m7hqm00stzcr3s1a1fnms</t>
  </si>
  <si>
    <t xml:space="preserve">726ed60a-6dad-4e88-a35f-58a925741a69</t>
  </si>
  <si>
    <t xml:space="preserve">cmj8m8y6l00sxzcr39op2t9vm</t>
  </si>
  <si>
    <t xml:space="preserve">cmj8m9yug00tezcr3p4dwiccg</t>
  </si>
  <si>
    <t xml:space="preserve">ec084bd3-b4d6-436c-b251-e08a45274534</t>
  </si>
  <si>
    <t xml:space="preserve">cmj8mb17900tizcr3xryv42cw</t>
  </si>
  <si>
    <t xml:space="preserve">cmj8mbcyi00tzzcr352gx4or0</t>
  </si>
  <si>
    <t xml:space="preserve">b1afa7bf-64d8-4e7c-8937-9299c2848e6c</t>
  </si>
  <si>
    <t xml:space="preserve">cmj8mcwau00u3zcr3awh6n5p2</t>
  </si>
  <si>
    <t xml:space="preserve">cmj8mdlxh00ukzcr3ovmy0vdd</t>
  </si>
  <si>
    <t xml:space="preserve">b5245ded-2984-4662-a5d3-2fc71b2067fd</t>
  </si>
  <si>
    <t xml:space="preserve">cmj8mez5j00uozcr395mjgoih</t>
  </si>
  <si>
    <t xml:space="preserve">cmj8mfixv00v5zcr3qgyyg10h</t>
  </si>
  <si>
    <t xml:space="preserve">f8594272-d43e-4b72-89a6-0db927cf7e34</t>
  </si>
  <si>
    <t xml:space="preserve">cmj8mgqrk00v9zcr3nvbvsk57</t>
  </si>
  <si>
    <t xml:space="preserve">cmj8mh1ib00vqzcr3x8fq1kcn</t>
  </si>
  <si>
    <t xml:space="preserve">p calculation</t>
  </si>
  <si>
    <t xml:space="preserve">1. count</t>
  </si>
  <si>
    <t xml:space="preserve"> activation delta</t>
  </si>
  <si>
    <t xml:space="preserve">2.  t statistic</t>
  </si>
  <si>
    <t xml:space="preserve">3. p</t>
  </si>
  <si>
    <t xml:space="preserve">turn</t>
  </si>
  <si>
    <t xml:space="preserve">Correlation</t>
  </si>
  <si>
    <t xml:space="preserve">T-statistic</t>
  </si>
  <si>
    <t xml:space="preserve">Tests</t>
  </si>
  <si>
    <t xml:space="preserve">hybsem</t>
  </si>
  <si>
    <t xml:space="preserve">control</t>
  </si>
  <si>
    <t xml:space="preserve">std. Hybrid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</si>
  <si>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</si>
  <si>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</si>
  <si>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</si>
  <si>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</si>
  <si>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</si>
  <si>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Paired t-test</t>
  </si>
  <si>
    <t xml:space="preserve">Alpha</t>
  </si>
  <si>
    <t xml:space="preserve">Hypothesized Mean Difference</t>
  </si>
  <si>
    <t xml:space="preserve">Variable 1</t>
  </si>
  <si>
    <t xml:space="preserve">Variable 2</t>
  </si>
  <si>
    <t xml:space="preserve">Mean</t>
  </si>
  <si>
    <t xml:space="preserve">Variance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</si>
  <si>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</si>
  <si>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</si>
  <si>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</si>
  <si>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</si>
  <si>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df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</si>
  <si>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</si>
  <si>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</si>
  <si>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</si>
  <si>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</si>
  <si>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</si>
  <si>
    <t xml:space="preserve">General</t>
  </si>
  <si>
    <t xml:space="preserve">Hybsem</t>
  </si>
  <si>
    <t xml:space="preserve">Hybrid</t>
  </si>
  <si>
    <t xml:space="preserve">ac15p</t>
  </si>
  <si>
    <t xml:space="preserve">ANOVA - Single Factor</t>
  </si>
  <si>
    <t xml:space="preserve">Groups</t>
  </si>
  <si>
    <t xml:space="preserve">Count</t>
  </si>
  <si>
    <t xml:space="preserve">Sum</t>
  </si>
  <si>
    <t xml:space="preserve">Column 1</t>
  </si>
  <si>
    <t xml:space="preserve">Column 2</t>
  </si>
  <si>
    <t xml:space="preserve">Column 3</t>
  </si>
  <si>
    <t xml:space="preserve">Source of Variation</t>
  </si>
  <si>
    <t xml:space="preserve">SS</t>
  </si>
  <si>
    <t xml:space="preserve">MS</t>
  </si>
  <si>
    <t xml:space="preserve">F</t>
  </si>
  <si>
    <t xml:space="preserve">P-value</t>
  </si>
  <si>
    <t xml:space="preserve">F critical</t>
  </si>
  <si>
    <t xml:space="preserve">Between Groups</t>
  </si>
  <si>
    <t xml:space="preserve">Within Groups</t>
  </si>
  <si>
    <t xml:space="preserve">Total</t>
  </si>
  <si>
    <t xml:space="preserve">With control</t>
  </si>
  <si>
    <t xml:space="preserve">Column 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</si>
</sst>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actdel_prompt_response!$B$2</c:f>
              <c:strCache>
                <c:ptCount val="1"/>
                <c:pt idx="0">
                  <c:v>prompt_to_response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actdel_prompt_response!$A$3:$A$28</c:f>
              <c:numCache>
                <c:formatCode>General</c:formatCode>
                <c:ptCount val="26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xVal>
          <c:yVal>
            <c:numRef>
              <c:f>actdel_prompt_response!$B$3:$B$28</c:f>
              <c:numCache>
                <c:formatCode>General</c:formatCode>
                <c:ptCount val="26"/>
                <c:pt idx="1">
                  <c:v>0.829083516979224</c:v>
                </c:pt>
                <c:pt idx="2">
                  <c:v>0.766444903472076</c:v>
                </c:pt>
                <c:pt idx="3">
                  <c:v>0.820814927176212</c:v>
                </c:pt>
                <c:pt idx="4">
                  <c:v>0.589340681428011</c:v>
                </c:pt>
                <c:pt idx="5">
                  <c:v>0.549939911322228</c:v>
                </c:pt>
                <c:pt idx="6">
                  <c:v>0.806301302771949</c:v>
                </c:pt>
                <c:pt idx="7">
                  <c:v>0.654420747897195</c:v>
                </c:pt>
                <c:pt idx="8">
                  <c:v>0.747457006954611</c:v>
                </c:pt>
                <c:pt idx="9">
                  <c:v>0.763154436571465</c:v>
                </c:pt>
                <c:pt idx="10">
                  <c:v>0.745298826492448</c:v>
                </c:pt>
                <c:pt idx="11">
                  <c:v>0.703599427390625</c:v>
                </c:pt>
                <c:pt idx="12">
                  <c:v>0.792291119607581</c:v>
                </c:pt>
                <c:pt idx="13">
                  <c:v>0.742748844142451</c:v>
                </c:pt>
                <c:pt idx="14">
                  <c:v>0.730739032742495</c:v>
                </c:pt>
                <c:pt idx="15">
                  <c:v>0.727501533855859</c:v>
                </c:pt>
                <c:pt idx="16">
                  <c:v>0.69212024380659</c:v>
                </c:pt>
                <c:pt idx="17">
                  <c:v>0.719549537838803</c:v>
                </c:pt>
                <c:pt idx="18">
                  <c:v>0.708540087240829</c:v>
                </c:pt>
                <c:pt idx="19">
                  <c:v>0.706775862145744</c:v>
                </c:pt>
                <c:pt idx="20">
                  <c:v>0.810552775268533</c:v>
                </c:pt>
                <c:pt idx="21">
                  <c:v>0.779651511367528</c:v>
                </c:pt>
                <c:pt idx="22">
                  <c:v>0.707012650930307</c:v>
                </c:pt>
                <c:pt idx="23">
                  <c:v>0.759411204953021</c:v>
                </c:pt>
                <c:pt idx="24">
                  <c:v>0.754622185376853</c:v>
                </c:pt>
                <c:pt idx="25">
                  <c:v>0.718662412659959</c:v>
                </c:pt>
              </c:numCache>
            </c:numRef>
          </c:yVal>
          <c:smooth val="0"/>
        </c:ser>
        <c:axId val="6859197"/>
        <c:axId val="898300"/>
      </c:scatterChart>
      <c:valAx>
        <c:axId val="685919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98300"/>
        <c:crosses val="autoZero"/>
        <c:crossBetween val="midCat"/>
      </c:valAx>
      <c:valAx>
        <c:axId val="8983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85919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414720</xdr:colOff>
      <xdr:row>7</xdr:row>
      <xdr:rowOff>101880</xdr:rowOff>
    </xdr:from>
    <xdr:to>
      <xdr:col>10</xdr:col>
      <xdr:colOff>1209600</xdr:colOff>
      <xdr:row>27</xdr:row>
      <xdr:rowOff>86760</xdr:rowOff>
    </xdr:to>
    <xdr:graphicFrame>
      <xdr:nvGraphicFramePr>
        <xdr:cNvPr id="0" name=""/>
        <xdr:cNvGraphicFramePr/>
      </xdr:nvGraphicFramePr>
      <xdr:xfrm>
        <a:off x="6824520" y="1256400"/>
        <a:ext cx="5760000" cy="323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3" activePane="bottomLeft" state="frozen"/>
      <selection pane="topLeft" activeCell="A1" activeCellId="0" sqref="A1"/>
      <selection pane="bottomLeft" activeCell="N3" activeCellId="0" sqref="N3"/>
    </sheetView>
  </sheetViews>
  <sheetFormatPr defaultColWidth="8.58984375" defaultRowHeight="15" zeroHeight="false" outlineLevelRow="0" outlineLevelCol="0"/>
  <cols>
    <col collapsed="false" customWidth="false" hidden="false" outlineLevel="0" max="3" min="1" style="1" width="8.59"/>
    <col collapsed="false" customWidth="true" hidden="false" outlineLevel="0" max="4" min="4" style="1" width="20.25"/>
    <col collapsed="false" customWidth="true" hidden="false" outlineLevel="0" max="5" min="5" style="1" width="13.39"/>
    <col collapsed="false" customWidth="false" hidden="false" outlineLevel="0" max="6" min="6" style="1" width="8.59"/>
    <col collapsed="false" customWidth="true" hidden="false" outlineLevel="0" max="7" min="7" style="1" width="39.37"/>
    <col collapsed="false" customWidth="true" hidden="false" outlineLevel="0" max="8" min="8" style="2" width="11.51"/>
    <col collapsed="false" customWidth="true" hidden="false" outlineLevel="0" max="12" min="9" style="2" width="19.52"/>
    <col collapsed="false" customWidth="false" hidden="false" outlineLevel="0" max="13" min="13" style="1" width="8.59"/>
    <col collapsed="false" customWidth="true" hidden="false" outlineLevel="0" max="14" min="14" style="2" width="17.68"/>
    <col collapsed="false" customWidth="true" hidden="false" outlineLevel="0" max="15" min="15" style="2" width="16.33"/>
    <col collapsed="false" customWidth="false" hidden="false" outlineLevel="0" max="16" min="16" style="2" width="8.59"/>
    <col collapsed="false" customWidth="true" hidden="false" outlineLevel="0" max="17" min="17" style="2" width="17.68"/>
    <col collapsed="false" customWidth="true" hidden="false" outlineLevel="0" max="18" min="18" style="2" width="11.76"/>
    <col collapsed="false" customWidth="false" hidden="false" outlineLevel="0" max="16384" min="19" style="1" width="8.59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</row>
    <row r="3" customFormat="false" ht="15" hidden="false" customHeight="false" outlineLevel="0" collapsed="false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n">
        <v>1</v>
      </c>
      <c r="G3" s="1" t="s">
        <v>22</v>
      </c>
      <c r="H3" s="2" t="n">
        <v>0.2068</v>
      </c>
      <c r="I3" s="2" t="n">
        <v>0.297845713198909</v>
      </c>
      <c r="J3" s="2" t="n">
        <v>0.370918663457162</v>
      </c>
      <c r="K3" s="2" t="n">
        <f aca="false">J3-I3</f>
        <v>0.0730729502582529</v>
      </c>
      <c r="L3" s="2" t="n">
        <v>0.829083516979224</v>
      </c>
      <c r="N3" s="2" t="n">
        <f aca="false">AVERAGE(K3:K8)</f>
        <v>0.0554453411511729</v>
      </c>
      <c r="O3" s="2" t="n">
        <f aca="false">AVERAGE(K3:K148)</f>
        <v>0.0394421402201318</v>
      </c>
      <c r="P3" s="2" t="n">
        <f aca="false">COUNT(K3:K148)</f>
        <v>146</v>
      </c>
      <c r="Q3" s="2" t="n">
        <f aca="false">CORREL(H3:H148,K3:K148)</f>
        <v>-0.00968621621170412</v>
      </c>
      <c r="R3" s="2" t="n">
        <v>0.907624249635993</v>
      </c>
    </row>
    <row r="4" customFormat="false" ht="15" hidden="false" customHeight="false" outlineLevel="0" collapsed="false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n">
        <v>1</v>
      </c>
      <c r="G4" s="1" t="s">
        <v>23</v>
      </c>
      <c r="H4" s="2" t="n">
        <v>0.1966</v>
      </c>
      <c r="I4" s="2" t="n">
        <v>0.2830906859825</v>
      </c>
      <c r="J4" s="2" t="n">
        <v>0.312666644543593</v>
      </c>
      <c r="K4" s="2" t="n">
        <f aca="false">J4-I4</f>
        <v>0.0295759585610933</v>
      </c>
      <c r="L4" s="2" t="n">
        <v>0.829083516979224</v>
      </c>
    </row>
    <row r="5" customFormat="false" ht="15" hidden="false" customHeight="false" outlineLevel="0" collapsed="false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n">
        <v>1</v>
      </c>
      <c r="G5" s="1" t="s">
        <v>24</v>
      </c>
      <c r="H5" s="2" t="n">
        <v>0.1723</v>
      </c>
      <c r="I5" s="2" t="n">
        <v>0.248134416742987</v>
      </c>
      <c r="J5" s="2" t="n">
        <v>0.286981608363271</v>
      </c>
      <c r="K5" s="2" t="n">
        <f aca="false">J5-I5</f>
        <v>0.0388471916202842</v>
      </c>
      <c r="L5" s="2" t="n">
        <v>0.829083516979224</v>
      </c>
    </row>
    <row r="6" customFormat="false" ht="15" hidden="false" customHeight="false" outlineLevel="0" collapsed="false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n">
        <v>1</v>
      </c>
      <c r="G6" s="1" t="s">
        <v>25</v>
      </c>
      <c r="H6" s="2" t="n">
        <v>0.1636</v>
      </c>
      <c r="I6" s="2" t="n">
        <v>0.235643048059035</v>
      </c>
      <c r="J6" s="2" t="n">
        <v>0.291501644224661</v>
      </c>
      <c r="K6" s="2" t="n">
        <f aca="false">J6-I6</f>
        <v>0.0558585961656255</v>
      </c>
      <c r="L6" s="2" t="n">
        <v>0.829083516979224</v>
      </c>
    </row>
    <row r="7" customFormat="false" ht="15" hidden="false" customHeight="false" outlineLevel="0" collapsed="false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  <c r="F7" s="1" t="n">
        <v>1</v>
      </c>
      <c r="G7" s="1" t="s">
        <v>26</v>
      </c>
      <c r="H7" s="2" t="n">
        <v>0.1606</v>
      </c>
      <c r="I7" s="2" t="n">
        <v>0.231216287424975</v>
      </c>
      <c r="J7" s="2" t="n">
        <v>0.300431575815793</v>
      </c>
      <c r="K7" s="2" t="n">
        <f aca="false">J7-I7</f>
        <v>0.0692152883908187</v>
      </c>
      <c r="L7" s="2" t="n">
        <v>0.829083516979224</v>
      </c>
    </row>
    <row r="8" customFormat="false" ht="15" hidden="false" customHeight="false" outlineLevel="0" collapsed="false">
      <c r="A8" s="1" t="s">
        <v>17</v>
      </c>
      <c r="B8" s="1" t="s">
        <v>18</v>
      </c>
      <c r="C8" s="1" t="s">
        <v>19</v>
      </c>
      <c r="D8" s="1" t="s">
        <v>20</v>
      </c>
      <c r="E8" s="1" t="s">
        <v>21</v>
      </c>
      <c r="F8" s="1" t="n">
        <v>1</v>
      </c>
      <c r="G8" s="1" t="s">
        <v>27</v>
      </c>
      <c r="H8" s="2" t="n">
        <v>0.1</v>
      </c>
      <c r="I8" s="2" t="n">
        <v>0.156587451000624</v>
      </c>
      <c r="J8" s="2" t="n">
        <v>0.222689512911588</v>
      </c>
      <c r="K8" s="2" t="n">
        <f aca="false">J8-I8</f>
        <v>0.0661020619109631</v>
      </c>
      <c r="L8" s="2" t="n">
        <v>0.829083516979224</v>
      </c>
    </row>
    <row r="9" customFormat="false" ht="15" hidden="false" customHeight="false" outlineLevel="0" collapsed="false">
      <c r="A9" s="1" t="s">
        <v>28</v>
      </c>
      <c r="B9" s="1" t="s">
        <v>29</v>
      </c>
      <c r="C9" s="1" t="s">
        <v>30</v>
      </c>
      <c r="D9" s="1" t="s">
        <v>20</v>
      </c>
      <c r="E9" s="1" t="s">
        <v>21</v>
      </c>
      <c r="F9" s="1" t="n">
        <v>3</v>
      </c>
      <c r="G9" s="1" t="s">
        <v>22</v>
      </c>
      <c r="H9" s="2" t="n">
        <v>0.2204</v>
      </c>
      <c r="I9" s="2" t="n">
        <v>0.295633041198994</v>
      </c>
      <c r="J9" s="2" t="n">
        <v>0.362556652304911</v>
      </c>
      <c r="K9" s="2" t="n">
        <f aca="false">J9-I9</f>
        <v>0.0669236111059174</v>
      </c>
      <c r="L9" s="2" t="n">
        <v>0.766444903472076</v>
      </c>
      <c r="N9" s="2" t="n">
        <f aca="false">AVERAGE(K9:K14)</f>
        <v>0.0702994434023905</v>
      </c>
    </row>
    <row r="10" customFormat="false" ht="15" hidden="false" customHeight="false" outlineLevel="0" collapsed="false">
      <c r="A10" s="1" t="s">
        <v>28</v>
      </c>
      <c r="B10" s="1" t="s">
        <v>29</v>
      </c>
      <c r="C10" s="1" t="s">
        <v>30</v>
      </c>
      <c r="D10" s="1" t="s">
        <v>20</v>
      </c>
      <c r="E10" s="1" t="s">
        <v>21</v>
      </c>
      <c r="F10" s="1" t="n">
        <v>3</v>
      </c>
      <c r="G10" s="1" t="s">
        <v>26</v>
      </c>
      <c r="H10" s="2" t="n">
        <v>0.1964</v>
      </c>
      <c r="I10" s="2" t="n">
        <v>0.26347983694488</v>
      </c>
      <c r="J10" s="2" t="n">
        <v>0.320605908220959</v>
      </c>
      <c r="K10" s="2" t="n">
        <f aca="false">J10-I10</f>
        <v>0.057126071276079</v>
      </c>
      <c r="L10" s="2" t="n">
        <v>0.766444903472076</v>
      </c>
    </row>
    <row r="11" customFormat="false" ht="15" hidden="false" customHeight="false" outlineLevel="0" collapsed="false">
      <c r="A11" s="1" t="s">
        <v>28</v>
      </c>
      <c r="B11" s="1" t="s">
        <v>29</v>
      </c>
      <c r="C11" s="1" t="s">
        <v>30</v>
      </c>
      <c r="D11" s="1" t="s">
        <v>20</v>
      </c>
      <c r="E11" s="1" t="s">
        <v>21</v>
      </c>
      <c r="F11" s="1" t="n">
        <v>3</v>
      </c>
      <c r="G11" s="1" t="s">
        <v>23</v>
      </c>
      <c r="H11" s="2" t="n">
        <v>0.1738</v>
      </c>
      <c r="I11" s="2" t="n">
        <v>0.233072468112181</v>
      </c>
      <c r="J11" s="2" t="n">
        <v>0.296055031249273</v>
      </c>
      <c r="K11" s="2" t="n">
        <f aca="false">J11-I11</f>
        <v>0.0629825631370919</v>
      </c>
      <c r="L11" s="2" t="n">
        <v>0.766444903472076</v>
      </c>
    </row>
    <row r="12" customFormat="false" ht="15" hidden="false" customHeight="false" outlineLevel="0" collapsed="false">
      <c r="A12" s="1" t="s">
        <v>28</v>
      </c>
      <c r="B12" s="1" t="s">
        <v>29</v>
      </c>
      <c r="C12" s="1" t="s">
        <v>30</v>
      </c>
      <c r="D12" s="1" t="s">
        <v>20</v>
      </c>
      <c r="E12" s="1" t="s">
        <v>21</v>
      </c>
      <c r="F12" s="1" t="n">
        <v>3</v>
      </c>
      <c r="G12" s="1" t="s">
        <v>31</v>
      </c>
      <c r="H12" s="2" t="n">
        <v>0.1584</v>
      </c>
      <c r="I12" s="2" t="n">
        <v>0.212508424990043</v>
      </c>
      <c r="J12" s="2" t="n">
        <v>0.286617593735801</v>
      </c>
      <c r="K12" s="2" t="n">
        <f aca="false">J12-I12</f>
        <v>0.0741091687457581</v>
      </c>
      <c r="L12" s="2" t="n">
        <v>0.766444903472076</v>
      </c>
    </row>
    <row r="13" customFormat="false" ht="15" hidden="false" customHeight="false" outlineLevel="0" collapsed="false">
      <c r="A13" s="1" t="s">
        <v>28</v>
      </c>
      <c r="B13" s="1" t="s">
        <v>29</v>
      </c>
      <c r="C13" s="1" t="s">
        <v>30</v>
      </c>
      <c r="D13" s="1" t="s">
        <v>20</v>
      </c>
      <c r="E13" s="1" t="s">
        <v>21</v>
      </c>
      <c r="F13" s="1" t="n">
        <v>3</v>
      </c>
      <c r="G13" s="1" t="s">
        <v>32</v>
      </c>
      <c r="H13" s="2" t="n">
        <v>0.1509</v>
      </c>
      <c r="I13" s="2" t="n">
        <v>0.202430038204472</v>
      </c>
      <c r="J13" s="2" t="n">
        <v>0.262046645556877</v>
      </c>
      <c r="K13" s="2" t="n">
        <f aca="false">J13-I13</f>
        <v>0.0596166073524058</v>
      </c>
      <c r="L13" s="2" t="n">
        <v>0.766444903472076</v>
      </c>
    </row>
    <row r="14" customFormat="false" ht="15" hidden="false" customHeight="false" outlineLevel="0" collapsed="false">
      <c r="A14" s="1" t="s">
        <v>28</v>
      </c>
      <c r="B14" s="1" t="s">
        <v>29</v>
      </c>
      <c r="C14" s="1" t="s">
        <v>30</v>
      </c>
      <c r="D14" s="1" t="s">
        <v>20</v>
      </c>
      <c r="E14" s="1" t="s">
        <v>21</v>
      </c>
      <c r="F14" s="1" t="n">
        <v>3</v>
      </c>
      <c r="G14" s="1" t="s">
        <v>27</v>
      </c>
      <c r="H14" s="2" t="n">
        <v>0.1</v>
      </c>
      <c r="I14" s="2" t="n">
        <v>0.132998362913906</v>
      </c>
      <c r="J14" s="2" t="n">
        <v>0.234037001710997</v>
      </c>
      <c r="K14" s="2" t="n">
        <f aca="false">J14-I14</f>
        <v>0.101038638797091</v>
      </c>
      <c r="L14" s="2" t="n">
        <v>0.766444903472076</v>
      </c>
    </row>
    <row r="15" customFormat="false" ht="15" hidden="false" customHeight="false" outlineLevel="0" collapsed="false">
      <c r="A15" s="1" t="s">
        <v>33</v>
      </c>
      <c r="B15" s="1" t="s">
        <v>34</v>
      </c>
      <c r="C15" s="1" t="s">
        <v>35</v>
      </c>
      <c r="D15" s="1" t="s">
        <v>20</v>
      </c>
      <c r="E15" s="1" t="s">
        <v>21</v>
      </c>
      <c r="F15" s="1" t="n">
        <v>5</v>
      </c>
      <c r="G15" s="1" t="s">
        <v>22</v>
      </c>
      <c r="H15" s="2" t="n">
        <v>0.2176</v>
      </c>
      <c r="I15" s="2" t="n">
        <v>0.36079952395538</v>
      </c>
      <c r="J15" s="2" t="n">
        <v>0.394716915299361</v>
      </c>
      <c r="K15" s="2" t="n">
        <f aca="false">J15-I15</f>
        <v>0.0339173913439805</v>
      </c>
      <c r="L15" s="2" t="n">
        <v>0.820814927176212</v>
      </c>
      <c r="N15" s="2" t="n">
        <f aca="false">AVERAGE(K15:K20)</f>
        <v>0.0455355641842575</v>
      </c>
    </row>
    <row r="16" customFormat="false" ht="15" hidden="false" customHeight="false" outlineLevel="0" collapsed="false">
      <c r="A16" s="1" t="s">
        <v>33</v>
      </c>
      <c r="B16" s="1" t="s">
        <v>34</v>
      </c>
      <c r="C16" s="1" t="s">
        <v>35</v>
      </c>
      <c r="D16" s="1" t="s">
        <v>20</v>
      </c>
      <c r="E16" s="1" t="s">
        <v>21</v>
      </c>
      <c r="F16" s="1" t="n">
        <v>5</v>
      </c>
      <c r="G16" s="1" t="s">
        <v>23</v>
      </c>
      <c r="H16" s="2" t="n">
        <v>0.1759</v>
      </c>
      <c r="I16" s="2" t="n">
        <v>0.291601972247156</v>
      </c>
      <c r="J16" s="2" t="n">
        <v>0.349300889757389</v>
      </c>
      <c r="K16" s="2" t="n">
        <f aca="false">J16-I16</f>
        <v>0.0576989175102332</v>
      </c>
      <c r="L16" s="2" t="n">
        <v>0.820814927176212</v>
      </c>
    </row>
    <row r="17" customFormat="false" ht="15" hidden="false" customHeight="false" outlineLevel="0" collapsed="false">
      <c r="A17" s="1" t="s">
        <v>33</v>
      </c>
      <c r="B17" s="1" t="s">
        <v>34</v>
      </c>
      <c r="C17" s="1" t="s">
        <v>35</v>
      </c>
      <c r="D17" s="1" t="s">
        <v>20</v>
      </c>
      <c r="E17" s="1" t="s">
        <v>21</v>
      </c>
      <c r="F17" s="1" t="n">
        <v>5</v>
      </c>
      <c r="G17" s="1" t="s">
        <v>26</v>
      </c>
      <c r="H17" s="2" t="n">
        <v>0.1699</v>
      </c>
      <c r="I17" s="2" t="n">
        <v>0.281722238302173</v>
      </c>
      <c r="J17" s="2" t="n">
        <v>0.307521370620036</v>
      </c>
      <c r="K17" s="2" t="n">
        <f aca="false">J17-I17</f>
        <v>0.0257991323178628</v>
      </c>
      <c r="L17" s="2" t="n">
        <v>0.820814927176212</v>
      </c>
    </row>
    <row r="18" customFormat="false" ht="15" hidden="false" customHeight="false" outlineLevel="0" collapsed="false">
      <c r="A18" s="1" t="s">
        <v>33</v>
      </c>
      <c r="B18" s="1" t="s">
        <v>34</v>
      </c>
      <c r="C18" s="1" t="s">
        <v>35</v>
      </c>
      <c r="D18" s="1" t="s">
        <v>20</v>
      </c>
      <c r="E18" s="1" t="s">
        <v>21</v>
      </c>
      <c r="F18" s="1" t="n">
        <v>5</v>
      </c>
      <c r="G18" s="1" t="s">
        <v>31</v>
      </c>
      <c r="H18" s="2" t="n">
        <v>0.1684</v>
      </c>
      <c r="I18" s="2" t="n">
        <v>0.279169748278749</v>
      </c>
      <c r="J18" s="2" t="n">
        <v>0.308507176399345</v>
      </c>
      <c r="K18" s="2" t="n">
        <f aca="false">J18-I18</f>
        <v>0.0293374281205959</v>
      </c>
      <c r="L18" s="2" t="n">
        <v>0.820814927176212</v>
      </c>
    </row>
    <row r="19" customFormat="false" ht="15" hidden="false" customHeight="false" outlineLevel="0" collapsed="false">
      <c r="A19" s="1" t="s">
        <v>33</v>
      </c>
      <c r="B19" s="1" t="s">
        <v>34</v>
      </c>
      <c r="C19" s="1" t="s">
        <v>35</v>
      </c>
      <c r="D19" s="1" t="s">
        <v>20</v>
      </c>
      <c r="E19" s="1" t="s">
        <v>21</v>
      </c>
      <c r="F19" s="1" t="n">
        <v>5</v>
      </c>
      <c r="G19" s="1" t="s">
        <v>24</v>
      </c>
      <c r="H19" s="2" t="n">
        <v>0.1681</v>
      </c>
      <c r="I19" s="2" t="n">
        <v>0.278764249102545</v>
      </c>
      <c r="J19" s="2" t="n">
        <v>0.335610951687187</v>
      </c>
      <c r="K19" s="2" t="n">
        <f aca="false">J19-I19</f>
        <v>0.0568467025846419</v>
      </c>
      <c r="L19" s="2" t="n">
        <v>0.820814927176212</v>
      </c>
    </row>
    <row r="20" customFormat="false" ht="15" hidden="false" customHeight="false" outlineLevel="0" collapsed="false">
      <c r="A20" s="1" t="s">
        <v>33</v>
      </c>
      <c r="B20" s="1" t="s">
        <v>34</v>
      </c>
      <c r="C20" s="1" t="s">
        <v>35</v>
      </c>
      <c r="D20" s="1" t="s">
        <v>20</v>
      </c>
      <c r="E20" s="1" t="s">
        <v>21</v>
      </c>
      <c r="F20" s="1" t="n">
        <v>5</v>
      </c>
      <c r="G20" s="1" t="s">
        <v>27</v>
      </c>
      <c r="H20" s="2" t="n">
        <v>0.1</v>
      </c>
      <c r="I20" s="2" t="n">
        <v>0.186727786935107</v>
      </c>
      <c r="J20" s="2" t="n">
        <v>0.256341600163337</v>
      </c>
      <c r="K20" s="2" t="n">
        <f aca="false">J20-I20</f>
        <v>0.0696138132282304</v>
      </c>
      <c r="L20" s="2" t="n">
        <v>0.820814927176212</v>
      </c>
    </row>
    <row r="21" customFormat="false" ht="15" hidden="false" customHeight="false" outlineLevel="0" collapsed="false">
      <c r="A21" s="1" t="s">
        <v>36</v>
      </c>
      <c r="B21" s="1" t="s">
        <v>37</v>
      </c>
      <c r="C21" s="1" t="s">
        <v>38</v>
      </c>
      <c r="D21" s="1" t="s">
        <v>20</v>
      </c>
      <c r="E21" s="1" t="s">
        <v>21</v>
      </c>
      <c r="F21" s="1" t="n">
        <v>7</v>
      </c>
      <c r="G21" s="1" t="s">
        <v>22</v>
      </c>
      <c r="H21" s="2" t="n">
        <v>0.2192</v>
      </c>
      <c r="I21" s="2" t="n">
        <v>0.370000571754347</v>
      </c>
      <c r="J21" s="2" t="n">
        <v>0.375595499469823</v>
      </c>
      <c r="K21" s="2" t="n">
        <f aca="false">J21-I21</f>
        <v>0.00559492771547576</v>
      </c>
      <c r="L21" s="2" t="n">
        <v>0.589340681428011</v>
      </c>
      <c r="N21" s="2" t="n">
        <f aca="false">AVERAGE(K21:K26)</f>
        <v>0.0166190777346548</v>
      </c>
    </row>
    <row r="22" customFormat="false" ht="15" hidden="false" customHeight="false" outlineLevel="0" collapsed="false">
      <c r="A22" s="1" t="s">
        <v>36</v>
      </c>
      <c r="B22" s="1" t="s">
        <v>37</v>
      </c>
      <c r="C22" s="1" t="s">
        <v>38</v>
      </c>
      <c r="D22" s="1" t="s">
        <v>20</v>
      </c>
      <c r="E22" s="1" t="s">
        <v>21</v>
      </c>
      <c r="F22" s="1" t="n">
        <v>7</v>
      </c>
      <c r="G22" s="1" t="s">
        <v>23</v>
      </c>
      <c r="H22" s="2" t="n">
        <v>0.1921</v>
      </c>
      <c r="I22" s="2" t="n">
        <v>0.324351659022806</v>
      </c>
      <c r="J22" s="2" t="n">
        <v>0.341744163772791</v>
      </c>
      <c r="K22" s="2" t="n">
        <f aca="false">J22-I22</f>
        <v>0.0173925047499849</v>
      </c>
      <c r="L22" s="2" t="n">
        <v>0.589340681428011</v>
      </c>
    </row>
    <row r="23" customFormat="false" ht="15" hidden="false" customHeight="false" outlineLevel="0" collapsed="false">
      <c r="A23" s="1" t="s">
        <v>36</v>
      </c>
      <c r="B23" s="1" t="s">
        <v>37</v>
      </c>
      <c r="C23" s="1" t="s">
        <v>38</v>
      </c>
      <c r="D23" s="1" t="s">
        <v>20</v>
      </c>
      <c r="E23" s="1" t="s">
        <v>21</v>
      </c>
      <c r="F23" s="1" t="n">
        <v>7</v>
      </c>
      <c r="G23" s="1" t="s">
        <v>24</v>
      </c>
      <c r="H23" s="2" t="n">
        <v>0.1849</v>
      </c>
      <c r="I23" s="2" t="n">
        <v>0.312071329635212</v>
      </c>
      <c r="J23" s="2" t="n">
        <v>0.308609163933792</v>
      </c>
      <c r="K23" s="2" t="n">
        <f aca="false">J23-I23</f>
        <v>-0.00346216570141922</v>
      </c>
      <c r="L23" s="2" t="n">
        <v>0.589340681428011</v>
      </c>
    </row>
    <row r="24" customFormat="false" ht="15" hidden="false" customHeight="false" outlineLevel="0" collapsed="false">
      <c r="A24" s="1" t="s">
        <v>36</v>
      </c>
      <c r="B24" s="1" t="s">
        <v>37</v>
      </c>
      <c r="C24" s="1" t="s">
        <v>38</v>
      </c>
      <c r="D24" s="1" t="s">
        <v>20</v>
      </c>
      <c r="E24" s="1" t="s">
        <v>21</v>
      </c>
      <c r="F24" s="1" t="n">
        <v>7</v>
      </c>
      <c r="G24" s="1" t="s">
        <v>26</v>
      </c>
      <c r="H24" s="2" t="n">
        <v>0.1522</v>
      </c>
      <c r="I24" s="2" t="n">
        <v>0.256952722441214</v>
      </c>
      <c r="J24" s="2" t="n">
        <v>0.265397747182301</v>
      </c>
      <c r="K24" s="2" t="n">
        <f aca="false">J24-I24</f>
        <v>0.00844502474108722</v>
      </c>
      <c r="L24" s="2" t="n">
        <v>0.589340681428011</v>
      </c>
    </row>
    <row r="25" customFormat="false" ht="15" hidden="false" customHeight="false" outlineLevel="0" collapsed="false">
      <c r="A25" s="1" t="s">
        <v>36</v>
      </c>
      <c r="B25" s="1" t="s">
        <v>37</v>
      </c>
      <c r="C25" s="1" t="s">
        <v>38</v>
      </c>
      <c r="D25" s="1" t="s">
        <v>20</v>
      </c>
      <c r="E25" s="1" t="s">
        <v>21</v>
      </c>
      <c r="F25" s="1" t="n">
        <v>7</v>
      </c>
      <c r="G25" s="1" t="s">
        <v>32</v>
      </c>
      <c r="H25" s="2" t="n">
        <v>0.1516</v>
      </c>
      <c r="I25" s="2" t="n">
        <v>0.255889076037539</v>
      </c>
      <c r="J25" s="2" t="n">
        <v>0.272180549121246</v>
      </c>
      <c r="K25" s="2" t="n">
        <f aca="false">J25-I25</f>
        <v>0.0162914730837068</v>
      </c>
      <c r="L25" s="2" t="n">
        <v>0.589340681428011</v>
      </c>
    </row>
    <row r="26" customFormat="false" ht="15" hidden="false" customHeight="false" outlineLevel="0" collapsed="false">
      <c r="A26" s="1" t="s">
        <v>36</v>
      </c>
      <c r="B26" s="1" t="s">
        <v>37</v>
      </c>
      <c r="C26" s="1" t="s">
        <v>38</v>
      </c>
      <c r="D26" s="1" t="s">
        <v>20</v>
      </c>
      <c r="E26" s="1" t="s">
        <v>21</v>
      </c>
      <c r="F26" s="1" t="n">
        <v>7</v>
      </c>
      <c r="G26" s="1" t="s">
        <v>27</v>
      </c>
      <c r="H26" s="2" t="n">
        <v>0.1</v>
      </c>
      <c r="I26" s="2" t="n">
        <v>0.200758433101214</v>
      </c>
      <c r="J26" s="2" t="n">
        <v>0.256211134920307</v>
      </c>
      <c r="K26" s="2" t="n">
        <f aca="false">J26-I26</f>
        <v>0.0554527018190935</v>
      </c>
      <c r="L26" s="2" t="n">
        <v>0.589340681428011</v>
      </c>
    </row>
    <row r="27" customFormat="false" ht="15" hidden="false" customHeight="false" outlineLevel="0" collapsed="false">
      <c r="A27" s="1" t="s">
        <v>39</v>
      </c>
      <c r="B27" s="1" t="s">
        <v>40</v>
      </c>
      <c r="C27" s="1" t="s">
        <v>41</v>
      </c>
      <c r="D27" s="1" t="s">
        <v>20</v>
      </c>
      <c r="E27" s="1" t="s">
        <v>21</v>
      </c>
      <c r="F27" s="1" t="n">
        <v>9</v>
      </c>
      <c r="G27" s="1" t="s">
        <v>22</v>
      </c>
      <c r="H27" s="2" t="n">
        <v>0.209</v>
      </c>
      <c r="I27" s="2" t="n">
        <v>0.326175576725423</v>
      </c>
      <c r="J27" s="2" t="n">
        <v>0.381323468143969</v>
      </c>
      <c r="K27" s="2" t="n">
        <f aca="false">J27-I27</f>
        <v>0.0551478914185465</v>
      </c>
      <c r="L27" s="2" t="n">
        <v>0.549939911322228</v>
      </c>
      <c r="N27" s="2" t="n">
        <f aca="false">AVERAGE(K27:K32)</f>
        <v>0.0443683896431232</v>
      </c>
    </row>
    <row r="28" customFormat="false" ht="15" hidden="false" customHeight="false" outlineLevel="0" collapsed="false">
      <c r="A28" s="1" t="s">
        <v>39</v>
      </c>
      <c r="B28" s="1" t="s">
        <v>40</v>
      </c>
      <c r="C28" s="1" t="s">
        <v>41</v>
      </c>
      <c r="D28" s="1" t="s">
        <v>20</v>
      </c>
      <c r="E28" s="1" t="s">
        <v>21</v>
      </c>
      <c r="F28" s="1" t="n">
        <v>9</v>
      </c>
      <c r="G28" s="1" t="s">
        <v>23</v>
      </c>
      <c r="H28" s="2" t="n">
        <v>0.1927</v>
      </c>
      <c r="I28" s="2" t="n">
        <v>0.300712287628132</v>
      </c>
      <c r="J28" s="2" t="n">
        <v>0.319633969911888</v>
      </c>
      <c r="K28" s="2" t="n">
        <f aca="false">J28-I28</f>
        <v>0.0189216822837561</v>
      </c>
      <c r="L28" s="2" t="n">
        <v>0.549939911322228</v>
      </c>
    </row>
    <row r="29" customFormat="false" ht="15" hidden="false" customHeight="false" outlineLevel="0" collapsed="false">
      <c r="A29" s="1" t="s">
        <v>39</v>
      </c>
      <c r="B29" s="1" t="s">
        <v>40</v>
      </c>
      <c r="C29" s="1" t="s">
        <v>41</v>
      </c>
      <c r="D29" s="1" t="s">
        <v>20</v>
      </c>
      <c r="E29" s="1" t="s">
        <v>21</v>
      </c>
      <c r="F29" s="1" t="n">
        <v>9</v>
      </c>
      <c r="G29" s="1" t="s">
        <v>25</v>
      </c>
      <c r="H29" s="2" t="n">
        <v>0.1748</v>
      </c>
      <c r="I29" s="2" t="n">
        <v>0.272773097010773</v>
      </c>
      <c r="J29" s="2" t="n">
        <v>0.294004221366729</v>
      </c>
      <c r="K29" s="2" t="n">
        <f aca="false">J29-I29</f>
        <v>0.0212311243559569</v>
      </c>
      <c r="L29" s="2" t="n">
        <v>0.549939911322228</v>
      </c>
    </row>
    <row r="30" customFormat="false" ht="15" hidden="false" customHeight="false" outlineLevel="0" collapsed="false">
      <c r="A30" s="1" t="s">
        <v>39</v>
      </c>
      <c r="B30" s="1" t="s">
        <v>40</v>
      </c>
      <c r="C30" s="1" t="s">
        <v>41</v>
      </c>
      <c r="D30" s="1" t="s">
        <v>20</v>
      </c>
      <c r="E30" s="1" t="s">
        <v>21</v>
      </c>
      <c r="F30" s="1" t="n">
        <v>9</v>
      </c>
      <c r="G30" s="1" t="s">
        <v>24</v>
      </c>
      <c r="H30" s="2" t="n">
        <v>0.1648</v>
      </c>
      <c r="I30" s="2" t="n">
        <v>0.257270215785389</v>
      </c>
      <c r="J30" s="2" t="n">
        <v>0.310675399802111</v>
      </c>
      <c r="K30" s="2" t="n">
        <f aca="false">J30-I30</f>
        <v>0.0534051840167224</v>
      </c>
      <c r="L30" s="2" t="n">
        <v>0.549939911322228</v>
      </c>
    </row>
    <row r="31" customFormat="false" ht="15" hidden="false" customHeight="false" outlineLevel="0" collapsed="false">
      <c r="A31" s="1" t="s">
        <v>39</v>
      </c>
      <c r="B31" s="1" t="s">
        <v>40</v>
      </c>
      <c r="C31" s="1" t="s">
        <v>41</v>
      </c>
      <c r="D31" s="1" t="s">
        <v>20</v>
      </c>
      <c r="E31" s="1" t="s">
        <v>21</v>
      </c>
      <c r="F31" s="1" t="n">
        <v>9</v>
      </c>
      <c r="G31" s="1" t="s">
        <v>32</v>
      </c>
      <c r="H31" s="2" t="n">
        <v>0.1588</v>
      </c>
      <c r="I31" s="2" t="n">
        <v>0.247828667957582</v>
      </c>
      <c r="J31" s="2" t="n">
        <v>0.300059607536776</v>
      </c>
      <c r="K31" s="2" t="n">
        <f aca="false">J31-I31</f>
        <v>0.0522309395791938</v>
      </c>
      <c r="L31" s="2" t="n">
        <v>0.549939911322228</v>
      </c>
    </row>
    <row r="32" customFormat="false" ht="15" hidden="false" customHeight="false" outlineLevel="0" collapsed="false">
      <c r="A32" s="1" t="s">
        <v>39</v>
      </c>
      <c r="B32" s="1" t="s">
        <v>40</v>
      </c>
      <c r="C32" s="1" t="s">
        <v>41</v>
      </c>
      <c r="D32" s="1" t="s">
        <v>20</v>
      </c>
      <c r="E32" s="1" t="s">
        <v>21</v>
      </c>
      <c r="F32" s="1" t="n">
        <v>9</v>
      </c>
      <c r="G32" s="1" t="s">
        <v>27</v>
      </c>
      <c r="H32" s="2" t="n">
        <v>0.1</v>
      </c>
      <c r="I32" s="2" t="n">
        <v>0.184912834119871</v>
      </c>
      <c r="J32" s="2" t="n">
        <v>0.250186350324435</v>
      </c>
      <c r="K32" s="2" t="n">
        <f aca="false">J32-I32</f>
        <v>0.0652735162045637</v>
      </c>
      <c r="L32" s="2" t="n">
        <v>0.549939911322228</v>
      </c>
    </row>
    <row r="33" customFormat="false" ht="15" hidden="false" customHeight="false" outlineLevel="0" collapsed="false">
      <c r="A33" s="1" t="s">
        <v>42</v>
      </c>
      <c r="B33" s="1" t="s">
        <v>43</v>
      </c>
      <c r="C33" s="1" t="s">
        <v>44</v>
      </c>
      <c r="D33" s="1" t="s">
        <v>20</v>
      </c>
      <c r="E33" s="1" t="s">
        <v>21</v>
      </c>
      <c r="F33" s="1" t="n">
        <v>11</v>
      </c>
      <c r="G33" s="1" t="s">
        <v>22</v>
      </c>
      <c r="H33" s="2" t="n">
        <v>0.2241</v>
      </c>
      <c r="I33" s="2" t="n">
        <v>0.343509939503427</v>
      </c>
      <c r="J33" s="2" t="n">
        <v>0.321636561331764</v>
      </c>
      <c r="K33" s="2" t="n">
        <f aca="false">J33-I33</f>
        <v>-0.0218733781716635</v>
      </c>
      <c r="L33" s="2" t="n">
        <v>0.806301302771949</v>
      </c>
      <c r="N33" s="2" t="n">
        <f aca="false">AVERAGE(K33:K38)</f>
        <v>-0.00198046649018104</v>
      </c>
    </row>
    <row r="34" customFormat="false" ht="15" hidden="false" customHeight="false" outlineLevel="0" collapsed="false">
      <c r="A34" s="1" t="s">
        <v>42</v>
      </c>
      <c r="B34" s="1" t="s">
        <v>43</v>
      </c>
      <c r="C34" s="1" t="s">
        <v>44</v>
      </c>
      <c r="D34" s="1" t="s">
        <v>20</v>
      </c>
      <c r="E34" s="1" t="s">
        <v>21</v>
      </c>
      <c r="F34" s="1" t="n">
        <v>11</v>
      </c>
      <c r="G34" s="1" t="s">
        <v>23</v>
      </c>
      <c r="H34" s="2" t="n">
        <v>0.1866</v>
      </c>
      <c r="I34" s="2" t="n">
        <v>0.286118483048021</v>
      </c>
      <c r="J34" s="2" t="n">
        <v>0.285700745772443</v>
      </c>
      <c r="K34" s="2" t="n">
        <f aca="false">J34-I34</f>
        <v>-0.000417737275577978</v>
      </c>
      <c r="L34" s="2" t="n">
        <v>0.806301302771949</v>
      </c>
    </row>
    <row r="35" customFormat="false" ht="15" hidden="false" customHeight="false" outlineLevel="0" collapsed="false">
      <c r="A35" s="1" t="s">
        <v>42</v>
      </c>
      <c r="B35" s="1" t="s">
        <v>43</v>
      </c>
      <c r="C35" s="1" t="s">
        <v>44</v>
      </c>
      <c r="D35" s="1" t="s">
        <v>20</v>
      </c>
      <c r="E35" s="1" t="s">
        <v>21</v>
      </c>
      <c r="F35" s="1" t="n">
        <v>11</v>
      </c>
      <c r="G35" s="1" t="s">
        <v>31</v>
      </c>
      <c r="H35" s="2" t="n">
        <v>0.1721</v>
      </c>
      <c r="I35" s="2" t="n">
        <v>0.263858132041827</v>
      </c>
      <c r="J35" s="2" t="n">
        <v>0.23586656123973</v>
      </c>
      <c r="K35" s="2" t="n">
        <f aca="false">J35-I35</f>
        <v>-0.0279915708020967</v>
      </c>
      <c r="L35" s="2" t="n">
        <v>0.806301302771949</v>
      </c>
    </row>
    <row r="36" customFormat="false" ht="15" hidden="false" customHeight="false" outlineLevel="0" collapsed="false">
      <c r="A36" s="1" t="s">
        <v>42</v>
      </c>
      <c r="B36" s="1" t="s">
        <v>43</v>
      </c>
      <c r="C36" s="1" t="s">
        <v>44</v>
      </c>
      <c r="D36" s="1" t="s">
        <v>20</v>
      </c>
      <c r="E36" s="1" t="s">
        <v>21</v>
      </c>
      <c r="F36" s="1" t="n">
        <v>11</v>
      </c>
      <c r="G36" s="1" t="s">
        <v>24</v>
      </c>
      <c r="H36" s="2" t="n">
        <v>0.1719</v>
      </c>
      <c r="I36" s="2" t="n">
        <v>0.263544244279862</v>
      </c>
      <c r="J36" s="2" t="n">
        <v>0.273692506839814</v>
      </c>
      <c r="K36" s="2" t="n">
        <f aca="false">J36-I36</f>
        <v>0.0101482625599519</v>
      </c>
      <c r="L36" s="2" t="n">
        <v>0.806301302771949</v>
      </c>
    </row>
    <row r="37" customFormat="false" ht="15" hidden="false" customHeight="false" outlineLevel="0" collapsed="false">
      <c r="A37" s="1" t="s">
        <v>42</v>
      </c>
      <c r="B37" s="1" t="s">
        <v>43</v>
      </c>
      <c r="C37" s="1" t="s">
        <v>44</v>
      </c>
      <c r="D37" s="1" t="s">
        <v>20</v>
      </c>
      <c r="E37" s="1" t="s">
        <v>21</v>
      </c>
      <c r="F37" s="1" t="n">
        <v>11</v>
      </c>
      <c r="G37" s="1" t="s">
        <v>45</v>
      </c>
      <c r="H37" s="2" t="n">
        <v>0.1453</v>
      </c>
      <c r="I37" s="2" t="n">
        <v>0.222741603074637</v>
      </c>
      <c r="J37" s="2" t="n">
        <v>0.231991247371932</v>
      </c>
      <c r="K37" s="2" t="n">
        <f aca="false">J37-I37</f>
        <v>0.00924964429729522</v>
      </c>
      <c r="L37" s="2" t="n">
        <v>0.806301302771949</v>
      </c>
    </row>
    <row r="38" customFormat="false" ht="15" hidden="false" customHeight="false" outlineLevel="0" collapsed="false">
      <c r="A38" s="1" t="s">
        <v>42</v>
      </c>
      <c r="B38" s="1" t="s">
        <v>43</v>
      </c>
      <c r="C38" s="1" t="s">
        <v>44</v>
      </c>
      <c r="D38" s="1" t="s">
        <v>20</v>
      </c>
      <c r="E38" s="1" t="s">
        <v>21</v>
      </c>
      <c r="F38" s="1" t="n">
        <v>11</v>
      </c>
      <c r="G38" s="1" t="s">
        <v>27</v>
      </c>
      <c r="H38" s="2" t="n">
        <v>0.1</v>
      </c>
      <c r="I38" s="2" t="n">
        <v>0.170685183565498</v>
      </c>
      <c r="J38" s="2" t="n">
        <v>0.189687164016503</v>
      </c>
      <c r="K38" s="2" t="n">
        <f aca="false">J38-I38</f>
        <v>0.0190019804510049</v>
      </c>
      <c r="L38" s="2" t="n">
        <v>0.806301302771949</v>
      </c>
    </row>
    <row r="39" customFormat="false" ht="15" hidden="false" customHeight="false" outlineLevel="0" collapsed="false">
      <c r="A39" s="1" t="s">
        <v>46</v>
      </c>
      <c r="B39" s="1" t="s">
        <v>47</v>
      </c>
      <c r="C39" s="1" t="s">
        <v>48</v>
      </c>
      <c r="D39" s="1" t="s">
        <v>20</v>
      </c>
      <c r="E39" s="1" t="s">
        <v>21</v>
      </c>
      <c r="F39" s="1" t="n">
        <v>13</v>
      </c>
      <c r="G39" s="1" t="s">
        <v>22</v>
      </c>
      <c r="H39" s="2" t="n">
        <v>0.2492</v>
      </c>
      <c r="I39" s="2" t="n">
        <v>0.257424902814518</v>
      </c>
      <c r="J39" s="2" t="n">
        <v>0.382152686960736</v>
      </c>
      <c r="K39" s="2" t="n">
        <f aca="false">J39-I39</f>
        <v>0.124727784146218</v>
      </c>
      <c r="L39" s="2" t="n">
        <v>0.654420747897195</v>
      </c>
      <c r="N39" s="2" t="n">
        <f aca="false">AVERAGE(K39:K43)</f>
        <v>0.0819414562078262</v>
      </c>
    </row>
    <row r="40" customFormat="false" ht="15" hidden="false" customHeight="false" outlineLevel="0" collapsed="false">
      <c r="A40" s="1" t="s">
        <v>46</v>
      </c>
      <c r="B40" s="1" t="s">
        <v>47</v>
      </c>
      <c r="C40" s="1" t="s">
        <v>48</v>
      </c>
      <c r="D40" s="1" t="s">
        <v>20</v>
      </c>
      <c r="E40" s="1" t="s">
        <v>21</v>
      </c>
      <c r="F40" s="1" t="n">
        <v>13</v>
      </c>
      <c r="G40" s="1" t="s">
        <v>23</v>
      </c>
      <c r="H40" s="2" t="n">
        <v>0.2474</v>
      </c>
      <c r="I40" s="2" t="n">
        <v>0.255545778119487</v>
      </c>
      <c r="J40" s="2" t="n">
        <v>0.33943453148881</v>
      </c>
      <c r="K40" s="2" t="n">
        <f aca="false">J40-I40</f>
        <v>0.0838887533693233</v>
      </c>
      <c r="L40" s="2" t="n">
        <v>0.654420747897195</v>
      </c>
    </row>
    <row r="41" customFormat="false" ht="15" hidden="false" customHeight="false" outlineLevel="0" collapsed="false">
      <c r="A41" s="1" t="s">
        <v>46</v>
      </c>
      <c r="B41" s="1" t="s">
        <v>47</v>
      </c>
      <c r="C41" s="1" t="s">
        <v>48</v>
      </c>
      <c r="D41" s="1" t="s">
        <v>20</v>
      </c>
      <c r="E41" s="1" t="s">
        <v>21</v>
      </c>
      <c r="F41" s="1" t="n">
        <v>13</v>
      </c>
      <c r="G41" s="1" t="s">
        <v>24</v>
      </c>
      <c r="H41" s="2" t="n">
        <v>0.2095</v>
      </c>
      <c r="I41" s="2" t="n">
        <v>0.216439658253151</v>
      </c>
      <c r="J41" s="2" t="n">
        <v>0.298636561025043</v>
      </c>
      <c r="K41" s="2" t="n">
        <f aca="false">J41-I41</f>
        <v>0.0821969027718921</v>
      </c>
      <c r="L41" s="2" t="n">
        <v>0.654420747897195</v>
      </c>
    </row>
    <row r="42" customFormat="false" ht="15" hidden="false" customHeight="false" outlineLevel="0" collapsed="false">
      <c r="A42" s="1" t="s">
        <v>46</v>
      </c>
      <c r="B42" s="1" t="s">
        <v>47</v>
      </c>
      <c r="C42" s="1" t="s">
        <v>48</v>
      </c>
      <c r="D42" s="1" t="s">
        <v>20</v>
      </c>
      <c r="E42" s="1" t="s">
        <v>21</v>
      </c>
      <c r="F42" s="1" t="n">
        <v>13</v>
      </c>
      <c r="G42" s="1" t="s">
        <v>32</v>
      </c>
      <c r="H42" s="2" t="n">
        <v>0.194</v>
      </c>
      <c r="I42" s="2" t="n">
        <v>0.200394052714199</v>
      </c>
      <c r="J42" s="2" t="n">
        <v>0.227779362275451</v>
      </c>
      <c r="K42" s="2" t="n">
        <f aca="false">J42-I42</f>
        <v>0.0273853095612516</v>
      </c>
      <c r="L42" s="2" t="n">
        <v>0.654420747897195</v>
      </c>
    </row>
    <row r="43" customFormat="false" ht="15" hidden="false" customHeight="false" outlineLevel="0" collapsed="false">
      <c r="A43" s="1" t="s">
        <v>46</v>
      </c>
      <c r="B43" s="1" t="s">
        <v>47</v>
      </c>
      <c r="C43" s="1" t="s">
        <v>48</v>
      </c>
      <c r="D43" s="1" t="s">
        <v>20</v>
      </c>
      <c r="E43" s="1" t="s">
        <v>21</v>
      </c>
      <c r="F43" s="1" t="n">
        <v>13</v>
      </c>
      <c r="G43" s="1" t="s">
        <v>27</v>
      </c>
      <c r="H43" s="2" t="n">
        <v>0.1</v>
      </c>
      <c r="I43" s="2" t="n">
        <v>0.13138173191971</v>
      </c>
      <c r="J43" s="2" t="n">
        <v>0.222890263110156</v>
      </c>
      <c r="K43" s="2" t="n">
        <f aca="false">J43-I43</f>
        <v>0.091508531190446</v>
      </c>
      <c r="L43" s="2" t="n">
        <v>0.654420747897195</v>
      </c>
    </row>
    <row r="44" customFormat="false" ht="15" hidden="false" customHeight="false" outlineLevel="0" collapsed="false">
      <c r="A44" s="1" t="s">
        <v>49</v>
      </c>
      <c r="B44" s="1" t="s">
        <v>50</v>
      </c>
      <c r="C44" s="1" t="s">
        <v>51</v>
      </c>
      <c r="D44" s="1" t="s">
        <v>20</v>
      </c>
      <c r="E44" s="1" t="s">
        <v>21</v>
      </c>
      <c r="F44" s="1" t="n">
        <v>15</v>
      </c>
      <c r="G44" s="1" t="s">
        <v>22</v>
      </c>
      <c r="H44" s="2" t="n">
        <v>0.2123</v>
      </c>
      <c r="I44" s="2" t="n">
        <v>0.36532269312237</v>
      </c>
      <c r="J44" s="2" t="n">
        <v>0.41226966983698</v>
      </c>
      <c r="K44" s="2" t="n">
        <f aca="false">J44-I44</f>
        <v>0.0469469767146099</v>
      </c>
      <c r="L44" s="2" t="n">
        <v>0.747457006954611</v>
      </c>
      <c r="N44" s="2" t="n">
        <f aca="false">AVERAGE(K44:K49)</f>
        <v>0.0445181128415814</v>
      </c>
    </row>
    <row r="45" customFormat="false" ht="15" hidden="false" customHeight="false" outlineLevel="0" collapsed="false">
      <c r="A45" s="1" t="s">
        <v>49</v>
      </c>
      <c r="B45" s="1" t="s">
        <v>50</v>
      </c>
      <c r="C45" s="1" t="s">
        <v>51</v>
      </c>
      <c r="D45" s="1" t="s">
        <v>20</v>
      </c>
      <c r="E45" s="1" t="s">
        <v>21</v>
      </c>
      <c r="F45" s="1" t="n">
        <v>15</v>
      </c>
      <c r="G45" s="1" t="s">
        <v>24</v>
      </c>
      <c r="H45" s="2" t="n">
        <v>0.1971</v>
      </c>
      <c r="I45" s="2" t="n">
        <v>0.339152772236936</v>
      </c>
      <c r="J45" s="2" t="n">
        <v>0.342941260792573</v>
      </c>
      <c r="K45" s="2" t="n">
        <f aca="false">J45-I45</f>
        <v>0.0037884885556374</v>
      </c>
      <c r="L45" s="2" t="n">
        <v>0.747457006954611</v>
      </c>
    </row>
    <row r="46" customFormat="false" ht="15" hidden="false" customHeight="false" outlineLevel="0" collapsed="false">
      <c r="A46" s="1" t="s">
        <v>49</v>
      </c>
      <c r="B46" s="1" t="s">
        <v>50</v>
      </c>
      <c r="C46" s="1" t="s">
        <v>51</v>
      </c>
      <c r="D46" s="1" t="s">
        <v>20</v>
      </c>
      <c r="E46" s="1" t="s">
        <v>21</v>
      </c>
      <c r="F46" s="1" t="n">
        <v>15</v>
      </c>
      <c r="G46" s="1" t="s">
        <v>25</v>
      </c>
      <c r="H46" s="2" t="n">
        <v>0.1694</v>
      </c>
      <c r="I46" s="2" t="n">
        <v>0.291586277917792</v>
      </c>
      <c r="J46" s="2" t="n">
        <v>0.371695551243107</v>
      </c>
      <c r="K46" s="2" t="n">
        <f aca="false">J46-I46</f>
        <v>0.080109273325315</v>
      </c>
      <c r="L46" s="2" t="n">
        <v>0.747457006954611</v>
      </c>
    </row>
    <row r="47" customFormat="false" ht="15" hidden="false" customHeight="false" outlineLevel="0" collapsed="false">
      <c r="A47" s="1" t="s">
        <v>49</v>
      </c>
      <c r="B47" s="1" t="s">
        <v>50</v>
      </c>
      <c r="C47" s="1" t="s">
        <v>51</v>
      </c>
      <c r="D47" s="1" t="s">
        <v>20</v>
      </c>
      <c r="E47" s="1" t="s">
        <v>21</v>
      </c>
      <c r="F47" s="1" t="n">
        <v>15</v>
      </c>
      <c r="G47" s="1" t="s">
        <v>23</v>
      </c>
      <c r="H47" s="2" t="n">
        <v>0.1673</v>
      </c>
      <c r="I47" s="2" t="n">
        <v>0.287840915074338</v>
      </c>
      <c r="J47" s="2" t="n">
        <v>0.322626660376266</v>
      </c>
      <c r="K47" s="2" t="n">
        <f aca="false">J47-I47</f>
        <v>0.0347857453019281</v>
      </c>
      <c r="L47" s="2" t="n">
        <v>0.747457006954611</v>
      </c>
    </row>
    <row r="48" customFormat="false" ht="15" hidden="false" customHeight="false" outlineLevel="0" collapsed="false">
      <c r="A48" s="1" t="s">
        <v>49</v>
      </c>
      <c r="B48" s="1" t="s">
        <v>50</v>
      </c>
      <c r="C48" s="1" t="s">
        <v>51</v>
      </c>
      <c r="D48" s="1" t="s">
        <v>20</v>
      </c>
      <c r="E48" s="1" t="s">
        <v>21</v>
      </c>
      <c r="F48" s="1" t="n">
        <v>15</v>
      </c>
      <c r="G48" s="1" t="s">
        <v>31</v>
      </c>
      <c r="H48" s="2" t="n">
        <v>0.1539</v>
      </c>
      <c r="I48" s="2" t="n">
        <v>0.26480919959615</v>
      </c>
      <c r="J48" s="2" t="n">
        <v>0.332998383400013</v>
      </c>
      <c r="K48" s="2" t="n">
        <f aca="false">J48-I48</f>
        <v>0.0681891838038631</v>
      </c>
      <c r="L48" s="2" t="n">
        <v>0.747457006954611</v>
      </c>
    </row>
    <row r="49" customFormat="false" ht="15" hidden="false" customHeight="false" outlineLevel="0" collapsed="false">
      <c r="A49" s="1" t="s">
        <v>49</v>
      </c>
      <c r="B49" s="1" t="s">
        <v>50</v>
      </c>
      <c r="C49" s="1" t="s">
        <v>51</v>
      </c>
      <c r="D49" s="1" t="s">
        <v>20</v>
      </c>
      <c r="E49" s="1" t="s">
        <v>21</v>
      </c>
      <c r="F49" s="1" t="n">
        <v>15</v>
      </c>
      <c r="G49" s="1" t="s">
        <v>27</v>
      </c>
      <c r="H49" s="2" t="n">
        <v>0.1</v>
      </c>
      <c r="I49" s="2" t="n">
        <v>0.200493137932009</v>
      </c>
      <c r="J49" s="2" t="n">
        <v>0.233782147280144</v>
      </c>
      <c r="K49" s="2" t="n">
        <f aca="false">J49-I49</f>
        <v>0.0332890093481351</v>
      </c>
      <c r="L49" s="2" t="n">
        <v>0.747457006954611</v>
      </c>
    </row>
    <row r="50" customFormat="false" ht="15" hidden="false" customHeight="false" outlineLevel="0" collapsed="false">
      <c r="A50" s="1" t="s">
        <v>52</v>
      </c>
      <c r="B50" s="1" t="s">
        <v>53</v>
      </c>
      <c r="C50" s="1" t="s">
        <v>54</v>
      </c>
      <c r="D50" s="1" t="s">
        <v>20</v>
      </c>
      <c r="E50" s="1" t="s">
        <v>21</v>
      </c>
      <c r="F50" s="1" t="n">
        <v>17</v>
      </c>
      <c r="G50" s="1" t="s">
        <v>22</v>
      </c>
      <c r="H50" s="2" t="n">
        <v>0.2164</v>
      </c>
      <c r="I50" s="2" t="n">
        <v>0.413169380179059</v>
      </c>
      <c r="J50" s="2" t="n">
        <v>0.38882025763929</v>
      </c>
      <c r="K50" s="2" t="n">
        <f aca="false">J50-I50</f>
        <v>-0.0243491225397695</v>
      </c>
      <c r="L50" s="2" t="n">
        <v>0.763154436571465</v>
      </c>
      <c r="N50" s="2" t="n">
        <f aca="false">AVERAGE(K50:K55)</f>
        <v>-0.00121538794797228</v>
      </c>
    </row>
    <row r="51" customFormat="false" ht="15" hidden="false" customHeight="false" outlineLevel="0" collapsed="false">
      <c r="A51" s="1" t="s">
        <v>52</v>
      </c>
      <c r="B51" s="1" t="s">
        <v>53</v>
      </c>
      <c r="C51" s="1" t="s">
        <v>54</v>
      </c>
      <c r="D51" s="1" t="s">
        <v>20</v>
      </c>
      <c r="E51" s="1" t="s">
        <v>21</v>
      </c>
      <c r="F51" s="1" t="n">
        <v>17</v>
      </c>
      <c r="G51" s="1" t="s">
        <v>24</v>
      </c>
      <c r="H51" s="2" t="n">
        <v>0.1815</v>
      </c>
      <c r="I51" s="2" t="n">
        <v>0.346438180723769</v>
      </c>
      <c r="J51" s="2" t="n">
        <v>0.308202118901064</v>
      </c>
      <c r="K51" s="2" t="n">
        <f aca="false">J51-I51</f>
        <v>-0.0382360618227049</v>
      </c>
      <c r="L51" s="2" t="n">
        <v>0.763154436571465</v>
      </c>
    </row>
    <row r="52" customFormat="false" ht="15" hidden="false" customHeight="false" outlineLevel="0" collapsed="false">
      <c r="A52" s="1" t="s">
        <v>52</v>
      </c>
      <c r="B52" s="1" t="s">
        <v>53</v>
      </c>
      <c r="C52" s="1" t="s">
        <v>54</v>
      </c>
      <c r="D52" s="1" t="s">
        <v>20</v>
      </c>
      <c r="E52" s="1" t="s">
        <v>21</v>
      </c>
      <c r="F52" s="1" t="n">
        <v>17</v>
      </c>
      <c r="G52" s="1" t="s">
        <v>23</v>
      </c>
      <c r="H52" s="2" t="n">
        <v>0.1783</v>
      </c>
      <c r="I52" s="2" t="n">
        <v>0.340420018960154</v>
      </c>
      <c r="J52" s="2" t="n">
        <v>0.346780986016926</v>
      </c>
      <c r="K52" s="2" t="n">
        <f aca="false">J52-I52</f>
        <v>0.00636096705677208</v>
      </c>
      <c r="L52" s="2" t="n">
        <v>0.763154436571465</v>
      </c>
    </row>
    <row r="53" customFormat="false" ht="15" hidden="false" customHeight="false" outlineLevel="0" collapsed="false">
      <c r="A53" s="1" t="s">
        <v>52</v>
      </c>
      <c r="B53" s="1" t="s">
        <v>53</v>
      </c>
      <c r="C53" s="1" t="s">
        <v>54</v>
      </c>
      <c r="D53" s="1" t="s">
        <v>20</v>
      </c>
      <c r="E53" s="1" t="s">
        <v>21</v>
      </c>
      <c r="F53" s="1" t="n">
        <v>17</v>
      </c>
      <c r="G53" s="1" t="s">
        <v>31</v>
      </c>
      <c r="H53" s="2" t="n">
        <v>0.1679</v>
      </c>
      <c r="I53" s="2" t="n">
        <v>0.320442407053953</v>
      </c>
      <c r="J53" s="2" t="n">
        <v>0.323212756747921</v>
      </c>
      <c r="K53" s="2" t="n">
        <f aca="false">J53-I53</f>
        <v>0.00277034969396883</v>
      </c>
      <c r="L53" s="2" t="n">
        <v>0.763154436571465</v>
      </c>
    </row>
    <row r="54" customFormat="false" ht="15" hidden="false" customHeight="false" outlineLevel="0" collapsed="false">
      <c r="A54" s="1" t="s">
        <v>52</v>
      </c>
      <c r="B54" s="1" t="s">
        <v>53</v>
      </c>
      <c r="C54" s="1" t="s">
        <v>54</v>
      </c>
      <c r="D54" s="1" t="s">
        <v>20</v>
      </c>
      <c r="E54" s="1" t="s">
        <v>21</v>
      </c>
      <c r="F54" s="1" t="n">
        <v>17</v>
      </c>
      <c r="G54" s="1" t="s">
        <v>25</v>
      </c>
      <c r="H54" s="2" t="n">
        <v>0.1559</v>
      </c>
      <c r="I54" s="2" t="n">
        <v>0.297609828470825</v>
      </c>
      <c r="J54" s="2" t="n">
        <v>0.316587896204524</v>
      </c>
      <c r="K54" s="2" t="n">
        <f aca="false">J54-I54</f>
        <v>0.0189780677336995</v>
      </c>
      <c r="L54" s="2" t="n">
        <v>0.763154436571465</v>
      </c>
    </row>
    <row r="55" customFormat="false" ht="15" hidden="false" customHeight="false" outlineLevel="0" collapsed="false">
      <c r="A55" s="1" t="s">
        <v>52</v>
      </c>
      <c r="B55" s="1" t="s">
        <v>53</v>
      </c>
      <c r="C55" s="1" t="s">
        <v>54</v>
      </c>
      <c r="D55" s="1" t="s">
        <v>20</v>
      </c>
      <c r="E55" s="1" t="s">
        <v>21</v>
      </c>
      <c r="F55" s="1" t="n">
        <v>17</v>
      </c>
      <c r="G55" s="1" t="s">
        <v>27</v>
      </c>
      <c r="H55" s="2" t="n">
        <v>0.1</v>
      </c>
      <c r="I55" s="2" t="n">
        <v>0.217553529805366</v>
      </c>
      <c r="J55" s="2" t="n">
        <v>0.244737001995566</v>
      </c>
      <c r="K55" s="2" t="n">
        <f aca="false">J55-I55</f>
        <v>0.0271834721902003</v>
      </c>
      <c r="L55" s="2" t="n">
        <v>0.763154436571465</v>
      </c>
    </row>
    <row r="56" customFormat="false" ht="15" hidden="false" customHeight="false" outlineLevel="0" collapsed="false">
      <c r="A56" s="1" t="s">
        <v>55</v>
      </c>
      <c r="B56" s="1" t="s">
        <v>56</v>
      </c>
      <c r="C56" s="1" t="s">
        <v>57</v>
      </c>
      <c r="D56" s="1" t="s">
        <v>20</v>
      </c>
      <c r="E56" s="1" t="s">
        <v>21</v>
      </c>
      <c r="F56" s="1" t="n">
        <v>19</v>
      </c>
      <c r="G56" s="1" t="s">
        <v>22</v>
      </c>
      <c r="H56" s="2" t="n">
        <v>0.2064</v>
      </c>
      <c r="I56" s="2" t="n">
        <v>0.322080124480274</v>
      </c>
      <c r="J56" s="2" t="n">
        <v>0.342366017322887</v>
      </c>
      <c r="K56" s="2" t="n">
        <f aca="false">J56-I56</f>
        <v>0.0202858928426132</v>
      </c>
      <c r="L56" s="2" t="n">
        <v>0.745298826492448</v>
      </c>
      <c r="N56" s="2" t="n">
        <f aca="false">AVERAGE(K56:K61)</f>
        <v>0.0369604412591809</v>
      </c>
    </row>
    <row r="57" customFormat="false" ht="15" hidden="false" customHeight="false" outlineLevel="0" collapsed="false">
      <c r="A57" s="1" t="s">
        <v>55</v>
      </c>
      <c r="B57" s="1" t="s">
        <v>56</v>
      </c>
      <c r="C57" s="1" t="s">
        <v>57</v>
      </c>
      <c r="D57" s="1" t="s">
        <v>20</v>
      </c>
      <c r="E57" s="1" t="s">
        <v>21</v>
      </c>
      <c r="F57" s="1" t="n">
        <v>19</v>
      </c>
      <c r="G57" s="1" t="s">
        <v>31</v>
      </c>
      <c r="H57" s="2" t="n">
        <v>0.1874</v>
      </c>
      <c r="I57" s="2" t="n">
        <v>0.292482591342557</v>
      </c>
      <c r="J57" s="2" t="n">
        <v>0.293549035980895</v>
      </c>
      <c r="K57" s="2" t="n">
        <f aca="false">J57-I57</f>
        <v>0.00106644463833805</v>
      </c>
      <c r="L57" s="2" t="n">
        <v>0.745298826492448</v>
      </c>
    </row>
    <row r="58" customFormat="false" ht="15" hidden="false" customHeight="false" outlineLevel="0" collapsed="false">
      <c r="A58" s="1" t="s">
        <v>55</v>
      </c>
      <c r="B58" s="1" t="s">
        <v>56</v>
      </c>
      <c r="C58" s="1" t="s">
        <v>57</v>
      </c>
      <c r="D58" s="1" t="s">
        <v>20</v>
      </c>
      <c r="E58" s="1" t="s">
        <v>21</v>
      </c>
      <c r="F58" s="1" t="n">
        <v>19</v>
      </c>
      <c r="G58" s="1" t="s">
        <v>23</v>
      </c>
      <c r="H58" s="2" t="n">
        <v>0.1778</v>
      </c>
      <c r="I58" s="2" t="n">
        <v>0.277396812887809</v>
      </c>
      <c r="J58" s="2" t="n">
        <v>0.299813397624634</v>
      </c>
      <c r="K58" s="2" t="n">
        <f aca="false">J58-I58</f>
        <v>0.0224165847368251</v>
      </c>
      <c r="L58" s="2" t="n">
        <v>0.745298826492448</v>
      </c>
    </row>
    <row r="59" customFormat="false" ht="15" hidden="false" customHeight="false" outlineLevel="0" collapsed="false">
      <c r="A59" s="1" t="s">
        <v>55</v>
      </c>
      <c r="B59" s="1" t="s">
        <v>56</v>
      </c>
      <c r="C59" s="1" t="s">
        <v>57</v>
      </c>
      <c r="D59" s="1" t="s">
        <v>20</v>
      </c>
      <c r="E59" s="1" t="s">
        <v>21</v>
      </c>
      <c r="F59" s="1" t="n">
        <v>19</v>
      </c>
      <c r="G59" s="1" t="s">
        <v>24</v>
      </c>
      <c r="H59" s="2" t="n">
        <v>0.1665</v>
      </c>
      <c r="I59" s="2" t="n">
        <v>0.259870419653937</v>
      </c>
      <c r="J59" s="2" t="n">
        <v>0.318966534384646</v>
      </c>
      <c r="K59" s="2" t="n">
        <f aca="false">J59-I59</f>
        <v>0.0590961147307096</v>
      </c>
      <c r="L59" s="2" t="n">
        <v>0.745298826492448</v>
      </c>
    </row>
    <row r="60" customFormat="false" ht="15" hidden="false" customHeight="false" outlineLevel="0" collapsed="false">
      <c r="A60" s="1" t="s">
        <v>55</v>
      </c>
      <c r="B60" s="1" t="s">
        <v>56</v>
      </c>
      <c r="C60" s="1" t="s">
        <v>57</v>
      </c>
      <c r="D60" s="1" t="s">
        <v>20</v>
      </c>
      <c r="E60" s="1" t="s">
        <v>21</v>
      </c>
      <c r="F60" s="1" t="n">
        <v>19</v>
      </c>
      <c r="G60" s="1" t="s">
        <v>25</v>
      </c>
      <c r="H60" s="2" t="n">
        <v>0.1619</v>
      </c>
      <c r="I60" s="2" t="n">
        <v>0.252632245174316</v>
      </c>
      <c r="J60" s="2" t="n">
        <v>0.295320716026228</v>
      </c>
      <c r="K60" s="2" t="n">
        <f aca="false">J60-I60</f>
        <v>0.0426884708519124</v>
      </c>
      <c r="L60" s="2" t="n">
        <v>0.745298826492448</v>
      </c>
    </row>
    <row r="61" customFormat="false" ht="15" hidden="false" customHeight="false" outlineLevel="0" collapsed="false">
      <c r="A61" s="1" t="s">
        <v>55</v>
      </c>
      <c r="B61" s="1" t="s">
        <v>56</v>
      </c>
      <c r="C61" s="1" t="s">
        <v>57</v>
      </c>
      <c r="D61" s="1" t="s">
        <v>20</v>
      </c>
      <c r="E61" s="1" t="s">
        <v>21</v>
      </c>
      <c r="F61" s="1" t="n">
        <v>19</v>
      </c>
      <c r="G61" s="1" t="s">
        <v>27</v>
      </c>
      <c r="H61" s="2" t="n">
        <v>0.1</v>
      </c>
      <c r="I61" s="2" t="n">
        <v>0.193805560548054</v>
      </c>
      <c r="J61" s="2" t="n">
        <v>0.270014700302741</v>
      </c>
      <c r="K61" s="2" t="n">
        <f aca="false">J61-I61</f>
        <v>0.0762091397546872</v>
      </c>
      <c r="L61" s="2" t="n">
        <v>0.745298826492448</v>
      </c>
    </row>
    <row r="62" customFormat="false" ht="15" hidden="false" customHeight="false" outlineLevel="0" collapsed="false">
      <c r="A62" s="1" t="s">
        <v>58</v>
      </c>
      <c r="B62" s="1" t="s">
        <v>59</v>
      </c>
      <c r="C62" s="1" t="s">
        <v>60</v>
      </c>
      <c r="D62" s="1" t="s">
        <v>20</v>
      </c>
      <c r="E62" s="1" t="s">
        <v>21</v>
      </c>
      <c r="F62" s="1" t="n">
        <v>21</v>
      </c>
      <c r="G62" s="1" t="s">
        <v>23</v>
      </c>
      <c r="H62" s="2" t="n">
        <v>0.198</v>
      </c>
      <c r="I62" s="2" t="n">
        <v>0.273389269331012</v>
      </c>
      <c r="J62" s="2" t="n">
        <v>0.303316849336241</v>
      </c>
      <c r="K62" s="2" t="n">
        <f aca="false">J62-I62</f>
        <v>0.0299275800052291</v>
      </c>
      <c r="L62" s="2" t="n">
        <v>0.703599427390625</v>
      </c>
      <c r="N62" s="2" t="n">
        <f aca="false">AVERAGE(K62:K67)</f>
        <v>0.0349379133428232</v>
      </c>
    </row>
    <row r="63" customFormat="false" ht="15" hidden="false" customHeight="false" outlineLevel="0" collapsed="false">
      <c r="A63" s="1" t="s">
        <v>58</v>
      </c>
      <c r="B63" s="1" t="s">
        <v>59</v>
      </c>
      <c r="C63" s="1" t="s">
        <v>60</v>
      </c>
      <c r="D63" s="1" t="s">
        <v>20</v>
      </c>
      <c r="E63" s="1" t="s">
        <v>21</v>
      </c>
      <c r="F63" s="1" t="n">
        <v>21</v>
      </c>
      <c r="G63" s="1" t="s">
        <v>22</v>
      </c>
      <c r="H63" s="2" t="n">
        <v>0.1945</v>
      </c>
      <c r="I63" s="2" t="n">
        <v>0.268574294235419</v>
      </c>
      <c r="J63" s="2" t="n">
        <v>0.334293089847719</v>
      </c>
      <c r="K63" s="2" t="n">
        <f aca="false">J63-I63</f>
        <v>0.0657187956123001</v>
      </c>
      <c r="L63" s="2" t="n">
        <v>0.703599427390625</v>
      </c>
    </row>
    <row r="64" customFormat="false" ht="15" hidden="false" customHeight="false" outlineLevel="0" collapsed="false">
      <c r="A64" s="1" t="s">
        <v>58</v>
      </c>
      <c r="B64" s="1" t="s">
        <v>59</v>
      </c>
      <c r="C64" s="1" t="s">
        <v>60</v>
      </c>
      <c r="D64" s="1" t="s">
        <v>20</v>
      </c>
      <c r="E64" s="1" t="s">
        <v>21</v>
      </c>
      <c r="F64" s="1" t="n">
        <v>21</v>
      </c>
      <c r="G64" s="1" t="s">
        <v>24</v>
      </c>
      <c r="H64" s="2" t="n">
        <v>0.1856</v>
      </c>
      <c r="I64" s="2" t="n">
        <v>0.256259648306957</v>
      </c>
      <c r="J64" s="2" t="n">
        <v>0.251194651688882</v>
      </c>
      <c r="K64" s="2" t="n">
        <f aca="false">J64-I64</f>
        <v>-0.00506499661807475</v>
      </c>
      <c r="L64" s="2" t="n">
        <v>0.703599427390625</v>
      </c>
    </row>
    <row r="65" customFormat="false" ht="15" hidden="false" customHeight="false" outlineLevel="0" collapsed="false">
      <c r="A65" s="1" t="s">
        <v>58</v>
      </c>
      <c r="B65" s="1" t="s">
        <v>59</v>
      </c>
      <c r="C65" s="1" t="s">
        <v>60</v>
      </c>
      <c r="D65" s="1" t="s">
        <v>20</v>
      </c>
      <c r="E65" s="1" t="s">
        <v>21</v>
      </c>
      <c r="F65" s="1" t="n">
        <v>21</v>
      </c>
      <c r="G65" s="1" t="s">
        <v>26</v>
      </c>
      <c r="H65" s="2" t="n">
        <v>0.1625</v>
      </c>
      <c r="I65" s="2" t="n">
        <v>0.224458978108907</v>
      </c>
      <c r="J65" s="2" t="n">
        <v>0.305379009711747</v>
      </c>
      <c r="K65" s="2" t="n">
        <f aca="false">J65-I65</f>
        <v>0.0809200316028402</v>
      </c>
      <c r="L65" s="2" t="n">
        <v>0.703599427390625</v>
      </c>
    </row>
    <row r="66" customFormat="false" ht="15" hidden="false" customHeight="false" outlineLevel="0" collapsed="false">
      <c r="A66" s="1" t="s">
        <v>58</v>
      </c>
      <c r="B66" s="1" t="s">
        <v>59</v>
      </c>
      <c r="C66" s="1" t="s">
        <v>60</v>
      </c>
      <c r="D66" s="1" t="s">
        <v>20</v>
      </c>
      <c r="E66" s="1" t="s">
        <v>21</v>
      </c>
      <c r="F66" s="1" t="n">
        <v>21</v>
      </c>
      <c r="G66" s="1" t="s">
        <v>32</v>
      </c>
      <c r="H66" s="2" t="n">
        <v>0.1594</v>
      </c>
      <c r="I66" s="2" t="n">
        <v>0.220160661714992</v>
      </c>
      <c r="J66" s="2" t="n">
        <v>0.21987267422935</v>
      </c>
      <c r="K66" s="2" t="n">
        <f aca="false">J66-I66</f>
        <v>-0.000287987485642904</v>
      </c>
      <c r="L66" s="2" t="n">
        <v>0.703599427390625</v>
      </c>
    </row>
    <row r="67" customFormat="false" ht="15" hidden="false" customHeight="false" outlineLevel="0" collapsed="false">
      <c r="A67" s="1" t="s">
        <v>58</v>
      </c>
      <c r="B67" s="1" t="s">
        <v>59</v>
      </c>
      <c r="C67" s="1" t="s">
        <v>60</v>
      </c>
      <c r="D67" s="1" t="s">
        <v>20</v>
      </c>
      <c r="E67" s="1" t="s">
        <v>21</v>
      </c>
      <c r="F67" s="1" t="n">
        <v>21</v>
      </c>
      <c r="G67" s="1" t="s">
        <v>27</v>
      </c>
      <c r="H67" s="2" t="n">
        <v>0.1</v>
      </c>
      <c r="I67" s="2" t="n">
        <v>0.171543061134259</v>
      </c>
      <c r="J67" s="2" t="n">
        <v>0.209957118074546</v>
      </c>
      <c r="K67" s="2" t="n">
        <f aca="false">J67-I67</f>
        <v>0.0384140569402873</v>
      </c>
      <c r="L67" s="2" t="n">
        <v>0.703599427390625</v>
      </c>
    </row>
    <row r="68" customFormat="false" ht="15" hidden="false" customHeight="false" outlineLevel="0" collapsed="false">
      <c r="A68" s="1" t="s">
        <v>61</v>
      </c>
      <c r="B68" s="1" t="s">
        <v>62</v>
      </c>
      <c r="C68" s="1" t="s">
        <v>63</v>
      </c>
      <c r="D68" s="1" t="s">
        <v>20</v>
      </c>
      <c r="E68" s="1" t="s">
        <v>21</v>
      </c>
      <c r="F68" s="1" t="n">
        <v>23</v>
      </c>
      <c r="G68" s="1" t="s">
        <v>22</v>
      </c>
      <c r="H68" s="2" t="n">
        <v>0.2107</v>
      </c>
      <c r="I68" s="2" t="n">
        <v>0.307836001838514</v>
      </c>
      <c r="J68" s="2" t="n">
        <v>0.359254056722997</v>
      </c>
      <c r="K68" s="2" t="n">
        <f aca="false">J68-I68</f>
        <v>0.0514180548844834</v>
      </c>
      <c r="L68" s="2" t="n">
        <v>0.792291119607581</v>
      </c>
      <c r="N68" s="2" t="n">
        <f aca="false">AVERAGE(K68:K73)</f>
        <v>0.04105535980079</v>
      </c>
    </row>
    <row r="69" customFormat="false" ht="15" hidden="false" customHeight="false" outlineLevel="0" collapsed="false">
      <c r="A69" s="1" t="s">
        <v>61</v>
      </c>
      <c r="B69" s="1" t="s">
        <v>62</v>
      </c>
      <c r="C69" s="1" t="s">
        <v>63</v>
      </c>
      <c r="D69" s="1" t="s">
        <v>20</v>
      </c>
      <c r="E69" s="1" t="s">
        <v>21</v>
      </c>
      <c r="F69" s="1" t="n">
        <v>23</v>
      </c>
      <c r="G69" s="1" t="s">
        <v>23</v>
      </c>
      <c r="H69" s="2" t="n">
        <v>0.1879</v>
      </c>
      <c r="I69" s="2" t="n">
        <v>0.274448770462749</v>
      </c>
      <c r="J69" s="2" t="n">
        <v>0.337131629038872</v>
      </c>
      <c r="K69" s="2" t="n">
        <f aca="false">J69-I69</f>
        <v>0.0626828585761228</v>
      </c>
      <c r="L69" s="2" t="n">
        <v>0.792291119607581</v>
      </c>
    </row>
    <row r="70" customFormat="false" ht="15" hidden="false" customHeight="false" outlineLevel="0" collapsed="false">
      <c r="A70" s="1" t="s">
        <v>61</v>
      </c>
      <c r="B70" s="1" t="s">
        <v>62</v>
      </c>
      <c r="C70" s="1" t="s">
        <v>63</v>
      </c>
      <c r="D70" s="1" t="s">
        <v>20</v>
      </c>
      <c r="E70" s="1" t="s">
        <v>21</v>
      </c>
      <c r="F70" s="1" t="n">
        <v>23</v>
      </c>
      <c r="G70" s="1" t="s">
        <v>26</v>
      </c>
      <c r="H70" s="2" t="n">
        <v>0.1737</v>
      </c>
      <c r="I70" s="2" t="n">
        <v>0.253693637691848</v>
      </c>
      <c r="J70" s="2" t="n">
        <v>0.260420422083096</v>
      </c>
      <c r="K70" s="2" t="n">
        <f aca="false">J70-I70</f>
        <v>0.00672678439124819</v>
      </c>
      <c r="L70" s="2" t="n">
        <v>0.792291119607581</v>
      </c>
    </row>
    <row r="71" customFormat="false" ht="15" hidden="false" customHeight="false" outlineLevel="0" collapsed="false">
      <c r="A71" s="1" t="s">
        <v>61</v>
      </c>
      <c r="B71" s="1" t="s">
        <v>62</v>
      </c>
      <c r="C71" s="1" t="s">
        <v>63</v>
      </c>
      <c r="D71" s="1" t="s">
        <v>20</v>
      </c>
      <c r="E71" s="1" t="s">
        <v>21</v>
      </c>
      <c r="F71" s="1" t="n">
        <v>23</v>
      </c>
      <c r="G71" s="1" t="s">
        <v>24</v>
      </c>
      <c r="H71" s="2" t="n">
        <v>0.1644</v>
      </c>
      <c r="I71" s="2" t="n">
        <v>0.240225279229205</v>
      </c>
      <c r="J71" s="2" t="n">
        <v>0.256831593512958</v>
      </c>
      <c r="K71" s="2" t="n">
        <f aca="false">J71-I71</f>
        <v>0.0166063142837522</v>
      </c>
      <c r="L71" s="2" t="n">
        <v>0.792291119607581</v>
      </c>
    </row>
    <row r="72" customFormat="false" ht="15" hidden="false" customHeight="false" outlineLevel="0" collapsed="false">
      <c r="A72" s="1" t="s">
        <v>61</v>
      </c>
      <c r="B72" s="1" t="s">
        <v>62</v>
      </c>
      <c r="C72" s="1" t="s">
        <v>63</v>
      </c>
      <c r="D72" s="1" t="s">
        <v>20</v>
      </c>
      <c r="E72" s="1" t="s">
        <v>21</v>
      </c>
      <c r="F72" s="1" t="n">
        <v>23</v>
      </c>
      <c r="G72" s="1" t="s">
        <v>31</v>
      </c>
      <c r="H72" s="2" t="n">
        <v>0.1633</v>
      </c>
      <c r="I72" s="2" t="n">
        <v>0.23862532807156</v>
      </c>
      <c r="J72" s="2" t="n">
        <v>0.29728599196322</v>
      </c>
      <c r="K72" s="2" t="n">
        <f aca="false">J72-I72</f>
        <v>0.0586606638916596</v>
      </c>
      <c r="L72" s="2" t="n">
        <v>0.792291119607581</v>
      </c>
    </row>
    <row r="73" customFormat="false" ht="15" hidden="false" customHeight="false" outlineLevel="0" collapsed="false">
      <c r="A73" s="1" t="s">
        <v>61</v>
      </c>
      <c r="B73" s="1" t="s">
        <v>62</v>
      </c>
      <c r="C73" s="1" t="s">
        <v>63</v>
      </c>
      <c r="D73" s="1" t="s">
        <v>20</v>
      </c>
      <c r="E73" s="1" t="s">
        <v>21</v>
      </c>
      <c r="F73" s="1" t="n">
        <v>23</v>
      </c>
      <c r="G73" s="1" t="s">
        <v>27</v>
      </c>
      <c r="H73" s="2" t="n">
        <v>0.1</v>
      </c>
      <c r="I73" s="2" t="n">
        <v>0.167819397920414</v>
      </c>
      <c r="J73" s="2" t="n">
        <v>0.218056880697888</v>
      </c>
      <c r="K73" s="2" t="n">
        <f aca="false">J73-I73</f>
        <v>0.050237482777474</v>
      </c>
      <c r="L73" s="2" t="n">
        <v>0.792291119607581</v>
      </c>
    </row>
    <row r="74" customFormat="false" ht="15" hidden="false" customHeight="false" outlineLevel="0" collapsed="false">
      <c r="A74" s="1" t="s">
        <v>64</v>
      </c>
      <c r="B74" s="1" t="s">
        <v>65</v>
      </c>
      <c r="C74" s="1" t="s">
        <v>66</v>
      </c>
      <c r="D74" s="1" t="s">
        <v>20</v>
      </c>
      <c r="E74" s="1" t="s">
        <v>21</v>
      </c>
      <c r="F74" s="1" t="n">
        <v>25</v>
      </c>
      <c r="G74" s="1" t="s">
        <v>22</v>
      </c>
      <c r="H74" s="2" t="n">
        <v>0.2536</v>
      </c>
      <c r="I74" s="2" t="n">
        <v>0.258824088844699</v>
      </c>
      <c r="J74" s="2" t="n">
        <v>0.375717954653467</v>
      </c>
      <c r="K74" s="2" t="n">
        <f aca="false">J74-I74</f>
        <v>0.116893865808768</v>
      </c>
      <c r="L74" s="2" t="n">
        <v>0.742748844142451</v>
      </c>
      <c r="N74" s="2" t="n">
        <f aca="false">AVERAGE(K74:K78)</f>
        <v>0.107563636691092</v>
      </c>
    </row>
    <row r="75" customFormat="false" ht="15" hidden="false" customHeight="false" outlineLevel="0" collapsed="false">
      <c r="A75" s="1" t="s">
        <v>64</v>
      </c>
      <c r="B75" s="1" t="s">
        <v>65</v>
      </c>
      <c r="C75" s="1" t="s">
        <v>66</v>
      </c>
      <c r="D75" s="1" t="s">
        <v>20</v>
      </c>
      <c r="E75" s="1" t="s">
        <v>21</v>
      </c>
      <c r="F75" s="1" t="n">
        <v>25</v>
      </c>
      <c r="G75" s="1" t="s">
        <v>23</v>
      </c>
      <c r="H75" s="2" t="n">
        <v>0.2337</v>
      </c>
      <c r="I75" s="2" t="n">
        <v>0.238554654050422</v>
      </c>
      <c r="J75" s="2" t="n">
        <v>0.291419683789428</v>
      </c>
      <c r="K75" s="2" t="n">
        <f aca="false">J75-I75</f>
        <v>0.0528650297390057</v>
      </c>
      <c r="L75" s="2" t="n">
        <v>0.742748844142451</v>
      </c>
    </row>
    <row r="76" customFormat="false" ht="15" hidden="false" customHeight="false" outlineLevel="0" collapsed="false">
      <c r="A76" s="1" t="s">
        <v>64</v>
      </c>
      <c r="B76" s="1" t="s">
        <v>65</v>
      </c>
      <c r="C76" s="1" t="s">
        <v>66</v>
      </c>
      <c r="D76" s="1" t="s">
        <v>20</v>
      </c>
      <c r="E76" s="1" t="s">
        <v>21</v>
      </c>
      <c r="F76" s="1" t="n">
        <v>25</v>
      </c>
      <c r="G76" s="1" t="s">
        <v>26</v>
      </c>
      <c r="H76" s="2" t="n">
        <v>0.2152</v>
      </c>
      <c r="I76" s="2" t="n">
        <v>0.219694105120496</v>
      </c>
      <c r="J76" s="2" t="n">
        <v>0.319819758309204</v>
      </c>
      <c r="K76" s="2" t="n">
        <f aca="false">J76-I76</f>
        <v>0.100125653188708</v>
      </c>
      <c r="L76" s="2" t="n">
        <v>0.742748844142451</v>
      </c>
    </row>
    <row r="77" customFormat="false" ht="15" hidden="false" customHeight="false" outlineLevel="0" collapsed="false">
      <c r="A77" s="1" t="s">
        <v>64</v>
      </c>
      <c r="B77" s="1" t="s">
        <v>65</v>
      </c>
      <c r="C77" s="1" t="s">
        <v>66</v>
      </c>
      <c r="D77" s="1" t="s">
        <v>20</v>
      </c>
      <c r="E77" s="1" t="s">
        <v>21</v>
      </c>
      <c r="F77" s="1" t="n">
        <v>25</v>
      </c>
      <c r="G77" s="1" t="s">
        <v>25</v>
      </c>
      <c r="H77" s="2" t="n">
        <v>0.1975</v>
      </c>
      <c r="I77" s="2" t="n">
        <v>0.20164077818152</v>
      </c>
      <c r="J77" s="2" t="n">
        <v>0.36625291895624</v>
      </c>
      <c r="K77" s="2" t="n">
        <f aca="false">J77-I77</f>
        <v>0.164612140774719</v>
      </c>
      <c r="L77" s="2" t="n">
        <v>0.742748844142451</v>
      </c>
    </row>
    <row r="78" customFormat="false" ht="15" hidden="false" customHeight="false" outlineLevel="0" collapsed="false">
      <c r="A78" s="1" t="s">
        <v>64</v>
      </c>
      <c r="B78" s="1" t="s">
        <v>65</v>
      </c>
      <c r="C78" s="1" t="s">
        <v>66</v>
      </c>
      <c r="D78" s="1" t="s">
        <v>20</v>
      </c>
      <c r="E78" s="1" t="s">
        <v>21</v>
      </c>
      <c r="F78" s="1" t="n">
        <v>25</v>
      </c>
      <c r="G78" s="1" t="s">
        <v>27</v>
      </c>
      <c r="H78" s="2" t="n">
        <v>0.1</v>
      </c>
      <c r="I78" s="2" t="n">
        <v>0.158682059756643</v>
      </c>
      <c r="J78" s="2" t="n">
        <v>0.262003553700903</v>
      </c>
      <c r="K78" s="2" t="n">
        <f aca="false">J78-I78</f>
        <v>0.10332149394426</v>
      </c>
      <c r="L78" s="2" t="n">
        <v>0.742748844142451</v>
      </c>
    </row>
    <row r="79" customFormat="false" ht="15" hidden="false" customHeight="false" outlineLevel="0" collapsed="false">
      <c r="A79" s="1" t="s">
        <v>67</v>
      </c>
      <c r="B79" s="1" t="s">
        <v>68</v>
      </c>
      <c r="C79" s="1" t="s">
        <v>69</v>
      </c>
      <c r="D79" s="1" t="s">
        <v>20</v>
      </c>
      <c r="E79" s="1" t="s">
        <v>21</v>
      </c>
      <c r="F79" s="1" t="n">
        <v>27</v>
      </c>
      <c r="G79" s="1" t="s">
        <v>22</v>
      </c>
      <c r="H79" s="2" t="n">
        <v>0.209</v>
      </c>
      <c r="I79" s="2" t="n">
        <v>0.349377755677031</v>
      </c>
      <c r="J79" s="2" t="n">
        <v>0.386304855349228</v>
      </c>
      <c r="K79" s="2" t="n">
        <f aca="false">J79-I79</f>
        <v>0.0369270996721975</v>
      </c>
      <c r="L79" s="2" t="n">
        <v>0.730739032742495</v>
      </c>
      <c r="N79" s="2" t="n">
        <f aca="false">AVERAGE(K79:K84)</f>
        <v>0.0021965662563218</v>
      </c>
    </row>
    <row r="80" customFormat="false" ht="15" hidden="false" customHeight="false" outlineLevel="0" collapsed="false">
      <c r="A80" s="1" t="s">
        <v>67</v>
      </c>
      <c r="B80" s="1" t="s">
        <v>68</v>
      </c>
      <c r="C80" s="1" t="s">
        <v>69</v>
      </c>
      <c r="D80" s="1" t="s">
        <v>20</v>
      </c>
      <c r="E80" s="1" t="s">
        <v>21</v>
      </c>
      <c r="F80" s="1" t="n">
        <v>27</v>
      </c>
      <c r="G80" s="1" t="s">
        <v>23</v>
      </c>
      <c r="H80" s="2" t="n">
        <v>0.1821</v>
      </c>
      <c r="I80" s="2" t="n">
        <v>0.304379748704701</v>
      </c>
      <c r="J80" s="2" t="n">
        <v>0.319286236951135</v>
      </c>
      <c r="K80" s="2" t="n">
        <f aca="false">J80-I80</f>
        <v>0.0149064882464343</v>
      </c>
      <c r="L80" s="2" t="n">
        <v>0.730739032742495</v>
      </c>
    </row>
    <row r="81" customFormat="false" ht="15" hidden="false" customHeight="false" outlineLevel="0" collapsed="false">
      <c r="A81" s="1" t="s">
        <v>67</v>
      </c>
      <c r="B81" s="1" t="s">
        <v>68</v>
      </c>
      <c r="C81" s="1" t="s">
        <v>69</v>
      </c>
      <c r="D81" s="1" t="s">
        <v>20</v>
      </c>
      <c r="E81" s="1" t="s">
        <v>21</v>
      </c>
      <c r="F81" s="1" t="n">
        <v>27</v>
      </c>
      <c r="G81" s="1" t="s">
        <v>24</v>
      </c>
      <c r="H81" s="2" t="n">
        <v>0.175</v>
      </c>
      <c r="I81" s="2" t="n">
        <v>0.292578225101274</v>
      </c>
      <c r="J81" s="2" t="n">
        <v>0.255318417453115</v>
      </c>
      <c r="K81" s="2" t="n">
        <f aca="false">J81-I81</f>
        <v>-0.0372598076481595</v>
      </c>
      <c r="L81" s="2" t="n">
        <v>0.730739032742495</v>
      </c>
    </row>
    <row r="82" customFormat="false" ht="15" hidden="false" customHeight="false" outlineLevel="0" collapsed="false">
      <c r="A82" s="1" t="s">
        <v>67</v>
      </c>
      <c r="B82" s="1" t="s">
        <v>68</v>
      </c>
      <c r="C82" s="1" t="s">
        <v>69</v>
      </c>
      <c r="D82" s="1" t="s">
        <v>20</v>
      </c>
      <c r="E82" s="1" t="s">
        <v>21</v>
      </c>
      <c r="F82" s="1" t="n">
        <v>27</v>
      </c>
      <c r="G82" s="1" t="s">
        <v>25</v>
      </c>
      <c r="H82" s="2" t="n">
        <v>0.171</v>
      </c>
      <c r="I82" s="2" t="n">
        <v>0.285903370425952</v>
      </c>
      <c r="J82" s="2" t="n">
        <v>0.283620267554344</v>
      </c>
      <c r="K82" s="2" t="n">
        <f aca="false">J82-I82</f>
        <v>-0.00228310287160877</v>
      </c>
      <c r="L82" s="2" t="n">
        <v>0.730739032742495</v>
      </c>
    </row>
    <row r="83" customFormat="false" ht="15" hidden="false" customHeight="false" outlineLevel="0" collapsed="false">
      <c r="A83" s="1" t="s">
        <v>67</v>
      </c>
      <c r="B83" s="1" t="s">
        <v>68</v>
      </c>
      <c r="C83" s="1" t="s">
        <v>69</v>
      </c>
      <c r="D83" s="1" t="s">
        <v>20</v>
      </c>
      <c r="E83" s="1" t="s">
        <v>21</v>
      </c>
      <c r="F83" s="1" t="n">
        <v>27</v>
      </c>
      <c r="G83" s="1" t="s">
        <v>26</v>
      </c>
      <c r="H83" s="2" t="n">
        <v>0.1629</v>
      </c>
      <c r="I83" s="2" t="n">
        <v>0.272311419196816</v>
      </c>
      <c r="J83" s="2" t="n">
        <v>0.275697822955745</v>
      </c>
      <c r="K83" s="2" t="n">
        <f aca="false">J83-I83</f>
        <v>0.00338640375892907</v>
      </c>
      <c r="L83" s="2" t="n">
        <v>0.730739032742495</v>
      </c>
    </row>
    <row r="84" customFormat="false" ht="15" hidden="false" customHeight="false" outlineLevel="0" collapsed="false">
      <c r="A84" s="1" t="s">
        <v>67</v>
      </c>
      <c r="B84" s="1" t="s">
        <v>68</v>
      </c>
      <c r="C84" s="1" t="s">
        <v>69</v>
      </c>
      <c r="D84" s="1" t="s">
        <v>20</v>
      </c>
      <c r="E84" s="1" t="s">
        <v>21</v>
      </c>
      <c r="F84" s="1" t="n">
        <v>27</v>
      </c>
      <c r="G84" s="1" t="s">
        <v>27</v>
      </c>
      <c r="H84" s="2" t="n">
        <v>0.1</v>
      </c>
      <c r="I84" s="2" t="n">
        <v>0.230671104805962</v>
      </c>
      <c r="J84" s="2" t="n">
        <v>0.2281734211861</v>
      </c>
      <c r="K84" s="2" t="n">
        <f aca="false">J84-I84</f>
        <v>-0.0024976836198618</v>
      </c>
      <c r="L84" s="2" t="n">
        <v>0.730739032742495</v>
      </c>
    </row>
    <row r="85" customFormat="false" ht="15" hidden="false" customHeight="false" outlineLevel="0" collapsed="false">
      <c r="A85" s="1" t="s">
        <v>70</v>
      </c>
      <c r="B85" s="1" t="s">
        <v>71</v>
      </c>
      <c r="C85" s="1" t="s">
        <v>72</v>
      </c>
      <c r="D85" s="1" t="s">
        <v>20</v>
      </c>
      <c r="E85" s="1" t="s">
        <v>21</v>
      </c>
      <c r="F85" s="1" t="n">
        <v>29</v>
      </c>
      <c r="G85" s="1" t="s">
        <v>22</v>
      </c>
      <c r="H85" s="2" t="n">
        <v>0.223</v>
      </c>
      <c r="I85" s="2" t="n">
        <v>0.351665302387532</v>
      </c>
      <c r="J85" s="2" t="n">
        <v>0.392038636807518</v>
      </c>
      <c r="K85" s="2" t="n">
        <f aca="false">J85-I85</f>
        <v>0.0403733344199858</v>
      </c>
      <c r="L85" s="2" t="n">
        <v>0.727501533855859</v>
      </c>
      <c r="N85" s="2" t="n">
        <f aca="false">AVERAGE(K85:K90)</f>
        <v>0.0524222167362872</v>
      </c>
    </row>
    <row r="86" customFormat="false" ht="15" hidden="false" customHeight="false" outlineLevel="0" collapsed="false">
      <c r="A86" s="1" t="s">
        <v>70</v>
      </c>
      <c r="B86" s="1" t="s">
        <v>71</v>
      </c>
      <c r="C86" s="1" t="s">
        <v>72</v>
      </c>
      <c r="D86" s="1" t="s">
        <v>20</v>
      </c>
      <c r="E86" s="1" t="s">
        <v>21</v>
      </c>
      <c r="F86" s="1" t="n">
        <v>29</v>
      </c>
      <c r="G86" s="1" t="s">
        <v>23</v>
      </c>
      <c r="H86" s="2" t="n">
        <v>0.1872</v>
      </c>
      <c r="I86" s="2" t="n">
        <v>0.295201633000537</v>
      </c>
      <c r="J86" s="2" t="n">
        <v>0.32303725180597</v>
      </c>
      <c r="K86" s="2" t="n">
        <f aca="false">J86-I86</f>
        <v>0.0278356188054329</v>
      </c>
      <c r="L86" s="2" t="n">
        <v>0.727501533855859</v>
      </c>
    </row>
    <row r="87" customFormat="false" ht="15" hidden="false" customHeight="false" outlineLevel="0" collapsed="false">
      <c r="A87" s="1" t="s">
        <v>70</v>
      </c>
      <c r="B87" s="1" t="s">
        <v>71</v>
      </c>
      <c r="C87" s="1" t="s">
        <v>72</v>
      </c>
      <c r="D87" s="1" t="s">
        <v>20</v>
      </c>
      <c r="E87" s="1" t="s">
        <v>21</v>
      </c>
      <c r="F87" s="1" t="n">
        <v>29</v>
      </c>
      <c r="G87" s="1" t="s">
        <v>24</v>
      </c>
      <c r="H87" s="2" t="n">
        <v>0.1727</v>
      </c>
      <c r="I87" s="2" t="n">
        <v>0.272296307683375</v>
      </c>
      <c r="J87" s="2" t="n">
        <v>0.33167459195202</v>
      </c>
      <c r="K87" s="2" t="n">
        <f aca="false">J87-I87</f>
        <v>0.059378284268645</v>
      </c>
      <c r="L87" s="2" t="n">
        <v>0.727501533855859</v>
      </c>
    </row>
    <row r="88" customFormat="false" ht="15" hidden="false" customHeight="false" outlineLevel="0" collapsed="false">
      <c r="A88" s="1" t="s">
        <v>70</v>
      </c>
      <c r="B88" s="1" t="s">
        <v>71</v>
      </c>
      <c r="C88" s="1" t="s">
        <v>72</v>
      </c>
      <c r="D88" s="1" t="s">
        <v>20</v>
      </c>
      <c r="E88" s="1" t="s">
        <v>21</v>
      </c>
      <c r="F88" s="1" t="n">
        <v>29</v>
      </c>
      <c r="G88" s="1" t="s">
        <v>31</v>
      </c>
      <c r="H88" s="2" t="n">
        <v>0.1665</v>
      </c>
      <c r="I88" s="2" t="n">
        <v>0.262530054903863</v>
      </c>
      <c r="J88" s="2" t="n">
        <v>0.330402497767868</v>
      </c>
      <c r="K88" s="2" t="n">
        <f aca="false">J88-I88</f>
        <v>0.0678724428640056</v>
      </c>
      <c r="L88" s="2" t="n">
        <v>0.727501533855859</v>
      </c>
    </row>
    <row r="89" customFormat="false" ht="15" hidden="false" customHeight="false" outlineLevel="0" collapsed="false">
      <c r="A89" s="1" t="s">
        <v>70</v>
      </c>
      <c r="B89" s="1" t="s">
        <v>71</v>
      </c>
      <c r="C89" s="1" t="s">
        <v>72</v>
      </c>
      <c r="D89" s="1" t="s">
        <v>20</v>
      </c>
      <c r="E89" s="1" t="s">
        <v>21</v>
      </c>
      <c r="F89" s="1" t="n">
        <v>29</v>
      </c>
      <c r="G89" s="1" t="s">
        <v>73</v>
      </c>
      <c r="H89" s="2" t="n">
        <v>0.1507</v>
      </c>
      <c r="I89" s="2" t="n">
        <v>0.237699489640484</v>
      </c>
      <c r="J89" s="2" t="n">
        <v>0.2826088474692</v>
      </c>
      <c r="K89" s="2" t="n">
        <f aca="false">J89-I89</f>
        <v>0.044909357828716</v>
      </c>
      <c r="L89" s="2" t="n">
        <v>0.727501533855859</v>
      </c>
    </row>
    <row r="90" customFormat="false" ht="15" hidden="false" customHeight="false" outlineLevel="0" collapsed="false">
      <c r="A90" s="1" t="s">
        <v>70</v>
      </c>
      <c r="B90" s="1" t="s">
        <v>71</v>
      </c>
      <c r="C90" s="1" t="s">
        <v>72</v>
      </c>
      <c r="D90" s="1" t="s">
        <v>20</v>
      </c>
      <c r="E90" s="1" t="s">
        <v>21</v>
      </c>
      <c r="F90" s="1" t="n">
        <v>29</v>
      </c>
      <c r="G90" s="1" t="s">
        <v>27</v>
      </c>
      <c r="H90" s="2" t="n">
        <v>0.1</v>
      </c>
      <c r="I90" s="2" t="n">
        <v>0.185952610918981</v>
      </c>
      <c r="J90" s="2" t="n">
        <v>0.260116873149918</v>
      </c>
      <c r="K90" s="2" t="n">
        <f aca="false">J90-I90</f>
        <v>0.0741642622309377</v>
      </c>
      <c r="L90" s="2" t="n">
        <v>0.727501533855859</v>
      </c>
    </row>
    <row r="91" customFormat="false" ht="15" hidden="false" customHeight="false" outlineLevel="0" collapsed="false">
      <c r="A91" s="1" t="s">
        <v>74</v>
      </c>
      <c r="B91" s="1" t="s">
        <v>75</v>
      </c>
      <c r="C91" s="1" t="s">
        <v>76</v>
      </c>
      <c r="D91" s="1" t="s">
        <v>20</v>
      </c>
      <c r="E91" s="1" t="s">
        <v>21</v>
      </c>
      <c r="F91" s="1" t="n">
        <v>31</v>
      </c>
      <c r="G91" s="1" t="s">
        <v>22</v>
      </c>
      <c r="H91" s="2" t="n">
        <v>0.2062</v>
      </c>
      <c r="I91" s="2" t="n">
        <v>0.313836097013842</v>
      </c>
      <c r="J91" s="2" t="n">
        <v>0.339166076690833</v>
      </c>
      <c r="K91" s="2" t="n">
        <f aca="false">J91-I91</f>
        <v>0.0253299796769918</v>
      </c>
      <c r="L91" s="2" t="n">
        <v>0.69212024380659</v>
      </c>
      <c r="N91" s="2" t="n">
        <f aca="false">AVERAGE(K91:K96)</f>
        <v>0.0493893540512425</v>
      </c>
    </row>
    <row r="92" customFormat="false" ht="15" hidden="false" customHeight="false" outlineLevel="0" collapsed="false">
      <c r="A92" s="1" t="s">
        <v>74</v>
      </c>
      <c r="B92" s="1" t="s">
        <v>75</v>
      </c>
      <c r="C92" s="1" t="s">
        <v>76</v>
      </c>
      <c r="D92" s="1" t="s">
        <v>20</v>
      </c>
      <c r="E92" s="1" t="s">
        <v>21</v>
      </c>
      <c r="F92" s="1" t="n">
        <v>31</v>
      </c>
      <c r="G92" s="1" t="s">
        <v>23</v>
      </c>
      <c r="H92" s="2" t="n">
        <v>0.1808</v>
      </c>
      <c r="I92" s="2" t="n">
        <v>0.275282961895482</v>
      </c>
      <c r="J92" s="2" t="n">
        <v>0.332582583046372</v>
      </c>
      <c r="K92" s="2" t="n">
        <f aca="false">J92-I92</f>
        <v>0.0572996211508898</v>
      </c>
      <c r="L92" s="2" t="n">
        <v>0.69212024380659</v>
      </c>
    </row>
    <row r="93" customFormat="false" ht="15" hidden="false" customHeight="false" outlineLevel="0" collapsed="false">
      <c r="A93" s="1" t="s">
        <v>74</v>
      </c>
      <c r="B93" s="1" t="s">
        <v>75</v>
      </c>
      <c r="C93" s="1" t="s">
        <v>76</v>
      </c>
      <c r="D93" s="1" t="s">
        <v>20</v>
      </c>
      <c r="E93" s="1" t="s">
        <v>21</v>
      </c>
      <c r="F93" s="1" t="n">
        <v>31</v>
      </c>
      <c r="G93" s="1" t="s">
        <v>24</v>
      </c>
      <c r="H93" s="2" t="n">
        <v>0.1795</v>
      </c>
      <c r="I93" s="2" t="n">
        <v>0.273303105293248</v>
      </c>
      <c r="J93" s="2" t="n">
        <v>0.319216561483693</v>
      </c>
      <c r="K93" s="2" t="n">
        <f aca="false">J93-I93</f>
        <v>0.0459134561904447</v>
      </c>
      <c r="L93" s="2" t="n">
        <v>0.69212024380659</v>
      </c>
    </row>
    <row r="94" customFormat="false" ht="15" hidden="false" customHeight="false" outlineLevel="0" collapsed="false">
      <c r="A94" s="1" t="s">
        <v>74</v>
      </c>
      <c r="B94" s="1" t="s">
        <v>75</v>
      </c>
      <c r="C94" s="1" t="s">
        <v>76</v>
      </c>
      <c r="D94" s="1" t="s">
        <v>20</v>
      </c>
      <c r="E94" s="1" t="s">
        <v>21</v>
      </c>
      <c r="F94" s="1" t="n">
        <v>31</v>
      </c>
      <c r="G94" s="1" t="s">
        <v>32</v>
      </c>
      <c r="H94" s="2" t="n">
        <v>0.1717</v>
      </c>
      <c r="I94" s="2" t="n">
        <v>0.261341970843054</v>
      </c>
      <c r="J94" s="2" t="n">
        <v>0.273706834981054</v>
      </c>
      <c r="K94" s="2" t="n">
        <f aca="false">J94-I94</f>
        <v>0.0123648641379995</v>
      </c>
      <c r="L94" s="2" t="n">
        <v>0.69212024380659</v>
      </c>
    </row>
    <row r="95" customFormat="false" ht="15" hidden="false" customHeight="false" outlineLevel="0" collapsed="false">
      <c r="A95" s="1" t="s">
        <v>74</v>
      </c>
      <c r="B95" s="1" t="s">
        <v>75</v>
      </c>
      <c r="C95" s="1" t="s">
        <v>76</v>
      </c>
      <c r="D95" s="1" t="s">
        <v>20</v>
      </c>
      <c r="E95" s="1" t="s">
        <v>21</v>
      </c>
      <c r="F95" s="1" t="n">
        <v>31</v>
      </c>
      <c r="G95" s="1" t="s">
        <v>31</v>
      </c>
      <c r="H95" s="2" t="n">
        <v>0.1618</v>
      </c>
      <c r="I95" s="2" t="n">
        <v>0.246315507446822</v>
      </c>
      <c r="J95" s="2" t="n">
        <v>0.30331869729778</v>
      </c>
      <c r="K95" s="2" t="n">
        <f aca="false">J95-I95</f>
        <v>0.057003189850958</v>
      </c>
      <c r="L95" s="2" t="n">
        <v>0.69212024380659</v>
      </c>
    </row>
    <row r="96" customFormat="false" ht="15" hidden="false" customHeight="false" outlineLevel="0" collapsed="false">
      <c r="A96" s="1" t="s">
        <v>74</v>
      </c>
      <c r="B96" s="1" t="s">
        <v>75</v>
      </c>
      <c r="C96" s="1" t="s">
        <v>76</v>
      </c>
      <c r="D96" s="1" t="s">
        <v>20</v>
      </c>
      <c r="E96" s="1" t="s">
        <v>21</v>
      </c>
      <c r="F96" s="1" t="n">
        <v>31</v>
      </c>
      <c r="G96" s="1" t="s">
        <v>27</v>
      </c>
      <c r="H96" s="2" t="n">
        <v>0.1</v>
      </c>
      <c r="I96" s="2" t="n">
        <v>0.155638967194636</v>
      </c>
      <c r="J96" s="2" t="n">
        <v>0.254063980494808</v>
      </c>
      <c r="K96" s="2" t="n">
        <f aca="false">J96-I96</f>
        <v>0.0984250133001712</v>
      </c>
      <c r="L96" s="2" t="n">
        <v>0.69212024380659</v>
      </c>
    </row>
    <row r="97" customFormat="false" ht="15" hidden="false" customHeight="false" outlineLevel="0" collapsed="false">
      <c r="A97" s="1" t="s">
        <v>77</v>
      </c>
      <c r="B97" s="1" t="s">
        <v>78</v>
      </c>
      <c r="C97" s="1" t="s">
        <v>79</v>
      </c>
      <c r="D97" s="1" t="s">
        <v>20</v>
      </c>
      <c r="E97" s="1" t="s">
        <v>21</v>
      </c>
      <c r="F97" s="1" t="n">
        <v>33</v>
      </c>
      <c r="G97" s="1" t="s">
        <v>22</v>
      </c>
      <c r="H97" s="2" t="n">
        <v>0.205</v>
      </c>
      <c r="I97" s="2" t="n">
        <v>0.280494992565752</v>
      </c>
      <c r="J97" s="2" t="n">
        <v>0.374952150569836</v>
      </c>
      <c r="K97" s="2" t="n">
        <f aca="false">J97-I97</f>
        <v>0.0944571580040848</v>
      </c>
      <c r="L97" s="2" t="n">
        <v>0.719549537838803</v>
      </c>
      <c r="N97" s="2" t="n">
        <f aca="false">AVERAGE(K97:K102)</f>
        <v>0.0576845107645722</v>
      </c>
    </row>
    <row r="98" customFormat="false" ht="15" hidden="false" customHeight="false" outlineLevel="0" collapsed="false">
      <c r="A98" s="1" t="s">
        <v>77</v>
      </c>
      <c r="B98" s="1" t="s">
        <v>78</v>
      </c>
      <c r="C98" s="1" t="s">
        <v>79</v>
      </c>
      <c r="D98" s="1" t="s">
        <v>20</v>
      </c>
      <c r="E98" s="1" t="s">
        <v>21</v>
      </c>
      <c r="F98" s="1" t="n">
        <v>33</v>
      </c>
      <c r="G98" s="1" t="s">
        <v>23</v>
      </c>
      <c r="H98" s="2" t="n">
        <v>0.2003</v>
      </c>
      <c r="I98" s="2" t="n">
        <v>0.274058191578869</v>
      </c>
      <c r="J98" s="2" t="n">
        <v>0.326155954460701</v>
      </c>
      <c r="K98" s="2" t="n">
        <f aca="false">J98-I98</f>
        <v>0.0520977628818324</v>
      </c>
      <c r="L98" s="2" t="n">
        <v>0.719549537838803</v>
      </c>
    </row>
    <row r="99" customFormat="false" ht="15" hidden="false" customHeight="false" outlineLevel="0" collapsed="false">
      <c r="A99" s="1" t="s">
        <v>77</v>
      </c>
      <c r="B99" s="1" t="s">
        <v>78</v>
      </c>
      <c r="C99" s="1" t="s">
        <v>79</v>
      </c>
      <c r="D99" s="1" t="s">
        <v>20</v>
      </c>
      <c r="E99" s="1" t="s">
        <v>21</v>
      </c>
      <c r="F99" s="1" t="n">
        <v>33</v>
      </c>
      <c r="G99" s="1" t="s">
        <v>32</v>
      </c>
      <c r="H99" s="2" t="n">
        <v>0.1816</v>
      </c>
      <c r="I99" s="2" t="n">
        <v>0.248425723166947</v>
      </c>
      <c r="J99" s="2" t="n">
        <v>0.238781399531945</v>
      </c>
      <c r="K99" s="2" t="n">
        <f aca="false">J99-I99</f>
        <v>-0.00964432363500201</v>
      </c>
      <c r="L99" s="2" t="n">
        <v>0.719549537838803</v>
      </c>
    </row>
    <row r="100" customFormat="false" ht="15" hidden="false" customHeight="false" outlineLevel="0" collapsed="false">
      <c r="A100" s="1" t="s">
        <v>77</v>
      </c>
      <c r="B100" s="1" t="s">
        <v>78</v>
      </c>
      <c r="C100" s="1" t="s">
        <v>79</v>
      </c>
      <c r="D100" s="1" t="s">
        <v>20</v>
      </c>
      <c r="E100" s="1" t="s">
        <v>21</v>
      </c>
      <c r="F100" s="1" t="n">
        <v>33</v>
      </c>
      <c r="G100" s="1" t="s">
        <v>31</v>
      </c>
      <c r="H100" s="2" t="n">
        <v>0.1572</v>
      </c>
      <c r="I100" s="2" t="n">
        <v>0.215110914513327</v>
      </c>
      <c r="J100" s="2" t="n">
        <v>0.297629434938</v>
      </c>
      <c r="K100" s="2" t="n">
        <f aca="false">J100-I100</f>
        <v>0.0825185204246726</v>
      </c>
      <c r="L100" s="2" t="n">
        <v>0.719549537838803</v>
      </c>
    </row>
    <row r="101" customFormat="false" ht="15" hidden="false" customHeight="false" outlineLevel="0" collapsed="false">
      <c r="A101" s="1" t="s">
        <v>77</v>
      </c>
      <c r="B101" s="1" t="s">
        <v>78</v>
      </c>
      <c r="C101" s="1" t="s">
        <v>79</v>
      </c>
      <c r="D101" s="1" t="s">
        <v>20</v>
      </c>
      <c r="E101" s="1" t="s">
        <v>21</v>
      </c>
      <c r="F101" s="1" t="n">
        <v>33</v>
      </c>
      <c r="G101" s="1" t="s">
        <v>24</v>
      </c>
      <c r="H101" s="2" t="n">
        <v>0.1559</v>
      </c>
      <c r="I101" s="2" t="n">
        <v>0.213359757397597</v>
      </c>
      <c r="J101" s="2" t="n">
        <v>0.27859891886121</v>
      </c>
      <c r="K101" s="2" t="n">
        <f aca="false">J101-I101</f>
        <v>0.0652391614636124</v>
      </c>
      <c r="L101" s="2" t="n">
        <v>0.719549537838803</v>
      </c>
    </row>
    <row r="102" customFormat="false" ht="15" hidden="false" customHeight="false" outlineLevel="0" collapsed="false">
      <c r="A102" s="1" t="s">
        <v>77</v>
      </c>
      <c r="B102" s="1" t="s">
        <v>78</v>
      </c>
      <c r="C102" s="1" t="s">
        <v>79</v>
      </c>
      <c r="D102" s="1" t="s">
        <v>20</v>
      </c>
      <c r="E102" s="1" t="s">
        <v>21</v>
      </c>
      <c r="F102" s="1" t="n">
        <v>33</v>
      </c>
      <c r="G102" s="1" t="s">
        <v>27</v>
      </c>
      <c r="H102" s="2" t="n">
        <v>0.1</v>
      </c>
      <c r="I102" s="2" t="n">
        <v>0.155108723030574</v>
      </c>
      <c r="J102" s="2" t="n">
        <v>0.216547508478807</v>
      </c>
      <c r="K102" s="2" t="n">
        <f aca="false">J102-I102</f>
        <v>0.061438785448233</v>
      </c>
      <c r="L102" s="2" t="n">
        <v>0.719549537838803</v>
      </c>
    </row>
    <row r="103" customFormat="false" ht="15" hidden="false" customHeight="false" outlineLevel="0" collapsed="false">
      <c r="A103" s="1" t="s">
        <v>80</v>
      </c>
      <c r="B103" s="1" t="s">
        <v>81</v>
      </c>
      <c r="C103" s="1" t="s">
        <v>82</v>
      </c>
      <c r="D103" s="1" t="s">
        <v>20</v>
      </c>
      <c r="E103" s="1" t="s">
        <v>21</v>
      </c>
      <c r="F103" s="1" t="n">
        <v>35</v>
      </c>
      <c r="G103" s="1" t="s">
        <v>22</v>
      </c>
      <c r="H103" s="2" t="n">
        <v>0.2133</v>
      </c>
      <c r="I103" s="2" t="n">
        <v>0.326773175428022</v>
      </c>
      <c r="J103" s="2" t="n">
        <v>0.367226548380929</v>
      </c>
      <c r="K103" s="2" t="n">
        <f aca="false">J103-I103</f>
        <v>0.0404533729529066</v>
      </c>
      <c r="L103" s="2" t="n">
        <v>0.708540087240829</v>
      </c>
      <c r="N103" s="2" t="n">
        <f aca="false">AVERAGE(K103:K108)</f>
        <v>0.0544551204871106</v>
      </c>
    </row>
    <row r="104" customFormat="false" ht="15" hidden="false" customHeight="false" outlineLevel="0" collapsed="false">
      <c r="A104" s="1" t="s">
        <v>80</v>
      </c>
      <c r="B104" s="1" t="s">
        <v>81</v>
      </c>
      <c r="C104" s="1" t="s">
        <v>82</v>
      </c>
      <c r="D104" s="1" t="s">
        <v>20</v>
      </c>
      <c r="E104" s="1" t="s">
        <v>21</v>
      </c>
      <c r="F104" s="1" t="n">
        <v>35</v>
      </c>
      <c r="G104" s="1" t="s">
        <v>23</v>
      </c>
      <c r="H104" s="2" t="n">
        <v>0.2066</v>
      </c>
      <c r="I104" s="2" t="n">
        <v>0.316447905481</v>
      </c>
      <c r="J104" s="2" t="n">
        <v>0.339555569338655</v>
      </c>
      <c r="K104" s="2" t="n">
        <f aca="false">J104-I104</f>
        <v>0.0231076638576549</v>
      </c>
      <c r="L104" s="2" t="n">
        <v>0.708540087240829</v>
      </c>
    </row>
    <row r="105" customFormat="false" ht="15" hidden="false" customHeight="false" outlineLevel="0" collapsed="false">
      <c r="A105" s="1" t="s">
        <v>80</v>
      </c>
      <c r="B105" s="1" t="s">
        <v>81</v>
      </c>
      <c r="C105" s="1" t="s">
        <v>82</v>
      </c>
      <c r="D105" s="1" t="s">
        <v>20</v>
      </c>
      <c r="E105" s="1" t="s">
        <v>21</v>
      </c>
      <c r="F105" s="1" t="n">
        <v>35</v>
      </c>
      <c r="G105" s="1" t="s">
        <v>24</v>
      </c>
      <c r="H105" s="2" t="n">
        <v>0.1654</v>
      </c>
      <c r="I105" s="2" t="n">
        <v>0.253377657579056</v>
      </c>
      <c r="J105" s="2" t="n">
        <v>0.291041030850661</v>
      </c>
      <c r="K105" s="2" t="n">
        <f aca="false">J105-I105</f>
        <v>0.0376633732716049</v>
      </c>
      <c r="L105" s="2" t="n">
        <v>0.708540087240829</v>
      </c>
    </row>
    <row r="106" customFormat="false" ht="15" hidden="false" customHeight="false" outlineLevel="0" collapsed="false">
      <c r="A106" s="1" t="s">
        <v>80</v>
      </c>
      <c r="B106" s="1" t="s">
        <v>81</v>
      </c>
      <c r="C106" s="1" t="s">
        <v>82</v>
      </c>
      <c r="D106" s="1" t="s">
        <v>20</v>
      </c>
      <c r="E106" s="1" t="s">
        <v>21</v>
      </c>
      <c r="F106" s="1" t="n">
        <v>35</v>
      </c>
      <c r="G106" s="1" t="s">
        <v>31</v>
      </c>
      <c r="H106" s="2" t="n">
        <v>0.1622</v>
      </c>
      <c r="I106" s="2" t="n">
        <v>0.248412242230072</v>
      </c>
      <c r="J106" s="2" t="n">
        <v>0.291049239813124</v>
      </c>
      <c r="K106" s="2" t="n">
        <f aca="false">J106-I106</f>
        <v>0.0426369975830518</v>
      </c>
      <c r="L106" s="2" t="n">
        <v>0.708540087240829</v>
      </c>
    </row>
    <row r="107" customFormat="false" ht="15" hidden="false" customHeight="false" outlineLevel="0" collapsed="false">
      <c r="A107" s="1" t="s">
        <v>80</v>
      </c>
      <c r="B107" s="1" t="s">
        <v>81</v>
      </c>
      <c r="C107" s="1" t="s">
        <v>82</v>
      </c>
      <c r="D107" s="1" t="s">
        <v>20</v>
      </c>
      <c r="E107" s="1" t="s">
        <v>21</v>
      </c>
      <c r="F107" s="1" t="n">
        <v>35</v>
      </c>
      <c r="G107" s="1" t="s">
        <v>25</v>
      </c>
      <c r="H107" s="2" t="n">
        <v>0.1525</v>
      </c>
      <c r="I107" s="2" t="n">
        <v>0.233666393422824</v>
      </c>
      <c r="J107" s="2" t="n">
        <v>0.359159353379764</v>
      </c>
      <c r="K107" s="2" t="n">
        <f aca="false">J107-I107</f>
        <v>0.12549295995694</v>
      </c>
      <c r="L107" s="2" t="n">
        <v>0.708540087240829</v>
      </c>
    </row>
    <row r="108" customFormat="false" ht="15" hidden="false" customHeight="false" outlineLevel="0" collapsed="false">
      <c r="A108" s="1" t="s">
        <v>80</v>
      </c>
      <c r="B108" s="1" t="s">
        <v>81</v>
      </c>
      <c r="C108" s="1" t="s">
        <v>82</v>
      </c>
      <c r="D108" s="1" t="s">
        <v>20</v>
      </c>
      <c r="E108" s="1" t="s">
        <v>21</v>
      </c>
      <c r="F108" s="1" t="n">
        <v>35</v>
      </c>
      <c r="G108" s="1" t="s">
        <v>27</v>
      </c>
      <c r="H108" s="2" t="n">
        <v>0.1</v>
      </c>
      <c r="I108" s="2" t="n">
        <v>0.203288538386538</v>
      </c>
      <c r="J108" s="2" t="n">
        <v>0.260664893687043</v>
      </c>
      <c r="K108" s="2" t="n">
        <f aca="false">J108-I108</f>
        <v>0.0573763553005054</v>
      </c>
      <c r="L108" s="2" t="n">
        <v>0.708540087240829</v>
      </c>
    </row>
    <row r="109" customFormat="false" ht="15" hidden="false" customHeight="false" outlineLevel="0" collapsed="false">
      <c r="A109" s="1" t="s">
        <v>83</v>
      </c>
      <c r="B109" s="1" t="s">
        <v>84</v>
      </c>
      <c r="C109" s="1" t="s">
        <v>85</v>
      </c>
      <c r="D109" s="1" t="s">
        <v>20</v>
      </c>
      <c r="E109" s="1" t="s">
        <v>21</v>
      </c>
      <c r="F109" s="1" t="n">
        <v>37</v>
      </c>
      <c r="G109" s="1" t="s">
        <v>22</v>
      </c>
      <c r="H109" s="2" t="n">
        <v>0.2171</v>
      </c>
      <c r="I109" s="2" t="n">
        <v>0.361303592873996</v>
      </c>
      <c r="J109" s="2" t="n">
        <v>0.355660827580258</v>
      </c>
      <c r="K109" s="2" t="n">
        <f aca="false">J109-I109</f>
        <v>-0.00564276529373747</v>
      </c>
      <c r="L109" s="2" t="n">
        <v>0.706775862145744</v>
      </c>
      <c r="N109" s="2" t="n">
        <f aca="false">AVERAGE(K109:K114)</f>
        <v>-0.00559981801409047</v>
      </c>
    </row>
    <row r="110" customFormat="false" ht="15" hidden="false" customHeight="false" outlineLevel="0" collapsed="false">
      <c r="A110" s="1" t="s">
        <v>83</v>
      </c>
      <c r="B110" s="1" t="s">
        <v>84</v>
      </c>
      <c r="C110" s="1" t="s">
        <v>85</v>
      </c>
      <c r="D110" s="1" t="s">
        <v>20</v>
      </c>
      <c r="E110" s="1" t="s">
        <v>21</v>
      </c>
      <c r="F110" s="1" t="n">
        <v>37</v>
      </c>
      <c r="G110" s="1" t="s">
        <v>23</v>
      </c>
      <c r="H110" s="2" t="n">
        <v>0.1769</v>
      </c>
      <c r="I110" s="2" t="n">
        <v>0.294407006332392</v>
      </c>
      <c r="J110" s="2" t="n">
        <v>0.288350589381264</v>
      </c>
      <c r="K110" s="2" t="n">
        <f aca="false">J110-I110</f>
        <v>-0.0060564169511283</v>
      </c>
      <c r="L110" s="2" t="n">
        <v>0.706775862145744</v>
      </c>
    </row>
    <row r="111" customFormat="false" ht="15" hidden="false" customHeight="false" outlineLevel="0" collapsed="false">
      <c r="A111" s="1" t="s">
        <v>83</v>
      </c>
      <c r="B111" s="1" t="s">
        <v>84</v>
      </c>
      <c r="C111" s="1" t="s">
        <v>85</v>
      </c>
      <c r="D111" s="1" t="s">
        <v>20</v>
      </c>
      <c r="E111" s="1" t="s">
        <v>21</v>
      </c>
      <c r="F111" s="1" t="n">
        <v>37</v>
      </c>
      <c r="G111" s="1" t="s">
        <v>24</v>
      </c>
      <c r="H111" s="2" t="n">
        <v>0.1757</v>
      </c>
      <c r="I111" s="2" t="n">
        <v>0.292347019966881</v>
      </c>
      <c r="J111" s="2" t="n">
        <v>0.294116990522577</v>
      </c>
      <c r="K111" s="2" t="n">
        <f aca="false">J111-I111</f>
        <v>0.00176997055569678</v>
      </c>
      <c r="L111" s="2" t="n">
        <v>0.706775862145744</v>
      </c>
    </row>
    <row r="112" customFormat="false" ht="15" hidden="false" customHeight="false" outlineLevel="0" collapsed="false">
      <c r="A112" s="1" t="s">
        <v>83</v>
      </c>
      <c r="B112" s="1" t="s">
        <v>84</v>
      </c>
      <c r="C112" s="1" t="s">
        <v>85</v>
      </c>
      <c r="D112" s="1" t="s">
        <v>20</v>
      </c>
      <c r="E112" s="1" t="s">
        <v>21</v>
      </c>
      <c r="F112" s="1" t="n">
        <v>37</v>
      </c>
      <c r="G112" s="1" t="s">
        <v>25</v>
      </c>
      <c r="H112" s="2" t="n">
        <v>0.1715</v>
      </c>
      <c r="I112" s="2" t="n">
        <v>0.285483128830254</v>
      </c>
      <c r="J112" s="2" t="n">
        <v>0.297034334985031</v>
      </c>
      <c r="K112" s="2" t="n">
        <f aca="false">J112-I112</f>
        <v>0.0115512061547766</v>
      </c>
      <c r="L112" s="2" t="n">
        <v>0.706775862145744</v>
      </c>
    </row>
    <row r="113" customFormat="false" ht="15" hidden="false" customHeight="false" outlineLevel="0" collapsed="false">
      <c r="A113" s="1" t="s">
        <v>83</v>
      </c>
      <c r="B113" s="1" t="s">
        <v>84</v>
      </c>
      <c r="C113" s="1" t="s">
        <v>85</v>
      </c>
      <c r="D113" s="1" t="s">
        <v>20</v>
      </c>
      <c r="E113" s="1" t="s">
        <v>21</v>
      </c>
      <c r="F113" s="1" t="n">
        <v>37</v>
      </c>
      <c r="G113" s="1" t="s">
        <v>73</v>
      </c>
      <c r="H113" s="2" t="n">
        <v>0.1588</v>
      </c>
      <c r="I113" s="2" t="n">
        <v>0.264279796993159</v>
      </c>
      <c r="J113" s="2" t="n">
        <v>0.248037965864293</v>
      </c>
      <c r="K113" s="2" t="n">
        <f aca="false">J113-I113</f>
        <v>-0.0162418311288662</v>
      </c>
      <c r="L113" s="2" t="n">
        <v>0.706775862145744</v>
      </c>
    </row>
    <row r="114" customFormat="false" ht="15" hidden="false" customHeight="false" outlineLevel="0" collapsed="false">
      <c r="A114" s="1" t="s">
        <v>83</v>
      </c>
      <c r="B114" s="1" t="s">
        <v>84</v>
      </c>
      <c r="C114" s="1" t="s">
        <v>85</v>
      </c>
      <c r="D114" s="1" t="s">
        <v>20</v>
      </c>
      <c r="E114" s="1" t="s">
        <v>21</v>
      </c>
      <c r="F114" s="1" t="n">
        <v>37</v>
      </c>
      <c r="G114" s="1" t="s">
        <v>27</v>
      </c>
      <c r="H114" s="2" t="n">
        <v>0.1</v>
      </c>
      <c r="I114" s="2" t="n">
        <v>0.228033443720714</v>
      </c>
      <c r="J114" s="2" t="n">
        <v>0.20905437229943</v>
      </c>
      <c r="K114" s="2" t="n">
        <f aca="false">J114-I114</f>
        <v>-0.0189790714212842</v>
      </c>
      <c r="L114" s="2" t="n">
        <v>0.706775862145744</v>
      </c>
    </row>
    <row r="115" customFormat="false" ht="15" hidden="false" customHeight="false" outlineLevel="0" collapsed="false">
      <c r="A115" s="1" t="s">
        <v>86</v>
      </c>
      <c r="B115" s="1" t="s">
        <v>87</v>
      </c>
      <c r="C115" s="1" t="s">
        <v>88</v>
      </c>
      <c r="D115" s="1" t="s">
        <v>20</v>
      </c>
      <c r="E115" s="1" t="s">
        <v>21</v>
      </c>
      <c r="F115" s="1" t="n">
        <v>39</v>
      </c>
      <c r="G115" s="1" t="s">
        <v>22</v>
      </c>
      <c r="H115" s="2" t="n">
        <v>0.2136</v>
      </c>
      <c r="I115" s="2" t="n">
        <v>0.33429982059762</v>
      </c>
      <c r="J115" s="2" t="n">
        <v>0.366539810630922</v>
      </c>
      <c r="K115" s="2" t="n">
        <f aca="false">J115-I115</f>
        <v>0.0322399900333016</v>
      </c>
      <c r="L115" s="2" t="n">
        <v>0.810552775268533</v>
      </c>
      <c r="N115" s="2" t="n">
        <f aca="false">AVERAGE(K115:K120)</f>
        <v>0.0300702206075414</v>
      </c>
    </row>
    <row r="116" customFormat="false" ht="15" hidden="false" customHeight="false" outlineLevel="0" collapsed="false">
      <c r="A116" s="1" t="s">
        <v>86</v>
      </c>
      <c r="B116" s="1" t="s">
        <v>87</v>
      </c>
      <c r="C116" s="1" t="s">
        <v>88</v>
      </c>
      <c r="D116" s="1" t="s">
        <v>20</v>
      </c>
      <c r="E116" s="1" t="s">
        <v>21</v>
      </c>
      <c r="F116" s="1" t="n">
        <v>39</v>
      </c>
      <c r="G116" s="1" t="s">
        <v>24</v>
      </c>
      <c r="H116" s="2" t="n">
        <v>0.1838</v>
      </c>
      <c r="I116" s="2" t="n">
        <v>0.28777218712603</v>
      </c>
      <c r="J116" s="2" t="n">
        <v>0.31466061875303</v>
      </c>
      <c r="K116" s="2" t="n">
        <f aca="false">J116-I116</f>
        <v>0.0268884316269999</v>
      </c>
      <c r="L116" s="2" t="n">
        <v>0.810552775268533</v>
      </c>
    </row>
    <row r="117" customFormat="false" ht="15" hidden="false" customHeight="false" outlineLevel="0" collapsed="false">
      <c r="A117" s="1" t="s">
        <v>86</v>
      </c>
      <c r="B117" s="1" t="s">
        <v>87</v>
      </c>
      <c r="C117" s="1" t="s">
        <v>88</v>
      </c>
      <c r="D117" s="1" t="s">
        <v>20</v>
      </c>
      <c r="E117" s="1" t="s">
        <v>21</v>
      </c>
      <c r="F117" s="1" t="n">
        <v>39</v>
      </c>
      <c r="G117" s="1" t="s">
        <v>23</v>
      </c>
      <c r="H117" s="2" t="n">
        <v>0.1783</v>
      </c>
      <c r="I117" s="2" t="n">
        <v>0.279156824881928</v>
      </c>
      <c r="J117" s="2" t="n">
        <v>0.278523132030867</v>
      </c>
      <c r="K117" s="2" t="n">
        <f aca="false">J117-I117</f>
        <v>-0.000633692851061074</v>
      </c>
      <c r="L117" s="2" t="n">
        <v>0.810552775268533</v>
      </c>
    </row>
    <row r="118" customFormat="false" ht="15" hidden="false" customHeight="false" outlineLevel="0" collapsed="false">
      <c r="A118" s="1" t="s">
        <v>86</v>
      </c>
      <c r="B118" s="1" t="s">
        <v>87</v>
      </c>
      <c r="C118" s="1" t="s">
        <v>88</v>
      </c>
      <c r="D118" s="1" t="s">
        <v>20</v>
      </c>
      <c r="E118" s="1" t="s">
        <v>21</v>
      </c>
      <c r="F118" s="1" t="n">
        <v>39</v>
      </c>
      <c r="G118" s="1" t="s">
        <v>26</v>
      </c>
      <c r="H118" s="2" t="n">
        <v>0.1688</v>
      </c>
      <c r="I118" s="2" t="n">
        <v>0.264191122926383</v>
      </c>
      <c r="J118" s="2" t="n">
        <v>0.308876625302057</v>
      </c>
      <c r="K118" s="2" t="n">
        <f aca="false">J118-I118</f>
        <v>0.0446855023756734</v>
      </c>
      <c r="L118" s="2" t="n">
        <v>0.810552775268533</v>
      </c>
    </row>
    <row r="119" customFormat="false" ht="15" hidden="false" customHeight="false" outlineLevel="0" collapsed="false">
      <c r="A119" s="1" t="s">
        <v>86</v>
      </c>
      <c r="B119" s="1" t="s">
        <v>87</v>
      </c>
      <c r="C119" s="1" t="s">
        <v>88</v>
      </c>
      <c r="D119" s="1" t="s">
        <v>20</v>
      </c>
      <c r="E119" s="1" t="s">
        <v>21</v>
      </c>
      <c r="F119" s="1" t="n">
        <v>39</v>
      </c>
      <c r="G119" s="1" t="s">
        <v>25</v>
      </c>
      <c r="H119" s="2" t="n">
        <v>0.1555</v>
      </c>
      <c r="I119" s="2" t="n">
        <v>0.24347213344864</v>
      </c>
      <c r="J119" s="2" t="n">
        <v>0.305546120766285</v>
      </c>
      <c r="K119" s="2" t="n">
        <f aca="false">J119-I119</f>
        <v>0.0620739873176448</v>
      </c>
      <c r="L119" s="2" t="n">
        <v>0.810552775268533</v>
      </c>
    </row>
    <row r="120" customFormat="false" ht="15" hidden="false" customHeight="false" outlineLevel="0" collapsed="false">
      <c r="A120" s="1" t="s">
        <v>86</v>
      </c>
      <c r="B120" s="1" t="s">
        <v>87</v>
      </c>
      <c r="C120" s="1" t="s">
        <v>88</v>
      </c>
      <c r="D120" s="1" t="s">
        <v>20</v>
      </c>
      <c r="E120" s="1" t="s">
        <v>21</v>
      </c>
      <c r="F120" s="1" t="n">
        <v>39</v>
      </c>
      <c r="G120" s="1" t="s">
        <v>27</v>
      </c>
      <c r="H120" s="2" t="n">
        <v>0.1</v>
      </c>
      <c r="I120" s="2" t="n">
        <v>0.221358538824651</v>
      </c>
      <c r="J120" s="2" t="n">
        <v>0.236525643967341</v>
      </c>
      <c r="K120" s="2" t="n">
        <f aca="false">J120-I120</f>
        <v>0.0151671051426899</v>
      </c>
      <c r="L120" s="2" t="n">
        <v>0.810552775268533</v>
      </c>
    </row>
    <row r="121" customFormat="false" ht="15" hidden="false" customHeight="false" outlineLevel="0" collapsed="false">
      <c r="A121" s="1" t="s">
        <v>89</v>
      </c>
      <c r="B121" s="1" t="s">
        <v>90</v>
      </c>
      <c r="C121" s="1" t="s">
        <v>91</v>
      </c>
      <c r="D121" s="1" t="s">
        <v>20</v>
      </c>
      <c r="E121" s="1" t="s">
        <v>21</v>
      </c>
      <c r="F121" s="1" t="n">
        <v>41</v>
      </c>
      <c r="G121" s="1" t="s">
        <v>22</v>
      </c>
      <c r="H121" s="2" t="n">
        <v>0.205</v>
      </c>
      <c r="I121" s="2" t="n">
        <v>0.330402838158391</v>
      </c>
      <c r="J121" s="2" t="n">
        <v>0.375215186566833</v>
      </c>
      <c r="K121" s="2" t="n">
        <f aca="false">J121-I121</f>
        <v>0.0448123484084426</v>
      </c>
      <c r="L121" s="2" t="n">
        <v>0.779651511367528</v>
      </c>
      <c r="N121" s="2" t="n">
        <f aca="false">AVERAGE(K121:K126)</f>
        <v>0.0491714312021987</v>
      </c>
    </row>
    <row r="122" customFormat="false" ht="15" hidden="false" customHeight="false" outlineLevel="0" collapsed="false">
      <c r="A122" s="1" t="s">
        <v>89</v>
      </c>
      <c r="B122" s="1" t="s">
        <v>90</v>
      </c>
      <c r="C122" s="1" t="s">
        <v>91</v>
      </c>
      <c r="D122" s="1" t="s">
        <v>20</v>
      </c>
      <c r="E122" s="1" t="s">
        <v>21</v>
      </c>
      <c r="F122" s="1" t="n">
        <v>41</v>
      </c>
      <c r="G122" s="1" t="s">
        <v>23</v>
      </c>
      <c r="H122" s="2" t="n">
        <v>0.1814</v>
      </c>
      <c r="I122" s="2" t="n">
        <v>0.292455843995173</v>
      </c>
      <c r="J122" s="2" t="n">
        <v>0.350235143091772</v>
      </c>
      <c r="K122" s="2" t="n">
        <f aca="false">J122-I122</f>
        <v>0.0577792990965991</v>
      </c>
      <c r="L122" s="2" t="n">
        <v>0.779651511367528</v>
      </c>
    </row>
    <row r="123" customFormat="false" ht="15" hidden="false" customHeight="false" outlineLevel="0" collapsed="false">
      <c r="A123" s="1" t="s">
        <v>89</v>
      </c>
      <c r="B123" s="1" t="s">
        <v>90</v>
      </c>
      <c r="C123" s="1" t="s">
        <v>91</v>
      </c>
      <c r="D123" s="1" t="s">
        <v>20</v>
      </c>
      <c r="E123" s="1" t="s">
        <v>21</v>
      </c>
      <c r="F123" s="1" t="n">
        <v>41</v>
      </c>
      <c r="G123" s="1" t="s">
        <v>24</v>
      </c>
      <c r="H123" s="2" t="n">
        <v>0.1807</v>
      </c>
      <c r="I123" s="2" t="n">
        <v>0.291263725321387</v>
      </c>
      <c r="J123" s="2" t="n">
        <v>0.336917547912922</v>
      </c>
      <c r="K123" s="2" t="n">
        <f aca="false">J123-I123</f>
        <v>0.0456538225915342</v>
      </c>
      <c r="L123" s="2" t="n">
        <v>0.779651511367528</v>
      </c>
    </row>
    <row r="124" customFormat="false" ht="15" hidden="false" customHeight="false" outlineLevel="0" collapsed="false">
      <c r="A124" s="1" t="s">
        <v>89</v>
      </c>
      <c r="B124" s="1" t="s">
        <v>90</v>
      </c>
      <c r="C124" s="1" t="s">
        <v>91</v>
      </c>
      <c r="D124" s="1" t="s">
        <v>20</v>
      </c>
      <c r="E124" s="1" t="s">
        <v>21</v>
      </c>
      <c r="F124" s="1" t="n">
        <v>41</v>
      </c>
      <c r="G124" s="1" t="s">
        <v>31</v>
      </c>
      <c r="H124" s="2" t="n">
        <v>0.1729</v>
      </c>
      <c r="I124" s="2" t="n">
        <v>0.278709634856807</v>
      </c>
      <c r="J124" s="2" t="n">
        <v>0.317369614001412</v>
      </c>
      <c r="K124" s="2" t="n">
        <f aca="false">J124-I124</f>
        <v>0.0386599791446056</v>
      </c>
      <c r="L124" s="2" t="n">
        <v>0.779651511367528</v>
      </c>
    </row>
    <row r="125" customFormat="false" ht="15" hidden="false" customHeight="false" outlineLevel="0" collapsed="false">
      <c r="A125" s="1" t="s">
        <v>89</v>
      </c>
      <c r="B125" s="1" t="s">
        <v>90</v>
      </c>
      <c r="C125" s="1" t="s">
        <v>91</v>
      </c>
      <c r="D125" s="1" t="s">
        <v>20</v>
      </c>
      <c r="E125" s="1" t="s">
        <v>21</v>
      </c>
      <c r="F125" s="1" t="n">
        <v>41</v>
      </c>
      <c r="G125" s="1" t="s">
        <v>26</v>
      </c>
      <c r="H125" s="2" t="n">
        <v>0.16</v>
      </c>
      <c r="I125" s="2" t="n">
        <v>0.257873359767181</v>
      </c>
      <c r="J125" s="2" t="n">
        <v>0.296189110109816</v>
      </c>
      <c r="K125" s="2" t="n">
        <f aca="false">J125-I125</f>
        <v>0.0383157503426352</v>
      </c>
      <c r="L125" s="2" t="n">
        <v>0.779651511367528</v>
      </c>
    </row>
    <row r="126" customFormat="false" ht="15" hidden="false" customHeight="false" outlineLevel="0" collapsed="false">
      <c r="A126" s="1" t="s">
        <v>89</v>
      </c>
      <c r="B126" s="1" t="s">
        <v>90</v>
      </c>
      <c r="C126" s="1" t="s">
        <v>91</v>
      </c>
      <c r="D126" s="1" t="s">
        <v>20</v>
      </c>
      <c r="E126" s="1" t="s">
        <v>21</v>
      </c>
      <c r="F126" s="1" t="n">
        <v>41</v>
      </c>
      <c r="G126" s="1" t="s">
        <v>27</v>
      </c>
      <c r="H126" s="2" t="n">
        <v>0.1</v>
      </c>
      <c r="I126" s="2" t="n">
        <v>0.187423440506967</v>
      </c>
      <c r="J126" s="2" t="n">
        <v>0.257230828136342</v>
      </c>
      <c r="K126" s="2" t="n">
        <f aca="false">J126-I126</f>
        <v>0.0698073876293757</v>
      </c>
      <c r="L126" s="2" t="n">
        <v>0.779651511367528</v>
      </c>
    </row>
    <row r="127" customFormat="false" ht="15" hidden="false" customHeight="false" outlineLevel="0" collapsed="false">
      <c r="A127" s="1" t="s">
        <v>92</v>
      </c>
      <c r="B127" s="1" t="s">
        <v>93</v>
      </c>
      <c r="C127" s="1" t="s">
        <v>94</v>
      </c>
      <c r="D127" s="1" t="s">
        <v>20</v>
      </c>
      <c r="E127" s="1" t="s">
        <v>21</v>
      </c>
      <c r="F127" s="1" t="n">
        <v>43</v>
      </c>
      <c r="G127" s="1" t="s">
        <v>22</v>
      </c>
      <c r="H127" s="2" t="n">
        <v>0.1985</v>
      </c>
      <c r="I127" s="2" t="n">
        <v>0.353617068484923</v>
      </c>
      <c r="J127" s="2" t="n">
        <v>0.333602587224494</v>
      </c>
      <c r="K127" s="2" t="n">
        <f aca="false">J127-I127</f>
        <v>-0.0200144812604293</v>
      </c>
      <c r="L127" s="2" t="n">
        <v>0.707012650930307</v>
      </c>
      <c r="N127" s="2" t="n">
        <f aca="false">AVERAGE(K127:K132)</f>
        <v>-0.0453291831121895</v>
      </c>
    </row>
    <row r="128" customFormat="false" ht="15" hidden="false" customHeight="false" outlineLevel="0" collapsed="false">
      <c r="A128" s="1" t="s">
        <v>92</v>
      </c>
      <c r="B128" s="1" t="s">
        <v>93</v>
      </c>
      <c r="C128" s="1" t="s">
        <v>94</v>
      </c>
      <c r="D128" s="1" t="s">
        <v>20</v>
      </c>
      <c r="E128" s="1" t="s">
        <v>21</v>
      </c>
      <c r="F128" s="1" t="n">
        <v>43</v>
      </c>
      <c r="G128" s="1" t="s">
        <v>24</v>
      </c>
      <c r="H128" s="2" t="n">
        <v>0.1899</v>
      </c>
      <c r="I128" s="2" t="n">
        <v>0.338230596658959</v>
      </c>
      <c r="J128" s="2" t="n">
        <v>0.276619231005307</v>
      </c>
      <c r="K128" s="2" t="n">
        <f aca="false">J128-I128</f>
        <v>-0.0616113656536527</v>
      </c>
      <c r="L128" s="2" t="n">
        <v>0.707012650930307</v>
      </c>
    </row>
    <row r="129" customFormat="false" ht="15" hidden="false" customHeight="false" outlineLevel="0" collapsed="false">
      <c r="A129" s="1" t="s">
        <v>92</v>
      </c>
      <c r="B129" s="1" t="s">
        <v>93</v>
      </c>
      <c r="C129" s="1" t="s">
        <v>94</v>
      </c>
      <c r="D129" s="1" t="s">
        <v>20</v>
      </c>
      <c r="E129" s="1" t="s">
        <v>21</v>
      </c>
      <c r="F129" s="1" t="n">
        <v>43</v>
      </c>
      <c r="G129" s="1" t="s">
        <v>73</v>
      </c>
      <c r="H129" s="2" t="n">
        <v>0.174</v>
      </c>
      <c r="I129" s="2" t="n">
        <v>0.309941343936983</v>
      </c>
      <c r="J129" s="2" t="n">
        <v>0.220338760681957</v>
      </c>
      <c r="K129" s="2" t="n">
        <f aca="false">J129-I129</f>
        <v>-0.0896025832550261</v>
      </c>
      <c r="L129" s="2" t="n">
        <v>0.707012650930307</v>
      </c>
    </row>
    <row r="130" customFormat="false" ht="15" hidden="false" customHeight="false" outlineLevel="0" collapsed="false">
      <c r="A130" s="1" t="s">
        <v>92</v>
      </c>
      <c r="B130" s="1" t="s">
        <v>93</v>
      </c>
      <c r="C130" s="1" t="s">
        <v>94</v>
      </c>
      <c r="D130" s="1" t="s">
        <v>20</v>
      </c>
      <c r="E130" s="1" t="s">
        <v>21</v>
      </c>
      <c r="F130" s="1" t="n">
        <v>43</v>
      </c>
      <c r="G130" s="1" t="s">
        <v>31</v>
      </c>
      <c r="H130" s="2" t="n">
        <v>0.1701</v>
      </c>
      <c r="I130" s="2" t="n">
        <v>0.302938652356794</v>
      </c>
      <c r="J130" s="2" t="n">
        <v>0.258006695013546</v>
      </c>
      <c r="K130" s="2" t="n">
        <f aca="false">J130-I130</f>
        <v>-0.0449319573432475</v>
      </c>
      <c r="L130" s="2" t="n">
        <v>0.707012650930307</v>
      </c>
    </row>
    <row r="131" customFormat="false" ht="15" hidden="false" customHeight="false" outlineLevel="0" collapsed="false">
      <c r="A131" s="1" t="s">
        <v>92</v>
      </c>
      <c r="B131" s="1" t="s">
        <v>93</v>
      </c>
      <c r="C131" s="1" t="s">
        <v>94</v>
      </c>
      <c r="D131" s="1" t="s">
        <v>20</v>
      </c>
      <c r="E131" s="1" t="s">
        <v>21</v>
      </c>
      <c r="F131" s="1" t="n">
        <v>43</v>
      </c>
      <c r="G131" s="1" t="s">
        <v>23</v>
      </c>
      <c r="H131" s="2" t="n">
        <v>0.1676</v>
      </c>
      <c r="I131" s="2" t="n">
        <v>0.298468491014718</v>
      </c>
      <c r="J131" s="2" t="n">
        <v>0.269065299661069</v>
      </c>
      <c r="K131" s="2" t="n">
        <f aca="false">J131-I131</f>
        <v>-0.0294031913536499</v>
      </c>
      <c r="L131" s="2" t="n">
        <v>0.707012650930307</v>
      </c>
    </row>
    <row r="132" customFormat="false" ht="15" hidden="false" customHeight="false" outlineLevel="0" collapsed="false">
      <c r="A132" s="1" t="s">
        <v>92</v>
      </c>
      <c r="B132" s="1" t="s">
        <v>93</v>
      </c>
      <c r="C132" s="1" t="s">
        <v>94</v>
      </c>
      <c r="D132" s="1" t="s">
        <v>20</v>
      </c>
      <c r="E132" s="1" t="s">
        <v>21</v>
      </c>
      <c r="F132" s="1" t="n">
        <v>43</v>
      </c>
      <c r="G132" s="1" t="s">
        <v>27</v>
      </c>
      <c r="H132" s="2" t="n">
        <v>0.1</v>
      </c>
      <c r="I132" s="2" t="n">
        <v>0.226103613678913</v>
      </c>
      <c r="J132" s="2" t="n">
        <v>0.199692093871782</v>
      </c>
      <c r="K132" s="2" t="n">
        <f aca="false">J132-I132</f>
        <v>-0.0264115198071314</v>
      </c>
      <c r="L132" s="2" t="n">
        <v>0.707012650930307</v>
      </c>
    </row>
    <row r="133" customFormat="false" ht="15" hidden="false" customHeight="false" outlineLevel="0" collapsed="false">
      <c r="A133" s="1" t="s">
        <v>95</v>
      </c>
      <c r="B133" s="1" t="s">
        <v>96</v>
      </c>
      <c r="C133" s="1" t="s">
        <v>97</v>
      </c>
      <c r="D133" s="1" t="s">
        <v>20</v>
      </c>
      <c r="E133" s="1" t="s">
        <v>21</v>
      </c>
      <c r="F133" s="1" t="n">
        <v>45</v>
      </c>
      <c r="G133" s="1" t="s">
        <v>22</v>
      </c>
      <c r="H133" s="2" t="n">
        <v>0.3276</v>
      </c>
      <c r="I133" s="2" t="n">
        <v>0.236014632571728</v>
      </c>
      <c r="J133" s="2" t="n">
        <v>0.321979193596941</v>
      </c>
      <c r="K133" s="2" t="n">
        <f aca="false">J133-I133</f>
        <v>0.0859645610252126</v>
      </c>
      <c r="L133" s="2" t="n">
        <v>0.759411204953021</v>
      </c>
      <c r="N133" s="2" t="n">
        <f aca="false">AVERAGE(K133:K136)</f>
        <v>0.0716624234911606</v>
      </c>
    </row>
    <row r="134" customFormat="false" ht="15" hidden="false" customHeight="false" outlineLevel="0" collapsed="false">
      <c r="A134" s="1" t="s">
        <v>95</v>
      </c>
      <c r="B134" s="1" t="s">
        <v>96</v>
      </c>
      <c r="C134" s="1" t="s">
        <v>97</v>
      </c>
      <c r="D134" s="1" t="s">
        <v>20</v>
      </c>
      <c r="E134" s="1" t="s">
        <v>21</v>
      </c>
      <c r="F134" s="1" t="n">
        <v>45</v>
      </c>
      <c r="G134" s="1" t="s">
        <v>23</v>
      </c>
      <c r="H134" s="2" t="n">
        <v>0.2935</v>
      </c>
      <c r="I134" s="2" t="n">
        <v>0.211432519718444</v>
      </c>
      <c r="J134" s="2" t="n">
        <v>0.263064657615441</v>
      </c>
      <c r="K134" s="2" t="n">
        <f aca="false">J134-I134</f>
        <v>0.0516321378969972</v>
      </c>
      <c r="L134" s="2" t="n">
        <v>0.759411204953021</v>
      </c>
    </row>
    <row r="135" customFormat="false" ht="15" hidden="false" customHeight="false" outlineLevel="0" collapsed="false">
      <c r="A135" s="1" t="s">
        <v>95</v>
      </c>
      <c r="B135" s="1" t="s">
        <v>96</v>
      </c>
      <c r="C135" s="1" t="s">
        <v>97</v>
      </c>
      <c r="D135" s="1" t="s">
        <v>20</v>
      </c>
      <c r="E135" s="1" t="s">
        <v>21</v>
      </c>
      <c r="F135" s="1" t="n">
        <v>45</v>
      </c>
      <c r="G135" s="1" t="s">
        <v>26</v>
      </c>
      <c r="H135" s="2" t="n">
        <v>0.279</v>
      </c>
      <c r="I135" s="2" t="n">
        <v>0.200990860253829</v>
      </c>
      <c r="J135" s="2" t="n">
        <v>0.265765223475819</v>
      </c>
      <c r="K135" s="2" t="n">
        <f aca="false">J135-I135</f>
        <v>0.0647743632219902</v>
      </c>
      <c r="L135" s="2" t="n">
        <v>0.759411204953021</v>
      </c>
    </row>
    <row r="136" customFormat="false" ht="15" hidden="false" customHeight="false" outlineLevel="0" collapsed="false">
      <c r="A136" s="1" t="s">
        <v>95</v>
      </c>
      <c r="B136" s="1" t="s">
        <v>96</v>
      </c>
      <c r="C136" s="1" t="s">
        <v>97</v>
      </c>
      <c r="D136" s="1" t="s">
        <v>20</v>
      </c>
      <c r="E136" s="1" t="s">
        <v>21</v>
      </c>
      <c r="F136" s="1" t="n">
        <v>45</v>
      </c>
      <c r="G136" s="1" t="s">
        <v>27</v>
      </c>
      <c r="H136" s="2" t="n">
        <v>0.1</v>
      </c>
      <c r="I136" s="2" t="n">
        <v>0.122163555801781</v>
      </c>
      <c r="J136" s="2" t="n">
        <v>0.206442187622224</v>
      </c>
      <c r="K136" s="2" t="n">
        <f aca="false">J136-I136</f>
        <v>0.0842786318204424</v>
      </c>
      <c r="L136" s="2" t="n">
        <v>0.759411204953021</v>
      </c>
      <c r="N136" s="4"/>
    </row>
    <row r="137" customFormat="false" ht="15" hidden="false" customHeight="false" outlineLevel="0" collapsed="false">
      <c r="A137" s="1" t="s">
        <v>98</v>
      </c>
      <c r="B137" s="1" t="s">
        <v>99</v>
      </c>
      <c r="C137" s="1" t="s">
        <v>100</v>
      </c>
      <c r="D137" s="1" t="s">
        <v>20</v>
      </c>
      <c r="E137" s="1" t="s">
        <v>21</v>
      </c>
      <c r="F137" s="1" t="n">
        <v>47</v>
      </c>
      <c r="G137" s="1" t="s">
        <v>22</v>
      </c>
      <c r="H137" s="2" t="n">
        <v>0.2004</v>
      </c>
      <c r="I137" s="2" t="n">
        <v>0.24560750705673</v>
      </c>
      <c r="J137" s="2" t="n">
        <v>0.369357004510219</v>
      </c>
      <c r="K137" s="2" t="n">
        <f aca="false">J137-I137</f>
        <v>0.123749497453489</v>
      </c>
      <c r="L137" s="2" t="n">
        <v>0.754622185376853</v>
      </c>
      <c r="N137" s="2" t="n">
        <f aca="false">AVERAGE(K137:K142)</f>
        <v>0.0912212373841284</v>
      </c>
    </row>
    <row r="138" customFormat="false" ht="15" hidden="false" customHeight="false" outlineLevel="0" collapsed="false">
      <c r="A138" s="1" t="s">
        <v>98</v>
      </c>
      <c r="B138" s="1" t="s">
        <v>99</v>
      </c>
      <c r="C138" s="1" t="s">
        <v>100</v>
      </c>
      <c r="D138" s="1" t="s">
        <v>20</v>
      </c>
      <c r="E138" s="1" t="s">
        <v>21</v>
      </c>
      <c r="F138" s="1" t="n">
        <v>47</v>
      </c>
      <c r="G138" s="1" t="s">
        <v>23</v>
      </c>
      <c r="H138" s="2" t="n">
        <v>0.1772</v>
      </c>
      <c r="I138" s="2" t="n">
        <v>0.217167928626113</v>
      </c>
      <c r="J138" s="2" t="n">
        <v>0.312431910509055</v>
      </c>
      <c r="K138" s="2" t="n">
        <f aca="false">J138-I138</f>
        <v>0.0952639818829423</v>
      </c>
      <c r="L138" s="2" t="n">
        <v>0.754622185376853</v>
      </c>
    </row>
    <row r="139" customFormat="false" ht="15" hidden="false" customHeight="false" outlineLevel="0" collapsed="false">
      <c r="A139" s="1" t="s">
        <v>98</v>
      </c>
      <c r="B139" s="1" t="s">
        <v>99</v>
      </c>
      <c r="C139" s="1" t="s">
        <v>100</v>
      </c>
      <c r="D139" s="1" t="s">
        <v>20</v>
      </c>
      <c r="E139" s="1" t="s">
        <v>21</v>
      </c>
      <c r="F139" s="1" t="n">
        <v>47</v>
      </c>
      <c r="G139" s="1" t="s">
        <v>31</v>
      </c>
      <c r="H139" s="2" t="n">
        <v>0.1745</v>
      </c>
      <c r="I139" s="2" t="n">
        <v>0.213864822548875</v>
      </c>
      <c r="J139" s="2" t="n">
        <v>0.321081368541567</v>
      </c>
      <c r="K139" s="2" t="n">
        <f aca="false">J139-I139</f>
        <v>0.107216545992693</v>
      </c>
      <c r="L139" s="2" t="n">
        <v>0.754622185376853</v>
      </c>
    </row>
    <row r="140" customFormat="false" ht="15" hidden="false" customHeight="false" outlineLevel="0" collapsed="false">
      <c r="A140" s="1" t="s">
        <v>98</v>
      </c>
      <c r="B140" s="1" t="s">
        <v>99</v>
      </c>
      <c r="C140" s="1" t="s">
        <v>100</v>
      </c>
      <c r="D140" s="1" t="s">
        <v>20</v>
      </c>
      <c r="E140" s="1" t="s">
        <v>21</v>
      </c>
      <c r="F140" s="1" t="n">
        <v>47</v>
      </c>
      <c r="G140" s="1" t="s">
        <v>32</v>
      </c>
      <c r="H140" s="2" t="n">
        <v>0.1741</v>
      </c>
      <c r="I140" s="2" t="n">
        <v>0.213388513309677</v>
      </c>
      <c r="J140" s="2" t="n">
        <v>0.238116252597617</v>
      </c>
      <c r="K140" s="2" t="n">
        <f aca="false">J140-I140</f>
        <v>0.0247277392879401</v>
      </c>
      <c r="L140" s="2" t="n">
        <v>0.754622185376853</v>
      </c>
    </row>
    <row r="141" customFormat="false" ht="15" hidden="false" customHeight="false" outlineLevel="0" collapsed="false">
      <c r="A141" s="1" t="s">
        <v>98</v>
      </c>
      <c r="B141" s="1" t="s">
        <v>99</v>
      </c>
      <c r="C141" s="1" t="s">
        <v>100</v>
      </c>
      <c r="D141" s="1" t="s">
        <v>20</v>
      </c>
      <c r="E141" s="1" t="s">
        <v>21</v>
      </c>
      <c r="F141" s="1" t="n">
        <v>47</v>
      </c>
      <c r="G141" s="1" t="s">
        <v>26</v>
      </c>
      <c r="H141" s="2" t="n">
        <v>0.1739</v>
      </c>
      <c r="I141" s="2" t="n">
        <v>0.213136327525495</v>
      </c>
      <c r="J141" s="2" t="n">
        <v>0.296237423834342</v>
      </c>
      <c r="K141" s="2" t="n">
        <f aca="false">J141-I141</f>
        <v>0.0831010963088467</v>
      </c>
      <c r="L141" s="2" t="n">
        <v>0.754622185376853</v>
      </c>
    </row>
    <row r="142" customFormat="false" ht="15" hidden="false" customHeight="false" outlineLevel="0" collapsed="false">
      <c r="A142" s="1" t="s">
        <v>98</v>
      </c>
      <c r="B142" s="1" t="s">
        <v>99</v>
      </c>
      <c r="C142" s="1" t="s">
        <v>100</v>
      </c>
      <c r="D142" s="1" t="s">
        <v>20</v>
      </c>
      <c r="E142" s="1" t="s">
        <v>21</v>
      </c>
      <c r="F142" s="1" t="n">
        <v>47</v>
      </c>
      <c r="G142" s="1" t="s">
        <v>27</v>
      </c>
      <c r="H142" s="2" t="n">
        <v>0.1</v>
      </c>
      <c r="I142" s="2" t="n">
        <v>0.148371288963828</v>
      </c>
      <c r="J142" s="2" t="n">
        <v>0.261639852342687</v>
      </c>
      <c r="K142" s="2" t="n">
        <f aca="false">J142-I142</f>
        <v>0.113268563378859</v>
      </c>
      <c r="L142" s="2" t="n">
        <v>0.754622185376853</v>
      </c>
      <c r="N142" s="4"/>
    </row>
    <row r="143" customFormat="false" ht="15" hidden="false" customHeight="false" outlineLevel="0" collapsed="false">
      <c r="A143" s="1" t="s">
        <v>101</v>
      </c>
      <c r="B143" s="1" t="s">
        <v>102</v>
      </c>
      <c r="C143" s="1" t="s">
        <v>103</v>
      </c>
      <c r="D143" s="1" t="s">
        <v>20</v>
      </c>
      <c r="E143" s="1" t="s">
        <v>21</v>
      </c>
      <c r="F143" s="1" t="n">
        <v>49</v>
      </c>
      <c r="G143" s="1" t="s">
        <v>22</v>
      </c>
      <c r="H143" s="2" t="n">
        <v>0.2</v>
      </c>
      <c r="I143" s="2" t="n">
        <v>0.281964289101047</v>
      </c>
      <c r="J143" s="2" t="n">
        <v>0.362697467886433</v>
      </c>
      <c r="K143" s="2" t="n">
        <f aca="false">J143-I143</f>
        <v>0.0807331787853864</v>
      </c>
      <c r="L143" s="2" t="n">
        <v>0.718662412659959</v>
      </c>
      <c r="N143" s="2" t="n">
        <f aca="false">AVERAGE(K143:K148)</f>
        <v>0.0318374403283911</v>
      </c>
    </row>
    <row r="144" customFormat="false" ht="15" hidden="false" customHeight="false" outlineLevel="0" collapsed="false">
      <c r="A144" s="1" t="s">
        <v>101</v>
      </c>
      <c r="B144" s="1" t="s">
        <v>102</v>
      </c>
      <c r="C144" s="1" t="s">
        <v>103</v>
      </c>
      <c r="D144" s="1" t="s">
        <v>20</v>
      </c>
      <c r="E144" s="1" t="s">
        <v>21</v>
      </c>
      <c r="F144" s="1" t="n">
        <v>49</v>
      </c>
      <c r="G144" s="1" t="s">
        <v>26</v>
      </c>
      <c r="H144" s="2" t="n">
        <v>0.1877</v>
      </c>
      <c r="I144" s="2" t="n">
        <v>0.264556037329322</v>
      </c>
      <c r="J144" s="2" t="n">
        <v>0.305244474970083</v>
      </c>
      <c r="K144" s="2" t="n">
        <f aca="false">J144-I144</f>
        <v>0.0406884376407604</v>
      </c>
      <c r="L144" s="2" t="n">
        <v>0.718662412659959</v>
      </c>
    </row>
    <row r="145" customFormat="false" ht="15" hidden="false" customHeight="false" outlineLevel="0" collapsed="false">
      <c r="A145" s="1" t="s">
        <v>101</v>
      </c>
      <c r="B145" s="1" t="s">
        <v>102</v>
      </c>
      <c r="C145" s="1" t="s">
        <v>103</v>
      </c>
      <c r="D145" s="1" t="s">
        <v>20</v>
      </c>
      <c r="E145" s="1" t="s">
        <v>21</v>
      </c>
      <c r="F145" s="1" t="n">
        <v>49</v>
      </c>
      <c r="G145" s="1" t="s">
        <v>23</v>
      </c>
      <c r="H145" s="2" t="n">
        <v>0.1711</v>
      </c>
      <c r="I145" s="2" t="n">
        <v>0.241116519809062</v>
      </c>
      <c r="J145" s="2" t="n">
        <v>0.259148404435</v>
      </c>
      <c r="K145" s="2" t="n">
        <f aca="false">J145-I145</f>
        <v>0.018031884625938</v>
      </c>
      <c r="L145" s="2" t="n">
        <v>0.718662412659959</v>
      </c>
    </row>
    <row r="146" customFormat="false" ht="15" hidden="false" customHeight="false" outlineLevel="0" collapsed="false">
      <c r="A146" s="1" t="s">
        <v>101</v>
      </c>
      <c r="B146" s="1" t="s">
        <v>102</v>
      </c>
      <c r="C146" s="1" t="s">
        <v>103</v>
      </c>
      <c r="D146" s="1" t="s">
        <v>20</v>
      </c>
      <c r="E146" s="1" t="s">
        <v>21</v>
      </c>
      <c r="F146" s="1" t="n">
        <v>49</v>
      </c>
      <c r="G146" s="1" t="s">
        <v>31</v>
      </c>
      <c r="H146" s="2" t="n">
        <v>0.171</v>
      </c>
      <c r="I146" s="2" t="n">
        <v>0.240982076279657</v>
      </c>
      <c r="J146" s="2" t="n">
        <v>0.273258504068223</v>
      </c>
      <c r="K146" s="2" t="n">
        <f aca="false">J146-I146</f>
        <v>0.0322764277885654</v>
      </c>
      <c r="L146" s="2" t="n">
        <v>0.718662412659959</v>
      </c>
    </row>
    <row r="147" customFormat="false" ht="15" hidden="false" customHeight="false" outlineLevel="0" collapsed="false">
      <c r="A147" s="1" t="s">
        <v>101</v>
      </c>
      <c r="B147" s="1" t="s">
        <v>102</v>
      </c>
      <c r="C147" s="1" t="s">
        <v>103</v>
      </c>
      <c r="D147" s="1" t="s">
        <v>20</v>
      </c>
      <c r="E147" s="1" t="s">
        <v>21</v>
      </c>
      <c r="F147" s="1" t="n">
        <v>49</v>
      </c>
      <c r="G147" s="1" t="s">
        <v>73</v>
      </c>
      <c r="H147" s="2" t="n">
        <v>0.1703</v>
      </c>
      <c r="I147" s="2" t="n">
        <v>0.240032802009921</v>
      </c>
      <c r="J147" s="2" t="n">
        <v>0.245065773715484</v>
      </c>
      <c r="K147" s="2" t="n">
        <f aca="false">J147-I147</f>
        <v>0.0050329717055638</v>
      </c>
      <c r="L147" s="2" t="n">
        <v>0.718662412659959</v>
      </c>
    </row>
    <row r="148" customFormat="false" ht="15" hidden="false" customHeight="false" outlineLevel="0" collapsed="false">
      <c r="A148" s="1" t="s">
        <v>101</v>
      </c>
      <c r="B148" s="1" t="s">
        <v>102</v>
      </c>
      <c r="C148" s="1" t="s">
        <v>103</v>
      </c>
      <c r="D148" s="1" t="s">
        <v>20</v>
      </c>
      <c r="E148" s="1" t="s">
        <v>21</v>
      </c>
      <c r="F148" s="1" t="n">
        <v>49</v>
      </c>
      <c r="G148" s="1" t="s">
        <v>27</v>
      </c>
      <c r="H148" s="2" t="n">
        <v>0.1</v>
      </c>
      <c r="I148" s="2" t="n">
        <v>0.216753199987849</v>
      </c>
      <c r="J148" s="2" t="n">
        <v>0.231014941411981</v>
      </c>
      <c r="K148" s="2" t="n">
        <f aca="false">J148-I148</f>
        <v>0.0142617414241325</v>
      </c>
      <c r="L148" s="2" t="n">
        <v>0.718662412659959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cols>
    <col collapsed="false" customWidth="false" hidden="false" outlineLevel="0" max="1" min="1" style="1" width="10.16"/>
    <col collapsed="false" customWidth="true" hidden="false" outlineLevel="0" max="2" min="2" style="1" width="16.29"/>
    <col collapsed="false" customWidth="false" hidden="false" outlineLevel="0" max="16384" min="3" style="1" width="10.16"/>
  </cols>
  <sheetData>
    <row r="1" customFormat="false" ht="12.8" hidden="false" customHeight="false" outlineLevel="0" collapsed="false">
      <c r="A1" s="1" t="s">
        <v>104</v>
      </c>
    </row>
    <row r="3" customFormat="false" ht="12.8" hidden="false" customHeight="false" outlineLevel="0" collapsed="false">
      <c r="A3" s="1" t="s">
        <v>105</v>
      </c>
      <c r="B3" s="1" t="n">
        <f aca="false">COUNT(scen1_hybsem!K3:K148)</f>
        <v>146</v>
      </c>
      <c r="C3" s="1" t="s">
        <v>106</v>
      </c>
    </row>
    <row r="4" customFormat="false" ht="12.8" hidden="false" customHeight="false" outlineLevel="0" collapsed="false">
      <c r="A4" s="1" t="s">
        <v>107</v>
      </c>
      <c r="B4" s="1" t="n">
        <f aca="false">scen1_hybsem!Q3*SQRT((B3-2)/(1-scen1_hybsem!Q3^2))</f>
        <v>-0.116240047650829</v>
      </c>
    </row>
    <row r="5" customFormat="false" ht="12.8" hidden="false" customHeight="false" outlineLevel="0" collapsed="false">
      <c r="A5" s="1" t="s">
        <v>108</v>
      </c>
      <c r="B5" s="1" t="n">
        <f aca="false">_xlfn.T.DIST.2T(ABS(B4),B3-2)</f>
        <v>0.907624249635993</v>
      </c>
    </row>
    <row r="6" customFormat="false" ht="13.8" hidden="false" customHeight="false" outlineLevel="0" collapsed="false">
      <c r="A6" s="5"/>
      <c r="B6" s="5"/>
      <c r="C6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2:K65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C35" activeCellId="0" sqref="C35"/>
    </sheetView>
  </sheetViews>
  <sheetFormatPr defaultColWidth="10.16015625" defaultRowHeight="12.8" zeroHeight="false" outlineLevelRow="0" outlineLevelCol="0"/>
  <cols>
    <col collapsed="false" customWidth="true" hidden="false" outlineLevel="0" max="2" min="1" style="1" width="20.29"/>
    <col collapsed="false" customWidth="true" hidden="false" outlineLevel="0" max="3" min="3" style="2" width="19.21"/>
    <col collapsed="false" customWidth="false" hidden="false" outlineLevel="0" max="7" min="4" style="1" width="10.16"/>
    <col collapsed="false" customWidth="true" hidden="false" outlineLevel="0" max="8" min="8" style="1" width="16.67"/>
    <col collapsed="false" customWidth="false" hidden="false" outlineLevel="0" max="9" min="9" style="1" width="10.16"/>
    <col collapsed="false" customWidth="true" hidden="false" outlineLevel="0" max="10" min="10" style="1" width="14.91"/>
    <col collapsed="false" customWidth="true" hidden="false" outlineLevel="0" max="11" min="11" style="1" width="15.79"/>
    <col collapsed="false" customWidth="false" hidden="false" outlineLevel="0" max="16384" min="12" style="1" width="10.16"/>
  </cols>
  <sheetData>
    <row r="2" customFormat="false" ht="13.1" hidden="false" customHeight="false" outlineLevel="0" collapsed="false">
      <c r="A2" s="2" t="s">
        <v>109</v>
      </c>
      <c r="B2" s="3" t="s">
        <v>11</v>
      </c>
      <c r="C2" s="3" t="s">
        <v>12</v>
      </c>
      <c r="H2" s="2" t="s">
        <v>110</v>
      </c>
      <c r="I2" s="2" t="s">
        <v>14</v>
      </c>
      <c r="J2" s="2" t="s">
        <v>111</v>
      </c>
      <c r="K2" s="2" t="s">
        <v>16</v>
      </c>
    </row>
    <row r="3" customFormat="false" ht="13.8" hidden="false" customHeight="false" outlineLevel="0" collapsed="false">
      <c r="A3" s="5"/>
      <c r="H3" s="5"/>
      <c r="I3" s="5"/>
      <c r="J3" s="5"/>
      <c r="K3" s="5"/>
    </row>
    <row r="4" customFormat="false" ht="12.8" hidden="false" customHeight="false" outlineLevel="0" collapsed="false">
      <c r="A4" s="1" t="n">
        <v>1</v>
      </c>
      <c r="B4" s="2" t="n">
        <v>0.829083516979224</v>
      </c>
      <c r="C4" s="2" t="n">
        <v>0.0554453411511729</v>
      </c>
      <c r="H4" s="2" t="n">
        <f aca="false">CORREL(B4:B28,C4:C28)</f>
        <v>0.0568604636837364</v>
      </c>
      <c r="I4" s="2" t="n">
        <f aca="false">COUNT(C4:C28)</f>
        <v>25</v>
      </c>
      <c r="J4" s="2" t="n">
        <f aca="false">H4*SQRT((I4-2)/(1-H4^2))</f>
        <v>0.273135099858007</v>
      </c>
      <c r="K4" s="2" t="n">
        <f aca="false">_xlfn.T.DIST.2T(ABS(J4),I4-2)</f>
        <v>0.787186917631371</v>
      </c>
    </row>
    <row r="5" customFormat="false" ht="12.8" hidden="false" customHeight="false" outlineLevel="0" collapsed="false">
      <c r="A5" s="1" t="n">
        <v>2</v>
      </c>
      <c r="B5" s="2" t="n">
        <v>0.766444903472076</v>
      </c>
      <c r="C5" s="2" t="n">
        <v>0.0702994434023905</v>
      </c>
    </row>
    <row r="6" customFormat="false" ht="12.8" hidden="false" customHeight="false" outlineLevel="0" collapsed="false">
      <c r="A6" s="1" t="n">
        <v>3</v>
      </c>
      <c r="B6" s="2" t="n">
        <v>0.820814927176212</v>
      </c>
      <c r="C6" s="2" t="n">
        <v>0.0455355641842575</v>
      </c>
    </row>
    <row r="7" customFormat="false" ht="12.8" hidden="false" customHeight="false" outlineLevel="0" collapsed="false">
      <c r="A7" s="1" t="n">
        <v>4</v>
      </c>
      <c r="B7" s="2" t="n">
        <v>0.589340681428011</v>
      </c>
      <c r="C7" s="2" t="n">
        <v>0.0166190777346548</v>
      </c>
    </row>
    <row r="8" customFormat="false" ht="12.8" hidden="false" customHeight="false" outlineLevel="0" collapsed="false">
      <c r="A8" s="1" t="n">
        <v>5</v>
      </c>
      <c r="B8" s="2" t="n">
        <v>0.549939911322228</v>
      </c>
      <c r="C8" s="2" t="n">
        <v>0.0443683896431232</v>
      </c>
    </row>
    <row r="9" customFormat="false" ht="12.8" hidden="false" customHeight="false" outlineLevel="0" collapsed="false">
      <c r="A9" s="1" t="n">
        <v>6</v>
      </c>
      <c r="B9" s="2" t="n">
        <v>0.806301302771949</v>
      </c>
      <c r="C9" s="2" t="n">
        <v>-0.00198046649018104</v>
      </c>
    </row>
    <row r="10" customFormat="false" ht="12.8" hidden="false" customHeight="false" outlineLevel="0" collapsed="false">
      <c r="A10" s="1" t="n">
        <v>7</v>
      </c>
      <c r="B10" s="2" t="n">
        <v>0.654420747897195</v>
      </c>
      <c r="C10" s="2" t="n">
        <v>0.0819414562078262</v>
      </c>
    </row>
    <row r="11" customFormat="false" ht="12.8" hidden="false" customHeight="false" outlineLevel="0" collapsed="false">
      <c r="A11" s="1" t="n">
        <v>8</v>
      </c>
      <c r="B11" s="2" t="n">
        <v>0.747457006954611</v>
      </c>
      <c r="C11" s="2" t="n">
        <v>0.0445181128415814</v>
      </c>
    </row>
    <row r="12" customFormat="false" ht="12.8" hidden="false" customHeight="false" outlineLevel="0" collapsed="false">
      <c r="A12" s="1" t="n">
        <v>9</v>
      </c>
      <c r="B12" s="2" t="n">
        <v>0.763154436571465</v>
      </c>
      <c r="C12" s="2" t="n">
        <v>-0.00121538794797228</v>
      </c>
    </row>
    <row r="13" customFormat="false" ht="12.8" hidden="false" customHeight="false" outlineLevel="0" collapsed="false">
      <c r="A13" s="1" t="n">
        <v>10</v>
      </c>
      <c r="B13" s="2" t="n">
        <v>0.745298826492448</v>
      </c>
      <c r="C13" s="2" t="n">
        <v>0.0369604412591809</v>
      </c>
    </row>
    <row r="14" customFormat="false" ht="12.8" hidden="false" customHeight="false" outlineLevel="0" collapsed="false">
      <c r="A14" s="1" t="n">
        <v>11</v>
      </c>
      <c r="B14" s="2" t="n">
        <v>0.703599427390625</v>
      </c>
      <c r="C14" s="2" t="n">
        <v>0.0349379133428232</v>
      </c>
    </row>
    <row r="15" customFormat="false" ht="12.8" hidden="false" customHeight="false" outlineLevel="0" collapsed="false">
      <c r="A15" s="1" t="n">
        <v>12</v>
      </c>
      <c r="B15" s="2" t="n">
        <v>0.792291119607581</v>
      </c>
      <c r="C15" s="2" t="n">
        <v>0.04105535980079</v>
      </c>
    </row>
    <row r="16" customFormat="false" ht="12.8" hidden="false" customHeight="false" outlineLevel="0" collapsed="false">
      <c r="A16" s="1" t="n">
        <v>13</v>
      </c>
      <c r="B16" s="2" t="n">
        <v>0.742748844142451</v>
      </c>
      <c r="C16" s="2" t="n">
        <v>0.107563636691092</v>
      </c>
    </row>
    <row r="17" customFormat="false" ht="12.8" hidden="false" customHeight="false" outlineLevel="0" collapsed="false">
      <c r="A17" s="1" t="n">
        <v>14</v>
      </c>
      <c r="B17" s="2" t="n">
        <v>0.730739032742495</v>
      </c>
      <c r="C17" s="2" t="n">
        <v>0.0021965662563218</v>
      </c>
    </row>
    <row r="18" customFormat="false" ht="12.8" hidden="false" customHeight="false" outlineLevel="0" collapsed="false">
      <c r="A18" s="1" t="n">
        <v>15</v>
      </c>
      <c r="B18" s="2" t="n">
        <v>0.727501533855859</v>
      </c>
      <c r="C18" s="2" t="n">
        <v>0.0524222167362872</v>
      </c>
    </row>
    <row r="19" customFormat="false" ht="12.8" hidden="false" customHeight="false" outlineLevel="0" collapsed="false">
      <c r="A19" s="1" t="n">
        <v>16</v>
      </c>
      <c r="B19" s="2" t="n">
        <v>0.69212024380659</v>
      </c>
      <c r="C19" s="2" t="n">
        <v>0.0493893540512425</v>
      </c>
    </row>
    <row r="20" customFormat="false" ht="12.8" hidden="false" customHeight="false" outlineLevel="0" collapsed="false">
      <c r="A20" s="1" t="n">
        <v>17</v>
      </c>
      <c r="B20" s="2" t="n">
        <v>0.719549537838803</v>
      </c>
      <c r="C20" s="2" t="n">
        <v>0.0576845107645722</v>
      </c>
    </row>
    <row r="21" customFormat="false" ht="12.8" hidden="false" customHeight="false" outlineLevel="0" collapsed="false">
      <c r="A21" s="1" t="n">
        <v>18</v>
      </c>
      <c r="B21" s="2" t="n">
        <v>0.708540087240829</v>
      </c>
      <c r="C21" s="2" t="n">
        <v>0.0544551204871106</v>
      </c>
    </row>
    <row r="22" customFormat="false" ht="12.8" hidden="false" customHeight="false" outlineLevel="0" collapsed="false">
      <c r="A22" s="1" t="n">
        <v>19</v>
      </c>
      <c r="B22" s="2" t="n">
        <v>0.706775862145744</v>
      </c>
      <c r="C22" s="2" t="n">
        <v>-0.00559981801409047</v>
      </c>
    </row>
    <row r="23" customFormat="false" ht="12.8" hidden="false" customHeight="false" outlineLevel="0" collapsed="false">
      <c r="A23" s="1" t="n">
        <v>20</v>
      </c>
      <c r="B23" s="2" t="n">
        <v>0.810552775268533</v>
      </c>
      <c r="C23" s="2" t="n">
        <v>0.0300702206075414</v>
      </c>
    </row>
    <row r="24" customFormat="false" ht="12.8" hidden="false" customHeight="false" outlineLevel="0" collapsed="false">
      <c r="A24" s="1" t="n">
        <v>21</v>
      </c>
      <c r="B24" s="2" t="n">
        <v>0.779651511367528</v>
      </c>
      <c r="C24" s="2" t="n">
        <v>0.0491714312021987</v>
      </c>
    </row>
    <row r="25" customFormat="false" ht="12.8" hidden="false" customHeight="false" outlineLevel="0" collapsed="false">
      <c r="A25" s="1" t="n">
        <v>22</v>
      </c>
      <c r="B25" s="2" t="n">
        <v>0.707012650930307</v>
      </c>
      <c r="C25" s="2" t="n">
        <v>-0.0453291831121895</v>
      </c>
    </row>
    <row r="26" customFormat="false" ht="12.8" hidden="false" customHeight="false" outlineLevel="0" collapsed="false">
      <c r="A26" s="1" t="n">
        <v>23</v>
      </c>
      <c r="B26" s="2" t="n">
        <v>0.759411204953021</v>
      </c>
      <c r="C26" s="2" t="n">
        <v>0.0716624234911606</v>
      </c>
    </row>
    <row r="27" customFormat="false" ht="12.8" hidden="false" customHeight="false" outlineLevel="0" collapsed="false">
      <c r="A27" s="1" t="n">
        <v>24</v>
      </c>
      <c r="B27" s="2" t="n">
        <v>0.754622185376853</v>
      </c>
      <c r="C27" s="2" t="n">
        <v>0.0912212373841284</v>
      </c>
    </row>
    <row r="28" customFormat="false" ht="12.8" hidden="false" customHeight="false" outlineLevel="0" collapsed="false">
      <c r="A28" s="1" t="n">
        <v>25</v>
      </c>
      <c r="B28" s="2" t="n">
        <v>0.718662412659959</v>
      </c>
      <c r="C28" s="2" t="n">
        <v>0.0318374403283911</v>
      </c>
    </row>
    <row r="33" customFormat="false" ht="13.8" hidden="false" customHeight="false" outlineLevel="0" collapsed="false">
      <c r="C33" s="0"/>
    </row>
    <row r="34" customFormat="false" ht="13.8" hidden="false" customHeight="false" outlineLevel="0" collapsed="false">
      <c r="B34" s="2"/>
      <c r="C34" s="0"/>
    </row>
    <row r="35" customFormat="false" ht="13.8" hidden="false" customHeight="false" outlineLevel="0" collapsed="false">
      <c r="B35" s="2"/>
      <c r="C35" s="0"/>
    </row>
    <row r="36" customFormat="false" ht="13.8" hidden="false" customHeight="false" outlineLevel="0" collapsed="false">
      <c r="B36" s="2"/>
      <c r="C36" s="0"/>
    </row>
    <row r="37" customFormat="false" ht="13.8" hidden="false" customHeight="false" outlineLevel="0" collapsed="false">
      <c r="B37" s="2"/>
      <c r="C37" s="0"/>
    </row>
    <row r="38" customFormat="false" ht="13.8" hidden="false" customHeight="false" outlineLevel="0" collapsed="false">
      <c r="B38" s="2"/>
      <c r="C38" s="0"/>
    </row>
    <row r="39" customFormat="false" ht="13.8" hidden="false" customHeight="false" outlineLevel="0" collapsed="false">
      <c r="B39" s="2"/>
      <c r="C39" s="0"/>
    </row>
    <row r="40" customFormat="false" ht="13.8" hidden="false" customHeight="false" outlineLevel="0" collapsed="false">
      <c r="B40" s="2"/>
      <c r="C40" s="0"/>
    </row>
    <row r="41" customFormat="false" ht="13.8" hidden="false" customHeight="false" outlineLevel="0" collapsed="false">
      <c r="B41" s="2"/>
      <c r="C41" s="0"/>
    </row>
    <row r="42" customFormat="false" ht="13.8" hidden="false" customHeight="false" outlineLevel="0" collapsed="false">
      <c r="B42" s="2"/>
      <c r="C42" s="0"/>
    </row>
    <row r="43" customFormat="false" ht="13.8" hidden="false" customHeight="false" outlineLevel="0" collapsed="false">
      <c r="B43" s="2"/>
      <c r="C43" s="0"/>
    </row>
    <row r="44" customFormat="false" ht="13.8" hidden="false" customHeight="false" outlineLevel="0" collapsed="false">
      <c r="B44" s="2"/>
      <c r="C44" s="0"/>
    </row>
    <row r="45" customFormat="false" ht="13.8" hidden="false" customHeight="false" outlineLevel="0" collapsed="false">
      <c r="B45" s="2"/>
      <c r="C45" s="0"/>
    </row>
    <row r="46" customFormat="false" ht="13.8" hidden="false" customHeight="false" outlineLevel="0" collapsed="false">
      <c r="B46" s="2"/>
      <c r="C46" s="0"/>
    </row>
    <row r="47" customFormat="false" ht="13.8" hidden="false" customHeight="false" outlineLevel="0" collapsed="false">
      <c r="B47" s="2"/>
      <c r="C47" s="0"/>
    </row>
    <row r="48" customFormat="false" ht="13.8" hidden="false" customHeight="false" outlineLevel="0" collapsed="false">
      <c r="B48" s="2"/>
      <c r="C48" s="0"/>
    </row>
    <row r="49" customFormat="false" ht="13.8" hidden="false" customHeight="false" outlineLevel="0" collapsed="false">
      <c r="B49" s="2"/>
      <c r="C49" s="0"/>
    </row>
    <row r="50" customFormat="false" ht="13.8" hidden="false" customHeight="false" outlineLevel="0" collapsed="false">
      <c r="B50" s="2"/>
      <c r="C50" s="0"/>
    </row>
    <row r="51" customFormat="false" ht="13.8" hidden="false" customHeight="false" outlineLevel="0" collapsed="false">
      <c r="B51" s="2"/>
      <c r="C51" s="0"/>
    </row>
    <row r="52" customFormat="false" ht="13.8" hidden="false" customHeight="false" outlineLevel="0" collapsed="false">
      <c r="B52" s="2"/>
      <c r="C52" s="0"/>
    </row>
    <row r="53" customFormat="false" ht="13.8" hidden="false" customHeight="false" outlineLevel="0" collapsed="false">
      <c r="B53" s="2"/>
      <c r="C53" s="0"/>
    </row>
    <row r="54" customFormat="false" ht="13.8" hidden="false" customHeight="false" outlineLevel="0" collapsed="false">
      <c r="B54" s="2"/>
      <c r="C54" s="0"/>
    </row>
    <row r="55" customFormat="false" ht="13.8" hidden="false" customHeight="false" outlineLevel="0" collapsed="false">
      <c r="B55" s="2"/>
      <c r="C55" s="0"/>
    </row>
    <row r="56" customFormat="false" ht="13.8" hidden="false" customHeight="false" outlineLevel="0" collapsed="false">
      <c r="B56" s="2"/>
      <c r="C56" s="0"/>
    </row>
    <row r="57" customFormat="false" ht="13.8" hidden="false" customHeight="false" outlineLevel="0" collapsed="false">
      <c r="B57" s="2"/>
      <c r="C57" s="0"/>
    </row>
    <row r="58" customFormat="false" ht="12.8" hidden="false" customHeight="false" outlineLevel="0" collapsed="false">
      <c r="B58" s="2"/>
    </row>
    <row r="59" customFormat="false" ht="12.8" hidden="false" customHeight="false" outlineLevel="0" collapsed="false">
      <c r="B59" s="2"/>
    </row>
    <row r="60" customFormat="false" ht="12.8" hidden="false" customHeight="false" outlineLevel="0" collapsed="false">
      <c r="B60" s="2"/>
    </row>
    <row r="61" customFormat="false" ht="12.8" hidden="false" customHeight="false" outlineLevel="0" collapsed="false">
      <c r="B61" s="2"/>
    </row>
    <row r="62" customFormat="false" ht="12.8" hidden="false" customHeight="false" outlineLevel="0" collapsed="false">
      <c r="B62" s="2"/>
    </row>
    <row r="63" customFormat="false" ht="12.8" hidden="false" customHeight="false" outlineLevel="0" collapsed="false">
      <c r="B63" s="2"/>
    </row>
    <row r="64" customFormat="false" ht="12.8" hidden="false" customHeight="false" outlineLevel="0" collapsed="false">
      <c r="B64" s="2"/>
    </row>
    <row r="65" customFormat="false" ht="12.8" hidden="false" customHeight="false" outlineLevel="0" collapsed="false">
      <c r="B65" s="2"/>
    </row>
  </sheetData>
  <autoFilter ref="C4:C28">
    <filterColumn colId="0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87"/>
  <sheetViews>
    <sheetView showFormulas="false" showGridLines="true" showRowColHeaders="true" showZeros="true" rightToLeft="false" tabSelected="false" showOutlineSymbols="true" defaultGridColor="true" view="normal" topLeftCell="A28" colorId="64" zoomScale="125" zoomScaleNormal="125" zoomScalePageLayoutView="100" workbookViewId="0">
      <selection pane="topLeft" activeCell="H55" activeCellId="0" sqref="H55"/>
    </sheetView>
  </sheetViews>
  <sheetFormatPr defaultColWidth="10.16015625" defaultRowHeight="12.8" zeroHeight="false" outlineLevelRow="0" outlineLevelCol="0"/>
  <cols>
    <col collapsed="false" customWidth="false" hidden="false" outlineLevel="0" max="1" min="1" style="6" width="10.16"/>
    <col collapsed="false" customWidth="true" hidden="false" outlineLevel="0" max="6" min="2" style="1" width="15.79"/>
    <col collapsed="false" customWidth="true" hidden="false" outlineLevel="0" max="7" min="7" style="1" width="17.56"/>
    <col collapsed="false" customWidth="true" hidden="false" outlineLevel="0" max="8" min="8" style="1" width="17.95"/>
    <col collapsed="false" customWidth="true" hidden="false" outlineLevel="0" max="9" min="9" style="1" width="17.07"/>
    <col collapsed="false" customWidth="true" hidden="false" outlineLevel="0" max="10" min="10" style="1" width="15.79"/>
    <col collapsed="false" customWidth="true" hidden="false" outlineLevel="0" max="11" min="11" style="1" width="19.21"/>
    <col collapsed="false" customWidth="true" hidden="false" outlineLevel="0" max="12" min="12" style="1" width="18.92"/>
    <col collapsed="false" customWidth="true" hidden="false" outlineLevel="0" max="13" min="13" style="2" width="17.56"/>
    <col collapsed="false" customWidth="true" hidden="false" outlineLevel="0" max="14" min="14" style="2" width="18.04"/>
    <col collapsed="false" customWidth="false" hidden="false" outlineLevel="0" max="16384" min="15" style="1" width="10.16"/>
  </cols>
  <sheetData>
    <row r="2" customFormat="false" ht="13.8" hidden="false" customHeight="false" outlineLevel="0" collapsed="false">
      <c r="B2" s="3"/>
      <c r="E2" s="2"/>
      <c r="F2" s="2"/>
      <c r="G2" s="5"/>
      <c r="H2" s="2" t="s">
        <v>112</v>
      </c>
      <c r="I2" s="2"/>
      <c r="J2" s="2"/>
    </row>
    <row r="3" customFormat="false" ht="12.8" hidden="false" customHeight="false" outlineLevel="0" collapsed="false">
      <c r="B3" s="2" t="s">
        <v>113</v>
      </c>
      <c r="C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  <c r="I3" s="2" t="s">
        <v>119</v>
      </c>
      <c r="J3" s="2" t="s">
        <v>120</v>
      </c>
      <c r="L3" s="7" t="s">
        <v>121</v>
      </c>
    </row>
    <row r="4" customFormat="false" ht="12.8" hidden="false" customHeight="false" outlineLevel="0" collapsed="false">
      <c r="A4" s="6" t="n">
        <v>1</v>
      </c>
      <c r="B4" s="2" t="n">
        <v>0.829083516979224</v>
      </c>
      <c r="C4" s="2" t="n">
        <v>0.843168263254482</v>
      </c>
      <c r="E4" s="2" t="n">
        <f aca="false">_xlfn.STDEV.S(B4:B28)</f>
        <v>0.065483270109739</v>
      </c>
      <c r="F4" s="2" t="n">
        <f aca="false">_xlfn.STDEV.S(C4:C28)</f>
        <v>0.117883055698871</v>
      </c>
      <c r="G4" s="2" t="n">
        <f aca="false">_xlfn.F.TEST(B4:B28,C4:C28)</f>
        <v>0.00552345517416043</v>
      </c>
      <c r="H4" s="2" t="n">
        <f aca="false">_xlfn.T.TEST(B4:B28, C4:C28, 2,2)</f>
        <v>8.19962289448315E-008</v>
      </c>
      <c r="I4" s="2" t="n">
        <f aca="false">_xlfn.T.TEST(B4:B28,C4:C28, 2,3)</f>
        <v>2.2046053900549E-007</v>
      </c>
      <c r="J4" s="2" t="n">
        <f aca="false">AVERAGE(B4:B28)-AVERAGE(C4:C28)</f>
        <v>0.170375899676724</v>
      </c>
      <c r="L4" s="1" t="s">
        <v>122</v>
      </c>
      <c r="M4" s="2" t="n">
        <v>0.05</v>
      </c>
    </row>
    <row r="5" customFormat="false" ht="12.8" hidden="false" customHeight="false" outlineLevel="0" collapsed="false">
      <c r="A5" s="6" t="n">
        <v>2</v>
      </c>
      <c r="B5" s="2" t="n">
        <v>0.766444903472076</v>
      </c>
      <c r="C5" s="2" t="n">
        <v>0.410481566775254</v>
      </c>
      <c r="L5" s="1" t="s">
        <v>123</v>
      </c>
      <c r="M5" s="2" t="n">
        <v>0</v>
      </c>
    </row>
    <row r="6" customFormat="false" ht="12.8" hidden="false" customHeight="false" outlineLevel="0" collapsed="false">
      <c r="A6" s="6" t="n">
        <v>3</v>
      </c>
      <c r="B6" s="2" t="n">
        <v>0.820814927176212</v>
      </c>
      <c r="C6" s="2" t="n">
        <v>0.557975369920795</v>
      </c>
      <c r="M6" s="8" t="s">
        <v>124</v>
      </c>
      <c r="N6" s="8" t="s">
        <v>125</v>
      </c>
    </row>
    <row r="7" customFormat="false" ht="12.8" hidden="false" customHeight="false" outlineLevel="0" collapsed="false">
      <c r="A7" s="6" t="n">
        <v>4</v>
      </c>
      <c r="B7" s="2" t="n">
        <v>0.589340681428011</v>
      </c>
      <c r="C7" s="2" t="n">
        <v>0.619158269088556</v>
      </c>
      <c r="L7" s="1" t="s">
        <v>126</v>
      </c>
      <c r="M7" s="2" t="n">
        <f aca="false">AVERAGE('inter_system stats'!$B$3:$B$28)</f>
        <v>0.733041387615704</v>
      </c>
      <c r="N7" s="2" t="n">
        <f aca="false">AVERAGE('inter_system stats'!$C$3:$C$28)</f>
        <v>0.56266548793898</v>
      </c>
    </row>
    <row r="8" customFormat="false" ht="12.8" hidden="false" customHeight="false" outlineLevel="0" collapsed="false">
      <c r="A8" s="6" t="n">
        <v>5</v>
      </c>
      <c r="B8" s="2" t="n">
        <v>0.549939911322228</v>
      </c>
      <c r="C8" s="2" t="n">
        <v>0.403963080119542</v>
      </c>
      <c r="L8" s="1" t="s">
        <v>127</v>
      </c>
      <c r="M8" s="2" t="n">
        <f aca="false">VAR('inter_system stats'!$B$3:$B$28)</f>
        <v>0.00428805866426504</v>
      </c>
      <c r="N8" s="2" t="n">
        <f aca="false">VAR('inter_system stats'!$C$3:$C$28)</f>
        <v>0.013896414820903</v>
      </c>
    </row>
    <row r="9" customFormat="false" ht="12.8" hidden="false" customHeight="false" outlineLevel="0" collapsed="false">
      <c r="A9" s="6" t="n">
        <v>6</v>
      </c>
      <c r="B9" s="2" t="n">
        <v>0.806301302771949</v>
      </c>
      <c r="C9" s="2" t="n">
        <v>0.570743883878626</v>
      </c>
      <c r="L9" s="1" t="s">
        <v>128</v>
      </c>
      <c r="M9" s="2" t="n">
        <f aca="false">COUNT('inter_system stats'!$B$3:$B$28)</f>
        <v>25</v>
      </c>
      <c r="N9" s="2" t="n">
        <f aca="false">COUNT('inter_system stats'!$C$3:$C$28)</f>
        <v>25</v>
      </c>
    </row>
    <row r="10" customFormat="false" ht="12.8" hidden="false" customHeight="false" outlineLevel="0" collapsed="false">
      <c r="A10" s="6" t="n">
        <v>7</v>
      </c>
      <c r="B10" s="2" t="n">
        <v>0.654420747897195</v>
      </c>
      <c r="C10" s="2" t="n">
        <v>0.611608951562061</v>
      </c>
      <c r="L10" s="1" t="s">
        <v>129</v>
      </c>
      <c r="M10" s="2" t="n">
        <f aca="false">CORREL('inter_system stats'!$B$3:$B$28,'inter_system stats'!$C$3:$C$28)</f>
        <v>0.232795429411587</v>
      </c>
    </row>
    <row r="11" customFormat="false" ht="12.8" hidden="false" customHeight="false" outlineLevel="0" collapsed="false">
      <c r="A11" s="6" t="n">
        <v>8</v>
      </c>
      <c r="B11" s="2" t="n">
        <v>0.747457006954611</v>
      </c>
      <c r="C11" s="2" t="n">
        <v>0.51665838871536</v>
      </c>
      <c r="L11" s="1" t="s">
        <v>130</v>
      </c>
      <c r="M11" s="2" t="n">
        <f aca="false" t="array" ref="M11:M11">AVERAGE(IF(ISODD(IF(ISNUMBER('inter_system stats'!$B$3:$B$28), 1, 0) * IF(ISNUMBER('inter_system stats'!$C$3:$C$28), 1, 0)), 'inter_system stats'!$B$3:$B$28 - 'inter_system stats'!$C$3:$C$28, "NA"))</f>
        <v>0.170375899676724</v>
      </c>
    </row>
    <row r="12" customFormat="false" ht="12.8" hidden="false" customHeight="false" outlineLevel="0" collapsed="false">
      <c r="A12" s="6" t="n">
        <v>9</v>
      </c>
      <c r="B12" s="2" t="n">
        <v>0.763154436571465</v>
      </c>
      <c r="C12" s="2" t="n">
        <v>0.519107279370953</v>
      </c>
      <c r="L12" s="1" t="s">
        <v>131</v>
      </c>
      <c r="M12" s="2" t="n">
        <f aca="false" t="array" ref="M12:M12">VAR(IF(ISODD(IF(ISNUMBER('inter_system stats'!$B$3:$B$28), 1, 0) * IF(ISNUMBER('inter_system stats'!$C$3:$C$28), 1, 0)), 'inter_system stats'!$B$3:$B$28 - 'inter_system stats'!$C$3:$C$28, "NA"))</f>
        <v>0.014590406318863</v>
      </c>
    </row>
    <row r="13" customFormat="false" ht="12.8" hidden="false" customHeight="false" outlineLevel="0" collapsed="false">
      <c r="A13" s="6" t="n">
        <v>10</v>
      </c>
      <c r="B13" s="2" t="n">
        <v>0.745298826492448</v>
      </c>
      <c r="C13" s="2" t="n">
        <v>0.681242455451239</v>
      </c>
      <c r="L13" s="1" t="s">
        <v>132</v>
      </c>
      <c r="M13" s="2" t="n">
        <f aca="false" t="array" ref="M13:M13">SUM(IF(ISNUMBER('inter_system stats'!$B$3:$B$28), 1, 0) * IF(ISNUMBER('inter_system stats'!$C$3:$C$28), 1, 0)) - 1</f>
        <v>24</v>
      </c>
    </row>
    <row r="14" customFormat="false" ht="12.8" hidden="false" customHeight="false" outlineLevel="0" collapsed="false">
      <c r="A14" s="6" t="n">
        <v>11</v>
      </c>
      <c r="B14" s="2" t="n">
        <v>0.703599427390625</v>
      </c>
      <c r="C14" s="2" t="n">
        <v>0.665099248057114</v>
      </c>
      <c r="L14" s="1" t="s">
        <v>133</v>
      </c>
      <c r="M14" s="2" t="n">
        <f aca="false">('inter_system stats'!$M$11 - 'inter_system stats'!$M$5) / ('inter_system stats'!$M$12 / ( 'inter_system stats'!$M$13 + 1)) ^ 0.5</f>
        <v>7.05252238452309</v>
      </c>
    </row>
    <row r="15" customFormat="false" ht="12.8" hidden="false" customHeight="false" outlineLevel="0" collapsed="false">
      <c r="A15" s="6" t="n">
        <v>12</v>
      </c>
      <c r="B15" s="2" t="n">
        <v>0.792291119607581</v>
      </c>
      <c r="C15" s="2" t="n">
        <v>0.685595116342696</v>
      </c>
      <c r="L15" s="1" t="s">
        <v>134</v>
      </c>
      <c r="M15" s="2" t="n">
        <f aca="false">TDIST(ABS('inter_system stats'!$M$14), 'inter_system stats'!$M$13, 1)</f>
        <v>1.36230574422051E-007</v>
      </c>
    </row>
    <row r="16" customFormat="false" ht="12.8" hidden="false" customHeight="false" outlineLevel="0" collapsed="false">
      <c r="A16" s="6" t="n">
        <v>13</v>
      </c>
      <c r="B16" s="2" t="n">
        <v>0.742748844142451</v>
      </c>
      <c r="C16" s="2" t="n">
        <v>0.65114377143955</v>
      </c>
      <c r="L16" s="1" t="s">
        <v>135</v>
      </c>
      <c r="M16" s="2" t="n">
        <f aca="false">TINV(2*'inter_system stats'!$M$4, 'inter_system stats'!$M$13)</f>
        <v>1.71088207990943</v>
      </c>
    </row>
    <row r="17" customFormat="false" ht="12.8" hidden="false" customHeight="false" outlineLevel="0" collapsed="false">
      <c r="A17" s="6" t="n">
        <v>14</v>
      </c>
      <c r="B17" s="2" t="n">
        <v>0.730739032742495</v>
      </c>
      <c r="C17" s="2" t="n">
        <v>0.603486770235985</v>
      </c>
      <c r="L17" s="1" t="s">
        <v>136</v>
      </c>
      <c r="M17" s="2" t="n">
        <f aca="false">TDIST(ABS('inter_system stats'!$M$14), 'inter_system stats'!$M$13, 2)</f>
        <v>2.72461148844102E-007</v>
      </c>
    </row>
    <row r="18" customFormat="false" ht="12.8" hidden="false" customHeight="false" outlineLevel="0" collapsed="false">
      <c r="A18" s="6" t="n">
        <v>15</v>
      </c>
      <c r="B18" s="2" t="n">
        <v>0.727501533855859</v>
      </c>
      <c r="C18" s="2" t="n">
        <v>0.498068679989705</v>
      </c>
      <c r="L18" s="1" t="s">
        <v>137</v>
      </c>
      <c r="M18" s="2" t="n">
        <f aca="false">TINV('inter_system stats'!$M$4, 'inter_system stats'!$M$13)</f>
        <v>2.06389856162803</v>
      </c>
    </row>
    <row r="19" customFormat="false" ht="12.8" hidden="false" customHeight="false" outlineLevel="0" collapsed="false">
      <c r="A19" s="6" t="n">
        <v>16</v>
      </c>
      <c r="B19" s="2" t="n">
        <v>0.69212024380659</v>
      </c>
      <c r="C19" s="2" t="n">
        <v>0.630377968860656</v>
      </c>
    </row>
    <row r="20" customFormat="false" ht="12.8" hidden="false" customHeight="false" outlineLevel="0" collapsed="false">
      <c r="A20" s="6" t="n">
        <v>17</v>
      </c>
      <c r="B20" s="2" t="n">
        <v>0.719549537838803</v>
      </c>
      <c r="C20" s="2" t="n">
        <v>0.657927168337551</v>
      </c>
    </row>
    <row r="21" customFormat="false" ht="12.8" hidden="false" customHeight="false" outlineLevel="0" collapsed="false">
      <c r="A21" s="6" t="n">
        <v>18</v>
      </c>
      <c r="B21" s="2" t="n">
        <v>0.708540087240829</v>
      </c>
      <c r="C21" s="2" t="n">
        <v>0.560860510322618</v>
      </c>
    </row>
    <row r="22" customFormat="false" ht="12.8" hidden="false" customHeight="false" outlineLevel="0" collapsed="false">
      <c r="A22" s="6" t="n">
        <v>19</v>
      </c>
      <c r="B22" s="2" t="n">
        <v>0.706775862145744</v>
      </c>
      <c r="C22" s="2" t="n">
        <v>0.502077926373526</v>
      </c>
    </row>
    <row r="23" customFormat="false" ht="12.8" hidden="false" customHeight="false" outlineLevel="0" collapsed="false">
      <c r="A23" s="6" t="n">
        <v>20</v>
      </c>
      <c r="B23" s="2" t="n">
        <v>0.810552775268533</v>
      </c>
      <c r="C23" s="2" t="n">
        <v>0.477168485158792</v>
      </c>
    </row>
    <row r="24" customFormat="false" ht="12.8" hidden="false" customHeight="false" outlineLevel="0" collapsed="false">
      <c r="A24" s="6" t="n">
        <v>21</v>
      </c>
      <c r="B24" s="2" t="n">
        <v>0.779651511367528</v>
      </c>
      <c r="C24" s="2" t="n">
        <v>0.490712582964214</v>
      </c>
    </row>
    <row r="25" customFormat="false" ht="12.8" hidden="false" customHeight="false" outlineLevel="0" collapsed="false">
      <c r="A25" s="6" t="n">
        <v>22</v>
      </c>
      <c r="B25" s="2" t="n">
        <v>0.707012650930307</v>
      </c>
      <c r="C25" s="2" t="n">
        <v>0.373647233999626</v>
      </c>
    </row>
    <row r="26" customFormat="false" ht="12.8" hidden="false" customHeight="false" outlineLevel="0" collapsed="false">
      <c r="A26" s="6" t="n">
        <v>23</v>
      </c>
      <c r="B26" s="2" t="n">
        <v>0.759411204953021</v>
      </c>
      <c r="C26" s="2" t="n">
        <v>0.656354995088699</v>
      </c>
    </row>
    <row r="27" customFormat="false" ht="12.8" hidden="false" customHeight="false" outlineLevel="0" collapsed="false">
      <c r="A27" s="6" t="n">
        <v>24</v>
      </c>
      <c r="B27" s="2" t="n">
        <v>0.754622185376853</v>
      </c>
      <c r="C27" s="2" t="n">
        <v>0.579731827188496</v>
      </c>
    </row>
    <row r="28" customFormat="false" ht="12.8" hidden="false" customHeight="false" outlineLevel="0" collapsed="false">
      <c r="A28" s="6" t="n">
        <v>25</v>
      </c>
      <c r="B28" s="2" t="n">
        <v>0.718662412659959</v>
      </c>
      <c r="C28" s="2" t="n">
        <v>0.300277405978412</v>
      </c>
    </row>
    <row r="32" customFormat="false" ht="12.8" hidden="false" customHeight="false" outlineLevel="0" collapsed="false">
      <c r="A32" s="6" t="s">
        <v>138</v>
      </c>
    </row>
    <row r="33" customFormat="false" ht="12.8" hidden="false" customHeight="false" outlineLevel="0" collapsed="false">
      <c r="B33" s="2" t="s">
        <v>139</v>
      </c>
      <c r="C33" s="2" t="s">
        <v>140</v>
      </c>
      <c r="D33" s="2" t="s">
        <v>141</v>
      </c>
      <c r="F33" s="7" t="s">
        <v>142</v>
      </c>
    </row>
    <row r="34" customFormat="false" ht="12.8" hidden="false" customHeight="false" outlineLevel="0" collapsed="false">
      <c r="B34" s="2" t="n">
        <v>0.829083516979224</v>
      </c>
      <c r="C34" s="2" t="n">
        <v>0.834308337570909</v>
      </c>
      <c r="D34" s="2" t="n">
        <v>0.820329791398556</v>
      </c>
      <c r="F34" s="1" t="s">
        <v>122</v>
      </c>
      <c r="G34" s="1" t="n">
        <v>0.05</v>
      </c>
    </row>
    <row r="35" customFormat="false" ht="12.8" hidden="false" customHeight="false" outlineLevel="0" collapsed="false">
      <c r="B35" s="2" t="n">
        <v>0.766444903472076</v>
      </c>
      <c r="C35" s="2" t="n">
        <v>0.78737808939176</v>
      </c>
      <c r="D35" s="2" t="n">
        <v>0.760208954092368</v>
      </c>
    </row>
    <row r="36" customFormat="false" ht="12.8" hidden="false" customHeight="false" outlineLevel="0" collapsed="false">
      <c r="B36" s="2" t="n">
        <v>0.820814927176212</v>
      </c>
      <c r="C36" s="2" t="n">
        <v>0.823470108869694</v>
      </c>
      <c r="D36" s="2" t="n">
        <v>0.779358920094772</v>
      </c>
      <c r="F36" s="2" t="s">
        <v>143</v>
      </c>
      <c r="G36" s="2" t="s">
        <v>144</v>
      </c>
      <c r="H36" s="2" t="s">
        <v>145</v>
      </c>
      <c r="I36" s="2" t="s">
        <v>126</v>
      </c>
      <c r="J36" s="2" t="s">
        <v>127</v>
      </c>
      <c r="K36" s="2"/>
      <c r="L36" s="2"/>
    </row>
    <row r="37" customFormat="false" ht="12.8" hidden="false" customHeight="false" outlineLevel="0" collapsed="false">
      <c r="B37" s="2" t="n">
        <v>0.589340681428011</v>
      </c>
      <c r="C37" s="2" t="n">
        <v>0.641382187119465</v>
      </c>
      <c r="D37" s="2" t="n">
        <v>0.655474168574833</v>
      </c>
      <c r="F37" s="2" t="s">
        <v>146</v>
      </c>
      <c r="G37" s="2" t="n">
        <f aca="false">COUNT('inter_system stats'!$B$33:$B$58)</f>
        <v>25</v>
      </c>
      <c r="H37" s="2" t="n">
        <f aca="false">SUM('inter_system stats'!$B$33:$B$58)</f>
        <v>18.3260346903926</v>
      </c>
      <c r="I37" s="2" t="n">
        <f aca="false">AVERAGE('inter_system stats'!$B$33:$B$58)</f>
        <v>0.733041387615704</v>
      </c>
      <c r="J37" s="2" t="n">
        <f aca="false">VAR('inter_system stats'!$B$33:$B$58)</f>
        <v>0.00428805866426504</v>
      </c>
      <c r="K37" s="2"/>
      <c r="L37" s="2"/>
    </row>
    <row r="38" customFormat="false" ht="12.8" hidden="false" customHeight="false" outlineLevel="0" collapsed="false">
      <c r="B38" s="2" t="n">
        <v>0.549939911322228</v>
      </c>
      <c r="C38" s="2" t="n">
        <v>0.648560742045417</v>
      </c>
      <c r="D38" s="2" t="n">
        <v>0.601488270812317</v>
      </c>
      <c r="F38" s="2" t="s">
        <v>147</v>
      </c>
      <c r="G38" s="2" t="n">
        <f aca="false">COUNT('inter_system stats'!$C$33:$C$58)</f>
        <v>25</v>
      </c>
      <c r="H38" s="2" t="n">
        <f aca="false">SUM('inter_system stats'!$C$33:$C$58)</f>
        <v>18.2637744597571</v>
      </c>
      <c r="I38" s="2" t="n">
        <f aca="false">AVERAGE('inter_system stats'!$C$33:$C$58)</f>
        <v>0.730550978390282</v>
      </c>
      <c r="J38" s="2" t="n">
        <f aca="false">VAR('inter_system stats'!$C$33:$C$58)</f>
        <v>0.0032014708633712</v>
      </c>
      <c r="K38" s="2"/>
      <c r="L38" s="2"/>
    </row>
    <row r="39" customFormat="false" ht="12.8" hidden="false" customHeight="false" outlineLevel="0" collapsed="false">
      <c r="B39" s="2" t="n">
        <v>0.806301302771949</v>
      </c>
      <c r="C39" s="2" t="n">
        <v>0.737540725804953</v>
      </c>
      <c r="D39" s="2" t="n">
        <v>0.802605111539465</v>
      </c>
      <c r="F39" s="2" t="s">
        <v>148</v>
      </c>
      <c r="G39" s="2" t="n">
        <f aca="false">COUNT('inter_system stats'!$D$33:$D$58)</f>
        <v>25</v>
      </c>
      <c r="H39" s="2" t="n">
        <f aca="false">SUM('inter_system stats'!$D$33:$D$58)</f>
        <v>18.2681627378252</v>
      </c>
      <c r="I39" s="2" t="n">
        <f aca="false">AVERAGE('inter_system stats'!$D$33:$D$58)</f>
        <v>0.730726509513007</v>
      </c>
      <c r="J39" s="2" t="n">
        <f aca="false">VAR('inter_system stats'!$D$33:$D$58)</f>
        <v>0.00460998896090856</v>
      </c>
      <c r="K39" s="2"/>
      <c r="L39" s="2"/>
    </row>
    <row r="40" customFormat="false" ht="12.8" hidden="false" customHeight="false" outlineLevel="0" collapsed="false">
      <c r="B40" s="2" t="n">
        <v>0.654420747897195</v>
      </c>
      <c r="C40" s="2" t="n">
        <v>0.634968083396197</v>
      </c>
      <c r="D40" s="2" t="n">
        <v>0.648878416428975</v>
      </c>
      <c r="F40" s="2"/>
      <c r="G40" s="2"/>
      <c r="H40" s="2"/>
      <c r="I40" s="2"/>
      <c r="J40" s="2"/>
      <c r="K40" s="2"/>
      <c r="L40" s="2"/>
    </row>
    <row r="41" customFormat="false" ht="12.8" hidden="false" customHeight="false" outlineLevel="0" collapsed="false">
      <c r="B41" s="2" t="n">
        <v>0.747457006954611</v>
      </c>
      <c r="C41" s="2" t="n">
        <v>0.746400854814908</v>
      </c>
      <c r="D41" s="2" t="n">
        <v>0.75255045120181</v>
      </c>
      <c r="F41" s="2" t="s">
        <v>149</v>
      </c>
      <c r="G41" s="2" t="s">
        <v>150</v>
      </c>
      <c r="H41" s="2" t="s">
        <v>132</v>
      </c>
      <c r="I41" s="2" t="s">
        <v>151</v>
      </c>
      <c r="J41" s="2" t="s">
        <v>152</v>
      </c>
      <c r="K41" s="2" t="s">
        <v>153</v>
      </c>
      <c r="L41" s="2" t="s">
        <v>154</v>
      </c>
    </row>
    <row r="42" customFormat="false" ht="12.8" hidden="false" customHeight="false" outlineLevel="0" collapsed="false">
      <c r="B42" s="2" t="n">
        <v>0.763154436571465</v>
      </c>
      <c r="C42" s="2" t="n">
        <v>0.688805343346949</v>
      </c>
      <c r="D42" s="2" t="n">
        <v>0.725998440426624</v>
      </c>
      <c r="F42" s="2" t="s">
        <v>155</v>
      </c>
      <c r="G42" s="2" t="n">
        <f aca="false">SUMPRODUCT('inter_system stats'!$H$37:$H$39,'inter_system stats'!$I$37:$I$39)-SUM('inter_system stats'!$H$37:$H$39)^2/SUM('inter_system stats'!$G$37:$G$39)</f>
        <v>9.65967492874142E-005</v>
      </c>
      <c r="H42" s="2" t="n">
        <f aca="false">COUNT('inter_system stats'!$H$37:$H$39)-1</f>
        <v>2</v>
      </c>
      <c r="I42" s="2" t="n">
        <f aca="false">'inter_system stats'!$G$42 / 'inter_system stats'!$H$42</f>
        <v>4.82983746437071E-005</v>
      </c>
      <c r="J42" s="2" t="n">
        <f aca="false">'inter_system stats'!$I$42 / 'inter_system stats'!$I$43</f>
        <v>0.011975280178984</v>
      </c>
      <c r="K42" s="2" t="n">
        <f aca="false">FDIST('inter_system stats'!$J$42, 'inter_system stats'!$H$42, 'inter_system stats'!$H$43)</f>
        <v>0.988098105744143</v>
      </c>
      <c r="L42" s="2" t="n">
        <f aca="false">FINV('inter_system stats'!$G$34, 'inter_system stats'!$H$42, 'inter_system stats'!$H$43)</f>
        <v>3.12390744854578</v>
      </c>
    </row>
    <row r="43" customFormat="false" ht="12.8" hidden="false" customHeight="false" outlineLevel="0" collapsed="false">
      <c r="B43" s="2" t="n">
        <v>0.745298826492448</v>
      </c>
      <c r="C43" s="2" t="n">
        <v>0.743639794674361</v>
      </c>
      <c r="D43" s="2" t="n">
        <v>0.706819355320024</v>
      </c>
      <c r="F43" s="2" t="s">
        <v>156</v>
      </c>
      <c r="G43" s="2" t="n">
        <f aca="false">SUM(DEVSQ('inter_system stats'!$B$33:$B$58),DEVSQ('inter_system stats'!$C$33:$C$58),DEVSQ('inter_system stats'!$D$33:$D$58))</f>
        <v>0.290388443725075</v>
      </c>
      <c r="H43" s="2" t="n">
        <f aca="false">SUM('inter_system stats'!$G$37:$G$39)-COUNT('inter_system stats'!$G$37:$G$39)</f>
        <v>72</v>
      </c>
      <c r="I43" s="2" t="n">
        <f aca="false">'inter_system stats'!$G$43 / 'inter_system stats'!$H$43</f>
        <v>0.00403317282951493</v>
      </c>
      <c r="J43" s="2"/>
      <c r="K43" s="2"/>
      <c r="L43" s="2"/>
    </row>
    <row r="44" customFormat="false" ht="12.8" hidden="false" customHeight="false" outlineLevel="0" collapsed="false">
      <c r="B44" s="2" t="n">
        <v>0.703599427390625</v>
      </c>
      <c r="C44" s="2" t="n">
        <v>0.7131914659308</v>
      </c>
      <c r="D44" s="2" t="n">
        <v>0.663884135279099</v>
      </c>
      <c r="F44" s="2" t="s">
        <v>157</v>
      </c>
      <c r="G44" s="2" t="n">
        <f aca="false">DEVSQ('inter_system stats'!$B$33:$B$58,'inter_system stats'!$C$33:$C$58,'inter_system stats'!$D$33:$D$58)</f>
        <v>0.290485040474371</v>
      </c>
      <c r="H44" s="2" t="n">
        <f aca="false">SUM('inter_system stats'!$G$37:$G$39) - 1</f>
        <v>74</v>
      </c>
      <c r="I44" s="2"/>
      <c r="J44" s="2"/>
      <c r="K44" s="2"/>
      <c r="L44" s="2"/>
    </row>
    <row r="45" customFormat="false" ht="12.8" hidden="false" customHeight="false" outlineLevel="0" collapsed="false">
      <c r="B45" s="2" t="n">
        <v>0.792291119607581</v>
      </c>
      <c r="C45" s="2" t="n">
        <v>0.767138956921052</v>
      </c>
      <c r="D45" s="2" t="n">
        <v>0.808680515695504</v>
      </c>
    </row>
    <row r="46" customFormat="false" ht="12.8" hidden="false" customHeight="false" outlineLevel="0" collapsed="false">
      <c r="B46" s="2" t="n">
        <v>0.742748844142451</v>
      </c>
      <c r="C46" s="2" t="n">
        <v>0.725689268577004</v>
      </c>
      <c r="D46" s="2" t="n">
        <v>0.697789785928682</v>
      </c>
    </row>
    <row r="47" customFormat="false" ht="12.8" hidden="false" customHeight="false" outlineLevel="0" collapsed="false">
      <c r="B47" s="2" t="n">
        <v>0.730739032742495</v>
      </c>
      <c r="C47" s="2" t="n">
        <v>0.68375138396333</v>
      </c>
      <c r="D47" s="2" t="n">
        <v>0.749649894113733</v>
      </c>
    </row>
    <row r="48" customFormat="false" ht="12.8" hidden="false" customHeight="false" outlineLevel="0" collapsed="false">
      <c r="B48" s="2" t="n">
        <v>0.727501533855859</v>
      </c>
      <c r="C48" s="2" t="n">
        <v>0.778810655140002</v>
      </c>
      <c r="D48" s="2" t="n">
        <v>0.736967328412209</v>
      </c>
    </row>
    <row r="49" customFormat="false" ht="12.8" hidden="false" customHeight="false" outlineLevel="0" collapsed="false">
      <c r="B49" s="2" t="n">
        <v>0.69212024380659</v>
      </c>
      <c r="C49" s="2" t="n">
        <v>0.720712807955728</v>
      </c>
      <c r="D49" s="2" t="n">
        <v>0.764104736117937</v>
      </c>
    </row>
    <row r="50" customFormat="false" ht="12.8" hidden="false" customHeight="false" outlineLevel="0" collapsed="false">
      <c r="B50" s="2" t="n">
        <v>0.719549537838803</v>
      </c>
      <c r="C50" s="2" t="n">
        <v>0.772536760552901</v>
      </c>
      <c r="D50" s="2" t="n">
        <v>0.722501085513047</v>
      </c>
    </row>
    <row r="51" customFormat="false" ht="12.8" hidden="false" customHeight="false" outlineLevel="0" collapsed="false">
      <c r="B51" s="2" t="n">
        <v>0.708540087240829</v>
      </c>
      <c r="C51" s="2" t="n">
        <v>0.705400471101386</v>
      </c>
      <c r="D51" s="2" t="n">
        <v>0.68518214731593</v>
      </c>
    </row>
    <row r="52" customFormat="false" ht="12.8" hidden="false" customHeight="false" outlineLevel="0" collapsed="false">
      <c r="B52" s="2" t="n">
        <v>0.706775862145744</v>
      </c>
      <c r="C52" s="2" t="n">
        <v>0.654030504893449</v>
      </c>
      <c r="D52" s="2" t="n">
        <v>0.57422986602436</v>
      </c>
    </row>
    <row r="53" customFormat="false" ht="12.8" hidden="false" customHeight="false" outlineLevel="0" collapsed="false">
      <c r="B53" s="2" t="n">
        <v>0.810552775268533</v>
      </c>
      <c r="C53" s="2" t="n">
        <v>0.819935063298953</v>
      </c>
      <c r="D53" s="2" t="n">
        <v>0.862814658531392</v>
      </c>
    </row>
    <row r="54" customFormat="false" ht="12.8" hidden="false" customHeight="false" outlineLevel="0" collapsed="false">
      <c r="B54" s="2" t="n">
        <v>0.779651511367528</v>
      </c>
      <c r="C54" s="2" t="n">
        <v>0.775935289730371</v>
      </c>
      <c r="D54" s="2" t="n">
        <v>0.766443599036539</v>
      </c>
    </row>
    <row r="55" customFormat="false" ht="12.8" hidden="false" customHeight="false" outlineLevel="0" collapsed="false">
      <c r="B55" s="2" t="n">
        <v>0.707012650930307</v>
      </c>
      <c r="C55" s="2" t="n">
        <v>0.689306055979394</v>
      </c>
      <c r="D55" s="2" t="n">
        <v>0.757219448945817</v>
      </c>
    </row>
    <row r="56" customFormat="false" ht="12.8" hidden="false" customHeight="false" outlineLevel="0" collapsed="false">
      <c r="B56" s="2" t="n">
        <v>0.759411204953021</v>
      </c>
      <c r="C56" s="2" t="n">
        <v>0.757862366672276</v>
      </c>
      <c r="D56" s="2" t="n">
        <v>0.75138094509243</v>
      </c>
    </row>
    <row r="57" customFormat="false" ht="12.8" hidden="false" customHeight="false" outlineLevel="0" collapsed="false">
      <c r="B57" s="2" t="n">
        <v>0.754622185376853</v>
      </c>
      <c r="C57" s="2" t="n">
        <v>0.706727669319429</v>
      </c>
      <c r="D57" s="2" t="n">
        <v>0.783578798476775</v>
      </c>
    </row>
    <row r="58" customFormat="false" ht="12.8" hidden="false" customHeight="false" outlineLevel="0" collapsed="false">
      <c r="B58" s="2" t="n">
        <v>0.718662412659959</v>
      </c>
      <c r="C58" s="2" t="n">
        <v>0.70629147268637</v>
      </c>
      <c r="D58" s="2" t="n">
        <v>0.690023913451965</v>
      </c>
    </row>
    <row r="60" customFormat="false" ht="12.8" hidden="false" customHeight="false" outlineLevel="0" collapsed="false">
      <c r="A60" s="6" t="s">
        <v>158</v>
      </c>
    </row>
    <row r="62" customFormat="false" ht="12.8" hidden="false" customHeight="false" outlineLevel="0" collapsed="false">
      <c r="B62" s="2" t="s">
        <v>139</v>
      </c>
      <c r="C62" s="2" t="s">
        <v>140</v>
      </c>
      <c r="D62" s="2" t="s">
        <v>141</v>
      </c>
      <c r="E62" s="2" t="s">
        <v>114</v>
      </c>
      <c r="G62" s="8" t="s">
        <v>142</v>
      </c>
      <c r="H62" s="2"/>
      <c r="I62" s="2"/>
      <c r="J62" s="2"/>
      <c r="K62" s="2"/>
      <c r="L62" s="2"/>
    </row>
    <row r="63" customFormat="false" ht="12.8" hidden="false" customHeight="false" outlineLevel="0" collapsed="false">
      <c r="B63" s="2" t="n">
        <v>0.829083516979224</v>
      </c>
      <c r="C63" s="2" t="n">
        <v>0.834308337570909</v>
      </c>
      <c r="D63" s="2" t="n">
        <v>0.820329791398556</v>
      </c>
      <c r="E63" s="2" t="n">
        <v>0.843168263254482</v>
      </c>
      <c r="G63" s="2" t="s">
        <v>122</v>
      </c>
      <c r="H63" s="2" t="n">
        <v>0.05</v>
      </c>
      <c r="I63" s="2"/>
      <c r="J63" s="2"/>
      <c r="K63" s="2"/>
      <c r="L63" s="2"/>
    </row>
    <row r="64" customFormat="false" ht="12.8" hidden="false" customHeight="false" outlineLevel="0" collapsed="false">
      <c r="B64" s="2" t="n">
        <v>0.766444903472076</v>
      </c>
      <c r="C64" s="2" t="n">
        <v>0.78737808939176</v>
      </c>
      <c r="D64" s="2" t="n">
        <v>0.760208954092368</v>
      </c>
      <c r="E64" s="2" t="n">
        <v>0.410481566775254</v>
      </c>
      <c r="G64" s="2"/>
      <c r="H64" s="2"/>
      <c r="I64" s="2"/>
      <c r="J64" s="2"/>
      <c r="K64" s="2"/>
      <c r="L64" s="2"/>
    </row>
    <row r="65" customFormat="false" ht="12.8" hidden="false" customHeight="false" outlineLevel="0" collapsed="false">
      <c r="B65" s="2" t="n">
        <v>0.820814927176212</v>
      </c>
      <c r="C65" s="2" t="n">
        <v>0.823470108869694</v>
      </c>
      <c r="D65" s="2" t="n">
        <v>0.779358920094772</v>
      </c>
      <c r="E65" s="2" t="n">
        <v>0.557975369920795</v>
      </c>
      <c r="G65" s="2" t="s">
        <v>143</v>
      </c>
      <c r="H65" s="2" t="s">
        <v>144</v>
      </c>
      <c r="I65" s="2" t="s">
        <v>145</v>
      </c>
      <c r="J65" s="2" t="s">
        <v>126</v>
      </c>
      <c r="K65" s="2" t="s">
        <v>127</v>
      </c>
      <c r="L65" s="2"/>
    </row>
    <row r="66" customFormat="false" ht="12.8" hidden="false" customHeight="false" outlineLevel="0" collapsed="false">
      <c r="B66" s="2" t="n">
        <v>0.589340681428011</v>
      </c>
      <c r="C66" s="2" t="n">
        <v>0.641382187119465</v>
      </c>
      <c r="D66" s="2" t="n">
        <v>0.655474168574833</v>
      </c>
      <c r="E66" s="2" t="n">
        <v>0.619158269088556</v>
      </c>
      <c r="G66" s="2" t="s">
        <v>146</v>
      </c>
      <c r="H66" s="2" t="n">
        <f aca="false">COUNT('inter_system stats'!$B$62:$B$87)</f>
        <v>25</v>
      </c>
      <c r="I66" s="2" t="n">
        <f aca="false">SUM('inter_system stats'!$B$62:$B$87)</f>
        <v>18.3260346903926</v>
      </c>
      <c r="J66" s="2" t="n">
        <f aca="false">AVERAGE('inter_system stats'!$B$62:$B$87)</f>
        <v>0.733041387615704</v>
      </c>
      <c r="K66" s="2" t="n">
        <f aca="false">VAR('inter_system stats'!$B$62:$B$87)</f>
        <v>0.00428805866426504</v>
      </c>
      <c r="L66" s="2"/>
    </row>
    <row r="67" customFormat="false" ht="12.8" hidden="false" customHeight="false" outlineLevel="0" collapsed="false">
      <c r="B67" s="2" t="n">
        <v>0.549939911322228</v>
      </c>
      <c r="C67" s="2" t="n">
        <v>0.648560742045417</v>
      </c>
      <c r="D67" s="2" t="n">
        <v>0.601488270812317</v>
      </c>
      <c r="E67" s="2" t="n">
        <v>0.403963080119542</v>
      </c>
      <c r="G67" s="2" t="s">
        <v>147</v>
      </c>
      <c r="H67" s="2" t="n">
        <f aca="false">COUNT('inter_system stats'!$C$62:$C$87)</f>
        <v>25</v>
      </c>
      <c r="I67" s="2" t="n">
        <f aca="false">SUM('inter_system stats'!$C$62:$C$87)</f>
        <v>18.2637744597571</v>
      </c>
      <c r="J67" s="2" t="n">
        <f aca="false">AVERAGE('inter_system stats'!$C$62:$C$87)</f>
        <v>0.730550978390282</v>
      </c>
      <c r="K67" s="2" t="n">
        <f aca="false">VAR('inter_system stats'!$C$62:$C$87)</f>
        <v>0.0032014708633712</v>
      </c>
      <c r="L67" s="2"/>
    </row>
    <row r="68" customFormat="false" ht="12.8" hidden="false" customHeight="false" outlineLevel="0" collapsed="false">
      <c r="B68" s="2" t="n">
        <v>0.806301302771949</v>
      </c>
      <c r="C68" s="2" t="n">
        <v>0.737540725804953</v>
      </c>
      <c r="D68" s="2" t="n">
        <v>0.802605111539465</v>
      </c>
      <c r="E68" s="2" t="n">
        <v>0.570743883878626</v>
      </c>
      <c r="G68" s="2" t="s">
        <v>148</v>
      </c>
      <c r="H68" s="2" t="n">
        <f aca="false">COUNT('inter_system stats'!$D$62:$D$87)</f>
        <v>25</v>
      </c>
      <c r="I68" s="2" t="n">
        <f aca="false">SUM('inter_system stats'!$D$62:$D$87)</f>
        <v>18.2681627378252</v>
      </c>
      <c r="J68" s="2" t="n">
        <f aca="false">AVERAGE('inter_system stats'!$D$62:$D$87)</f>
        <v>0.730726509513007</v>
      </c>
      <c r="K68" s="2" t="n">
        <f aca="false">VAR('inter_system stats'!$D$62:$D$87)</f>
        <v>0.00460998896090856</v>
      </c>
      <c r="L68" s="2"/>
    </row>
    <row r="69" customFormat="false" ht="12.8" hidden="false" customHeight="false" outlineLevel="0" collapsed="false">
      <c r="B69" s="2" t="n">
        <v>0.654420747897195</v>
      </c>
      <c r="C69" s="2" t="n">
        <v>0.634968083396197</v>
      </c>
      <c r="D69" s="2" t="n">
        <v>0.648878416428975</v>
      </c>
      <c r="E69" s="2" t="n">
        <v>0.611608951562061</v>
      </c>
      <c r="G69" s="2" t="s">
        <v>159</v>
      </c>
      <c r="H69" s="2" t="n">
        <f aca="false">COUNT('inter_system stats'!$E$62:$E$87)</f>
        <v>25</v>
      </c>
      <c r="I69" s="2" t="n">
        <f aca="false">SUM('inter_system stats'!$E$62:$E$87)</f>
        <v>14.0666371984745</v>
      </c>
      <c r="J69" s="2" t="n">
        <f aca="false">AVERAGE('inter_system stats'!$E$62:$E$87)</f>
        <v>0.56266548793898</v>
      </c>
      <c r="K69" s="2" t="n">
        <f aca="false">VAR('inter_system stats'!$E$62:$E$87)</f>
        <v>0.013896414820903</v>
      </c>
      <c r="L69" s="2"/>
    </row>
    <row r="70" customFormat="false" ht="12.8" hidden="false" customHeight="false" outlineLevel="0" collapsed="false">
      <c r="B70" s="2" t="n">
        <v>0.747457006954611</v>
      </c>
      <c r="C70" s="2" t="n">
        <v>0.746400854814908</v>
      </c>
      <c r="D70" s="2" t="n">
        <v>0.75255045120181</v>
      </c>
      <c r="E70" s="2" t="n">
        <v>0.51665838871536</v>
      </c>
      <c r="G70" s="2"/>
      <c r="H70" s="2"/>
      <c r="I70" s="2"/>
      <c r="J70" s="2"/>
      <c r="K70" s="2"/>
      <c r="L70" s="2"/>
    </row>
    <row r="71" customFormat="false" ht="12.8" hidden="false" customHeight="false" outlineLevel="0" collapsed="false">
      <c r="B71" s="2" t="n">
        <v>0.763154436571465</v>
      </c>
      <c r="C71" s="2" t="n">
        <v>0.688805343346949</v>
      </c>
      <c r="D71" s="2" t="n">
        <v>0.725998440426624</v>
      </c>
      <c r="E71" s="2" t="n">
        <v>0.519107279370953</v>
      </c>
      <c r="G71" s="2" t="s">
        <v>149</v>
      </c>
      <c r="H71" s="2" t="s">
        <v>150</v>
      </c>
      <c r="I71" s="2" t="s">
        <v>132</v>
      </c>
      <c r="J71" s="2" t="s">
        <v>151</v>
      </c>
      <c r="K71" s="2" t="s">
        <v>152</v>
      </c>
      <c r="L71" s="2" t="s">
        <v>153</v>
      </c>
      <c r="M71" s="2" t="s">
        <v>154</v>
      </c>
    </row>
    <row r="72" customFormat="false" ht="12.8" hidden="false" customHeight="false" outlineLevel="0" collapsed="false">
      <c r="B72" s="2" t="n">
        <v>0.745298826492448</v>
      </c>
      <c r="C72" s="2" t="n">
        <v>0.743639794674361</v>
      </c>
      <c r="D72" s="2" t="n">
        <v>0.706819355320024</v>
      </c>
      <c r="E72" s="2" t="n">
        <v>0.681242455451239</v>
      </c>
      <c r="G72" s="2" t="s">
        <v>155</v>
      </c>
      <c r="H72" s="2" t="n">
        <f aca="false">SUMPRODUCT('inter_system stats'!$I$66:$I$69,'inter_system stats'!$J$66:$J$69)-SUM('inter_system stats'!$I$66:$I$69)^2/SUM('inter_system stats'!$H$66:$H$69)</f>
        <v>0.534184897982172</v>
      </c>
      <c r="I72" s="2" t="n">
        <f aca="false">COUNT('inter_system stats'!$I$66:$I$69)-1</f>
        <v>3</v>
      </c>
      <c r="J72" s="2" t="n">
        <f aca="false">'inter_system stats'!$H$72 / 'inter_system stats'!$I$72</f>
        <v>0.178061632660724</v>
      </c>
      <c r="K72" s="2" t="n">
        <f aca="false">'inter_system stats'!$J$72 / 'inter_system stats'!$J$73</f>
        <v>27.3983827456597</v>
      </c>
      <c r="L72" s="2" t="n">
        <f aca="false">FDIST('inter_system stats'!$K$72, 'inter_system stats'!$I$72, 'inter_system stats'!$I$73)</f>
        <v>6.91074748757412E-013</v>
      </c>
      <c r="M72" s="2" t="n">
        <f aca="false">FINV('inter_system stats'!$H$63, 'inter_system stats'!$I$72, 'inter_system stats'!$I$73)</f>
        <v>2.69939259755218</v>
      </c>
    </row>
    <row r="73" customFormat="false" ht="12.8" hidden="false" customHeight="false" outlineLevel="0" collapsed="false">
      <c r="B73" s="2" t="n">
        <v>0.703599427390625</v>
      </c>
      <c r="C73" s="2" t="n">
        <v>0.7131914659308</v>
      </c>
      <c r="D73" s="2" t="n">
        <v>0.663884135279099</v>
      </c>
      <c r="E73" s="2" t="n">
        <v>0.665099248057114</v>
      </c>
      <c r="G73" s="2" t="s">
        <v>156</v>
      </c>
      <c r="H73" s="2" t="n">
        <f aca="false">SUM(DEVSQ('inter_system stats'!$B$62:$B$87),DEVSQ('inter_system stats'!$C$62:$C$87),DEVSQ('inter_system stats'!$D$62:$D$87),DEVSQ('inter_system stats'!$E$62:$E$87))</f>
        <v>0.623902399426748</v>
      </c>
      <c r="I73" s="2" t="n">
        <f aca="false">SUM('inter_system stats'!$H$66:$H$69)-COUNT('inter_system stats'!$H$66:$H$69)</f>
        <v>96</v>
      </c>
      <c r="J73" s="2" t="n">
        <f aca="false">'inter_system stats'!$H$73 / 'inter_system stats'!$I$73</f>
        <v>0.00649898332736196</v>
      </c>
      <c r="K73" s="2"/>
      <c r="L73" s="2"/>
    </row>
    <row r="74" customFormat="false" ht="12.8" hidden="false" customHeight="false" outlineLevel="0" collapsed="false">
      <c r="B74" s="2" t="n">
        <v>0.792291119607581</v>
      </c>
      <c r="C74" s="2" t="n">
        <v>0.767138956921052</v>
      </c>
      <c r="D74" s="2" t="n">
        <v>0.808680515695504</v>
      </c>
      <c r="E74" s="2" t="n">
        <v>0.685595116342696</v>
      </c>
      <c r="G74" s="2" t="s">
        <v>157</v>
      </c>
      <c r="H74" s="2" t="n">
        <f aca="false">DEVSQ('inter_system stats'!$B$62:$B$87,'inter_system stats'!$C$62:$C$87,'inter_system stats'!$D$62:$D$87,'inter_system stats'!$E$62:$E$87)</f>
        <v>1.15808729740892</v>
      </c>
      <c r="I74" s="2" t="n">
        <f aca="false">SUM('inter_system stats'!$H$66:$H$69) - 1</f>
        <v>99</v>
      </c>
      <c r="J74" s="2"/>
      <c r="K74" s="2"/>
      <c r="L74" s="2"/>
    </row>
    <row r="75" customFormat="false" ht="12.8" hidden="false" customHeight="false" outlineLevel="0" collapsed="false">
      <c r="B75" s="2" t="n">
        <v>0.742748844142451</v>
      </c>
      <c r="C75" s="2" t="n">
        <v>0.725689268577004</v>
      </c>
      <c r="D75" s="2" t="n">
        <v>0.697789785928682</v>
      </c>
      <c r="E75" s="2" t="n">
        <v>0.65114377143955</v>
      </c>
    </row>
    <row r="76" customFormat="false" ht="12.8" hidden="false" customHeight="false" outlineLevel="0" collapsed="false">
      <c r="B76" s="2" t="n">
        <v>0.730739032742495</v>
      </c>
      <c r="C76" s="2" t="n">
        <v>0.68375138396333</v>
      </c>
      <c r="D76" s="2" t="n">
        <v>0.749649894113733</v>
      </c>
      <c r="E76" s="2" t="n">
        <v>0.603486770235985</v>
      </c>
    </row>
    <row r="77" customFormat="false" ht="12.8" hidden="false" customHeight="false" outlineLevel="0" collapsed="false">
      <c r="B77" s="2" t="n">
        <v>0.727501533855859</v>
      </c>
      <c r="C77" s="2" t="n">
        <v>0.778810655140002</v>
      </c>
      <c r="D77" s="2" t="n">
        <v>0.736967328412209</v>
      </c>
      <c r="E77" s="2" t="n">
        <v>0.498068679989705</v>
      </c>
    </row>
    <row r="78" customFormat="false" ht="12.8" hidden="false" customHeight="false" outlineLevel="0" collapsed="false">
      <c r="B78" s="2" t="n">
        <v>0.69212024380659</v>
      </c>
      <c r="C78" s="2" t="n">
        <v>0.720712807955728</v>
      </c>
      <c r="D78" s="2" t="n">
        <v>0.764104736117937</v>
      </c>
      <c r="E78" s="2" t="n">
        <v>0.630377968860656</v>
      </c>
    </row>
    <row r="79" customFormat="false" ht="12.8" hidden="false" customHeight="false" outlineLevel="0" collapsed="false">
      <c r="B79" s="2" t="n">
        <v>0.719549537838803</v>
      </c>
      <c r="C79" s="2" t="n">
        <v>0.772536760552901</v>
      </c>
      <c r="D79" s="2" t="n">
        <v>0.722501085513047</v>
      </c>
      <c r="E79" s="2" t="n">
        <v>0.657927168337551</v>
      </c>
    </row>
    <row r="80" customFormat="false" ht="12.8" hidden="false" customHeight="false" outlineLevel="0" collapsed="false">
      <c r="B80" s="2" t="n">
        <v>0.708540087240829</v>
      </c>
      <c r="C80" s="2" t="n">
        <v>0.705400471101386</v>
      </c>
      <c r="D80" s="2" t="n">
        <v>0.68518214731593</v>
      </c>
      <c r="E80" s="2" t="n">
        <v>0.560860510322618</v>
      </c>
    </row>
    <row r="81" customFormat="false" ht="12.8" hidden="false" customHeight="false" outlineLevel="0" collapsed="false">
      <c r="B81" s="2" t="n">
        <v>0.706775862145744</v>
      </c>
      <c r="C81" s="2" t="n">
        <v>0.654030504893449</v>
      </c>
      <c r="D81" s="2" t="n">
        <v>0.57422986602436</v>
      </c>
      <c r="E81" s="2" t="n">
        <v>0.502077926373526</v>
      </c>
    </row>
    <row r="82" customFormat="false" ht="12.8" hidden="false" customHeight="false" outlineLevel="0" collapsed="false">
      <c r="B82" s="2" t="n">
        <v>0.810552775268533</v>
      </c>
      <c r="C82" s="2" t="n">
        <v>0.819935063298953</v>
      </c>
      <c r="D82" s="2" t="n">
        <v>0.862814658531392</v>
      </c>
      <c r="E82" s="2" t="n">
        <v>0.477168485158792</v>
      </c>
    </row>
    <row r="83" customFormat="false" ht="12.8" hidden="false" customHeight="false" outlineLevel="0" collapsed="false">
      <c r="B83" s="2" t="n">
        <v>0.779651511367528</v>
      </c>
      <c r="C83" s="2" t="n">
        <v>0.775935289730371</v>
      </c>
      <c r="D83" s="2" t="n">
        <v>0.766443599036539</v>
      </c>
      <c r="E83" s="2" t="n">
        <v>0.490712582964214</v>
      </c>
    </row>
    <row r="84" customFormat="false" ht="12.8" hidden="false" customHeight="false" outlineLevel="0" collapsed="false">
      <c r="B84" s="2" t="n">
        <v>0.707012650930307</v>
      </c>
      <c r="C84" s="2" t="n">
        <v>0.689306055979394</v>
      </c>
      <c r="D84" s="2" t="n">
        <v>0.757219448945817</v>
      </c>
      <c r="E84" s="2" t="n">
        <v>0.373647233999626</v>
      </c>
    </row>
    <row r="85" customFormat="false" ht="12.8" hidden="false" customHeight="false" outlineLevel="0" collapsed="false">
      <c r="B85" s="2" t="n">
        <v>0.759411204953021</v>
      </c>
      <c r="C85" s="2" t="n">
        <v>0.757862366672276</v>
      </c>
      <c r="D85" s="2" t="n">
        <v>0.75138094509243</v>
      </c>
      <c r="E85" s="2" t="n">
        <v>0.656354995088699</v>
      </c>
    </row>
    <row r="86" customFormat="false" ht="12.8" hidden="false" customHeight="false" outlineLevel="0" collapsed="false">
      <c r="B86" s="2" t="n">
        <v>0.754622185376853</v>
      </c>
      <c r="C86" s="2" t="n">
        <v>0.706727669319429</v>
      </c>
      <c r="D86" s="2" t="n">
        <v>0.783578798476775</v>
      </c>
      <c r="E86" s="2" t="n">
        <v>0.579731827188496</v>
      </c>
    </row>
    <row r="87" customFormat="false" ht="12.8" hidden="false" customHeight="false" outlineLevel="0" collapsed="false">
      <c r="B87" s="2" t="n">
        <v>0.718662412659959</v>
      </c>
      <c r="C87" s="2" t="n">
        <v>0.70629147268637</v>
      </c>
      <c r="D87" s="2" t="n">
        <v>0.690023913451965</v>
      </c>
      <c r="E87" s="2" t="n">
        <v>0.300277405978412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2026-02-14T16:52:15Z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
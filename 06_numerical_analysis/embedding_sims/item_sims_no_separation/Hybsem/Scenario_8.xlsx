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8_hybsem" sheetId="1" state="visible" r:id="rId3"/>
    <sheet name="Notes" sheetId="2" state="visible" r:id="rId4"/>
    <sheet name="actdel_prompt_response" sheetId="3" state="visible" r:id="rId5"/>
    <sheet name="inter_system_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<sst xmlns="http://schemas.openxmlformats.org/spreadsheetml/2006/main" count="855" uniqueCount="143">
  <si>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</si>
  <si>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</si>
  <si>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</si>
  <si>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</si>
  <si>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</si>
  <si>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</si>
  <si>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</si>
  <si>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</si>
  <si>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</si>
  <si>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</si>
  <si>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</si>
  <si>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</si>
  <si>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count</t>
  </si>
  <si>
    <t xml:space="preserve">activation delta average</t>
  </si>
  <si>
    <t xml:space="preserve">correlation weights / activation delta</t>
  </si>
  <si>
    <t xml:space="preserve">p</t>
  </si>
  <si>
    <t xml:space="preserve">e9ed59b3-d3bd-4ee1-9668-7ff32d86e509</t>
  </si>
  <si>
    <t xml:space="preserve">cmjl4tcpd018nzccmskh4l9lh</t>
  </si>
  <si>
    <t xml:space="preserve">cmjl4u25z0194zccmkra079u3</t>
  </si>
  <si>
    <t xml:space="preserve">hybrid_v3_5_semantic</t>
  </si>
  <si>
    <t xml:space="preserve">Scenario_8</t>
  </si>
  <si>
    <t xml:space="preserve">affective_interface</t>
  </si>
  <si>
    <t xml:space="preserve">truth_and_fact</t>
  </si>
  <si>
    <t xml:space="preserve">e0460eb6-7ea8-4f22-9b6d-9dc7895c8064</t>
  </si>
  <si>
    <t xml:space="preserve">cmjl4udvo0198zccmb7y5fc78</t>
  </si>
  <si>
    <t xml:space="preserve">cmjl4uulr019pzccmdut85twc</t>
  </si>
  <si>
    <t xml:space="preserve">7c8dcc05-cd0d-4f4f-94e2-c1a1591f94b3</t>
  </si>
  <si>
    <t xml:space="preserve">cmjl4vqp5019tzccm0unwetv4</t>
  </si>
  <si>
    <t xml:space="preserve">cmjl4w2np01aazccmxrxgaa7a</t>
  </si>
  <si>
    <t xml:space="preserve">practicality_and_feasibility</t>
  </si>
  <si>
    <t xml:space="preserve">imagination_and_possibility</t>
  </si>
  <si>
    <t xml:space="preserve">0d44430f-2b08-4d2d-96df-0a907f71ea12</t>
  </si>
  <si>
    <t xml:space="preserve">cmjl4x8wj01aezccm0f2hvk9s</t>
  </si>
  <si>
    <t xml:space="preserve">cmjl4xqtc01avzccmqckw3k49</t>
  </si>
  <si>
    <t xml:space="preserve">metaphorical_scaffolding</t>
  </si>
  <si>
    <t xml:space="preserve">6e989511-de43-47b4-8518-2beac2cb4750</t>
  </si>
  <si>
    <t xml:space="preserve">cmjl4yjjo01azzccmk02q85pn</t>
  </si>
  <si>
    <t xml:space="preserve">cmjl4yrky01bgzccmnmwbngvv</t>
  </si>
  <si>
    <t xml:space="preserve">freedom_and_limitations</t>
  </si>
  <si>
    <t xml:space="preserve">identity</t>
  </si>
  <si>
    <t xml:space="preserve">0cb1d44d-e71b-411c-a8b9-ca104be3caac</t>
  </si>
  <si>
    <t xml:space="preserve">cmjl4zcv201bkzccmiq7m8gbq</t>
  </si>
  <si>
    <t xml:space="preserve">cmjl4zpuw01c1zccm05gqc74l</t>
  </si>
  <si>
    <t xml:space="preserve">70a09be0-e44c-4a61-a9fc-39a33b1a2fb5</t>
  </si>
  <si>
    <t xml:space="preserve">cmjl504c301c5zccm2zs88pbj</t>
  </si>
  <si>
    <t xml:space="preserve">cmjl50gxf01cmzccmlpiqmxkq</t>
  </si>
  <si>
    <t xml:space="preserve">8d643acd-5bfc-40e7-b446-54db4a5c15aa</t>
  </si>
  <si>
    <t xml:space="preserve">cmjl50q0j01cqzccmibbc69uz</t>
  </si>
  <si>
    <t xml:space="preserve">cmjl510sf01d7zccmm7ezv5j1</t>
  </si>
  <si>
    <t xml:space="preserve">8f88cd08-5d45-4bbc-b93c-0d13f1ff9838</t>
  </si>
  <si>
    <t xml:space="preserve">cmjl51dmw01dbzccmcehzsd0c</t>
  </si>
  <si>
    <t xml:space="preserve">cmjl51tn801dszccm4iihrteg</t>
  </si>
  <si>
    <t xml:space="preserve">4a3961be-1ee1-46e8-a6cf-fe5003d925ab</t>
  </si>
  <si>
    <t xml:space="preserve">cmjl528hr01dwzccmkdsel5h2</t>
  </si>
  <si>
    <t xml:space="preserve">cmjl52ldp01edzccmclqp24c3</t>
  </si>
  <si>
    <t xml:space="preserve">a6b657c0-728c-461a-b0e4-06667b295b4b</t>
  </si>
  <si>
    <t xml:space="preserve">cmjl52uxq01ehzccmn7z7g08c</t>
  </si>
  <si>
    <t xml:space="preserve">cmjl53aqj01eyzccm2lkjwd6g</t>
  </si>
  <si>
    <t xml:space="preserve">temporal_dynamics</t>
  </si>
  <si>
    <t xml:space="preserve">context_dependent_expression</t>
  </si>
  <si>
    <t xml:space="preserve">c2c6d97c-fe9c-4914-834a-3b10908f4a0b</t>
  </si>
  <si>
    <t xml:space="preserve">cmjl53ku901f2zccm3sv84dul</t>
  </si>
  <si>
    <t xml:space="preserve">cmjl53w5x01fjzccm0t6pkrtl</t>
  </si>
  <si>
    <t xml:space="preserve">dd404ef8-5309-476b-9470-64bd6f093275</t>
  </si>
  <si>
    <t xml:space="preserve">cmjl544xz01fnzccmxqsuhffp</t>
  </si>
  <si>
    <t xml:space="preserve">cmjl54j5m01g4zccmnpdqhr7e</t>
  </si>
  <si>
    <t xml:space="preserve">4fa95b68-29f7-4ce3-aee8-4aa54f3dbd65</t>
  </si>
  <si>
    <t xml:space="preserve">cmjl54zqr01g8zccm7j686wty</t>
  </si>
  <si>
    <t xml:space="preserve">cmjl55a0f01gpzccm9e1gifv8</t>
  </si>
  <si>
    <t xml:space="preserve">a0e61347-fa63-48be-81fb-ebfc38a0846f</t>
  </si>
  <si>
    <t xml:space="preserve">cmjl55ihd01gtzccmkuoqf4is</t>
  </si>
  <si>
    <t xml:space="preserve">cmjl561sj01hazccm74k74t50</t>
  </si>
  <si>
    <t xml:space="preserve">b70623cd-31f3-406e-baf7-8115ce1fb506</t>
  </si>
  <si>
    <t xml:space="preserve">cmjl56ekw01hezccmnsrncht4</t>
  </si>
  <si>
    <t xml:space="preserve">cmjl56o5r01hvzccmr7bt4m0s</t>
  </si>
  <si>
    <t xml:space="preserve">5328f589-c4fb-41d9-9bf2-8e92f726c582</t>
  </si>
  <si>
    <t xml:space="preserve">cmjl57ag301hzzccmiryo6zt3</t>
  </si>
  <si>
    <t xml:space="preserve">cmjl57ikr01igzccms7byo338</t>
  </si>
  <si>
    <t xml:space="preserve">15635345-5b0d-436a-b9d8-46213c622769</t>
  </si>
  <si>
    <t xml:space="preserve">cmjl5833d01ikzccm682ck4rc</t>
  </si>
  <si>
    <t xml:space="preserve">cmjl58imm01j1zccm38ptrdjx</t>
  </si>
  <si>
    <t xml:space="preserve">science</t>
  </si>
  <si>
    <t xml:space="preserve">c2241f67-00e8-4c98-b02f-deb13811a845</t>
  </si>
  <si>
    <t xml:space="preserve">cmjl58rjn01j5zccmdz31419x</t>
  </si>
  <si>
    <t xml:space="preserve">cmjl591xu01jmzccmt1zcbj7t</t>
  </si>
  <si>
    <t xml:space="preserve">393b0844-b816-4c28-9be1-b97102f43d5f</t>
  </si>
  <si>
    <t xml:space="preserve">cmjl59ejz01jqzccmfelepu8u</t>
  </si>
  <si>
    <t xml:space="preserve">cmjl59p2w01k7zccm2cbn9mtc</t>
  </si>
  <si>
    <t xml:space="preserve">aae8cefa-a324-4f3b-8e3d-a077e4d8c447</t>
  </si>
  <si>
    <t xml:space="preserve">cmjl5a18f01kbzccm81763o6p</t>
  </si>
  <si>
    <t xml:space="preserve">cmjl5ac8a01kszccmbo6ru3tq</t>
  </si>
  <si>
    <t xml:space="preserve">bff7627c-40fa-4c17-8f57-e89c8861321b</t>
  </si>
  <si>
    <t xml:space="preserve">cmjl5atre01kwzccm79ywpb7c</t>
  </si>
  <si>
    <t xml:space="preserve">cmjl5b7qk01ldzccmdcda1vpr</t>
  </si>
  <si>
    <t xml:space="preserve">ea889c14-b792-45b3-8844-47f07d2c79c9</t>
  </si>
  <si>
    <t xml:space="preserve">cmjl5bwh701lhzccmm88234tt</t>
  </si>
  <si>
    <t xml:space="preserve">cmjl5cail01lyzccm5rrfgxcr</t>
  </si>
  <si>
    <t xml:space="preserve">631cb160-bccb-4bab-b958-043580a1a380</t>
  </si>
  <si>
    <t xml:space="preserve">cmjl5d33e01m2zccmnz7crw1k</t>
  </si>
  <si>
    <t xml:space="preserve">cmjl5dc3101mjzccm1gfv0xp5</t>
  </si>
  <si>
    <t xml:space="preserve">127ef0d0-4bcf-4d65-b456-415e474a0b86</t>
  </si>
  <si>
    <t xml:space="preserve">cmjl5dlsv01mnzccmwdjgi5p8</t>
  </si>
  <si>
    <t xml:space="preserve">cmjl5dwxh01n4zccmv0xesvmu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</si>
  <si>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</si>
  <si>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</si>
  <si>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</si>
  <si>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</si>
  <si>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</si>
  <si>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Turn</t>
  </si>
  <si>
    <t xml:space="preserve">hybsem</t>
  </si>
  <si>
    <t xml:space="preserve">control</t>
  </si>
  <si>
    <t xml:space="preserve">std. Hybsem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</si>
  <si>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</si>
  <si>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</si>
  <si>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</si>
  <si>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</si>
  <si>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</si>
  <si>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Mean hybsem</t>
  </si>
  <si>
    <t xml:space="preserve">Mean control</t>
  </si>
  <si>
    <t xml:space="preserve">General</t>
  </si>
  <si>
    <t xml:space="preserve">ac15p</t>
  </si>
  <si>
    <t xml:space="preserve">hybrid</t>
  </si>
  <si>
    <t xml:space="preserve">ANOVA - Single Factor</t>
  </si>
  <si>
    <t xml:space="preserve">Alpha</t>
  </si>
  <si>
    <t xml:space="preserve">Groups</t>
  </si>
  <si>
    <t xml:space="preserve">Count</t>
  </si>
  <si>
    <t xml:space="preserve">Sum</t>
  </si>
  <si>
    <t xml:space="preserve">Mean</t>
  </si>
  <si>
    <t xml:space="preserve">Variance</t>
  </si>
  <si>
    <t xml:space="preserve">Column 1</t>
  </si>
  <si>
    <t xml:space="preserve">Column 2</t>
  </si>
  <si>
    <t xml:space="preserve">Column 3</t>
  </si>
  <si>
    <t xml:space="preserve">Column 4</t>
  </si>
  <si>
    <t xml:space="preserve">Source of Variation</t>
  </si>
  <si>
    <t xml:space="preserve">SS</t>
  </si>
  <si>
    <t xml:space="preserve">df</t>
  </si>
  <si>
    <t xml:space="preserve">MS</t>
  </si>
  <si>
    <t xml:space="preserve">F</t>
  </si>
  <si>
    <t xml:space="preserve">P-value</t>
  </si>
  <si>
    <t xml:space="preserve">F critical</t>
  </si>
  <si>
    <t xml:space="preserve">Between Groups</t>
  </si>
  <si>
    <t xml:space="preserve">Within Groups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</si>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</sst>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;[RED]\-0.000000"/>
  </numFmts>
  <fonts count="6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4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actdel_prompt_response!$B$2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actdel_prompt_response!$B$3:$B$27</c:f>
              <c:numCache>
                <c:formatCode>General</c:formatCode>
                <c:ptCount val="25"/>
                <c:pt idx="0">
                  <c:v>0.726122663610199</c:v>
                </c:pt>
                <c:pt idx="1">
                  <c:v>0.744387965987341</c:v>
                </c:pt>
                <c:pt idx="2">
                  <c:v>0.722443262715515</c:v>
                </c:pt>
                <c:pt idx="3">
                  <c:v>0.706070089408908</c:v>
                </c:pt>
                <c:pt idx="4">
                  <c:v>0.830465274232832</c:v>
                </c:pt>
                <c:pt idx="5">
                  <c:v>0.639350566619894</c:v>
                </c:pt>
                <c:pt idx="6">
                  <c:v>0.74569214122826</c:v>
                </c:pt>
                <c:pt idx="7">
                  <c:v>0.777583698300188</c:v>
                </c:pt>
                <c:pt idx="8">
                  <c:v>0.716221981108389</c:v>
                </c:pt>
                <c:pt idx="9">
                  <c:v>0.789490175348179</c:v>
                </c:pt>
                <c:pt idx="10">
                  <c:v>0.737754806838827</c:v>
                </c:pt>
                <c:pt idx="11">
                  <c:v>0.746932692465765</c:v>
                </c:pt>
                <c:pt idx="12">
                  <c:v>0.743211804362939</c:v>
                </c:pt>
                <c:pt idx="13">
                  <c:v>0.753566163309058</c:v>
                </c:pt>
                <c:pt idx="14">
                  <c:v>0.679573608456161</c:v>
                </c:pt>
                <c:pt idx="15">
                  <c:v>0.732606769576746</c:v>
                </c:pt>
                <c:pt idx="16">
                  <c:v>0.750546686660056</c:v>
                </c:pt>
                <c:pt idx="17">
                  <c:v>0.737646756450336</c:v>
                </c:pt>
                <c:pt idx="18">
                  <c:v>0.770786882499805</c:v>
                </c:pt>
                <c:pt idx="19">
                  <c:v>0.749337452437493</c:v>
                </c:pt>
                <c:pt idx="20">
                  <c:v>0.676604991476922</c:v>
                </c:pt>
                <c:pt idx="21">
                  <c:v>0.690049864977458</c:v>
                </c:pt>
                <c:pt idx="22">
                  <c:v>0.758614453242321</c:v>
                </c:pt>
                <c:pt idx="23">
                  <c:v>0.798835137250553</c:v>
                </c:pt>
                <c:pt idx="24">
                  <c:v>0.734706374670589</c:v>
                </c:pt>
              </c:numCache>
            </c:numRef>
          </c:yVal>
          <c:smooth val="0"/>
        </c:ser>
        <c:axId val="90090293"/>
        <c:axId val="99224304"/>
      </c:scatterChart>
      <c:valAx>
        <c:axId val="9009029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9224304"/>
        <c:crosses val="autoZero"/>
        <c:crossBetween val="midCat"/>
      </c:valAx>
      <c:valAx>
        <c:axId val="992243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009029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inter_system_stats!$B$2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inter_system_stats!$B$3:$B$27</c:f>
              <c:numCache>
                <c:formatCode>General</c:formatCode>
                <c:ptCount val="25"/>
                <c:pt idx="0">
                  <c:v>0.726122663610199</c:v>
                </c:pt>
                <c:pt idx="1">
                  <c:v>0.744387965987341</c:v>
                </c:pt>
                <c:pt idx="2">
                  <c:v>0.722443262715515</c:v>
                </c:pt>
                <c:pt idx="3">
                  <c:v>0.706070089408908</c:v>
                </c:pt>
                <c:pt idx="4">
                  <c:v>0.830465274232832</c:v>
                </c:pt>
                <c:pt idx="5">
                  <c:v>0.639350566619894</c:v>
                </c:pt>
                <c:pt idx="6">
                  <c:v>0.74569214122826</c:v>
                </c:pt>
                <c:pt idx="7">
                  <c:v>0.777583698300188</c:v>
                </c:pt>
                <c:pt idx="8">
                  <c:v>0.716221981108389</c:v>
                </c:pt>
                <c:pt idx="9">
                  <c:v>0.789490175348179</c:v>
                </c:pt>
                <c:pt idx="10">
                  <c:v>0.737754806838827</c:v>
                </c:pt>
                <c:pt idx="11">
                  <c:v>0.746932692465765</c:v>
                </c:pt>
                <c:pt idx="12">
                  <c:v>0.743211804362939</c:v>
                </c:pt>
                <c:pt idx="13">
                  <c:v>0.753566163309058</c:v>
                </c:pt>
                <c:pt idx="14">
                  <c:v>0.679573608456161</c:v>
                </c:pt>
                <c:pt idx="15">
                  <c:v>0.732606769576746</c:v>
                </c:pt>
                <c:pt idx="16">
                  <c:v>0.750546686660056</c:v>
                </c:pt>
                <c:pt idx="17">
                  <c:v>0.737646756450336</c:v>
                </c:pt>
                <c:pt idx="18">
                  <c:v>0.770786882499805</c:v>
                </c:pt>
                <c:pt idx="19">
                  <c:v>0.749337452437493</c:v>
                </c:pt>
                <c:pt idx="20">
                  <c:v>0.676604991476922</c:v>
                </c:pt>
                <c:pt idx="21">
                  <c:v>0.690049864977458</c:v>
                </c:pt>
                <c:pt idx="22">
                  <c:v>0.758614453242321</c:v>
                </c:pt>
                <c:pt idx="23">
                  <c:v>0.798835137250553</c:v>
                </c:pt>
                <c:pt idx="24">
                  <c:v>0.734706374670589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inter_system_stats!$C$2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inter_system_stats!$C$3:$C$27</c:f>
              <c:numCache>
                <c:formatCode>General</c:formatCode>
                <c:ptCount val="25"/>
                <c:pt idx="0">
                  <c:v>0.771814729489856</c:v>
                </c:pt>
                <c:pt idx="1">
                  <c:v>0.585748724447829</c:v>
                </c:pt>
                <c:pt idx="2">
                  <c:v>0.594422528559652</c:v>
                </c:pt>
                <c:pt idx="3">
                  <c:v>0.60678636857711</c:v>
                </c:pt>
                <c:pt idx="4">
                  <c:v>0.69941561269435</c:v>
                </c:pt>
                <c:pt idx="5">
                  <c:v>0.584983605559223</c:v>
                </c:pt>
                <c:pt idx="6">
                  <c:v>0.523434497974195</c:v>
                </c:pt>
                <c:pt idx="7">
                  <c:v>0.733177377705096</c:v>
                </c:pt>
                <c:pt idx="8">
                  <c:v>0.623029352644154</c:v>
                </c:pt>
                <c:pt idx="9">
                  <c:v>0.569126443983933</c:v>
                </c:pt>
                <c:pt idx="10">
                  <c:v>0.712616848746921</c:v>
                </c:pt>
                <c:pt idx="11">
                  <c:v>0.623994668934615</c:v>
                </c:pt>
                <c:pt idx="12">
                  <c:v>0.708175167658807</c:v>
                </c:pt>
                <c:pt idx="13">
                  <c:v>0.598847369877094</c:v>
                </c:pt>
                <c:pt idx="14">
                  <c:v>0.598448875288242</c:v>
                </c:pt>
                <c:pt idx="15">
                  <c:v>0.686112684184051</c:v>
                </c:pt>
                <c:pt idx="16">
                  <c:v>0.656452493829178</c:v>
                </c:pt>
                <c:pt idx="17">
                  <c:v>0.708590115686799</c:v>
                </c:pt>
                <c:pt idx="18">
                  <c:v>0.656250234555418</c:v>
                </c:pt>
                <c:pt idx="19">
                  <c:v>0.766144095586904</c:v>
                </c:pt>
                <c:pt idx="20">
                  <c:v>0.611673917355993</c:v>
                </c:pt>
                <c:pt idx="21">
                  <c:v>0.57321383560315</c:v>
                </c:pt>
                <c:pt idx="22">
                  <c:v>0.46202133657173</c:v>
                </c:pt>
                <c:pt idx="23">
                  <c:v>0.752686085299576</c:v>
                </c:pt>
                <c:pt idx="24">
                  <c:v>0.637351019647471</c:v>
                </c:pt>
              </c:numCache>
            </c:numRef>
          </c:yVal>
          <c:smooth val="0"/>
        </c:ser>
        <c:axId val="71416298"/>
        <c:axId val="18206963"/>
      </c:scatterChart>
      <c:valAx>
        <c:axId val="7141629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8206963"/>
        <c:crosses val="autoZero"/>
        <c:crossBetween val="midCat"/>
      </c:valAx>
      <c:valAx>
        <c:axId val="182069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141629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599760</xdr:colOff>
      <xdr:row>1</xdr:row>
      <xdr:rowOff>38520</xdr:rowOff>
    </xdr:from>
    <xdr:to>
      <xdr:col>9</xdr:col>
      <xdr:colOff>662400</xdr:colOff>
      <xdr:row>21</xdr:row>
      <xdr:rowOff>22680</xdr:rowOff>
    </xdr:to>
    <xdr:graphicFrame>
      <xdr:nvGraphicFramePr>
        <xdr:cNvPr id="1" name=""/>
        <xdr:cNvGraphicFramePr/>
      </xdr:nvGraphicFramePr>
      <xdr:xfrm>
        <a:off x="2225520" y="201240"/>
        <a:ext cx="575208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830160</xdr:colOff>
      <xdr:row>4</xdr:row>
      <xdr:rowOff>46440</xdr:rowOff>
    </xdr:from>
    <xdr:to>
      <xdr:col>8</xdr:col>
      <xdr:colOff>491040</xdr:colOff>
      <xdr:row>24</xdr:row>
      <xdr:rowOff>30600</xdr:rowOff>
    </xdr:to>
    <xdr:graphicFrame>
      <xdr:nvGraphicFramePr>
        <xdr:cNvPr id="2" name=""/>
        <xdr:cNvGraphicFramePr/>
      </xdr:nvGraphicFramePr>
      <xdr:xfrm>
        <a:off x="3921480" y="696600"/>
        <a:ext cx="576180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Q2" activeCellId="0" sqref="Q2"/>
    </sheetView>
  </sheetViews>
  <sheetFormatPr defaultColWidth="10.5859375" defaultRowHeight="15" customHeight="false" zeroHeight="false" outlineLevelRow="0" outlineLevelCol="0"/>
  <cols>
    <col collapsed="false" customWidth="true" hidden="false" outlineLevel="0" max="4" min="4" style="1" width="25.16"/>
    <col collapsed="false" customWidth="true" hidden="false" outlineLevel="0" max="5" min="5" style="1" width="15.49"/>
    <col collapsed="false" customWidth="true" hidden="false" outlineLevel="0" max="6" min="6" style="1" width="5.48"/>
    <col collapsed="false" customWidth="true" hidden="false" outlineLevel="0" max="7" min="7" style="2" width="33.99"/>
    <col collapsed="false" customWidth="true" hidden="false" outlineLevel="0" max="8" min="8" style="1" width="9.38"/>
    <col collapsed="false" customWidth="true" hidden="false" outlineLevel="0" max="10" min="9" style="1" width="24.32"/>
    <col collapsed="false" customWidth="true" hidden="false" outlineLevel="0" max="11" min="11" style="1" width="29.24"/>
    <col collapsed="false" customWidth="true" hidden="false" outlineLevel="0" max="12" min="12" style="1" width="24.32"/>
    <col collapsed="false" customWidth="true" hidden="false" outlineLevel="0" max="16" min="16" style="1" width="10.01"/>
    <col collapsed="false" customWidth="true" hidden="false" outlineLevel="0" max="18" min="17" style="1" width="27.48"/>
    <col collapsed="false" customWidth="true" hidden="false" outlineLevel="0" max="19" min="19" style="1" width="20.53"/>
  </cols>
  <sheetData>
    <row r="1" customFormat="false" ht="19.1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s="3" t="s">
        <v>12</v>
      </c>
      <c r="Q1" s="3" t="s">
        <v>13</v>
      </c>
      <c r="R1" s="3" t="s">
        <v>14</v>
      </c>
      <c r="S1" s="4" t="s">
        <v>15</v>
      </c>
    </row>
    <row r="2" customFormat="false" ht="15" hidden="false" customHeight="false" outlineLevel="0" collapsed="false">
      <c r="P2" s="5" t="n">
        <f aca="false">COUNT(K3:K134)</f>
        <v>132</v>
      </c>
      <c r="Q2" s="5" t="n">
        <f aca="false">AVERAGE(K3:K134)</f>
        <v>0.0652332470248726</v>
      </c>
      <c r="R2" s="5" t="n">
        <f aca="false">CORREL(H3:H134,K3:K134)</f>
        <v>0.362400359425218</v>
      </c>
      <c r="S2" s="5" t="n">
        <f aca="false">Notes!B5</f>
        <v>1.95347648853056E-005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n">
        <v>0</v>
      </c>
      <c r="G3" s="2" t="s">
        <v>21</v>
      </c>
      <c r="H3" s="1" t="n">
        <v>0.9</v>
      </c>
      <c r="I3" s="1" t="n">
        <v>0.237082705917135</v>
      </c>
      <c r="J3" s="1" t="n">
        <v>0.442734246189144</v>
      </c>
      <c r="K3" s="1" t="n">
        <f aca="false">J3-I3</f>
        <v>0.205651540272009</v>
      </c>
      <c r="L3" s="1" t="n">
        <v>0.726122663610199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n">
        <v>0</v>
      </c>
      <c r="G4" s="2" t="s">
        <v>22</v>
      </c>
      <c r="H4" s="1" t="n">
        <v>0.1</v>
      </c>
      <c r="I4" s="1" t="n">
        <v>0.158851414463427</v>
      </c>
      <c r="J4" s="1" t="n">
        <v>0.30435158337115</v>
      </c>
      <c r="K4" s="1" t="n">
        <f aca="false">J4-I4</f>
        <v>0.145500168907723</v>
      </c>
      <c r="L4" s="1" t="n">
        <v>0.726122663610199</v>
      </c>
    </row>
    <row r="5" customFormat="false" ht="15" hidden="false" customHeight="false" outlineLevel="0" collapsed="false">
      <c r="A5" s="1" t="s">
        <v>23</v>
      </c>
      <c r="B5" s="1" t="s">
        <v>24</v>
      </c>
      <c r="C5" s="1" t="s">
        <v>25</v>
      </c>
      <c r="D5" s="1" t="s">
        <v>19</v>
      </c>
      <c r="E5" s="1" t="s">
        <v>20</v>
      </c>
      <c r="F5" s="1" t="n">
        <v>2</v>
      </c>
      <c r="G5" s="2" t="s">
        <v>21</v>
      </c>
      <c r="H5" s="1" t="n">
        <v>0.9</v>
      </c>
      <c r="I5" s="1" t="n">
        <v>0.281675797111156</v>
      </c>
      <c r="J5" s="1" t="n">
        <v>0.435116068024985</v>
      </c>
      <c r="K5" s="1" t="n">
        <f aca="false">J5-I5</f>
        <v>0.153440270913829</v>
      </c>
      <c r="L5" s="1" t="n">
        <v>0.744387965987341</v>
      </c>
    </row>
    <row r="6" customFormat="false" ht="15" hidden="false" customHeight="false" outlineLevel="0" collapsed="false">
      <c r="A6" s="1" t="s">
        <v>23</v>
      </c>
      <c r="B6" s="1" t="s">
        <v>24</v>
      </c>
      <c r="C6" s="1" t="s">
        <v>25</v>
      </c>
      <c r="D6" s="1" t="s">
        <v>19</v>
      </c>
      <c r="E6" s="1" t="s">
        <v>20</v>
      </c>
      <c r="F6" s="1" t="n">
        <v>2</v>
      </c>
      <c r="G6" s="2" t="s">
        <v>22</v>
      </c>
      <c r="H6" s="1" t="n">
        <v>0.1</v>
      </c>
      <c r="I6" s="1" t="n">
        <v>0.173779216191838</v>
      </c>
      <c r="J6" s="1" t="n">
        <v>0.27367824747379</v>
      </c>
      <c r="K6" s="1" t="n">
        <f aca="false">J6-I6</f>
        <v>0.0998990312819521</v>
      </c>
      <c r="L6" s="1" t="n">
        <v>0.744387965987341</v>
      </c>
    </row>
    <row r="7" customFormat="false" ht="15" hidden="false" customHeight="false" outlineLevel="0" collapsed="false">
      <c r="A7" s="1" t="s">
        <v>26</v>
      </c>
      <c r="B7" s="1" t="s">
        <v>27</v>
      </c>
      <c r="C7" s="1" t="s">
        <v>28</v>
      </c>
      <c r="D7" s="1" t="s">
        <v>19</v>
      </c>
      <c r="E7" s="1" t="s">
        <v>20</v>
      </c>
      <c r="F7" s="1" t="n">
        <v>4</v>
      </c>
      <c r="G7" s="2" t="s">
        <v>21</v>
      </c>
      <c r="H7" s="1" t="n">
        <v>0.3676</v>
      </c>
      <c r="I7" s="1" t="n">
        <v>0.298361816617913</v>
      </c>
      <c r="J7" s="1" t="n">
        <v>0.450716662532512</v>
      </c>
      <c r="K7" s="1" t="n">
        <f aca="false">J7-I7</f>
        <v>0.152354845914599</v>
      </c>
      <c r="L7" s="1" t="n">
        <v>0.722443262715515</v>
      </c>
    </row>
    <row r="8" customFormat="false" ht="15" hidden="false" customHeight="false" outlineLevel="0" collapsed="false">
      <c r="A8" s="1" t="s">
        <v>26</v>
      </c>
      <c r="B8" s="1" t="s">
        <v>27</v>
      </c>
      <c r="C8" s="1" t="s">
        <v>28</v>
      </c>
      <c r="D8" s="1" t="s">
        <v>19</v>
      </c>
      <c r="E8" s="1" t="s">
        <v>20</v>
      </c>
      <c r="F8" s="1" t="n">
        <v>4</v>
      </c>
      <c r="G8" s="2" t="s">
        <v>29</v>
      </c>
      <c r="H8" s="1" t="n">
        <v>0.2716</v>
      </c>
      <c r="I8" s="1" t="n">
        <v>0.220402131048383</v>
      </c>
      <c r="J8" s="1" t="n">
        <v>0.339162079844136</v>
      </c>
      <c r="K8" s="1" t="n">
        <f aca="false">J8-I8</f>
        <v>0.118759948795752</v>
      </c>
      <c r="L8" s="1" t="n">
        <v>0.722443262715515</v>
      </c>
    </row>
    <row r="9" customFormat="false" ht="15" hidden="false" customHeight="false" outlineLevel="0" collapsed="false">
      <c r="A9" s="1" t="s">
        <v>26</v>
      </c>
      <c r="B9" s="1" t="s">
        <v>27</v>
      </c>
      <c r="C9" s="1" t="s">
        <v>28</v>
      </c>
      <c r="D9" s="1" t="s">
        <v>19</v>
      </c>
      <c r="E9" s="1" t="s">
        <v>20</v>
      </c>
      <c r="F9" s="1" t="n">
        <v>4</v>
      </c>
      <c r="G9" s="2" t="s">
        <v>30</v>
      </c>
      <c r="H9" s="1" t="n">
        <v>0.2608</v>
      </c>
      <c r="I9" s="1" t="n">
        <v>0.21162090347929</v>
      </c>
      <c r="J9" s="1" t="n">
        <v>0.302299937582058</v>
      </c>
      <c r="K9" s="1" t="n">
        <f aca="false">J9-I9</f>
        <v>0.0906790341027676</v>
      </c>
      <c r="L9" s="1" t="n">
        <v>0.722443262715515</v>
      </c>
    </row>
    <row r="10" customFormat="false" ht="15" hidden="false" customHeight="false" outlineLevel="0" collapsed="false">
      <c r="A10" s="1" t="s">
        <v>26</v>
      </c>
      <c r="B10" s="1" t="s">
        <v>27</v>
      </c>
      <c r="C10" s="1" t="s">
        <v>28</v>
      </c>
      <c r="D10" s="1" t="s">
        <v>19</v>
      </c>
      <c r="E10" s="1" t="s">
        <v>20</v>
      </c>
      <c r="F10" s="1" t="n">
        <v>4</v>
      </c>
      <c r="G10" s="2" t="s">
        <v>22</v>
      </c>
      <c r="H10" s="1" t="n">
        <v>0.1</v>
      </c>
      <c r="I10" s="1" t="n">
        <v>0.187823339756535</v>
      </c>
      <c r="J10" s="1" t="n">
        <v>0.298744579485551</v>
      </c>
      <c r="K10" s="1" t="n">
        <f aca="false">J10-I10</f>
        <v>0.110921239729016</v>
      </c>
      <c r="L10" s="1" t="n">
        <v>0.722443262715515</v>
      </c>
    </row>
    <row r="11" customFormat="false" ht="15" hidden="false" customHeight="false" outlineLevel="0" collapsed="false">
      <c r="A11" s="1" t="s">
        <v>31</v>
      </c>
      <c r="B11" s="1" t="s">
        <v>32</v>
      </c>
      <c r="C11" s="1" t="s">
        <v>33</v>
      </c>
      <c r="D11" s="1" t="s">
        <v>19</v>
      </c>
      <c r="E11" s="1" t="s">
        <v>20</v>
      </c>
      <c r="F11" s="1" t="n">
        <v>6</v>
      </c>
      <c r="G11" s="2" t="s">
        <v>21</v>
      </c>
      <c r="H11" s="1" t="n">
        <v>0.2671</v>
      </c>
      <c r="I11" s="1" t="n">
        <v>0.335213281660747</v>
      </c>
      <c r="J11" s="1" t="n">
        <v>0.434974055933813</v>
      </c>
      <c r="K11" s="1" t="n">
        <f aca="false">J11-I11</f>
        <v>0.0997607742730661</v>
      </c>
      <c r="L11" s="1" t="n">
        <v>0.706070089408908</v>
      </c>
    </row>
    <row r="12" customFormat="false" ht="15" hidden="false" customHeight="false" outlineLevel="0" collapsed="false">
      <c r="A12" s="1" t="s">
        <v>31</v>
      </c>
      <c r="B12" s="1" t="s">
        <v>32</v>
      </c>
      <c r="C12" s="1" t="s">
        <v>33</v>
      </c>
      <c r="D12" s="1" t="s">
        <v>19</v>
      </c>
      <c r="E12" s="1" t="s">
        <v>20</v>
      </c>
      <c r="F12" s="1" t="n">
        <v>6</v>
      </c>
      <c r="G12" s="2" t="s">
        <v>29</v>
      </c>
      <c r="H12" s="1" t="n">
        <v>0.1987</v>
      </c>
      <c r="I12" s="1" t="n">
        <v>0.249329451694304</v>
      </c>
      <c r="J12" s="1" t="n">
        <v>0.336004210630372</v>
      </c>
      <c r="K12" s="1" t="n">
        <f aca="false">J12-I12</f>
        <v>0.0866747589360681</v>
      </c>
      <c r="L12" s="1" t="n">
        <v>0.706070089408908</v>
      </c>
    </row>
    <row r="13" customFormat="false" ht="15" hidden="false" customHeight="false" outlineLevel="0" collapsed="false">
      <c r="A13" s="1" t="s">
        <v>31</v>
      </c>
      <c r="B13" s="1" t="s">
        <v>32</v>
      </c>
      <c r="C13" s="1" t="s">
        <v>33</v>
      </c>
      <c r="D13" s="1" t="s">
        <v>19</v>
      </c>
      <c r="E13" s="1" t="s">
        <v>20</v>
      </c>
      <c r="F13" s="1" t="n">
        <v>6</v>
      </c>
      <c r="G13" s="2" t="s">
        <v>22</v>
      </c>
      <c r="H13" s="1" t="n">
        <v>0.1885</v>
      </c>
      <c r="I13" s="1" t="n">
        <v>0.236488496036914</v>
      </c>
      <c r="J13" s="1" t="n">
        <v>0.363992074885872</v>
      </c>
      <c r="K13" s="1" t="n">
        <f aca="false">J13-I13</f>
        <v>0.127503578848958</v>
      </c>
      <c r="L13" s="1" t="n">
        <v>0.706070089408908</v>
      </c>
    </row>
    <row r="14" customFormat="false" ht="15" hidden="false" customHeight="false" outlineLevel="0" collapsed="false">
      <c r="A14" s="1" t="s">
        <v>31</v>
      </c>
      <c r="B14" s="1" t="s">
        <v>32</v>
      </c>
      <c r="C14" s="1" t="s">
        <v>33</v>
      </c>
      <c r="D14" s="1" t="s">
        <v>19</v>
      </c>
      <c r="E14" s="1" t="s">
        <v>20</v>
      </c>
      <c r="F14" s="1" t="n">
        <v>6</v>
      </c>
      <c r="G14" s="2" t="s">
        <v>30</v>
      </c>
      <c r="H14" s="1" t="n">
        <v>0.1789</v>
      </c>
      <c r="I14" s="1" t="n">
        <v>0.224445720966214</v>
      </c>
      <c r="J14" s="1" t="n">
        <v>0.328577890236193</v>
      </c>
      <c r="K14" s="1" t="n">
        <f aca="false">J14-I14</f>
        <v>0.104132169269979</v>
      </c>
      <c r="L14" s="1" t="n">
        <v>0.706070089408908</v>
      </c>
    </row>
    <row r="15" customFormat="false" ht="15" hidden="false" customHeight="false" outlineLevel="0" collapsed="false">
      <c r="A15" s="1" t="s">
        <v>31</v>
      </c>
      <c r="B15" s="1" t="s">
        <v>32</v>
      </c>
      <c r="C15" s="1" t="s">
        <v>33</v>
      </c>
      <c r="D15" s="1" t="s">
        <v>19</v>
      </c>
      <c r="E15" s="1" t="s">
        <v>20</v>
      </c>
      <c r="F15" s="1" t="n">
        <v>6</v>
      </c>
      <c r="G15" s="2" t="s">
        <v>34</v>
      </c>
      <c r="H15" s="1" t="n">
        <v>0.1668</v>
      </c>
      <c r="I15" s="1" t="n">
        <v>0.20931333328372</v>
      </c>
      <c r="J15" s="1" t="n">
        <v>0.315037645786578</v>
      </c>
      <c r="K15" s="1" t="n">
        <f aca="false">J15-I15</f>
        <v>0.105724312502859</v>
      </c>
      <c r="L15" s="1" t="n">
        <v>0.706070089408908</v>
      </c>
    </row>
    <row r="16" customFormat="false" ht="15" hidden="false" customHeight="false" outlineLevel="0" collapsed="false">
      <c r="A16" s="1" t="s">
        <v>35</v>
      </c>
      <c r="B16" s="1" t="s">
        <v>36</v>
      </c>
      <c r="C16" s="1" t="s">
        <v>37</v>
      </c>
      <c r="D16" s="1" t="s">
        <v>19</v>
      </c>
      <c r="E16" s="1" t="s">
        <v>20</v>
      </c>
      <c r="F16" s="1" t="n">
        <v>8</v>
      </c>
      <c r="G16" s="2" t="s">
        <v>21</v>
      </c>
      <c r="H16" s="1" t="n">
        <v>0.2163</v>
      </c>
      <c r="I16" s="1" t="n">
        <v>0.332765484321597</v>
      </c>
      <c r="J16" s="1" t="n">
        <v>0.433084195602411</v>
      </c>
      <c r="K16" s="1" t="n">
        <f aca="false">J16-I16</f>
        <v>0.100318711280814</v>
      </c>
      <c r="L16" s="1" t="n">
        <v>0.830465274232832</v>
      </c>
    </row>
    <row r="17" customFormat="false" ht="15" hidden="false" customHeight="false" outlineLevel="0" collapsed="false">
      <c r="A17" s="1" t="s">
        <v>35</v>
      </c>
      <c r="B17" s="1" t="s">
        <v>36</v>
      </c>
      <c r="C17" s="1" t="s">
        <v>37</v>
      </c>
      <c r="D17" s="1" t="s">
        <v>19</v>
      </c>
      <c r="E17" s="1" t="s">
        <v>20</v>
      </c>
      <c r="F17" s="1" t="n">
        <v>8</v>
      </c>
      <c r="G17" s="2" t="s">
        <v>22</v>
      </c>
      <c r="H17" s="1" t="n">
        <v>0.1763</v>
      </c>
      <c r="I17" s="1" t="n">
        <v>0.271120511445075</v>
      </c>
      <c r="J17" s="1" t="n">
        <v>0.311726177792674</v>
      </c>
      <c r="K17" s="1" t="n">
        <f aca="false">J17-I17</f>
        <v>0.0406056663475994</v>
      </c>
      <c r="L17" s="1" t="n">
        <v>0.830465274232832</v>
      </c>
    </row>
    <row r="18" customFormat="false" ht="15" hidden="false" customHeight="false" outlineLevel="0" collapsed="false">
      <c r="A18" s="1" t="s">
        <v>35</v>
      </c>
      <c r="B18" s="1" t="s">
        <v>36</v>
      </c>
      <c r="C18" s="1" t="s">
        <v>37</v>
      </c>
      <c r="D18" s="1" t="s">
        <v>19</v>
      </c>
      <c r="E18" s="1" t="s">
        <v>20</v>
      </c>
      <c r="F18" s="1" t="n">
        <v>8</v>
      </c>
      <c r="G18" s="2" t="s">
        <v>30</v>
      </c>
      <c r="H18" s="1" t="n">
        <v>0.1607</v>
      </c>
      <c r="I18" s="1" t="n">
        <v>0.247130975020774</v>
      </c>
      <c r="J18" s="1" t="n">
        <v>0.322643141195136</v>
      </c>
      <c r="K18" s="1" t="n">
        <f aca="false">J18-I18</f>
        <v>0.0755121661743622</v>
      </c>
      <c r="L18" s="1" t="n">
        <v>0.830465274232832</v>
      </c>
    </row>
    <row r="19" customFormat="false" ht="15" hidden="false" customHeight="false" outlineLevel="0" collapsed="false">
      <c r="A19" s="1" t="s">
        <v>35</v>
      </c>
      <c r="B19" s="1" t="s">
        <v>36</v>
      </c>
      <c r="C19" s="1" t="s">
        <v>37</v>
      </c>
      <c r="D19" s="1" t="s">
        <v>19</v>
      </c>
      <c r="E19" s="1" t="s">
        <v>20</v>
      </c>
      <c r="F19" s="1" t="n">
        <v>8</v>
      </c>
      <c r="G19" s="2" t="s">
        <v>29</v>
      </c>
      <c r="H19" s="1" t="n">
        <v>0.1554</v>
      </c>
      <c r="I19" s="1" t="n">
        <v>0.238970759490883</v>
      </c>
      <c r="J19" s="1" t="n">
        <v>0.33460021230054</v>
      </c>
      <c r="K19" s="1" t="n">
        <f aca="false">J19-I19</f>
        <v>0.0956294528096567</v>
      </c>
      <c r="L19" s="1" t="n">
        <v>0.830465274232832</v>
      </c>
    </row>
    <row r="20" customFormat="false" ht="15" hidden="false" customHeight="false" outlineLevel="0" collapsed="false">
      <c r="A20" s="1" t="s">
        <v>35</v>
      </c>
      <c r="B20" s="1" t="s">
        <v>36</v>
      </c>
      <c r="C20" s="1" t="s">
        <v>37</v>
      </c>
      <c r="D20" s="1" t="s">
        <v>19</v>
      </c>
      <c r="E20" s="1" t="s">
        <v>20</v>
      </c>
      <c r="F20" s="1" t="n">
        <v>8</v>
      </c>
      <c r="G20" s="2" t="s">
        <v>38</v>
      </c>
      <c r="H20" s="1" t="n">
        <v>0.1471</v>
      </c>
      <c r="I20" s="1" t="n">
        <v>0.226328795820782</v>
      </c>
      <c r="J20" s="1" t="n">
        <v>0.347775670012657</v>
      </c>
      <c r="K20" s="1" t="n">
        <f aca="false">J20-I20</f>
        <v>0.121446874191875</v>
      </c>
      <c r="L20" s="1" t="n">
        <v>0.830465274232832</v>
      </c>
    </row>
    <row r="21" customFormat="false" ht="15" hidden="false" customHeight="false" outlineLevel="0" collapsed="false">
      <c r="A21" s="1" t="s">
        <v>35</v>
      </c>
      <c r="B21" s="1" t="s">
        <v>36</v>
      </c>
      <c r="C21" s="1" t="s">
        <v>37</v>
      </c>
      <c r="D21" s="1" t="s">
        <v>19</v>
      </c>
      <c r="E21" s="1" t="s">
        <v>20</v>
      </c>
      <c r="F21" s="1" t="n">
        <v>8</v>
      </c>
      <c r="G21" s="2" t="s">
        <v>39</v>
      </c>
      <c r="H21" s="1" t="n">
        <v>0.1442</v>
      </c>
      <c r="I21" s="1" t="n">
        <v>0.221871813073438</v>
      </c>
      <c r="J21" s="1" t="n">
        <v>0.313493204332782</v>
      </c>
      <c r="K21" s="1" t="n">
        <f aca="false">J21-I21</f>
        <v>0.0916213912593439</v>
      </c>
      <c r="L21" s="1" t="n">
        <v>0.830465274232832</v>
      </c>
    </row>
    <row r="22" customFormat="false" ht="15" hidden="false" customHeight="false" outlineLevel="0" collapsed="false">
      <c r="A22" s="1" t="s">
        <v>40</v>
      </c>
      <c r="B22" s="1" t="s">
        <v>41</v>
      </c>
      <c r="C22" s="1" t="s">
        <v>42</v>
      </c>
      <c r="D22" s="1" t="s">
        <v>19</v>
      </c>
      <c r="E22" s="1" t="s">
        <v>20</v>
      </c>
      <c r="F22" s="1" t="n">
        <v>10</v>
      </c>
      <c r="G22" s="2" t="s">
        <v>21</v>
      </c>
      <c r="H22" s="1" t="n">
        <v>0.222</v>
      </c>
      <c r="I22" s="1" t="n">
        <v>0.318309060098969</v>
      </c>
      <c r="J22" s="1" t="n">
        <v>0.404614898648243</v>
      </c>
      <c r="K22" s="1" t="n">
        <f aca="false">J22-I22</f>
        <v>0.0863058385492733</v>
      </c>
      <c r="L22" s="1" t="n">
        <v>0.639350566619894</v>
      </c>
    </row>
    <row r="23" customFormat="false" ht="15" hidden="false" customHeight="false" outlineLevel="0" collapsed="false">
      <c r="A23" s="1" t="s">
        <v>40</v>
      </c>
      <c r="B23" s="1" t="s">
        <v>41</v>
      </c>
      <c r="C23" s="1" t="s">
        <v>42</v>
      </c>
      <c r="D23" s="1" t="s">
        <v>19</v>
      </c>
      <c r="E23" s="1" t="s">
        <v>20</v>
      </c>
      <c r="F23" s="1" t="n">
        <v>10</v>
      </c>
      <c r="G23" s="2" t="s">
        <v>30</v>
      </c>
      <c r="H23" s="1" t="n">
        <v>0.1708</v>
      </c>
      <c r="I23" s="1" t="n">
        <v>0.244941794576588</v>
      </c>
      <c r="J23" s="1" t="n">
        <v>0.292672956213344</v>
      </c>
      <c r="K23" s="1" t="n">
        <f aca="false">J23-I23</f>
        <v>0.0477311616367557</v>
      </c>
      <c r="L23" s="1" t="n">
        <v>0.639350566619894</v>
      </c>
    </row>
    <row r="24" customFormat="false" ht="15" hidden="false" customHeight="false" outlineLevel="0" collapsed="false">
      <c r="A24" s="1" t="s">
        <v>40</v>
      </c>
      <c r="B24" s="1" t="s">
        <v>41</v>
      </c>
      <c r="C24" s="1" t="s">
        <v>42</v>
      </c>
      <c r="D24" s="1" t="s">
        <v>19</v>
      </c>
      <c r="E24" s="1" t="s">
        <v>20</v>
      </c>
      <c r="F24" s="1" t="n">
        <v>10</v>
      </c>
      <c r="G24" s="2" t="s">
        <v>39</v>
      </c>
      <c r="H24" s="1" t="n">
        <v>0.1653</v>
      </c>
      <c r="I24" s="1" t="n">
        <v>0.236990403929445</v>
      </c>
      <c r="J24" s="1" t="n">
        <v>0.289704855596297</v>
      </c>
      <c r="K24" s="1" t="n">
        <f aca="false">J24-I24</f>
        <v>0.0527144516668526</v>
      </c>
      <c r="L24" s="1" t="n">
        <v>0.639350566619894</v>
      </c>
    </row>
    <row r="25" customFormat="false" ht="15" hidden="false" customHeight="false" outlineLevel="0" collapsed="false">
      <c r="A25" s="1" t="s">
        <v>40</v>
      </c>
      <c r="B25" s="1" t="s">
        <v>41</v>
      </c>
      <c r="C25" s="1" t="s">
        <v>42</v>
      </c>
      <c r="D25" s="1" t="s">
        <v>19</v>
      </c>
      <c r="E25" s="1" t="s">
        <v>20</v>
      </c>
      <c r="F25" s="1" t="n">
        <v>10</v>
      </c>
      <c r="G25" s="2" t="s">
        <v>38</v>
      </c>
      <c r="H25" s="1" t="n">
        <v>0.1544</v>
      </c>
      <c r="I25" s="1" t="n">
        <v>0.221428894617252</v>
      </c>
      <c r="J25" s="1" t="n">
        <v>0.283906604881765</v>
      </c>
      <c r="K25" s="1" t="n">
        <f aca="false">J25-I25</f>
        <v>0.0624777102645129</v>
      </c>
      <c r="L25" s="1" t="n">
        <v>0.639350566619894</v>
      </c>
    </row>
    <row r="26" customFormat="false" ht="15" hidden="false" customHeight="false" outlineLevel="0" collapsed="false">
      <c r="A26" s="1" t="s">
        <v>40</v>
      </c>
      <c r="B26" s="1" t="s">
        <v>41</v>
      </c>
      <c r="C26" s="1" t="s">
        <v>42</v>
      </c>
      <c r="D26" s="1" t="s">
        <v>19</v>
      </c>
      <c r="E26" s="1" t="s">
        <v>20</v>
      </c>
      <c r="F26" s="1" t="n">
        <v>10</v>
      </c>
      <c r="G26" s="2" t="s">
        <v>29</v>
      </c>
      <c r="H26" s="1" t="n">
        <v>0.1456</v>
      </c>
      <c r="I26" s="1" t="n">
        <v>0.208826452694918</v>
      </c>
      <c r="J26" s="1" t="n">
        <v>0.258925196491278</v>
      </c>
      <c r="K26" s="1" t="n">
        <f aca="false">J26-I26</f>
        <v>0.0500987437963602</v>
      </c>
      <c r="L26" s="1" t="n">
        <v>0.639350566619894</v>
      </c>
    </row>
    <row r="27" customFormat="false" ht="15" hidden="false" customHeight="false" outlineLevel="0" collapsed="false">
      <c r="A27" s="1" t="s">
        <v>40</v>
      </c>
      <c r="B27" s="1" t="s">
        <v>41</v>
      </c>
      <c r="C27" s="1" t="s">
        <v>42</v>
      </c>
      <c r="D27" s="1" t="s">
        <v>19</v>
      </c>
      <c r="E27" s="1" t="s">
        <v>20</v>
      </c>
      <c r="F27" s="1" t="n">
        <v>10</v>
      </c>
      <c r="G27" s="2" t="s">
        <v>22</v>
      </c>
      <c r="H27" s="1" t="n">
        <v>0.1418</v>
      </c>
      <c r="I27" s="1" t="n">
        <v>0.203328428472919</v>
      </c>
      <c r="J27" s="1" t="n">
        <v>0.237735389685846</v>
      </c>
      <c r="K27" s="1" t="n">
        <f aca="false">J27-I27</f>
        <v>0.0344069612129271</v>
      </c>
      <c r="L27" s="1" t="n">
        <v>0.639350566619894</v>
      </c>
    </row>
    <row r="28" customFormat="false" ht="15" hidden="false" customHeight="false" outlineLevel="0" collapsed="false">
      <c r="A28" s="1" t="s">
        <v>43</v>
      </c>
      <c r="B28" s="1" t="s">
        <v>44</v>
      </c>
      <c r="C28" s="1" t="s">
        <v>45</v>
      </c>
      <c r="D28" s="1" t="s">
        <v>19</v>
      </c>
      <c r="E28" s="1" t="s">
        <v>20</v>
      </c>
      <c r="F28" s="1" t="n">
        <v>12</v>
      </c>
      <c r="G28" s="2" t="s">
        <v>21</v>
      </c>
      <c r="H28" s="1" t="n">
        <v>0.2316</v>
      </c>
      <c r="I28" s="1" t="n">
        <v>0.348849860254117</v>
      </c>
      <c r="J28" s="1" t="n">
        <v>0.435010030084779</v>
      </c>
      <c r="K28" s="1" t="n">
        <f aca="false">J28-I28</f>
        <v>0.0861601698306624</v>
      </c>
      <c r="L28" s="1" t="n">
        <v>0.74569214122826</v>
      </c>
    </row>
    <row r="29" customFormat="false" ht="15" hidden="false" customHeight="false" outlineLevel="0" collapsed="false">
      <c r="A29" s="1" t="s">
        <v>43</v>
      </c>
      <c r="B29" s="1" t="s">
        <v>44</v>
      </c>
      <c r="C29" s="1" t="s">
        <v>45</v>
      </c>
      <c r="D29" s="1" t="s">
        <v>19</v>
      </c>
      <c r="E29" s="1" t="s">
        <v>20</v>
      </c>
      <c r="F29" s="1" t="n">
        <v>12</v>
      </c>
      <c r="G29" s="2" t="s">
        <v>29</v>
      </c>
      <c r="H29" s="1" t="n">
        <v>0.1609</v>
      </c>
      <c r="I29" s="1" t="n">
        <v>0.242403051376318</v>
      </c>
      <c r="J29" s="1" t="n">
        <v>0.30906023646993</v>
      </c>
      <c r="K29" s="1" t="n">
        <f aca="false">J29-I29</f>
        <v>0.0666571850936123</v>
      </c>
      <c r="L29" s="1" t="n">
        <v>0.74569214122826</v>
      </c>
    </row>
    <row r="30" customFormat="false" ht="15" hidden="false" customHeight="false" outlineLevel="0" collapsed="false">
      <c r="A30" s="1" t="s">
        <v>43</v>
      </c>
      <c r="B30" s="1" t="s">
        <v>44</v>
      </c>
      <c r="C30" s="1" t="s">
        <v>45</v>
      </c>
      <c r="D30" s="1" t="s">
        <v>19</v>
      </c>
      <c r="E30" s="1" t="s">
        <v>20</v>
      </c>
      <c r="F30" s="1" t="n">
        <v>12</v>
      </c>
      <c r="G30" s="2" t="s">
        <v>22</v>
      </c>
      <c r="H30" s="1" t="n">
        <v>0.1573</v>
      </c>
      <c r="I30" s="1" t="n">
        <v>0.236983877367465</v>
      </c>
      <c r="J30" s="1" t="n">
        <v>0.281740261108711</v>
      </c>
      <c r="K30" s="1" t="n">
        <f aca="false">J30-I30</f>
        <v>0.0447563837412465</v>
      </c>
      <c r="L30" s="1" t="n">
        <v>0.74569214122826</v>
      </c>
    </row>
    <row r="31" customFormat="false" ht="15" hidden="false" customHeight="false" outlineLevel="0" collapsed="false">
      <c r="A31" s="1" t="s">
        <v>43</v>
      </c>
      <c r="B31" s="1" t="s">
        <v>44</v>
      </c>
      <c r="C31" s="1" t="s">
        <v>45</v>
      </c>
      <c r="D31" s="1" t="s">
        <v>19</v>
      </c>
      <c r="E31" s="1" t="s">
        <v>20</v>
      </c>
      <c r="F31" s="1" t="n">
        <v>12</v>
      </c>
      <c r="G31" s="2" t="s">
        <v>30</v>
      </c>
      <c r="H31" s="1" t="n">
        <v>0.156</v>
      </c>
      <c r="I31" s="1" t="n">
        <v>0.234997781723439</v>
      </c>
      <c r="J31" s="1" t="n">
        <v>0.296739487209437</v>
      </c>
      <c r="K31" s="1" t="n">
        <f aca="false">J31-I31</f>
        <v>0.0617417054859975</v>
      </c>
      <c r="L31" s="1" t="n">
        <v>0.74569214122826</v>
      </c>
    </row>
    <row r="32" customFormat="false" ht="15" hidden="false" customHeight="false" outlineLevel="0" collapsed="false">
      <c r="A32" s="1" t="s">
        <v>43</v>
      </c>
      <c r="B32" s="1" t="s">
        <v>44</v>
      </c>
      <c r="C32" s="1" t="s">
        <v>45</v>
      </c>
      <c r="D32" s="1" t="s">
        <v>19</v>
      </c>
      <c r="E32" s="1" t="s">
        <v>20</v>
      </c>
      <c r="F32" s="1" t="n">
        <v>12</v>
      </c>
      <c r="G32" s="2" t="s">
        <v>39</v>
      </c>
      <c r="H32" s="1" t="n">
        <v>0.1479</v>
      </c>
      <c r="I32" s="1" t="n">
        <v>0.222776425632733</v>
      </c>
      <c r="J32" s="1" t="n">
        <v>0.272182784252082</v>
      </c>
      <c r="K32" s="1" t="n">
        <f aca="false">J32-I32</f>
        <v>0.0494063586193494</v>
      </c>
      <c r="L32" s="1" t="n">
        <v>0.74569214122826</v>
      </c>
    </row>
    <row r="33" customFormat="false" ht="15" hidden="false" customHeight="false" outlineLevel="0" collapsed="false">
      <c r="A33" s="1" t="s">
        <v>43</v>
      </c>
      <c r="B33" s="1" t="s">
        <v>44</v>
      </c>
      <c r="C33" s="1" t="s">
        <v>45</v>
      </c>
      <c r="D33" s="1" t="s">
        <v>19</v>
      </c>
      <c r="E33" s="1" t="s">
        <v>20</v>
      </c>
      <c r="F33" s="1" t="n">
        <v>12</v>
      </c>
      <c r="G33" s="2" t="s">
        <v>38</v>
      </c>
      <c r="H33" s="1" t="n">
        <v>0.1463</v>
      </c>
      <c r="I33" s="1" t="n">
        <v>0.22038629404278</v>
      </c>
      <c r="J33" s="1" t="n">
        <v>0.33056003303789</v>
      </c>
      <c r="K33" s="1" t="n">
        <f aca="false">J33-I33</f>
        <v>0.11017373899511</v>
      </c>
      <c r="L33" s="1" t="n">
        <v>0.74569214122826</v>
      </c>
    </row>
    <row r="34" customFormat="false" ht="15" hidden="false" customHeight="false" outlineLevel="0" collapsed="false">
      <c r="A34" s="1" t="s">
        <v>46</v>
      </c>
      <c r="B34" s="1" t="s">
        <v>47</v>
      </c>
      <c r="C34" s="1" t="s">
        <v>48</v>
      </c>
      <c r="D34" s="1" t="s">
        <v>19</v>
      </c>
      <c r="E34" s="1" t="s">
        <v>20</v>
      </c>
      <c r="F34" s="1" t="n">
        <v>14</v>
      </c>
      <c r="G34" s="2" t="s">
        <v>21</v>
      </c>
      <c r="H34" s="1" t="n">
        <v>0.3495</v>
      </c>
      <c r="I34" s="1" t="n">
        <v>0.345747621935207</v>
      </c>
      <c r="J34" s="1" t="n">
        <v>0.437779001699765</v>
      </c>
      <c r="K34" s="1" t="n">
        <f aca="false">J34-I34</f>
        <v>0.0920313797645579</v>
      </c>
      <c r="L34" s="1" t="n">
        <v>0.777583698300188</v>
      </c>
    </row>
    <row r="35" customFormat="false" ht="15" hidden="false" customHeight="false" outlineLevel="0" collapsed="false">
      <c r="A35" s="1" t="s">
        <v>46</v>
      </c>
      <c r="B35" s="1" t="s">
        <v>47</v>
      </c>
      <c r="C35" s="1" t="s">
        <v>48</v>
      </c>
      <c r="D35" s="1" t="s">
        <v>19</v>
      </c>
      <c r="E35" s="1" t="s">
        <v>20</v>
      </c>
      <c r="F35" s="1" t="n">
        <v>14</v>
      </c>
      <c r="G35" s="2" t="s">
        <v>38</v>
      </c>
      <c r="H35" s="1" t="n">
        <v>0.2216</v>
      </c>
      <c r="I35" s="1" t="n">
        <v>0.219235697705953</v>
      </c>
      <c r="J35" s="1" t="n">
        <v>0.237833046774604</v>
      </c>
      <c r="K35" s="1" t="n">
        <f aca="false">J35-I35</f>
        <v>0.0185973490686512</v>
      </c>
      <c r="L35" s="1" t="n">
        <v>0.777583698300188</v>
      </c>
    </row>
    <row r="36" customFormat="false" ht="15" hidden="false" customHeight="false" outlineLevel="0" collapsed="false">
      <c r="A36" s="1" t="s">
        <v>46</v>
      </c>
      <c r="B36" s="1" t="s">
        <v>47</v>
      </c>
      <c r="C36" s="1" t="s">
        <v>48</v>
      </c>
      <c r="D36" s="1" t="s">
        <v>19</v>
      </c>
      <c r="E36" s="1" t="s">
        <v>20</v>
      </c>
      <c r="F36" s="1" t="n">
        <v>14</v>
      </c>
      <c r="G36" s="2" t="s">
        <v>22</v>
      </c>
      <c r="H36" s="1" t="n">
        <v>0.2164</v>
      </c>
      <c r="I36" s="1" t="n">
        <v>0.21408526687031</v>
      </c>
      <c r="J36" s="1" t="n">
        <v>0.28107147423022</v>
      </c>
      <c r="K36" s="1" t="n">
        <f aca="false">J36-I36</f>
        <v>0.0669862073599103</v>
      </c>
      <c r="L36" s="1" t="n">
        <v>0.777583698300188</v>
      </c>
    </row>
    <row r="37" customFormat="false" ht="15" hidden="false" customHeight="false" outlineLevel="0" collapsed="false">
      <c r="A37" s="1" t="s">
        <v>46</v>
      </c>
      <c r="B37" s="1" t="s">
        <v>47</v>
      </c>
      <c r="C37" s="1" t="s">
        <v>48</v>
      </c>
      <c r="D37" s="1" t="s">
        <v>19</v>
      </c>
      <c r="E37" s="1" t="s">
        <v>20</v>
      </c>
      <c r="F37" s="1" t="n">
        <v>14</v>
      </c>
      <c r="G37" s="2" t="s">
        <v>30</v>
      </c>
      <c r="H37" s="1" t="n">
        <v>0.2124</v>
      </c>
      <c r="I37" s="1" t="n">
        <v>0.210101559443774</v>
      </c>
      <c r="J37" s="1" t="n">
        <v>0.24799852564965</v>
      </c>
      <c r="K37" s="1" t="n">
        <f aca="false">J37-I37</f>
        <v>0.0378969662058762</v>
      </c>
      <c r="L37" s="1" t="n">
        <v>0.777583698300188</v>
      </c>
    </row>
    <row r="38" customFormat="false" ht="15" hidden="false" customHeight="false" outlineLevel="0" collapsed="false">
      <c r="A38" s="1" t="s">
        <v>49</v>
      </c>
      <c r="B38" s="1" t="s">
        <v>50</v>
      </c>
      <c r="C38" s="1" t="s">
        <v>51</v>
      </c>
      <c r="D38" s="1" t="s">
        <v>19</v>
      </c>
      <c r="E38" s="1" t="s">
        <v>20</v>
      </c>
      <c r="F38" s="1" t="n">
        <v>16</v>
      </c>
      <c r="G38" s="2" t="s">
        <v>21</v>
      </c>
      <c r="H38" s="1" t="n">
        <v>0.9</v>
      </c>
      <c r="I38" s="1" t="n">
        <v>0.297912631029747</v>
      </c>
      <c r="J38" s="1" t="n">
        <v>0.435575103541679</v>
      </c>
      <c r="K38" s="1" t="n">
        <f aca="false">J38-I38</f>
        <v>0.137662472511933</v>
      </c>
      <c r="L38" s="1" t="n">
        <v>0.716221981108389</v>
      </c>
    </row>
    <row r="39" customFormat="false" ht="15" hidden="false" customHeight="false" outlineLevel="0" collapsed="false">
      <c r="A39" s="1" t="s">
        <v>49</v>
      </c>
      <c r="B39" s="1" t="s">
        <v>50</v>
      </c>
      <c r="C39" s="1" t="s">
        <v>51</v>
      </c>
      <c r="D39" s="1" t="s">
        <v>19</v>
      </c>
      <c r="E39" s="1" t="s">
        <v>20</v>
      </c>
      <c r="F39" s="1" t="n">
        <v>16</v>
      </c>
      <c r="G39" s="2" t="s">
        <v>22</v>
      </c>
      <c r="H39" s="1" t="n">
        <v>0.1</v>
      </c>
      <c r="I39" s="1" t="n">
        <v>0.1966723846487</v>
      </c>
      <c r="J39" s="1" t="n">
        <v>0.282950567009339</v>
      </c>
      <c r="K39" s="1" t="n">
        <f aca="false">J39-I39</f>
        <v>0.0862781823606386</v>
      </c>
      <c r="L39" s="1" t="n">
        <v>0.716221981108389</v>
      </c>
    </row>
    <row r="40" customFormat="false" ht="15" hidden="false" customHeight="false" outlineLevel="0" collapsed="false">
      <c r="A40" s="1" t="s">
        <v>52</v>
      </c>
      <c r="B40" s="1" t="s">
        <v>53</v>
      </c>
      <c r="C40" s="1" t="s">
        <v>54</v>
      </c>
      <c r="D40" s="1" t="s">
        <v>19</v>
      </c>
      <c r="E40" s="1" t="s">
        <v>20</v>
      </c>
      <c r="F40" s="1" t="n">
        <v>18</v>
      </c>
      <c r="G40" s="2" t="s">
        <v>21</v>
      </c>
      <c r="H40" s="1" t="n">
        <v>0.2211</v>
      </c>
      <c r="I40" s="1" t="n">
        <v>0.362604854061602</v>
      </c>
      <c r="J40" s="1" t="n">
        <v>0.440430472279262</v>
      </c>
      <c r="K40" s="1" t="n">
        <f aca="false">J40-I40</f>
        <v>0.0778256182176606</v>
      </c>
      <c r="L40" s="1" t="n">
        <v>0.789490175348179</v>
      </c>
    </row>
    <row r="41" customFormat="false" ht="15" hidden="false" customHeight="false" outlineLevel="0" collapsed="false">
      <c r="A41" s="1" t="s">
        <v>52</v>
      </c>
      <c r="B41" s="1" t="s">
        <v>53</v>
      </c>
      <c r="C41" s="1" t="s">
        <v>54</v>
      </c>
      <c r="D41" s="1" t="s">
        <v>19</v>
      </c>
      <c r="E41" s="1" t="s">
        <v>20</v>
      </c>
      <c r="F41" s="1" t="n">
        <v>18</v>
      </c>
      <c r="G41" s="2" t="s">
        <v>39</v>
      </c>
      <c r="H41" s="1" t="n">
        <v>0.1775</v>
      </c>
      <c r="I41" s="1" t="n">
        <v>0.290990806280913</v>
      </c>
      <c r="J41" s="1" t="n">
        <v>0.325836909418386</v>
      </c>
      <c r="K41" s="1" t="n">
        <f aca="false">J41-I41</f>
        <v>0.0348461031374736</v>
      </c>
      <c r="L41" s="1" t="n">
        <v>0.789490175348179</v>
      </c>
    </row>
    <row r="42" customFormat="false" ht="15" hidden="false" customHeight="false" outlineLevel="0" collapsed="false">
      <c r="A42" s="1" t="s">
        <v>52</v>
      </c>
      <c r="B42" s="1" t="s">
        <v>53</v>
      </c>
      <c r="C42" s="1" t="s">
        <v>54</v>
      </c>
      <c r="D42" s="1" t="s">
        <v>19</v>
      </c>
      <c r="E42" s="1" t="s">
        <v>20</v>
      </c>
      <c r="F42" s="1" t="n">
        <v>18</v>
      </c>
      <c r="G42" s="2" t="s">
        <v>30</v>
      </c>
      <c r="H42" s="1" t="n">
        <v>0.1641</v>
      </c>
      <c r="I42" s="1" t="n">
        <v>0.269101184612601</v>
      </c>
      <c r="J42" s="1" t="n">
        <v>0.316471073666036</v>
      </c>
      <c r="K42" s="1" t="n">
        <f aca="false">J42-I42</f>
        <v>0.047369889053435</v>
      </c>
      <c r="L42" s="1" t="n">
        <v>0.789490175348179</v>
      </c>
    </row>
    <row r="43" customFormat="false" ht="15" hidden="false" customHeight="false" outlineLevel="0" collapsed="false">
      <c r="A43" s="1" t="s">
        <v>52</v>
      </c>
      <c r="B43" s="1" t="s">
        <v>53</v>
      </c>
      <c r="C43" s="1" t="s">
        <v>54</v>
      </c>
      <c r="D43" s="1" t="s">
        <v>19</v>
      </c>
      <c r="E43" s="1" t="s">
        <v>20</v>
      </c>
      <c r="F43" s="1" t="n">
        <v>18</v>
      </c>
      <c r="G43" s="2" t="s">
        <v>38</v>
      </c>
      <c r="H43" s="1" t="n">
        <v>0.153</v>
      </c>
      <c r="I43" s="1" t="n">
        <v>0.250951863592221</v>
      </c>
      <c r="J43" s="1" t="n">
        <v>0.302251754904186</v>
      </c>
      <c r="K43" s="1" t="n">
        <f aca="false">J43-I43</f>
        <v>0.051299891311965</v>
      </c>
      <c r="L43" s="1" t="n">
        <v>0.789490175348179</v>
      </c>
    </row>
    <row r="44" customFormat="false" ht="15" hidden="false" customHeight="false" outlineLevel="0" collapsed="false">
      <c r="A44" s="1" t="s">
        <v>52</v>
      </c>
      <c r="B44" s="1" t="s">
        <v>53</v>
      </c>
      <c r="C44" s="1" t="s">
        <v>54</v>
      </c>
      <c r="D44" s="1" t="s">
        <v>19</v>
      </c>
      <c r="E44" s="1" t="s">
        <v>20</v>
      </c>
      <c r="F44" s="1" t="n">
        <v>18</v>
      </c>
      <c r="G44" s="2" t="s">
        <v>22</v>
      </c>
      <c r="H44" s="1" t="n">
        <v>0.1455</v>
      </c>
      <c r="I44" s="1" t="n">
        <v>0.238507558844742</v>
      </c>
      <c r="J44" s="1" t="n">
        <v>0.29098037068841</v>
      </c>
      <c r="K44" s="1" t="n">
        <f aca="false">J44-I44</f>
        <v>0.0524728118436679</v>
      </c>
      <c r="L44" s="1" t="n">
        <v>0.789490175348179</v>
      </c>
    </row>
    <row r="45" customFormat="false" ht="15" hidden="false" customHeight="false" outlineLevel="0" collapsed="false">
      <c r="A45" s="1" t="s">
        <v>52</v>
      </c>
      <c r="B45" s="1" t="s">
        <v>53</v>
      </c>
      <c r="C45" s="1" t="s">
        <v>54</v>
      </c>
      <c r="D45" s="1" t="s">
        <v>19</v>
      </c>
      <c r="E45" s="1" t="s">
        <v>20</v>
      </c>
      <c r="F45" s="1" t="n">
        <v>18</v>
      </c>
      <c r="G45" s="2" t="s">
        <v>29</v>
      </c>
      <c r="H45" s="1" t="n">
        <v>0.1388</v>
      </c>
      <c r="I45" s="1" t="n">
        <v>0.227521565796536</v>
      </c>
      <c r="J45" s="1" t="n">
        <v>0.308332952200177</v>
      </c>
      <c r="K45" s="1" t="n">
        <f aca="false">J45-I45</f>
        <v>0.0808113864036408</v>
      </c>
      <c r="L45" s="1" t="n">
        <v>0.789490175348179</v>
      </c>
    </row>
    <row r="46" customFormat="false" ht="15" hidden="false" customHeight="false" outlineLevel="0" collapsed="false">
      <c r="A46" s="1" t="s">
        <v>55</v>
      </c>
      <c r="B46" s="1" t="s">
        <v>56</v>
      </c>
      <c r="C46" s="1" t="s">
        <v>57</v>
      </c>
      <c r="D46" s="1" t="s">
        <v>19</v>
      </c>
      <c r="E46" s="1" t="s">
        <v>20</v>
      </c>
      <c r="F46" s="1" t="n">
        <v>20</v>
      </c>
      <c r="G46" s="2" t="s">
        <v>21</v>
      </c>
      <c r="H46" s="1" t="n">
        <v>0.2245</v>
      </c>
      <c r="I46" s="1" t="n">
        <v>0.414854261538312</v>
      </c>
      <c r="J46" s="1" t="n">
        <v>0.42381633745154</v>
      </c>
      <c r="K46" s="1" t="n">
        <f aca="false">J46-I46</f>
        <v>0.00896207591322834</v>
      </c>
      <c r="L46" s="1" t="n">
        <v>0.737754806838827</v>
      </c>
    </row>
    <row r="47" customFormat="false" ht="15" hidden="false" customHeight="false" outlineLevel="0" collapsed="false">
      <c r="A47" s="1" t="s">
        <v>55</v>
      </c>
      <c r="B47" s="1" t="s">
        <v>56</v>
      </c>
      <c r="C47" s="1" t="s">
        <v>57</v>
      </c>
      <c r="D47" s="1" t="s">
        <v>19</v>
      </c>
      <c r="E47" s="1" t="s">
        <v>20</v>
      </c>
      <c r="F47" s="1" t="n">
        <v>20</v>
      </c>
      <c r="G47" s="2" t="s">
        <v>30</v>
      </c>
      <c r="H47" s="1" t="n">
        <v>0.1644</v>
      </c>
      <c r="I47" s="1" t="n">
        <v>0.303847161238602</v>
      </c>
      <c r="J47" s="1" t="n">
        <v>0.306733909956687</v>
      </c>
      <c r="K47" s="1" t="n">
        <f aca="false">J47-I47</f>
        <v>0.0028867487180842</v>
      </c>
      <c r="L47" s="1" t="n">
        <v>0.737754806838827</v>
      </c>
    </row>
    <row r="48" customFormat="false" ht="15" hidden="false" customHeight="false" outlineLevel="0" collapsed="false">
      <c r="A48" s="1" t="s">
        <v>55</v>
      </c>
      <c r="B48" s="1" t="s">
        <v>56</v>
      </c>
      <c r="C48" s="1" t="s">
        <v>57</v>
      </c>
      <c r="D48" s="1" t="s">
        <v>19</v>
      </c>
      <c r="E48" s="1" t="s">
        <v>20</v>
      </c>
      <c r="F48" s="1" t="n">
        <v>20</v>
      </c>
      <c r="G48" s="2" t="s">
        <v>22</v>
      </c>
      <c r="H48" s="1" t="n">
        <v>0.1577</v>
      </c>
      <c r="I48" s="1" t="n">
        <v>0.29139702293826</v>
      </c>
      <c r="J48" s="1" t="n">
        <v>0.349298085155581</v>
      </c>
      <c r="K48" s="1" t="n">
        <f aca="false">J48-I48</f>
        <v>0.0579010622173209</v>
      </c>
      <c r="L48" s="1" t="n">
        <v>0.737754806838827</v>
      </c>
    </row>
    <row r="49" customFormat="false" ht="15" hidden="false" customHeight="false" outlineLevel="0" collapsed="false">
      <c r="A49" s="1" t="s">
        <v>55</v>
      </c>
      <c r="B49" s="1" t="s">
        <v>56</v>
      </c>
      <c r="C49" s="1" t="s">
        <v>57</v>
      </c>
      <c r="D49" s="1" t="s">
        <v>19</v>
      </c>
      <c r="E49" s="1" t="s">
        <v>20</v>
      </c>
      <c r="F49" s="1" t="n">
        <v>20</v>
      </c>
      <c r="G49" s="2" t="s">
        <v>39</v>
      </c>
      <c r="H49" s="1" t="n">
        <v>0.1542</v>
      </c>
      <c r="I49" s="1" t="n">
        <v>0.284913930318801</v>
      </c>
      <c r="J49" s="1" t="n">
        <v>0.29669353129541</v>
      </c>
      <c r="K49" s="1" t="n">
        <f aca="false">J49-I49</f>
        <v>0.0117796009766083</v>
      </c>
      <c r="L49" s="1" t="n">
        <v>0.737754806838827</v>
      </c>
    </row>
    <row r="50" customFormat="false" ht="15" hidden="false" customHeight="false" outlineLevel="0" collapsed="false">
      <c r="A50" s="1" t="s">
        <v>55</v>
      </c>
      <c r="B50" s="1" t="s">
        <v>56</v>
      </c>
      <c r="C50" s="1" t="s">
        <v>57</v>
      </c>
      <c r="D50" s="1" t="s">
        <v>19</v>
      </c>
      <c r="E50" s="1" t="s">
        <v>20</v>
      </c>
      <c r="F50" s="1" t="n">
        <v>20</v>
      </c>
      <c r="G50" s="2" t="s">
        <v>58</v>
      </c>
      <c r="H50" s="1" t="n">
        <v>0.1515</v>
      </c>
      <c r="I50" s="1" t="n">
        <v>0.279973439000068</v>
      </c>
      <c r="J50" s="1" t="n">
        <v>0.294657960681948</v>
      </c>
      <c r="K50" s="1" t="n">
        <f aca="false">J50-I50</f>
        <v>0.0146845216818797</v>
      </c>
      <c r="L50" s="1" t="n">
        <v>0.737754806838827</v>
      </c>
    </row>
    <row r="51" customFormat="false" ht="15" hidden="false" customHeight="false" outlineLevel="0" collapsed="false">
      <c r="A51" s="1" t="s">
        <v>55</v>
      </c>
      <c r="B51" s="1" t="s">
        <v>56</v>
      </c>
      <c r="C51" s="1" t="s">
        <v>57</v>
      </c>
      <c r="D51" s="1" t="s">
        <v>19</v>
      </c>
      <c r="E51" s="1" t="s">
        <v>20</v>
      </c>
      <c r="F51" s="1" t="n">
        <v>20</v>
      </c>
      <c r="G51" s="2" t="s">
        <v>59</v>
      </c>
      <c r="H51" s="1" t="n">
        <v>0.1477</v>
      </c>
      <c r="I51" s="1" t="n">
        <v>0.272989737699392</v>
      </c>
      <c r="J51" s="1" t="n">
        <v>0.301207551482156</v>
      </c>
      <c r="K51" s="1" t="n">
        <f aca="false">J51-I51</f>
        <v>0.0282178137827636</v>
      </c>
      <c r="L51" s="1" t="n">
        <v>0.737754806838827</v>
      </c>
    </row>
    <row r="52" customFormat="false" ht="15" hidden="false" customHeight="false" outlineLevel="0" collapsed="false">
      <c r="A52" s="1" t="s">
        <v>60</v>
      </c>
      <c r="B52" s="1" t="s">
        <v>61</v>
      </c>
      <c r="C52" s="1" t="s">
        <v>62</v>
      </c>
      <c r="D52" s="1" t="s">
        <v>19</v>
      </c>
      <c r="E52" s="1" t="s">
        <v>20</v>
      </c>
      <c r="F52" s="1" t="n">
        <v>22</v>
      </c>
      <c r="G52" s="2" t="s">
        <v>21</v>
      </c>
      <c r="H52" s="1" t="n">
        <v>0.2199</v>
      </c>
      <c r="I52" s="1" t="n">
        <v>0.310904962058369</v>
      </c>
      <c r="J52" s="1" t="n">
        <v>0.452612619124667</v>
      </c>
      <c r="K52" s="1" t="n">
        <f aca="false">J52-I52</f>
        <v>0.141707657066298</v>
      </c>
      <c r="L52" s="1" t="n">
        <v>0.746932692465765</v>
      </c>
    </row>
    <row r="53" customFormat="false" ht="15" hidden="false" customHeight="false" outlineLevel="0" collapsed="false">
      <c r="A53" s="1" t="s">
        <v>60</v>
      </c>
      <c r="B53" s="1" t="s">
        <v>61</v>
      </c>
      <c r="C53" s="1" t="s">
        <v>62</v>
      </c>
      <c r="D53" s="1" t="s">
        <v>19</v>
      </c>
      <c r="E53" s="1" t="s">
        <v>20</v>
      </c>
      <c r="F53" s="1" t="n">
        <v>22</v>
      </c>
      <c r="G53" s="2" t="s">
        <v>38</v>
      </c>
      <c r="H53" s="1" t="n">
        <v>0.1766</v>
      </c>
      <c r="I53" s="1" t="n">
        <v>0.249696558574509</v>
      </c>
      <c r="J53" s="1" t="n">
        <v>0.36515397864676</v>
      </c>
      <c r="K53" s="1" t="n">
        <f aca="false">J53-I53</f>
        <v>0.115457420072251</v>
      </c>
      <c r="L53" s="1" t="n">
        <v>0.746932692465765</v>
      </c>
    </row>
    <row r="54" customFormat="false" ht="15" hidden="false" customHeight="false" outlineLevel="0" collapsed="false">
      <c r="A54" s="1" t="s">
        <v>60</v>
      </c>
      <c r="B54" s="1" t="s">
        <v>61</v>
      </c>
      <c r="C54" s="1" t="s">
        <v>62</v>
      </c>
      <c r="D54" s="1" t="s">
        <v>19</v>
      </c>
      <c r="E54" s="1" t="s">
        <v>20</v>
      </c>
      <c r="F54" s="1" t="n">
        <v>22</v>
      </c>
      <c r="G54" s="2" t="s">
        <v>34</v>
      </c>
      <c r="H54" s="1" t="n">
        <v>0.1758</v>
      </c>
      <c r="I54" s="1" t="n">
        <v>0.248485742466844</v>
      </c>
      <c r="J54" s="1" t="n">
        <v>0.292163763509792</v>
      </c>
      <c r="K54" s="1" t="n">
        <f aca="false">J54-I54</f>
        <v>0.0436780210429485</v>
      </c>
      <c r="L54" s="1" t="n">
        <v>0.746932692465765</v>
      </c>
    </row>
    <row r="55" customFormat="false" ht="15" hidden="false" customHeight="false" outlineLevel="0" collapsed="false">
      <c r="A55" s="1" t="s">
        <v>60</v>
      </c>
      <c r="B55" s="1" t="s">
        <v>61</v>
      </c>
      <c r="C55" s="1" t="s">
        <v>62</v>
      </c>
      <c r="D55" s="1" t="s">
        <v>19</v>
      </c>
      <c r="E55" s="1" t="s">
        <v>20</v>
      </c>
      <c r="F55" s="1" t="n">
        <v>22</v>
      </c>
      <c r="G55" s="2" t="s">
        <v>30</v>
      </c>
      <c r="H55" s="1" t="n">
        <v>0.1646</v>
      </c>
      <c r="I55" s="1" t="n">
        <v>0.232741001289062</v>
      </c>
      <c r="J55" s="1" t="n">
        <v>0.329002429121054</v>
      </c>
      <c r="K55" s="1" t="n">
        <f aca="false">J55-I55</f>
        <v>0.0962614278319919</v>
      </c>
      <c r="L55" s="1" t="n">
        <v>0.746932692465765</v>
      </c>
    </row>
    <row r="56" customFormat="false" ht="15" hidden="false" customHeight="false" outlineLevel="0" collapsed="false">
      <c r="A56" s="1" t="s">
        <v>60</v>
      </c>
      <c r="B56" s="1" t="s">
        <v>61</v>
      </c>
      <c r="C56" s="1" t="s">
        <v>62</v>
      </c>
      <c r="D56" s="1" t="s">
        <v>19</v>
      </c>
      <c r="E56" s="1" t="s">
        <v>20</v>
      </c>
      <c r="F56" s="1" t="n">
        <v>22</v>
      </c>
      <c r="G56" s="2" t="s">
        <v>39</v>
      </c>
      <c r="H56" s="1" t="n">
        <v>0.163</v>
      </c>
      <c r="I56" s="1" t="n">
        <v>0.230485377024958</v>
      </c>
      <c r="J56" s="1" t="n">
        <v>0.3180074012144</v>
      </c>
      <c r="K56" s="1" t="n">
        <f aca="false">J56-I56</f>
        <v>0.0875220241894423</v>
      </c>
      <c r="L56" s="1" t="n">
        <v>0.746932692465765</v>
      </c>
    </row>
    <row r="57" customFormat="false" ht="15" hidden="false" customHeight="false" outlineLevel="0" collapsed="false">
      <c r="A57" s="1" t="s">
        <v>60</v>
      </c>
      <c r="B57" s="1" t="s">
        <v>61</v>
      </c>
      <c r="C57" s="1" t="s">
        <v>62</v>
      </c>
      <c r="D57" s="1" t="s">
        <v>19</v>
      </c>
      <c r="E57" s="1" t="s">
        <v>20</v>
      </c>
      <c r="F57" s="1" t="n">
        <v>22</v>
      </c>
      <c r="G57" s="2" t="s">
        <v>22</v>
      </c>
      <c r="H57" s="1" t="n">
        <v>0.1</v>
      </c>
      <c r="I57" s="1" t="n">
        <v>0.198011416121484</v>
      </c>
      <c r="J57" s="1" t="n">
        <v>0.302395251855524</v>
      </c>
      <c r="K57" s="1" t="n">
        <f aca="false">J57-I57</f>
        <v>0.10438383573404</v>
      </c>
      <c r="L57" s="1" t="n">
        <v>0.746932692465765</v>
      </c>
    </row>
    <row r="58" customFormat="false" ht="15" hidden="false" customHeight="false" outlineLevel="0" collapsed="false">
      <c r="A58" s="1" t="s">
        <v>63</v>
      </c>
      <c r="B58" s="1" t="s">
        <v>64</v>
      </c>
      <c r="C58" s="1" t="s">
        <v>65</v>
      </c>
      <c r="D58" s="1" t="s">
        <v>19</v>
      </c>
      <c r="E58" s="1" t="s">
        <v>20</v>
      </c>
      <c r="F58" s="1" t="n">
        <v>24</v>
      </c>
      <c r="G58" s="2" t="s">
        <v>21</v>
      </c>
      <c r="H58" s="1" t="n">
        <v>0.2374</v>
      </c>
      <c r="I58" s="1" t="n">
        <v>0.315294865635716</v>
      </c>
      <c r="J58" s="1" t="n">
        <v>0.427994152993603</v>
      </c>
      <c r="K58" s="1" t="n">
        <f aca="false">J58-I58</f>
        <v>0.112699287357887</v>
      </c>
      <c r="L58" s="1" t="n">
        <v>0.743211804362939</v>
      </c>
    </row>
    <row r="59" customFormat="false" ht="15" hidden="false" customHeight="false" outlineLevel="0" collapsed="false">
      <c r="A59" s="1" t="s">
        <v>63</v>
      </c>
      <c r="B59" s="1" t="s">
        <v>64</v>
      </c>
      <c r="C59" s="1" t="s">
        <v>65</v>
      </c>
      <c r="D59" s="1" t="s">
        <v>19</v>
      </c>
      <c r="E59" s="1" t="s">
        <v>20</v>
      </c>
      <c r="F59" s="1" t="n">
        <v>24</v>
      </c>
      <c r="G59" s="2" t="s">
        <v>30</v>
      </c>
      <c r="H59" s="1" t="n">
        <v>0.1839</v>
      </c>
      <c r="I59" s="1" t="n">
        <v>0.24422509763859</v>
      </c>
      <c r="J59" s="1" t="n">
        <v>0.334708000656063</v>
      </c>
      <c r="K59" s="1" t="n">
        <f aca="false">J59-I59</f>
        <v>0.0904829030174735</v>
      </c>
      <c r="L59" s="1" t="n">
        <v>0.743211804362939</v>
      </c>
    </row>
    <row r="60" customFormat="false" ht="15" hidden="false" customHeight="false" outlineLevel="0" collapsed="false">
      <c r="A60" s="1" t="s">
        <v>63</v>
      </c>
      <c r="B60" s="1" t="s">
        <v>64</v>
      </c>
      <c r="C60" s="1" t="s">
        <v>65</v>
      </c>
      <c r="D60" s="1" t="s">
        <v>19</v>
      </c>
      <c r="E60" s="1" t="s">
        <v>20</v>
      </c>
      <c r="F60" s="1" t="n">
        <v>24</v>
      </c>
      <c r="G60" s="2" t="s">
        <v>38</v>
      </c>
      <c r="H60" s="1" t="n">
        <v>0.1613</v>
      </c>
      <c r="I60" s="1" t="n">
        <v>0.214270773273548</v>
      </c>
      <c r="J60" s="1" t="n">
        <v>0.320224420955655</v>
      </c>
      <c r="K60" s="1" t="n">
        <f aca="false">J60-I60</f>
        <v>0.105953647682106</v>
      </c>
      <c r="L60" s="1" t="n">
        <v>0.743211804362939</v>
      </c>
    </row>
    <row r="61" customFormat="false" ht="15" hidden="false" customHeight="false" outlineLevel="0" collapsed="false">
      <c r="A61" s="1" t="s">
        <v>63</v>
      </c>
      <c r="B61" s="1" t="s">
        <v>64</v>
      </c>
      <c r="C61" s="1" t="s">
        <v>65</v>
      </c>
      <c r="D61" s="1" t="s">
        <v>19</v>
      </c>
      <c r="E61" s="1" t="s">
        <v>20</v>
      </c>
      <c r="F61" s="1" t="n">
        <v>24</v>
      </c>
      <c r="G61" s="2" t="s">
        <v>29</v>
      </c>
      <c r="H61" s="1" t="n">
        <v>0.1598</v>
      </c>
      <c r="I61" s="1" t="n">
        <v>0.212267622752352</v>
      </c>
      <c r="J61" s="1" t="n">
        <v>0.311978551403778</v>
      </c>
      <c r="K61" s="1" t="n">
        <f aca="false">J61-I61</f>
        <v>0.0997109286514266</v>
      </c>
      <c r="L61" s="1" t="n">
        <v>0.743211804362939</v>
      </c>
    </row>
    <row r="62" customFormat="false" ht="15" hidden="false" customHeight="false" outlineLevel="0" collapsed="false">
      <c r="A62" s="1" t="s">
        <v>63</v>
      </c>
      <c r="B62" s="1" t="s">
        <v>64</v>
      </c>
      <c r="C62" s="1" t="s">
        <v>65</v>
      </c>
      <c r="D62" s="1" t="s">
        <v>19</v>
      </c>
      <c r="E62" s="1" t="s">
        <v>20</v>
      </c>
      <c r="F62" s="1" t="n">
        <v>24</v>
      </c>
      <c r="G62" s="2" t="s">
        <v>59</v>
      </c>
      <c r="H62" s="1" t="n">
        <v>0.1577</v>
      </c>
      <c r="I62" s="1" t="n">
        <v>0.209438574146214</v>
      </c>
      <c r="J62" s="1" t="n">
        <v>0.313751564787126</v>
      </c>
      <c r="K62" s="1" t="n">
        <f aca="false">J62-I62</f>
        <v>0.104312990640912</v>
      </c>
      <c r="L62" s="1" t="n">
        <v>0.743211804362939</v>
      </c>
    </row>
    <row r="63" customFormat="false" ht="15" hidden="false" customHeight="false" outlineLevel="0" collapsed="false">
      <c r="A63" s="1" t="s">
        <v>63</v>
      </c>
      <c r="B63" s="1" t="s">
        <v>64</v>
      </c>
      <c r="C63" s="1" t="s">
        <v>65</v>
      </c>
      <c r="D63" s="1" t="s">
        <v>19</v>
      </c>
      <c r="E63" s="1" t="s">
        <v>20</v>
      </c>
      <c r="F63" s="1" t="n">
        <v>24</v>
      </c>
      <c r="G63" s="2" t="s">
        <v>22</v>
      </c>
      <c r="H63" s="1" t="n">
        <v>0.1</v>
      </c>
      <c r="I63" s="1" t="n">
        <v>0.196559975605723</v>
      </c>
      <c r="J63" s="1" t="n">
        <v>0.309028347238486</v>
      </c>
      <c r="K63" s="1" t="n">
        <f aca="false">J63-I63</f>
        <v>0.112468371632763</v>
      </c>
      <c r="L63" s="1" t="n">
        <v>0.743211804362939</v>
      </c>
    </row>
    <row r="64" customFormat="false" ht="15" hidden="false" customHeight="false" outlineLevel="0" collapsed="false">
      <c r="A64" s="1" t="s">
        <v>66</v>
      </c>
      <c r="B64" s="1" t="s">
        <v>67</v>
      </c>
      <c r="C64" s="1" t="s">
        <v>68</v>
      </c>
      <c r="D64" s="1" t="s">
        <v>19</v>
      </c>
      <c r="E64" s="1" t="s">
        <v>20</v>
      </c>
      <c r="F64" s="1" t="n">
        <v>26</v>
      </c>
      <c r="G64" s="2" t="s">
        <v>21</v>
      </c>
      <c r="H64" s="1" t="n">
        <v>0.2332</v>
      </c>
      <c r="I64" s="1" t="n">
        <v>0.375288216459024</v>
      </c>
      <c r="J64" s="1" t="n">
        <v>0.507253629630258</v>
      </c>
      <c r="K64" s="1" t="n">
        <f aca="false">J64-I64</f>
        <v>0.131965413171234</v>
      </c>
      <c r="L64" s="1" t="n">
        <v>0.753566163309058</v>
      </c>
    </row>
    <row r="65" customFormat="false" ht="15" hidden="false" customHeight="false" outlineLevel="0" collapsed="false">
      <c r="A65" s="1" t="s">
        <v>66</v>
      </c>
      <c r="B65" s="1" t="s">
        <v>67</v>
      </c>
      <c r="C65" s="1" t="s">
        <v>68</v>
      </c>
      <c r="D65" s="1" t="s">
        <v>19</v>
      </c>
      <c r="E65" s="1" t="s">
        <v>20</v>
      </c>
      <c r="F65" s="1" t="n">
        <v>26</v>
      </c>
      <c r="G65" s="2" t="s">
        <v>30</v>
      </c>
      <c r="H65" s="1" t="n">
        <v>0.1705</v>
      </c>
      <c r="I65" s="1" t="n">
        <v>0.274372852736811</v>
      </c>
      <c r="J65" s="1" t="n">
        <v>0.33570331184281</v>
      </c>
      <c r="K65" s="1" t="n">
        <f aca="false">J65-I65</f>
        <v>0.0613304591059988</v>
      </c>
      <c r="L65" s="1" t="n">
        <v>0.753566163309058</v>
      </c>
    </row>
    <row r="66" customFormat="false" ht="15" hidden="false" customHeight="false" outlineLevel="0" collapsed="false">
      <c r="A66" s="1" t="s">
        <v>66</v>
      </c>
      <c r="B66" s="1" t="s">
        <v>67</v>
      </c>
      <c r="C66" s="1" t="s">
        <v>68</v>
      </c>
      <c r="D66" s="1" t="s">
        <v>19</v>
      </c>
      <c r="E66" s="1" t="s">
        <v>20</v>
      </c>
      <c r="F66" s="1" t="n">
        <v>26</v>
      </c>
      <c r="G66" s="2" t="s">
        <v>34</v>
      </c>
      <c r="H66" s="1" t="n">
        <v>0.1697</v>
      </c>
      <c r="I66" s="1" t="n">
        <v>0.273145686845983</v>
      </c>
      <c r="J66" s="1" t="n">
        <v>0.342984511780696</v>
      </c>
      <c r="K66" s="1" t="n">
        <f aca="false">J66-I66</f>
        <v>0.0698388249347128</v>
      </c>
      <c r="L66" s="1" t="n">
        <v>0.753566163309058</v>
      </c>
    </row>
    <row r="67" customFormat="false" ht="15" hidden="false" customHeight="false" outlineLevel="0" collapsed="false">
      <c r="A67" s="1" t="s">
        <v>66</v>
      </c>
      <c r="B67" s="1" t="s">
        <v>67</v>
      </c>
      <c r="C67" s="1" t="s">
        <v>68</v>
      </c>
      <c r="D67" s="1" t="s">
        <v>19</v>
      </c>
      <c r="E67" s="1" t="s">
        <v>20</v>
      </c>
      <c r="F67" s="1" t="n">
        <v>26</v>
      </c>
      <c r="G67" s="2" t="s">
        <v>59</v>
      </c>
      <c r="H67" s="1" t="n">
        <v>0.1654</v>
      </c>
      <c r="I67" s="1" t="n">
        <v>0.266284328327791</v>
      </c>
      <c r="J67" s="1" t="n">
        <v>0.308535270688883</v>
      </c>
      <c r="K67" s="1" t="n">
        <f aca="false">J67-I67</f>
        <v>0.0422509423610915</v>
      </c>
      <c r="L67" s="1" t="n">
        <v>0.753566163309058</v>
      </c>
    </row>
    <row r="68" customFormat="false" ht="15" hidden="false" customHeight="false" outlineLevel="0" collapsed="false">
      <c r="A68" s="1" t="s">
        <v>66</v>
      </c>
      <c r="B68" s="1" t="s">
        <v>67</v>
      </c>
      <c r="C68" s="1" t="s">
        <v>68</v>
      </c>
      <c r="D68" s="1" t="s">
        <v>19</v>
      </c>
      <c r="E68" s="1" t="s">
        <v>20</v>
      </c>
      <c r="F68" s="1" t="n">
        <v>26</v>
      </c>
      <c r="G68" s="2" t="s">
        <v>29</v>
      </c>
      <c r="H68" s="1" t="n">
        <v>0.1612</v>
      </c>
      <c r="I68" s="1" t="n">
        <v>0.259536648413872</v>
      </c>
      <c r="J68" s="1" t="n">
        <v>0.356284979211671</v>
      </c>
      <c r="K68" s="1" t="n">
        <f aca="false">J68-I68</f>
        <v>0.0967483307977983</v>
      </c>
      <c r="L68" s="1" t="n">
        <v>0.753566163309058</v>
      </c>
    </row>
    <row r="69" customFormat="false" ht="15" hidden="false" customHeight="false" outlineLevel="0" collapsed="false">
      <c r="A69" s="1" t="s">
        <v>66</v>
      </c>
      <c r="B69" s="1" t="s">
        <v>67</v>
      </c>
      <c r="C69" s="1" t="s">
        <v>68</v>
      </c>
      <c r="D69" s="1" t="s">
        <v>19</v>
      </c>
      <c r="E69" s="1" t="s">
        <v>20</v>
      </c>
      <c r="F69" s="1" t="n">
        <v>26</v>
      </c>
      <c r="G69" s="2" t="s">
        <v>22</v>
      </c>
      <c r="H69" s="1" t="n">
        <v>0.1</v>
      </c>
      <c r="I69" s="1" t="n">
        <v>0.249177801891142</v>
      </c>
      <c r="J69" s="1" t="n">
        <v>0.33493389780697</v>
      </c>
      <c r="K69" s="1" t="n">
        <f aca="false">J69-I69</f>
        <v>0.0857560959158283</v>
      </c>
      <c r="L69" s="1" t="n">
        <v>0.753566163309058</v>
      </c>
    </row>
    <row r="70" customFormat="false" ht="15" hidden="false" customHeight="false" outlineLevel="0" collapsed="false">
      <c r="A70" s="1" t="s">
        <v>69</v>
      </c>
      <c r="B70" s="1" t="s">
        <v>70</v>
      </c>
      <c r="C70" s="1" t="s">
        <v>71</v>
      </c>
      <c r="D70" s="1" t="s">
        <v>19</v>
      </c>
      <c r="E70" s="1" t="s">
        <v>20</v>
      </c>
      <c r="F70" s="1" t="n">
        <v>28</v>
      </c>
      <c r="G70" s="2" t="s">
        <v>21</v>
      </c>
      <c r="H70" s="1" t="n">
        <v>0.2165</v>
      </c>
      <c r="I70" s="1" t="n">
        <v>0.399392407103799</v>
      </c>
      <c r="J70" s="1" t="n">
        <v>0.4543303000133</v>
      </c>
      <c r="K70" s="1" t="n">
        <f aca="false">J70-I70</f>
        <v>0.0549378929095015</v>
      </c>
      <c r="L70" s="1" t="n">
        <v>0.679573608456161</v>
      </c>
    </row>
    <row r="71" customFormat="false" ht="15" hidden="false" customHeight="false" outlineLevel="0" collapsed="false">
      <c r="A71" s="1" t="s">
        <v>69</v>
      </c>
      <c r="B71" s="1" t="s">
        <v>70</v>
      </c>
      <c r="C71" s="1" t="s">
        <v>71</v>
      </c>
      <c r="D71" s="1" t="s">
        <v>19</v>
      </c>
      <c r="E71" s="1" t="s">
        <v>20</v>
      </c>
      <c r="F71" s="1" t="n">
        <v>28</v>
      </c>
      <c r="G71" s="2" t="s">
        <v>30</v>
      </c>
      <c r="H71" s="1" t="n">
        <v>0.1694</v>
      </c>
      <c r="I71" s="1" t="n">
        <v>0.312565036211898</v>
      </c>
      <c r="J71" s="1" t="n">
        <v>0.34388348481521</v>
      </c>
      <c r="K71" s="1" t="n">
        <f aca="false">J71-I71</f>
        <v>0.031318448603312</v>
      </c>
      <c r="L71" s="1" t="n">
        <v>0.679573608456161</v>
      </c>
    </row>
    <row r="72" customFormat="false" ht="15" hidden="false" customHeight="false" outlineLevel="0" collapsed="false">
      <c r="A72" s="1" t="s">
        <v>69</v>
      </c>
      <c r="B72" s="1" t="s">
        <v>70</v>
      </c>
      <c r="C72" s="1" t="s">
        <v>71</v>
      </c>
      <c r="D72" s="1" t="s">
        <v>19</v>
      </c>
      <c r="E72" s="1" t="s">
        <v>20</v>
      </c>
      <c r="F72" s="1" t="n">
        <v>28</v>
      </c>
      <c r="G72" s="2" t="s">
        <v>38</v>
      </c>
      <c r="H72" s="1" t="n">
        <v>0.1608</v>
      </c>
      <c r="I72" s="1" t="n">
        <v>0.296691772195307</v>
      </c>
      <c r="J72" s="1" t="n">
        <v>0.321375839680367</v>
      </c>
      <c r="K72" s="1" t="n">
        <f aca="false">J72-I72</f>
        <v>0.0246840674850604</v>
      </c>
      <c r="L72" s="1" t="n">
        <v>0.679573608456161</v>
      </c>
    </row>
    <row r="73" customFormat="false" ht="15" hidden="false" customHeight="false" outlineLevel="0" collapsed="false">
      <c r="A73" s="1" t="s">
        <v>69</v>
      </c>
      <c r="B73" s="1" t="s">
        <v>70</v>
      </c>
      <c r="C73" s="1" t="s">
        <v>71</v>
      </c>
      <c r="D73" s="1" t="s">
        <v>19</v>
      </c>
      <c r="E73" s="1" t="s">
        <v>20</v>
      </c>
      <c r="F73" s="1" t="n">
        <v>28</v>
      </c>
      <c r="G73" s="2" t="s">
        <v>29</v>
      </c>
      <c r="H73" s="1" t="n">
        <v>0.1568</v>
      </c>
      <c r="I73" s="1" t="n">
        <v>0.289266253284628</v>
      </c>
      <c r="J73" s="1" t="n">
        <v>0.325700190356896</v>
      </c>
      <c r="K73" s="1" t="n">
        <f aca="false">J73-I73</f>
        <v>0.0364339370722676</v>
      </c>
      <c r="L73" s="1" t="n">
        <v>0.679573608456161</v>
      </c>
    </row>
    <row r="74" customFormat="false" ht="15" hidden="false" customHeight="false" outlineLevel="0" collapsed="false">
      <c r="A74" s="1" t="s">
        <v>69</v>
      </c>
      <c r="B74" s="1" t="s">
        <v>70</v>
      </c>
      <c r="C74" s="1" t="s">
        <v>71</v>
      </c>
      <c r="D74" s="1" t="s">
        <v>19</v>
      </c>
      <c r="E74" s="1" t="s">
        <v>20</v>
      </c>
      <c r="F74" s="1" t="n">
        <v>28</v>
      </c>
      <c r="G74" s="2" t="s">
        <v>34</v>
      </c>
      <c r="H74" s="1" t="n">
        <v>0.1508</v>
      </c>
      <c r="I74" s="1" t="n">
        <v>0.278190638802876</v>
      </c>
      <c r="J74" s="1" t="n">
        <v>0.303268346609615</v>
      </c>
      <c r="K74" s="1" t="n">
        <f aca="false">J74-I74</f>
        <v>0.025077707806739</v>
      </c>
      <c r="L74" s="1" t="n">
        <v>0.679573608456161</v>
      </c>
    </row>
    <row r="75" customFormat="false" ht="15" hidden="false" customHeight="false" outlineLevel="0" collapsed="false">
      <c r="A75" s="1" t="s">
        <v>69</v>
      </c>
      <c r="B75" s="1" t="s">
        <v>70</v>
      </c>
      <c r="C75" s="1" t="s">
        <v>71</v>
      </c>
      <c r="D75" s="1" t="s">
        <v>19</v>
      </c>
      <c r="E75" s="1" t="s">
        <v>20</v>
      </c>
      <c r="F75" s="1" t="n">
        <v>28</v>
      </c>
      <c r="G75" s="2" t="s">
        <v>22</v>
      </c>
      <c r="H75" s="1" t="n">
        <v>0.1457</v>
      </c>
      <c r="I75" s="1" t="n">
        <v>0.268717081710012</v>
      </c>
      <c r="J75" s="1" t="n">
        <v>0.350818015183782</v>
      </c>
      <c r="K75" s="1" t="n">
        <f aca="false">J75-I75</f>
        <v>0.0821009334737701</v>
      </c>
      <c r="L75" s="1" t="n">
        <v>0.679573608456161</v>
      </c>
    </row>
    <row r="76" customFormat="false" ht="15" hidden="false" customHeight="false" outlineLevel="0" collapsed="false">
      <c r="A76" s="1" t="s">
        <v>72</v>
      </c>
      <c r="B76" s="1" t="s">
        <v>73</v>
      </c>
      <c r="C76" s="1" t="s">
        <v>74</v>
      </c>
      <c r="D76" s="1" t="s">
        <v>19</v>
      </c>
      <c r="E76" s="1" t="s">
        <v>20</v>
      </c>
      <c r="F76" s="1" t="n">
        <v>30</v>
      </c>
      <c r="G76" s="2" t="s">
        <v>22</v>
      </c>
      <c r="H76" s="1" t="n">
        <v>0.1953</v>
      </c>
      <c r="I76" s="1" t="n">
        <v>0.361288983637447</v>
      </c>
      <c r="J76" s="1" t="n">
        <v>0.432116760740514</v>
      </c>
      <c r="K76" s="1" t="n">
        <f aca="false">J76-I76</f>
        <v>0.0708277771030671</v>
      </c>
      <c r="L76" s="1" t="n">
        <v>0.732606769576746</v>
      </c>
    </row>
    <row r="77" customFormat="false" ht="15" hidden="false" customHeight="false" outlineLevel="0" collapsed="false">
      <c r="A77" s="1" t="s">
        <v>72</v>
      </c>
      <c r="B77" s="1" t="s">
        <v>73</v>
      </c>
      <c r="C77" s="1" t="s">
        <v>74</v>
      </c>
      <c r="D77" s="1" t="s">
        <v>19</v>
      </c>
      <c r="E77" s="1" t="s">
        <v>20</v>
      </c>
      <c r="F77" s="1" t="n">
        <v>30</v>
      </c>
      <c r="G77" s="2" t="s">
        <v>21</v>
      </c>
      <c r="H77" s="1" t="n">
        <v>0.192</v>
      </c>
      <c r="I77" s="1" t="n">
        <v>0.35514496511388</v>
      </c>
      <c r="J77" s="1" t="n">
        <v>0.420807931111792</v>
      </c>
      <c r="K77" s="1" t="n">
        <f aca="false">J77-I77</f>
        <v>0.0656629659979125</v>
      </c>
      <c r="L77" s="1" t="n">
        <v>0.732606769576746</v>
      </c>
    </row>
    <row r="78" customFormat="false" ht="15" hidden="false" customHeight="false" outlineLevel="0" collapsed="false">
      <c r="A78" s="1" t="s">
        <v>72</v>
      </c>
      <c r="B78" s="1" t="s">
        <v>73</v>
      </c>
      <c r="C78" s="1" t="s">
        <v>74</v>
      </c>
      <c r="D78" s="1" t="s">
        <v>19</v>
      </c>
      <c r="E78" s="1" t="s">
        <v>20</v>
      </c>
      <c r="F78" s="1" t="n">
        <v>30</v>
      </c>
      <c r="G78" s="2" t="s">
        <v>30</v>
      </c>
      <c r="H78" s="1" t="n">
        <v>0.162</v>
      </c>
      <c r="I78" s="1" t="n">
        <v>0.299658026509014</v>
      </c>
      <c r="J78" s="1" t="n">
        <v>0.349475216343076</v>
      </c>
      <c r="K78" s="1" t="n">
        <f aca="false">J78-I78</f>
        <v>0.0498171898340624</v>
      </c>
      <c r="L78" s="1" t="n">
        <v>0.732606769576746</v>
      </c>
    </row>
    <row r="79" customFormat="false" ht="15" hidden="false" customHeight="false" outlineLevel="0" collapsed="false">
      <c r="A79" s="1" t="s">
        <v>72</v>
      </c>
      <c r="B79" s="1" t="s">
        <v>73</v>
      </c>
      <c r="C79" s="1" t="s">
        <v>74</v>
      </c>
      <c r="D79" s="1" t="s">
        <v>19</v>
      </c>
      <c r="E79" s="1" t="s">
        <v>20</v>
      </c>
      <c r="F79" s="1" t="n">
        <v>30</v>
      </c>
      <c r="G79" s="2" t="s">
        <v>29</v>
      </c>
      <c r="H79" s="1" t="n">
        <v>0.1576</v>
      </c>
      <c r="I79" s="1" t="n">
        <v>0.291424160257018</v>
      </c>
      <c r="J79" s="1" t="n">
        <v>0.369450035543836</v>
      </c>
      <c r="K79" s="1" t="n">
        <f aca="false">J79-I79</f>
        <v>0.0780258752868179</v>
      </c>
      <c r="L79" s="1" t="n">
        <v>0.732606769576746</v>
      </c>
    </row>
    <row r="80" customFormat="false" ht="15" hidden="false" customHeight="false" outlineLevel="0" collapsed="false">
      <c r="A80" s="1" t="s">
        <v>72</v>
      </c>
      <c r="B80" s="1" t="s">
        <v>73</v>
      </c>
      <c r="C80" s="1" t="s">
        <v>74</v>
      </c>
      <c r="D80" s="1" t="s">
        <v>19</v>
      </c>
      <c r="E80" s="1" t="s">
        <v>20</v>
      </c>
      <c r="F80" s="1" t="n">
        <v>30</v>
      </c>
      <c r="G80" s="2" t="s">
        <v>38</v>
      </c>
      <c r="H80" s="1" t="n">
        <v>0.152</v>
      </c>
      <c r="I80" s="1" t="n">
        <v>0.281169940270435</v>
      </c>
      <c r="J80" s="1" t="n">
        <v>0.367594637574705</v>
      </c>
      <c r="K80" s="1" t="n">
        <f aca="false">J80-I80</f>
        <v>0.0864246973042703</v>
      </c>
      <c r="L80" s="1" t="n">
        <v>0.732606769576746</v>
      </c>
    </row>
    <row r="81" customFormat="false" ht="15" hidden="false" customHeight="false" outlineLevel="0" collapsed="false">
      <c r="A81" s="1" t="s">
        <v>72</v>
      </c>
      <c r="B81" s="1" t="s">
        <v>73</v>
      </c>
      <c r="C81" s="1" t="s">
        <v>74</v>
      </c>
      <c r="D81" s="1" t="s">
        <v>19</v>
      </c>
      <c r="E81" s="1" t="s">
        <v>20</v>
      </c>
      <c r="F81" s="1" t="n">
        <v>30</v>
      </c>
      <c r="G81" s="2" t="s">
        <v>34</v>
      </c>
      <c r="H81" s="1" t="n">
        <v>0.141</v>
      </c>
      <c r="I81" s="1" t="n">
        <v>0.260879972257903</v>
      </c>
      <c r="J81" s="1" t="n">
        <v>0.332542937087951</v>
      </c>
      <c r="K81" s="1" t="n">
        <f aca="false">J81-I81</f>
        <v>0.0716629648300484</v>
      </c>
      <c r="L81" s="1" t="n">
        <v>0.732606769576746</v>
      </c>
    </row>
    <row r="82" customFormat="false" ht="15" hidden="false" customHeight="false" outlineLevel="0" collapsed="false">
      <c r="A82" s="1" t="s">
        <v>75</v>
      </c>
      <c r="B82" s="1" t="s">
        <v>76</v>
      </c>
      <c r="C82" s="1" t="s">
        <v>77</v>
      </c>
      <c r="D82" s="1" t="s">
        <v>19</v>
      </c>
      <c r="E82" s="1" t="s">
        <v>20</v>
      </c>
      <c r="F82" s="1" t="n">
        <v>32</v>
      </c>
      <c r="G82" s="2" t="s">
        <v>21</v>
      </c>
      <c r="H82" s="1" t="n">
        <v>0.196</v>
      </c>
      <c r="I82" s="1" t="n">
        <v>0.339070243788129</v>
      </c>
      <c r="J82" s="1" t="n">
        <v>0.4302555608923</v>
      </c>
      <c r="K82" s="1" t="n">
        <f aca="false">J82-I82</f>
        <v>0.0911853171041711</v>
      </c>
      <c r="L82" s="1" t="n">
        <v>0.750546686660056</v>
      </c>
    </row>
    <row r="83" customFormat="false" ht="15" hidden="false" customHeight="false" outlineLevel="0" collapsed="false">
      <c r="A83" s="1" t="s">
        <v>75</v>
      </c>
      <c r="B83" s="1" t="s">
        <v>76</v>
      </c>
      <c r="C83" s="1" t="s">
        <v>77</v>
      </c>
      <c r="D83" s="1" t="s">
        <v>19</v>
      </c>
      <c r="E83" s="1" t="s">
        <v>20</v>
      </c>
      <c r="F83" s="1" t="n">
        <v>32</v>
      </c>
      <c r="G83" s="2" t="s">
        <v>30</v>
      </c>
      <c r="H83" s="1" t="n">
        <v>0.1693</v>
      </c>
      <c r="I83" s="1" t="n">
        <v>0.292870572603555</v>
      </c>
      <c r="J83" s="1" t="n">
        <v>0.302371610660074</v>
      </c>
      <c r="K83" s="1" t="n">
        <f aca="false">J83-I83</f>
        <v>0.00950103805651897</v>
      </c>
      <c r="L83" s="1" t="n">
        <v>0.750546686660056</v>
      </c>
    </row>
    <row r="84" customFormat="false" ht="15" hidden="false" customHeight="false" outlineLevel="0" collapsed="false">
      <c r="A84" s="1" t="s">
        <v>75</v>
      </c>
      <c r="B84" s="1" t="s">
        <v>76</v>
      </c>
      <c r="C84" s="1" t="s">
        <v>77</v>
      </c>
      <c r="D84" s="1" t="s">
        <v>19</v>
      </c>
      <c r="E84" s="1" t="s">
        <v>20</v>
      </c>
      <c r="F84" s="1" t="n">
        <v>32</v>
      </c>
      <c r="G84" s="2" t="s">
        <v>22</v>
      </c>
      <c r="H84" s="1" t="n">
        <v>0.1683</v>
      </c>
      <c r="I84" s="1" t="n">
        <v>0.291105198890487</v>
      </c>
      <c r="J84" s="1" t="n">
        <v>0.309325910601898</v>
      </c>
      <c r="K84" s="1" t="n">
        <f aca="false">J84-I84</f>
        <v>0.0182207117114114</v>
      </c>
      <c r="L84" s="1" t="n">
        <v>0.750546686660056</v>
      </c>
    </row>
    <row r="85" customFormat="false" ht="15" hidden="false" customHeight="false" outlineLevel="0" collapsed="false">
      <c r="A85" s="1" t="s">
        <v>75</v>
      </c>
      <c r="B85" s="1" t="s">
        <v>76</v>
      </c>
      <c r="C85" s="1" t="s">
        <v>77</v>
      </c>
      <c r="D85" s="1" t="s">
        <v>19</v>
      </c>
      <c r="E85" s="1" t="s">
        <v>20</v>
      </c>
      <c r="F85" s="1" t="n">
        <v>32</v>
      </c>
      <c r="G85" s="2" t="s">
        <v>38</v>
      </c>
      <c r="H85" s="1" t="n">
        <v>0.1577</v>
      </c>
      <c r="I85" s="1" t="n">
        <v>0.272840118253916</v>
      </c>
      <c r="J85" s="1" t="n">
        <v>0.345054670009573</v>
      </c>
      <c r="K85" s="1" t="n">
        <f aca="false">J85-I85</f>
        <v>0.0722145517556572</v>
      </c>
      <c r="L85" s="1" t="n">
        <v>0.750546686660056</v>
      </c>
    </row>
    <row r="86" customFormat="false" ht="15" hidden="false" customHeight="false" outlineLevel="0" collapsed="false">
      <c r="A86" s="1" t="s">
        <v>75</v>
      </c>
      <c r="B86" s="1" t="s">
        <v>76</v>
      </c>
      <c r="C86" s="1" t="s">
        <v>77</v>
      </c>
      <c r="D86" s="1" t="s">
        <v>19</v>
      </c>
      <c r="E86" s="1" t="s">
        <v>20</v>
      </c>
      <c r="F86" s="1" t="n">
        <v>32</v>
      </c>
      <c r="G86" s="2" t="s">
        <v>39</v>
      </c>
      <c r="H86" s="1" t="n">
        <v>0.1546</v>
      </c>
      <c r="I86" s="1" t="n">
        <v>0.267533794689426</v>
      </c>
      <c r="J86" s="1" t="n">
        <v>0.343929073227602</v>
      </c>
      <c r="K86" s="1" t="n">
        <f aca="false">J86-I86</f>
        <v>0.0763952785381756</v>
      </c>
      <c r="L86" s="1" t="n">
        <v>0.750546686660056</v>
      </c>
    </row>
    <row r="87" customFormat="false" ht="15" hidden="false" customHeight="false" outlineLevel="0" collapsed="false">
      <c r="A87" s="1" t="s">
        <v>75</v>
      </c>
      <c r="B87" s="1" t="s">
        <v>76</v>
      </c>
      <c r="C87" s="1" t="s">
        <v>77</v>
      </c>
      <c r="D87" s="1" t="s">
        <v>19</v>
      </c>
      <c r="E87" s="1" t="s">
        <v>20</v>
      </c>
      <c r="F87" s="1" t="n">
        <v>32</v>
      </c>
      <c r="G87" s="2" t="s">
        <v>29</v>
      </c>
      <c r="H87" s="1" t="n">
        <v>0.1541</v>
      </c>
      <c r="I87" s="1" t="n">
        <v>0.266551511268181</v>
      </c>
      <c r="J87" s="1" t="n">
        <v>0.328836171981154</v>
      </c>
      <c r="K87" s="1" t="n">
        <f aca="false">J87-I87</f>
        <v>0.062284660712973</v>
      </c>
      <c r="L87" s="1" t="n">
        <v>0.750546686660056</v>
      </c>
    </row>
    <row r="88" customFormat="false" ht="15" hidden="false" customHeight="false" outlineLevel="0" collapsed="false">
      <c r="A88" s="1" t="s">
        <v>78</v>
      </c>
      <c r="B88" s="1" t="s">
        <v>79</v>
      </c>
      <c r="C88" s="1" t="s">
        <v>80</v>
      </c>
      <c r="D88" s="1" t="s">
        <v>19</v>
      </c>
      <c r="E88" s="1" t="s">
        <v>20</v>
      </c>
      <c r="F88" s="1" t="n">
        <v>34</v>
      </c>
      <c r="G88" s="2" t="s">
        <v>21</v>
      </c>
      <c r="H88" s="1" t="n">
        <v>0.2055</v>
      </c>
      <c r="I88" s="1" t="n">
        <v>0.298143424459526</v>
      </c>
      <c r="J88" s="1" t="n">
        <v>0.441364022217714</v>
      </c>
      <c r="K88" s="1" t="n">
        <f aca="false">J88-I88</f>
        <v>0.143220597758188</v>
      </c>
      <c r="L88" s="1" t="n">
        <v>0.737646756450336</v>
      </c>
    </row>
    <row r="89" customFormat="false" ht="15" hidden="false" customHeight="false" outlineLevel="0" collapsed="false">
      <c r="A89" s="1" t="s">
        <v>78</v>
      </c>
      <c r="B89" s="1" t="s">
        <v>79</v>
      </c>
      <c r="C89" s="1" t="s">
        <v>80</v>
      </c>
      <c r="D89" s="1" t="s">
        <v>19</v>
      </c>
      <c r="E89" s="1" t="s">
        <v>20</v>
      </c>
      <c r="F89" s="1" t="n">
        <v>34</v>
      </c>
      <c r="G89" s="2" t="s">
        <v>22</v>
      </c>
      <c r="H89" s="1" t="n">
        <v>0.1767</v>
      </c>
      <c r="I89" s="1" t="n">
        <v>0.256408956171321</v>
      </c>
      <c r="J89" s="1" t="n">
        <v>0.346542239808177</v>
      </c>
      <c r="K89" s="1" t="n">
        <f aca="false">J89-I89</f>
        <v>0.0901332836368552</v>
      </c>
      <c r="L89" s="1" t="n">
        <v>0.737646756450336</v>
      </c>
    </row>
    <row r="90" customFormat="false" ht="15" hidden="false" customHeight="false" outlineLevel="0" collapsed="false">
      <c r="A90" s="1" t="s">
        <v>78</v>
      </c>
      <c r="B90" s="1" t="s">
        <v>79</v>
      </c>
      <c r="C90" s="1" t="s">
        <v>80</v>
      </c>
      <c r="D90" s="1" t="s">
        <v>19</v>
      </c>
      <c r="E90" s="1" t="s">
        <v>20</v>
      </c>
      <c r="F90" s="1" t="n">
        <v>34</v>
      </c>
      <c r="G90" s="2" t="s">
        <v>29</v>
      </c>
      <c r="H90" s="1" t="n">
        <v>0.1578</v>
      </c>
      <c r="I90" s="1" t="n">
        <v>0.228929962092688</v>
      </c>
      <c r="J90" s="1" t="n">
        <v>0.339988892077701</v>
      </c>
      <c r="K90" s="1" t="n">
        <f aca="false">J90-I90</f>
        <v>0.111058929985013</v>
      </c>
      <c r="L90" s="1" t="n">
        <v>0.737646756450336</v>
      </c>
    </row>
    <row r="91" customFormat="false" ht="15" hidden="false" customHeight="false" outlineLevel="0" collapsed="false">
      <c r="A91" s="1" t="s">
        <v>78</v>
      </c>
      <c r="B91" s="1" t="s">
        <v>79</v>
      </c>
      <c r="C91" s="1" t="s">
        <v>80</v>
      </c>
      <c r="D91" s="1" t="s">
        <v>19</v>
      </c>
      <c r="E91" s="1" t="s">
        <v>20</v>
      </c>
      <c r="F91" s="1" t="n">
        <v>34</v>
      </c>
      <c r="G91" s="2" t="s">
        <v>30</v>
      </c>
      <c r="H91" s="1" t="n">
        <v>0.1547</v>
      </c>
      <c r="I91" s="1" t="n">
        <v>0.224385254186114</v>
      </c>
      <c r="J91" s="1" t="n">
        <v>0.368266052878049</v>
      </c>
      <c r="K91" s="1" t="n">
        <f aca="false">J91-I91</f>
        <v>0.143880798691936</v>
      </c>
      <c r="L91" s="1" t="n">
        <v>0.737646756450336</v>
      </c>
    </row>
    <row r="92" customFormat="false" ht="15" hidden="false" customHeight="false" outlineLevel="0" collapsed="false">
      <c r="A92" s="1" t="s">
        <v>78</v>
      </c>
      <c r="B92" s="1" t="s">
        <v>79</v>
      </c>
      <c r="C92" s="1" t="s">
        <v>80</v>
      </c>
      <c r="D92" s="1" t="s">
        <v>19</v>
      </c>
      <c r="E92" s="1" t="s">
        <v>20</v>
      </c>
      <c r="F92" s="1" t="n">
        <v>34</v>
      </c>
      <c r="G92" s="2" t="s">
        <v>59</v>
      </c>
      <c r="H92" s="1" t="n">
        <v>0.1539</v>
      </c>
      <c r="I92" s="1" t="n">
        <v>0.223198558030953</v>
      </c>
      <c r="J92" s="1" t="n">
        <v>0.368487193597223</v>
      </c>
      <c r="K92" s="1" t="n">
        <f aca="false">J92-I92</f>
        <v>0.14528863556627</v>
      </c>
      <c r="L92" s="1" t="n">
        <v>0.737646756450336</v>
      </c>
    </row>
    <row r="93" customFormat="false" ht="15" hidden="false" customHeight="false" outlineLevel="0" collapsed="false">
      <c r="A93" s="1" t="s">
        <v>78</v>
      </c>
      <c r="B93" s="1" t="s">
        <v>79</v>
      </c>
      <c r="C93" s="1" t="s">
        <v>80</v>
      </c>
      <c r="D93" s="1" t="s">
        <v>19</v>
      </c>
      <c r="E93" s="1" t="s">
        <v>20</v>
      </c>
      <c r="F93" s="1" t="n">
        <v>34</v>
      </c>
      <c r="G93" s="2" t="s">
        <v>81</v>
      </c>
      <c r="H93" s="1" t="n">
        <v>0.1514</v>
      </c>
      <c r="I93" s="1" t="n">
        <v>0.219653132145868</v>
      </c>
      <c r="J93" s="1" t="n">
        <v>0.312527051865777</v>
      </c>
      <c r="K93" s="1" t="n">
        <f aca="false">J93-I93</f>
        <v>0.0928739197199088</v>
      </c>
      <c r="L93" s="1" t="n">
        <v>0.737646756450336</v>
      </c>
    </row>
    <row r="94" customFormat="false" ht="15" hidden="false" customHeight="false" outlineLevel="0" collapsed="false">
      <c r="A94" s="1" t="s">
        <v>82</v>
      </c>
      <c r="B94" s="1" t="s">
        <v>83</v>
      </c>
      <c r="C94" s="1" t="s">
        <v>84</v>
      </c>
      <c r="D94" s="1" t="s">
        <v>19</v>
      </c>
      <c r="E94" s="1" t="s">
        <v>20</v>
      </c>
      <c r="F94" s="1" t="n">
        <v>36</v>
      </c>
      <c r="G94" s="2" t="s">
        <v>21</v>
      </c>
      <c r="H94" s="1" t="n">
        <v>0.2102</v>
      </c>
      <c r="I94" s="1" t="n">
        <v>0.363821287110281</v>
      </c>
      <c r="J94" s="1" t="n">
        <v>0.474024384529936</v>
      </c>
      <c r="K94" s="1" t="n">
        <f aca="false">J94-I94</f>
        <v>0.110203097419654</v>
      </c>
      <c r="L94" s="1" t="n">
        <v>0.770786882499805</v>
      </c>
    </row>
    <row r="95" customFormat="false" ht="15" hidden="false" customHeight="false" outlineLevel="0" collapsed="false">
      <c r="A95" s="1" t="s">
        <v>82</v>
      </c>
      <c r="B95" s="1" t="s">
        <v>83</v>
      </c>
      <c r="C95" s="1" t="s">
        <v>84</v>
      </c>
      <c r="D95" s="1" t="s">
        <v>19</v>
      </c>
      <c r="E95" s="1" t="s">
        <v>20</v>
      </c>
      <c r="F95" s="1" t="n">
        <v>36</v>
      </c>
      <c r="G95" s="2" t="s">
        <v>59</v>
      </c>
      <c r="H95" s="1" t="n">
        <v>0.1635</v>
      </c>
      <c r="I95" s="1" t="n">
        <v>0.282945182553224</v>
      </c>
      <c r="J95" s="1" t="n">
        <v>0.274045729806369</v>
      </c>
      <c r="K95" s="1" t="n">
        <f aca="false">J95-I95</f>
        <v>-0.008899452746855</v>
      </c>
      <c r="L95" s="1" t="n">
        <v>0.770786882499805</v>
      </c>
    </row>
    <row r="96" customFormat="false" ht="15" hidden="false" customHeight="false" outlineLevel="0" collapsed="false">
      <c r="A96" s="1" t="s">
        <v>82</v>
      </c>
      <c r="B96" s="1" t="s">
        <v>83</v>
      </c>
      <c r="C96" s="1" t="s">
        <v>84</v>
      </c>
      <c r="D96" s="1" t="s">
        <v>19</v>
      </c>
      <c r="E96" s="1" t="s">
        <v>20</v>
      </c>
      <c r="F96" s="1" t="n">
        <v>36</v>
      </c>
      <c r="G96" s="2" t="s">
        <v>30</v>
      </c>
      <c r="H96" s="1" t="n">
        <v>0.1633</v>
      </c>
      <c r="I96" s="1" t="n">
        <v>0.282575103746508</v>
      </c>
      <c r="J96" s="1" t="n">
        <v>0.290293416871805</v>
      </c>
      <c r="K96" s="1" t="n">
        <f aca="false">J96-I96</f>
        <v>0.00771831312529719</v>
      </c>
      <c r="L96" s="1" t="n">
        <v>0.770786882499805</v>
      </c>
    </row>
    <row r="97" customFormat="false" ht="15" hidden="false" customHeight="false" outlineLevel="0" collapsed="false">
      <c r="A97" s="1" t="s">
        <v>82</v>
      </c>
      <c r="B97" s="1" t="s">
        <v>83</v>
      </c>
      <c r="C97" s="1" t="s">
        <v>84</v>
      </c>
      <c r="D97" s="1" t="s">
        <v>19</v>
      </c>
      <c r="E97" s="1" t="s">
        <v>20</v>
      </c>
      <c r="F97" s="1" t="n">
        <v>36</v>
      </c>
      <c r="G97" s="2" t="s">
        <v>58</v>
      </c>
      <c r="H97" s="1" t="n">
        <v>0.1633</v>
      </c>
      <c r="I97" s="1" t="n">
        <v>0.282514650767947</v>
      </c>
      <c r="J97" s="1" t="n">
        <v>0.254830136528383</v>
      </c>
      <c r="K97" s="1" t="n">
        <f aca="false">J97-I97</f>
        <v>-0.0276845142395644</v>
      </c>
      <c r="L97" s="1" t="n">
        <v>0.770786882499805</v>
      </c>
    </row>
    <row r="98" customFormat="false" ht="15" hidden="false" customHeight="false" outlineLevel="0" collapsed="false">
      <c r="A98" s="1" t="s">
        <v>82</v>
      </c>
      <c r="B98" s="1" t="s">
        <v>83</v>
      </c>
      <c r="C98" s="1" t="s">
        <v>84</v>
      </c>
      <c r="D98" s="1" t="s">
        <v>19</v>
      </c>
      <c r="E98" s="1" t="s">
        <v>20</v>
      </c>
      <c r="F98" s="1" t="n">
        <v>36</v>
      </c>
      <c r="G98" s="2" t="s">
        <v>29</v>
      </c>
      <c r="H98" s="1" t="n">
        <v>0.1595</v>
      </c>
      <c r="I98" s="1" t="n">
        <v>0.276082469297844</v>
      </c>
      <c r="J98" s="1" t="n">
        <v>0.318468229401768</v>
      </c>
      <c r="K98" s="1" t="n">
        <f aca="false">J98-I98</f>
        <v>0.0423857601039239</v>
      </c>
      <c r="L98" s="1" t="n">
        <v>0.770786882499805</v>
      </c>
    </row>
    <row r="99" customFormat="false" ht="15" hidden="false" customHeight="false" outlineLevel="0" collapsed="false">
      <c r="A99" s="1" t="s">
        <v>82</v>
      </c>
      <c r="B99" s="1" t="s">
        <v>83</v>
      </c>
      <c r="C99" s="1" t="s">
        <v>84</v>
      </c>
      <c r="D99" s="1" t="s">
        <v>19</v>
      </c>
      <c r="E99" s="1" t="s">
        <v>20</v>
      </c>
      <c r="F99" s="1" t="n">
        <v>36</v>
      </c>
      <c r="G99" s="2" t="s">
        <v>22</v>
      </c>
      <c r="H99" s="1" t="n">
        <v>0.1401</v>
      </c>
      <c r="I99" s="1" t="n">
        <v>0.242503660288549</v>
      </c>
      <c r="J99" s="1" t="n">
        <v>0.268129809423691</v>
      </c>
      <c r="K99" s="1" t="n">
        <f aca="false">J99-I99</f>
        <v>0.0256261491351419</v>
      </c>
      <c r="L99" s="1" t="n">
        <v>0.770786882499805</v>
      </c>
    </row>
    <row r="100" customFormat="false" ht="15" hidden="false" customHeight="false" outlineLevel="0" collapsed="false">
      <c r="A100" s="1" t="s">
        <v>85</v>
      </c>
      <c r="B100" s="1" t="s">
        <v>86</v>
      </c>
      <c r="C100" s="1" t="s">
        <v>87</v>
      </c>
      <c r="D100" s="1" t="s">
        <v>19</v>
      </c>
      <c r="E100" s="1" t="s">
        <v>20</v>
      </c>
      <c r="F100" s="1" t="n">
        <v>38</v>
      </c>
      <c r="G100" s="2" t="s">
        <v>21</v>
      </c>
      <c r="H100" s="1" t="n">
        <v>0.311</v>
      </c>
      <c r="I100" s="1" t="n">
        <v>0.345272678635826</v>
      </c>
      <c r="J100" s="1" t="n">
        <v>0.388429629524554</v>
      </c>
      <c r="K100" s="1" t="n">
        <f aca="false">J100-I100</f>
        <v>0.0431569508887271</v>
      </c>
      <c r="L100" s="1" t="n">
        <v>0.749337452437493</v>
      </c>
    </row>
    <row r="101" customFormat="false" ht="15" hidden="false" customHeight="false" outlineLevel="0" collapsed="false">
      <c r="A101" s="1" t="s">
        <v>85</v>
      </c>
      <c r="B101" s="1" t="s">
        <v>86</v>
      </c>
      <c r="C101" s="1" t="s">
        <v>87</v>
      </c>
      <c r="D101" s="1" t="s">
        <v>19</v>
      </c>
      <c r="E101" s="1" t="s">
        <v>20</v>
      </c>
      <c r="F101" s="1" t="n">
        <v>38</v>
      </c>
      <c r="G101" s="2" t="s">
        <v>29</v>
      </c>
      <c r="H101" s="1" t="n">
        <v>0.2105</v>
      </c>
      <c r="I101" s="1" t="n">
        <v>0.233769160261384</v>
      </c>
      <c r="J101" s="1" t="n">
        <v>0.288782096379695</v>
      </c>
      <c r="K101" s="1" t="n">
        <f aca="false">J101-I101</f>
        <v>0.055012936118311</v>
      </c>
      <c r="L101" s="1" t="n">
        <v>0.749337452437493</v>
      </c>
    </row>
    <row r="102" customFormat="false" ht="15" hidden="false" customHeight="false" outlineLevel="0" collapsed="false">
      <c r="A102" s="1" t="s">
        <v>85</v>
      </c>
      <c r="B102" s="1" t="s">
        <v>86</v>
      </c>
      <c r="C102" s="1" t="s">
        <v>87</v>
      </c>
      <c r="D102" s="1" t="s">
        <v>19</v>
      </c>
      <c r="E102" s="1" t="s">
        <v>20</v>
      </c>
      <c r="F102" s="1" t="n">
        <v>38</v>
      </c>
      <c r="G102" s="2" t="s">
        <v>39</v>
      </c>
      <c r="H102" s="1" t="n">
        <v>0.1911</v>
      </c>
      <c r="I102" s="1" t="n">
        <v>0.212131080022107</v>
      </c>
      <c r="J102" s="1" t="n">
        <v>0.266109440935915</v>
      </c>
      <c r="K102" s="1" t="n">
        <f aca="false">J102-I102</f>
        <v>0.0539783609138074</v>
      </c>
      <c r="L102" s="1" t="n">
        <v>0.749337452437493</v>
      </c>
    </row>
    <row r="103" customFormat="false" ht="15" hidden="false" customHeight="false" outlineLevel="0" collapsed="false">
      <c r="A103" s="1" t="s">
        <v>85</v>
      </c>
      <c r="B103" s="1" t="s">
        <v>86</v>
      </c>
      <c r="C103" s="1" t="s">
        <v>87</v>
      </c>
      <c r="D103" s="1" t="s">
        <v>19</v>
      </c>
      <c r="E103" s="1" t="s">
        <v>20</v>
      </c>
      <c r="F103" s="1" t="n">
        <v>38</v>
      </c>
      <c r="G103" s="2" t="s">
        <v>38</v>
      </c>
      <c r="H103" s="1" t="n">
        <v>0.1874</v>
      </c>
      <c r="I103" s="1" t="n">
        <v>0.208085989144134</v>
      </c>
      <c r="J103" s="1" t="n">
        <v>0.272767428099033</v>
      </c>
      <c r="K103" s="1" t="n">
        <f aca="false">J103-I103</f>
        <v>0.0646814389548992</v>
      </c>
      <c r="L103" s="1" t="n">
        <v>0.749337452437493</v>
      </c>
    </row>
    <row r="104" customFormat="false" ht="15" hidden="false" customHeight="false" outlineLevel="0" collapsed="false">
      <c r="A104" s="1" t="s">
        <v>85</v>
      </c>
      <c r="B104" s="1" t="s">
        <v>86</v>
      </c>
      <c r="C104" s="1" t="s">
        <v>87</v>
      </c>
      <c r="D104" s="1" t="s">
        <v>19</v>
      </c>
      <c r="E104" s="1" t="s">
        <v>20</v>
      </c>
      <c r="F104" s="1" t="n">
        <v>38</v>
      </c>
      <c r="G104" s="2" t="s">
        <v>22</v>
      </c>
      <c r="H104" s="1" t="n">
        <v>0.1</v>
      </c>
      <c r="I104" s="1" t="n">
        <v>0.182253388513525</v>
      </c>
      <c r="J104" s="1" t="n">
        <v>0.2731044535347</v>
      </c>
      <c r="K104" s="1" t="n">
        <f aca="false">J104-I104</f>
        <v>0.0908510650211756</v>
      </c>
      <c r="L104" s="1" t="n">
        <v>0.749337452437493</v>
      </c>
    </row>
    <row r="105" customFormat="false" ht="15" hidden="false" customHeight="false" outlineLevel="0" collapsed="false">
      <c r="A105" s="1" t="s">
        <v>88</v>
      </c>
      <c r="B105" s="1" t="s">
        <v>89</v>
      </c>
      <c r="C105" s="1" t="s">
        <v>90</v>
      </c>
      <c r="D105" s="1" t="s">
        <v>19</v>
      </c>
      <c r="E105" s="1" t="s">
        <v>20</v>
      </c>
      <c r="F105" s="1" t="n">
        <v>40</v>
      </c>
      <c r="G105" s="2" t="s">
        <v>21</v>
      </c>
      <c r="H105" s="1" t="n">
        <v>0.2059</v>
      </c>
      <c r="I105" s="1" t="n">
        <v>0.364753003088167</v>
      </c>
      <c r="J105" s="1" t="n">
        <v>0.444789232194972</v>
      </c>
      <c r="K105" s="1" t="n">
        <f aca="false">J105-I105</f>
        <v>0.080036229106805</v>
      </c>
      <c r="L105" s="1" t="n">
        <v>0.676604991476922</v>
      </c>
    </row>
    <row r="106" customFormat="false" ht="15" hidden="false" customHeight="false" outlineLevel="0" collapsed="false">
      <c r="A106" s="1" t="s">
        <v>88</v>
      </c>
      <c r="B106" s="1" t="s">
        <v>89</v>
      </c>
      <c r="C106" s="1" t="s">
        <v>90</v>
      </c>
      <c r="D106" s="1" t="s">
        <v>19</v>
      </c>
      <c r="E106" s="1" t="s">
        <v>20</v>
      </c>
      <c r="F106" s="1" t="n">
        <v>40</v>
      </c>
      <c r="G106" s="2" t="s">
        <v>29</v>
      </c>
      <c r="H106" s="1" t="n">
        <v>0.1628</v>
      </c>
      <c r="I106" s="1" t="n">
        <v>0.288343296079762</v>
      </c>
      <c r="J106" s="1" t="n">
        <v>0.340624209807261</v>
      </c>
      <c r="K106" s="1" t="n">
        <f aca="false">J106-I106</f>
        <v>0.0522809137274983</v>
      </c>
      <c r="L106" s="1" t="n">
        <v>0.676604991476922</v>
      </c>
    </row>
    <row r="107" customFormat="false" ht="15" hidden="false" customHeight="false" outlineLevel="0" collapsed="false">
      <c r="A107" s="1" t="s">
        <v>88</v>
      </c>
      <c r="B107" s="1" t="s">
        <v>89</v>
      </c>
      <c r="C107" s="1" t="s">
        <v>90</v>
      </c>
      <c r="D107" s="1" t="s">
        <v>19</v>
      </c>
      <c r="E107" s="1" t="s">
        <v>20</v>
      </c>
      <c r="F107" s="1" t="n">
        <v>40</v>
      </c>
      <c r="G107" s="2" t="s">
        <v>30</v>
      </c>
      <c r="H107" s="1" t="n">
        <v>0.1623</v>
      </c>
      <c r="I107" s="1" t="n">
        <v>0.287529022277493</v>
      </c>
      <c r="J107" s="1" t="n">
        <v>0.360541205197913</v>
      </c>
      <c r="K107" s="1" t="n">
        <f aca="false">J107-I107</f>
        <v>0.0730121829204205</v>
      </c>
      <c r="L107" s="1" t="n">
        <v>0.676604991476922</v>
      </c>
    </row>
    <row r="108" customFormat="false" ht="15" hidden="false" customHeight="false" outlineLevel="0" collapsed="false">
      <c r="A108" s="1" t="s">
        <v>88</v>
      </c>
      <c r="B108" s="1" t="s">
        <v>89</v>
      </c>
      <c r="C108" s="1" t="s">
        <v>90</v>
      </c>
      <c r="D108" s="1" t="s">
        <v>19</v>
      </c>
      <c r="E108" s="1" t="s">
        <v>20</v>
      </c>
      <c r="F108" s="1" t="n">
        <v>40</v>
      </c>
      <c r="G108" s="2" t="s">
        <v>38</v>
      </c>
      <c r="H108" s="1" t="n">
        <v>0.1616</v>
      </c>
      <c r="I108" s="1" t="n">
        <v>0.286366291069723</v>
      </c>
      <c r="J108" s="1" t="n">
        <v>0.383852648580691</v>
      </c>
      <c r="K108" s="1" t="n">
        <f aca="false">J108-I108</f>
        <v>0.0974863575109682</v>
      </c>
      <c r="L108" s="1" t="n">
        <v>0.676604991476922</v>
      </c>
    </row>
    <row r="109" customFormat="false" ht="15" hidden="false" customHeight="false" outlineLevel="0" collapsed="false">
      <c r="A109" s="1" t="s">
        <v>88</v>
      </c>
      <c r="B109" s="1" t="s">
        <v>89</v>
      </c>
      <c r="C109" s="1" t="s">
        <v>90</v>
      </c>
      <c r="D109" s="1" t="s">
        <v>19</v>
      </c>
      <c r="E109" s="1" t="s">
        <v>20</v>
      </c>
      <c r="F109" s="1" t="n">
        <v>40</v>
      </c>
      <c r="G109" s="2" t="s">
        <v>34</v>
      </c>
      <c r="H109" s="1" t="n">
        <v>0.1568</v>
      </c>
      <c r="I109" s="1" t="n">
        <v>0.27769956721257</v>
      </c>
      <c r="J109" s="1" t="n">
        <v>0.298776833323994</v>
      </c>
      <c r="K109" s="1" t="n">
        <f aca="false">J109-I109</f>
        <v>0.0210772661114246</v>
      </c>
      <c r="L109" s="1" t="n">
        <v>0.676604991476922</v>
      </c>
    </row>
    <row r="110" customFormat="false" ht="15" hidden="false" customHeight="false" outlineLevel="0" collapsed="false">
      <c r="A110" s="1" t="s">
        <v>88</v>
      </c>
      <c r="B110" s="1" t="s">
        <v>89</v>
      </c>
      <c r="C110" s="1" t="s">
        <v>90</v>
      </c>
      <c r="D110" s="1" t="s">
        <v>19</v>
      </c>
      <c r="E110" s="1" t="s">
        <v>20</v>
      </c>
      <c r="F110" s="1" t="n">
        <v>40</v>
      </c>
      <c r="G110" s="2" t="s">
        <v>22</v>
      </c>
      <c r="H110" s="1" t="n">
        <v>0.1506</v>
      </c>
      <c r="I110" s="1" t="n">
        <v>0.266846237950871</v>
      </c>
      <c r="J110" s="1" t="n">
        <v>0.373819064038663</v>
      </c>
      <c r="K110" s="1" t="n">
        <f aca="false">J110-I110</f>
        <v>0.106972826087793</v>
      </c>
      <c r="L110" s="1" t="n">
        <v>0.676604991476922</v>
      </c>
    </row>
    <row r="111" customFormat="false" ht="15" hidden="false" customHeight="false" outlineLevel="0" collapsed="false">
      <c r="A111" s="1" t="s">
        <v>91</v>
      </c>
      <c r="B111" s="1" t="s">
        <v>92</v>
      </c>
      <c r="C111" s="1" t="s">
        <v>93</v>
      </c>
      <c r="D111" s="1" t="s">
        <v>19</v>
      </c>
      <c r="E111" s="1" t="s">
        <v>20</v>
      </c>
      <c r="F111" s="1" t="n">
        <v>42</v>
      </c>
      <c r="G111" s="2" t="s">
        <v>21</v>
      </c>
      <c r="H111" s="1" t="n">
        <v>0.192</v>
      </c>
      <c r="I111" s="1" t="n">
        <v>0.389836894516362</v>
      </c>
      <c r="J111" s="1" t="n">
        <v>0.449080365097434</v>
      </c>
      <c r="K111" s="1" t="n">
        <f aca="false">J111-I111</f>
        <v>0.0592434705810723</v>
      </c>
      <c r="L111" s="1" t="n">
        <v>0.690049864977458</v>
      </c>
    </row>
    <row r="112" customFormat="false" ht="15" hidden="false" customHeight="false" outlineLevel="0" collapsed="false">
      <c r="A112" s="1" t="s">
        <v>91</v>
      </c>
      <c r="B112" s="1" t="s">
        <v>92</v>
      </c>
      <c r="C112" s="1" t="s">
        <v>93</v>
      </c>
      <c r="D112" s="1" t="s">
        <v>19</v>
      </c>
      <c r="E112" s="1" t="s">
        <v>20</v>
      </c>
      <c r="F112" s="1" t="n">
        <v>42</v>
      </c>
      <c r="G112" s="2" t="s">
        <v>38</v>
      </c>
      <c r="H112" s="1" t="n">
        <v>0.1773</v>
      </c>
      <c r="I112" s="1" t="n">
        <v>0.359833209097485</v>
      </c>
      <c r="J112" s="1" t="n">
        <v>0.35314351193582</v>
      </c>
      <c r="K112" s="1" t="n">
        <f aca="false">J112-I112</f>
        <v>-0.0066896971616654</v>
      </c>
      <c r="L112" s="1" t="n">
        <v>0.690049864977458</v>
      </c>
    </row>
    <row r="113" customFormat="false" ht="15" hidden="false" customHeight="false" outlineLevel="0" collapsed="false">
      <c r="A113" s="1" t="s">
        <v>91</v>
      </c>
      <c r="B113" s="1" t="s">
        <v>92</v>
      </c>
      <c r="C113" s="1" t="s">
        <v>93</v>
      </c>
      <c r="D113" s="1" t="s">
        <v>19</v>
      </c>
      <c r="E113" s="1" t="s">
        <v>20</v>
      </c>
      <c r="F113" s="1" t="n">
        <v>42</v>
      </c>
      <c r="G113" s="2" t="s">
        <v>29</v>
      </c>
      <c r="H113" s="1" t="n">
        <v>0.1753</v>
      </c>
      <c r="I113" s="1" t="n">
        <v>0.35592415559983</v>
      </c>
      <c r="J113" s="1" t="n">
        <v>0.37641890265566</v>
      </c>
      <c r="K113" s="1" t="n">
        <f aca="false">J113-I113</f>
        <v>0.0204947470558303</v>
      </c>
      <c r="L113" s="1" t="n">
        <v>0.690049864977458</v>
      </c>
    </row>
    <row r="114" customFormat="false" ht="15" hidden="false" customHeight="false" outlineLevel="0" collapsed="false">
      <c r="A114" s="1" t="s">
        <v>91</v>
      </c>
      <c r="B114" s="1" t="s">
        <v>92</v>
      </c>
      <c r="C114" s="1" t="s">
        <v>93</v>
      </c>
      <c r="D114" s="1" t="s">
        <v>19</v>
      </c>
      <c r="E114" s="1" t="s">
        <v>20</v>
      </c>
      <c r="F114" s="1" t="n">
        <v>42</v>
      </c>
      <c r="G114" s="2" t="s">
        <v>30</v>
      </c>
      <c r="H114" s="1" t="n">
        <v>0.1622</v>
      </c>
      <c r="I114" s="1" t="n">
        <v>0.329311808320236</v>
      </c>
      <c r="J114" s="1" t="n">
        <v>0.324800035666938</v>
      </c>
      <c r="K114" s="1" t="n">
        <f aca="false">J114-I114</f>
        <v>-0.00451177265329839</v>
      </c>
      <c r="L114" s="1" t="n">
        <v>0.690049864977458</v>
      </c>
    </row>
    <row r="115" customFormat="false" ht="15" hidden="false" customHeight="false" outlineLevel="0" collapsed="false">
      <c r="A115" s="1" t="s">
        <v>91</v>
      </c>
      <c r="B115" s="1" t="s">
        <v>92</v>
      </c>
      <c r="C115" s="1" t="s">
        <v>93</v>
      </c>
      <c r="D115" s="1" t="s">
        <v>19</v>
      </c>
      <c r="E115" s="1" t="s">
        <v>20</v>
      </c>
      <c r="F115" s="1" t="n">
        <v>42</v>
      </c>
      <c r="G115" s="2" t="s">
        <v>22</v>
      </c>
      <c r="H115" s="1" t="n">
        <v>0.1574</v>
      </c>
      <c r="I115" s="1" t="n">
        <v>0.319426134037069</v>
      </c>
      <c r="J115" s="1" t="n">
        <v>0.268982307106326</v>
      </c>
      <c r="K115" s="1" t="n">
        <f aca="false">J115-I115</f>
        <v>-0.0504438269307422</v>
      </c>
      <c r="L115" s="1" t="n">
        <v>0.690049864977458</v>
      </c>
    </row>
    <row r="116" customFormat="false" ht="15" hidden="false" customHeight="false" outlineLevel="0" collapsed="false">
      <c r="A116" s="1" t="s">
        <v>91</v>
      </c>
      <c r="B116" s="1" t="s">
        <v>92</v>
      </c>
      <c r="C116" s="1" t="s">
        <v>93</v>
      </c>
      <c r="D116" s="1" t="s">
        <v>19</v>
      </c>
      <c r="E116" s="1" t="s">
        <v>20</v>
      </c>
      <c r="F116" s="1" t="n">
        <v>42</v>
      </c>
      <c r="G116" s="2" t="s">
        <v>81</v>
      </c>
      <c r="H116" s="1" t="n">
        <v>0.1358</v>
      </c>
      <c r="I116" s="1" t="n">
        <v>0.275559016346872</v>
      </c>
      <c r="J116" s="1" t="n">
        <v>0.261924411002998</v>
      </c>
      <c r="K116" s="1" t="n">
        <f aca="false">J116-I116</f>
        <v>-0.0136346053438739</v>
      </c>
      <c r="L116" s="1" t="n">
        <v>0.690049864977458</v>
      </c>
    </row>
    <row r="117" customFormat="false" ht="15" hidden="false" customHeight="false" outlineLevel="0" collapsed="false">
      <c r="A117" s="1" t="s">
        <v>94</v>
      </c>
      <c r="B117" s="1" t="s">
        <v>95</v>
      </c>
      <c r="C117" s="1" t="s">
        <v>96</v>
      </c>
      <c r="D117" s="1" t="s">
        <v>19</v>
      </c>
      <c r="E117" s="1" t="s">
        <v>20</v>
      </c>
      <c r="F117" s="1" t="n">
        <v>44</v>
      </c>
      <c r="G117" s="2" t="s">
        <v>21</v>
      </c>
      <c r="H117" s="1" t="n">
        <v>0.197</v>
      </c>
      <c r="I117" s="1" t="n">
        <v>0.417162711535253</v>
      </c>
      <c r="J117" s="1" t="n">
        <v>0.448137436536544</v>
      </c>
      <c r="K117" s="1" t="n">
        <f aca="false">J117-I117</f>
        <v>0.0309747250012904</v>
      </c>
      <c r="L117" s="1" t="n">
        <v>0.758614453242321</v>
      </c>
    </row>
    <row r="118" customFormat="false" ht="15" hidden="false" customHeight="false" outlineLevel="0" collapsed="false">
      <c r="A118" s="1" t="s">
        <v>94</v>
      </c>
      <c r="B118" s="1" t="s">
        <v>95</v>
      </c>
      <c r="C118" s="1" t="s">
        <v>96</v>
      </c>
      <c r="D118" s="1" t="s">
        <v>19</v>
      </c>
      <c r="E118" s="1" t="s">
        <v>20</v>
      </c>
      <c r="F118" s="1" t="n">
        <v>44</v>
      </c>
      <c r="G118" s="2" t="s">
        <v>30</v>
      </c>
      <c r="H118" s="1" t="n">
        <v>0.1706</v>
      </c>
      <c r="I118" s="1" t="n">
        <v>0.361090404085792</v>
      </c>
      <c r="J118" s="1" t="n">
        <v>0.389852310377912</v>
      </c>
      <c r="K118" s="1" t="n">
        <f aca="false">J118-I118</f>
        <v>0.0287619062921202</v>
      </c>
      <c r="L118" s="1" t="n">
        <v>0.758614453242321</v>
      </c>
    </row>
    <row r="119" customFormat="false" ht="15" hidden="false" customHeight="false" outlineLevel="0" collapsed="false">
      <c r="A119" s="1" t="s">
        <v>94</v>
      </c>
      <c r="B119" s="1" t="s">
        <v>95</v>
      </c>
      <c r="C119" s="1" t="s">
        <v>96</v>
      </c>
      <c r="D119" s="1" t="s">
        <v>19</v>
      </c>
      <c r="E119" s="1" t="s">
        <v>20</v>
      </c>
      <c r="F119" s="1" t="n">
        <v>44</v>
      </c>
      <c r="G119" s="2" t="s">
        <v>29</v>
      </c>
      <c r="H119" s="1" t="n">
        <v>0.1703</v>
      </c>
      <c r="I119" s="1" t="n">
        <v>0.360454814233243</v>
      </c>
      <c r="J119" s="1" t="n">
        <v>0.334794529648557</v>
      </c>
      <c r="K119" s="1" t="n">
        <f aca="false">J119-I119</f>
        <v>-0.0256602845846858</v>
      </c>
      <c r="L119" s="1" t="n">
        <v>0.758614453242321</v>
      </c>
    </row>
    <row r="120" customFormat="false" ht="15" hidden="false" customHeight="false" outlineLevel="0" collapsed="false">
      <c r="A120" s="1" t="s">
        <v>94</v>
      </c>
      <c r="B120" s="1" t="s">
        <v>95</v>
      </c>
      <c r="C120" s="1" t="s">
        <v>96</v>
      </c>
      <c r="D120" s="1" t="s">
        <v>19</v>
      </c>
      <c r="E120" s="1" t="s">
        <v>20</v>
      </c>
      <c r="F120" s="1" t="n">
        <v>44</v>
      </c>
      <c r="G120" s="2" t="s">
        <v>38</v>
      </c>
      <c r="H120" s="1" t="n">
        <v>0.1637</v>
      </c>
      <c r="I120" s="1" t="n">
        <v>0.34660364460328</v>
      </c>
      <c r="J120" s="1" t="n">
        <v>0.358542082222239</v>
      </c>
      <c r="K120" s="1" t="n">
        <f aca="false">J120-I120</f>
        <v>0.0119384376189597</v>
      </c>
      <c r="L120" s="1" t="n">
        <v>0.758614453242321</v>
      </c>
    </row>
    <row r="121" customFormat="false" ht="15" hidden="false" customHeight="false" outlineLevel="0" collapsed="false">
      <c r="A121" s="1" t="s">
        <v>94</v>
      </c>
      <c r="B121" s="1" t="s">
        <v>95</v>
      </c>
      <c r="C121" s="1" t="s">
        <v>96</v>
      </c>
      <c r="D121" s="1" t="s">
        <v>19</v>
      </c>
      <c r="E121" s="1" t="s">
        <v>20</v>
      </c>
      <c r="F121" s="1" t="n">
        <v>44</v>
      </c>
      <c r="G121" s="2" t="s">
        <v>22</v>
      </c>
      <c r="H121" s="1" t="n">
        <v>0.1535</v>
      </c>
      <c r="I121" s="1" t="n">
        <v>0.324948598951454</v>
      </c>
      <c r="J121" s="1" t="n">
        <v>0.354254719599946</v>
      </c>
      <c r="K121" s="1" t="n">
        <f aca="false">J121-I121</f>
        <v>0.0293061206484919</v>
      </c>
      <c r="L121" s="1" t="n">
        <v>0.758614453242321</v>
      </c>
    </row>
    <row r="122" customFormat="false" ht="15" hidden="false" customHeight="false" outlineLevel="0" collapsed="false">
      <c r="A122" s="1" t="s">
        <v>94</v>
      </c>
      <c r="B122" s="1" t="s">
        <v>95</v>
      </c>
      <c r="C122" s="1" t="s">
        <v>96</v>
      </c>
      <c r="D122" s="1" t="s">
        <v>19</v>
      </c>
      <c r="E122" s="1" t="s">
        <v>20</v>
      </c>
      <c r="F122" s="1" t="n">
        <v>44</v>
      </c>
      <c r="G122" s="2" t="s">
        <v>39</v>
      </c>
      <c r="H122" s="1" t="n">
        <v>0.1449</v>
      </c>
      <c r="I122" s="1" t="n">
        <v>0.306838780147038</v>
      </c>
      <c r="J122" s="1" t="n">
        <v>0.363552441757734</v>
      </c>
      <c r="K122" s="1" t="n">
        <f aca="false">J122-I122</f>
        <v>0.0567136616106956</v>
      </c>
      <c r="L122" s="1" t="n">
        <v>0.758614453242321</v>
      </c>
    </row>
    <row r="123" customFormat="false" ht="15" hidden="false" customHeight="false" outlineLevel="0" collapsed="false">
      <c r="A123" s="1" t="s">
        <v>97</v>
      </c>
      <c r="B123" s="1" t="s">
        <v>98</v>
      </c>
      <c r="C123" s="1" t="s">
        <v>99</v>
      </c>
      <c r="D123" s="1" t="s">
        <v>19</v>
      </c>
      <c r="E123" s="1" t="s">
        <v>20</v>
      </c>
      <c r="F123" s="1" t="n">
        <v>46</v>
      </c>
      <c r="G123" s="2" t="s">
        <v>21</v>
      </c>
      <c r="H123" s="1" t="n">
        <v>0.217</v>
      </c>
      <c r="I123" s="1" t="n">
        <v>0.414235631793927</v>
      </c>
      <c r="J123" s="1" t="n">
        <v>0.475637292519372</v>
      </c>
      <c r="K123" s="1" t="n">
        <f aca="false">J123-I123</f>
        <v>0.0614016607254446</v>
      </c>
      <c r="L123" s="1" t="n">
        <v>0.798835137250553</v>
      </c>
    </row>
    <row r="124" customFormat="false" ht="15" hidden="false" customHeight="false" outlineLevel="0" collapsed="false">
      <c r="A124" s="1" t="s">
        <v>97</v>
      </c>
      <c r="B124" s="1" t="s">
        <v>98</v>
      </c>
      <c r="C124" s="1" t="s">
        <v>99</v>
      </c>
      <c r="D124" s="1" t="s">
        <v>19</v>
      </c>
      <c r="E124" s="1" t="s">
        <v>20</v>
      </c>
      <c r="F124" s="1" t="n">
        <v>46</v>
      </c>
      <c r="G124" s="2" t="s">
        <v>22</v>
      </c>
      <c r="H124" s="1" t="n">
        <v>0.1638</v>
      </c>
      <c r="I124" s="1" t="n">
        <v>0.312671254391408</v>
      </c>
      <c r="J124" s="1" t="n">
        <v>0.309365253803389</v>
      </c>
      <c r="K124" s="1" t="n">
        <f aca="false">J124-I124</f>
        <v>-0.00330600058801883</v>
      </c>
      <c r="L124" s="1" t="n">
        <v>0.798835137250553</v>
      </c>
    </row>
    <row r="125" customFormat="false" ht="15" hidden="false" customHeight="false" outlineLevel="0" collapsed="false">
      <c r="A125" s="1" t="s">
        <v>97</v>
      </c>
      <c r="B125" s="1" t="s">
        <v>98</v>
      </c>
      <c r="C125" s="1" t="s">
        <v>99</v>
      </c>
      <c r="D125" s="1" t="s">
        <v>19</v>
      </c>
      <c r="E125" s="1" t="s">
        <v>20</v>
      </c>
      <c r="F125" s="1" t="n">
        <v>46</v>
      </c>
      <c r="G125" s="2" t="s">
        <v>39</v>
      </c>
      <c r="H125" s="1" t="n">
        <v>0.1601</v>
      </c>
      <c r="I125" s="1" t="n">
        <v>0.305494417413826</v>
      </c>
      <c r="J125" s="1" t="n">
        <v>0.3412068275451</v>
      </c>
      <c r="K125" s="1" t="n">
        <f aca="false">J125-I125</f>
        <v>0.0357124101312737</v>
      </c>
      <c r="L125" s="1" t="n">
        <v>0.798835137250553</v>
      </c>
    </row>
    <row r="126" customFormat="false" ht="15" hidden="false" customHeight="false" outlineLevel="0" collapsed="false">
      <c r="A126" s="1" t="s">
        <v>97</v>
      </c>
      <c r="B126" s="1" t="s">
        <v>98</v>
      </c>
      <c r="C126" s="1" t="s">
        <v>99</v>
      </c>
      <c r="D126" s="1" t="s">
        <v>19</v>
      </c>
      <c r="E126" s="1" t="s">
        <v>20</v>
      </c>
      <c r="F126" s="1" t="n">
        <v>46</v>
      </c>
      <c r="G126" s="2" t="s">
        <v>38</v>
      </c>
      <c r="H126" s="1" t="n">
        <v>0.1576</v>
      </c>
      <c r="I126" s="1" t="n">
        <v>0.300855912203644</v>
      </c>
      <c r="J126" s="1" t="n">
        <v>0.369556133895429</v>
      </c>
      <c r="K126" s="1" t="n">
        <f aca="false">J126-I126</f>
        <v>0.0687002216917849</v>
      </c>
      <c r="L126" s="1" t="n">
        <v>0.798835137250553</v>
      </c>
    </row>
    <row r="127" customFormat="false" ht="15" hidden="false" customHeight="false" outlineLevel="0" collapsed="false">
      <c r="A127" s="1" t="s">
        <v>97</v>
      </c>
      <c r="B127" s="1" t="s">
        <v>98</v>
      </c>
      <c r="C127" s="1" t="s">
        <v>99</v>
      </c>
      <c r="D127" s="1" t="s">
        <v>19</v>
      </c>
      <c r="E127" s="1" t="s">
        <v>20</v>
      </c>
      <c r="F127" s="1" t="n">
        <v>46</v>
      </c>
      <c r="G127" s="2" t="s">
        <v>30</v>
      </c>
      <c r="H127" s="1" t="n">
        <v>0.1537</v>
      </c>
      <c r="I127" s="1" t="n">
        <v>0.293351333675223</v>
      </c>
      <c r="J127" s="1" t="n">
        <v>0.318524367579926</v>
      </c>
      <c r="K127" s="1" t="n">
        <f aca="false">J127-I127</f>
        <v>0.0251730339047033</v>
      </c>
      <c r="L127" s="1" t="n">
        <v>0.798835137250553</v>
      </c>
    </row>
    <row r="128" customFormat="false" ht="15" hidden="false" customHeight="false" outlineLevel="0" collapsed="false">
      <c r="A128" s="1" t="s">
        <v>97</v>
      </c>
      <c r="B128" s="1" t="s">
        <v>98</v>
      </c>
      <c r="C128" s="1" t="s">
        <v>99</v>
      </c>
      <c r="D128" s="1" t="s">
        <v>19</v>
      </c>
      <c r="E128" s="1" t="s">
        <v>20</v>
      </c>
      <c r="F128" s="1" t="n">
        <v>46</v>
      </c>
      <c r="G128" s="2" t="s">
        <v>29</v>
      </c>
      <c r="H128" s="1" t="n">
        <v>0.1478</v>
      </c>
      <c r="I128" s="1" t="n">
        <v>0.282055357462903</v>
      </c>
      <c r="J128" s="1" t="n">
        <v>0.369583705940864</v>
      </c>
      <c r="K128" s="1" t="n">
        <f aca="false">J128-I128</f>
        <v>0.0875283484779609</v>
      </c>
      <c r="L128" s="1" t="n">
        <v>0.798835137250553</v>
      </c>
    </row>
    <row r="129" customFormat="false" ht="15" hidden="false" customHeight="false" outlineLevel="0" collapsed="false">
      <c r="A129" s="1" t="s">
        <v>100</v>
      </c>
      <c r="B129" s="1" t="s">
        <v>101</v>
      </c>
      <c r="C129" s="1" t="s">
        <v>102</v>
      </c>
      <c r="D129" s="1" t="s">
        <v>19</v>
      </c>
      <c r="E129" s="1" t="s">
        <v>20</v>
      </c>
      <c r="F129" s="1" t="n">
        <v>48</v>
      </c>
      <c r="G129" s="2" t="s">
        <v>21</v>
      </c>
      <c r="H129" s="1" t="n">
        <v>0.2434</v>
      </c>
      <c r="I129" s="1" t="n">
        <v>0.469804724138976</v>
      </c>
      <c r="J129" s="1" t="n">
        <v>0.479300678694826</v>
      </c>
      <c r="K129" s="1" t="n">
        <f aca="false">J129-I129</f>
        <v>0.00949595455584984</v>
      </c>
      <c r="L129" s="1" t="n">
        <v>0.734706374670589</v>
      </c>
    </row>
    <row r="130" customFormat="false" ht="15" hidden="false" customHeight="false" outlineLevel="0" collapsed="false">
      <c r="A130" s="1" t="s">
        <v>100</v>
      </c>
      <c r="B130" s="1" t="s">
        <v>101</v>
      </c>
      <c r="C130" s="1" t="s">
        <v>102</v>
      </c>
      <c r="D130" s="1" t="s">
        <v>19</v>
      </c>
      <c r="E130" s="1" t="s">
        <v>20</v>
      </c>
      <c r="F130" s="1" t="n">
        <v>48</v>
      </c>
      <c r="G130" s="2" t="s">
        <v>38</v>
      </c>
      <c r="H130" s="1" t="n">
        <v>0.1731</v>
      </c>
      <c r="I130" s="1" t="n">
        <v>0.334178080075799</v>
      </c>
      <c r="J130" s="1" t="n">
        <v>0.333488381170901</v>
      </c>
      <c r="K130" s="1" t="n">
        <f aca="false">J130-I130</f>
        <v>-0.000689698904898173</v>
      </c>
      <c r="L130" s="1" t="n">
        <v>0.734706374670589</v>
      </c>
    </row>
    <row r="131" customFormat="false" ht="15" hidden="false" customHeight="false" outlineLevel="0" collapsed="false">
      <c r="A131" s="1" t="s">
        <v>100</v>
      </c>
      <c r="B131" s="1" t="s">
        <v>101</v>
      </c>
      <c r="C131" s="1" t="s">
        <v>102</v>
      </c>
      <c r="D131" s="1" t="s">
        <v>19</v>
      </c>
      <c r="E131" s="1" t="s">
        <v>20</v>
      </c>
      <c r="F131" s="1" t="n">
        <v>48</v>
      </c>
      <c r="G131" s="2" t="s">
        <v>29</v>
      </c>
      <c r="H131" s="1" t="n">
        <v>0.1726</v>
      </c>
      <c r="I131" s="1" t="n">
        <v>0.333101266261532</v>
      </c>
      <c r="J131" s="1" t="n">
        <v>0.333978153152016</v>
      </c>
      <c r="K131" s="1" t="n">
        <f aca="false">J131-I131</f>
        <v>0.000876886890483319</v>
      </c>
      <c r="L131" s="1" t="n">
        <v>0.734706374670589</v>
      </c>
    </row>
    <row r="132" customFormat="false" ht="15" hidden="false" customHeight="false" outlineLevel="0" collapsed="false">
      <c r="A132" s="1" t="s">
        <v>100</v>
      </c>
      <c r="B132" s="1" t="s">
        <v>101</v>
      </c>
      <c r="C132" s="1" t="s">
        <v>102</v>
      </c>
      <c r="D132" s="1" t="s">
        <v>19</v>
      </c>
      <c r="E132" s="1" t="s">
        <v>20</v>
      </c>
      <c r="F132" s="1" t="n">
        <v>48</v>
      </c>
      <c r="G132" s="2" t="s">
        <v>30</v>
      </c>
      <c r="H132" s="1" t="n">
        <v>0.1574</v>
      </c>
      <c r="I132" s="1" t="n">
        <v>0.303850018447455</v>
      </c>
      <c r="J132" s="1" t="n">
        <v>0.329912700363788</v>
      </c>
      <c r="K132" s="1" t="n">
        <f aca="false">J132-I132</f>
        <v>0.0260626819163325</v>
      </c>
      <c r="L132" s="1" t="n">
        <v>0.734706374670589</v>
      </c>
    </row>
    <row r="133" customFormat="false" ht="15" hidden="false" customHeight="false" outlineLevel="0" collapsed="false">
      <c r="A133" s="1" t="s">
        <v>100</v>
      </c>
      <c r="B133" s="1" t="s">
        <v>101</v>
      </c>
      <c r="C133" s="1" t="s">
        <v>102</v>
      </c>
      <c r="D133" s="1" t="s">
        <v>19</v>
      </c>
      <c r="E133" s="1" t="s">
        <v>20</v>
      </c>
      <c r="F133" s="1" t="n">
        <v>48</v>
      </c>
      <c r="G133" s="2" t="s">
        <v>39</v>
      </c>
      <c r="H133" s="1" t="n">
        <v>0.1536</v>
      </c>
      <c r="I133" s="1" t="n">
        <v>0.296431320416922</v>
      </c>
      <c r="J133" s="1" t="n">
        <v>0.288785095419698</v>
      </c>
      <c r="K133" s="1" t="n">
        <f aca="false">J133-I133</f>
        <v>-0.00764622499722462</v>
      </c>
      <c r="L133" s="1" t="n">
        <v>0.734706374670589</v>
      </c>
    </row>
    <row r="134" customFormat="false" ht="15" hidden="false" customHeight="false" outlineLevel="0" collapsed="false">
      <c r="A134" s="1" t="s">
        <v>100</v>
      </c>
      <c r="B134" s="1" t="s">
        <v>101</v>
      </c>
      <c r="C134" s="1" t="s">
        <v>102</v>
      </c>
      <c r="D134" s="1" t="s">
        <v>19</v>
      </c>
      <c r="E134" s="1" t="s">
        <v>20</v>
      </c>
      <c r="F134" s="1" t="n">
        <v>48</v>
      </c>
      <c r="G134" s="2" t="s">
        <v>22</v>
      </c>
      <c r="H134" s="1" t="n">
        <v>0.1</v>
      </c>
      <c r="I134" s="1" t="n">
        <v>0.251317128401985</v>
      </c>
      <c r="J134" s="1" t="n">
        <v>0.311370512203563</v>
      </c>
      <c r="K134" s="1" t="n">
        <f aca="false">J134-I134</f>
        <v>0.0600533838015775</v>
      </c>
      <c r="L134" s="1" t="n">
        <v>0.734706374670589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D47" activeCellId="0" sqref="D47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2" min="2" style="1" width="22.42"/>
  </cols>
  <sheetData>
    <row r="1" customFormat="false" ht="12.8" hidden="false" customHeight="false" outlineLevel="0" collapsed="false">
      <c r="A1" s="6" t="s">
        <v>103</v>
      </c>
      <c r="B1" s="6"/>
    </row>
    <row r="2" customFormat="false" ht="12.8" hidden="false" customHeight="false" outlineLevel="0" collapsed="false">
      <c r="A2" s="6"/>
      <c r="B2" s="6"/>
    </row>
    <row r="3" customFormat="false" ht="12.8" hidden="false" customHeight="false" outlineLevel="0" collapsed="false">
      <c r="A3" s="6" t="s">
        <v>104</v>
      </c>
      <c r="B3" s="7" t="n">
        <f aca="false">scen8_hybsem!P2</f>
        <v>132</v>
      </c>
    </row>
    <row r="4" customFormat="false" ht="12.8" hidden="false" customHeight="false" outlineLevel="0" collapsed="false">
      <c r="A4" s="6" t="s">
        <v>105</v>
      </c>
      <c r="B4" s="6" t="n">
        <f aca="false">B10*SQRT((B3-2)/(1-B10^2))</f>
        <v>4.43336909347526</v>
      </c>
    </row>
    <row r="5" customFormat="false" ht="12.8" hidden="false" customHeight="false" outlineLevel="0" collapsed="false">
      <c r="A5" s="6" t="s">
        <v>106</v>
      </c>
      <c r="B5" s="6" t="n">
        <f aca="false">_xlfn.T.DIST.2T(ABS(B4),B3-2)</f>
        <v>1.95347648853056E-005</v>
      </c>
    </row>
    <row r="6" customFormat="false" ht="12.8" hidden="false" customHeight="false" outlineLevel="0" collapsed="false">
      <c r="A6" s="6"/>
      <c r="B6" s="8"/>
    </row>
    <row r="7" customFormat="false" ht="12.8" hidden="false" customHeight="false" outlineLevel="0" collapsed="false">
      <c r="A7" s="6"/>
      <c r="B7" s="8"/>
    </row>
    <row r="8" customFormat="false" ht="12.8" hidden="false" customHeight="false" outlineLevel="0" collapsed="false">
      <c r="A8" s="6"/>
      <c r="B8" s="8"/>
    </row>
    <row r="9" customFormat="false" ht="19.1" hidden="false" customHeight="false" outlineLevel="0" collapsed="false">
      <c r="A9" s="3" t="s">
        <v>12</v>
      </c>
      <c r="B9" s="3" t="s">
        <v>14</v>
      </c>
    </row>
    <row r="10" customFormat="false" ht="12.8" hidden="false" customHeight="false" outlineLevel="0" collapsed="false">
      <c r="A10" s="9" t="n">
        <f aca="false">B3</f>
        <v>132</v>
      </c>
      <c r="B10" s="9" t="n">
        <f aca="false">scen8_hybsem!R2</f>
        <v>0.362400359425218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4.0703125" defaultRowHeight="12.8" customHeight="false" zeroHeight="false" outlineLevelRow="0" outlineLevelCol="0"/>
  <sheetData>
    <row r="1" customFormat="false" ht="12.8" hidden="false" customHeight="false" outlineLevel="0" collapsed="false">
      <c r="A1" s="10" t="s">
        <v>107</v>
      </c>
      <c r="B1" s="10"/>
    </row>
    <row r="2" customFormat="false" ht="12.8" hidden="false" customHeight="false" outlineLevel="0" collapsed="false">
      <c r="A2" s="11" t="s">
        <v>108</v>
      </c>
      <c r="B2" s="12" t="s">
        <v>109</v>
      </c>
    </row>
    <row r="3" customFormat="false" ht="12.8" hidden="false" customHeight="false" outlineLevel="0" collapsed="false">
      <c r="A3" s="8" t="n">
        <v>1</v>
      </c>
      <c r="B3" s="1" t="n">
        <v>0.726122663610199</v>
      </c>
    </row>
    <row r="4" customFormat="false" ht="12.8" hidden="false" customHeight="false" outlineLevel="0" collapsed="false">
      <c r="A4" s="8" t="n">
        <v>2</v>
      </c>
      <c r="B4" s="1" t="n">
        <v>0.744387965987341</v>
      </c>
    </row>
    <row r="5" customFormat="false" ht="12.8" hidden="false" customHeight="false" outlineLevel="0" collapsed="false">
      <c r="A5" s="8" t="n">
        <v>3</v>
      </c>
      <c r="B5" s="1" t="n">
        <v>0.722443262715515</v>
      </c>
    </row>
    <row r="6" customFormat="false" ht="12.8" hidden="false" customHeight="false" outlineLevel="0" collapsed="false">
      <c r="A6" s="8" t="n">
        <v>4</v>
      </c>
      <c r="B6" s="1" t="n">
        <v>0.706070089408908</v>
      </c>
    </row>
    <row r="7" customFormat="false" ht="12.8" hidden="false" customHeight="false" outlineLevel="0" collapsed="false">
      <c r="A7" s="8" t="n">
        <v>5</v>
      </c>
      <c r="B7" s="1" t="n">
        <v>0.830465274232832</v>
      </c>
    </row>
    <row r="8" customFormat="false" ht="12.8" hidden="false" customHeight="false" outlineLevel="0" collapsed="false">
      <c r="A8" s="8" t="n">
        <v>6</v>
      </c>
      <c r="B8" s="1" t="n">
        <v>0.639350566619894</v>
      </c>
    </row>
    <row r="9" customFormat="false" ht="12.8" hidden="false" customHeight="false" outlineLevel="0" collapsed="false">
      <c r="A9" s="8" t="n">
        <v>7</v>
      </c>
      <c r="B9" s="1" t="n">
        <v>0.74569214122826</v>
      </c>
    </row>
    <row r="10" customFormat="false" ht="12.8" hidden="false" customHeight="false" outlineLevel="0" collapsed="false">
      <c r="A10" s="8" t="n">
        <v>8</v>
      </c>
      <c r="B10" s="1" t="n">
        <v>0.777583698300188</v>
      </c>
    </row>
    <row r="11" customFormat="false" ht="12.8" hidden="false" customHeight="false" outlineLevel="0" collapsed="false">
      <c r="A11" s="8" t="n">
        <v>9</v>
      </c>
      <c r="B11" s="1" t="n">
        <v>0.716221981108389</v>
      </c>
    </row>
    <row r="12" customFormat="false" ht="12.8" hidden="false" customHeight="false" outlineLevel="0" collapsed="false">
      <c r="A12" s="8" t="n">
        <v>10</v>
      </c>
      <c r="B12" s="1" t="n">
        <v>0.789490175348179</v>
      </c>
    </row>
    <row r="13" customFormat="false" ht="12.8" hidden="false" customHeight="false" outlineLevel="0" collapsed="false">
      <c r="A13" s="8" t="n">
        <v>11</v>
      </c>
      <c r="B13" s="1" t="n">
        <v>0.737754806838827</v>
      </c>
    </row>
    <row r="14" customFormat="false" ht="12.8" hidden="false" customHeight="false" outlineLevel="0" collapsed="false">
      <c r="A14" s="8" t="n">
        <v>12</v>
      </c>
      <c r="B14" s="1" t="n">
        <v>0.746932692465765</v>
      </c>
    </row>
    <row r="15" customFormat="false" ht="12.8" hidden="false" customHeight="false" outlineLevel="0" collapsed="false">
      <c r="A15" s="8" t="n">
        <v>13</v>
      </c>
      <c r="B15" s="1" t="n">
        <v>0.743211804362939</v>
      </c>
    </row>
    <row r="16" customFormat="false" ht="12.8" hidden="false" customHeight="false" outlineLevel="0" collapsed="false">
      <c r="A16" s="8" t="n">
        <v>14</v>
      </c>
      <c r="B16" s="1" t="n">
        <v>0.753566163309058</v>
      </c>
    </row>
    <row r="17" customFormat="false" ht="12.8" hidden="false" customHeight="false" outlineLevel="0" collapsed="false">
      <c r="A17" s="8" t="n">
        <v>15</v>
      </c>
      <c r="B17" s="1" t="n">
        <v>0.679573608456161</v>
      </c>
    </row>
    <row r="18" customFormat="false" ht="12.8" hidden="false" customHeight="false" outlineLevel="0" collapsed="false">
      <c r="A18" s="8" t="n">
        <v>16</v>
      </c>
      <c r="B18" s="1" t="n">
        <v>0.732606769576746</v>
      </c>
    </row>
    <row r="19" customFormat="false" ht="12.8" hidden="false" customHeight="false" outlineLevel="0" collapsed="false">
      <c r="A19" s="8" t="n">
        <v>17</v>
      </c>
      <c r="B19" s="1" t="n">
        <v>0.750546686660056</v>
      </c>
    </row>
    <row r="20" customFormat="false" ht="12.8" hidden="false" customHeight="false" outlineLevel="0" collapsed="false">
      <c r="A20" s="8" t="n">
        <v>18</v>
      </c>
      <c r="B20" s="1" t="n">
        <v>0.737646756450336</v>
      </c>
    </row>
    <row r="21" customFormat="false" ht="12.8" hidden="false" customHeight="false" outlineLevel="0" collapsed="false">
      <c r="A21" s="8" t="n">
        <v>19</v>
      </c>
      <c r="B21" s="1" t="n">
        <v>0.770786882499805</v>
      </c>
    </row>
    <row r="22" customFormat="false" ht="12.8" hidden="false" customHeight="false" outlineLevel="0" collapsed="false">
      <c r="A22" s="8" t="n">
        <v>20</v>
      </c>
      <c r="B22" s="1" t="n">
        <v>0.749337452437493</v>
      </c>
    </row>
    <row r="23" customFormat="false" ht="12.8" hidden="false" customHeight="false" outlineLevel="0" collapsed="false">
      <c r="A23" s="8" t="n">
        <v>21</v>
      </c>
      <c r="B23" s="1" t="n">
        <v>0.676604991476922</v>
      </c>
    </row>
    <row r="24" customFormat="false" ht="12.8" hidden="false" customHeight="false" outlineLevel="0" collapsed="false">
      <c r="A24" s="8" t="n">
        <v>22</v>
      </c>
      <c r="B24" s="1" t="n">
        <v>0.690049864977458</v>
      </c>
    </row>
    <row r="25" customFormat="false" ht="12.8" hidden="false" customHeight="false" outlineLevel="0" collapsed="false">
      <c r="A25" s="8" t="n">
        <v>23</v>
      </c>
      <c r="B25" s="1" t="n">
        <v>0.758614453242321</v>
      </c>
    </row>
    <row r="26" customFormat="false" ht="12.8" hidden="false" customHeight="false" outlineLevel="0" collapsed="false">
      <c r="A26" s="8" t="n">
        <v>24</v>
      </c>
      <c r="B26" s="1" t="n">
        <v>0.798835137250553</v>
      </c>
    </row>
    <row r="27" customFormat="false" ht="12.8" hidden="false" customHeight="false" outlineLevel="0" collapsed="false">
      <c r="A27" s="4" t="n">
        <v>25</v>
      </c>
      <c r="B27" s="1" t="n">
        <v>0.734706374670589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K15" activeCellId="0" sqref="K15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4" min="2" style="1" width="19.71"/>
    <col collapsed="false" customWidth="true" hidden="false" outlineLevel="0" max="6" min="5" style="1" width="20.79"/>
    <col collapsed="false" customWidth="true" hidden="false" outlineLevel="0" max="7" min="7" style="1" width="21.87"/>
    <col collapsed="false" customWidth="true" hidden="false" outlineLevel="0" max="9" min="8" style="1" width="22.42"/>
    <col collapsed="false" customWidth="true" hidden="false" outlineLevel="0" max="10" min="10" style="1" width="20.79"/>
  </cols>
  <sheetData>
    <row r="1" customFormat="false" ht="12.8" hidden="false" customHeight="false" outlineLevel="0" collapsed="false">
      <c r="A1" s="10" t="s">
        <v>107</v>
      </c>
      <c r="B1" s="10"/>
    </row>
    <row r="2" customFormat="false" ht="12.8" hidden="false" customHeight="false" outlineLevel="0" collapsed="false">
      <c r="A2" s="11" t="s">
        <v>108</v>
      </c>
      <c r="B2" s="12" t="s">
        <v>109</v>
      </c>
      <c r="C2" s="1" t="s">
        <v>110</v>
      </c>
      <c r="E2" s="4" t="s">
        <v>111</v>
      </c>
      <c r="F2" s="4" t="s">
        <v>112</v>
      </c>
      <c r="G2" s="4" t="s">
        <v>113</v>
      </c>
      <c r="H2" s="4" t="s">
        <v>114</v>
      </c>
      <c r="I2" s="4" t="s">
        <v>115</v>
      </c>
      <c r="J2" s="4" t="s">
        <v>116</v>
      </c>
      <c r="K2" s="0" t="s">
        <v>117</v>
      </c>
      <c r="L2" s="0" t="s">
        <v>118</v>
      </c>
    </row>
    <row r="3" customFormat="false" ht="12.8" hidden="false" customHeight="false" outlineLevel="0" collapsed="false">
      <c r="A3" s="8" t="n">
        <v>1</v>
      </c>
      <c r="B3" s="1" t="n">
        <v>0.726122663610199</v>
      </c>
      <c r="C3" s="1" t="n">
        <v>0.771814729489856</v>
      </c>
      <c r="E3" s="4" t="n">
        <f aca="false">_xlfn.STDEV.S(B3:B27)</f>
        <v>0.0407389749864047</v>
      </c>
      <c r="F3" s="4" t="n">
        <f aca="false">_xlfn.STDEV.S(C3:C27)</f>
        <v>0.0774803186336932</v>
      </c>
      <c r="G3" s="4" t="n">
        <f aca="false">_xlfn.F.TEST(B3:B27,C3:C27)</f>
        <v>0.00253358529325572</v>
      </c>
      <c r="H3" s="4" t="n">
        <f aca="false">_xlfn.T.TEST(B3:B27, C3:C27, 2,2)</f>
        <v>1.36552596538995E-006</v>
      </c>
      <c r="I3" s="4" t="n">
        <f aca="false">_xlfn.T.TEST(B3:B27,C3:C27, 2,3)</f>
        <v>3.00484154552399E-006</v>
      </c>
      <c r="J3" s="4" t="n">
        <f aca="false">AVERAGE(B3:B27)-AVERAGE(C3:C27)</f>
        <v>0.0965633709109353</v>
      </c>
      <c r="K3" s="0" t="n">
        <f aca="false">AVERAGE(B3:B27)</f>
        <v>0.738344090529389</v>
      </c>
      <c r="L3" s="0" t="n">
        <f aca="false">AVERAGE(C3:C27)</f>
        <v>0.641780719618454</v>
      </c>
    </row>
    <row r="4" customFormat="false" ht="12.8" hidden="false" customHeight="false" outlineLevel="0" collapsed="false">
      <c r="A4" s="8" t="n">
        <v>2</v>
      </c>
      <c r="B4" s="1" t="n">
        <v>0.744387965987341</v>
      </c>
      <c r="C4" s="1" t="n">
        <v>0.585748724447829</v>
      </c>
    </row>
    <row r="5" customFormat="false" ht="12.8" hidden="false" customHeight="false" outlineLevel="0" collapsed="false">
      <c r="A5" s="8" t="n">
        <v>3</v>
      </c>
      <c r="B5" s="1" t="n">
        <v>0.722443262715515</v>
      </c>
      <c r="C5" s="1" t="n">
        <v>0.594422528559652</v>
      </c>
    </row>
    <row r="6" customFormat="false" ht="12.8" hidden="false" customHeight="false" outlineLevel="0" collapsed="false">
      <c r="A6" s="8" t="n">
        <v>4</v>
      </c>
      <c r="B6" s="1" t="n">
        <v>0.706070089408908</v>
      </c>
      <c r="C6" s="1" t="n">
        <v>0.60678636857711</v>
      </c>
    </row>
    <row r="7" customFormat="false" ht="12.8" hidden="false" customHeight="false" outlineLevel="0" collapsed="false">
      <c r="A7" s="8" t="n">
        <v>5</v>
      </c>
      <c r="B7" s="1" t="n">
        <v>0.830465274232832</v>
      </c>
      <c r="C7" s="1" t="n">
        <v>0.69941561269435</v>
      </c>
    </row>
    <row r="8" customFormat="false" ht="12.8" hidden="false" customHeight="false" outlineLevel="0" collapsed="false">
      <c r="A8" s="8" t="n">
        <v>6</v>
      </c>
      <c r="B8" s="1" t="n">
        <v>0.639350566619894</v>
      </c>
      <c r="C8" s="1" t="n">
        <v>0.584983605559223</v>
      </c>
    </row>
    <row r="9" customFormat="false" ht="12.8" hidden="false" customHeight="false" outlineLevel="0" collapsed="false">
      <c r="A9" s="8" t="n">
        <v>7</v>
      </c>
      <c r="B9" s="1" t="n">
        <v>0.74569214122826</v>
      </c>
      <c r="C9" s="1" t="n">
        <v>0.523434497974195</v>
      </c>
    </row>
    <row r="10" customFormat="false" ht="12.8" hidden="false" customHeight="false" outlineLevel="0" collapsed="false">
      <c r="A10" s="8" t="n">
        <v>8</v>
      </c>
      <c r="B10" s="1" t="n">
        <v>0.777583698300188</v>
      </c>
      <c r="C10" s="1" t="n">
        <v>0.733177377705096</v>
      </c>
    </row>
    <row r="11" customFormat="false" ht="12.8" hidden="false" customHeight="false" outlineLevel="0" collapsed="false">
      <c r="A11" s="8" t="n">
        <v>9</v>
      </c>
      <c r="B11" s="1" t="n">
        <v>0.716221981108389</v>
      </c>
      <c r="C11" s="1" t="n">
        <v>0.623029352644154</v>
      </c>
    </row>
    <row r="12" customFormat="false" ht="12.8" hidden="false" customHeight="false" outlineLevel="0" collapsed="false">
      <c r="A12" s="8" t="n">
        <v>10</v>
      </c>
      <c r="B12" s="1" t="n">
        <v>0.789490175348179</v>
      </c>
      <c r="C12" s="1" t="n">
        <v>0.569126443983933</v>
      </c>
    </row>
    <row r="13" customFormat="false" ht="12.8" hidden="false" customHeight="false" outlineLevel="0" collapsed="false">
      <c r="A13" s="8" t="n">
        <v>11</v>
      </c>
      <c r="B13" s="1" t="n">
        <v>0.737754806838827</v>
      </c>
      <c r="C13" s="1" t="n">
        <v>0.712616848746921</v>
      </c>
    </row>
    <row r="14" customFormat="false" ht="12.8" hidden="false" customHeight="false" outlineLevel="0" collapsed="false">
      <c r="A14" s="8" t="n">
        <v>12</v>
      </c>
      <c r="B14" s="1" t="n">
        <v>0.746932692465765</v>
      </c>
      <c r="C14" s="1" t="n">
        <v>0.623994668934615</v>
      </c>
    </row>
    <row r="15" customFormat="false" ht="12.8" hidden="false" customHeight="false" outlineLevel="0" collapsed="false">
      <c r="A15" s="8" t="n">
        <v>13</v>
      </c>
      <c r="B15" s="1" t="n">
        <v>0.743211804362939</v>
      </c>
      <c r="C15" s="1" t="n">
        <v>0.708175167658807</v>
      </c>
    </row>
    <row r="16" customFormat="false" ht="12.8" hidden="false" customHeight="false" outlineLevel="0" collapsed="false">
      <c r="A16" s="8" t="n">
        <v>14</v>
      </c>
      <c r="B16" s="1" t="n">
        <v>0.753566163309058</v>
      </c>
      <c r="C16" s="1" t="n">
        <v>0.598847369877094</v>
      </c>
    </row>
    <row r="17" customFormat="false" ht="12.8" hidden="false" customHeight="false" outlineLevel="0" collapsed="false">
      <c r="A17" s="8" t="n">
        <v>15</v>
      </c>
      <c r="B17" s="1" t="n">
        <v>0.679573608456161</v>
      </c>
      <c r="C17" s="1" t="n">
        <v>0.598448875288242</v>
      </c>
    </row>
    <row r="18" customFormat="false" ht="12.8" hidden="false" customHeight="false" outlineLevel="0" collapsed="false">
      <c r="A18" s="8" t="n">
        <v>16</v>
      </c>
      <c r="B18" s="1" t="n">
        <v>0.732606769576746</v>
      </c>
      <c r="C18" s="1" t="n">
        <v>0.686112684184051</v>
      </c>
    </row>
    <row r="19" customFormat="false" ht="12.8" hidden="false" customHeight="false" outlineLevel="0" collapsed="false">
      <c r="A19" s="8" t="n">
        <v>17</v>
      </c>
      <c r="B19" s="1" t="n">
        <v>0.750546686660056</v>
      </c>
      <c r="C19" s="1" t="n">
        <v>0.656452493829178</v>
      </c>
    </row>
    <row r="20" customFormat="false" ht="12.8" hidden="false" customHeight="false" outlineLevel="0" collapsed="false">
      <c r="A20" s="8" t="n">
        <v>18</v>
      </c>
      <c r="B20" s="1" t="n">
        <v>0.737646756450336</v>
      </c>
      <c r="C20" s="1" t="n">
        <v>0.708590115686799</v>
      </c>
    </row>
    <row r="21" customFormat="false" ht="12.8" hidden="false" customHeight="false" outlineLevel="0" collapsed="false">
      <c r="A21" s="8" t="n">
        <v>19</v>
      </c>
      <c r="B21" s="1" t="n">
        <v>0.770786882499805</v>
      </c>
      <c r="C21" s="1" t="n">
        <v>0.656250234555418</v>
      </c>
    </row>
    <row r="22" customFormat="false" ht="12.8" hidden="false" customHeight="false" outlineLevel="0" collapsed="false">
      <c r="A22" s="8" t="n">
        <v>20</v>
      </c>
      <c r="B22" s="1" t="n">
        <v>0.749337452437493</v>
      </c>
      <c r="C22" s="1" t="n">
        <v>0.766144095586904</v>
      </c>
    </row>
    <row r="23" customFormat="false" ht="12.8" hidden="false" customHeight="false" outlineLevel="0" collapsed="false">
      <c r="A23" s="8" t="n">
        <v>21</v>
      </c>
      <c r="B23" s="1" t="n">
        <v>0.676604991476922</v>
      </c>
      <c r="C23" s="1" t="n">
        <v>0.611673917355993</v>
      </c>
    </row>
    <row r="24" customFormat="false" ht="12.8" hidden="false" customHeight="false" outlineLevel="0" collapsed="false">
      <c r="A24" s="8" t="n">
        <v>22</v>
      </c>
      <c r="B24" s="1" t="n">
        <v>0.690049864977458</v>
      </c>
      <c r="C24" s="1" t="n">
        <v>0.57321383560315</v>
      </c>
    </row>
    <row r="25" customFormat="false" ht="12.8" hidden="false" customHeight="false" outlineLevel="0" collapsed="false">
      <c r="A25" s="8" t="n">
        <v>23</v>
      </c>
      <c r="B25" s="1" t="n">
        <v>0.758614453242321</v>
      </c>
      <c r="C25" s="1" t="n">
        <v>0.46202133657173</v>
      </c>
    </row>
    <row r="26" customFormat="false" ht="12.8" hidden="false" customHeight="false" outlineLevel="0" collapsed="false">
      <c r="A26" s="8" t="n">
        <v>24</v>
      </c>
      <c r="B26" s="1" t="n">
        <v>0.798835137250553</v>
      </c>
      <c r="C26" s="1" t="n">
        <v>0.752686085299576</v>
      </c>
    </row>
    <row r="27" customFormat="false" ht="12.8" hidden="false" customHeight="false" outlineLevel="0" collapsed="false">
      <c r="A27" s="4" t="n">
        <v>25</v>
      </c>
      <c r="B27" s="1" t="n">
        <v>0.734706374670589</v>
      </c>
      <c r="C27" s="1" t="n">
        <v>0.637351019647471</v>
      </c>
    </row>
    <row r="30" customFormat="false" ht="12.8" hidden="false" customHeight="false" outlineLevel="0" collapsed="false">
      <c r="A30" s="1" t="s">
        <v>119</v>
      </c>
    </row>
    <row r="32" customFormat="false" ht="12.8" hidden="false" customHeight="false" outlineLevel="0" collapsed="false">
      <c r="A32" s="11" t="s">
        <v>108</v>
      </c>
      <c r="B32" s="12" t="s">
        <v>120</v>
      </c>
      <c r="C32" s="12" t="s">
        <v>121</v>
      </c>
      <c r="D32" s="12" t="s">
        <v>109</v>
      </c>
      <c r="F32" s="13" t="s">
        <v>122</v>
      </c>
    </row>
    <row r="33" customFormat="false" ht="12.8" hidden="false" customHeight="false" outlineLevel="0" collapsed="false">
      <c r="A33" s="8" t="n">
        <v>1</v>
      </c>
      <c r="B33" s="1" t="n">
        <v>0.746899633688936</v>
      </c>
      <c r="C33" s="1" t="n">
        <v>0.753427301803647</v>
      </c>
      <c r="D33" s="1" t="n">
        <v>0.726122663610199</v>
      </c>
      <c r="F33" s="1" t="s">
        <v>123</v>
      </c>
      <c r="G33" s="1" t="n">
        <v>0.05</v>
      </c>
    </row>
    <row r="34" customFormat="false" ht="12.8" hidden="false" customHeight="false" outlineLevel="0" collapsed="false">
      <c r="A34" s="8" t="n">
        <v>2</v>
      </c>
      <c r="B34" s="1" t="n">
        <v>0.760440771561493</v>
      </c>
      <c r="C34" s="1" t="n">
        <v>0.765371582562988</v>
      </c>
      <c r="D34" s="1" t="n">
        <v>0.744387965987341</v>
      </c>
    </row>
    <row r="35" customFormat="false" ht="12.8" hidden="false" customHeight="false" outlineLevel="0" collapsed="false">
      <c r="A35" s="8" t="n">
        <v>3</v>
      </c>
      <c r="B35" s="1" t="n">
        <v>0.74542610185569</v>
      </c>
      <c r="C35" s="1" t="n">
        <v>0.753068668844285</v>
      </c>
      <c r="D35" s="1" t="n">
        <v>0.722443262715515</v>
      </c>
      <c r="F35" s="1" t="s">
        <v>124</v>
      </c>
      <c r="G35" s="1" t="s">
        <v>125</v>
      </c>
      <c r="H35" s="1" t="s">
        <v>126</v>
      </c>
      <c r="I35" s="1" t="s">
        <v>127</v>
      </c>
      <c r="J35" s="1" t="s">
        <v>128</v>
      </c>
    </row>
    <row r="36" customFormat="false" ht="12.8" hidden="false" customHeight="false" outlineLevel="0" collapsed="false">
      <c r="A36" s="8" t="n">
        <v>4</v>
      </c>
      <c r="B36" s="1" t="n">
        <v>0.754518286707164</v>
      </c>
      <c r="C36" s="1" t="n">
        <v>0.733184077559232</v>
      </c>
      <c r="D36" s="1" t="n">
        <v>0.706070089408908</v>
      </c>
      <c r="F36" s="1" t="s">
        <v>129</v>
      </c>
      <c r="G36" s="1" t="n">
        <f aca="false">COUNT(inter_system_stats!$A$32:$A$57)</f>
        <v>25</v>
      </c>
      <c r="H36" s="1" t="n">
        <f aca="false">SUM(inter_system_stats!$A$32:$A$57)</f>
        <v>325</v>
      </c>
      <c r="I36" s="1" t="n">
        <f aca="false">AVERAGE(inter_system_stats!$A$32:$A$57)</f>
        <v>13</v>
      </c>
      <c r="J36" s="1" t="n">
        <f aca="false">VAR(inter_system_stats!$A$32:$A$57)</f>
        <v>54.1666666666667</v>
      </c>
    </row>
    <row r="37" customFormat="false" ht="12.8" hidden="false" customHeight="false" outlineLevel="0" collapsed="false">
      <c r="A37" s="8" t="n">
        <v>5</v>
      </c>
      <c r="B37" s="1" t="n">
        <v>0.818716946973898</v>
      </c>
      <c r="C37" s="1" t="n">
        <v>0.839797661168354</v>
      </c>
      <c r="D37" s="1" t="n">
        <v>0.830465274232832</v>
      </c>
      <c r="F37" s="1" t="s">
        <v>130</v>
      </c>
      <c r="G37" s="1" t="n">
        <f aca="false">COUNT(inter_system_stats!$B$32:$B$57)</f>
        <v>25</v>
      </c>
      <c r="H37" s="1" t="n">
        <f aca="false">SUM(inter_system_stats!$B$32:$B$57)</f>
        <v>18.5515221795265</v>
      </c>
      <c r="I37" s="1" t="n">
        <f aca="false">AVERAGE(inter_system_stats!$B$32:$B$57)</f>
        <v>0.742060887181061</v>
      </c>
      <c r="J37" s="1" t="n">
        <f aca="false">VAR(inter_system_stats!$B$32:$B$57)</f>
        <v>0.00235702008329511</v>
      </c>
    </row>
    <row r="38" customFormat="false" ht="12.8" hidden="false" customHeight="false" outlineLevel="0" collapsed="false">
      <c r="A38" s="8" t="n">
        <v>6</v>
      </c>
      <c r="B38" s="1" t="n">
        <v>0.661475371813803</v>
      </c>
      <c r="C38" s="1" t="n">
        <v>0.620764082289514</v>
      </c>
      <c r="D38" s="1" t="n">
        <v>0.639350566619894</v>
      </c>
      <c r="F38" s="1" t="s">
        <v>131</v>
      </c>
      <c r="G38" s="1" t="n">
        <f aca="false">COUNT(inter_system_stats!$C$32:$C$57)</f>
        <v>25</v>
      </c>
      <c r="H38" s="1" t="n">
        <f aca="false">SUM(inter_system_stats!$C$32:$C$57)</f>
        <v>18.6016324682835</v>
      </c>
      <c r="I38" s="1" t="n">
        <f aca="false">AVERAGE(inter_system_stats!$C$32:$C$57)</f>
        <v>0.744065298731342</v>
      </c>
      <c r="J38" s="1" t="n">
        <f aca="false">VAR(inter_system_stats!$C$32:$C$57)</f>
        <v>0.00248306679412634</v>
      </c>
    </row>
    <row r="39" customFormat="false" ht="12.8" hidden="false" customHeight="false" outlineLevel="0" collapsed="false">
      <c r="A39" s="8" t="n">
        <v>7</v>
      </c>
      <c r="B39" s="1" t="n">
        <v>0.704831094854699</v>
      </c>
      <c r="C39" s="1" t="n">
        <v>0.708249150690089</v>
      </c>
      <c r="D39" s="1" t="n">
        <v>0.74569214122826</v>
      </c>
      <c r="F39" s="1" t="s">
        <v>132</v>
      </c>
      <c r="G39" s="1" t="n">
        <f aca="false">COUNT(inter_system_stats!$D$32:$D$57)</f>
        <v>25</v>
      </c>
      <c r="H39" s="1" t="n">
        <f aca="false">SUM(inter_system_stats!$D$32:$D$57)</f>
        <v>18.4586022632347</v>
      </c>
      <c r="I39" s="1" t="n">
        <f aca="false">AVERAGE(inter_system_stats!$D$32:$D$57)</f>
        <v>0.738344090529389</v>
      </c>
      <c r="J39" s="1" t="n">
        <f aca="false">VAR(inter_system_stats!$D$32:$D$57)</f>
        <v>0.00165966408294291</v>
      </c>
    </row>
    <row r="40" customFormat="false" ht="12.8" hidden="false" customHeight="false" outlineLevel="0" collapsed="false">
      <c r="A40" s="8" t="n">
        <v>8</v>
      </c>
      <c r="B40" s="1" t="n">
        <v>0.775445669459668</v>
      </c>
      <c r="C40" s="1" t="n">
        <v>0.81183171273243</v>
      </c>
      <c r="D40" s="1" t="n">
        <v>0.777583698300188</v>
      </c>
    </row>
    <row r="41" customFormat="false" ht="12.8" hidden="false" customHeight="false" outlineLevel="0" collapsed="false">
      <c r="A41" s="8" t="n">
        <v>9</v>
      </c>
      <c r="B41" s="1" t="n">
        <v>0.734922592013555</v>
      </c>
      <c r="C41" s="1" t="n">
        <v>0.717889791117422</v>
      </c>
      <c r="D41" s="1" t="n">
        <v>0.716221981108389</v>
      </c>
      <c r="F41" s="1" t="s">
        <v>133</v>
      </c>
      <c r="G41" s="1" t="s">
        <v>134</v>
      </c>
      <c r="H41" s="1" t="s">
        <v>135</v>
      </c>
      <c r="I41" s="1" t="s">
        <v>136</v>
      </c>
      <c r="J41" s="1" t="s">
        <v>137</v>
      </c>
      <c r="K41" s="1" t="s">
        <v>138</v>
      </c>
      <c r="L41" s="1" t="s">
        <v>139</v>
      </c>
    </row>
    <row r="42" customFormat="false" ht="12.8" hidden="false" customHeight="false" outlineLevel="0" collapsed="false">
      <c r="A42" s="8" t="n">
        <v>10</v>
      </c>
      <c r="B42" s="1" t="n">
        <v>0.809553468856414</v>
      </c>
      <c r="C42" s="1" t="n">
        <v>0.82670674249406</v>
      </c>
      <c r="D42" s="1" t="n">
        <v>0.789490175348179</v>
      </c>
      <c r="F42" s="1" t="s">
        <v>140</v>
      </c>
      <c r="G42" s="1" t="n">
        <f aca="false">SUMPRODUCT(inter_system_stats!$H$36:$H$39,inter_system_stats!$I$36:$I$39)-SUM(inter_system_stats!$H$36:$H$39)^2/SUM(inter_system_stats!$G$36:$G$39)</f>
        <v>2817.58289313787</v>
      </c>
      <c r="H42" s="1" t="n">
        <f aca="false">COUNT(inter_system_stats!$H$36:$H$39)-1</f>
        <v>3</v>
      </c>
      <c r="I42" s="1" t="n">
        <f aca="false">inter_system_stats!$G$42 / inter_system_stats!$H$42</f>
        <v>939.194297712624</v>
      </c>
      <c r="J42" s="1" t="n">
        <f aca="false">inter_system_stats!$I$42 / inter_system_stats!$I$43</f>
        <v>69.3475652113276</v>
      </c>
      <c r="K42" s="1" t="n">
        <f aca="false">FDIST(inter_system_stats!$J$42, inter_system_stats!$H$42, inter_system_stats!$H$43)</f>
        <v>6.08477674892942E-024</v>
      </c>
      <c r="L42" s="1" t="n">
        <f aca="false">FINV(inter_system_stats!$G$33, inter_system_stats!$H$42, inter_system_stats!$H$43)</f>
        <v>2.69939259755218</v>
      </c>
    </row>
    <row r="43" customFormat="false" ht="12.8" hidden="false" customHeight="false" outlineLevel="0" collapsed="false">
      <c r="A43" s="8" t="n">
        <v>11</v>
      </c>
      <c r="B43" s="1" t="n">
        <v>0.736193634280327</v>
      </c>
      <c r="C43" s="1" t="n">
        <v>0.751587201916451</v>
      </c>
      <c r="D43" s="1" t="n">
        <v>0.737754806838827</v>
      </c>
      <c r="F43" s="1" t="s">
        <v>141</v>
      </c>
      <c r="G43" s="1" t="n">
        <f aca="false">SUM(DEVSQ(inter_system_stats!$A$32:$A$57),DEVSQ(inter_system_stats!$B$32:$B$57),DEVSQ(inter_system_stats!$C$32:$C$57),DEVSQ(inter_system_stats!$D$32:$D$57))</f>
        <v>1300.15599402305</v>
      </c>
      <c r="H43" s="1" t="n">
        <f aca="false">SUM(inter_system_stats!$G$36:$G$39)-COUNT(inter_system_stats!$G$36:$G$39)</f>
        <v>96</v>
      </c>
      <c r="I43" s="1" t="n">
        <f aca="false">inter_system_stats!$G$43 / inter_system_stats!$H$43</f>
        <v>13.5432916044068</v>
      </c>
    </row>
    <row r="44" customFormat="false" ht="12.8" hidden="false" customHeight="false" outlineLevel="0" collapsed="false">
      <c r="A44" s="8" t="n">
        <v>12</v>
      </c>
      <c r="B44" s="1" t="n">
        <v>0.760450688692101</v>
      </c>
      <c r="C44" s="1" t="n">
        <v>0.767576286083638</v>
      </c>
      <c r="D44" s="1" t="n">
        <v>0.746932692465765</v>
      </c>
      <c r="F44" s="1" t="s">
        <v>142</v>
      </c>
      <c r="G44" s="1" t="n">
        <f aca="false">DEVSQ(inter_system_stats!$A$32:$A$57,inter_system_stats!$B$32:$B$57,inter_system_stats!$C$32:$C$57,inter_system_stats!$D$32:$D$57)</f>
        <v>4117.73888716092</v>
      </c>
      <c r="H44" s="1" t="n">
        <f aca="false">SUM(inter_system_stats!$G$36:$G$39) - 1</f>
        <v>99</v>
      </c>
    </row>
    <row r="45" customFormat="false" ht="12.8" hidden="false" customHeight="false" outlineLevel="0" collapsed="false">
      <c r="A45" s="8" t="n">
        <v>13</v>
      </c>
      <c r="B45" s="1" t="n">
        <v>0.783417145572671</v>
      </c>
      <c r="C45" s="1" t="n">
        <v>0.77472229763671</v>
      </c>
      <c r="D45" s="1" t="n">
        <v>0.743211804362939</v>
      </c>
    </row>
    <row r="46" customFormat="false" ht="12.8" hidden="false" customHeight="false" outlineLevel="0" collapsed="false">
      <c r="A46" s="8" t="n">
        <v>14</v>
      </c>
      <c r="B46" s="1" t="n">
        <v>0.736351406600312</v>
      </c>
      <c r="C46" s="1" t="n">
        <v>0.714363998847527</v>
      </c>
      <c r="D46" s="1" t="n">
        <v>0.753566163309058</v>
      </c>
    </row>
    <row r="47" customFormat="false" ht="12.8" hidden="false" customHeight="false" outlineLevel="0" collapsed="false">
      <c r="A47" s="8" t="n">
        <v>15</v>
      </c>
      <c r="B47" s="1" t="n">
        <v>0.695164645499178</v>
      </c>
      <c r="C47" s="1" t="n">
        <v>0.714429881453235</v>
      </c>
      <c r="D47" s="1" t="n">
        <v>0.679573608456161</v>
      </c>
    </row>
    <row r="48" customFormat="false" ht="12.8" hidden="false" customHeight="false" outlineLevel="0" collapsed="false">
      <c r="A48" s="8" t="n">
        <v>16</v>
      </c>
      <c r="B48" s="1" t="n">
        <v>0.753663706301646</v>
      </c>
      <c r="C48" s="1" t="n">
        <v>0.730575330250292</v>
      </c>
      <c r="D48" s="1" t="n">
        <v>0.732606769576746</v>
      </c>
    </row>
    <row r="49" customFormat="false" ht="12.8" hidden="false" customHeight="false" outlineLevel="0" collapsed="false">
      <c r="A49" s="8" t="n">
        <v>17</v>
      </c>
      <c r="B49" s="1" t="n">
        <v>0.75925493365687</v>
      </c>
      <c r="C49" s="1" t="n">
        <v>0.731767373432006</v>
      </c>
      <c r="D49" s="1" t="n">
        <v>0.750546686660056</v>
      </c>
    </row>
    <row r="50" customFormat="false" ht="12.8" hidden="false" customHeight="false" outlineLevel="0" collapsed="false">
      <c r="A50" s="8" t="n">
        <v>18</v>
      </c>
      <c r="B50" s="1" t="n">
        <v>0.744001794349238</v>
      </c>
      <c r="C50" s="1" t="n">
        <v>0.715924581106966</v>
      </c>
      <c r="D50" s="1" t="n">
        <v>0.737646756450336</v>
      </c>
    </row>
    <row r="51" customFormat="false" ht="12.8" hidden="false" customHeight="false" outlineLevel="0" collapsed="false">
      <c r="A51" s="8" t="n">
        <v>19</v>
      </c>
      <c r="B51" s="1" t="n">
        <v>0.777745722291328</v>
      </c>
      <c r="C51" s="1" t="n">
        <v>0.781932724966578</v>
      </c>
      <c r="D51" s="1" t="n">
        <v>0.770786882499805</v>
      </c>
    </row>
    <row r="52" customFormat="false" ht="12.8" hidden="false" customHeight="false" outlineLevel="0" collapsed="false">
      <c r="A52" s="8" t="n">
        <v>20</v>
      </c>
      <c r="B52" s="1" t="n">
        <v>0.784404877175123</v>
      </c>
      <c r="C52" s="1" t="n">
        <v>0.770211516204908</v>
      </c>
      <c r="D52" s="1" t="n">
        <v>0.749337452437493</v>
      </c>
    </row>
    <row r="53" customFormat="false" ht="12.8" hidden="false" customHeight="false" outlineLevel="0" collapsed="false">
      <c r="A53" s="8" t="n">
        <v>21</v>
      </c>
      <c r="B53" s="1" t="n">
        <v>0.646558702401536</v>
      </c>
      <c r="C53" s="1" t="n">
        <v>0.65642930221378</v>
      </c>
      <c r="D53" s="1" t="n">
        <v>0.676604991476922</v>
      </c>
    </row>
    <row r="54" customFormat="false" ht="12.8" hidden="false" customHeight="false" outlineLevel="0" collapsed="false">
      <c r="A54" s="8" t="n">
        <v>22</v>
      </c>
      <c r="B54" s="1" t="n">
        <v>0.64627244396815</v>
      </c>
      <c r="C54" s="1" t="n">
        <v>0.699675260395181</v>
      </c>
      <c r="D54" s="1" t="n">
        <v>0.690049864977458</v>
      </c>
    </row>
    <row r="55" customFormat="false" ht="12.8" hidden="false" customHeight="false" outlineLevel="0" collapsed="false">
      <c r="A55" s="8" t="n">
        <v>23</v>
      </c>
      <c r="B55" s="1" t="n">
        <v>0.72738343602134</v>
      </c>
      <c r="C55" s="1" t="n">
        <v>0.736340390593237</v>
      </c>
      <c r="D55" s="1" t="n">
        <v>0.758614453242321</v>
      </c>
    </row>
    <row r="56" customFormat="false" ht="12.8" hidden="false" customHeight="false" outlineLevel="0" collapsed="false">
      <c r="A56" s="8" t="n">
        <v>24</v>
      </c>
      <c r="B56" s="1" t="n">
        <v>0.81572575422772</v>
      </c>
      <c r="C56" s="1" t="n">
        <v>0.808304244936902</v>
      </c>
      <c r="D56" s="1" t="n">
        <v>0.798835137250553</v>
      </c>
    </row>
    <row r="57" customFormat="false" ht="12.8" hidden="false" customHeight="false" outlineLevel="0" collapsed="false">
      <c r="A57" s="4" t="n">
        <v>25</v>
      </c>
      <c r="B57" s="1" t="n">
        <v>0.672703350703668</v>
      </c>
      <c r="C57" s="1" t="n">
        <v>0.717501306984114</v>
      </c>
      <c r="D57" s="1" t="n">
        <v>0.734706374670589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2026-02-20T17:04:17Z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
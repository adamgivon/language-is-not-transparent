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3_hybsem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<sst xmlns="http://schemas.openxmlformats.org/spreadsheetml/2006/main" count="960" uniqueCount="143">
  <si>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</si>
  <si>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</si>
  <si>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</si>
  <si>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</si>
  <si>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</si>
  <si>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</si>
  <si>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</si>
  <si>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</si>
  <si>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</si>
  <si>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</si>
  <si>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</si>
  <si>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</si>
  <si>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average conversation activation</t>
  </si>
  <si>
    <t xml:space="preserve">count</t>
  </si>
  <si>
    <t xml:space="preserve">correlation weights / activation delta</t>
  </si>
  <si>
    <t xml:space="preserve">p</t>
  </si>
  <si>
    <t xml:space="preserve">02f093d3-e054-429f-bcf2-af6660c9ffbc</t>
  </si>
  <si>
    <t xml:space="preserve">cmjbadk2m001ozc4pwj0xyyk3</t>
  </si>
  <si>
    <t xml:space="preserve">cmjbaem4r0025zc4pd3cskc6e</t>
  </si>
  <si>
    <t xml:space="preserve">hybrid_v3_5_semantic</t>
  </si>
  <si>
    <t xml:space="preserve">Scenario_3</t>
  </si>
  <si>
    <t xml:space="preserve">practicality_and_feasibility</t>
  </si>
  <si>
    <t xml:space="preserve">mathematics_computer_science_engineering</t>
  </si>
  <si>
    <t xml:space="preserve">affective_interface</t>
  </si>
  <si>
    <t xml:space="preserve">imagination_and_possibility</t>
  </si>
  <si>
    <t xml:space="preserve">temporal_dynamics</t>
  </si>
  <si>
    <t xml:space="preserve">truth_and_fact</t>
  </si>
  <si>
    <t xml:space="preserve">0c50a8c2-0bba-4b91-8553-8449c0c4b4d4</t>
  </si>
  <si>
    <t xml:space="preserve">cmjbaf0a50029zc4p7h2yfeq7</t>
  </si>
  <si>
    <t xml:space="preserve">cmjbafr0c002qzc4p3c963l7y</t>
  </si>
  <si>
    <t xml:space="preserve">science</t>
  </si>
  <si>
    <t xml:space="preserve">freedom_and_limitations</t>
  </si>
  <si>
    <t xml:space="preserve">78544be1-5cdb-4803-85aa-13d47cfb7824</t>
  </si>
  <si>
    <t xml:space="preserve">cmjbaghid002uzc4pez74htlg</t>
  </si>
  <si>
    <t xml:space="preserve">cmjbahfvh003bzc4pcp8bs9nd</t>
  </si>
  <si>
    <t xml:space="preserve">e0dc8fed-43fa-4747-9655-3c449d301319</t>
  </si>
  <si>
    <t xml:space="preserve">cmjbai3y9003fzc4pyc1tbd4b</t>
  </si>
  <si>
    <t xml:space="preserve">cmjbaiqi9003wzc4ppsf6se2k</t>
  </si>
  <si>
    <t xml:space="preserve">metaphorical_scaffolding</t>
  </si>
  <si>
    <t xml:space="preserve">4ccca127-02b7-486f-bb3e-eed9a8ec313c</t>
  </si>
  <si>
    <t xml:space="preserve">cmjbaj9np0040zc4pnclqxza9</t>
  </si>
  <si>
    <t xml:space="preserve">cmjbajz5t004hzc4p93ojec9z</t>
  </si>
  <si>
    <t xml:space="preserve">ffcfddce-6719-406f-ae02-56b674d0550c</t>
  </si>
  <si>
    <t xml:space="preserve">cmjbakgy5004lzc4pgt568e5q</t>
  </si>
  <si>
    <t xml:space="preserve">cmjbalg8p0052zc4pyx34ma6d</t>
  </si>
  <si>
    <t xml:space="preserve">electricity</t>
  </si>
  <si>
    <t xml:space="preserve">8d626cbb-3e72-4592-9100-038c53454337</t>
  </si>
  <si>
    <t xml:space="preserve">cmjbalz7e0056zc4p9ymmoo6x</t>
  </si>
  <si>
    <t xml:space="preserve">cmjbamioj005nzc4pgkjwx5k8</t>
  </si>
  <si>
    <t xml:space="preserve">9853c0b1-00a0-43d4-8824-4a5f2949058d</t>
  </si>
  <si>
    <t xml:space="preserve">cmjban39i005rzc4pbgriewnu</t>
  </si>
  <si>
    <t xml:space="preserve">cmjbanqc90068zc4pjn9yrc7j</t>
  </si>
  <si>
    <t xml:space="preserve">ba3dd6a7-679c-4469-bd46-706354d378b0</t>
  </si>
  <si>
    <t xml:space="preserve">cmjbao5l5006czc4pu52na8ob</t>
  </si>
  <si>
    <t xml:space="preserve">cmjbaonwl006tzc4po3ntlll6</t>
  </si>
  <si>
    <t xml:space="preserve">identity</t>
  </si>
  <si>
    <t xml:space="preserve">sovereignty</t>
  </si>
  <si>
    <t xml:space="preserve">24155bb3-fd5a-4b23-9903-6aa1e50151d5</t>
  </si>
  <si>
    <t xml:space="preserve">cmjbapbax006xzc4pzx37fjtm</t>
  </si>
  <si>
    <t xml:space="preserve">cmjbaq0o7007ezc4pct734hvr</t>
  </si>
  <si>
    <t xml:space="preserve">0317c9c0-579b-486c-89a7-501e2429b768</t>
  </si>
  <si>
    <t xml:space="preserve">cmjbaqasr007izc4pi145huqm</t>
  </si>
  <si>
    <t xml:space="preserve">cmjbaqxpo007zzc4pdxps7dh5</t>
  </si>
  <si>
    <t xml:space="preserve">cda4f59f-d663-4c7d-9f99-41944f001334</t>
  </si>
  <si>
    <t xml:space="preserve">cmjbar88h0083zc4pq8bebed1</t>
  </si>
  <si>
    <t xml:space="preserve">cmjbasbqh008kzc4pgtcheyi1</t>
  </si>
  <si>
    <t xml:space="preserve">930af716-c545-4d9c-84e1-5b051ddb748e</t>
  </si>
  <si>
    <t xml:space="preserve">cmjbasnyn008ozc4p1jfejtx6</t>
  </si>
  <si>
    <t xml:space="preserve">cmjbatgth0095zc4pld19v4c2</t>
  </si>
  <si>
    <t xml:space="preserve">672234d9-a24b-4c8f-ab75-2f6ae0d78227</t>
  </si>
  <si>
    <t xml:space="preserve">cmjbau9q00099zc4plubnxxu1</t>
  </si>
  <si>
    <t xml:space="preserve">cmjbauy5r009qzc4prtzs8pxl</t>
  </si>
  <si>
    <t xml:space="preserve">32741cbc-7d1d-4e27-ad59-b61534f051d5</t>
  </si>
  <si>
    <t xml:space="preserve">cmjbaxwo2009uzc4poctjee16</t>
  </si>
  <si>
    <t xml:space="preserve">cmjbaycvh00abzc4p3xx54p7q</t>
  </si>
  <si>
    <t xml:space="preserve">202ca3ee-de68-4df8-a132-ebb86b306177</t>
  </si>
  <si>
    <t xml:space="preserve">cmjbb0ddt00afzc4p7jayengh</t>
  </si>
  <si>
    <t xml:space="preserve">cmjbb15ro00awzc4p0egaz63z</t>
  </si>
  <si>
    <t xml:space="preserve">07513ef5-3217-4240-8173-ac98a61893bc</t>
  </si>
  <si>
    <t xml:space="preserve">cmjbb5xon00b0zc4p5ctlypoq</t>
  </si>
  <si>
    <t xml:space="preserve">cmjbb6ea000bhzc4pzdnwagam</t>
  </si>
  <si>
    <t xml:space="preserve">91fd2b73-fb04-452e-af74-54b38fed0215</t>
  </si>
  <si>
    <t xml:space="preserve">cmjbb8nir00blzc4p21jluwea</t>
  </si>
  <si>
    <t xml:space="preserve">cmjbb9eus00c2zc4pfu36j1b4</t>
  </si>
  <si>
    <t xml:space="preserve">7020c9a7-8269-4501-aa7c-d282ea1839ed</t>
  </si>
  <si>
    <t xml:space="preserve">cmjbbaqkz00c6zc4p1hni8l0v</t>
  </si>
  <si>
    <t xml:space="preserve">cmjbbbc7h00cnzc4purwsvnnf</t>
  </si>
  <si>
    <t xml:space="preserve">574d31b8-84b9-4e77-b410-fe9027573d91</t>
  </si>
  <si>
    <t xml:space="preserve">cmjbbcd1q00crzc4p53ruu76i</t>
  </si>
  <si>
    <t xml:space="preserve">cmjbbcp0s00d8zc4p1pyof2xt</t>
  </si>
  <si>
    <t xml:space="preserve">c8bc1136-ec56-4fe9-9813-649836e2009a</t>
  </si>
  <si>
    <t xml:space="preserve">cmjbbdd7b00dczc4p7n4m32gj</t>
  </si>
  <si>
    <t xml:space="preserve">cmjbbe7dt00dtzc4pt9yvw97y</t>
  </si>
  <si>
    <t xml:space="preserve">3d6a431b-48f7-4542-9549-054462622198</t>
  </si>
  <si>
    <t xml:space="preserve">cmjbbgcoz00dxzc4pip1cswgk</t>
  </si>
  <si>
    <t xml:space="preserve">cmjbbh54f00eezc4phl0358ny</t>
  </si>
  <si>
    <t xml:space="preserve">46e15f53-9064-44b3-9b75-bb1f0f882d45</t>
  </si>
  <si>
    <t xml:space="preserve">cmjbbhvo700eizc4p1d9h4hld</t>
  </si>
  <si>
    <t xml:space="preserve">cmjbbiiyx00ezzc4pbb7yybdz</t>
  </si>
  <si>
    <t xml:space="preserve">122abe9a-0707-4cc9-9ff0-969d605cff56</t>
  </si>
  <si>
    <t xml:space="preserve">cmjbbj9u100f3zc4pekb9xl03</t>
  </si>
  <si>
    <t xml:space="preserve">cmjbbjvy800fkzc4pr1y4e861</t>
  </si>
  <si>
    <t xml:space="preserve">f86eae80-95c8-40d7-ad52-26afd68f9680</t>
  </si>
  <si>
    <t xml:space="preserve">cmjbbkg3q00fozc4p7hdvwwdj</t>
  </si>
  <si>
    <t xml:space="preserve">cmjbbkw8t00g5zc4pp4f2lmia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</si>
  <si>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</si>
  <si>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</si>
  <si>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</si>
  <si>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</si>
  <si>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Turn</t>
  </si>
  <si>
    <t xml:space="preserve">hybsem</t>
  </si>
  <si>
    <t xml:space="preserve">control</t>
  </si>
  <si>
    <t xml:space="preserve">std. Hybsem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</si>
  <si>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</si>
  <si>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</si>
  <si>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</si>
  <si>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</si>
  <si>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</si>
  <si>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average scen</t>
  </si>
  <si>
    <t xml:space="preserve">average control</t>
  </si>
  <si>
    <t xml:space="preserve">General</t>
  </si>
  <si>
    <t xml:space="preserve">ac15p</t>
  </si>
  <si>
    <t xml:space="preserve">hybrid</t>
  </si>
  <si>
    <t xml:space="preserve">ANOVA - Single Factor</t>
  </si>
  <si>
    <t xml:space="preserve">Alpha</t>
  </si>
  <si>
    <t xml:space="preserve">Groups</t>
  </si>
  <si>
    <t xml:space="preserve">Count</t>
  </si>
  <si>
    <t xml:space="preserve">Sum</t>
  </si>
  <si>
    <t xml:space="preserve">Mean</t>
  </si>
  <si>
    <t xml:space="preserve">Variance</t>
  </si>
  <si>
    <t xml:space="preserve">Column 1</t>
  </si>
  <si>
    <t xml:space="preserve">Column 2</t>
  </si>
  <si>
    <t xml:space="preserve">Column 3</t>
  </si>
  <si>
    <t xml:space="preserve">Source of Variation</t>
  </si>
  <si>
    <t xml:space="preserve">SS</t>
  </si>
  <si>
    <t xml:space="preserve">df</t>
  </si>
  <si>
    <t xml:space="preserve">MS</t>
  </si>
  <si>
    <t xml:space="preserve">F</t>
  </si>
  <si>
    <t xml:space="preserve">P-value</t>
  </si>
  <si>
    <t xml:space="preserve">F critical</t>
  </si>
  <si>
    <t xml:space="preserve">Between Groups</t>
  </si>
  <si>
    <t xml:space="preserve">Within Groups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</si>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</sst>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7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General</c:formatCode>
                <c:ptCount val="25"/>
                <c:pt idx="0">
                  <c:v>0.807629702855429</c:v>
                </c:pt>
                <c:pt idx="1">
                  <c:v>0.738908432891206</c:v>
                </c:pt>
                <c:pt idx="2">
                  <c:v>0.666482514394955</c:v>
                </c:pt>
                <c:pt idx="3">
                  <c:v>0.617232795834209</c:v>
                </c:pt>
                <c:pt idx="4">
                  <c:v>0.610425455654317</c:v>
                </c:pt>
                <c:pt idx="5">
                  <c:v>0.703303990628902</c:v>
                </c:pt>
                <c:pt idx="6">
                  <c:v>0.817692017265563</c:v>
                </c:pt>
                <c:pt idx="7">
                  <c:v>0.762019495081594</c:v>
                </c:pt>
                <c:pt idx="8">
                  <c:v>0.642354213368125</c:v>
                </c:pt>
                <c:pt idx="9">
                  <c:v>0.622913061011376</c:v>
                </c:pt>
                <c:pt idx="10">
                  <c:v>0.771127559172673</c:v>
                </c:pt>
                <c:pt idx="11">
                  <c:v>0.755700494821908</c:v>
                </c:pt>
                <c:pt idx="12">
                  <c:v>0.652206493784056</c:v>
                </c:pt>
                <c:pt idx="13">
                  <c:v>0.774203318401695</c:v>
                </c:pt>
                <c:pt idx="14">
                  <c:v>0.809939048024508</c:v>
                </c:pt>
                <c:pt idx="15">
                  <c:v>0.650131632080799</c:v>
                </c:pt>
                <c:pt idx="16">
                  <c:v>0.797189081830377</c:v>
                </c:pt>
                <c:pt idx="17">
                  <c:v>0.729185376832561</c:v>
                </c:pt>
                <c:pt idx="18">
                  <c:v>0.814317443577555</c:v>
                </c:pt>
                <c:pt idx="19">
                  <c:v>0.726210867823374</c:v>
                </c:pt>
                <c:pt idx="20">
                  <c:v>0.729028212060252</c:v>
                </c:pt>
                <c:pt idx="21">
                  <c:v>0.726360545777343</c:v>
                </c:pt>
                <c:pt idx="22">
                  <c:v>0.697993411397489</c:v>
                </c:pt>
                <c:pt idx="23">
                  <c:v>0.737397050320407</c:v>
                </c:pt>
                <c:pt idx="24">
                  <c:v>0.740883924174997</c:v>
                </c:pt>
              </c:numCache>
            </c:numRef>
          </c:yVal>
          <c:smooth val="0"/>
        </c:ser>
        <c:axId val="61284076"/>
        <c:axId val="46695410"/>
      </c:scatterChart>
      <c:valAx>
        <c:axId val="612840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6695410"/>
        <c:crosses val="autoZero"/>
        <c:crossBetween val="midCat"/>
      </c:valAx>
      <c:valAx>
        <c:axId val="466954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128407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39240</xdr:colOff>
      <xdr:row>3</xdr:row>
      <xdr:rowOff>0</xdr:rowOff>
    </xdr:from>
    <xdr:to>
      <xdr:col>10</xdr:col>
      <xdr:colOff>109440</xdr:colOff>
      <xdr:row>22</xdr:row>
      <xdr:rowOff>152280</xdr:rowOff>
    </xdr:to>
    <xdr:graphicFrame>
      <xdr:nvGraphicFramePr>
        <xdr:cNvPr id="1" name=""/>
        <xdr:cNvGraphicFramePr/>
      </xdr:nvGraphicFramePr>
      <xdr:xfrm>
        <a:off x="2577240" y="487800"/>
        <a:ext cx="5097600" cy="324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2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O3" activeCellId="1" sqref="L4 O3"/>
    </sheetView>
  </sheetViews>
  <sheetFormatPr defaultColWidth="10.51953125" defaultRowHeight="15" customHeight="false" zeroHeight="false" outlineLevelRow="0" outlineLevelCol="0"/>
  <cols>
    <col collapsed="false" customWidth="true" hidden="false" outlineLevel="0" max="4" min="4" style="1" width="28.33"/>
    <col collapsed="false" customWidth="true" hidden="false" outlineLevel="0" max="5" min="5" style="1" width="19.94"/>
    <col collapsed="false" customWidth="false" hidden="false" outlineLevel="0" max="6" min="6" style="1" width="10.5"/>
    <col collapsed="false" customWidth="true" hidden="false" outlineLevel="0" max="7" min="7" style="2" width="47.23"/>
    <col collapsed="false" customWidth="true" hidden="false" outlineLevel="0" max="8" min="8" style="1" width="11.54"/>
    <col collapsed="false" customWidth="true" hidden="false" outlineLevel="0" max="12" min="9" style="1" width="23.88"/>
    <col collapsed="false" customWidth="true" hidden="false" outlineLevel="0" max="15" min="14" style="2" width="25.23"/>
    <col collapsed="false" customWidth="true" hidden="false" outlineLevel="0" max="16" min="16" style="2" width="11.82"/>
    <col collapsed="false" customWidth="true" hidden="false" outlineLevel="0" max="17" min="17" style="2" width="19.52"/>
  </cols>
  <sheetData>
    <row r="1" customFormat="false" ht="19.4" hidden="false" customHeight="false" outlineLevel="0" collapsed="false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3"/>
      <c r="O1" s="3" t="s">
        <v>12</v>
      </c>
      <c r="P1" s="3" t="s">
        <v>13</v>
      </c>
      <c r="Q1" s="3" t="s">
        <v>14</v>
      </c>
      <c r="R1" s="4" t="s">
        <v>15</v>
      </c>
    </row>
    <row r="2" customFormat="false" ht="15" hidden="false" customHeight="false" outlineLevel="0" collapsed="false">
      <c r="N2" s="1"/>
      <c r="R2" s="1"/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1" t="s">
        <v>19</v>
      </c>
      <c r="E3" s="1" t="s">
        <v>20</v>
      </c>
      <c r="F3" s="1" t="n">
        <v>1</v>
      </c>
      <c r="G3" s="2" t="s">
        <v>21</v>
      </c>
      <c r="H3" s="1" t="n">
        <v>0.1965</v>
      </c>
      <c r="I3" s="1" t="n">
        <v>0.303810112524137</v>
      </c>
      <c r="J3" s="1" t="n">
        <v>0.402298632218348</v>
      </c>
      <c r="K3" s="1" t="n">
        <f aca="false">J3-I3</f>
        <v>0.0984885196942111</v>
      </c>
      <c r="L3" s="1" t="n">
        <v>0.807629702855429</v>
      </c>
      <c r="N3" s="1"/>
      <c r="O3" s="1" t="n">
        <f aca="false">AVERAGE(K3:K152)</f>
        <v>0.0491578639668741</v>
      </c>
      <c r="P3" s="1" t="n">
        <f aca="false">COUNT(K3:K152)</f>
        <v>150</v>
      </c>
      <c r="Q3" s="1" t="n">
        <f aca="false">CORREL(H3:H152,K3:K152)</f>
        <v>-0.139521006912146</v>
      </c>
      <c r="R3" s="1"/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1" t="s">
        <v>19</v>
      </c>
      <c r="E4" s="1" t="s">
        <v>20</v>
      </c>
      <c r="F4" s="1" t="n">
        <v>1</v>
      </c>
      <c r="G4" s="2" t="s">
        <v>22</v>
      </c>
      <c r="H4" s="1" t="n">
        <v>0.1927</v>
      </c>
      <c r="I4" s="1" t="n">
        <v>0.298001878210321</v>
      </c>
      <c r="J4" s="1" t="n">
        <v>0.361325650907261</v>
      </c>
      <c r="K4" s="1" t="n">
        <f aca="false">J4-I4</f>
        <v>0.0633237726969398</v>
      </c>
      <c r="L4" s="1" t="n">
        <v>0.807629702855429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1" t="s">
        <v>19</v>
      </c>
      <c r="E5" s="1" t="s">
        <v>20</v>
      </c>
      <c r="F5" s="1" t="n">
        <v>1</v>
      </c>
      <c r="G5" s="2" t="s">
        <v>23</v>
      </c>
      <c r="H5" s="1" t="n">
        <v>0.1755</v>
      </c>
      <c r="I5" s="1" t="n">
        <v>0.271423950498059</v>
      </c>
      <c r="J5" s="1" t="n">
        <v>0.370459579203201</v>
      </c>
      <c r="K5" s="1" t="n">
        <f aca="false">J5-I5</f>
        <v>0.0990356287051416</v>
      </c>
      <c r="L5" s="1" t="n">
        <v>0.807629702855429</v>
      </c>
    </row>
    <row r="6" customFormat="false" ht="15" hidden="false" customHeight="false" outlineLevel="0" collapsed="false">
      <c r="A6" s="2" t="s">
        <v>16</v>
      </c>
      <c r="B6" s="2" t="s">
        <v>17</v>
      </c>
      <c r="C6" s="2" t="s">
        <v>18</v>
      </c>
      <c r="D6" s="1" t="s">
        <v>19</v>
      </c>
      <c r="E6" s="1" t="s">
        <v>20</v>
      </c>
      <c r="F6" s="1" t="n">
        <v>1</v>
      </c>
      <c r="G6" s="2" t="s">
        <v>24</v>
      </c>
      <c r="H6" s="1" t="n">
        <v>0.1716</v>
      </c>
      <c r="I6" s="1" t="n">
        <v>0.265325498991965</v>
      </c>
      <c r="J6" s="1" t="n">
        <v>0.355926428973859</v>
      </c>
      <c r="K6" s="1" t="n">
        <f aca="false">J6-I6</f>
        <v>0.0906009299818939</v>
      </c>
      <c r="L6" s="1" t="n">
        <v>0.807629702855429</v>
      </c>
    </row>
    <row r="7" customFormat="false" ht="15" hidden="false" customHeight="false" outlineLevel="0" collapsed="false">
      <c r="A7" s="2" t="s">
        <v>16</v>
      </c>
      <c r="B7" s="2" t="s">
        <v>17</v>
      </c>
      <c r="C7" s="2" t="s">
        <v>18</v>
      </c>
      <c r="D7" s="1" t="s">
        <v>19</v>
      </c>
      <c r="E7" s="1" t="s">
        <v>20</v>
      </c>
      <c r="F7" s="1" t="n">
        <v>1</v>
      </c>
      <c r="G7" s="2" t="s">
        <v>25</v>
      </c>
      <c r="H7" s="1" t="n">
        <v>0.1637</v>
      </c>
      <c r="I7" s="1" t="n">
        <v>0.253125990316899</v>
      </c>
      <c r="J7" s="1" t="n">
        <v>0.310466139290267</v>
      </c>
      <c r="K7" s="1" t="n">
        <f aca="false">J7-I7</f>
        <v>0.0573401489733678</v>
      </c>
      <c r="L7" s="1" t="n">
        <v>0.807629702855429</v>
      </c>
    </row>
    <row r="8" customFormat="false" ht="15" hidden="false" customHeight="false" outlineLevel="0" collapsed="false">
      <c r="A8" s="2" t="s">
        <v>16</v>
      </c>
      <c r="B8" s="2" t="s">
        <v>17</v>
      </c>
      <c r="C8" s="2" t="s">
        <v>18</v>
      </c>
      <c r="D8" s="1" t="s">
        <v>19</v>
      </c>
      <c r="E8" s="1" t="s">
        <v>20</v>
      </c>
      <c r="F8" s="1" t="n">
        <v>1</v>
      </c>
      <c r="G8" s="2" t="s">
        <v>26</v>
      </c>
      <c r="H8" s="1" t="n">
        <v>0.1</v>
      </c>
      <c r="I8" s="1" t="n">
        <v>0.177499772484153</v>
      </c>
      <c r="J8" s="1" t="n">
        <v>0.278741970817652</v>
      </c>
      <c r="K8" s="1" t="n">
        <f aca="false">J8-I8</f>
        <v>0.101242198333499</v>
      </c>
      <c r="L8" s="1" t="n">
        <v>0.807629702855429</v>
      </c>
    </row>
    <row r="9" customFormat="false" ht="15" hidden="false" customHeight="false" outlineLevel="0" collapsed="false">
      <c r="A9" s="2" t="s">
        <v>27</v>
      </c>
      <c r="B9" s="2" t="s">
        <v>28</v>
      </c>
      <c r="C9" s="2" t="s">
        <v>29</v>
      </c>
      <c r="D9" s="1" t="s">
        <v>19</v>
      </c>
      <c r="E9" s="1" t="s">
        <v>20</v>
      </c>
      <c r="F9" s="1" t="n">
        <v>3</v>
      </c>
      <c r="G9" s="2" t="s">
        <v>22</v>
      </c>
      <c r="H9" s="1" t="n">
        <v>0.211</v>
      </c>
      <c r="I9" s="1" t="n">
        <v>0.374978211132412</v>
      </c>
      <c r="J9" s="1" t="n">
        <v>0.413151700963317</v>
      </c>
      <c r="K9" s="1" t="n">
        <f aca="false">J9-I9</f>
        <v>0.0381734898309049</v>
      </c>
      <c r="L9" s="1" t="n">
        <v>0.738908432891206</v>
      </c>
    </row>
    <row r="10" customFormat="false" ht="15" hidden="false" customHeight="false" outlineLevel="0" collapsed="false">
      <c r="A10" s="2" t="s">
        <v>27</v>
      </c>
      <c r="B10" s="2" t="s">
        <v>28</v>
      </c>
      <c r="C10" s="2" t="s">
        <v>29</v>
      </c>
      <c r="D10" s="1" t="s">
        <v>19</v>
      </c>
      <c r="E10" s="1" t="s">
        <v>20</v>
      </c>
      <c r="F10" s="1" t="n">
        <v>3</v>
      </c>
      <c r="G10" s="2" t="s">
        <v>21</v>
      </c>
      <c r="H10" s="1" t="n">
        <v>0.2021</v>
      </c>
      <c r="I10" s="1" t="n">
        <v>0.359035039573121</v>
      </c>
      <c r="J10" s="1" t="n">
        <v>0.413108496833333</v>
      </c>
      <c r="K10" s="1" t="n">
        <f aca="false">J10-I10</f>
        <v>0.0540734572602119</v>
      </c>
      <c r="L10" s="1" t="n">
        <v>0.738908432891206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s">
        <v>29</v>
      </c>
      <c r="D11" s="1" t="s">
        <v>19</v>
      </c>
      <c r="E11" s="1" t="s">
        <v>20</v>
      </c>
      <c r="F11" s="1" t="n">
        <v>3</v>
      </c>
      <c r="G11" s="2" t="s">
        <v>30</v>
      </c>
      <c r="H11" s="1" t="n">
        <v>0.1661</v>
      </c>
      <c r="I11" s="1" t="n">
        <v>0.295200356944663</v>
      </c>
      <c r="J11" s="1" t="n">
        <v>0.377992890361014</v>
      </c>
      <c r="K11" s="1" t="n">
        <f aca="false">J11-I11</f>
        <v>0.0827925334163507</v>
      </c>
      <c r="L11" s="1" t="n">
        <v>0.738908432891206</v>
      </c>
    </row>
    <row r="12" customFormat="false" ht="15" hidden="false" customHeight="false" outlineLevel="0" collapsed="false">
      <c r="A12" s="2" t="s">
        <v>27</v>
      </c>
      <c r="B12" s="2" t="s">
        <v>28</v>
      </c>
      <c r="C12" s="2" t="s">
        <v>29</v>
      </c>
      <c r="D12" s="1" t="s">
        <v>19</v>
      </c>
      <c r="E12" s="1" t="s">
        <v>20</v>
      </c>
      <c r="F12" s="1" t="n">
        <v>3</v>
      </c>
      <c r="G12" s="2" t="s">
        <v>31</v>
      </c>
      <c r="H12" s="1" t="n">
        <v>0.1607</v>
      </c>
      <c r="I12" s="1" t="n">
        <v>0.285459445360677</v>
      </c>
      <c r="J12" s="1" t="n">
        <v>0.356414431224259</v>
      </c>
      <c r="K12" s="1" t="n">
        <f aca="false">J12-I12</f>
        <v>0.0709549858635818</v>
      </c>
      <c r="L12" s="1" t="n">
        <v>0.738908432891206</v>
      </c>
    </row>
    <row r="13" customFormat="false" ht="15" hidden="false" customHeight="false" outlineLevel="0" collapsed="false">
      <c r="A13" s="2" t="s">
        <v>27</v>
      </c>
      <c r="B13" s="2" t="s">
        <v>28</v>
      </c>
      <c r="C13" s="2" t="s">
        <v>29</v>
      </c>
      <c r="D13" s="1" t="s">
        <v>19</v>
      </c>
      <c r="E13" s="1" t="s">
        <v>20</v>
      </c>
      <c r="F13" s="1" t="n">
        <v>3</v>
      </c>
      <c r="G13" s="2" t="s">
        <v>23</v>
      </c>
      <c r="H13" s="1" t="n">
        <v>0.1601</v>
      </c>
      <c r="I13" s="1" t="n">
        <v>0.284503934187041</v>
      </c>
      <c r="J13" s="1" t="n">
        <v>0.373353325853486</v>
      </c>
      <c r="K13" s="1" t="n">
        <f aca="false">J13-I13</f>
        <v>0.0888493916664455</v>
      </c>
      <c r="L13" s="1" t="n">
        <v>0.738908432891206</v>
      </c>
    </row>
    <row r="14" customFormat="false" ht="15" hidden="false" customHeight="false" outlineLevel="0" collapsed="false">
      <c r="A14" s="2" t="s">
        <v>27</v>
      </c>
      <c r="B14" s="2" t="s">
        <v>28</v>
      </c>
      <c r="C14" s="2" t="s">
        <v>29</v>
      </c>
      <c r="D14" s="1" t="s">
        <v>19</v>
      </c>
      <c r="E14" s="1" t="s">
        <v>20</v>
      </c>
      <c r="F14" s="1" t="n">
        <v>3</v>
      </c>
      <c r="G14" s="2" t="s">
        <v>26</v>
      </c>
      <c r="H14" s="1" t="n">
        <v>0.1</v>
      </c>
      <c r="I14" s="1" t="n">
        <v>0.244320019651944</v>
      </c>
      <c r="J14" s="1" t="n">
        <v>0.312301251224253</v>
      </c>
      <c r="K14" s="1" t="n">
        <f aca="false">J14-I14</f>
        <v>0.0679812315723089</v>
      </c>
      <c r="L14" s="1" t="n">
        <v>0.738908432891206</v>
      </c>
    </row>
    <row r="15" customFormat="false" ht="15" hidden="false" customHeight="false" outlineLevel="0" collapsed="false">
      <c r="A15" s="2" t="s">
        <v>32</v>
      </c>
      <c r="B15" s="2" t="s">
        <v>33</v>
      </c>
      <c r="C15" s="2" t="s">
        <v>34</v>
      </c>
      <c r="D15" s="1" t="s">
        <v>19</v>
      </c>
      <c r="E15" s="1" t="s">
        <v>20</v>
      </c>
      <c r="F15" s="1" t="n">
        <v>5</v>
      </c>
      <c r="G15" s="2" t="s">
        <v>21</v>
      </c>
      <c r="H15" s="1" t="n">
        <v>0.2164</v>
      </c>
      <c r="I15" s="1" t="n">
        <v>0.348091146525491</v>
      </c>
      <c r="J15" s="1" t="n">
        <v>0.3735670399608</v>
      </c>
      <c r="K15" s="1" t="n">
        <f aca="false">J15-I15</f>
        <v>0.0254758934353096</v>
      </c>
      <c r="L15" s="1" t="n">
        <v>0.666482514394955</v>
      </c>
    </row>
    <row r="16" customFormat="false" ht="15" hidden="false" customHeight="false" outlineLevel="0" collapsed="false">
      <c r="A16" s="2" t="s">
        <v>32</v>
      </c>
      <c r="B16" s="2" t="s">
        <v>33</v>
      </c>
      <c r="C16" s="2" t="s">
        <v>34</v>
      </c>
      <c r="D16" s="1" t="s">
        <v>19</v>
      </c>
      <c r="E16" s="1" t="s">
        <v>20</v>
      </c>
      <c r="F16" s="1" t="n">
        <v>5</v>
      </c>
      <c r="G16" s="2" t="s">
        <v>22</v>
      </c>
      <c r="H16" s="1" t="n">
        <v>0.1911</v>
      </c>
      <c r="I16" s="1" t="n">
        <v>0.307343914999242</v>
      </c>
      <c r="J16" s="1" t="n">
        <v>0.355499078577427</v>
      </c>
      <c r="K16" s="1" t="n">
        <f aca="false">J16-I16</f>
        <v>0.0481551635781856</v>
      </c>
      <c r="L16" s="1" t="n">
        <v>0.666482514394955</v>
      </c>
    </row>
    <row r="17" customFormat="false" ht="15" hidden="false" customHeight="false" outlineLevel="0" collapsed="false">
      <c r="A17" s="2" t="s">
        <v>32</v>
      </c>
      <c r="B17" s="2" t="s">
        <v>33</v>
      </c>
      <c r="C17" s="2" t="s">
        <v>34</v>
      </c>
      <c r="D17" s="1" t="s">
        <v>19</v>
      </c>
      <c r="E17" s="1" t="s">
        <v>20</v>
      </c>
      <c r="F17" s="1" t="n">
        <v>5</v>
      </c>
      <c r="G17" s="2" t="s">
        <v>31</v>
      </c>
      <c r="H17" s="1" t="n">
        <v>0.1661</v>
      </c>
      <c r="I17" s="1" t="n">
        <v>0.26714817102831</v>
      </c>
      <c r="J17" s="1" t="n">
        <v>0.3356292713482</v>
      </c>
      <c r="K17" s="1" t="n">
        <f aca="false">J17-I17</f>
        <v>0.0684811003198904</v>
      </c>
      <c r="L17" s="1" t="n">
        <v>0.666482514394955</v>
      </c>
    </row>
    <row r="18" customFormat="false" ht="15" hidden="false" customHeight="false" outlineLevel="0" collapsed="false">
      <c r="A18" s="2" t="s">
        <v>32</v>
      </c>
      <c r="B18" s="2" t="s">
        <v>33</v>
      </c>
      <c r="C18" s="2" t="s">
        <v>34</v>
      </c>
      <c r="D18" s="1" t="s">
        <v>19</v>
      </c>
      <c r="E18" s="1" t="s">
        <v>20</v>
      </c>
      <c r="F18" s="1" t="n">
        <v>5</v>
      </c>
      <c r="G18" s="2" t="s">
        <v>24</v>
      </c>
      <c r="H18" s="1" t="n">
        <v>0.1652</v>
      </c>
      <c r="I18" s="1" t="n">
        <v>0.265761080314419</v>
      </c>
      <c r="J18" s="1" t="n">
        <v>0.328708530505069</v>
      </c>
      <c r="K18" s="1" t="n">
        <f aca="false">J18-I18</f>
        <v>0.0629474501906504</v>
      </c>
      <c r="L18" s="1" t="n">
        <v>0.666482514394955</v>
      </c>
    </row>
    <row r="19" customFormat="false" ht="15" hidden="false" customHeight="false" outlineLevel="0" collapsed="false">
      <c r="A19" s="2" t="s">
        <v>32</v>
      </c>
      <c r="B19" s="2" t="s">
        <v>33</v>
      </c>
      <c r="C19" s="2" t="s">
        <v>34</v>
      </c>
      <c r="D19" s="1" t="s">
        <v>19</v>
      </c>
      <c r="E19" s="1" t="s">
        <v>20</v>
      </c>
      <c r="F19" s="1" t="n">
        <v>5</v>
      </c>
      <c r="G19" s="2" t="s">
        <v>23</v>
      </c>
      <c r="H19" s="1" t="n">
        <v>0.1612</v>
      </c>
      <c r="I19" s="1" t="n">
        <v>0.259249392193381</v>
      </c>
      <c r="J19" s="1" t="n">
        <v>0.347248815661867</v>
      </c>
      <c r="K19" s="1" t="n">
        <f aca="false">J19-I19</f>
        <v>0.0879994234684863</v>
      </c>
      <c r="L19" s="1" t="n">
        <v>0.666482514394955</v>
      </c>
    </row>
    <row r="20" customFormat="false" ht="15" hidden="false" customHeight="false" outlineLevel="0" collapsed="false">
      <c r="A20" s="2" t="s">
        <v>32</v>
      </c>
      <c r="B20" s="2" t="s">
        <v>33</v>
      </c>
      <c r="C20" s="2" t="s">
        <v>34</v>
      </c>
      <c r="D20" s="1" t="s">
        <v>19</v>
      </c>
      <c r="E20" s="1" t="s">
        <v>20</v>
      </c>
      <c r="F20" s="1" t="n">
        <v>5</v>
      </c>
      <c r="G20" s="2" t="s">
        <v>26</v>
      </c>
      <c r="H20" s="1" t="n">
        <v>0.1</v>
      </c>
      <c r="I20" s="1" t="n">
        <v>0.212102339173222</v>
      </c>
      <c r="J20" s="1" t="n">
        <v>0.263649038778665</v>
      </c>
      <c r="K20" s="1" t="n">
        <f aca="false">J20-I20</f>
        <v>0.0515466996054428</v>
      </c>
      <c r="L20" s="1" t="n">
        <v>0.666482514394955</v>
      </c>
    </row>
    <row r="21" customFormat="false" ht="15" hidden="false" customHeight="false" outlineLevel="0" collapsed="false">
      <c r="A21" s="2" t="s">
        <v>35</v>
      </c>
      <c r="B21" s="2" t="s">
        <v>36</v>
      </c>
      <c r="C21" s="2" t="s">
        <v>37</v>
      </c>
      <c r="D21" s="1" t="s">
        <v>19</v>
      </c>
      <c r="E21" s="1" t="s">
        <v>20</v>
      </c>
      <c r="F21" s="1" t="n">
        <v>7</v>
      </c>
      <c r="G21" s="2" t="s">
        <v>21</v>
      </c>
      <c r="H21" s="1" t="n">
        <v>0.1863</v>
      </c>
      <c r="I21" s="1" t="n">
        <v>0.31790508989223</v>
      </c>
      <c r="J21" s="1" t="n">
        <v>0.351445711432271</v>
      </c>
      <c r="K21" s="1" t="n">
        <f aca="false">J21-I21</f>
        <v>0.0335406215400406</v>
      </c>
      <c r="L21" s="1" t="n">
        <v>0.617232795834209</v>
      </c>
    </row>
    <row r="22" customFormat="false" ht="15" hidden="false" customHeight="false" outlineLevel="0" collapsed="false">
      <c r="A22" s="2" t="s">
        <v>35</v>
      </c>
      <c r="B22" s="2" t="s">
        <v>36</v>
      </c>
      <c r="C22" s="2" t="s">
        <v>37</v>
      </c>
      <c r="D22" s="1" t="s">
        <v>19</v>
      </c>
      <c r="E22" s="1" t="s">
        <v>20</v>
      </c>
      <c r="F22" s="1" t="n">
        <v>7</v>
      </c>
      <c r="G22" s="2" t="s">
        <v>22</v>
      </c>
      <c r="H22" s="1" t="n">
        <v>0.1823</v>
      </c>
      <c r="I22" s="1" t="n">
        <v>0.311109006735527</v>
      </c>
      <c r="J22" s="1" t="n">
        <v>0.340437105148112</v>
      </c>
      <c r="K22" s="1" t="n">
        <f aca="false">J22-I22</f>
        <v>0.0293280984125849</v>
      </c>
      <c r="L22" s="1" t="n">
        <v>0.617232795834209</v>
      </c>
    </row>
    <row r="23" customFormat="false" ht="15" hidden="false" customHeight="false" outlineLevel="0" collapsed="false">
      <c r="A23" s="2" t="s">
        <v>35</v>
      </c>
      <c r="B23" s="2" t="s">
        <v>36</v>
      </c>
      <c r="C23" s="2" t="s">
        <v>37</v>
      </c>
      <c r="D23" s="1" t="s">
        <v>19</v>
      </c>
      <c r="E23" s="1" t="s">
        <v>20</v>
      </c>
      <c r="F23" s="1" t="n">
        <v>7</v>
      </c>
      <c r="G23" s="2" t="s">
        <v>38</v>
      </c>
      <c r="H23" s="1" t="n">
        <v>0.1807</v>
      </c>
      <c r="I23" s="1" t="n">
        <v>0.30837391242692</v>
      </c>
      <c r="J23" s="1" t="n">
        <v>0.315441224939592</v>
      </c>
      <c r="K23" s="1" t="n">
        <f aca="false">J23-I23</f>
        <v>0.00706731251267173</v>
      </c>
      <c r="L23" s="1" t="n">
        <v>0.617232795834209</v>
      </c>
    </row>
    <row r="24" customFormat="false" ht="15" hidden="false" customHeight="false" outlineLevel="0" collapsed="false">
      <c r="A24" s="2" t="s">
        <v>35</v>
      </c>
      <c r="B24" s="2" t="s">
        <v>36</v>
      </c>
      <c r="C24" s="2" t="s">
        <v>37</v>
      </c>
      <c r="D24" s="1" t="s">
        <v>19</v>
      </c>
      <c r="E24" s="1" t="s">
        <v>20</v>
      </c>
      <c r="F24" s="1" t="n">
        <v>7</v>
      </c>
      <c r="G24" s="2" t="s">
        <v>25</v>
      </c>
      <c r="H24" s="1" t="n">
        <v>0.1759</v>
      </c>
      <c r="I24" s="1" t="n">
        <v>0.300278112081954</v>
      </c>
      <c r="J24" s="1" t="n">
        <v>0.31570594765986</v>
      </c>
      <c r="K24" s="1" t="n">
        <f aca="false">J24-I24</f>
        <v>0.0154278355779063</v>
      </c>
      <c r="L24" s="1" t="n">
        <v>0.617232795834209</v>
      </c>
    </row>
    <row r="25" customFormat="false" ht="15" hidden="false" customHeight="false" outlineLevel="0" collapsed="false">
      <c r="A25" s="2" t="s">
        <v>35</v>
      </c>
      <c r="B25" s="2" t="s">
        <v>36</v>
      </c>
      <c r="C25" s="2" t="s">
        <v>37</v>
      </c>
      <c r="D25" s="1" t="s">
        <v>19</v>
      </c>
      <c r="E25" s="1" t="s">
        <v>20</v>
      </c>
      <c r="F25" s="1" t="n">
        <v>7</v>
      </c>
      <c r="G25" s="2" t="s">
        <v>23</v>
      </c>
      <c r="H25" s="1" t="n">
        <v>0.1748</v>
      </c>
      <c r="I25" s="1" t="n">
        <v>0.298349199105963</v>
      </c>
      <c r="J25" s="1" t="n">
        <v>0.383139660130831</v>
      </c>
      <c r="K25" s="1" t="n">
        <f aca="false">J25-I25</f>
        <v>0.0847904610248681</v>
      </c>
      <c r="L25" s="1" t="n">
        <v>0.617232795834209</v>
      </c>
    </row>
    <row r="26" customFormat="false" ht="15" hidden="false" customHeight="false" outlineLevel="0" collapsed="false">
      <c r="A26" s="2" t="s">
        <v>35</v>
      </c>
      <c r="B26" s="2" t="s">
        <v>36</v>
      </c>
      <c r="C26" s="2" t="s">
        <v>37</v>
      </c>
      <c r="D26" s="1" t="s">
        <v>19</v>
      </c>
      <c r="E26" s="1" t="s">
        <v>20</v>
      </c>
      <c r="F26" s="1" t="n">
        <v>7</v>
      </c>
      <c r="G26" s="2" t="s">
        <v>26</v>
      </c>
      <c r="H26" s="1" t="n">
        <v>0.1</v>
      </c>
      <c r="I26" s="1" t="n">
        <v>0.206500344414057</v>
      </c>
      <c r="J26" s="1" t="n">
        <v>0.261047645857284</v>
      </c>
      <c r="K26" s="1" t="n">
        <f aca="false">J26-I26</f>
        <v>0.0545473014432265</v>
      </c>
      <c r="L26" s="1" t="n">
        <v>0.617232795834209</v>
      </c>
    </row>
    <row r="27" customFormat="false" ht="15" hidden="false" customHeight="false" outlineLevel="0" collapsed="false">
      <c r="A27" s="2" t="s">
        <v>39</v>
      </c>
      <c r="B27" s="2" t="s">
        <v>40</v>
      </c>
      <c r="C27" s="2" t="s">
        <v>41</v>
      </c>
      <c r="D27" s="1" t="s">
        <v>19</v>
      </c>
      <c r="E27" s="1" t="s">
        <v>20</v>
      </c>
      <c r="F27" s="1" t="n">
        <v>9</v>
      </c>
      <c r="G27" s="2" t="s">
        <v>22</v>
      </c>
      <c r="H27" s="1" t="n">
        <v>0.1912</v>
      </c>
      <c r="I27" s="1" t="n">
        <v>0.259378143628535</v>
      </c>
      <c r="J27" s="1" t="n">
        <v>0.32913631289513</v>
      </c>
      <c r="K27" s="1" t="n">
        <f aca="false">J27-I27</f>
        <v>0.0697581692665947</v>
      </c>
      <c r="L27" s="1" t="n">
        <v>0.610425455654317</v>
      </c>
    </row>
    <row r="28" customFormat="false" ht="15" hidden="false" customHeight="false" outlineLevel="0" collapsed="false">
      <c r="A28" s="2" t="s">
        <v>39</v>
      </c>
      <c r="B28" s="2" t="s">
        <v>40</v>
      </c>
      <c r="C28" s="2" t="s">
        <v>41</v>
      </c>
      <c r="D28" s="1" t="s">
        <v>19</v>
      </c>
      <c r="E28" s="1" t="s">
        <v>20</v>
      </c>
      <c r="F28" s="1" t="n">
        <v>9</v>
      </c>
      <c r="G28" s="2" t="s">
        <v>21</v>
      </c>
      <c r="H28" s="1" t="n">
        <v>0.1891</v>
      </c>
      <c r="I28" s="1" t="n">
        <v>0.256578880279064</v>
      </c>
      <c r="J28" s="1" t="n">
        <v>0.369422932370082</v>
      </c>
      <c r="K28" s="1" t="n">
        <f aca="false">J28-I28</f>
        <v>0.112844052091019</v>
      </c>
      <c r="L28" s="1" t="n">
        <v>0.610425455654317</v>
      </c>
    </row>
    <row r="29" customFormat="false" ht="15" hidden="false" customHeight="false" outlineLevel="0" collapsed="false">
      <c r="A29" s="2" t="s">
        <v>39</v>
      </c>
      <c r="B29" s="2" t="s">
        <v>40</v>
      </c>
      <c r="C29" s="2" t="s">
        <v>41</v>
      </c>
      <c r="D29" s="1" t="s">
        <v>19</v>
      </c>
      <c r="E29" s="1" t="s">
        <v>20</v>
      </c>
      <c r="F29" s="1" t="n">
        <v>9</v>
      </c>
      <c r="G29" s="2" t="s">
        <v>23</v>
      </c>
      <c r="H29" s="1" t="n">
        <v>0.1798</v>
      </c>
      <c r="I29" s="1" t="n">
        <v>0.2439451526345</v>
      </c>
      <c r="J29" s="1" t="n">
        <v>0.320010626631045</v>
      </c>
      <c r="K29" s="1" t="n">
        <f aca="false">J29-I29</f>
        <v>0.0760654739965448</v>
      </c>
      <c r="L29" s="1" t="n">
        <v>0.610425455654317</v>
      </c>
    </row>
    <row r="30" customFormat="false" ht="15" hidden="false" customHeight="false" outlineLevel="0" collapsed="false">
      <c r="A30" s="2" t="s">
        <v>39</v>
      </c>
      <c r="B30" s="2" t="s">
        <v>40</v>
      </c>
      <c r="C30" s="2" t="s">
        <v>41</v>
      </c>
      <c r="D30" s="1" t="s">
        <v>19</v>
      </c>
      <c r="E30" s="1" t="s">
        <v>20</v>
      </c>
      <c r="F30" s="1" t="n">
        <v>9</v>
      </c>
      <c r="G30" s="2" t="s">
        <v>25</v>
      </c>
      <c r="H30" s="1" t="n">
        <v>0.1737</v>
      </c>
      <c r="I30" s="1" t="n">
        <v>0.235672371935235</v>
      </c>
      <c r="J30" s="1" t="n">
        <v>0.300007557942861</v>
      </c>
      <c r="K30" s="1" t="n">
        <f aca="false">J30-I30</f>
        <v>0.0643351860076264</v>
      </c>
      <c r="L30" s="1" t="n">
        <v>0.610425455654317</v>
      </c>
    </row>
    <row r="31" customFormat="false" ht="15" hidden="false" customHeight="false" outlineLevel="0" collapsed="false">
      <c r="A31" s="2" t="s">
        <v>39</v>
      </c>
      <c r="B31" s="2" t="s">
        <v>40</v>
      </c>
      <c r="C31" s="2" t="s">
        <v>41</v>
      </c>
      <c r="D31" s="1" t="s">
        <v>19</v>
      </c>
      <c r="E31" s="1" t="s">
        <v>20</v>
      </c>
      <c r="F31" s="1" t="n">
        <v>9</v>
      </c>
      <c r="G31" s="2" t="s">
        <v>24</v>
      </c>
      <c r="H31" s="1" t="n">
        <v>0.1663</v>
      </c>
      <c r="I31" s="1" t="n">
        <v>0.225592621155775</v>
      </c>
      <c r="J31" s="1" t="n">
        <v>0.332505561479694</v>
      </c>
      <c r="K31" s="1" t="n">
        <f aca="false">J31-I31</f>
        <v>0.106912940323919</v>
      </c>
      <c r="L31" s="1" t="n">
        <v>0.610425455654317</v>
      </c>
    </row>
    <row r="32" customFormat="false" ht="15" hidden="false" customHeight="false" outlineLevel="0" collapsed="false">
      <c r="A32" s="2" t="s">
        <v>39</v>
      </c>
      <c r="B32" s="2" t="s">
        <v>40</v>
      </c>
      <c r="C32" s="2" t="s">
        <v>41</v>
      </c>
      <c r="D32" s="1" t="s">
        <v>19</v>
      </c>
      <c r="E32" s="1" t="s">
        <v>20</v>
      </c>
      <c r="F32" s="1" t="n">
        <v>9</v>
      </c>
      <c r="G32" s="2" t="s">
        <v>26</v>
      </c>
      <c r="H32" s="1" t="n">
        <v>0.1</v>
      </c>
      <c r="I32" s="1" t="n">
        <v>0.151202919990453</v>
      </c>
      <c r="J32" s="1" t="n">
        <v>0.220303824943037</v>
      </c>
      <c r="K32" s="1" t="n">
        <f aca="false">J32-I32</f>
        <v>0.0691009049525836</v>
      </c>
      <c r="L32" s="1" t="n">
        <v>0.610425455654317</v>
      </c>
    </row>
    <row r="33" customFormat="false" ht="15" hidden="false" customHeight="false" outlineLevel="0" collapsed="false">
      <c r="A33" s="2" t="s">
        <v>42</v>
      </c>
      <c r="B33" s="2" t="s">
        <v>43</v>
      </c>
      <c r="C33" s="2" t="s">
        <v>44</v>
      </c>
      <c r="D33" s="1" t="s">
        <v>19</v>
      </c>
      <c r="E33" s="1" t="s">
        <v>20</v>
      </c>
      <c r="F33" s="1" t="n">
        <v>11</v>
      </c>
      <c r="G33" s="2" t="s">
        <v>21</v>
      </c>
      <c r="H33" s="1" t="n">
        <v>0.2151</v>
      </c>
      <c r="I33" s="1" t="n">
        <v>0.30270340571793</v>
      </c>
      <c r="J33" s="1" t="n">
        <v>0.324980039872454</v>
      </c>
      <c r="K33" s="1" t="n">
        <f aca="false">J33-I33</f>
        <v>0.0222766341545237</v>
      </c>
      <c r="L33" s="1" t="n">
        <v>0.703303990628902</v>
      </c>
    </row>
    <row r="34" customFormat="false" ht="15" hidden="false" customHeight="false" outlineLevel="0" collapsed="false">
      <c r="A34" s="2" t="s">
        <v>42</v>
      </c>
      <c r="B34" s="2" t="s">
        <v>43</v>
      </c>
      <c r="C34" s="2" t="s">
        <v>44</v>
      </c>
      <c r="D34" s="1" t="s">
        <v>19</v>
      </c>
      <c r="E34" s="1" t="s">
        <v>20</v>
      </c>
      <c r="F34" s="1" t="n">
        <v>11</v>
      </c>
      <c r="G34" s="2" t="s">
        <v>22</v>
      </c>
      <c r="H34" s="1" t="n">
        <v>0.1918</v>
      </c>
      <c r="I34" s="1" t="n">
        <v>0.269870533254038</v>
      </c>
      <c r="J34" s="1" t="n">
        <v>0.319432023719186</v>
      </c>
      <c r="K34" s="1" t="n">
        <f aca="false">J34-I34</f>
        <v>0.0495614904651484</v>
      </c>
      <c r="L34" s="1" t="n">
        <v>0.703303990628902</v>
      </c>
    </row>
    <row r="35" customFormat="false" ht="15" hidden="false" customHeight="false" outlineLevel="0" collapsed="false">
      <c r="A35" s="2" t="s">
        <v>42</v>
      </c>
      <c r="B35" s="2" t="s">
        <v>43</v>
      </c>
      <c r="C35" s="2" t="s">
        <v>44</v>
      </c>
      <c r="D35" s="1" t="s">
        <v>19</v>
      </c>
      <c r="E35" s="1" t="s">
        <v>20</v>
      </c>
      <c r="F35" s="1" t="n">
        <v>11</v>
      </c>
      <c r="G35" s="2" t="s">
        <v>25</v>
      </c>
      <c r="H35" s="1" t="n">
        <v>0.1867</v>
      </c>
      <c r="I35" s="1" t="n">
        <v>0.262791195737251</v>
      </c>
      <c r="J35" s="1" t="n">
        <v>0.260521993294745</v>
      </c>
      <c r="K35" s="1" t="n">
        <f aca="false">J35-I35</f>
        <v>-0.00226920244250639</v>
      </c>
      <c r="L35" s="1" t="n">
        <v>0.703303990628902</v>
      </c>
    </row>
    <row r="36" customFormat="false" ht="15" hidden="false" customHeight="false" outlineLevel="0" collapsed="false">
      <c r="A36" s="2" t="s">
        <v>42</v>
      </c>
      <c r="B36" s="2" t="s">
        <v>43</v>
      </c>
      <c r="C36" s="2" t="s">
        <v>44</v>
      </c>
      <c r="D36" s="1" t="s">
        <v>19</v>
      </c>
      <c r="E36" s="1" t="s">
        <v>20</v>
      </c>
      <c r="F36" s="1" t="n">
        <v>11</v>
      </c>
      <c r="G36" s="2" t="s">
        <v>24</v>
      </c>
      <c r="H36" s="1" t="n">
        <v>0.1637</v>
      </c>
      <c r="I36" s="1" t="n">
        <v>0.230314354523434</v>
      </c>
      <c r="J36" s="1" t="n">
        <v>0.271813231928096</v>
      </c>
      <c r="K36" s="1" t="n">
        <f aca="false">J36-I36</f>
        <v>0.0414988774046622</v>
      </c>
      <c r="L36" s="1" t="n">
        <v>0.703303990628902</v>
      </c>
    </row>
    <row r="37" customFormat="false" ht="15" hidden="false" customHeight="false" outlineLevel="0" collapsed="false">
      <c r="A37" s="2" t="s">
        <v>42</v>
      </c>
      <c r="B37" s="2" t="s">
        <v>43</v>
      </c>
      <c r="C37" s="2" t="s">
        <v>44</v>
      </c>
      <c r="D37" s="1" t="s">
        <v>19</v>
      </c>
      <c r="E37" s="1" t="s">
        <v>20</v>
      </c>
      <c r="F37" s="1" t="n">
        <v>11</v>
      </c>
      <c r="G37" s="2" t="s">
        <v>45</v>
      </c>
      <c r="H37" s="1" t="n">
        <v>0.1427</v>
      </c>
      <c r="I37" s="1" t="n">
        <v>0.20080949476531</v>
      </c>
      <c r="J37" s="1" t="n">
        <v>0.222912967149882</v>
      </c>
      <c r="K37" s="1" t="n">
        <f aca="false">J37-I37</f>
        <v>0.0221034723845719</v>
      </c>
      <c r="L37" s="1" t="n">
        <v>0.703303990628902</v>
      </c>
    </row>
    <row r="38" customFormat="false" ht="15" hidden="false" customHeight="false" outlineLevel="0" collapsed="false">
      <c r="A38" s="2" t="s">
        <v>42</v>
      </c>
      <c r="B38" s="2" t="s">
        <v>43</v>
      </c>
      <c r="C38" s="2" t="s">
        <v>44</v>
      </c>
      <c r="D38" s="1" t="s">
        <v>19</v>
      </c>
      <c r="E38" s="1" t="s">
        <v>20</v>
      </c>
      <c r="F38" s="1" t="n">
        <v>11</v>
      </c>
      <c r="G38" s="2" t="s">
        <v>26</v>
      </c>
      <c r="H38" s="1" t="n">
        <v>0.1</v>
      </c>
      <c r="I38" s="1" t="n">
        <v>0.165447695873069</v>
      </c>
      <c r="J38" s="1" t="n">
        <v>0.206890296849589</v>
      </c>
      <c r="K38" s="1" t="n">
        <f aca="false">J38-I38</f>
        <v>0.0414426009765204</v>
      </c>
      <c r="L38" s="1" t="n">
        <v>0.703303990628902</v>
      </c>
    </row>
    <row r="39" customFormat="false" ht="15" hidden="false" customHeight="false" outlineLevel="0" collapsed="false">
      <c r="A39" s="2" t="s">
        <v>46</v>
      </c>
      <c r="B39" s="2" t="s">
        <v>47</v>
      </c>
      <c r="C39" s="2" t="s">
        <v>48</v>
      </c>
      <c r="D39" s="1" t="s">
        <v>19</v>
      </c>
      <c r="E39" s="1" t="s">
        <v>20</v>
      </c>
      <c r="F39" s="1" t="n">
        <v>13</v>
      </c>
      <c r="G39" s="2" t="s">
        <v>21</v>
      </c>
      <c r="H39" s="1" t="n">
        <v>0.2124</v>
      </c>
      <c r="I39" s="1" t="n">
        <v>0.33047125612524</v>
      </c>
      <c r="J39" s="1" t="n">
        <v>0.350749994008378</v>
      </c>
      <c r="K39" s="1" t="n">
        <f aca="false">J39-I39</f>
        <v>0.0202787378831375</v>
      </c>
      <c r="L39" s="1" t="n">
        <v>0.817692017265563</v>
      </c>
    </row>
    <row r="40" customFormat="false" ht="15" hidden="false" customHeight="false" outlineLevel="0" collapsed="false">
      <c r="A40" s="2" t="s">
        <v>46</v>
      </c>
      <c r="B40" s="2" t="s">
        <v>47</v>
      </c>
      <c r="C40" s="2" t="s">
        <v>48</v>
      </c>
      <c r="D40" s="1" t="s">
        <v>19</v>
      </c>
      <c r="E40" s="1" t="s">
        <v>20</v>
      </c>
      <c r="F40" s="1" t="n">
        <v>13</v>
      </c>
      <c r="G40" s="2" t="s">
        <v>22</v>
      </c>
      <c r="H40" s="1" t="n">
        <v>0.1997</v>
      </c>
      <c r="I40" s="1" t="n">
        <v>0.310642630728391</v>
      </c>
      <c r="J40" s="1" t="n">
        <v>0.321096512766808</v>
      </c>
      <c r="K40" s="1" t="n">
        <f aca="false">J40-I40</f>
        <v>0.0104538820384167</v>
      </c>
      <c r="L40" s="1" t="n">
        <v>0.817692017265563</v>
      </c>
    </row>
    <row r="41" customFormat="false" ht="15" hidden="false" customHeight="false" outlineLevel="0" collapsed="false">
      <c r="A41" s="2" t="s">
        <v>46</v>
      </c>
      <c r="B41" s="2" t="s">
        <v>47</v>
      </c>
      <c r="C41" s="2" t="s">
        <v>48</v>
      </c>
      <c r="D41" s="1" t="s">
        <v>19</v>
      </c>
      <c r="E41" s="1" t="s">
        <v>20</v>
      </c>
      <c r="F41" s="1" t="n">
        <v>13</v>
      </c>
      <c r="G41" s="2" t="s">
        <v>24</v>
      </c>
      <c r="H41" s="1" t="n">
        <v>0.1687</v>
      </c>
      <c r="I41" s="1" t="n">
        <v>0.262553686145828</v>
      </c>
      <c r="J41" s="1" t="n">
        <v>0.300365162665412</v>
      </c>
      <c r="K41" s="1" t="n">
        <f aca="false">J41-I41</f>
        <v>0.0378114765195843</v>
      </c>
      <c r="L41" s="1" t="n">
        <v>0.817692017265563</v>
      </c>
    </row>
    <row r="42" customFormat="false" ht="15" hidden="false" customHeight="false" outlineLevel="0" collapsed="false">
      <c r="A42" s="2" t="s">
        <v>46</v>
      </c>
      <c r="B42" s="2" t="s">
        <v>47</v>
      </c>
      <c r="C42" s="2" t="s">
        <v>48</v>
      </c>
      <c r="D42" s="1" t="s">
        <v>19</v>
      </c>
      <c r="E42" s="1" t="s">
        <v>20</v>
      </c>
      <c r="F42" s="1" t="n">
        <v>13</v>
      </c>
      <c r="G42" s="2" t="s">
        <v>23</v>
      </c>
      <c r="H42" s="1" t="n">
        <v>0.1617</v>
      </c>
      <c r="I42" s="1" t="n">
        <v>0.251641635265888</v>
      </c>
      <c r="J42" s="1" t="n">
        <v>0.303556985981944</v>
      </c>
      <c r="K42" s="1" t="n">
        <f aca="false">J42-I42</f>
        <v>0.0519153507160557</v>
      </c>
      <c r="L42" s="1" t="n">
        <v>0.817692017265563</v>
      </c>
    </row>
    <row r="43" customFormat="false" ht="15" hidden="false" customHeight="false" outlineLevel="0" collapsed="false">
      <c r="A43" s="2" t="s">
        <v>46</v>
      </c>
      <c r="B43" s="2" t="s">
        <v>47</v>
      </c>
      <c r="C43" s="2" t="s">
        <v>48</v>
      </c>
      <c r="D43" s="1" t="s">
        <v>19</v>
      </c>
      <c r="E43" s="1" t="s">
        <v>20</v>
      </c>
      <c r="F43" s="1" t="n">
        <v>13</v>
      </c>
      <c r="G43" s="2" t="s">
        <v>25</v>
      </c>
      <c r="H43" s="1" t="n">
        <v>0.1575</v>
      </c>
      <c r="I43" s="1" t="n">
        <v>0.24501925986219</v>
      </c>
      <c r="J43" s="1" t="n">
        <v>0.298671201810004</v>
      </c>
      <c r="K43" s="1" t="n">
        <f aca="false">J43-I43</f>
        <v>0.0536519419478148</v>
      </c>
      <c r="L43" s="1" t="n">
        <v>0.817692017265563</v>
      </c>
    </row>
    <row r="44" customFormat="false" ht="15" hidden="false" customHeight="false" outlineLevel="0" collapsed="false">
      <c r="A44" s="2" t="s">
        <v>46</v>
      </c>
      <c r="B44" s="2" t="s">
        <v>47</v>
      </c>
      <c r="C44" s="2" t="s">
        <v>48</v>
      </c>
      <c r="D44" s="1" t="s">
        <v>19</v>
      </c>
      <c r="E44" s="1" t="s">
        <v>20</v>
      </c>
      <c r="F44" s="1" t="n">
        <v>13</v>
      </c>
      <c r="G44" s="2" t="s">
        <v>26</v>
      </c>
      <c r="H44" s="1" t="n">
        <v>0.1</v>
      </c>
      <c r="I44" s="1" t="n">
        <v>0.171440230023465</v>
      </c>
      <c r="J44" s="1" t="n">
        <v>0.214105704455619</v>
      </c>
      <c r="K44" s="1" t="n">
        <f aca="false">J44-I44</f>
        <v>0.0426654744321533</v>
      </c>
      <c r="L44" s="1" t="n">
        <v>0.817692017265563</v>
      </c>
    </row>
    <row r="45" customFormat="false" ht="15" hidden="false" customHeight="false" outlineLevel="0" collapsed="false">
      <c r="A45" s="2" t="s">
        <v>49</v>
      </c>
      <c r="B45" s="2" t="s">
        <v>50</v>
      </c>
      <c r="C45" s="2" t="s">
        <v>51</v>
      </c>
      <c r="D45" s="1" t="s">
        <v>19</v>
      </c>
      <c r="E45" s="1" t="s">
        <v>20</v>
      </c>
      <c r="F45" s="1" t="n">
        <v>15</v>
      </c>
      <c r="G45" s="2" t="s">
        <v>21</v>
      </c>
      <c r="H45" s="1" t="n">
        <v>0.1949</v>
      </c>
      <c r="I45" s="1" t="n">
        <v>0.30226136441557</v>
      </c>
      <c r="J45" s="1" t="n">
        <v>0.387345511741127</v>
      </c>
      <c r="K45" s="1" t="n">
        <f aca="false">J45-I45</f>
        <v>0.0850841473255576</v>
      </c>
      <c r="L45" s="1" t="n">
        <v>0.762019495081594</v>
      </c>
    </row>
    <row r="46" customFormat="false" ht="15" hidden="false" customHeight="false" outlineLevel="0" collapsed="false">
      <c r="A46" s="2" t="s">
        <v>49</v>
      </c>
      <c r="B46" s="2" t="s">
        <v>50</v>
      </c>
      <c r="C46" s="2" t="s">
        <v>51</v>
      </c>
      <c r="D46" s="1" t="s">
        <v>19</v>
      </c>
      <c r="E46" s="1" t="s">
        <v>20</v>
      </c>
      <c r="F46" s="1" t="n">
        <v>15</v>
      </c>
      <c r="G46" s="2" t="s">
        <v>22</v>
      </c>
      <c r="H46" s="1" t="n">
        <v>0.192</v>
      </c>
      <c r="I46" s="1" t="n">
        <v>0.297831969025126</v>
      </c>
      <c r="J46" s="1" t="n">
        <v>0.360837461450384</v>
      </c>
      <c r="K46" s="1" t="n">
        <f aca="false">J46-I46</f>
        <v>0.0630054924252582</v>
      </c>
      <c r="L46" s="1" t="n">
        <v>0.762019495081594</v>
      </c>
    </row>
    <row r="47" customFormat="false" ht="15" hidden="false" customHeight="false" outlineLevel="0" collapsed="false">
      <c r="A47" s="2" t="s">
        <v>49</v>
      </c>
      <c r="B47" s="2" t="s">
        <v>50</v>
      </c>
      <c r="C47" s="2" t="s">
        <v>51</v>
      </c>
      <c r="D47" s="1" t="s">
        <v>19</v>
      </c>
      <c r="E47" s="1" t="s">
        <v>20</v>
      </c>
      <c r="F47" s="1" t="n">
        <v>15</v>
      </c>
      <c r="G47" s="2" t="s">
        <v>25</v>
      </c>
      <c r="H47" s="1" t="n">
        <v>0.1765</v>
      </c>
      <c r="I47" s="1" t="n">
        <v>0.273771385725035</v>
      </c>
      <c r="J47" s="1" t="n">
        <v>0.320812413463741</v>
      </c>
      <c r="K47" s="1" t="n">
        <f aca="false">J47-I47</f>
        <v>0.0470410277387061</v>
      </c>
      <c r="L47" s="1" t="n">
        <v>0.762019495081594</v>
      </c>
    </row>
    <row r="48" customFormat="false" ht="15" hidden="false" customHeight="false" outlineLevel="0" collapsed="false">
      <c r="A48" s="2" t="s">
        <v>49</v>
      </c>
      <c r="B48" s="2" t="s">
        <v>50</v>
      </c>
      <c r="C48" s="2" t="s">
        <v>51</v>
      </c>
      <c r="D48" s="1" t="s">
        <v>19</v>
      </c>
      <c r="E48" s="1" t="s">
        <v>20</v>
      </c>
      <c r="F48" s="1" t="n">
        <v>15</v>
      </c>
      <c r="G48" s="2" t="s">
        <v>24</v>
      </c>
      <c r="H48" s="1" t="n">
        <v>0.1764</v>
      </c>
      <c r="I48" s="1" t="n">
        <v>0.273606079506483</v>
      </c>
      <c r="J48" s="1" t="n">
        <v>0.340169303850372</v>
      </c>
      <c r="K48" s="1" t="n">
        <f aca="false">J48-I48</f>
        <v>0.0665632243438895</v>
      </c>
      <c r="L48" s="1" t="n">
        <v>0.762019495081594</v>
      </c>
    </row>
    <row r="49" customFormat="false" ht="15" hidden="false" customHeight="false" outlineLevel="0" collapsed="false">
      <c r="A49" s="2" t="s">
        <v>49</v>
      </c>
      <c r="B49" s="2" t="s">
        <v>50</v>
      </c>
      <c r="C49" s="2" t="s">
        <v>51</v>
      </c>
      <c r="D49" s="1" t="s">
        <v>19</v>
      </c>
      <c r="E49" s="1" t="s">
        <v>20</v>
      </c>
      <c r="F49" s="1" t="n">
        <v>15</v>
      </c>
      <c r="G49" s="2" t="s">
        <v>23</v>
      </c>
      <c r="H49" s="1" t="n">
        <v>0.1601</v>
      </c>
      <c r="I49" s="1" t="n">
        <v>0.248378632674509</v>
      </c>
      <c r="J49" s="1" t="n">
        <v>0.345595864493407</v>
      </c>
      <c r="K49" s="1" t="n">
        <f aca="false">J49-I49</f>
        <v>0.0972172318188975</v>
      </c>
      <c r="L49" s="1" t="n">
        <v>0.762019495081594</v>
      </c>
    </row>
    <row r="50" customFormat="false" ht="15" hidden="false" customHeight="false" outlineLevel="0" collapsed="false">
      <c r="A50" s="2" t="s">
        <v>49</v>
      </c>
      <c r="B50" s="2" t="s">
        <v>50</v>
      </c>
      <c r="C50" s="2" t="s">
        <v>51</v>
      </c>
      <c r="D50" s="1" t="s">
        <v>19</v>
      </c>
      <c r="E50" s="1" t="s">
        <v>20</v>
      </c>
      <c r="F50" s="1" t="n">
        <v>15</v>
      </c>
      <c r="G50" s="2" t="s">
        <v>26</v>
      </c>
      <c r="H50" s="1" t="n">
        <v>0.1</v>
      </c>
      <c r="I50" s="1" t="n">
        <v>0.174039341087111</v>
      </c>
      <c r="J50" s="1" t="n">
        <v>0.259736993806192</v>
      </c>
      <c r="K50" s="1" t="n">
        <f aca="false">J50-I50</f>
        <v>0.0856976527190812</v>
      </c>
      <c r="L50" s="1" t="n">
        <v>0.762019495081594</v>
      </c>
    </row>
    <row r="51" customFormat="false" ht="15" hidden="false" customHeight="false" outlineLevel="0" collapsed="false">
      <c r="A51" s="2" t="s">
        <v>52</v>
      </c>
      <c r="B51" s="2" t="s">
        <v>53</v>
      </c>
      <c r="C51" s="2" t="s">
        <v>54</v>
      </c>
      <c r="D51" s="1" t="s">
        <v>19</v>
      </c>
      <c r="E51" s="1" t="s">
        <v>20</v>
      </c>
      <c r="F51" s="1" t="n">
        <v>17</v>
      </c>
      <c r="G51" s="2" t="s">
        <v>31</v>
      </c>
      <c r="H51" s="1" t="n">
        <v>0.1907</v>
      </c>
      <c r="I51" s="1" t="n">
        <v>0.320470998839942</v>
      </c>
      <c r="J51" s="1" t="n">
        <v>0.4121634509523</v>
      </c>
      <c r="K51" s="1" t="n">
        <f aca="false">J51-I51</f>
        <v>0.0916924521123587</v>
      </c>
      <c r="L51" s="1" t="n">
        <v>0.642354213368125</v>
      </c>
    </row>
    <row r="52" customFormat="false" ht="15" hidden="false" customHeight="false" outlineLevel="0" collapsed="false">
      <c r="A52" s="2" t="s">
        <v>52</v>
      </c>
      <c r="B52" s="2" t="s">
        <v>53</v>
      </c>
      <c r="C52" s="2" t="s">
        <v>54</v>
      </c>
      <c r="D52" s="1" t="s">
        <v>19</v>
      </c>
      <c r="E52" s="1" t="s">
        <v>20</v>
      </c>
      <c r="F52" s="1" t="n">
        <v>17</v>
      </c>
      <c r="G52" s="2" t="s">
        <v>22</v>
      </c>
      <c r="H52" s="1" t="n">
        <v>0.1856</v>
      </c>
      <c r="I52" s="1" t="n">
        <v>0.311768567484978</v>
      </c>
      <c r="J52" s="1" t="n">
        <v>0.381661947580305</v>
      </c>
      <c r="K52" s="1" t="n">
        <f aca="false">J52-I52</f>
        <v>0.0698933800953273</v>
      </c>
      <c r="L52" s="1" t="n">
        <v>0.642354213368125</v>
      </c>
    </row>
    <row r="53" customFormat="false" ht="15" hidden="false" customHeight="false" outlineLevel="0" collapsed="false">
      <c r="A53" s="2" t="s">
        <v>52</v>
      </c>
      <c r="B53" s="2" t="s">
        <v>53</v>
      </c>
      <c r="C53" s="2" t="s">
        <v>54</v>
      </c>
      <c r="D53" s="1" t="s">
        <v>19</v>
      </c>
      <c r="E53" s="1" t="s">
        <v>20</v>
      </c>
      <c r="F53" s="1" t="n">
        <v>17</v>
      </c>
      <c r="G53" s="2" t="s">
        <v>55</v>
      </c>
      <c r="H53" s="1" t="n">
        <v>0.1761</v>
      </c>
      <c r="I53" s="1" t="n">
        <v>0.295840517533905</v>
      </c>
      <c r="J53" s="1" t="n">
        <v>0.424679560876308</v>
      </c>
      <c r="K53" s="1" t="n">
        <f aca="false">J53-I53</f>
        <v>0.128839043342403</v>
      </c>
      <c r="L53" s="1" t="n">
        <v>0.642354213368125</v>
      </c>
    </row>
    <row r="54" customFormat="false" ht="15" hidden="false" customHeight="false" outlineLevel="0" collapsed="false">
      <c r="A54" s="2" t="s">
        <v>52</v>
      </c>
      <c r="B54" s="2" t="s">
        <v>53</v>
      </c>
      <c r="C54" s="2" t="s">
        <v>54</v>
      </c>
      <c r="D54" s="1" t="s">
        <v>19</v>
      </c>
      <c r="E54" s="1" t="s">
        <v>20</v>
      </c>
      <c r="F54" s="1" t="n">
        <v>17</v>
      </c>
      <c r="G54" s="2" t="s">
        <v>56</v>
      </c>
      <c r="H54" s="1" t="n">
        <v>0.1755</v>
      </c>
      <c r="I54" s="1" t="n">
        <v>0.294869237583765</v>
      </c>
      <c r="J54" s="1" t="n">
        <v>0.397590584275763</v>
      </c>
      <c r="K54" s="1" t="n">
        <f aca="false">J54-I54</f>
        <v>0.102721346691998</v>
      </c>
      <c r="L54" s="1" t="n">
        <v>0.642354213368125</v>
      </c>
    </row>
    <row r="55" customFormat="false" ht="15" hidden="false" customHeight="false" outlineLevel="0" collapsed="false">
      <c r="A55" s="2" t="s">
        <v>52</v>
      </c>
      <c r="B55" s="2" t="s">
        <v>53</v>
      </c>
      <c r="C55" s="2" t="s">
        <v>54</v>
      </c>
      <c r="D55" s="1" t="s">
        <v>19</v>
      </c>
      <c r="E55" s="1" t="s">
        <v>20</v>
      </c>
      <c r="F55" s="1" t="n">
        <v>17</v>
      </c>
      <c r="G55" s="2" t="s">
        <v>21</v>
      </c>
      <c r="H55" s="1" t="n">
        <v>0.1721</v>
      </c>
      <c r="I55" s="1" t="n">
        <v>0.289125795740267</v>
      </c>
      <c r="J55" s="1" t="n">
        <v>0.360763564796023</v>
      </c>
      <c r="K55" s="1" t="n">
        <f aca="false">J55-I55</f>
        <v>0.0716377690557562</v>
      </c>
      <c r="L55" s="1" t="n">
        <v>0.642354213368125</v>
      </c>
    </row>
    <row r="56" customFormat="false" ht="15" hidden="false" customHeight="false" outlineLevel="0" collapsed="false">
      <c r="A56" s="2" t="s">
        <v>52</v>
      </c>
      <c r="B56" s="2" t="s">
        <v>53</v>
      </c>
      <c r="C56" s="2" t="s">
        <v>54</v>
      </c>
      <c r="D56" s="1" t="s">
        <v>19</v>
      </c>
      <c r="E56" s="1" t="s">
        <v>20</v>
      </c>
      <c r="F56" s="1" t="n">
        <v>17</v>
      </c>
      <c r="G56" s="2" t="s">
        <v>26</v>
      </c>
      <c r="H56" s="1" t="n">
        <v>0.1</v>
      </c>
      <c r="I56" s="1" t="n">
        <v>0.250992921047229</v>
      </c>
      <c r="J56" s="1" t="n">
        <v>0.39838337460037</v>
      </c>
      <c r="K56" s="1" t="n">
        <f aca="false">J56-I56</f>
        <v>0.147390453553141</v>
      </c>
      <c r="L56" s="1" t="n">
        <v>0.642354213368125</v>
      </c>
    </row>
    <row r="57" customFormat="false" ht="15" hidden="false" customHeight="false" outlineLevel="0" collapsed="false">
      <c r="A57" s="2" t="s">
        <v>57</v>
      </c>
      <c r="B57" s="2" t="s">
        <v>58</v>
      </c>
      <c r="C57" s="2" t="s">
        <v>59</v>
      </c>
      <c r="D57" s="1" t="s">
        <v>19</v>
      </c>
      <c r="E57" s="1" t="s">
        <v>20</v>
      </c>
      <c r="F57" s="1" t="n">
        <v>19</v>
      </c>
      <c r="G57" s="2" t="s">
        <v>55</v>
      </c>
      <c r="H57" s="1" t="n">
        <v>0.1889</v>
      </c>
      <c r="I57" s="1" t="n">
        <v>0.370410847695117</v>
      </c>
      <c r="J57" s="1" t="n">
        <v>0.315043491734674</v>
      </c>
      <c r="K57" s="1" t="n">
        <f aca="false">J57-I57</f>
        <v>-0.0553673559604423</v>
      </c>
      <c r="L57" s="1" t="n">
        <v>0.622913061011376</v>
      </c>
    </row>
    <row r="58" customFormat="false" ht="15" hidden="false" customHeight="false" outlineLevel="0" collapsed="false">
      <c r="A58" s="2" t="s">
        <v>57</v>
      </c>
      <c r="B58" s="2" t="s">
        <v>58</v>
      </c>
      <c r="C58" s="2" t="s">
        <v>59</v>
      </c>
      <c r="D58" s="1" t="s">
        <v>19</v>
      </c>
      <c r="E58" s="1" t="s">
        <v>20</v>
      </c>
      <c r="F58" s="1" t="n">
        <v>19</v>
      </c>
      <c r="G58" s="2" t="s">
        <v>31</v>
      </c>
      <c r="H58" s="1" t="n">
        <v>0.1884</v>
      </c>
      <c r="I58" s="1" t="n">
        <v>0.369404978753266</v>
      </c>
      <c r="J58" s="1" t="n">
        <v>0.378038807038049</v>
      </c>
      <c r="K58" s="1" t="n">
        <f aca="false">J58-I58</f>
        <v>0.0086338282847826</v>
      </c>
      <c r="L58" s="1" t="n">
        <v>0.622913061011376</v>
      </c>
    </row>
    <row r="59" customFormat="false" ht="15" hidden="false" customHeight="false" outlineLevel="0" collapsed="false">
      <c r="A59" s="2" t="s">
        <v>57</v>
      </c>
      <c r="B59" s="2" t="s">
        <v>58</v>
      </c>
      <c r="C59" s="2" t="s">
        <v>59</v>
      </c>
      <c r="D59" s="1" t="s">
        <v>19</v>
      </c>
      <c r="E59" s="1" t="s">
        <v>20</v>
      </c>
      <c r="F59" s="1" t="n">
        <v>19</v>
      </c>
      <c r="G59" s="2" t="s">
        <v>56</v>
      </c>
      <c r="H59" s="1" t="n">
        <v>0.1866</v>
      </c>
      <c r="I59" s="1" t="n">
        <v>0.365909054110173</v>
      </c>
      <c r="J59" s="1" t="n">
        <v>0.329702239625756</v>
      </c>
      <c r="K59" s="1" t="n">
        <f aca="false">J59-I59</f>
        <v>-0.0362068144844166</v>
      </c>
      <c r="L59" s="1" t="n">
        <v>0.622913061011376</v>
      </c>
    </row>
    <row r="60" customFormat="false" ht="15" hidden="false" customHeight="false" outlineLevel="0" collapsed="false">
      <c r="A60" s="2" t="s">
        <v>57</v>
      </c>
      <c r="B60" s="2" t="s">
        <v>58</v>
      </c>
      <c r="C60" s="2" t="s">
        <v>59</v>
      </c>
      <c r="D60" s="1" t="s">
        <v>19</v>
      </c>
      <c r="E60" s="1" t="s">
        <v>20</v>
      </c>
      <c r="F60" s="1" t="n">
        <v>19</v>
      </c>
      <c r="G60" s="2" t="s">
        <v>22</v>
      </c>
      <c r="H60" s="1" t="n">
        <v>0.1688</v>
      </c>
      <c r="I60" s="1" t="n">
        <v>0.331125535919938</v>
      </c>
      <c r="J60" s="1" t="n">
        <v>0.400824658406573</v>
      </c>
      <c r="K60" s="1" t="n">
        <f aca="false">J60-I60</f>
        <v>0.0696991224866356</v>
      </c>
      <c r="L60" s="1" t="n">
        <v>0.622913061011376</v>
      </c>
    </row>
    <row r="61" customFormat="false" ht="15" hidden="false" customHeight="false" outlineLevel="0" collapsed="false">
      <c r="A61" s="2" t="s">
        <v>57</v>
      </c>
      <c r="B61" s="2" t="s">
        <v>58</v>
      </c>
      <c r="C61" s="2" t="s">
        <v>59</v>
      </c>
      <c r="D61" s="1" t="s">
        <v>19</v>
      </c>
      <c r="E61" s="1" t="s">
        <v>20</v>
      </c>
      <c r="F61" s="1" t="n">
        <v>19</v>
      </c>
      <c r="G61" s="2" t="s">
        <v>24</v>
      </c>
      <c r="H61" s="1" t="n">
        <v>0.1674</v>
      </c>
      <c r="I61" s="1" t="n">
        <v>0.328281304677563</v>
      </c>
      <c r="J61" s="1" t="n">
        <v>0.393777591152679</v>
      </c>
      <c r="K61" s="1" t="n">
        <f aca="false">J61-I61</f>
        <v>0.0654962864751156</v>
      </c>
      <c r="L61" s="1" t="n">
        <v>0.622913061011376</v>
      </c>
    </row>
    <row r="62" customFormat="false" ht="15" hidden="false" customHeight="false" outlineLevel="0" collapsed="false">
      <c r="A62" s="2" t="s">
        <v>57</v>
      </c>
      <c r="B62" s="2" t="s">
        <v>58</v>
      </c>
      <c r="C62" s="2" t="s">
        <v>59</v>
      </c>
      <c r="D62" s="1" t="s">
        <v>19</v>
      </c>
      <c r="E62" s="1" t="s">
        <v>20</v>
      </c>
      <c r="F62" s="1" t="n">
        <v>19</v>
      </c>
      <c r="G62" s="2" t="s">
        <v>26</v>
      </c>
      <c r="H62" s="1" t="n">
        <v>0.1</v>
      </c>
      <c r="I62" s="1" t="n">
        <v>0.312575692661774</v>
      </c>
      <c r="J62" s="1" t="n">
        <v>0.286186458890426</v>
      </c>
      <c r="K62" s="1" t="n">
        <f aca="false">J62-I62</f>
        <v>-0.0263892337713474</v>
      </c>
      <c r="L62" s="1" t="n">
        <v>0.622913061011376</v>
      </c>
    </row>
    <row r="63" customFormat="false" ht="15" hidden="false" customHeight="false" outlineLevel="0" collapsed="false">
      <c r="A63" s="2" t="s">
        <v>60</v>
      </c>
      <c r="B63" s="2" t="s">
        <v>61</v>
      </c>
      <c r="C63" s="2" t="s">
        <v>62</v>
      </c>
      <c r="D63" s="1" t="s">
        <v>19</v>
      </c>
      <c r="E63" s="1" t="s">
        <v>20</v>
      </c>
      <c r="F63" s="1" t="n">
        <v>21</v>
      </c>
      <c r="G63" s="2" t="s">
        <v>21</v>
      </c>
      <c r="H63" s="1" t="n">
        <v>0.1925</v>
      </c>
      <c r="I63" s="1" t="n">
        <v>0.281561976537576</v>
      </c>
      <c r="J63" s="1" t="n">
        <v>0.374047042418208</v>
      </c>
      <c r="K63" s="1" t="n">
        <f aca="false">J63-I63</f>
        <v>0.0924850658806317</v>
      </c>
      <c r="L63" s="1" t="n">
        <v>0.771127559172673</v>
      </c>
    </row>
    <row r="64" customFormat="false" ht="15" hidden="false" customHeight="false" outlineLevel="0" collapsed="false">
      <c r="A64" s="2" t="s">
        <v>60</v>
      </c>
      <c r="B64" s="2" t="s">
        <v>61</v>
      </c>
      <c r="C64" s="2" t="s">
        <v>62</v>
      </c>
      <c r="D64" s="1" t="s">
        <v>19</v>
      </c>
      <c r="E64" s="1" t="s">
        <v>20</v>
      </c>
      <c r="F64" s="1" t="n">
        <v>21</v>
      </c>
      <c r="G64" s="2" t="s">
        <v>31</v>
      </c>
      <c r="H64" s="1" t="n">
        <v>0.1854</v>
      </c>
      <c r="I64" s="1" t="n">
        <v>0.271186683222823</v>
      </c>
      <c r="J64" s="1" t="n">
        <v>0.309313824390164</v>
      </c>
      <c r="K64" s="1" t="n">
        <f aca="false">J64-I64</f>
        <v>0.0381271411673408</v>
      </c>
      <c r="L64" s="1" t="n">
        <v>0.771127559172673</v>
      </c>
    </row>
    <row r="65" customFormat="false" ht="15" hidden="false" customHeight="false" outlineLevel="0" collapsed="false">
      <c r="A65" s="2" t="s">
        <v>60</v>
      </c>
      <c r="B65" s="2" t="s">
        <v>61</v>
      </c>
      <c r="C65" s="2" t="s">
        <v>62</v>
      </c>
      <c r="D65" s="1" t="s">
        <v>19</v>
      </c>
      <c r="E65" s="1" t="s">
        <v>20</v>
      </c>
      <c r="F65" s="1" t="n">
        <v>21</v>
      </c>
      <c r="G65" s="2" t="s">
        <v>24</v>
      </c>
      <c r="H65" s="1" t="n">
        <v>0.1839</v>
      </c>
      <c r="I65" s="1" t="n">
        <v>0.269079792908033</v>
      </c>
      <c r="J65" s="1" t="n">
        <v>0.337542230065018</v>
      </c>
      <c r="K65" s="1" t="n">
        <f aca="false">J65-I65</f>
        <v>0.0684624371569846</v>
      </c>
      <c r="L65" s="1" t="n">
        <v>0.771127559172673</v>
      </c>
    </row>
    <row r="66" customFormat="false" ht="15" hidden="false" customHeight="false" outlineLevel="0" collapsed="false">
      <c r="A66" s="2" t="s">
        <v>60</v>
      </c>
      <c r="B66" s="2" t="s">
        <v>61</v>
      </c>
      <c r="C66" s="2" t="s">
        <v>62</v>
      </c>
      <c r="D66" s="1" t="s">
        <v>19</v>
      </c>
      <c r="E66" s="1" t="s">
        <v>20</v>
      </c>
      <c r="F66" s="1" t="n">
        <v>21</v>
      </c>
      <c r="G66" s="2" t="s">
        <v>25</v>
      </c>
      <c r="H66" s="1" t="n">
        <v>0.1807</v>
      </c>
      <c r="I66" s="1" t="n">
        <v>0.264385955939338</v>
      </c>
      <c r="J66" s="1" t="n">
        <v>0.336616454492333</v>
      </c>
      <c r="K66" s="1" t="n">
        <f aca="false">J66-I66</f>
        <v>0.0722304985529949</v>
      </c>
      <c r="L66" s="1" t="n">
        <v>0.771127559172673</v>
      </c>
    </row>
    <row r="67" customFormat="false" ht="15" hidden="false" customHeight="false" outlineLevel="0" collapsed="false">
      <c r="A67" s="2" t="s">
        <v>60</v>
      </c>
      <c r="B67" s="2" t="s">
        <v>61</v>
      </c>
      <c r="C67" s="2" t="s">
        <v>62</v>
      </c>
      <c r="D67" s="1" t="s">
        <v>19</v>
      </c>
      <c r="E67" s="1" t="s">
        <v>20</v>
      </c>
      <c r="F67" s="1" t="n">
        <v>21</v>
      </c>
      <c r="G67" s="2" t="s">
        <v>22</v>
      </c>
      <c r="H67" s="1" t="n">
        <v>0.1575</v>
      </c>
      <c r="I67" s="1" t="n">
        <v>0.230492474759857</v>
      </c>
      <c r="J67" s="1" t="n">
        <v>0.299868338975402</v>
      </c>
      <c r="K67" s="1" t="n">
        <f aca="false">J67-I67</f>
        <v>0.0693758642155448</v>
      </c>
      <c r="L67" s="1" t="n">
        <v>0.771127559172673</v>
      </c>
    </row>
    <row r="68" customFormat="false" ht="15" hidden="false" customHeight="false" outlineLevel="0" collapsed="false">
      <c r="A68" s="2" t="s">
        <v>60</v>
      </c>
      <c r="B68" s="2" t="s">
        <v>61</v>
      </c>
      <c r="C68" s="2" t="s">
        <v>62</v>
      </c>
      <c r="D68" s="1" t="s">
        <v>19</v>
      </c>
      <c r="E68" s="1" t="s">
        <v>20</v>
      </c>
      <c r="F68" s="1" t="n">
        <v>21</v>
      </c>
      <c r="G68" s="2" t="s">
        <v>26</v>
      </c>
      <c r="H68" s="1" t="n">
        <v>0.1</v>
      </c>
      <c r="I68" s="1" t="n">
        <v>0.183283526078591</v>
      </c>
      <c r="J68" s="1" t="n">
        <v>0.238690223831146</v>
      </c>
      <c r="K68" s="1" t="n">
        <f aca="false">J68-I68</f>
        <v>0.0554066977525545</v>
      </c>
      <c r="L68" s="1" t="n">
        <v>0.771127559172673</v>
      </c>
    </row>
    <row r="69" customFormat="false" ht="15" hidden="false" customHeight="false" outlineLevel="0" collapsed="false">
      <c r="A69" s="2" t="s">
        <v>63</v>
      </c>
      <c r="B69" s="2" t="s">
        <v>64</v>
      </c>
      <c r="C69" s="2" t="s">
        <v>65</v>
      </c>
      <c r="D69" s="1" t="s">
        <v>19</v>
      </c>
      <c r="E69" s="1" t="s">
        <v>20</v>
      </c>
      <c r="F69" s="1" t="n">
        <v>23</v>
      </c>
      <c r="G69" s="2" t="s">
        <v>25</v>
      </c>
      <c r="H69" s="1" t="n">
        <v>0.2065</v>
      </c>
      <c r="I69" s="1" t="n">
        <v>0.305989270081848</v>
      </c>
      <c r="J69" s="1" t="n">
        <v>0.31234963812967</v>
      </c>
      <c r="K69" s="1" t="n">
        <f aca="false">J69-I69</f>
        <v>0.00636036804782225</v>
      </c>
      <c r="L69" s="1" t="n">
        <v>0.755700494821908</v>
      </c>
    </row>
    <row r="70" customFormat="false" ht="15" hidden="false" customHeight="false" outlineLevel="0" collapsed="false">
      <c r="A70" s="2" t="s">
        <v>63</v>
      </c>
      <c r="B70" s="2" t="s">
        <v>64</v>
      </c>
      <c r="C70" s="2" t="s">
        <v>65</v>
      </c>
      <c r="D70" s="1" t="s">
        <v>19</v>
      </c>
      <c r="E70" s="1" t="s">
        <v>20</v>
      </c>
      <c r="F70" s="1" t="n">
        <v>23</v>
      </c>
      <c r="G70" s="2" t="s">
        <v>21</v>
      </c>
      <c r="H70" s="1" t="n">
        <v>0.1888</v>
      </c>
      <c r="I70" s="1" t="n">
        <v>0.279703843618169</v>
      </c>
      <c r="J70" s="1" t="n">
        <v>0.329655111451589</v>
      </c>
      <c r="K70" s="1" t="n">
        <f aca="false">J70-I70</f>
        <v>0.0499512678334204</v>
      </c>
      <c r="L70" s="1" t="n">
        <v>0.755700494821908</v>
      </c>
    </row>
    <row r="71" customFormat="false" ht="15" hidden="false" customHeight="false" outlineLevel="0" collapsed="false">
      <c r="A71" s="2" t="s">
        <v>63</v>
      </c>
      <c r="B71" s="2" t="s">
        <v>64</v>
      </c>
      <c r="C71" s="2" t="s">
        <v>65</v>
      </c>
      <c r="D71" s="1" t="s">
        <v>19</v>
      </c>
      <c r="E71" s="1" t="s">
        <v>20</v>
      </c>
      <c r="F71" s="1" t="n">
        <v>23</v>
      </c>
      <c r="G71" s="2" t="s">
        <v>24</v>
      </c>
      <c r="H71" s="1" t="n">
        <v>0.1788</v>
      </c>
      <c r="I71" s="1" t="n">
        <v>0.2648825909088</v>
      </c>
      <c r="J71" s="1" t="n">
        <v>0.318103011653709</v>
      </c>
      <c r="K71" s="1" t="n">
        <f aca="false">J71-I71</f>
        <v>0.0532204207449084</v>
      </c>
      <c r="L71" s="1" t="n">
        <v>0.755700494821908</v>
      </c>
    </row>
    <row r="72" customFormat="false" ht="15" hidden="false" customHeight="false" outlineLevel="0" collapsed="false">
      <c r="A72" s="2" t="s">
        <v>63</v>
      </c>
      <c r="B72" s="2" t="s">
        <v>64</v>
      </c>
      <c r="C72" s="2" t="s">
        <v>65</v>
      </c>
      <c r="D72" s="1" t="s">
        <v>19</v>
      </c>
      <c r="E72" s="1" t="s">
        <v>20</v>
      </c>
      <c r="F72" s="1" t="n">
        <v>23</v>
      </c>
      <c r="G72" s="2" t="s">
        <v>31</v>
      </c>
      <c r="H72" s="1" t="n">
        <v>0.1711</v>
      </c>
      <c r="I72" s="1" t="n">
        <v>0.253531733041101</v>
      </c>
      <c r="J72" s="1" t="n">
        <v>0.274851891246917</v>
      </c>
      <c r="K72" s="1" t="n">
        <f aca="false">J72-I72</f>
        <v>0.0213201582058164</v>
      </c>
      <c r="L72" s="1" t="n">
        <v>0.755700494821908</v>
      </c>
    </row>
    <row r="73" customFormat="false" ht="15" hidden="false" customHeight="false" outlineLevel="0" collapsed="false">
      <c r="A73" s="2" t="s">
        <v>63</v>
      </c>
      <c r="B73" s="2" t="s">
        <v>64</v>
      </c>
      <c r="C73" s="2" t="s">
        <v>65</v>
      </c>
      <c r="D73" s="1" t="s">
        <v>19</v>
      </c>
      <c r="E73" s="1" t="s">
        <v>20</v>
      </c>
      <c r="F73" s="1" t="n">
        <v>23</v>
      </c>
      <c r="G73" s="2" t="s">
        <v>22</v>
      </c>
      <c r="H73" s="1" t="n">
        <v>0.1548</v>
      </c>
      <c r="I73" s="1" t="n">
        <v>0.229308528389237</v>
      </c>
      <c r="J73" s="1" t="n">
        <v>0.298351104140218</v>
      </c>
      <c r="K73" s="1" t="n">
        <f aca="false">J73-I73</f>
        <v>0.0690425757509812</v>
      </c>
      <c r="L73" s="1" t="n">
        <v>0.755700494821908</v>
      </c>
    </row>
    <row r="74" customFormat="false" ht="15" hidden="false" customHeight="false" outlineLevel="0" collapsed="false">
      <c r="A74" s="2" t="s">
        <v>63</v>
      </c>
      <c r="B74" s="2" t="s">
        <v>64</v>
      </c>
      <c r="C74" s="2" t="s">
        <v>65</v>
      </c>
      <c r="D74" s="1" t="s">
        <v>19</v>
      </c>
      <c r="E74" s="1" t="s">
        <v>20</v>
      </c>
      <c r="F74" s="1" t="n">
        <v>23</v>
      </c>
      <c r="G74" s="2" t="s">
        <v>26</v>
      </c>
      <c r="H74" s="1" t="n">
        <v>0.1</v>
      </c>
      <c r="I74" s="1" t="n">
        <v>0.161822834316743</v>
      </c>
      <c r="J74" s="1" t="n">
        <v>0.213198537745155</v>
      </c>
      <c r="K74" s="1" t="n">
        <f aca="false">J74-I74</f>
        <v>0.0513757034284118</v>
      </c>
      <c r="L74" s="1" t="n">
        <v>0.755700494821908</v>
      </c>
    </row>
    <row r="75" customFormat="false" ht="15" hidden="false" customHeight="false" outlineLevel="0" collapsed="false">
      <c r="A75" s="2" t="s">
        <v>66</v>
      </c>
      <c r="B75" s="2" t="s">
        <v>67</v>
      </c>
      <c r="C75" s="2" t="s">
        <v>68</v>
      </c>
      <c r="D75" s="1" t="s">
        <v>19</v>
      </c>
      <c r="E75" s="1" t="s">
        <v>20</v>
      </c>
      <c r="F75" s="1" t="n">
        <v>25</v>
      </c>
      <c r="G75" s="2" t="s">
        <v>25</v>
      </c>
      <c r="H75" s="1" t="n">
        <v>0.1978</v>
      </c>
      <c r="I75" s="1" t="n">
        <v>0.277486519589696</v>
      </c>
      <c r="J75" s="1" t="n">
        <v>0.298367670711103</v>
      </c>
      <c r="K75" s="1" t="n">
        <f aca="false">J75-I75</f>
        <v>0.0208811511214069</v>
      </c>
      <c r="L75" s="1" t="n">
        <v>0.652206493784056</v>
      </c>
    </row>
    <row r="76" customFormat="false" ht="15" hidden="false" customHeight="false" outlineLevel="0" collapsed="false">
      <c r="A76" s="2" t="s">
        <v>66</v>
      </c>
      <c r="B76" s="2" t="s">
        <v>67</v>
      </c>
      <c r="C76" s="2" t="s">
        <v>68</v>
      </c>
      <c r="D76" s="1" t="s">
        <v>19</v>
      </c>
      <c r="E76" s="1" t="s">
        <v>20</v>
      </c>
      <c r="F76" s="1" t="n">
        <v>25</v>
      </c>
      <c r="G76" s="2" t="s">
        <v>22</v>
      </c>
      <c r="H76" s="1" t="n">
        <v>0.1884</v>
      </c>
      <c r="I76" s="1" t="n">
        <v>0.264382591521972</v>
      </c>
      <c r="J76" s="1" t="n">
        <v>0.333489096661597</v>
      </c>
      <c r="K76" s="1" t="n">
        <f aca="false">J76-I76</f>
        <v>0.0691065051396253</v>
      </c>
      <c r="L76" s="1" t="n">
        <v>0.652206493784056</v>
      </c>
    </row>
    <row r="77" customFormat="false" ht="15" hidden="false" customHeight="false" outlineLevel="0" collapsed="false">
      <c r="A77" s="2" t="s">
        <v>66</v>
      </c>
      <c r="B77" s="2" t="s">
        <v>67</v>
      </c>
      <c r="C77" s="2" t="s">
        <v>68</v>
      </c>
      <c r="D77" s="1" t="s">
        <v>19</v>
      </c>
      <c r="E77" s="1" t="s">
        <v>20</v>
      </c>
      <c r="F77" s="1" t="n">
        <v>25</v>
      </c>
      <c r="G77" s="2" t="s">
        <v>21</v>
      </c>
      <c r="H77" s="1" t="n">
        <v>0.1816</v>
      </c>
      <c r="I77" s="1" t="n">
        <v>0.254838749820251</v>
      </c>
      <c r="J77" s="1" t="n">
        <v>0.361430362877565</v>
      </c>
      <c r="K77" s="1" t="n">
        <f aca="false">J77-I77</f>
        <v>0.106591613057313</v>
      </c>
      <c r="L77" s="1" t="n">
        <v>0.652206493784056</v>
      </c>
    </row>
    <row r="78" customFormat="false" ht="15" hidden="false" customHeight="false" outlineLevel="0" collapsed="false">
      <c r="A78" s="2" t="s">
        <v>66</v>
      </c>
      <c r="B78" s="2" t="s">
        <v>67</v>
      </c>
      <c r="C78" s="2" t="s">
        <v>68</v>
      </c>
      <c r="D78" s="1" t="s">
        <v>19</v>
      </c>
      <c r="E78" s="1" t="s">
        <v>20</v>
      </c>
      <c r="F78" s="1" t="n">
        <v>25</v>
      </c>
      <c r="G78" s="2" t="s">
        <v>24</v>
      </c>
      <c r="H78" s="1" t="n">
        <v>0.1741</v>
      </c>
      <c r="I78" s="1" t="n">
        <v>0.244232142313154</v>
      </c>
      <c r="J78" s="1" t="n">
        <v>0.326311229423447</v>
      </c>
      <c r="K78" s="1" t="n">
        <f aca="false">J78-I78</f>
        <v>0.082079087110293</v>
      </c>
      <c r="L78" s="1" t="n">
        <v>0.652206493784056</v>
      </c>
    </row>
    <row r="79" customFormat="false" ht="15" hidden="false" customHeight="false" outlineLevel="0" collapsed="false">
      <c r="A79" s="2" t="s">
        <v>66</v>
      </c>
      <c r="B79" s="2" t="s">
        <v>67</v>
      </c>
      <c r="C79" s="2" t="s">
        <v>68</v>
      </c>
      <c r="D79" s="1" t="s">
        <v>19</v>
      </c>
      <c r="E79" s="1" t="s">
        <v>20</v>
      </c>
      <c r="F79" s="1" t="n">
        <v>25</v>
      </c>
      <c r="G79" s="2" t="s">
        <v>56</v>
      </c>
      <c r="H79" s="1" t="n">
        <v>0.1581</v>
      </c>
      <c r="I79" s="1" t="n">
        <v>0.221833786205623</v>
      </c>
      <c r="J79" s="1" t="n">
        <v>0.313844846415124</v>
      </c>
      <c r="K79" s="1" t="n">
        <f aca="false">J79-I79</f>
        <v>0.0920110602095011</v>
      </c>
      <c r="L79" s="1" t="n">
        <v>0.652206493784056</v>
      </c>
    </row>
    <row r="80" customFormat="false" ht="15" hidden="false" customHeight="false" outlineLevel="0" collapsed="false">
      <c r="A80" s="2" t="s">
        <v>66</v>
      </c>
      <c r="B80" s="2" t="s">
        <v>67</v>
      </c>
      <c r="C80" s="2" t="s">
        <v>68</v>
      </c>
      <c r="D80" s="1" t="s">
        <v>19</v>
      </c>
      <c r="E80" s="1" t="s">
        <v>20</v>
      </c>
      <c r="F80" s="1" t="n">
        <v>25</v>
      </c>
      <c r="G80" s="2" t="s">
        <v>26</v>
      </c>
      <c r="H80" s="1" t="n">
        <v>0.1</v>
      </c>
      <c r="I80" s="1" t="n">
        <v>0.158134352722155</v>
      </c>
      <c r="J80" s="1" t="n">
        <v>0.230432255998856</v>
      </c>
      <c r="K80" s="1" t="n">
        <f aca="false">J80-I80</f>
        <v>0.0722979032767019</v>
      </c>
      <c r="L80" s="1" t="n">
        <v>0.652206493784056</v>
      </c>
    </row>
    <row r="81" customFormat="false" ht="15" hidden="false" customHeight="false" outlineLevel="0" collapsed="false">
      <c r="A81" s="2" t="s">
        <v>69</v>
      </c>
      <c r="B81" s="2" t="s">
        <v>70</v>
      </c>
      <c r="C81" s="2" t="s">
        <v>71</v>
      </c>
      <c r="D81" s="1" t="s">
        <v>19</v>
      </c>
      <c r="E81" s="1" t="s">
        <v>20</v>
      </c>
      <c r="F81" s="1" t="n">
        <v>27</v>
      </c>
      <c r="G81" s="2" t="s">
        <v>21</v>
      </c>
      <c r="H81" s="1" t="n">
        <v>0.201</v>
      </c>
      <c r="I81" s="1" t="n">
        <v>0.347444776097942</v>
      </c>
      <c r="J81" s="1" t="n">
        <v>0.398049519819588</v>
      </c>
      <c r="K81" s="1" t="n">
        <f aca="false">J81-I81</f>
        <v>0.0506047437216463</v>
      </c>
      <c r="L81" s="1" t="n">
        <v>0.774203318401695</v>
      </c>
    </row>
    <row r="82" customFormat="false" ht="15" hidden="false" customHeight="false" outlineLevel="0" collapsed="false">
      <c r="A82" s="2" t="s">
        <v>69</v>
      </c>
      <c r="B82" s="2" t="s">
        <v>70</v>
      </c>
      <c r="C82" s="2" t="s">
        <v>71</v>
      </c>
      <c r="D82" s="1" t="s">
        <v>19</v>
      </c>
      <c r="E82" s="1" t="s">
        <v>20</v>
      </c>
      <c r="F82" s="1" t="n">
        <v>27</v>
      </c>
      <c r="G82" s="2" t="s">
        <v>22</v>
      </c>
      <c r="H82" s="1" t="n">
        <v>0.1836</v>
      </c>
      <c r="I82" s="1" t="n">
        <v>0.317311370225737</v>
      </c>
      <c r="J82" s="1" t="n">
        <v>0.411648403182261</v>
      </c>
      <c r="K82" s="1" t="n">
        <f aca="false">J82-I82</f>
        <v>0.0943370329565239</v>
      </c>
      <c r="L82" s="1" t="n">
        <v>0.774203318401695</v>
      </c>
    </row>
    <row r="83" customFormat="false" ht="15" hidden="false" customHeight="false" outlineLevel="0" collapsed="false">
      <c r="A83" s="2" t="s">
        <v>69</v>
      </c>
      <c r="B83" s="2" t="s">
        <v>70</v>
      </c>
      <c r="C83" s="2" t="s">
        <v>71</v>
      </c>
      <c r="D83" s="1" t="s">
        <v>19</v>
      </c>
      <c r="E83" s="1" t="s">
        <v>20</v>
      </c>
      <c r="F83" s="1" t="n">
        <v>27</v>
      </c>
      <c r="G83" s="2" t="s">
        <v>24</v>
      </c>
      <c r="H83" s="1" t="n">
        <v>0.1805</v>
      </c>
      <c r="I83" s="1" t="n">
        <v>0.312090964016246</v>
      </c>
      <c r="J83" s="1" t="n">
        <v>0.323665126047174</v>
      </c>
      <c r="K83" s="1" t="n">
        <f aca="false">J83-I83</f>
        <v>0.0115741620309276</v>
      </c>
      <c r="L83" s="1" t="n">
        <v>0.774203318401695</v>
      </c>
    </row>
    <row r="84" customFormat="false" ht="15" hidden="false" customHeight="false" outlineLevel="0" collapsed="false">
      <c r="A84" s="2" t="s">
        <v>69</v>
      </c>
      <c r="B84" s="2" t="s">
        <v>70</v>
      </c>
      <c r="C84" s="2" t="s">
        <v>71</v>
      </c>
      <c r="D84" s="1" t="s">
        <v>19</v>
      </c>
      <c r="E84" s="1" t="s">
        <v>20</v>
      </c>
      <c r="F84" s="1" t="n">
        <v>27</v>
      </c>
      <c r="G84" s="2" t="s">
        <v>23</v>
      </c>
      <c r="H84" s="1" t="n">
        <v>0.1716</v>
      </c>
      <c r="I84" s="1" t="n">
        <v>0.296559250802244</v>
      </c>
      <c r="J84" s="1" t="n">
        <v>0.378533523517973</v>
      </c>
      <c r="K84" s="1" t="n">
        <f aca="false">J84-I84</f>
        <v>0.0819742727157288</v>
      </c>
      <c r="L84" s="1" t="n">
        <v>0.774203318401695</v>
      </c>
    </row>
    <row r="85" customFormat="false" ht="15" hidden="false" customHeight="false" outlineLevel="0" collapsed="false">
      <c r="A85" s="2" t="s">
        <v>69</v>
      </c>
      <c r="B85" s="2" t="s">
        <v>70</v>
      </c>
      <c r="C85" s="2" t="s">
        <v>71</v>
      </c>
      <c r="D85" s="1" t="s">
        <v>19</v>
      </c>
      <c r="E85" s="1" t="s">
        <v>20</v>
      </c>
      <c r="F85" s="1" t="n">
        <v>27</v>
      </c>
      <c r="G85" s="2" t="s">
        <v>38</v>
      </c>
      <c r="H85" s="1" t="n">
        <v>0.1634</v>
      </c>
      <c r="I85" s="1" t="n">
        <v>0.282399068117193</v>
      </c>
      <c r="J85" s="1" t="n">
        <v>0.338719134292125</v>
      </c>
      <c r="K85" s="1" t="n">
        <f aca="false">J85-I85</f>
        <v>0.0563200661749325</v>
      </c>
      <c r="L85" s="1" t="n">
        <v>0.774203318401695</v>
      </c>
    </row>
    <row r="86" customFormat="false" ht="15" hidden="false" customHeight="false" outlineLevel="0" collapsed="false">
      <c r="A86" s="2" t="s">
        <v>69</v>
      </c>
      <c r="B86" s="2" t="s">
        <v>70</v>
      </c>
      <c r="C86" s="2" t="s">
        <v>71</v>
      </c>
      <c r="D86" s="1" t="s">
        <v>19</v>
      </c>
      <c r="E86" s="1" t="s">
        <v>20</v>
      </c>
      <c r="F86" s="1" t="n">
        <v>27</v>
      </c>
      <c r="G86" s="2" t="s">
        <v>26</v>
      </c>
      <c r="H86" s="1" t="n">
        <v>0.1</v>
      </c>
      <c r="I86" s="1" t="n">
        <v>0.187511168744249</v>
      </c>
      <c r="J86" s="1" t="n">
        <v>0.260030673343128</v>
      </c>
      <c r="K86" s="1" t="n">
        <f aca="false">J86-I86</f>
        <v>0.0725195045988792</v>
      </c>
      <c r="L86" s="1" t="n">
        <v>0.774203318401695</v>
      </c>
    </row>
    <row r="87" customFormat="false" ht="15" hidden="false" customHeight="false" outlineLevel="0" collapsed="false">
      <c r="A87" s="2" t="s">
        <v>72</v>
      </c>
      <c r="B87" s="2" t="s">
        <v>73</v>
      </c>
      <c r="C87" s="2" t="s">
        <v>74</v>
      </c>
      <c r="D87" s="1" t="s">
        <v>19</v>
      </c>
      <c r="E87" s="1" t="s">
        <v>20</v>
      </c>
      <c r="F87" s="1" t="n">
        <v>29</v>
      </c>
      <c r="G87" s="2" t="s">
        <v>22</v>
      </c>
      <c r="H87" s="1" t="n">
        <v>0.1993</v>
      </c>
      <c r="I87" s="1" t="n">
        <v>0.385446625852111</v>
      </c>
      <c r="J87" s="1" t="n">
        <v>0.399528390183797</v>
      </c>
      <c r="K87" s="1" t="n">
        <f aca="false">J87-I87</f>
        <v>0.0140817643316855</v>
      </c>
      <c r="L87" s="1" t="n">
        <v>0.809939048024508</v>
      </c>
    </row>
    <row r="88" customFormat="false" ht="15" hidden="false" customHeight="false" outlineLevel="0" collapsed="false">
      <c r="A88" s="2" t="s">
        <v>72</v>
      </c>
      <c r="B88" s="2" t="s">
        <v>73</v>
      </c>
      <c r="C88" s="2" t="s">
        <v>74</v>
      </c>
      <c r="D88" s="1" t="s">
        <v>19</v>
      </c>
      <c r="E88" s="1" t="s">
        <v>20</v>
      </c>
      <c r="F88" s="1" t="n">
        <v>29</v>
      </c>
      <c r="G88" s="2" t="s">
        <v>21</v>
      </c>
      <c r="H88" s="1" t="n">
        <v>0.1992</v>
      </c>
      <c r="I88" s="1" t="n">
        <v>0.385280654291568</v>
      </c>
      <c r="J88" s="1" t="n">
        <v>0.391272759106435</v>
      </c>
      <c r="K88" s="1" t="n">
        <f aca="false">J88-I88</f>
        <v>0.00599210481486728</v>
      </c>
      <c r="L88" s="1" t="n">
        <v>0.809939048024508</v>
      </c>
    </row>
    <row r="89" customFormat="false" ht="15" hidden="false" customHeight="false" outlineLevel="0" collapsed="false">
      <c r="A89" s="2" t="s">
        <v>72</v>
      </c>
      <c r="B89" s="2" t="s">
        <v>73</v>
      </c>
      <c r="C89" s="2" t="s">
        <v>74</v>
      </c>
      <c r="D89" s="1" t="s">
        <v>19</v>
      </c>
      <c r="E89" s="1" t="s">
        <v>20</v>
      </c>
      <c r="F89" s="1" t="n">
        <v>29</v>
      </c>
      <c r="G89" s="2" t="s">
        <v>23</v>
      </c>
      <c r="H89" s="1" t="n">
        <v>0.1772</v>
      </c>
      <c r="I89" s="1" t="n">
        <v>0.342699053728999</v>
      </c>
      <c r="J89" s="1" t="n">
        <v>0.389949960350788</v>
      </c>
      <c r="K89" s="1" t="n">
        <f aca="false">J89-I89</f>
        <v>0.0472509066217894</v>
      </c>
      <c r="L89" s="1" t="n">
        <v>0.809939048024508</v>
      </c>
    </row>
    <row r="90" customFormat="false" ht="15" hidden="false" customHeight="false" outlineLevel="0" collapsed="false">
      <c r="A90" s="2" t="s">
        <v>72</v>
      </c>
      <c r="B90" s="2" t="s">
        <v>73</v>
      </c>
      <c r="C90" s="2" t="s">
        <v>74</v>
      </c>
      <c r="D90" s="1" t="s">
        <v>19</v>
      </c>
      <c r="E90" s="1" t="s">
        <v>20</v>
      </c>
      <c r="F90" s="1" t="n">
        <v>29</v>
      </c>
      <c r="G90" s="2" t="s">
        <v>31</v>
      </c>
      <c r="H90" s="1" t="n">
        <v>0.1642</v>
      </c>
      <c r="I90" s="1" t="n">
        <v>0.317516814344955</v>
      </c>
      <c r="J90" s="1" t="n">
        <v>0.370041949649638</v>
      </c>
      <c r="K90" s="1" t="n">
        <f aca="false">J90-I90</f>
        <v>0.0525251353046838</v>
      </c>
      <c r="L90" s="1" t="n">
        <v>0.809939048024508</v>
      </c>
    </row>
    <row r="91" customFormat="false" ht="15" hidden="false" customHeight="false" outlineLevel="0" collapsed="false">
      <c r="A91" s="2" t="s">
        <v>72</v>
      </c>
      <c r="B91" s="2" t="s">
        <v>73</v>
      </c>
      <c r="C91" s="2" t="s">
        <v>74</v>
      </c>
      <c r="D91" s="1" t="s">
        <v>19</v>
      </c>
      <c r="E91" s="1" t="s">
        <v>20</v>
      </c>
      <c r="F91" s="1" t="n">
        <v>29</v>
      </c>
      <c r="G91" s="2" t="s">
        <v>24</v>
      </c>
      <c r="H91" s="1" t="n">
        <v>0.1602</v>
      </c>
      <c r="I91" s="1" t="n">
        <v>0.309828981225993</v>
      </c>
      <c r="J91" s="1" t="n">
        <v>0.327493408576284</v>
      </c>
      <c r="K91" s="1" t="n">
        <f aca="false">J91-I91</f>
        <v>0.017664427350291</v>
      </c>
      <c r="L91" s="1" t="n">
        <v>0.809939048024508</v>
      </c>
    </row>
    <row r="92" customFormat="false" ht="15" hidden="false" customHeight="false" outlineLevel="0" collapsed="false">
      <c r="A92" s="2" t="s">
        <v>72</v>
      </c>
      <c r="B92" s="2" t="s">
        <v>73</v>
      </c>
      <c r="C92" s="2" t="s">
        <v>74</v>
      </c>
      <c r="D92" s="1" t="s">
        <v>19</v>
      </c>
      <c r="E92" s="1" t="s">
        <v>20</v>
      </c>
      <c r="F92" s="1" t="n">
        <v>29</v>
      </c>
      <c r="G92" s="2" t="s">
        <v>26</v>
      </c>
      <c r="H92" s="1" t="n">
        <v>0.1</v>
      </c>
      <c r="I92" s="1" t="n">
        <v>0.247924009990278</v>
      </c>
      <c r="J92" s="1" t="n">
        <v>0.29526322421867</v>
      </c>
      <c r="K92" s="1" t="n">
        <f aca="false">J92-I92</f>
        <v>0.0473392142283912</v>
      </c>
      <c r="L92" s="1" t="n">
        <v>0.809939048024508</v>
      </c>
    </row>
    <row r="93" customFormat="false" ht="15" hidden="false" customHeight="false" outlineLevel="0" collapsed="false">
      <c r="A93" s="2" t="s">
        <v>75</v>
      </c>
      <c r="B93" s="2" t="s">
        <v>76</v>
      </c>
      <c r="C93" s="2" t="s">
        <v>77</v>
      </c>
      <c r="D93" s="1" t="s">
        <v>19</v>
      </c>
      <c r="E93" s="1" t="s">
        <v>20</v>
      </c>
      <c r="F93" s="1" t="n">
        <v>31</v>
      </c>
      <c r="G93" s="2" t="s">
        <v>23</v>
      </c>
      <c r="H93" s="1" t="n">
        <v>0.1933</v>
      </c>
      <c r="I93" s="1" t="n">
        <v>0.309250381823684</v>
      </c>
      <c r="J93" s="1" t="n">
        <v>0.345939735008104</v>
      </c>
      <c r="K93" s="1" t="n">
        <f aca="false">J93-I93</f>
        <v>0.0366893531844201</v>
      </c>
      <c r="L93" s="1" t="n">
        <v>0.650131632080799</v>
      </c>
    </row>
    <row r="94" customFormat="false" ht="15" hidden="false" customHeight="false" outlineLevel="0" collapsed="false">
      <c r="A94" s="2" t="s">
        <v>75</v>
      </c>
      <c r="B94" s="2" t="s">
        <v>76</v>
      </c>
      <c r="C94" s="2" t="s">
        <v>77</v>
      </c>
      <c r="D94" s="1" t="s">
        <v>19</v>
      </c>
      <c r="E94" s="1" t="s">
        <v>20</v>
      </c>
      <c r="F94" s="1" t="n">
        <v>31</v>
      </c>
      <c r="G94" s="2" t="s">
        <v>21</v>
      </c>
      <c r="H94" s="1" t="n">
        <v>0.1872</v>
      </c>
      <c r="I94" s="1" t="n">
        <v>0.299574464430906</v>
      </c>
      <c r="J94" s="1" t="n">
        <v>0.339406705252162</v>
      </c>
      <c r="K94" s="1" t="n">
        <f aca="false">J94-I94</f>
        <v>0.0398322408212555</v>
      </c>
      <c r="L94" s="1" t="n">
        <v>0.650131632080799</v>
      </c>
    </row>
    <row r="95" customFormat="false" ht="15" hidden="false" customHeight="false" outlineLevel="0" collapsed="false">
      <c r="A95" s="2" t="s">
        <v>75</v>
      </c>
      <c r="B95" s="2" t="s">
        <v>76</v>
      </c>
      <c r="C95" s="2" t="s">
        <v>77</v>
      </c>
      <c r="D95" s="1" t="s">
        <v>19</v>
      </c>
      <c r="E95" s="1" t="s">
        <v>20</v>
      </c>
      <c r="F95" s="1" t="n">
        <v>31</v>
      </c>
      <c r="G95" s="2" t="s">
        <v>22</v>
      </c>
      <c r="H95" s="1" t="n">
        <v>0.181</v>
      </c>
      <c r="I95" s="1" t="n">
        <v>0.289663499311576</v>
      </c>
      <c r="J95" s="1" t="n">
        <v>0.279335693059842</v>
      </c>
      <c r="K95" s="1" t="n">
        <f aca="false">J95-I95</f>
        <v>-0.0103278062517344</v>
      </c>
      <c r="L95" s="1" t="n">
        <v>0.650131632080799</v>
      </c>
    </row>
    <row r="96" customFormat="false" ht="15" hidden="false" customHeight="false" outlineLevel="0" collapsed="false">
      <c r="A96" s="2" t="s">
        <v>75</v>
      </c>
      <c r="B96" s="2" t="s">
        <v>76</v>
      </c>
      <c r="C96" s="2" t="s">
        <v>77</v>
      </c>
      <c r="D96" s="1" t="s">
        <v>19</v>
      </c>
      <c r="E96" s="1" t="s">
        <v>20</v>
      </c>
      <c r="F96" s="1" t="n">
        <v>31</v>
      </c>
      <c r="G96" s="2" t="s">
        <v>25</v>
      </c>
      <c r="H96" s="1" t="n">
        <v>0.1694</v>
      </c>
      <c r="I96" s="1" t="n">
        <v>0.271030724124836</v>
      </c>
      <c r="J96" s="1" t="n">
        <v>0.302862229332785</v>
      </c>
      <c r="K96" s="1" t="n">
        <f aca="false">J96-I96</f>
        <v>0.031831505207949</v>
      </c>
      <c r="L96" s="1" t="n">
        <v>0.650131632080799</v>
      </c>
    </row>
    <row r="97" customFormat="false" ht="15" hidden="false" customHeight="false" outlineLevel="0" collapsed="false">
      <c r="A97" s="2" t="s">
        <v>75</v>
      </c>
      <c r="B97" s="2" t="s">
        <v>76</v>
      </c>
      <c r="C97" s="2" t="s">
        <v>77</v>
      </c>
      <c r="D97" s="1" t="s">
        <v>19</v>
      </c>
      <c r="E97" s="1" t="s">
        <v>20</v>
      </c>
      <c r="F97" s="1" t="n">
        <v>31</v>
      </c>
      <c r="G97" s="2" t="s">
        <v>38</v>
      </c>
      <c r="H97" s="1" t="n">
        <v>0.1691</v>
      </c>
      <c r="I97" s="1" t="n">
        <v>0.27055913649603</v>
      </c>
      <c r="J97" s="1" t="n">
        <v>0.280515123719909</v>
      </c>
      <c r="K97" s="1" t="n">
        <f aca="false">J97-I97</f>
        <v>0.0099559872238788</v>
      </c>
      <c r="L97" s="1" t="n">
        <v>0.650131632080799</v>
      </c>
    </row>
    <row r="98" customFormat="false" ht="15" hidden="false" customHeight="false" outlineLevel="0" collapsed="false">
      <c r="A98" s="2" t="s">
        <v>75</v>
      </c>
      <c r="B98" s="2" t="s">
        <v>76</v>
      </c>
      <c r="C98" s="2" t="s">
        <v>77</v>
      </c>
      <c r="D98" s="1" t="s">
        <v>19</v>
      </c>
      <c r="E98" s="1" t="s">
        <v>20</v>
      </c>
      <c r="F98" s="1" t="n">
        <v>31</v>
      </c>
      <c r="G98" s="2" t="s">
        <v>26</v>
      </c>
      <c r="H98" s="1" t="n">
        <v>0.1</v>
      </c>
      <c r="I98" s="1" t="n">
        <v>0.199294361924798</v>
      </c>
      <c r="J98" s="1" t="n">
        <v>0.230617338158649</v>
      </c>
      <c r="K98" s="1" t="n">
        <f aca="false">J98-I98</f>
        <v>0.0313229762338513</v>
      </c>
      <c r="L98" s="1" t="n">
        <v>0.650131632080799</v>
      </c>
    </row>
    <row r="99" customFormat="false" ht="15" hidden="false" customHeight="false" outlineLevel="0" collapsed="false">
      <c r="A99" s="2" t="s">
        <v>78</v>
      </c>
      <c r="B99" s="2" t="s">
        <v>79</v>
      </c>
      <c r="C99" s="2" t="s">
        <v>80</v>
      </c>
      <c r="D99" s="1" t="s">
        <v>19</v>
      </c>
      <c r="E99" s="1" t="s">
        <v>20</v>
      </c>
      <c r="F99" s="1" t="n">
        <v>33</v>
      </c>
      <c r="G99" s="2" t="s">
        <v>24</v>
      </c>
      <c r="H99" s="1" t="n">
        <v>0.1855</v>
      </c>
      <c r="I99" s="1" t="n">
        <v>0.253643659639851</v>
      </c>
      <c r="J99" s="1" t="n">
        <v>0.328071531148427</v>
      </c>
      <c r="K99" s="1" t="n">
        <f aca="false">J99-I99</f>
        <v>0.0744278715085753</v>
      </c>
      <c r="L99" s="1" t="n">
        <v>0.797189081830377</v>
      </c>
    </row>
    <row r="100" customFormat="false" ht="15" hidden="false" customHeight="false" outlineLevel="0" collapsed="false">
      <c r="A100" s="2" t="s">
        <v>78</v>
      </c>
      <c r="B100" s="2" t="s">
        <v>79</v>
      </c>
      <c r="C100" s="2" t="s">
        <v>80</v>
      </c>
      <c r="D100" s="1" t="s">
        <v>19</v>
      </c>
      <c r="E100" s="1" t="s">
        <v>20</v>
      </c>
      <c r="F100" s="1" t="n">
        <v>33</v>
      </c>
      <c r="G100" s="2" t="s">
        <v>21</v>
      </c>
      <c r="H100" s="1" t="n">
        <v>0.1828</v>
      </c>
      <c r="I100" s="1" t="n">
        <v>0.249961780758317</v>
      </c>
      <c r="J100" s="1" t="n">
        <v>0.342267071334887</v>
      </c>
      <c r="K100" s="1" t="n">
        <f aca="false">J100-I100</f>
        <v>0.0923052905765695</v>
      </c>
      <c r="L100" s="1" t="n">
        <v>0.797189081830377</v>
      </c>
    </row>
    <row r="101" customFormat="false" ht="15" hidden="false" customHeight="false" outlineLevel="0" collapsed="false">
      <c r="A101" s="2" t="s">
        <v>78</v>
      </c>
      <c r="B101" s="2" t="s">
        <v>79</v>
      </c>
      <c r="C101" s="2" t="s">
        <v>80</v>
      </c>
      <c r="D101" s="1" t="s">
        <v>19</v>
      </c>
      <c r="E101" s="1" t="s">
        <v>20</v>
      </c>
      <c r="F101" s="1" t="n">
        <v>33</v>
      </c>
      <c r="G101" s="2" t="s">
        <v>31</v>
      </c>
      <c r="H101" s="1" t="n">
        <v>0.1818</v>
      </c>
      <c r="I101" s="1" t="n">
        <v>0.248543367227008</v>
      </c>
      <c r="J101" s="1" t="n">
        <v>0.30060883428522</v>
      </c>
      <c r="K101" s="1" t="n">
        <f aca="false">J101-I101</f>
        <v>0.0520654670582122</v>
      </c>
      <c r="L101" s="1" t="n">
        <v>0.797189081830377</v>
      </c>
    </row>
    <row r="102" customFormat="false" ht="15" hidden="false" customHeight="false" outlineLevel="0" collapsed="false">
      <c r="A102" s="2" t="s">
        <v>78</v>
      </c>
      <c r="B102" s="2" t="s">
        <v>79</v>
      </c>
      <c r="C102" s="2" t="s">
        <v>80</v>
      </c>
      <c r="D102" s="1" t="s">
        <v>19</v>
      </c>
      <c r="E102" s="1" t="s">
        <v>20</v>
      </c>
      <c r="F102" s="1" t="n">
        <v>33</v>
      </c>
      <c r="G102" s="2" t="s">
        <v>23</v>
      </c>
      <c r="H102" s="1" t="n">
        <v>0.1763</v>
      </c>
      <c r="I102" s="1" t="n">
        <v>0.241059487899996</v>
      </c>
      <c r="J102" s="1" t="n">
        <v>0.311782572364209</v>
      </c>
      <c r="K102" s="1" t="n">
        <f aca="false">J102-I102</f>
        <v>0.0707230844642125</v>
      </c>
      <c r="L102" s="1" t="n">
        <v>0.797189081830377</v>
      </c>
    </row>
    <row r="103" customFormat="false" ht="15" hidden="false" customHeight="false" outlineLevel="0" collapsed="false">
      <c r="A103" s="2" t="s">
        <v>78</v>
      </c>
      <c r="B103" s="2" t="s">
        <v>79</v>
      </c>
      <c r="C103" s="2" t="s">
        <v>80</v>
      </c>
      <c r="D103" s="1" t="s">
        <v>19</v>
      </c>
      <c r="E103" s="1" t="s">
        <v>20</v>
      </c>
      <c r="F103" s="1" t="n">
        <v>33</v>
      </c>
      <c r="G103" s="2" t="s">
        <v>56</v>
      </c>
      <c r="H103" s="1" t="n">
        <v>0.1736</v>
      </c>
      <c r="I103" s="1" t="n">
        <v>0.237348403997325</v>
      </c>
      <c r="J103" s="1" t="n">
        <v>0.285033320907827</v>
      </c>
      <c r="K103" s="1" t="n">
        <f aca="false">J103-I103</f>
        <v>0.0476849169105016</v>
      </c>
      <c r="L103" s="1" t="n">
        <v>0.797189081830377</v>
      </c>
    </row>
    <row r="104" customFormat="false" ht="15" hidden="false" customHeight="false" outlineLevel="0" collapsed="false">
      <c r="A104" s="2" t="s">
        <v>78</v>
      </c>
      <c r="B104" s="2" t="s">
        <v>79</v>
      </c>
      <c r="C104" s="2" t="s">
        <v>80</v>
      </c>
      <c r="D104" s="1" t="s">
        <v>19</v>
      </c>
      <c r="E104" s="1" t="s">
        <v>20</v>
      </c>
      <c r="F104" s="1" t="n">
        <v>33</v>
      </c>
      <c r="G104" s="2" t="s">
        <v>26</v>
      </c>
      <c r="H104" s="1" t="n">
        <v>0.1</v>
      </c>
      <c r="I104" s="1" t="n">
        <v>0.166580592172087</v>
      </c>
      <c r="J104" s="1" t="n">
        <v>0.218956259373622</v>
      </c>
      <c r="K104" s="1" t="n">
        <f aca="false">J104-I104</f>
        <v>0.0523756672015353</v>
      </c>
      <c r="L104" s="1" t="n">
        <v>0.797189081830377</v>
      </c>
    </row>
    <row r="105" customFormat="false" ht="15" hidden="false" customHeight="false" outlineLevel="0" collapsed="false">
      <c r="A105" s="2" t="s">
        <v>81</v>
      </c>
      <c r="B105" s="2" t="s">
        <v>82</v>
      </c>
      <c r="C105" s="2" t="s">
        <v>83</v>
      </c>
      <c r="D105" s="1" t="s">
        <v>19</v>
      </c>
      <c r="E105" s="1" t="s">
        <v>20</v>
      </c>
      <c r="F105" s="1" t="n">
        <v>35</v>
      </c>
      <c r="G105" s="2" t="s">
        <v>21</v>
      </c>
      <c r="H105" s="1" t="n">
        <v>0.2044</v>
      </c>
      <c r="I105" s="1" t="n">
        <v>0.280870225449416</v>
      </c>
      <c r="J105" s="1" t="n">
        <v>0.37168039501621</v>
      </c>
      <c r="K105" s="1" t="n">
        <f aca="false">J105-I105</f>
        <v>0.0908101695667944</v>
      </c>
      <c r="L105" s="1" t="n">
        <v>0.729185376832561</v>
      </c>
    </row>
    <row r="106" customFormat="false" ht="15" hidden="false" customHeight="false" outlineLevel="0" collapsed="false">
      <c r="A106" s="2" t="s">
        <v>81</v>
      </c>
      <c r="B106" s="2" t="s">
        <v>82</v>
      </c>
      <c r="C106" s="2" t="s">
        <v>83</v>
      </c>
      <c r="D106" s="1" t="s">
        <v>19</v>
      </c>
      <c r="E106" s="1" t="s">
        <v>20</v>
      </c>
      <c r="F106" s="1" t="n">
        <v>35</v>
      </c>
      <c r="G106" s="2" t="s">
        <v>22</v>
      </c>
      <c r="H106" s="1" t="n">
        <v>0.1964</v>
      </c>
      <c r="I106" s="1" t="n">
        <v>0.269911346770096</v>
      </c>
      <c r="J106" s="1" t="n">
        <v>0.339706221795864</v>
      </c>
      <c r="K106" s="1" t="n">
        <f aca="false">J106-I106</f>
        <v>0.069794875025768</v>
      </c>
      <c r="L106" s="1" t="n">
        <v>0.729185376832561</v>
      </c>
    </row>
    <row r="107" customFormat="false" ht="15" hidden="false" customHeight="false" outlineLevel="0" collapsed="false">
      <c r="A107" s="2" t="s">
        <v>81</v>
      </c>
      <c r="B107" s="2" t="s">
        <v>82</v>
      </c>
      <c r="C107" s="2" t="s">
        <v>83</v>
      </c>
      <c r="D107" s="1" t="s">
        <v>19</v>
      </c>
      <c r="E107" s="1" t="s">
        <v>20</v>
      </c>
      <c r="F107" s="1" t="n">
        <v>35</v>
      </c>
      <c r="G107" s="2" t="s">
        <v>24</v>
      </c>
      <c r="H107" s="1" t="n">
        <v>0.1863</v>
      </c>
      <c r="I107" s="1" t="n">
        <v>0.255994170407488</v>
      </c>
      <c r="J107" s="1" t="n">
        <v>0.325048063442998</v>
      </c>
      <c r="K107" s="1" t="n">
        <f aca="false">J107-I107</f>
        <v>0.0690538930355101</v>
      </c>
      <c r="L107" s="1" t="n">
        <v>0.729185376832561</v>
      </c>
    </row>
    <row r="108" customFormat="false" ht="15" hidden="false" customHeight="false" outlineLevel="0" collapsed="false">
      <c r="A108" s="2" t="s">
        <v>81</v>
      </c>
      <c r="B108" s="2" t="s">
        <v>82</v>
      </c>
      <c r="C108" s="2" t="s">
        <v>83</v>
      </c>
      <c r="D108" s="1" t="s">
        <v>19</v>
      </c>
      <c r="E108" s="1" t="s">
        <v>20</v>
      </c>
      <c r="F108" s="1" t="n">
        <v>35</v>
      </c>
      <c r="G108" s="2" t="s">
        <v>25</v>
      </c>
      <c r="H108" s="1" t="n">
        <v>0.1571</v>
      </c>
      <c r="I108" s="1" t="n">
        <v>0.215916688413023</v>
      </c>
      <c r="J108" s="1" t="n">
        <v>0.27442623286443</v>
      </c>
      <c r="K108" s="1" t="n">
        <f aca="false">J108-I108</f>
        <v>0.0585095444514073</v>
      </c>
      <c r="L108" s="1" t="n">
        <v>0.729185376832561</v>
      </c>
    </row>
    <row r="109" customFormat="false" ht="15" hidden="false" customHeight="false" outlineLevel="0" collapsed="false">
      <c r="A109" s="2" t="s">
        <v>81</v>
      </c>
      <c r="B109" s="2" t="s">
        <v>82</v>
      </c>
      <c r="C109" s="2" t="s">
        <v>83</v>
      </c>
      <c r="D109" s="1" t="s">
        <v>19</v>
      </c>
      <c r="E109" s="1" t="s">
        <v>20</v>
      </c>
      <c r="F109" s="1" t="n">
        <v>35</v>
      </c>
      <c r="G109" s="2" t="s">
        <v>38</v>
      </c>
      <c r="H109" s="1" t="n">
        <v>0.1558</v>
      </c>
      <c r="I109" s="1" t="n">
        <v>0.214144788679446</v>
      </c>
      <c r="J109" s="1" t="n">
        <v>0.296212576874849</v>
      </c>
      <c r="K109" s="1" t="n">
        <f aca="false">J109-I109</f>
        <v>0.0820677881954029</v>
      </c>
      <c r="L109" s="1" t="n">
        <v>0.729185376832561</v>
      </c>
    </row>
    <row r="110" customFormat="false" ht="15" hidden="false" customHeight="false" outlineLevel="0" collapsed="false">
      <c r="A110" s="2" t="s">
        <v>81</v>
      </c>
      <c r="B110" s="2" t="s">
        <v>82</v>
      </c>
      <c r="C110" s="2" t="s">
        <v>83</v>
      </c>
      <c r="D110" s="1" t="s">
        <v>19</v>
      </c>
      <c r="E110" s="1" t="s">
        <v>20</v>
      </c>
      <c r="F110" s="1" t="n">
        <v>35</v>
      </c>
      <c r="G110" s="2" t="s">
        <v>26</v>
      </c>
      <c r="H110" s="1" t="n">
        <v>0.1</v>
      </c>
      <c r="I110" s="1" t="n">
        <v>0.159485716069945</v>
      </c>
      <c r="J110" s="1" t="n">
        <v>0.236600769178063</v>
      </c>
      <c r="K110" s="1" t="n">
        <f aca="false">J110-I110</f>
        <v>0.0771150531081186</v>
      </c>
      <c r="L110" s="1" t="n">
        <v>0.729185376832561</v>
      </c>
    </row>
    <row r="111" customFormat="false" ht="15" hidden="false" customHeight="false" outlineLevel="0" collapsed="false">
      <c r="A111" s="2" t="s">
        <v>84</v>
      </c>
      <c r="B111" s="2" t="s">
        <v>85</v>
      </c>
      <c r="C111" s="2" t="s">
        <v>86</v>
      </c>
      <c r="D111" s="1" t="s">
        <v>19</v>
      </c>
      <c r="E111" s="1" t="s">
        <v>20</v>
      </c>
      <c r="F111" s="1" t="n">
        <v>37</v>
      </c>
      <c r="G111" s="2" t="s">
        <v>21</v>
      </c>
      <c r="H111" s="1" t="n">
        <v>0.2017</v>
      </c>
      <c r="I111" s="1" t="n">
        <v>0.315540809586939</v>
      </c>
      <c r="J111" s="1" t="n">
        <v>0.382117728019685</v>
      </c>
      <c r="K111" s="1" t="n">
        <f aca="false">J111-I111</f>
        <v>0.0665769184327463</v>
      </c>
      <c r="L111" s="1" t="n">
        <v>0.814317443577555</v>
      </c>
    </row>
    <row r="112" customFormat="false" ht="15" hidden="false" customHeight="false" outlineLevel="0" collapsed="false">
      <c r="A112" s="2" t="s">
        <v>84</v>
      </c>
      <c r="B112" s="2" t="s">
        <v>85</v>
      </c>
      <c r="C112" s="2" t="s">
        <v>86</v>
      </c>
      <c r="D112" s="1" t="s">
        <v>19</v>
      </c>
      <c r="E112" s="1" t="s">
        <v>20</v>
      </c>
      <c r="F112" s="1" t="n">
        <v>37</v>
      </c>
      <c r="G112" s="2" t="s">
        <v>22</v>
      </c>
      <c r="H112" s="1" t="n">
        <v>0.1947</v>
      </c>
      <c r="I112" s="1" t="n">
        <v>0.304606051738909</v>
      </c>
      <c r="J112" s="1" t="n">
        <v>0.354332894562689</v>
      </c>
      <c r="K112" s="1" t="n">
        <f aca="false">J112-I112</f>
        <v>0.0497268428237802</v>
      </c>
      <c r="L112" s="1" t="n">
        <v>0.814317443577555</v>
      </c>
    </row>
    <row r="113" customFormat="false" ht="15" hidden="false" customHeight="false" outlineLevel="0" collapsed="false">
      <c r="A113" s="2" t="s">
        <v>84</v>
      </c>
      <c r="B113" s="2" t="s">
        <v>85</v>
      </c>
      <c r="C113" s="2" t="s">
        <v>86</v>
      </c>
      <c r="D113" s="1" t="s">
        <v>19</v>
      </c>
      <c r="E113" s="1" t="s">
        <v>20</v>
      </c>
      <c r="F113" s="1" t="n">
        <v>37</v>
      </c>
      <c r="G113" s="2" t="s">
        <v>56</v>
      </c>
      <c r="H113" s="1" t="n">
        <v>0.1723</v>
      </c>
      <c r="I113" s="1" t="n">
        <v>0.269651238743153</v>
      </c>
      <c r="J113" s="1" t="n">
        <v>0.347282209360542</v>
      </c>
      <c r="K113" s="1" t="n">
        <f aca="false">J113-I113</f>
        <v>0.0776309706173893</v>
      </c>
      <c r="L113" s="1" t="n">
        <v>0.814317443577555</v>
      </c>
    </row>
    <row r="114" customFormat="false" ht="15" hidden="false" customHeight="false" outlineLevel="0" collapsed="false">
      <c r="A114" s="2" t="s">
        <v>84</v>
      </c>
      <c r="B114" s="2" t="s">
        <v>85</v>
      </c>
      <c r="C114" s="2" t="s">
        <v>86</v>
      </c>
      <c r="D114" s="1" t="s">
        <v>19</v>
      </c>
      <c r="E114" s="1" t="s">
        <v>20</v>
      </c>
      <c r="F114" s="1" t="n">
        <v>37</v>
      </c>
      <c r="G114" s="2" t="s">
        <v>31</v>
      </c>
      <c r="H114" s="1" t="n">
        <v>0.1694</v>
      </c>
      <c r="I114" s="1" t="n">
        <v>0.264972128244218</v>
      </c>
      <c r="J114" s="1" t="n">
        <v>0.347344369494094</v>
      </c>
      <c r="K114" s="1" t="n">
        <f aca="false">J114-I114</f>
        <v>0.0823722412498761</v>
      </c>
      <c r="L114" s="1" t="n">
        <v>0.814317443577555</v>
      </c>
    </row>
    <row r="115" customFormat="false" ht="15" hidden="false" customHeight="false" outlineLevel="0" collapsed="false">
      <c r="A115" s="2" t="s">
        <v>84</v>
      </c>
      <c r="B115" s="2" t="s">
        <v>85</v>
      </c>
      <c r="C115" s="2" t="s">
        <v>86</v>
      </c>
      <c r="D115" s="1" t="s">
        <v>19</v>
      </c>
      <c r="E115" s="1" t="s">
        <v>20</v>
      </c>
      <c r="F115" s="1" t="n">
        <v>37</v>
      </c>
      <c r="G115" s="2" t="s">
        <v>25</v>
      </c>
      <c r="H115" s="1" t="n">
        <v>0.1619</v>
      </c>
      <c r="I115" s="1" t="n">
        <v>0.253354095575764</v>
      </c>
      <c r="J115" s="1" t="n">
        <v>0.274587376873004</v>
      </c>
      <c r="K115" s="1" t="n">
        <f aca="false">J115-I115</f>
        <v>0.0212332812972408</v>
      </c>
      <c r="L115" s="1" t="n">
        <v>0.814317443577555</v>
      </c>
    </row>
    <row r="116" customFormat="false" ht="15" hidden="false" customHeight="false" outlineLevel="0" collapsed="false">
      <c r="A116" s="2" t="s">
        <v>84</v>
      </c>
      <c r="B116" s="2" t="s">
        <v>85</v>
      </c>
      <c r="C116" s="2" t="s">
        <v>86</v>
      </c>
      <c r="D116" s="1" t="s">
        <v>19</v>
      </c>
      <c r="E116" s="1" t="s">
        <v>20</v>
      </c>
      <c r="F116" s="1" t="n">
        <v>37</v>
      </c>
      <c r="G116" s="2" t="s">
        <v>26</v>
      </c>
      <c r="H116" s="1" t="n">
        <v>0.1</v>
      </c>
      <c r="I116" s="1" t="n">
        <v>0.195027248682611</v>
      </c>
      <c r="J116" s="1" t="n">
        <v>0.242457081826696</v>
      </c>
      <c r="K116" s="1" t="n">
        <f aca="false">J116-I116</f>
        <v>0.0474298331440846</v>
      </c>
      <c r="L116" s="1" t="n">
        <v>0.814317443577555</v>
      </c>
    </row>
    <row r="117" customFormat="false" ht="15" hidden="false" customHeight="false" outlineLevel="0" collapsed="false">
      <c r="A117" s="2" t="s">
        <v>87</v>
      </c>
      <c r="B117" s="2" t="s">
        <v>88</v>
      </c>
      <c r="C117" s="2" t="s">
        <v>89</v>
      </c>
      <c r="D117" s="1" t="s">
        <v>19</v>
      </c>
      <c r="E117" s="1" t="s">
        <v>20</v>
      </c>
      <c r="F117" s="1" t="n">
        <v>39</v>
      </c>
      <c r="G117" s="2" t="s">
        <v>21</v>
      </c>
      <c r="H117" s="1" t="n">
        <v>0.195</v>
      </c>
      <c r="I117" s="1" t="n">
        <v>0.335546678476818</v>
      </c>
      <c r="J117" s="1" t="n">
        <v>0.321841369269538</v>
      </c>
      <c r="K117" s="1" t="n">
        <f aca="false">J117-I117</f>
        <v>-0.0137053092072802</v>
      </c>
      <c r="L117" s="1" t="n">
        <v>0.726210867823374</v>
      </c>
    </row>
    <row r="118" customFormat="false" ht="15" hidden="false" customHeight="false" outlineLevel="0" collapsed="false">
      <c r="A118" s="2" t="s">
        <v>87</v>
      </c>
      <c r="B118" s="2" t="s">
        <v>88</v>
      </c>
      <c r="C118" s="2" t="s">
        <v>89</v>
      </c>
      <c r="D118" s="1" t="s">
        <v>19</v>
      </c>
      <c r="E118" s="1" t="s">
        <v>20</v>
      </c>
      <c r="F118" s="1" t="n">
        <v>39</v>
      </c>
      <c r="G118" s="2" t="s">
        <v>22</v>
      </c>
      <c r="H118" s="1" t="n">
        <v>0.1927</v>
      </c>
      <c r="I118" s="1" t="n">
        <v>0.331551601919288</v>
      </c>
      <c r="J118" s="1" t="n">
        <v>0.314937886029954</v>
      </c>
      <c r="K118" s="1" t="n">
        <f aca="false">J118-I118</f>
        <v>-0.0166137158893341</v>
      </c>
      <c r="L118" s="1" t="n">
        <v>0.726210867823374</v>
      </c>
    </row>
    <row r="119" customFormat="false" ht="15" hidden="false" customHeight="false" outlineLevel="0" collapsed="false">
      <c r="A119" s="2" t="s">
        <v>87</v>
      </c>
      <c r="B119" s="2" t="s">
        <v>88</v>
      </c>
      <c r="C119" s="2" t="s">
        <v>89</v>
      </c>
      <c r="D119" s="1" t="s">
        <v>19</v>
      </c>
      <c r="E119" s="1" t="s">
        <v>20</v>
      </c>
      <c r="F119" s="1" t="n">
        <v>39</v>
      </c>
      <c r="G119" s="2" t="s">
        <v>31</v>
      </c>
      <c r="H119" s="1" t="n">
        <v>0.1843</v>
      </c>
      <c r="I119" s="1" t="n">
        <v>0.317102361247418</v>
      </c>
      <c r="J119" s="1" t="n">
        <v>0.301961214673172</v>
      </c>
      <c r="K119" s="1" t="n">
        <f aca="false">J119-I119</f>
        <v>-0.015141146574246</v>
      </c>
      <c r="L119" s="1" t="n">
        <v>0.726210867823374</v>
      </c>
    </row>
    <row r="120" customFormat="false" ht="15" hidden="false" customHeight="false" outlineLevel="0" collapsed="false">
      <c r="A120" s="2" t="s">
        <v>87</v>
      </c>
      <c r="B120" s="2" t="s">
        <v>88</v>
      </c>
      <c r="C120" s="2" t="s">
        <v>89</v>
      </c>
      <c r="D120" s="1" t="s">
        <v>19</v>
      </c>
      <c r="E120" s="1" t="s">
        <v>20</v>
      </c>
      <c r="F120" s="1" t="n">
        <v>39</v>
      </c>
      <c r="G120" s="2" t="s">
        <v>56</v>
      </c>
      <c r="H120" s="1" t="n">
        <v>0.1717</v>
      </c>
      <c r="I120" s="1" t="n">
        <v>0.295477459352759</v>
      </c>
      <c r="J120" s="1" t="n">
        <v>0.272912469334577</v>
      </c>
      <c r="K120" s="1" t="n">
        <f aca="false">J120-I120</f>
        <v>-0.0225649900181821</v>
      </c>
      <c r="L120" s="1" t="n">
        <v>0.726210867823374</v>
      </c>
    </row>
    <row r="121" customFormat="false" ht="15" hidden="false" customHeight="false" outlineLevel="0" collapsed="false">
      <c r="A121" s="2" t="s">
        <v>87</v>
      </c>
      <c r="B121" s="2" t="s">
        <v>88</v>
      </c>
      <c r="C121" s="2" t="s">
        <v>89</v>
      </c>
      <c r="D121" s="1" t="s">
        <v>19</v>
      </c>
      <c r="E121" s="1" t="s">
        <v>20</v>
      </c>
      <c r="F121" s="1" t="n">
        <v>39</v>
      </c>
      <c r="G121" s="2" t="s">
        <v>23</v>
      </c>
      <c r="H121" s="1" t="n">
        <v>0.1564</v>
      </c>
      <c r="I121" s="1" t="n">
        <v>0.269083567422994</v>
      </c>
      <c r="J121" s="1" t="n">
        <v>0.290323451316504</v>
      </c>
      <c r="K121" s="1" t="n">
        <f aca="false">J121-I121</f>
        <v>0.0212398838935096</v>
      </c>
      <c r="L121" s="1" t="n">
        <v>0.726210867823374</v>
      </c>
    </row>
    <row r="122" customFormat="false" ht="15" hidden="false" customHeight="false" outlineLevel="0" collapsed="false">
      <c r="A122" s="2" t="s">
        <v>87</v>
      </c>
      <c r="B122" s="2" t="s">
        <v>88</v>
      </c>
      <c r="C122" s="2" t="s">
        <v>89</v>
      </c>
      <c r="D122" s="1" t="s">
        <v>19</v>
      </c>
      <c r="E122" s="1" t="s">
        <v>20</v>
      </c>
      <c r="F122" s="1" t="n">
        <v>39</v>
      </c>
      <c r="G122" s="2" t="s">
        <v>26</v>
      </c>
      <c r="H122" s="1" t="n">
        <v>0.1</v>
      </c>
      <c r="I122" s="1" t="n">
        <v>0.223491907273928</v>
      </c>
      <c r="J122" s="1" t="n">
        <v>0.245188781166651</v>
      </c>
      <c r="K122" s="1" t="n">
        <f aca="false">J122-I122</f>
        <v>0.0216968738927229</v>
      </c>
      <c r="L122" s="1" t="n">
        <v>0.726210867823374</v>
      </c>
    </row>
    <row r="123" customFormat="false" ht="15" hidden="false" customHeight="false" outlineLevel="0" collapsed="false">
      <c r="A123" s="2" t="s">
        <v>90</v>
      </c>
      <c r="B123" s="2" t="s">
        <v>91</v>
      </c>
      <c r="C123" s="2" t="s">
        <v>92</v>
      </c>
      <c r="D123" s="1" t="s">
        <v>19</v>
      </c>
      <c r="E123" s="1" t="s">
        <v>20</v>
      </c>
      <c r="F123" s="1" t="n">
        <v>41</v>
      </c>
      <c r="G123" s="2" t="s">
        <v>21</v>
      </c>
      <c r="H123" s="1" t="n">
        <v>0.191</v>
      </c>
      <c r="I123" s="1" t="n">
        <v>0.296942993775845</v>
      </c>
      <c r="J123" s="1" t="n">
        <v>0.389481467011477</v>
      </c>
      <c r="K123" s="1" t="n">
        <f aca="false">J123-I123</f>
        <v>0.0925384732356321</v>
      </c>
      <c r="L123" s="1" t="n">
        <v>0.729028212060252</v>
      </c>
    </row>
    <row r="124" customFormat="false" ht="15" hidden="false" customHeight="false" outlineLevel="0" collapsed="false">
      <c r="A124" s="2" t="s">
        <v>90</v>
      </c>
      <c r="B124" s="2" t="s">
        <v>91</v>
      </c>
      <c r="C124" s="2" t="s">
        <v>92</v>
      </c>
      <c r="D124" s="1" t="s">
        <v>19</v>
      </c>
      <c r="E124" s="1" t="s">
        <v>20</v>
      </c>
      <c r="F124" s="1" t="n">
        <v>41</v>
      </c>
      <c r="G124" s="2" t="s">
        <v>24</v>
      </c>
      <c r="H124" s="1" t="n">
        <v>0.1847</v>
      </c>
      <c r="I124" s="1" t="n">
        <v>0.287083095227248</v>
      </c>
      <c r="J124" s="1" t="n">
        <v>0.361975090122527</v>
      </c>
      <c r="K124" s="1" t="n">
        <f aca="false">J124-I124</f>
        <v>0.0748919948952797</v>
      </c>
      <c r="L124" s="1" t="n">
        <v>0.729028212060252</v>
      </c>
    </row>
    <row r="125" customFormat="false" ht="15" hidden="false" customHeight="false" outlineLevel="0" collapsed="false">
      <c r="A125" s="2" t="s">
        <v>90</v>
      </c>
      <c r="B125" s="2" t="s">
        <v>91</v>
      </c>
      <c r="C125" s="2" t="s">
        <v>92</v>
      </c>
      <c r="D125" s="1" t="s">
        <v>19</v>
      </c>
      <c r="E125" s="1" t="s">
        <v>20</v>
      </c>
      <c r="F125" s="1" t="n">
        <v>41</v>
      </c>
      <c r="G125" s="2" t="s">
        <v>31</v>
      </c>
      <c r="H125" s="1" t="n">
        <v>0.1802</v>
      </c>
      <c r="I125" s="1" t="n">
        <v>0.280148878403067</v>
      </c>
      <c r="J125" s="1" t="n">
        <v>0.345491400941024</v>
      </c>
      <c r="K125" s="1" t="n">
        <f aca="false">J125-I125</f>
        <v>0.0653425225379572</v>
      </c>
      <c r="L125" s="1" t="n">
        <v>0.729028212060252</v>
      </c>
    </row>
    <row r="126" customFormat="false" ht="15" hidden="false" customHeight="false" outlineLevel="0" collapsed="false">
      <c r="A126" s="2" t="s">
        <v>90</v>
      </c>
      <c r="B126" s="2" t="s">
        <v>91</v>
      </c>
      <c r="C126" s="2" t="s">
        <v>92</v>
      </c>
      <c r="D126" s="1" t="s">
        <v>19</v>
      </c>
      <c r="E126" s="1" t="s">
        <v>20</v>
      </c>
      <c r="F126" s="1" t="n">
        <v>41</v>
      </c>
      <c r="G126" s="2" t="s">
        <v>22</v>
      </c>
      <c r="H126" s="1" t="n">
        <v>0.175</v>
      </c>
      <c r="I126" s="1" t="n">
        <v>0.271970531720784</v>
      </c>
      <c r="J126" s="1" t="n">
        <v>0.34953415984336</v>
      </c>
      <c r="K126" s="1" t="n">
        <f aca="false">J126-I126</f>
        <v>0.0775636281225765</v>
      </c>
      <c r="L126" s="1" t="n">
        <v>0.729028212060252</v>
      </c>
    </row>
    <row r="127" customFormat="false" ht="15" hidden="false" customHeight="false" outlineLevel="0" collapsed="false">
      <c r="A127" s="2" t="s">
        <v>90</v>
      </c>
      <c r="B127" s="2" t="s">
        <v>91</v>
      </c>
      <c r="C127" s="2" t="s">
        <v>92</v>
      </c>
      <c r="D127" s="1" t="s">
        <v>19</v>
      </c>
      <c r="E127" s="1" t="s">
        <v>20</v>
      </c>
      <c r="F127" s="1" t="n">
        <v>41</v>
      </c>
      <c r="G127" s="2" t="s">
        <v>25</v>
      </c>
      <c r="H127" s="1" t="n">
        <v>0.1691</v>
      </c>
      <c r="I127" s="1" t="n">
        <v>0.262844797498781</v>
      </c>
      <c r="J127" s="1" t="n">
        <v>0.334519755121938</v>
      </c>
      <c r="K127" s="1" t="n">
        <f aca="false">J127-I127</f>
        <v>0.0716749576231569</v>
      </c>
      <c r="L127" s="1" t="n">
        <v>0.729028212060252</v>
      </c>
    </row>
    <row r="128" customFormat="false" ht="15" hidden="false" customHeight="false" outlineLevel="0" collapsed="false">
      <c r="A128" s="2" t="s">
        <v>90</v>
      </c>
      <c r="B128" s="2" t="s">
        <v>91</v>
      </c>
      <c r="C128" s="2" t="s">
        <v>92</v>
      </c>
      <c r="D128" s="1" t="s">
        <v>19</v>
      </c>
      <c r="E128" s="1" t="s">
        <v>20</v>
      </c>
      <c r="F128" s="1" t="n">
        <v>41</v>
      </c>
      <c r="G128" s="2" t="s">
        <v>26</v>
      </c>
      <c r="H128" s="1" t="n">
        <v>0.1</v>
      </c>
      <c r="I128" s="1" t="n">
        <v>0.196847905055448</v>
      </c>
      <c r="J128" s="1" t="n">
        <v>0.23541632026326</v>
      </c>
      <c r="K128" s="1" t="n">
        <f aca="false">J128-I128</f>
        <v>0.0385684152078123</v>
      </c>
      <c r="L128" s="1" t="n">
        <v>0.729028212060252</v>
      </c>
    </row>
    <row r="129" customFormat="false" ht="15" hidden="false" customHeight="false" outlineLevel="0" collapsed="false">
      <c r="A129" s="2" t="s">
        <v>93</v>
      </c>
      <c r="B129" s="2" t="s">
        <v>94</v>
      </c>
      <c r="C129" s="2" t="s">
        <v>95</v>
      </c>
      <c r="D129" s="1" t="s">
        <v>19</v>
      </c>
      <c r="E129" s="1" t="s">
        <v>20</v>
      </c>
      <c r="F129" s="1" t="n">
        <v>43</v>
      </c>
      <c r="G129" s="2" t="s">
        <v>21</v>
      </c>
      <c r="H129" s="1" t="n">
        <v>0.2067</v>
      </c>
      <c r="I129" s="1" t="n">
        <v>0.410690743838855</v>
      </c>
      <c r="J129" s="1" t="n">
        <v>0.419661773971004</v>
      </c>
      <c r="K129" s="1" t="n">
        <f aca="false">J129-I129</f>
        <v>0.00897103013214939</v>
      </c>
      <c r="L129" s="1" t="n">
        <v>0.726360545777343</v>
      </c>
    </row>
    <row r="130" customFormat="false" ht="15" hidden="false" customHeight="false" outlineLevel="0" collapsed="false">
      <c r="A130" s="2" t="s">
        <v>93</v>
      </c>
      <c r="B130" s="2" t="s">
        <v>94</v>
      </c>
      <c r="C130" s="2" t="s">
        <v>95</v>
      </c>
      <c r="D130" s="1" t="s">
        <v>19</v>
      </c>
      <c r="E130" s="1" t="s">
        <v>20</v>
      </c>
      <c r="F130" s="1" t="n">
        <v>43</v>
      </c>
      <c r="G130" s="2" t="s">
        <v>31</v>
      </c>
      <c r="H130" s="1" t="n">
        <v>0.1791</v>
      </c>
      <c r="I130" s="1" t="n">
        <v>0.35579132275999</v>
      </c>
      <c r="J130" s="1" t="n">
        <v>0.391977287227711</v>
      </c>
      <c r="K130" s="1" t="n">
        <f aca="false">J130-I130</f>
        <v>0.0361859644677207</v>
      </c>
      <c r="L130" s="1" t="n">
        <v>0.726360545777343</v>
      </c>
    </row>
    <row r="131" customFormat="false" ht="15" hidden="false" customHeight="false" outlineLevel="0" collapsed="false">
      <c r="A131" s="2" t="s">
        <v>93</v>
      </c>
      <c r="B131" s="2" t="s">
        <v>94</v>
      </c>
      <c r="C131" s="2" t="s">
        <v>95</v>
      </c>
      <c r="D131" s="1" t="s">
        <v>19</v>
      </c>
      <c r="E131" s="1" t="s">
        <v>20</v>
      </c>
      <c r="F131" s="1" t="n">
        <v>43</v>
      </c>
      <c r="G131" s="2" t="s">
        <v>25</v>
      </c>
      <c r="H131" s="1" t="n">
        <v>0.1745</v>
      </c>
      <c r="I131" s="1" t="n">
        <v>0.346795963867795</v>
      </c>
      <c r="J131" s="1" t="n">
        <v>0.336804165151568</v>
      </c>
      <c r="K131" s="1" t="n">
        <f aca="false">J131-I131</f>
        <v>-0.00999179871622702</v>
      </c>
      <c r="L131" s="1" t="n">
        <v>0.726360545777343</v>
      </c>
    </row>
    <row r="132" customFormat="false" ht="15" hidden="false" customHeight="false" outlineLevel="0" collapsed="false">
      <c r="A132" s="2" t="s">
        <v>93</v>
      </c>
      <c r="B132" s="2" t="s">
        <v>94</v>
      </c>
      <c r="C132" s="2" t="s">
        <v>95</v>
      </c>
      <c r="D132" s="1" t="s">
        <v>19</v>
      </c>
      <c r="E132" s="1" t="s">
        <v>20</v>
      </c>
      <c r="F132" s="1" t="n">
        <v>43</v>
      </c>
      <c r="G132" s="2" t="s">
        <v>24</v>
      </c>
      <c r="H132" s="1" t="n">
        <v>0.1727</v>
      </c>
      <c r="I132" s="1" t="n">
        <v>0.343154227429409</v>
      </c>
      <c r="J132" s="1" t="n">
        <v>0.354148493335306</v>
      </c>
      <c r="K132" s="1" t="n">
        <f aca="false">J132-I132</f>
        <v>0.0109942659058966</v>
      </c>
      <c r="L132" s="1" t="n">
        <v>0.726360545777343</v>
      </c>
    </row>
    <row r="133" customFormat="false" ht="15" hidden="false" customHeight="false" outlineLevel="0" collapsed="false">
      <c r="A133" s="2" t="s">
        <v>93</v>
      </c>
      <c r="B133" s="2" t="s">
        <v>94</v>
      </c>
      <c r="C133" s="2" t="s">
        <v>95</v>
      </c>
      <c r="D133" s="1" t="s">
        <v>19</v>
      </c>
      <c r="E133" s="1" t="s">
        <v>20</v>
      </c>
      <c r="F133" s="1" t="n">
        <v>43</v>
      </c>
      <c r="G133" s="2" t="s">
        <v>22</v>
      </c>
      <c r="H133" s="1" t="n">
        <v>0.167</v>
      </c>
      <c r="I133" s="1" t="n">
        <v>0.331839830635041</v>
      </c>
      <c r="J133" s="1" t="n">
        <v>0.416835830300542</v>
      </c>
      <c r="K133" s="1" t="n">
        <f aca="false">J133-I133</f>
        <v>0.0849959996655014</v>
      </c>
      <c r="L133" s="1" t="n">
        <v>0.726360545777343</v>
      </c>
    </row>
    <row r="134" customFormat="false" ht="15" hidden="false" customHeight="false" outlineLevel="0" collapsed="false">
      <c r="A134" s="2" t="s">
        <v>93</v>
      </c>
      <c r="B134" s="2" t="s">
        <v>94</v>
      </c>
      <c r="C134" s="2" t="s">
        <v>95</v>
      </c>
      <c r="D134" s="1" t="s">
        <v>19</v>
      </c>
      <c r="E134" s="1" t="s">
        <v>20</v>
      </c>
      <c r="F134" s="1" t="n">
        <v>43</v>
      </c>
      <c r="G134" s="2" t="s">
        <v>26</v>
      </c>
      <c r="H134" s="1" t="n">
        <v>0.1</v>
      </c>
      <c r="I134" s="1" t="n">
        <v>0.206597513100485</v>
      </c>
      <c r="J134" s="1" t="n">
        <v>0.296841656889625</v>
      </c>
      <c r="K134" s="1" t="n">
        <f aca="false">J134-I134</f>
        <v>0.09024414378914</v>
      </c>
      <c r="L134" s="1" t="n">
        <v>0.726360545777343</v>
      </c>
    </row>
    <row r="135" customFormat="false" ht="15" hidden="false" customHeight="false" outlineLevel="0" collapsed="false">
      <c r="A135" s="2" t="s">
        <v>96</v>
      </c>
      <c r="B135" s="2" t="s">
        <v>97</v>
      </c>
      <c r="C135" s="2" t="s">
        <v>98</v>
      </c>
      <c r="D135" s="1" t="s">
        <v>19</v>
      </c>
      <c r="E135" s="1" t="s">
        <v>20</v>
      </c>
      <c r="F135" s="1" t="n">
        <v>45</v>
      </c>
      <c r="G135" s="2" t="s">
        <v>21</v>
      </c>
      <c r="H135" s="1" t="n">
        <v>0.1949</v>
      </c>
      <c r="I135" s="1" t="n">
        <v>0.37240660271511</v>
      </c>
      <c r="J135" s="1" t="n">
        <v>0.339327664003673</v>
      </c>
      <c r="K135" s="1" t="n">
        <f aca="false">J135-I135</f>
        <v>-0.0330789387114374</v>
      </c>
      <c r="L135" s="1" t="n">
        <v>0.697993411397489</v>
      </c>
    </row>
    <row r="136" customFormat="false" ht="15" hidden="false" customHeight="false" outlineLevel="0" collapsed="false">
      <c r="A136" s="2" t="s">
        <v>96</v>
      </c>
      <c r="B136" s="2" t="s">
        <v>97</v>
      </c>
      <c r="C136" s="2" t="s">
        <v>98</v>
      </c>
      <c r="D136" s="1" t="s">
        <v>19</v>
      </c>
      <c r="E136" s="1" t="s">
        <v>20</v>
      </c>
      <c r="F136" s="1" t="n">
        <v>45</v>
      </c>
      <c r="G136" s="2" t="s">
        <v>22</v>
      </c>
      <c r="H136" s="1" t="n">
        <v>0.1914</v>
      </c>
      <c r="I136" s="1" t="n">
        <v>0.365799060833777</v>
      </c>
      <c r="J136" s="1" t="n">
        <v>0.315268943181309</v>
      </c>
      <c r="K136" s="1" t="n">
        <f aca="false">J136-I136</f>
        <v>-0.0505301176524681</v>
      </c>
      <c r="L136" s="1" t="n">
        <v>0.697993411397489</v>
      </c>
    </row>
    <row r="137" customFormat="false" ht="15" hidden="false" customHeight="false" outlineLevel="0" collapsed="false">
      <c r="A137" s="2" t="s">
        <v>96</v>
      </c>
      <c r="B137" s="2" t="s">
        <v>97</v>
      </c>
      <c r="C137" s="2" t="s">
        <v>98</v>
      </c>
      <c r="D137" s="1" t="s">
        <v>19</v>
      </c>
      <c r="E137" s="1" t="s">
        <v>20</v>
      </c>
      <c r="F137" s="1" t="n">
        <v>45</v>
      </c>
      <c r="G137" s="2" t="s">
        <v>31</v>
      </c>
      <c r="H137" s="1" t="n">
        <v>0.1834</v>
      </c>
      <c r="I137" s="1" t="n">
        <v>0.350503416539708</v>
      </c>
      <c r="J137" s="1" t="n">
        <v>0.301182344163274</v>
      </c>
      <c r="K137" s="1" t="n">
        <f aca="false">J137-I137</f>
        <v>-0.0493210723764341</v>
      </c>
      <c r="L137" s="1" t="n">
        <v>0.697993411397489</v>
      </c>
    </row>
    <row r="138" customFormat="false" ht="15" hidden="false" customHeight="false" outlineLevel="0" collapsed="false">
      <c r="A138" s="2" t="s">
        <v>96</v>
      </c>
      <c r="B138" s="2" t="s">
        <v>97</v>
      </c>
      <c r="C138" s="2" t="s">
        <v>98</v>
      </c>
      <c r="D138" s="1" t="s">
        <v>19</v>
      </c>
      <c r="E138" s="1" t="s">
        <v>20</v>
      </c>
      <c r="F138" s="1" t="n">
        <v>45</v>
      </c>
      <c r="G138" s="2" t="s">
        <v>24</v>
      </c>
      <c r="H138" s="1" t="n">
        <v>0.1653</v>
      </c>
      <c r="I138" s="1" t="n">
        <v>0.315912227287561</v>
      </c>
      <c r="J138" s="1" t="n">
        <v>0.30652773009692</v>
      </c>
      <c r="K138" s="1" t="n">
        <f aca="false">J138-I138</f>
        <v>-0.0093844971906405</v>
      </c>
      <c r="L138" s="1" t="n">
        <v>0.697993411397489</v>
      </c>
    </row>
    <row r="139" customFormat="false" ht="15" hidden="false" customHeight="false" outlineLevel="0" collapsed="false">
      <c r="A139" s="2" t="s">
        <v>96</v>
      </c>
      <c r="B139" s="2" t="s">
        <v>97</v>
      </c>
      <c r="C139" s="2" t="s">
        <v>98</v>
      </c>
      <c r="D139" s="1" t="s">
        <v>19</v>
      </c>
      <c r="E139" s="1" t="s">
        <v>20</v>
      </c>
      <c r="F139" s="1" t="n">
        <v>45</v>
      </c>
      <c r="G139" s="2" t="s">
        <v>56</v>
      </c>
      <c r="H139" s="1" t="n">
        <v>0.165</v>
      </c>
      <c r="I139" s="1" t="n">
        <v>0.315251093749179</v>
      </c>
      <c r="J139" s="1" t="n">
        <v>0.296588111079411</v>
      </c>
      <c r="K139" s="1" t="n">
        <f aca="false">J139-I139</f>
        <v>-0.0186629826697685</v>
      </c>
      <c r="L139" s="1" t="n">
        <v>0.697993411397489</v>
      </c>
    </row>
    <row r="140" customFormat="false" ht="15" hidden="false" customHeight="false" outlineLevel="0" collapsed="false">
      <c r="A140" s="2" t="s">
        <v>96</v>
      </c>
      <c r="B140" s="2" t="s">
        <v>97</v>
      </c>
      <c r="C140" s="2" t="s">
        <v>98</v>
      </c>
      <c r="D140" s="1" t="s">
        <v>19</v>
      </c>
      <c r="E140" s="1" t="s">
        <v>20</v>
      </c>
      <c r="F140" s="1" t="n">
        <v>45</v>
      </c>
      <c r="G140" s="2" t="s">
        <v>26</v>
      </c>
      <c r="H140" s="1" t="n">
        <v>0.1</v>
      </c>
      <c r="I140" s="1" t="n">
        <v>0.238454906300263</v>
      </c>
      <c r="J140" s="1" t="n">
        <v>0.203672595260403</v>
      </c>
      <c r="K140" s="1" t="n">
        <f aca="false">J140-I140</f>
        <v>-0.0347823110398599</v>
      </c>
      <c r="L140" s="1" t="n">
        <v>0.697993411397489</v>
      </c>
    </row>
    <row r="141" customFormat="false" ht="15" hidden="false" customHeight="false" outlineLevel="0" collapsed="false">
      <c r="A141" s="2" t="s">
        <v>99</v>
      </c>
      <c r="B141" s="2" t="s">
        <v>100</v>
      </c>
      <c r="C141" s="2" t="s">
        <v>101</v>
      </c>
      <c r="D141" s="1" t="s">
        <v>19</v>
      </c>
      <c r="E141" s="1" t="s">
        <v>20</v>
      </c>
      <c r="F141" s="1" t="n">
        <v>47</v>
      </c>
      <c r="G141" s="2" t="s">
        <v>22</v>
      </c>
      <c r="H141" s="1" t="n">
        <v>0.1947</v>
      </c>
      <c r="I141" s="1" t="n">
        <v>0.276363746290041</v>
      </c>
      <c r="J141" s="1" t="n">
        <v>0.289649670399361</v>
      </c>
      <c r="K141" s="1" t="n">
        <f aca="false">J141-I141</f>
        <v>0.0132859241093209</v>
      </c>
      <c r="L141" s="1" t="n">
        <v>0.737397050320407</v>
      </c>
    </row>
    <row r="142" customFormat="false" ht="15" hidden="false" customHeight="false" outlineLevel="0" collapsed="false">
      <c r="A142" s="2" t="s">
        <v>99</v>
      </c>
      <c r="B142" s="2" t="s">
        <v>100</v>
      </c>
      <c r="C142" s="2" t="s">
        <v>101</v>
      </c>
      <c r="D142" s="1" t="s">
        <v>19</v>
      </c>
      <c r="E142" s="1" t="s">
        <v>20</v>
      </c>
      <c r="F142" s="1" t="n">
        <v>47</v>
      </c>
      <c r="G142" s="2" t="s">
        <v>21</v>
      </c>
      <c r="H142" s="1" t="n">
        <v>0.1861</v>
      </c>
      <c r="I142" s="1" t="n">
        <v>0.264177530244877</v>
      </c>
      <c r="J142" s="1" t="n">
        <v>0.347674000157874</v>
      </c>
      <c r="K142" s="1" t="n">
        <f aca="false">J142-I142</f>
        <v>0.0834964699129972</v>
      </c>
      <c r="L142" s="1" t="n">
        <v>0.737397050320407</v>
      </c>
    </row>
    <row r="143" customFormat="false" ht="15" hidden="false" customHeight="false" outlineLevel="0" collapsed="false">
      <c r="A143" s="2" t="s">
        <v>99</v>
      </c>
      <c r="B143" s="2" t="s">
        <v>100</v>
      </c>
      <c r="C143" s="2" t="s">
        <v>101</v>
      </c>
      <c r="D143" s="1" t="s">
        <v>19</v>
      </c>
      <c r="E143" s="1" t="s">
        <v>20</v>
      </c>
      <c r="F143" s="1" t="n">
        <v>47</v>
      </c>
      <c r="G143" s="2" t="s">
        <v>23</v>
      </c>
      <c r="H143" s="1" t="n">
        <v>0.1762</v>
      </c>
      <c r="I143" s="1" t="n">
        <v>0.250066230049607</v>
      </c>
      <c r="J143" s="1" t="n">
        <v>0.316840025155703</v>
      </c>
      <c r="K143" s="1" t="n">
        <f aca="false">J143-I143</f>
        <v>0.0667737951060957</v>
      </c>
      <c r="L143" s="1" t="n">
        <v>0.737397050320407</v>
      </c>
    </row>
    <row r="144" customFormat="false" ht="15" hidden="false" customHeight="false" outlineLevel="0" collapsed="false">
      <c r="A144" s="2" t="s">
        <v>99</v>
      </c>
      <c r="B144" s="2" t="s">
        <v>100</v>
      </c>
      <c r="C144" s="2" t="s">
        <v>101</v>
      </c>
      <c r="D144" s="1" t="s">
        <v>19</v>
      </c>
      <c r="E144" s="1" t="s">
        <v>20</v>
      </c>
      <c r="F144" s="1" t="n">
        <v>47</v>
      </c>
      <c r="G144" s="2" t="s">
        <v>24</v>
      </c>
      <c r="H144" s="1" t="n">
        <v>0.1724</v>
      </c>
      <c r="I144" s="1" t="n">
        <v>0.244759461761012</v>
      </c>
      <c r="J144" s="1" t="n">
        <v>0.300575253675995</v>
      </c>
      <c r="K144" s="1" t="n">
        <f aca="false">J144-I144</f>
        <v>0.0558157919149834</v>
      </c>
      <c r="L144" s="1" t="n">
        <v>0.737397050320407</v>
      </c>
    </row>
    <row r="145" customFormat="false" ht="15" hidden="false" customHeight="false" outlineLevel="0" collapsed="false">
      <c r="A145" s="2" t="s">
        <v>99</v>
      </c>
      <c r="B145" s="2" t="s">
        <v>100</v>
      </c>
      <c r="C145" s="2" t="s">
        <v>101</v>
      </c>
      <c r="D145" s="1" t="s">
        <v>19</v>
      </c>
      <c r="E145" s="1" t="s">
        <v>20</v>
      </c>
      <c r="F145" s="1" t="n">
        <v>47</v>
      </c>
      <c r="G145" s="2" t="s">
        <v>56</v>
      </c>
      <c r="H145" s="1" t="n">
        <v>0.1705</v>
      </c>
      <c r="I145" s="1" t="n">
        <v>0.242044884136007</v>
      </c>
      <c r="J145" s="1" t="n">
        <v>0.250171531705272</v>
      </c>
      <c r="K145" s="1" t="n">
        <f aca="false">J145-I145</f>
        <v>0.00812664756926529</v>
      </c>
      <c r="L145" s="1" t="n">
        <v>0.737397050320407</v>
      </c>
    </row>
    <row r="146" customFormat="false" ht="15" hidden="false" customHeight="false" outlineLevel="0" collapsed="false">
      <c r="A146" s="2" t="s">
        <v>99</v>
      </c>
      <c r="B146" s="2" t="s">
        <v>100</v>
      </c>
      <c r="C146" s="2" t="s">
        <v>101</v>
      </c>
      <c r="D146" s="1" t="s">
        <v>19</v>
      </c>
      <c r="E146" s="1" t="s">
        <v>20</v>
      </c>
      <c r="F146" s="1" t="n">
        <v>47</v>
      </c>
      <c r="G146" s="2" t="s">
        <v>26</v>
      </c>
      <c r="H146" s="1" t="n">
        <v>0.1</v>
      </c>
      <c r="I146" s="1" t="n">
        <v>0.159223336185634</v>
      </c>
      <c r="J146" s="1" t="n">
        <v>0.233616420886829</v>
      </c>
      <c r="K146" s="1" t="n">
        <f aca="false">J146-I146</f>
        <v>0.0743930847011955</v>
      </c>
      <c r="L146" s="1" t="n">
        <v>0.737397050320407</v>
      </c>
    </row>
    <row r="147" customFormat="false" ht="15" hidden="false" customHeight="false" outlineLevel="0" collapsed="false">
      <c r="A147" s="2" t="s">
        <v>102</v>
      </c>
      <c r="B147" s="2" t="s">
        <v>103</v>
      </c>
      <c r="C147" s="2" t="s">
        <v>104</v>
      </c>
      <c r="D147" s="1" t="s">
        <v>19</v>
      </c>
      <c r="E147" s="1" t="s">
        <v>20</v>
      </c>
      <c r="F147" s="1" t="n">
        <v>49</v>
      </c>
      <c r="G147" s="2" t="s">
        <v>21</v>
      </c>
      <c r="H147" s="1" t="n">
        <v>0.2189</v>
      </c>
      <c r="I147" s="1" t="n">
        <v>0.297515775965555</v>
      </c>
      <c r="J147" s="1" t="n">
        <v>0.300492908123281</v>
      </c>
      <c r="K147" s="1" t="n">
        <f aca="false">J147-I147</f>
        <v>0.00297713215772655</v>
      </c>
      <c r="L147" s="1" t="n">
        <v>0.740883924174997</v>
      </c>
    </row>
    <row r="148" customFormat="false" ht="15" hidden="false" customHeight="false" outlineLevel="0" collapsed="false">
      <c r="A148" s="2" t="s">
        <v>102</v>
      </c>
      <c r="B148" s="2" t="s">
        <v>103</v>
      </c>
      <c r="C148" s="2" t="s">
        <v>104</v>
      </c>
      <c r="D148" s="1" t="s">
        <v>19</v>
      </c>
      <c r="E148" s="1" t="s">
        <v>20</v>
      </c>
      <c r="F148" s="1" t="n">
        <v>49</v>
      </c>
      <c r="G148" s="2" t="s">
        <v>25</v>
      </c>
      <c r="H148" s="1" t="n">
        <v>0.1765</v>
      </c>
      <c r="I148" s="1" t="n">
        <v>0.239883256450668</v>
      </c>
      <c r="J148" s="1" t="n">
        <v>0.283130284272756</v>
      </c>
      <c r="K148" s="1" t="n">
        <f aca="false">J148-I148</f>
        <v>0.0432470278220883</v>
      </c>
      <c r="L148" s="1" t="n">
        <v>0.740883924174997</v>
      </c>
    </row>
    <row r="149" customFormat="false" ht="15" hidden="false" customHeight="false" outlineLevel="0" collapsed="false">
      <c r="A149" s="2" t="s">
        <v>102</v>
      </c>
      <c r="B149" s="2" t="s">
        <v>103</v>
      </c>
      <c r="C149" s="2" t="s">
        <v>104</v>
      </c>
      <c r="D149" s="1" t="s">
        <v>19</v>
      </c>
      <c r="E149" s="1" t="s">
        <v>20</v>
      </c>
      <c r="F149" s="1" t="n">
        <v>49</v>
      </c>
      <c r="G149" s="2" t="s">
        <v>23</v>
      </c>
      <c r="H149" s="1" t="n">
        <v>0.1751</v>
      </c>
      <c r="I149" s="1" t="n">
        <v>0.237961042748061</v>
      </c>
      <c r="J149" s="1" t="n">
        <v>0.303243207597323</v>
      </c>
      <c r="K149" s="1" t="n">
        <f aca="false">J149-I149</f>
        <v>0.0652821648492623</v>
      </c>
      <c r="L149" s="1" t="n">
        <v>0.740883924174997</v>
      </c>
    </row>
    <row r="150" customFormat="false" ht="15" hidden="false" customHeight="false" outlineLevel="0" collapsed="false">
      <c r="A150" s="2" t="s">
        <v>102</v>
      </c>
      <c r="B150" s="2" t="s">
        <v>103</v>
      </c>
      <c r="C150" s="2" t="s">
        <v>104</v>
      </c>
      <c r="D150" s="1" t="s">
        <v>19</v>
      </c>
      <c r="E150" s="1" t="s">
        <v>20</v>
      </c>
      <c r="F150" s="1" t="n">
        <v>49</v>
      </c>
      <c r="G150" s="2" t="s">
        <v>22</v>
      </c>
      <c r="H150" s="1" t="n">
        <v>0.1707</v>
      </c>
      <c r="I150" s="1" t="n">
        <v>0.232003784572791</v>
      </c>
      <c r="J150" s="1" t="n">
        <v>0.267199729919562</v>
      </c>
      <c r="K150" s="1" t="n">
        <f aca="false">J150-I150</f>
        <v>0.0351959453467709</v>
      </c>
      <c r="L150" s="1" t="n">
        <v>0.740883924174997</v>
      </c>
    </row>
    <row r="151" customFormat="false" ht="15" hidden="false" customHeight="false" outlineLevel="0" collapsed="false">
      <c r="A151" s="2" t="s">
        <v>102</v>
      </c>
      <c r="B151" s="2" t="s">
        <v>103</v>
      </c>
      <c r="C151" s="2" t="s">
        <v>104</v>
      </c>
      <c r="D151" s="1" t="s">
        <v>19</v>
      </c>
      <c r="E151" s="1" t="s">
        <v>20</v>
      </c>
      <c r="F151" s="1" t="n">
        <v>49</v>
      </c>
      <c r="G151" s="2" t="s">
        <v>24</v>
      </c>
      <c r="H151" s="1" t="n">
        <v>0.1587</v>
      </c>
      <c r="I151" s="1" t="n">
        <v>0.215609861220176</v>
      </c>
      <c r="J151" s="1" t="n">
        <v>0.273862946338062</v>
      </c>
      <c r="K151" s="1" t="n">
        <f aca="false">J151-I151</f>
        <v>0.0582530851178864</v>
      </c>
      <c r="L151" s="1" t="n">
        <v>0.740883924174997</v>
      </c>
    </row>
    <row r="152" customFormat="false" ht="15" hidden="false" customHeight="false" outlineLevel="0" collapsed="false">
      <c r="A152" s="2" t="s">
        <v>102</v>
      </c>
      <c r="B152" s="2" t="s">
        <v>103</v>
      </c>
      <c r="C152" s="2" t="s">
        <v>104</v>
      </c>
      <c r="D152" s="1" t="s">
        <v>19</v>
      </c>
      <c r="E152" s="1" t="s">
        <v>20</v>
      </c>
      <c r="F152" s="1" t="n">
        <v>49</v>
      </c>
      <c r="G152" s="2" t="s">
        <v>26</v>
      </c>
      <c r="H152" s="1" t="n">
        <v>0.1</v>
      </c>
      <c r="I152" s="1" t="n">
        <v>0.164454145541006</v>
      </c>
      <c r="J152" s="1" t="n">
        <v>0.191218413576219</v>
      </c>
      <c r="K152" s="1" t="n">
        <f aca="false">J152-I152</f>
        <v>0.0267642680352129</v>
      </c>
      <c r="L152" s="1" t="n">
        <v>0.740883924174997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5" activeCellId="1" sqref="L4 B5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2" width="20.4"/>
  </cols>
  <sheetData>
    <row r="1" customFormat="false" ht="12.8" hidden="false" customHeight="false" outlineLevel="0" collapsed="false">
      <c r="A1" s="5" t="s">
        <v>105</v>
      </c>
      <c r="B1" s="5"/>
    </row>
    <row r="2" customFormat="false" ht="12.8" hidden="false" customHeight="false" outlineLevel="0" collapsed="false">
      <c r="A2" s="5"/>
      <c r="B2" s="5"/>
    </row>
    <row r="3" customFormat="false" ht="12.8" hidden="false" customHeight="false" outlineLevel="0" collapsed="false">
      <c r="A3" s="5" t="s">
        <v>106</v>
      </c>
      <c r="B3" s="6" t="n">
        <f aca="false">scen3_hybsem!P3</f>
        <v>150</v>
      </c>
    </row>
    <row r="4" customFormat="false" ht="12.8" hidden="false" customHeight="false" outlineLevel="0" collapsed="false">
      <c r="A4" s="5" t="s">
        <v>107</v>
      </c>
      <c r="B4" s="5" t="n">
        <f aca="false">B10*SQRT((B3-2)/(1-B10^2))</f>
        <v>-1.7141118430119</v>
      </c>
    </row>
    <row r="5" customFormat="false" ht="12.8" hidden="false" customHeight="false" outlineLevel="0" collapsed="false">
      <c r="A5" s="5" t="s">
        <v>108</v>
      </c>
      <c r="B5" s="5" t="n">
        <f aca="false">_xlfn.T.DIST.2T(ABS(B4),B3-2)</f>
        <v>0.0886016307393608</v>
      </c>
    </row>
    <row r="6" customFormat="false" ht="12.8" hidden="false" customHeight="false" outlineLevel="0" collapsed="false">
      <c r="A6" s="5"/>
      <c r="B6" s="7"/>
    </row>
    <row r="7" customFormat="false" ht="12.8" hidden="false" customHeight="false" outlineLevel="0" collapsed="false">
      <c r="A7" s="5"/>
      <c r="B7" s="7"/>
    </row>
    <row r="8" customFormat="false" ht="12.8" hidden="false" customHeight="false" outlineLevel="0" collapsed="false">
      <c r="A8" s="5"/>
      <c r="B8" s="7"/>
    </row>
    <row r="9" customFormat="false" ht="19.4" hidden="false" customHeight="false" outlineLevel="0" collapsed="false">
      <c r="A9" s="3" t="s">
        <v>13</v>
      </c>
      <c r="B9" s="3" t="s">
        <v>14</v>
      </c>
    </row>
    <row r="10" customFormat="false" ht="12.8" hidden="false" customHeight="false" outlineLevel="0" collapsed="false">
      <c r="A10" s="8" t="n">
        <f aca="false">B3</f>
        <v>150</v>
      </c>
      <c r="B10" s="8" t="n">
        <f aca="false">scen3_hybsem!Q3</f>
        <v>-0.139521006912146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81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D26" activeCellId="1" sqref="L4 D26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2" width="19.06"/>
  </cols>
  <sheetData>
    <row r="2" customFormat="false" ht="12.8" hidden="false" customHeight="false" outlineLevel="0" collapsed="false">
      <c r="B2" s="9" t="s">
        <v>11</v>
      </c>
      <c r="C2" s="9"/>
    </row>
    <row r="3" customFormat="false" ht="12.8" hidden="false" customHeight="false" outlineLevel="0" collapsed="false">
      <c r="A3" s="10" t="s">
        <v>109</v>
      </c>
    </row>
    <row r="4" customFormat="false" ht="12.8" hidden="false" customHeight="false" outlineLevel="0" collapsed="false">
      <c r="A4" s="7" t="n">
        <v>1</v>
      </c>
      <c r="B4" s="11" t="n">
        <v>0.807629702855429</v>
      </c>
    </row>
    <row r="5" customFormat="false" ht="12.8" hidden="false" customHeight="false" outlineLevel="0" collapsed="false">
      <c r="A5" s="7" t="n">
        <v>2</v>
      </c>
      <c r="B5" s="11" t="n">
        <v>0.738908432891206</v>
      </c>
    </row>
    <row r="6" customFormat="false" ht="12.8" hidden="false" customHeight="false" outlineLevel="0" collapsed="false">
      <c r="A6" s="7" t="n">
        <v>3</v>
      </c>
      <c r="B6" s="11" t="n">
        <v>0.666482514394955</v>
      </c>
    </row>
    <row r="7" customFormat="false" ht="12.8" hidden="false" customHeight="false" outlineLevel="0" collapsed="false">
      <c r="A7" s="7" t="n">
        <v>4</v>
      </c>
      <c r="B7" s="11" t="n">
        <v>0.617232795834209</v>
      </c>
    </row>
    <row r="8" customFormat="false" ht="12.8" hidden="false" customHeight="false" outlineLevel="0" collapsed="false">
      <c r="A8" s="7" t="n">
        <v>5</v>
      </c>
      <c r="B8" s="11" t="n">
        <v>0.610425455654317</v>
      </c>
    </row>
    <row r="9" customFormat="false" ht="12.8" hidden="false" customHeight="false" outlineLevel="0" collapsed="false">
      <c r="A9" s="7" t="n">
        <v>6</v>
      </c>
      <c r="B9" s="11" t="n">
        <v>0.703303990628902</v>
      </c>
    </row>
    <row r="10" customFormat="false" ht="12.8" hidden="false" customHeight="false" outlineLevel="0" collapsed="false">
      <c r="A10" s="7" t="n">
        <v>7</v>
      </c>
      <c r="B10" s="11" t="n">
        <v>0.817692017265563</v>
      </c>
    </row>
    <row r="11" customFormat="false" ht="12.8" hidden="false" customHeight="false" outlineLevel="0" collapsed="false">
      <c r="A11" s="7" t="n">
        <v>8</v>
      </c>
      <c r="B11" s="11" t="n">
        <v>0.762019495081594</v>
      </c>
    </row>
    <row r="12" customFormat="false" ht="12.8" hidden="false" customHeight="false" outlineLevel="0" collapsed="false">
      <c r="A12" s="7" t="n">
        <v>9</v>
      </c>
      <c r="B12" s="11" t="n">
        <v>0.642354213368125</v>
      </c>
    </row>
    <row r="13" customFormat="false" ht="12.8" hidden="false" customHeight="false" outlineLevel="0" collapsed="false">
      <c r="A13" s="7" t="n">
        <v>10</v>
      </c>
      <c r="B13" s="11" t="n">
        <v>0.622913061011376</v>
      </c>
    </row>
    <row r="14" customFormat="false" ht="12.8" hidden="false" customHeight="false" outlineLevel="0" collapsed="false">
      <c r="A14" s="7" t="n">
        <v>11</v>
      </c>
      <c r="B14" s="11" t="n">
        <v>0.771127559172673</v>
      </c>
    </row>
    <row r="15" customFormat="false" ht="12.8" hidden="false" customHeight="false" outlineLevel="0" collapsed="false">
      <c r="A15" s="7" t="n">
        <v>12</v>
      </c>
      <c r="B15" s="11" t="n">
        <v>0.755700494821908</v>
      </c>
    </row>
    <row r="16" customFormat="false" ht="12.8" hidden="false" customHeight="false" outlineLevel="0" collapsed="false">
      <c r="A16" s="7" t="n">
        <v>13</v>
      </c>
      <c r="B16" s="11" t="n">
        <v>0.652206493784056</v>
      </c>
    </row>
    <row r="17" customFormat="false" ht="12.8" hidden="false" customHeight="false" outlineLevel="0" collapsed="false">
      <c r="A17" s="7" t="n">
        <v>14</v>
      </c>
      <c r="B17" s="11" t="n">
        <v>0.774203318401695</v>
      </c>
    </row>
    <row r="18" customFormat="false" ht="12.8" hidden="false" customHeight="false" outlineLevel="0" collapsed="false">
      <c r="A18" s="7" t="n">
        <v>15</v>
      </c>
      <c r="B18" s="11" t="n">
        <v>0.809939048024508</v>
      </c>
    </row>
    <row r="19" customFormat="false" ht="12.8" hidden="false" customHeight="false" outlineLevel="0" collapsed="false">
      <c r="A19" s="7" t="n">
        <v>16</v>
      </c>
      <c r="B19" s="11" t="n">
        <v>0.650131632080799</v>
      </c>
    </row>
    <row r="20" customFormat="false" ht="12.8" hidden="false" customHeight="false" outlineLevel="0" collapsed="false">
      <c r="A20" s="7" t="n">
        <v>17</v>
      </c>
      <c r="B20" s="11" t="n">
        <v>0.797189081830377</v>
      </c>
    </row>
    <row r="21" customFormat="false" ht="12.8" hidden="false" customHeight="false" outlineLevel="0" collapsed="false">
      <c r="A21" s="7" t="n">
        <v>18</v>
      </c>
      <c r="B21" s="11" t="n">
        <v>0.729185376832561</v>
      </c>
    </row>
    <row r="22" customFormat="false" ht="12.8" hidden="false" customHeight="false" outlineLevel="0" collapsed="false">
      <c r="A22" s="7" t="n">
        <v>19</v>
      </c>
      <c r="B22" s="11" t="n">
        <v>0.814317443577555</v>
      </c>
    </row>
    <row r="23" customFormat="false" ht="12.8" hidden="false" customHeight="false" outlineLevel="0" collapsed="false">
      <c r="A23" s="7" t="n">
        <v>20</v>
      </c>
      <c r="B23" s="11" t="n">
        <v>0.726210867823374</v>
      </c>
    </row>
    <row r="24" customFormat="false" ht="12.8" hidden="false" customHeight="false" outlineLevel="0" collapsed="false">
      <c r="A24" s="7" t="n">
        <v>21</v>
      </c>
      <c r="B24" s="11" t="n">
        <v>0.729028212060252</v>
      </c>
    </row>
    <row r="25" customFormat="false" ht="12.8" hidden="false" customHeight="false" outlineLevel="0" collapsed="false">
      <c r="A25" s="7" t="n">
        <v>22</v>
      </c>
      <c r="B25" s="11" t="n">
        <v>0.726360545777343</v>
      </c>
    </row>
    <row r="26" customFormat="false" ht="12.8" hidden="false" customHeight="false" outlineLevel="0" collapsed="false">
      <c r="A26" s="7" t="n">
        <v>23</v>
      </c>
      <c r="B26" s="11" t="n">
        <v>0.697993411397489</v>
      </c>
    </row>
    <row r="27" customFormat="false" ht="12.8" hidden="false" customHeight="false" outlineLevel="0" collapsed="false">
      <c r="A27" s="7" t="n">
        <v>24</v>
      </c>
      <c r="B27" s="11" t="n">
        <v>0.737397050320407</v>
      </c>
    </row>
    <row r="28" customFormat="false" ht="12.8" hidden="false" customHeight="false" outlineLevel="0" collapsed="false">
      <c r="A28" s="7" t="n">
        <v>25</v>
      </c>
      <c r="B28" s="11" t="n">
        <v>0.740883924174997</v>
      </c>
    </row>
    <row r="32" customFormat="false" ht="12.8" hidden="false" customHeight="false" outlineLevel="0" collapsed="false">
      <c r="B32" s="11"/>
    </row>
    <row r="33" customFormat="false" ht="12.8" hidden="false" customHeight="false" outlineLevel="0" collapsed="false">
      <c r="B33" s="11"/>
    </row>
    <row r="34" customFormat="false" ht="12.8" hidden="false" customHeight="false" outlineLevel="0" collapsed="false">
      <c r="B34" s="11"/>
    </row>
    <row r="35" customFormat="false" ht="12.8" hidden="false" customHeight="false" outlineLevel="0" collapsed="false">
      <c r="B35" s="11"/>
    </row>
    <row r="36" customFormat="false" ht="12.8" hidden="false" customHeight="false" outlineLevel="0" collapsed="false">
      <c r="B36" s="11"/>
    </row>
    <row r="37" customFormat="false" ht="12.8" hidden="false" customHeight="false" outlineLevel="0" collapsed="false">
      <c r="B37" s="11"/>
    </row>
    <row r="38" customFormat="false" ht="12.8" hidden="false" customHeight="false" outlineLevel="0" collapsed="false">
      <c r="B38" s="11"/>
    </row>
    <row r="39" customFormat="false" ht="12.8" hidden="false" customHeight="false" outlineLevel="0" collapsed="false">
      <c r="B39" s="11"/>
    </row>
    <row r="40" customFormat="false" ht="12.8" hidden="false" customHeight="false" outlineLevel="0" collapsed="false">
      <c r="B40" s="11"/>
    </row>
    <row r="41" customFormat="false" ht="12.8" hidden="false" customHeight="false" outlineLevel="0" collapsed="false">
      <c r="B41" s="11"/>
    </row>
    <row r="42" customFormat="false" ht="12.8" hidden="false" customHeight="false" outlineLevel="0" collapsed="false">
      <c r="B42" s="11"/>
    </row>
    <row r="43" customFormat="false" ht="12.8" hidden="false" customHeight="false" outlineLevel="0" collapsed="false">
      <c r="B43" s="11"/>
    </row>
    <row r="44" customFormat="false" ht="12.8" hidden="false" customHeight="false" outlineLevel="0" collapsed="false">
      <c r="B44" s="11"/>
    </row>
    <row r="45" customFormat="false" ht="12.8" hidden="false" customHeight="false" outlineLevel="0" collapsed="false">
      <c r="B45" s="11"/>
    </row>
    <row r="46" customFormat="false" ht="12.8" hidden="false" customHeight="false" outlineLevel="0" collapsed="false">
      <c r="B46" s="11"/>
    </row>
    <row r="47" customFormat="false" ht="12.8" hidden="false" customHeight="false" outlineLevel="0" collapsed="false">
      <c r="B47" s="11"/>
    </row>
    <row r="48" customFormat="false" ht="12.8" hidden="false" customHeight="false" outlineLevel="0" collapsed="false">
      <c r="B48" s="11"/>
    </row>
    <row r="49" customFormat="false" ht="12.8" hidden="false" customHeight="false" outlineLevel="0" collapsed="false">
      <c r="B49" s="11"/>
    </row>
    <row r="50" customFormat="false" ht="12.8" hidden="false" customHeight="false" outlineLevel="0" collapsed="false">
      <c r="B50" s="11"/>
    </row>
    <row r="51" customFormat="false" ht="12.8" hidden="false" customHeight="false" outlineLevel="0" collapsed="false">
      <c r="B51" s="11"/>
    </row>
    <row r="52" customFormat="false" ht="12.8" hidden="false" customHeight="false" outlineLevel="0" collapsed="false">
      <c r="B52" s="11"/>
    </row>
    <row r="53" customFormat="false" ht="12.8" hidden="false" customHeight="false" outlineLevel="0" collapsed="false">
      <c r="B53" s="11"/>
    </row>
    <row r="54" customFormat="false" ht="12.8" hidden="false" customHeight="false" outlineLevel="0" collapsed="false">
      <c r="B54" s="11"/>
    </row>
    <row r="55" customFormat="false" ht="12.8" hidden="false" customHeight="false" outlineLevel="0" collapsed="false">
      <c r="B55" s="11"/>
    </row>
    <row r="56" customFormat="false" ht="12.8" hidden="false" customHeight="false" outlineLevel="0" collapsed="false">
      <c r="B56" s="11"/>
    </row>
    <row r="57" customFormat="false" ht="12.8" hidden="false" customHeight="false" outlineLevel="0" collapsed="false">
      <c r="B57" s="11"/>
    </row>
    <row r="58" customFormat="false" ht="12.8" hidden="false" customHeight="false" outlineLevel="0" collapsed="false">
      <c r="B58" s="11"/>
    </row>
    <row r="59" customFormat="false" ht="12.8" hidden="false" customHeight="false" outlineLevel="0" collapsed="false">
      <c r="B59" s="11"/>
    </row>
    <row r="60" customFormat="false" ht="12.8" hidden="false" customHeight="false" outlineLevel="0" collapsed="false">
      <c r="B60" s="11"/>
    </row>
    <row r="61" customFormat="false" ht="12.8" hidden="false" customHeight="false" outlineLevel="0" collapsed="false">
      <c r="B61" s="11"/>
    </row>
    <row r="62" customFormat="false" ht="12.8" hidden="false" customHeight="false" outlineLevel="0" collapsed="false">
      <c r="B62" s="11"/>
    </row>
    <row r="63" customFormat="false" ht="12.8" hidden="false" customHeight="false" outlineLevel="0" collapsed="false">
      <c r="B63" s="11"/>
    </row>
    <row r="64" customFormat="false" ht="12.8" hidden="false" customHeight="false" outlineLevel="0" collapsed="false">
      <c r="B64" s="11"/>
    </row>
    <row r="65" customFormat="false" ht="12.8" hidden="false" customHeight="false" outlineLevel="0" collapsed="false">
      <c r="B65" s="11"/>
    </row>
    <row r="66" customFormat="false" ht="12.8" hidden="false" customHeight="false" outlineLevel="0" collapsed="false">
      <c r="B66" s="11"/>
    </row>
    <row r="67" customFormat="false" ht="12.8" hidden="false" customHeight="false" outlineLevel="0" collapsed="false">
      <c r="B67" s="11"/>
    </row>
    <row r="68" customFormat="false" ht="12.8" hidden="false" customHeight="false" outlineLevel="0" collapsed="false">
      <c r="B68" s="11"/>
    </row>
    <row r="69" customFormat="false" ht="12.8" hidden="false" customHeight="false" outlineLevel="0" collapsed="false">
      <c r="B69" s="11"/>
    </row>
    <row r="70" customFormat="false" ht="12.8" hidden="false" customHeight="false" outlineLevel="0" collapsed="false">
      <c r="B70" s="11"/>
    </row>
    <row r="71" customFormat="false" ht="12.8" hidden="false" customHeight="false" outlineLevel="0" collapsed="false">
      <c r="B71" s="11"/>
    </row>
    <row r="72" customFormat="false" ht="12.8" hidden="false" customHeight="false" outlineLevel="0" collapsed="false">
      <c r="B72" s="11"/>
    </row>
    <row r="73" customFormat="false" ht="12.8" hidden="false" customHeight="false" outlineLevel="0" collapsed="false">
      <c r="B73" s="11"/>
    </row>
    <row r="74" customFormat="false" ht="12.8" hidden="false" customHeight="false" outlineLevel="0" collapsed="false">
      <c r="B74" s="11"/>
    </row>
    <row r="75" customFormat="false" ht="12.8" hidden="false" customHeight="false" outlineLevel="0" collapsed="false">
      <c r="B75" s="11"/>
    </row>
    <row r="76" customFormat="false" ht="12.8" hidden="false" customHeight="false" outlineLevel="0" collapsed="false">
      <c r="B76" s="11"/>
    </row>
    <row r="77" customFormat="false" ht="12.8" hidden="false" customHeight="false" outlineLevel="0" collapsed="false">
      <c r="B77" s="11"/>
    </row>
    <row r="78" customFormat="false" ht="12.8" hidden="false" customHeight="false" outlineLevel="0" collapsed="false">
      <c r="B78" s="11"/>
    </row>
    <row r="79" customFormat="false" ht="12.8" hidden="false" customHeight="false" outlineLevel="0" collapsed="false">
      <c r="B79" s="11"/>
    </row>
    <row r="80" customFormat="false" ht="12.8" hidden="false" customHeight="false" outlineLevel="0" collapsed="false">
      <c r="B80" s="11"/>
    </row>
    <row r="81" customFormat="false" ht="12.8" hidden="false" customHeight="false" outlineLevel="0" collapsed="false">
      <c r="B81" s="11"/>
    </row>
    <row r="82" customFormat="false" ht="12.8" hidden="false" customHeight="false" outlineLevel="0" collapsed="false">
      <c r="B82" s="11"/>
    </row>
    <row r="83" customFormat="false" ht="12.8" hidden="false" customHeight="false" outlineLevel="0" collapsed="false">
      <c r="B83" s="11"/>
    </row>
    <row r="84" customFormat="false" ht="12.8" hidden="false" customHeight="false" outlineLevel="0" collapsed="false">
      <c r="B84" s="11"/>
    </row>
    <row r="85" customFormat="false" ht="12.8" hidden="false" customHeight="false" outlineLevel="0" collapsed="false">
      <c r="B85" s="11"/>
    </row>
    <row r="86" customFormat="false" ht="12.8" hidden="false" customHeight="false" outlineLevel="0" collapsed="false">
      <c r="B86" s="11"/>
    </row>
    <row r="87" customFormat="false" ht="12.8" hidden="false" customHeight="false" outlineLevel="0" collapsed="false">
      <c r="B87" s="11"/>
    </row>
    <row r="88" customFormat="false" ht="12.8" hidden="false" customHeight="false" outlineLevel="0" collapsed="false">
      <c r="B88" s="11"/>
    </row>
    <row r="89" customFormat="false" ht="12.8" hidden="false" customHeight="false" outlineLevel="0" collapsed="false">
      <c r="B89" s="11"/>
    </row>
    <row r="90" customFormat="false" ht="12.8" hidden="false" customHeight="false" outlineLevel="0" collapsed="false">
      <c r="B90" s="11"/>
    </row>
    <row r="91" customFormat="false" ht="12.8" hidden="false" customHeight="false" outlineLevel="0" collapsed="false">
      <c r="B91" s="11"/>
    </row>
    <row r="92" customFormat="false" ht="12.8" hidden="false" customHeight="false" outlineLevel="0" collapsed="false">
      <c r="B92" s="11"/>
    </row>
    <row r="93" customFormat="false" ht="12.8" hidden="false" customHeight="false" outlineLevel="0" collapsed="false">
      <c r="B93" s="11"/>
    </row>
    <row r="94" customFormat="false" ht="12.8" hidden="false" customHeight="false" outlineLevel="0" collapsed="false">
      <c r="B94" s="11"/>
    </row>
    <row r="95" customFormat="false" ht="12.8" hidden="false" customHeight="false" outlineLevel="0" collapsed="false">
      <c r="B95" s="11"/>
    </row>
    <row r="96" customFormat="false" ht="12.8" hidden="false" customHeight="false" outlineLevel="0" collapsed="false">
      <c r="B96" s="11"/>
    </row>
    <row r="97" customFormat="false" ht="12.8" hidden="false" customHeight="false" outlineLevel="0" collapsed="false">
      <c r="B97" s="11"/>
    </row>
    <row r="98" customFormat="false" ht="12.8" hidden="false" customHeight="false" outlineLevel="0" collapsed="false">
      <c r="B98" s="11"/>
    </row>
    <row r="99" customFormat="false" ht="12.8" hidden="false" customHeight="false" outlineLevel="0" collapsed="false">
      <c r="B99" s="11"/>
    </row>
    <row r="100" customFormat="false" ht="12.8" hidden="false" customHeight="false" outlineLevel="0" collapsed="false">
      <c r="B100" s="11"/>
    </row>
    <row r="101" customFormat="false" ht="12.8" hidden="false" customHeight="false" outlineLevel="0" collapsed="false">
      <c r="B101" s="11"/>
    </row>
    <row r="102" customFormat="false" ht="12.8" hidden="false" customHeight="false" outlineLevel="0" collapsed="false">
      <c r="B102" s="11"/>
    </row>
    <row r="103" customFormat="false" ht="12.8" hidden="false" customHeight="false" outlineLevel="0" collapsed="false">
      <c r="B103" s="11"/>
    </row>
    <row r="104" customFormat="false" ht="12.8" hidden="false" customHeight="false" outlineLevel="0" collapsed="false">
      <c r="B104" s="11"/>
    </row>
    <row r="105" customFormat="false" ht="12.8" hidden="false" customHeight="false" outlineLevel="0" collapsed="false">
      <c r="B105" s="11"/>
    </row>
    <row r="106" customFormat="false" ht="12.8" hidden="false" customHeight="false" outlineLevel="0" collapsed="false">
      <c r="B106" s="11"/>
    </row>
    <row r="107" customFormat="false" ht="12.8" hidden="false" customHeight="false" outlineLevel="0" collapsed="false">
      <c r="B107" s="11"/>
    </row>
    <row r="108" customFormat="false" ht="12.8" hidden="false" customHeight="false" outlineLevel="0" collapsed="false">
      <c r="B108" s="11"/>
    </row>
    <row r="109" customFormat="false" ht="12.8" hidden="false" customHeight="false" outlineLevel="0" collapsed="false">
      <c r="B109" s="11"/>
    </row>
    <row r="110" customFormat="false" ht="12.8" hidden="false" customHeight="false" outlineLevel="0" collapsed="false">
      <c r="B110" s="11"/>
    </row>
    <row r="111" customFormat="false" ht="12.8" hidden="false" customHeight="false" outlineLevel="0" collapsed="false">
      <c r="B111" s="11"/>
    </row>
    <row r="112" customFormat="false" ht="12.8" hidden="false" customHeight="false" outlineLevel="0" collapsed="false">
      <c r="B112" s="11"/>
    </row>
    <row r="113" customFormat="false" ht="12.8" hidden="false" customHeight="false" outlineLevel="0" collapsed="false">
      <c r="B113" s="11"/>
    </row>
    <row r="114" customFormat="false" ht="12.8" hidden="false" customHeight="false" outlineLevel="0" collapsed="false">
      <c r="B114" s="11"/>
    </row>
    <row r="115" customFormat="false" ht="12.8" hidden="false" customHeight="false" outlineLevel="0" collapsed="false">
      <c r="B115" s="11"/>
    </row>
    <row r="116" customFormat="false" ht="12.8" hidden="false" customHeight="false" outlineLevel="0" collapsed="false">
      <c r="B116" s="11"/>
    </row>
    <row r="117" customFormat="false" ht="12.8" hidden="false" customHeight="false" outlineLevel="0" collapsed="false">
      <c r="B117" s="11"/>
    </row>
    <row r="118" customFormat="false" ht="12.8" hidden="false" customHeight="false" outlineLevel="0" collapsed="false">
      <c r="B118" s="11"/>
    </row>
    <row r="119" customFormat="false" ht="12.8" hidden="false" customHeight="false" outlineLevel="0" collapsed="false">
      <c r="B119" s="11"/>
    </row>
    <row r="120" customFormat="false" ht="12.8" hidden="false" customHeight="false" outlineLevel="0" collapsed="false">
      <c r="B120" s="11"/>
    </row>
    <row r="121" customFormat="false" ht="12.8" hidden="false" customHeight="false" outlineLevel="0" collapsed="false">
      <c r="B121" s="11"/>
    </row>
    <row r="122" customFormat="false" ht="12.8" hidden="false" customHeight="false" outlineLevel="0" collapsed="false">
      <c r="B122" s="11"/>
    </row>
    <row r="123" customFormat="false" ht="12.8" hidden="false" customHeight="false" outlineLevel="0" collapsed="false">
      <c r="B123" s="11"/>
    </row>
    <row r="124" customFormat="false" ht="12.8" hidden="false" customHeight="false" outlineLevel="0" collapsed="false">
      <c r="B124" s="11"/>
    </row>
    <row r="125" customFormat="false" ht="12.8" hidden="false" customHeight="false" outlineLevel="0" collapsed="false">
      <c r="B125" s="11"/>
    </row>
    <row r="126" customFormat="false" ht="12.8" hidden="false" customHeight="false" outlineLevel="0" collapsed="false">
      <c r="B126" s="11"/>
    </row>
    <row r="127" customFormat="false" ht="12.8" hidden="false" customHeight="false" outlineLevel="0" collapsed="false">
      <c r="B127" s="11"/>
    </row>
    <row r="128" customFormat="false" ht="12.8" hidden="false" customHeight="false" outlineLevel="0" collapsed="false">
      <c r="B128" s="11"/>
    </row>
    <row r="129" customFormat="false" ht="12.8" hidden="false" customHeight="false" outlineLevel="0" collapsed="false">
      <c r="B129" s="11"/>
    </row>
    <row r="130" customFormat="false" ht="12.8" hidden="false" customHeight="false" outlineLevel="0" collapsed="false">
      <c r="B130" s="11"/>
    </row>
    <row r="131" customFormat="false" ht="12.8" hidden="false" customHeight="false" outlineLevel="0" collapsed="false">
      <c r="B131" s="11"/>
    </row>
    <row r="132" customFormat="false" ht="12.8" hidden="false" customHeight="false" outlineLevel="0" collapsed="false">
      <c r="B132" s="11"/>
    </row>
    <row r="133" customFormat="false" ht="12.8" hidden="false" customHeight="false" outlineLevel="0" collapsed="false">
      <c r="B133" s="11"/>
    </row>
    <row r="134" customFormat="false" ht="12.8" hidden="false" customHeight="false" outlineLevel="0" collapsed="false">
      <c r="B134" s="11"/>
    </row>
    <row r="135" customFormat="false" ht="12.8" hidden="false" customHeight="false" outlineLevel="0" collapsed="false">
      <c r="B135" s="11"/>
    </row>
    <row r="136" customFormat="false" ht="12.8" hidden="false" customHeight="false" outlineLevel="0" collapsed="false">
      <c r="B136" s="11"/>
    </row>
    <row r="137" customFormat="false" ht="12.8" hidden="false" customHeight="false" outlineLevel="0" collapsed="false">
      <c r="B137" s="11"/>
    </row>
    <row r="138" customFormat="false" ht="12.8" hidden="false" customHeight="false" outlineLevel="0" collapsed="false">
      <c r="B138" s="11"/>
    </row>
    <row r="139" customFormat="false" ht="12.8" hidden="false" customHeight="false" outlineLevel="0" collapsed="false">
      <c r="B139" s="11"/>
    </row>
    <row r="140" customFormat="false" ht="12.8" hidden="false" customHeight="false" outlineLevel="0" collapsed="false">
      <c r="B140" s="11"/>
    </row>
    <row r="141" customFormat="false" ht="12.8" hidden="false" customHeight="false" outlineLevel="0" collapsed="false">
      <c r="B141" s="11"/>
    </row>
    <row r="142" customFormat="false" ht="12.8" hidden="false" customHeight="false" outlineLevel="0" collapsed="false">
      <c r="B142" s="11"/>
    </row>
    <row r="143" customFormat="false" ht="12.8" hidden="false" customHeight="false" outlineLevel="0" collapsed="false">
      <c r="B143" s="11"/>
    </row>
    <row r="144" customFormat="false" ht="12.8" hidden="false" customHeight="false" outlineLevel="0" collapsed="false">
      <c r="B144" s="11"/>
    </row>
    <row r="145" customFormat="false" ht="12.8" hidden="false" customHeight="false" outlineLevel="0" collapsed="false">
      <c r="B145" s="11"/>
    </row>
    <row r="146" customFormat="false" ht="12.8" hidden="false" customHeight="false" outlineLevel="0" collapsed="false">
      <c r="B146" s="11"/>
    </row>
    <row r="147" customFormat="false" ht="12.8" hidden="false" customHeight="false" outlineLevel="0" collapsed="false">
      <c r="B147" s="11"/>
    </row>
    <row r="148" customFormat="false" ht="12.8" hidden="false" customHeight="false" outlineLevel="0" collapsed="false">
      <c r="B148" s="11"/>
    </row>
    <row r="149" customFormat="false" ht="12.8" hidden="false" customHeight="false" outlineLevel="0" collapsed="false">
      <c r="B149" s="11"/>
    </row>
    <row r="150" customFormat="false" ht="12.8" hidden="false" customHeight="false" outlineLevel="0" collapsed="false">
      <c r="B150" s="11"/>
    </row>
    <row r="151" customFormat="false" ht="12.8" hidden="false" customHeight="false" outlineLevel="0" collapsed="false">
      <c r="B151" s="11"/>
    </row>
    <row r="152" customFormat="false" ht="12.8" hidden="false" customHeight="false" outlineLevel="0" collapsed="false">
      <c r="B152" s="11"/>
    </row>
    <row r="153" customFormat="false" ht="12.8" hidden="false" customHeight="false" outlineLevel="0" collapsed="false">
      <c r="B153" s="11"/>
    </row>
    <row r="154" customFormat="false" ht="12.8" hidden="false" customHeight="false" outlineLevel="0" collapsed="false">
      <c r="B154" s="11"/>
    </row>
    <row r="155" customFormat="false" ht="12.8" hidden="false" customHeight="false" outlineLevel="0" collapsed="false">
      <c r="B155" s="11"/>
    </row>
    <row r="156" customFormat="false" ht="12.8" hidden="false" customHeight="false" outlineLevel="0" collapsed="false">
      <c r="B156" s="11"/>
    </row>
    <row r="157" customFormat="false" ht="12.8" hidden="false" customHeight="false" outlineLevel="0" collapsed="false">
      <c r="B157" s="11"/>
    </row>
    <row r="158" customFormat="false" ht="12.8" hidden="false" customHeight="false" outlineLevel="0" collapsed="false">
      <c r="B158" s="11"/>
    </row>
    <row r="159" customFormat="false" ht="12.8" hidden="false" customHeight="false" outlineLevel="0" collapsed="false">
      <c r="B159" s="11"/>
    </row>
    <row r="160" customFormat="false" ht="12.8" hidden="false" customHeight="false" outlineLevel="0" collapsed="false">
      <c r="B160" s="11"/>
    </row>
    <row r="161" customFormat="false" ht="12.8" hidden="false" customHeight="false" outlineLevel="0" collapsed="false">
      <c r="B161" s="11"/>
    </row>
    <row r="162" customFormat="false" ht="12.8" hidden="false" customHeight="false" outlineLevel="0" collapsed="false">
      <c r="B162" s="11"/>
    </row>
    <row r="163" customFormat="false" ht="12.8" hidden="false" customHeight="false" outlineLevel="0" collapsed="false">
      <c r="B163" s="11"/>
    </row>
    <row r="164" customFormat="false" ht="12.8" hidden="false" customHeight="false" outlineLevel="0" collapsed="false">
      <c r="B164" s="11"/>
    </row>
    <row r="165" customFormat="false" ht="12.8" hidden="false" customHeight="false" outlineLevel="0" collapsed="false">
      <c r="B165" s="11"/>
    </row>
    <row r="166" customFormat="false" ht="12.8" hidden="false" customHeight="false" outlineLevel="0" collapsed="false">
      <c r="B166" s="11"/>
    </row>
    <row r="167" customFormat="false" ht="12.8" hidden="false" customHeight="false" outlineLevel="0" collapsed="false">
      <c r="B167" s="11"/>
    </row>
    <row r="168" customFormat="false" ht="12.8" hidden="false" customHeight="false" outlineLevel="0" collapsed="false">
      <c r="B168" s="11"/>
    </row>
    <row r="169" customFormat="false" ht="12.8" hidden="false" customHeight="false" outlineLevel="0" collapsed="false">
      <c r="B169" s="11"/>
    </row>
    <row r="170" customFormat="false" ht="12.8" hidden="false" customHeight="false" outlineLevel="0" collapsed="false">
      <c r="B170" s="11"/>
    </row>
    <row r="171" customFormat="false" ht="12.8" hidden="false" customHeight="false" outlineLevel="0" collapsed="false">
      <c r="B171" s="11"/>
    </row>
    <row r="172" customFormat="false" ht="12.8" hidden="false" customHeight="false" outlineLevel="0" collapsed="false">
      <c r="B172" s="11"/>
    </row>
    <row r="173" customFormat="false" ht="12.8" hidden="false" customHeight="false" outlineLevel="0" collapsed="false">
      <c r="B173" s="11"/>
    </row>
    <row r="174" customFormat="false" ht="12.8" hidden="false" customHeight="false" outlineLevel="0" collapsed="false">
      <c r="B174" s="11"/>
    </row>
    <row r="175" customFormat="false" ht="12.8" hidden="false" customHeight="false" outlineLevel="0" collapsed="false">
      <c r="B175" s="11"/>
    </row>
    <row r="176" customFormat="false" ht="12.8" hidden="false" customHeight="false" outlineLevel="0" collapsed="false">
      <c r="B176" s="11"/>
    </row>
    <row r="177" customFormat="false" ht="12.8" hidden="false" customHeight="false" outlineLevel="0" collapsed="false">
      <c r="B177" s="11"/>
    </row>
    <row r="178" customFormat="false" ht="12.8" hidden="false" customHeight="false" outlineLevel="0" collapsed="false">
      <c r="B178" s="11"/>
    </row>
    <row r="179" customFormat="false" ht="12.8" hidden="false" customHeight="false" outlineLevel="0" collapsed="false">
      <c r="B179" s="11"/>
    </row>
    <row r="180" customFormat="false" ht="12.8" hidden="false" customHeight="false" outlineLevel="0" collapsed="false">
      <c r="B180" s="11"/>
    </row>
    <row r="181" customFormat="false" ht="12.8" hidden="false" customHeight="false" outlineLevel="0" collapsed="false">
      <c r="B181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56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L4" activeCellId="0" sqref="L4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4" min="2" style="2" width="19.32"/>
    <col collapsed="false" customWidth="true" hidden="false" outlineLevel="0" max="6" min="5" style="2" width="20.4"/>
    <col collapsed="false" customWidth="true" hidden="false" outlineLevel="0" max="7" min="7" style="2" width="19.32"/>
    <col collapsed="false" customWidth="true" hidden="false" outlineLevel="0" max="9" min="8" style="2" width="21.95"/>
    <col collapsed="false" customWidth="true" hidden="false" outlineLevel="0" max="10" min="10" style="2" width="21.48"/>
    <col collapsed="false" customWidth="true" hidden="false" outlineLevel="0" max="11" min="11" style="2" width="19.32"/>
    <col collapsed="false" customWidth="true" hidden="false" outlineLevel="0" max="12" min="12" style="2" width="18.24"/>
  </cols>
  <sheetData>
    <row r="2" customFormat="false" ht="13.1" hidden="false" customHeight="true" outlineLevel="0" collapsed="false">
      <c r="B2" s="9" t="s">
        <v>11</v>
      </c>
      <c r="C2" s="9"/>
    </row>
    <row r="3" customFormat="false" ht="12.8" hidden="false" customHeight="false" outlineLevel="0" collapsed="false">
      <c r="A3" s="10" t="s">
        <v>109</v>
      </c>
      <c r="B3" s="11" t="s">
        <v>110</v>
      </c>
      <c r="C3" s="11" t="s">
        <v>111</v>
      </c>
      <c r="E3" s="11" t="s">
        <v>112</v>
      </c>
      <c r="F3" s="11" t="s">
        <v>113</v>
      </c>
      <c r="G3" s="11" t="s">
        <v>114</v>
      </c>
      <c r="H3" s="11" t="s">
        <v>115</v>
      </c>
      <c r="I3" s="11" t="s">
        <v>116</v>
      </c>
      <c r="J3" s="11" t="s">
        <v>117</v>
      </c>
      <c r="K3" s="1" t="s">
        <v>118</v>
      </c>
      <c r="L3" s="1" t="s">
        <v>119</v>
      </c>
    </row>
    <row r="4" customFormat="false" ht="12.8" hidden="false" customHeight="false" outlineLevel="0" collapsed="false">
      <c r="A4" s="7" t="n">
        <v>1</v>
      </c>
      <c r="B4" s="11" t="n">
        <v>0.807629702855429</v>
      </c>
      <c r="C4" s="11" t="n">
        <v>0.812375866700629</v>
      </c>
      <c r="E4" s="11" t="n">
        <f aca="false">_xlfn.STDEV.S(B4:B27)</f>
        <v>0.0661104933557812</v>
      </c>
      <c r="F4" s="11" t="n">
        <f aca="false">_xlfn.STDEV.S(C4:C27)</f>
        <v>0.0831594683795507</v>
      </c>
      <c r="G4" s="11" t="n">
        <f aca="false">_xlfn.F.TEST(B4:B27,C4:C27)</f>
        <v>0.278470321347766</v>
      </c>
      <c r="H4" s="11" t="n">
        <f aca="false">_xlfn.T.TEST(B4:B27, C4:C27, 2,2)</f>
        <v>8.43129009702449E-007</v>
      </c>
      <c r="I4" s="11" t="n">
        <f aca="false">_xlfn.T.TEST(B4:B27,C4:C27, 2,3)</f>
        <v>9.77828923709606E-007</v>
      </c>
      <c r="J4" s="11" t="n">
        <f aca="false">AVERAGE(B4:B27)-AVERAGE(C4:C27)</f>
        <v>0.123381446329527</v>
      </c>
      <c r="K4" s="2" t="n">
        <f aca="false">AVERAGE(B4:B27)</f>
        <v>0.723331342287111</v>
      </c>
      <c r="L4" s="2" t="n">
        <f aca="false">AVERAGE(C4:C27)</f>
        <v>0.599949895957584</v>
      </c>
    </row>
    <row r="5" customFormat="false" ht="12.8" hidden="false" customHeight="false" outlineLevel="0" collapsed="false">
      <c r="A5" s="7" t="n">
        <v>2</v>
      </c>
      <c r="B5" s="11" t="n">
        <v>0.738908432891206</v>
      </c>
      <c r="C5" s="11" t="n">
        <v>0.621326054028327</v>
      </c>
    </row>
    <row r="6" customFormat="false" ht="12.8" hidden="false" customHeight="false" outlineLevel="0" collapsed="false">
      <c r="A6" s="7" t="n">
        <v>3</v>
      </c>
      <c r="B6" s="11" t="n">
        <v>0.666482514394955</v>
      </c>
      <c r="C6" s="11" t="n">
        <v>0.681899333424152</v>
      </c>
    </row>
    <row r="7" customFormat="false" ht="12.8" hidden="false" customHeight="false" outlineLevel="0" collapsed="false">
      <c r="A7" s="7" t="n">
        <v>4</v>
      </c>
      <c r="B7" s="11" t="n">
        <v>0.617232795834209</v>
      </c>
      <c r="C7" s="11" t="n">
        <v>0.674771839496378</v>
      </c>
    </row>
    <row r="8" customFormat="false" ht="12.8" hidden="false" customHeight="false" outlineLevel="0" collapsed="false">
      <c r="A8" s="7" t="n">
        <v>5</v>
      </c>
      <c r="B8" s="11" t="n">
        <v>0.610425455654317</v>
      </c>
      <c r="C8" s="11" t="n">
        <v>0.51803751024012</v>
      </c>
    </row>
    <row r="9" customFormat="false" ht="12.8" hidden="false" customHeight="false" outlineLevel="0" collapsed="false">
      <c r="A9" s="7" t="n">
        <v>6</v>
      </c>
      <c r="B9" s="11" t="n">
        <v>0.703303990628902</v>
      </c>
      <c r="C9" s="11" t="n">
        <v>0.606253624859241</v>
      </c>
    </row>
    <row r="10" customFormat="false" ht="12.8" hidden="false" customHeight="false" outlineLevel="0" collapsed="false">
      <c r="A10" s="7" t="n">
        <v>7</v>
      </c>
      <c r="B10" s="11" t="n">
        <v>0.817692017265563</v>
      </c>
      <c r="C10" s="11" t="n">
        <v>0.602791213061993</v>
      </c>
    </row>
    <row r="11" customFormat="false" ht="12.8" hidden="false" customHeight="false" outlineLevel="0" collapsed="false">
      <c r="A11" s="7" t="n">
        <v>8</v>
      </c>
      <c r="B11" s="11" t="n">
        <v>0.762019495081594</v>
      </c>
      <c r="C11" s="11" t="n">
        <v>0.542603699900357</v>
      </c>
    </row>
    <row r="12" customFormat="false" ht="12.8" hidden="false" customHeight="false" outlineLevel="0" collapsed="false">
      <c r="A12" s="7" t="n">
        <v>9</v>
      </c>
      <c r="B12" s="11" t="n">
        <v>0.642354213368125</v>
      </c>
      <c r="C12" s="11" t="n">
        <v>0.652419536797036</v>
      </c>
    </row>
    <row r="13" customFormat="false" ht="12.8" hidden="false" customHeight="false" outlineLevel="0" collapsed="false">
      <c r="A13" s="7" t="n">
        <v>10</v>
      </c>
      <c r="B13" s="11" t="n">
        <v>0.622913061011376</v>
      </c>
      <c r="C13" s="11" t="n">
        <v>0.450905597774938</v>
      </c>
    </row>
    <row r="14" customFormat="false" ht="12.8" hidden="false" customHeight="false" outlineLevel="0" collapsed="false">
      <c r="A14" s="7" t="n">
        <v>11</v>
      </c>
      <c r="B14" s="11" t="n">
        <v>0.771127559172673</v>
      </c>
      <c r="C14" s="11" t="n">
        <v>0.546133776873995</v>
      </c>
    </row>
    <row r="15" customFormat="false" ht="12.8" hidden="false" customHeight="false" outlineLevel="0" collapsed="false">
      <c r="A15" s="7" t="n">
        <v>12</v>
      </c>
      <c r="B15" s="11" t="n">
        <v>0.755700494821908</v>
      </c>
      <c r="C15" s="11" t="n">
        <v>0.665778032490698</v>
      </c>
    </row>
    <row r="16" customFormat="false" ht="12.8" hidden="false" customHeight="false" outlineLevel="0" collapsed="false">
      <c r="A16" s="7" t="n">
        <v>13</v>
      </c>
      <c r="B16" s="11" t="n">
        <v>0.652206493784056</v>
      </c>
      <c r="C16" s="11" t="n">
        <v>0.570178682607378</v>
      </c>
    </row>
    <row r="17" customFormat="false" ht="12.8" hidden="false" customHeight="false" outlineLevel="0" collapsed="false">
      <c r="A17" s="7" t="n">
        <v>14</v>
      </c>
      <c r="B17" s="11" t="n">
        <v>0.774203318401695</v>
      </c>
      <c r="C17" s="11" t="n">
        <v>0.63671805888081</v>
      </c>
    </row>
    <row r="18" customFormat="false" ht="12.8" hidden="false" customHeight="false" outlineLevel="0" collapsed="false">
      <c r="A18" s="7" t="n">
        <v>15</v>
      </c>
      <c r="B18" s="11" t="n">
        <v>0.809939048024508</v>
      </c>
      <c r="C18" s="11" t="n">
        <v>0.686211801872884</v>
      </c>
    </row>
    <row r="19" customFormat="false" ht="12.8" hidden="false" customHeight="false" outlineLevel="0" collapsed="false">
      <c r="A19" s="7" t="n">
        <v>16</v>
      </c>
      <c r="B19" s="11" t="n">
        <v>0.650131632080799</v>
      </c>
      <c r="C19" s="11" t="n">
        <v>0.528746891036281</v>
      </c>
    </row>
    <row r="20" customFormat="false" ht="12.8" hidden="false" customHeight="false" outlineLevel="0" collapsed="false">
      <c r="A20" s="7" t="n">
        <v>17</v>
      </c>
      <c r="B20" s="11" t="n">
        <v>0.797189081830377</v>
      </c>
      <c r="C20" s="11" t="n">
        <v>0.550793523290854</v>
      </c>
    </row>
    <row r="21" customFormat="false" ht="12.8" hidden="false" customHeight="false" outlineLevel="0" collapsed="false">
      <c r="A21" s="7" t="n">
        <v>18</v>
      </c>
      <c r="B21" s="11" t="n">
        <v>0.729185376832561</v>
      </c>
      <c r="C21" s="11" t="n">
        <v>0.573839583361676</v>
      </c>
    </row>
    <row r="22" customFormat="false" ht="12.8" hidden="false" customHeight="false" outlineLevel="0" collapsed="false">
      <c r="A22" s="7" t="n">
        <v>19</v>
      </c>
      <c r="B22" s="11" t="n">
        <v>0.814317443577555</v>
      </c>
      <c r="C22" s="11" t="n">
        <v>0.638711323785104</v>
      </c>
    </row>
    <row r="23" customFormat="false" ht="12.8" hidden="false" customHeight="false" outlineLevel="0" collapsed="false">
      <c r="A23" s="7" t="n">
        <v>20</v>
      </c>
      <c r="B23" s="11" t="n">
        <v>0.726210867823374</v>
      </c>
      <c r="C23" s="11" t="n">
        <v>0.597975746643383</v>
      </c>
    </row>
    <row r="24" customFormat="false" ht="12.8" hidden="false" customHeight="false" outlineLevel="0" collapsed="false">
      <c r="A24" s="7" t="n">
        <v>21</v>
      </c>
      <c r="B24" s="11" t="n">
        <v>0.729028212060252</v>
      </c>
      <c r="C24" s="11" t="n">
        <v>0.620579654001758</v>
      </c>
    </row>
    <row r="25" customFormat="false" ht="12.8" hidden="false" customHeight="false" outlineLevel="0" collapsed="false">
      <c r="A25" s="7" t="n">
        <v>22</v>
      </c>
      <c r="B25" s="11" t="n">
        <v>0.726360545777343</v>
      </c>
      <c r="C25" s="11" t="n">
        <v>0.582519361253929</v>
      </c>
    </row>
    <row r="26" customFormat="false" ht="12.8" hidden="false" customHeight="false" outlineLevel="0" collapsed="false">
      <c r="A26" s="7" t="n">
        <v>23</v>
      </c>
      <c r="B26" s="11" t="n">
        <v>0.697993411397489</v>
      </c>
      <c r="C26" s="11" t="n">
        <v>0.405468497903575</v>
      </c>
    </row>
    <row r="27" customFormat="false" ht="12.8" hidden="false" customHeight="false" outlineLevel="0" collapsed="false">
      <c r="A27" s="7" t="n">
        <v>24</v>
      </c>
      <c r="B27" s="11" t="n">
        <v>0.737397050320407</v>
      </c>
      <c r="C27" s="11" t="n">
        <v>0.631758292696521</v>
      </c>
    </row>
    <row r="28" customFormat="false" ht="12.8" hidden="false" customHeight="false" outlineLevel="0" collapsed="false">
      <c r="A28" s="7"/>
      <c r="B28" s="11"/>
    </row>
    <row r="31" customFormat="false" ht="12.8" hidden="false" customHeight="false" outlineLevel="0" collapsed="false">
      <c r="A31" s="2" t="s">
        <v>120</v>
      </c>
    </row>
    <row r="32" customFormat="false" ht="12.8" hidden="false" customHeight="false" outlineLevel="0" collapsed="false">
      <c r="A32" s="11"/>
      <c r="B32" s="11" t="s">
        <v>121</v>
      </c>
      <c r="C32" s="11" t="s">
        <v>122</v>
      </c>
      <c r="D32" s="11" t="s">
        <v>110</v>
      </c>
      <c r="F32" s="12" t="s">
        <v>123</v>
      </c>
    </row>
    <row r="33" customFormat="false" ht="12.8" hidden="false" customHeight="false" outlineLevel="0" collapsed="false">
      <c r="A33" s="7" t="n">
        <v>1</v>
      </c>
      <c r="B33" s="11" t="n">
        <v>0.816612774002254</v>
      </c>
      <c r="C33" s="11" t="n">
        <v>0.815772031466282</v>
      </c>
      <c r="D33" s="11" t="n">
        <v>0.807629702855429</v>
      </c>
      <c r="F33" s="5" t="s">
        <v>124</v>
      </c>
      <c r="G33" s="2" t="n">
        <v>0.05</v>
      </c>
    </row>
    <row r="34" customFormat="false" ht="12.8" hidden="false" customHeight="false" outlineLevel="0" collapsed="false">
      <c r="A34" s="7" t="n">
        <v>2</v>
      </c>
      <c r="B34" s="11" t="n">
        <v>0.685603988915714</v>
      </c>
      <c r="C34" s="11" t="n">
        <v>0.690178981295079</v>
      </c>
      <c r="D34" s="11" t="n">
        <v>0.738908432891206</v>
      </c>
    </row>
    <row r="35" customFormat="false" ht="12.8" hidden="false" customHeight="false" outlineLevel="0" collapsed="false">
      <c r="A35" s="7" t="n">
        <v>3</v>
      </c>
      <c r="B35" s="11" t="n">
        <v>0.692192998668189</v>
      </c>
      <c r="C35" s="11" t="n">
        <v>0.678236595135105</v>
      </c>
      <c r="D35" s="11" t="n">
        <v>0.666482514394955</v>
      </c>
      <c r="F35" s="5" t="s">
        <v>125</v>
      </c>
      <c r="G35" s="1" t="s">
        <v>126</v>
      </c>
      <c r="H35" s="1" t="s">
        <v>127</v>
      </c>
      <c r="I35" s="1" t="s">
        <v>128</v>
      </c>
      <c r="J35" s="1" t="s">
        <v>129</v>
      </c>
      <c r="K35" s="1"/>
      <c r="L35" s="1"/>
    </row>
    <row r="36" customFormat="false" ht="12.8" hidden="false" customHeight="false" outlineLevel="0" collapsed="false">
      <c r="A36" s="7" t="n">
        <v>4</v>
      </c>
      <c r="B36" s="11" t="n">
        <v>0.631090165894541</v>
      </c>
      <c r="C36" s="11" t="n">
        <v>0.599753209767944</v>
      </c>
      <c r="D36" s="11" t="n">
        <v>0.617232795834209</v>
      </c>
      <c r="F36" s="5" t="s">
        <v>130</v>
      </c>
      <c r="G36" s="1" t="n">
        <f aca="false">COUNT(inter_system_stats!$B$32:$B$56)</f>
        <v>24</v>
      </c>
      <c r="H36" s="1" t="n">
        <f aca="false">SUM(inter_system_stats!$B$32:$B$56)</f>
        <v>17.5648419631924</v>
      </c>
      <c r="I36" s="1" t="n">
        <f aca="false">AVERAGE(inter_system_stats!$B$32:$B$56)</f>
        <v>0.731868415133018</v>
      </c>
      <c r="J36" s="1" t="n">
        <f aca="false">VAR(inter_system_stats!$B$32:$B$56)</f>
        <v>0.00492049561898011</v>
      </c>
      <c r="K36" s="1"/>
      <c r="L36" s="1"/>
    </row>
    <row r="37" customFormat="false" ht="12.8" hidden="false" customHeight="false" outlineLevel="0" collapsed="false">
      <c r="A37" s="7" t="n">
        <v>5</v>
      </c>
      <c r="B37" s="11" t="n">
        <v>0.594608889064775</v>
      </c>
      <c r="C37" s="11" t="n">
        <v>0.571410730397255</v>
      </c>
      <c r="D37" s="11" t="n">
        <v>0.610425455654317</v>
      </c>
      <c r="F37" s="5" t="s">
        <v>131</v>
      </c>
      <c r="G37" s="1" t="n">
        <f aca="false">COUNT(inter_system_stats!$C$32:$C$56)</f>
        <v>24</v>
      </c>
      <c r="H37" s="1" t="n">
        <f aca="false">SUM(inter_system_stats!$C$32:$C$56)</f>
        <v>17.3271309109772</v>
      </c>
      <c r="I37" s="1" t="n">
        <f aca="false">AVERAGE(inter_system_stats!$C$32:$C$56)</f>
        <v>0.721963787957385</v>
      </c>
      <c r="J37" s="1" t="n">
        <f aca="false">VAR(inter_system_stats!$C$32:$C$56)</f>
        <v>0.00544828945776271</v>
      </c>
      <c r="K37" s="1"/>
      <c r="L37" s="1"/>
    </row>
    <row r="38" customFormat="false" ht="12.8" hidden="false" customHeight="false" outlineLevel="0" collapsed="false">
      <c r="A38" s="7" t="n">
        <v>6</v>
      </c>
      <c r="B38" s="11" t="n">
        <v>0.67289207367249</v>
      </c>
      <c r="C38" s="11" t="n">
        <v>0.665331994991001</v>
      </c>
      <c r="D38" s="11" t="n">
        <v>0.703303990628902</v>
      </c>
      <c r="F38" s="5" t="s">
        <v>132</v>
      </c>
      <c r="G38" s="1" t="n">
        <f aca="false">COUNT(inter_system_stats!$D$32:$D$56)</f>
        <v>24</v>
      </c>
      <c r="H38" s="1" t="n">
        <f aca="false">SUM(inter_system_stats!$D$32:$D$56)</f>
        <v>17.3599522148907</v>
      </c>
      <c r="I38" s="1" t="n">
        <f aca="false">AVERAGE(inter_system_stats!$D$32:$D$56)</f>
        <v>0.723331342287111</v>
      </c>
      <c r="J38" s="1" t="n">
        <f aca="false">VAR(inter_system_stats!$D$32:$D$56)</f>
        <v>0.00437059733174479</v>
      </c>
      <c r="K38" s="1"/>
      <c r="L38" s="1"/>
    </row>
    <row r="39" customFormat="false" ht="12.8" hidden="false" customHeight="false" outlineLevel="0" collapsed="false">
      <c r="A39" s="7" t="n">
        <v>7</v>
      </c>
      <c r="B39" s="11" t="n">
        <v>0.815471874765396</v>
      </c>
      <c r="C39" s="11" t="n">
        <v>0.834581956795994</v>
      </c>
      <c r="D39" s="11" t="n">
        <v>0.817692017265563</v>
      </c>
      <c r="G39" s="1"/>
      <c r="H39" s="1"/>
      <c r="I39" s="1"/>
      <c r="J39" s="1"/>
      <c r="K39" s="1"/>
      <c r="L39" s="1"/>
    </row>
    <row r="40" customFormat="false" ht="12.8" hidden="false" customHeight="false" outlineLevel="0" collapsed="false">
      <c r="A40" s="7" t="n">
        <v>8</v>
      </c>
      <c r="B40" s="11" t="n">
        <v>0.777361261632441</v>
      </c>
      <c r="C40" s="11" t="n">
        <v>0.727191552934014</v>
      </c>
      <c r="D40" s="11" t="n">
        <v>0.762019495081594</v>
      </c>
      <c r="F40" s="5" t="s">
        <v>133</v>
      </c>
      <c r="G40" s="1" t="s">
        <v>134</v>
      </c>
      <c r="H40" s="1" t="s">
        <v>135</v>
      </c>
      <c r="I40" s="1" t="s">
        <v>136</v>
      </c>
      <c r="J40" s="1" t="s">
        <v>137</v>
      </c>
      <c r="K40" s="1" t="s">
        <v>138</v>
      </c>
      <c r="L40" s="1" t="s">
        <v>139</v>
      </c>
    </row>
    <row r="41" customFormat="false" ht="12.8" hidden="false" customHeight="false" outlineLevel="0" collapsed="false">
      <c r="A41" s="7" t="n">
        <v>9</v>
      </c>
      <c r="B41" s="11" t="n">
        <v>0.692246291421963</v>
      </c>
      <c r="C41" s="11" t="n">
        <v>0.69768144989318</v>
      </c>
      <c r="D41" s="11" t="n">
        <v>0.642354213368125</v>
      </c>
      <c r="F41" s="5" t="s">
        <v>140</v>
      </c>
      <c r="G41" s="1" t="n">
        <f aca="false">SUMPRODUCT(inter_system_stats!$H$36:$H$38,inter_system_stats!$I$36:$I$38)-SUM(inter_system_stats!$H$36:$H$38)^2/SUM(inter_system_stats!$G$36:$G$38)</f>
        <v>0.00138282765687592</v>
      </c>
      <c r="H41" s="1" t="n">
        <f aca="false">COUNT(inter_system_stats!$H$36:$H$38)-1</f>
        <v>2</v>
      </c>
      <c r="I41" s="1" t="n">
        <f aca="false">inter_system_stats!$G$41 / inter_system_stats!$H$41</f>
        <v>0.000691413828437959</v>
      </c>
      <c r="J41" s="1" t="n">
        <f aca="false">inter_system_stats!$I$41 / inter_system_stats!$I$42</f>
        <v>0.140727842444703</v>
      </c>
      <c r="K41" s="1" t="n">
        <f aca="false">FDIST(inter_system_stats!$J$41, inter_system_stats!$H$41, inter_system_stats!$H$42)</f>
        <v>0.868974410369244</v>
      </c>
      <c r="L41" s="1" t="n">
        <f aca="false">FINV(inter_system_stats!$G$33, inter_system_stats!$H$41, inter_system_stats!$H$42)</f>
        <v>3.12964398257105</v>
      </c>
    </row>
    <row r="42" customFormat="false" ht="12.8" hidden="false" customHeight="false" outlineLevel="0" collapsed="false">
      <c r="A42" s="7" t="n">
        <v>10</v>
      </c>
      <c r="B42" s="11" t="n">
        <v>0.615841349915757</v>
      </c>
      <c r="C42" s="11" t="n">
        <v>0.619580092617654</v>
      </c>
      <c r="D42" s="11" t="n">
        <v>0.622913061011376</v>
      </c>
      <c r="F42" s="5" t="s">
        <v>141</v>
      </c>
      <c r="G42" s="1" t="n">
        <f aca="false">SUM(DEVSQ(inter_system_stats!$B$32:$B$56),DEVSQ(inter_system_stats!$C$32:$C$56),DEVSQ(inter_system_stats!$D$32:$D$56))</f>
        <v>0.339005795395215</v>
      </c>
      <c r="H42" s="1" t="n">
        <f aca="false">SUM(inter_system_stats!$G$36:$G$38)-COUNT(inter_system_stats!$G$36:$G$38)</f>
        <v>69</v>
      </c>
      <c r="I42" s="1" t="n">
        <f aca="false">inter_system_stats!$G$42 / inter_system_stats!$H$42</f>
        <v>0.00491312746949587</v>
      </c>
      <c r="J42" s="1"/>
      <c r="K42" s="1"/>
      <c r="L42" s="1"/>
    </row>
    <row r="43" customFormat="false" ht="12.8" hidden="false" customHeight="false" outlineLevel="0" collapsed="false">
      <c r="A43" s="7" t="n">
        <v>11</v>
      </c>
      <c r="B43" s="11" t="n">
        <v>0.775302494128078</v>
      </c>
      <c r="C43" s="11" t="n">
        <v>0.774921176890618</v>
      </c>
      <c r="D43" s="11" t="n">
        <v>0.771127559172673</v>
      </c>
      <c r="F43" s="5" t="s">
        <v>142</v>
      </c>
      <c r="G43" s="1" t="n">
        <f aca="false">DEVSQ(inter_system_stats!$B$32:$B$56,inter_system_stats!$C$32:$C$56,inter_system_stats!$D$32:$D$56)</f>
        <v>0.34038862305209</v>
      </c>
      <c r="H43" s="1" t="n">
        <f aca="false">SUM(inter_system_stats!$G$36:$G$38) - 1</f>
        <v>71</v>
      </c>
      <c r="I43" s="1"/>
      <c r="J43" s="1"/>
      <c r="K43" s="1"/>
      <c r="L43" s="1"/>
    </row>
    <row r="44" customFormat="false" ht="12.8" hidden="false" customHeight="false" outlineLevel="0" collapsed="false">
      <c r="A44" s="7" t="n">
        <v>12</v>
      </c>
      <c r="B44" s="11" t="n">
        <v>0.745549821920152</v>
      </c>
      <c r="C44" s="11" t="n">
        <v>0.753553709109679</v>
      </c>
      <c r="D44" s="11" t="n">
        <v>0.755700494821908</v>
      </c>
    </row>
    <row r="45" customFormat="false" ht="12.8" hidden="false" customHeight="false" outlineLevel="0" collapsed="false">
      <c r="A45" s="7" t="n">
        <v>13</v>
      </c>
      <c r="B45" s="11" t="n">
        <v>0.675936476989854</v>
      </c>
      <c r="C45" s="11" t="n">
        <v>0.672563929439104</v>
      </c>
      <c r="D45" s="11" t="n">
        <v>0.652206493784056</v>
      </c>
    </row>
    <row r="46" customFormat="false" ht="12.8" hidden="false" customHeight="false" outlineLevel="0" collapsed="false">
      <c r="A46" s="7" t="n">
        <v>14</v>
      </c>
      <c r="B46" s="11" t="n">
        <v>0.797455345493423</v>
      </c>
      <c r="C46" s="11" t="n">
        <v>0.793428445401866</v>
      </c>
      <c r="D46" s="11" t="n">
        <v>0.774203318401695</v>
      </c>
    </row>
    <row r="47" customFormat="false" ht="12.8" hidden="false" customHeight="false" outlineLevel="0" collapsed="false">
      <c r="A47" s="7" t="n">
        <v>15</v>
      </c>
      <c r="B47" s="11" t="n">
        <v>0.831683746706372</v>
      </c>
      <c r="C47" s="11" t="n">
        <v>0.822215644660448</v>
      </c>
      <c r="D47" s="11" t="n">
        <v>0.809939048024508</v>
      </c>
    </row>
    <row r="48" customFormat="false" ht="12.8" hidden="false" customHeight="false" outlineLevel="0" collapsed="false">
      <c r="A48" s="7" t="n">
        <v>16</v>
      </c>
      <c r="B48" s="11" t="n">
        <v>0.665915062167674</v>
      </c>
      <c r="C48" s="11" t="n">
        <v>0.635332717811399</v>
      </c>
      <c r="D48" s="11" t="n">
        <v>0.650131632080799</v>
      </c>
    </row>
    <row r="49" customFormat="false" ht="12.8" hidden="false" customHeight="false" outlineLevel="0" collapsed="false">
      <c r="A49" s="7" t="n">
        <v>17</v>
      </c>
      <c r="B49" s="11" t="n">
        <v>0.808465032172267</v>
      </c>
      <c r="C49" s="11" t="n">
        <v>0.793594653760174</v>
      </c>
      <c r="D49" s="11" t="n">
        <v>0.797189081830377</v>
      </c>
    </row>
    <row r="50" customFormat="false" ht="12.8" hidden="false" customHeight="false" outlineLevel="0" collapsed="false">
      <c r="A50" s="7" t="n">
        <v>18</v>
      </c>
      <c r="B50" s="11" t="n">
        <v>0.702923330052347</v>
      </c>
      <c r="C50" s="11" t="n">
        <v>0.704871448301166</v>
      </c>
      <c r="D50" s="11" t="n">
        <v>0.729185376832561</v>
      </c>
    </row>
    <row r="51" customFormat="false" ht="12.8" hidden="false" customHeight="false" outlineLevel="0" collapsed="false">
      <c r="A51" s="7" t="n">
        <v>19</v>
      </c>
      <c r="B51" s="11" t="n">
        <v>0.833849291363568</v>
      </c>
      <c r="C51" s="11" t="n">
        <v>0.807380134018013</v>
      </c>
      <c r="D51" s="11" t="n">
        <v>0.814317443577555</v>
      </c>
    </row>
    <row r="52" customFormat="false" ht="12.8" hidden="false" customHeight="false" outlineLevel="0" collapsed="false">
      <c r="A52" s="7" t="n">
        <v>20</v>
      </c>
      <c r="B52" s="11" t="n">
        <v>0.790624245512354</v>
      </c>
      <c r="C52" s="11" t="n">
        <v>0.685839894231455</v>
      </c>
      <c r="D52" s="11" t="n">
        <v>0.726210867823374</v>
      </c>
    </row>
    <row r="53" customFormat="false" ht="12.8" hidden="false" customHeight="false" outlineLevel="0" collapsed="false">
      <c r="A53" s="7" t="n">
        <v>21</v>
      </c>
      <c r="B53" s="11" t="n">
        <v>0.730617364036752</v>
      </c>
      <c r="C53" s="11" t="n">
        <v>0.744532936686859</v>
      </c>
      <c r="D53" s="11" t="n">
        <v>0.729028212060252</v>
      </c>
    </row>
    <row r="54" customFormat="false" ht="12.8" hidden="false" customHeight="false" outlineLevel="0" collapsed="false">
      <c r="A54" s="7" t="n">
        <v>22</v>
      </c>
      <c r="B54" s="11" t="n">
        <v>0.765208060825559</v>
      </c>
      <c r="C54" s="11" t="n">
        <v>0.793440478998772</v>
      </c>
      <c r="D54" s="11" t="n">
        <v>0.726360545777343</v>
      </c>
    </row>
    <row r="55" customFormat="false" ht="12.8" hidden="false" customHeight="false" outlineLevel="0" collapsed="false">
      <c r="A55" s="7" t="n">
        <v>23</v>
      </c>
      <c r="B55" s="11" t="n">
        <v>0.717035427894149</v>
      </c>
      <c r="C55" s="11" t="n">
        <v>0.707901607946691</v>
      </c>
      <c r="D55" s="11" t="n">
        <v>0.697993411397489</v>
      </c>
    </row>
    <row r="56" customFormat="false" ht="12.8" hidden="false" customHeight="false" outlineLevel="0" collapsed="false">
      <c r="A56" s="7" t="n">
        <v>24</v>
      </c>
      <c r="B56" s="11" t="n">
        <v>0.730354595976365</v>
      </c>
      <c r="C56" s="11" t="n">
        <v>0.737835538427487</v>
      </c>
      <c r="D56" s="11" t="n">
        <v>0.737397050320407</v>
      </c>
    </row>
  </sheetData>
  <mergeCells count="1"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2026-02-20T14:42:57Z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
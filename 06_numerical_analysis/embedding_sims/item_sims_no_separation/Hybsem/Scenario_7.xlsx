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en7_hybsem" sheetId="1" state="visible" r:id="rId3"/>
    <sheet name="Notes" sheetId="2" state="visible" r:id="rId4"/>
    <sheet name="actdel_prompt_response" sheetId="3" state="visible" r:id="rId5"/>
    <sheet name="inter_system_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<sst xmlns="http://schemas.openxmlformats.org/spreadsheetml/2006/main" count="908" uniqueCount="144">
  <si>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</si>
  <si>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</si>
  <si>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</si>
  <si>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</si>
  <si>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</si>
  <si>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</si>
  <si>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</si>
  <si>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</si>
  <si>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</si>
  <si>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</si>
  <si>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</si>
  <si>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</si>
  <si>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count</t>
  </si>
  <si>
    <t xml:space="preserve">activation delta average</t>
  </si>
  <si>
    <t xml:space="preserve">correlation weights / activation delta</t>
  </si>
  <si>
    <t xml:space="preserve">p</t>
  </si>
  <si>
    <t xml:space="preserve">6d440638-5838-44a7-a15b-ff7336dab415</t>
  </si>
  <si>
    <t xml:space="preserve">cmjjw7ztj019ezceepd87zo3e</t>
  </si>
  <si>
    <t xml:space="preserve">cmjjw946g019vzceem0b3p17w</t>
  </si>
  <si>
    <t xml:space="preserve">hybrid_v3_5_semantic</t>
  </si>
  <si>
    <t xml:space="preserve">Scenario_7</t>
  </si>
  <si>
    <t xml:space="preserve">imagination_and_possibility</t>
  </si>
  <si>
    <t xml:space="preserve">temporal_dynamics</t>
  </si>
  <si>
    <t xml:space="preserve">affective_interface</t>
  </si>
  <si>
    <t xml:space="preserve">truth_and_fact</t>
  </si>
  <si>
    <t xml:space="preserve">204abaec-f79e-4bbb-bfdd-b30d74b81de8</t>
  </si>
  <si>
    <t xml:space="preserve">cmjjw9ghj019zzceertc0ziao</t>
  </si>
  <si>
    <t xml:space="preserve">cmjjwa02h01agzceeu4m9wsle</t>
  </si>
  <si>
    <t xml:space="preserve">practicality_and_feasibility</t>
  </si>
  <si>
    <t xml:space="preserve">context_dependent_expression</t>
  </si>
  <si>
    <t xml:space="preserve">60087b4a-96f5-47e4-9873-a2fbf02673f2</t>
  </si>
  <si>
    <t xml:space="preserve">cmjjwaayw01akzceeob9l0x1u</t>
  </si>
  <si>
    <t xml:space="preserve">cmjjwathf01b1zceeqbkjmmta</t>
  </si>
  <si>
    <t xml:space="preserve">identity</t>
  </si>
  <si>
    <t xml:space="preserve">electricity</t>
  </si>
  <si>
    <t xml:space="preserve">520042b2-0623-45ea-becf-e066c0ab2660</t>
  </si>
  <si>
    <t xml:space="preserve">cmjjwb6i601b5zceea1j24ize</t>
  </si>
  <si>
    <t xml:space="preserve">cmjjwbw3b01bmzceet7gggiro</t>
  </si>
  <si>
    <t xml:space="preserve">dd512bc3-eef3-465b-b603-25ffbea8811a</t>
  </si>
  <si>
    <t xml:space="preserve">cmjjwc6b901bqzceengu75xsr</t>
  </si>
  <si>
    <t xml:space="preserve">cmjjwd0nu01c7zceehm0w7lyo</t>
  </si>
  <si>
    <t xml:space="preserve">freedom_and_limitations</t>
  </si>
  <si>
    <t xml:space="preserve">c08330f5-ccf9-49fa-bc9c-ee4fd8bb5922</t>
  </si>
  <si>
    <t xml:space="preserve">cmjjwddwu01cbzceeapv4cjw4</t>
  </si>
  <si>
    <t xml:space="preserve">cmjjwdyqk01cszceefnwxxs3w</t>
  </si>
  <si>
    <t xml:space="preserve">5a1d4bb3-6966-4ccf-b717-1b2d6a03010f</t>
  </si>
  <si>
    <t xml:space="preserve">cmjjwea1x01cwzcee7cne9bwo</t>
  </si>
  <si>
    <t xml:space="preserve">cmjjwevoh01ddzcee4xqt9bdk</t>
  </si>
  <si>
    <t xml:space="preserve">c59ec72a-65d3-4296-8eda-a21a903eca85</t>
  </si>
  <si>
    <t xml:space="preserve">cmjjwf75801dhzceecsuopu7w</t>
  </si>
  <si>
    <t xml:space="preserve">cmjjwflyw01dyzcee13odapu1</t>
  </si>
  <si>
    <t xml:space="preserve">sovereignty</t>
  </si>
  <si>
    <t xml:space="preserve">3909f6f1-7e30-4731-93d1-bb5d8e06061a</t>
  </si>
  <si>
    <t xml:space="preserve">cmjjwg1ws01e2zcees75q272v</t>
  </si>
  <si>
    <t xml:space="preserve">cmjjwgkex01ejzcee2ma38cra</t>
  </si>
  <si>
    <t xml:space="preserve">81e27ad1-fb73-4e02-8cd4-fffd9706aa97</t>
  </si>
  <si>
    <t xml:space="preserve">cmjjwgvfb01enzcee3qwvhhw1</t>
  </si>
  <si>
    <t xml:space="preserve">cmjjwhhge01f4zcee5xvtlhai</t>
  </si>
  <si>
    <t xml:space="preserve">853ddaf2-8d74-4532-91b7-d84ea465ae34</t>
  </si>
  <si>
    <t xml:space="preserve">cmjjwi1lc01f8zceeifjnowy5</t>
  </si>
  <si>
    <t xml:space="preserve">cmjjwie0601fpzcee9kzqh5gr</t>
  </si>
  <si>
    <t xml:space="preserve">ca4c21a8-4535-47a9-bd1b-0717e60c0d1c</t>
  </si>
  <si>
    <t xml:space="preserve">cmjjwim5701ftzcee4fm5tfau</t>
  </si>
  <si>
    <t xml:space="preserve">cmjjwj7pk01gazcee2456t0rf</t>
  </si>
  <si>
    <t xml:space="preserve">69d4b943-5de1-439c-bd75-7ff70fd174ee</t>
  </si>
  <si>
    <t xml:space="preserve">cmjjwjmqo01gezceeu0emxpps</t>
  </si>
  <si>
    <t xml:space="preserve">cmjjwk4ja01gvzceejbe41n99</t>
  </si>
  <si>
    <t xml:space="preserve">mathematics_computer_science_engineering</t>
  </si>
  <si>
    <t xml:space="preserve">ec7c8123-1f30-4cfd-a5c4-8d7215700356</t>
  </si>
  <si>
    <t xml:space="preserve">cmjjwkocs01gzzceeo065r5dd</t>
  </si>
  <si>
    <t xml:space="preserve">cmjjwl6ny01hgzceewp0ozs43</t>
  </si>
  <si>
    <t xml:space="preserve">4316260a-b88f-4206-b490-aaa920eba491</t>
  </si>
  <si>
    <t xml:space="preserve">cmjjwlgg501hkzcee7a0ibpgx</t>
  </si>
  <si>
    <t xml:space="preserve">cmjjwlu7n01i1zceeyg12c3mm</t>
  </si>
  <si>
    <t xml:space="preserve">14447e58-53f8-4e82-a7fd-2a2d35086dee</t>
  </si>
  <si>
    <t xml:space="preserve">cmjjwmbko01i5zceelx0phe3l</t>
  </si>
  <si>
    <t xml:space="preserve">cmjjwmo1k01imzcee4k1yfms0</t>
  </si>
  <si>
    <t xml:space="preserve">23884a89-3e3b-41da-9928-ee25ead1a24d</t>
  </si>
  <si>
    <t xml:space="preserve">cmjjwmy4n01iqzceebtm6pta4</t>
  </si>
  <si>
    <t xml:space="preserve">cmjjwnegw01j7zceeagm0x5tl</t>
  </si>
  <si>
    <t xml:space="preserve">science</t>
  </si>
  <si>
    <t xml:space="preserve">58f1f141-0eec-485c-9cad-1013a0dcfac8</t>
  </si>
  <si>
    <t xml:space="preserve">cmjjwnqy801jbzceetdk1j7of</t>
  </si>
  <si>
    <t xml:space="preserve">cmjjwo61m01jszceeurddojro</t>
  </si>
  <si>
    <t xml:space="preserve">3ff382be-0ad2-4b7a-a24e-c9e8a6299015</t>
  </si>
  <si>
    <t xml:space="preserve">cmjjworr201jwzcee7ne3agxy</t>
  </si>
  <si>
    <t xml:space="preserve">cmjjwph4x01kdzceefsrymj9j</t>
  </si>
  <si>
    <t xml:space="preserve">d8cb954f-085b-4898-af42-d78c9ce4d8e7</t>
  </si>
  <si>
    <t xml:space="preserve">cmjjwpu6601khzceewsz6158o</t>
  </si>
  <si>
    <t xml:space="preserve">cmjjwqb1q01kyzceew6wpuree</t>
  </si>
  <si>
    <t xml:space="preserve">20ea2b57-5eaf-4f07-804d-092a34e64192</t>
  </si>
  <si>
    <t xml:space="preserve">cmjjwrl1601l2zcee9vo5dktr</t>
  </si>
  <si>
    <t xml:space="preserve">cmjjws95501ljzcee745wu723</t>
  </si>
  <si>
    <t xml:space="preserve">14950f01-2ee2-4de4-9b4c-7f61eb71c2c4</t>
  </si>
  <si>
    <t xml:space="preserve">cmjjwstby01lnzceewnc21q6t</t>
  </si>
  <si>
    <t xml:space="preserve">cmjjwtajk01m4zceevhqhsrg9</t>
  </si>
  <si>
    <t xml:space="preserve">a5354436-0b0b-46c1-b0eb-8c3ecbdd624f</t>
  </si>
  <si>
    <t xml:space="preserve">cmjjwty0i01m8zceeioo3khoz</t>
  </si>
  <si>
    <t xml:space="preserve">cmjjwuhms01mpzceex6xvkdtw</t>
  </si>
  <si>
    <t xml:space="preserve">57544fb7-229b-41a8-b982-dc5a185a1b89</t>
  </si>
  <si>
    <t xml:space="preserve">cmjjwuqac01mtzceetsbrwv3r</t>
  </si>
  <si>
    <t xml:space="preserve">cmjjwv85901nazcee16x6b6n1</t>
  </si>
  <si>
    <t xml:space="preserve">3d63dee1-3f8c-43ed-95fc-443c46ed0733</t>
  </si>
  <si>
    <t xml:space="preserve">cmjjwviwg01nezceep7s4bt7x</t>
  </si>
  <si>
    <t xml:space="preserve">cmjjww34501nvzceewtxy7zxg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</si>
  <si>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</si>
  <si>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</si>
  <si>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</si>
  <si>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</si>
  <si>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Prompt-response</t>
  </si>
  <si>
    <t xml:space="preserve">Turn</t>
  </si>
  <si>
    <t xml:space="preserve">Hybsem</t>
  </si>
  <si>
    <t xml:space="preserve">control</t>
  </si>
  <si>
    <t xml:space="preserve">std. Hybsem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</si>
  <si>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</si>
  <si>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</si>
  <si>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</si>
  <si>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</si>
  <si>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</si>
  <si>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Mean Hybsem</t>
  </si>
  <si>
    <t xml:space="preserve">Mean control</t>
  </si>
  <si>
    <t xml:space="preserve">General</t>
  </si>
  <si>
    <t xml:space="preserve">ac15p</t>
  </si>
  <si>
    <t xml:space="preserve">Hybrid</t>
  </si>
  <si>
    <t xml:space="preserve">ANOVA - Single Factor</t>
  </si>
  <si>
    <t xml:space="preserve">Alpha</t>
  </si>
  <si>
    <t xml:space="preserve">Groups</t>
  </si>
  <si>
    <t xml:space="preserve">Count</t>
  </si>
  <si>
    <t xml:space="preserve">Sum</t>
  </si>
  <si>
    <t xml:space="preserve">Mean</t>
  </si>
  <si>
    <t xml:space="preserve">Variance</t>
  </si>
  <si>
    <t xml:space="preserve">Column 1</t>
  </si>
  <si>
    <t xml:space="preserve">Column 2</t>
  </si>
  <si>
    <t xml:space="preserve">Column 3</t>
  </si>
  <si>
    <t xml:space="preserve">Source of Variation</t>
  </si>
  <si>
    <t xml:space="preserve">SS</t>
  </si>
  <si>
    <t xml:space="preserve">df</t>
  </si>
  <si>
    <t xml:space="preserve">MS</t>
  </si>
  <si>
    <t xml:space="preserve">F</t>
  </si>
  <si>
    <t xml:space="preserve">P-value</t>
  </si>
  <si>
    <t xml:space="preserve">F critical</t>
  </si>
  <si>
    <t xml:space="preserve">Between Groups</t>
  </si>
  <si>
    <t xml:space="preserve">Within Groups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</si>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</sst>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;[RED]\-0.000000"/>
  </numFmts>
  <fonts count="6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b val="true"/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center" vertical="center" textRotation="0" wrapText="true" indent="0" shrinkToFit="false"/>
    </xf>
  </cellStyleXfs>
  <cellXfs count="12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actdel_prompt_response!$B$2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actdel_prompt_response!$B$3:$B$27</c:f>
              <c:numCache>
                <c:formatCode>General</c:formatCode>
                <c:ptCount val="25"/>
                <c:pt idx="0">
                  <c:v>0.724099533668665</c:v>
                </c:pt>
                <c:pt idx="1">
                  <c:v>0.690405786547539</c:v>
                </c:pt>
                <c:pt idx="2">
                  <c:v>0.664424091143094</c:v>
                </c:pt>
                <c:pt idx="3">
                  <c:v>0.737872088358781</c:v>
                </c:pt>
                <c:pt idx="4">
                  <c:v>0.731664951542418</c:v>
                </c:pt>
                <c:pt idx="5">
                  <c:v>0.72767431707301</c:v>
                </c:pt>
                <c:pt idx="6">
                  <c:v>0.785159172931949</c:v>
                </c:pt>
                <c:pt idx="7">
                  <c:v>0.699365933104337</c:v>
                </c:pt>
                <c:pt idx="8">
                  <c:v>0.74686473255493</c:v>
                </c:pt>
                <c:pt idx="9">
                  <c:v>0.68571667055349</c:v>
                </c:pt>
                <c:pt idx="10">
                  <c:v>0.765114909147396</c:v>
                </c:pt>
                <c:pt idx="11">
                  <c:v>0.736644236479232</c:v>
                </c:pt>
                <c:pt idx="12">
                  <c:v>0.678666511575506</c:v>
                </c:pt>
                <c:pt idx="13">
                  <c:v>0.800148648147254</c:v>
                </c:pt>
                <c:pt idx="14">
                  <c:v>0.613656437383168</c:v>
                </c:pt>
                <c:pt idx="15">
                  <c:v>0.70191452728509</c:v>
                </c:pt>
                <c:pt idx="16">
                  <c:v>0.696040981259132</c:v>
                </c:pt>
                <c:pt idx="17">
                  <c:v>0.764111372525898</c:v>
                </c:pt>
                <c:pt idx="18">
                  <c:v>0.612949588021736</c:v>
                </c:pt>
                <c:pt idx="19">
                  <c:v>0.761234455225827</c:v>
                </c:pt>
                <c:pt idx="20">
                  <c:v>0.708545748319991</c:v>
                </c:pt>
                <c:pt idx="21">
                  <c:v>0.756069449327172</c:v>
                </c:pt>
                <c:pt idx="22">
                  <c:v>0.671531865451319</c:v>
                </c:pt>
                <c:pt idx="23">
                  <c:v>0.793327292068252</c:v>
                </c:pt>
                <c:pt idx="24">
                  <c:v>0.762254565867078</c:v>
                </c:pt>
              </c:numCache>
            </c:numRef>
          </c:yVal>
          <c:smooth val="0"/>
        </c:ser>
        <c:axId val="7991570"/>
        <c:axId val="40857707"/>
      </c:scatterChart>
      <c:valAx>
        <c:axId val="799157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0857707"/>
        <c:crosses val="autoZero"/>
        <c:crossBetween val="midCat"/>
      </c:valAx>
      <c:valAx>
        <c:axId val="408577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99157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inter_system_stats!$B$2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inter_system_stats!$B$3:$B$27</c:f>
              <c:numCache>
                <c:formatCode>General</c:formatCode>
                <c:ptCount val="25"/>
                <c:pt idx="0">
                  <c:v>0.724099533668665</c:v>
                </c:pt>
                <c:pt idx="1">
                  <c:v>0.690405786547539</c:v>
                </c:pt>
                <c:pt idx="2">
                  <c:v>0.664424091143094</c:v>
                </c:pt>
                <c:pt idx="3">
                  <c:v>0.737872088358781</c:v>
                </c:pt>
                <c:pt idx="4">
                  <c:v>0.731664951542418</c:v>
                </c:pt>
                <c:pt idx="5">
                  <c:v>0.72767431707301</c:v>
                </c:pt>
                <c:pt idx="6">
                  <c:v>0.785159172931949</c:v>
                </c:pt>
                <c:pt idx="7">
                  <c:v>0.699365933104337</c:v>
                </c:pt>
                <c:pt idx="8">
                  <c:v>0.74686473255493</c:v>
                </c:pt>
                <c:pt idx="9">
                  <c:v>0.68571667055349</c:v>
                </c:pt>
                <c:pt idx="10">
                  <c:v>0.765114909147396</c:v>
                </c:pt>
                <c:pt idx="11">
                  <c:v>0.736644236479232</c:v>
                </c:pt>
                <c:pt idx="12">
                  <c:v>0.678666511575506</c:v>
                </c:pt>
                <c:pt idx="13">
                  <c:v>0.800148648147254</c:v>
                </c:pt>
                <c:pt idx="14">
                  <c:v>0.613656437383168</c:v>
                </c:pt>
                <c:pt idx="15">
                  <c:v>0.70191452728509</c:v>
                </c:pt>
                <c:pt idx="16">
                  <c:v>0.696040981259132</c:v>
                </c:pt>
                <c:pt idx="17">
                  <c:v>0.764111372525898</c:v>
                </c:pt>
                <c:pt idx="18">
                  <c:v>0.612949588021736</c:v>
                </c:pt>
                <c:pt idx="19">
                  <c:v>0.761234455225827</c:v>
                </c:pt>
                <c:pt idx="20">
                  <c:v>0.708545748319991</c:v>
                </c:pt>
                <c:pt idx="21">
                  <c:v>0.756069449327172</c:v>
                </c:pt>
                <c:pt idx="22">
                  <c:v>0.671531865451319</c:v>
                </c:pt>
                <c:pt idx="23">
                  <c:v>0.793327292068252</c:v>
                </c:pt>
                <c:pt idx="24">
                  <c:v>0.762254565867078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inter_system_stats!$C$2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inter_system_stats!$C$3:$C$27</c:f>
              <c:numCache>
                <c:formatCode>General</c:formatCode>
                <c:ptCount val="25"/>
                <c:pt idx="0">
                  <c:v>0.780357842803317</c:v>
                </c:pt>
                <c:pt idx="1">
                  <c:v>0.416207094658953</c:v>
                </c:pt>
                <c:pt idx="2">
                  <c:v>0.440694734258005</c:v>
                </c:pt>
                <c:pt idx="3">
                  <c:v>0.50298342709053</c:v>
                </c:pt>
                <c:pt idx="4">
                  <c:v>0.648378238204048</c:v>
                </c:pt>
                <c:pt idx="5">
                  <c:v>0.556905413484638</c:v>
                </c:pt>
                <c:pt idx="6">
                  <c:v>0.676587781456039</c:v>
                </c:pt>
                <c:pt idx="7">
                  <c:v>0.537556987618538</c:v>
                </c:pt>
                <c:pt idx="8">
                  <c:v>0.547450655337536</c:v>
                </c:pt>
                <c:pt idx="9">
                  <c:v>0.404475709994457</c:v>
                </c:pt>
                <c:pt idx="10">
                  <c:v>0.573512450710954</c:v>
                </c:pt>
                <c:pt idx="11">
                  <c:v>0.688426389427952</c:v>
                </c:pt>
                <c:pt idx="12">
                  <c:v>0.536732539192105</c:v>
                </c:pt>
                <c:pt idx="13">
                  <c:v>0.706905423359106</c:v>
                </c:pt>
                <c:pt idx="14">
                  <c:v>0.559275980049327</c:v>
                </c:pt>
                <c:pt idx="15">
                  <c:v>0.696687598503719</c:v>
                </c:pt>
                <c:pt idx="16">
                  <c:v>0.48999145280364</c:v>
                </c:pt>
                <c:pt idx="17">
                  <c:v>0.703777326026319</c:v>
                </c:pt>
                <c:pt idx="18">
                  <c:v>0.538311826027795</c:v>
                </c:pt>
                <c:pt idx="19">
                  <c:v>0.658619577213029</c:v>
                </c:pt>
                <c:pt idx="20">
                  <c:v>0.407653544913038</c:v>
                </c:pt>
                <c:pt idx="21">
                  <c:v>0.515876791249462</c:v>
                </c:pt>
                <c:pt idx="22">
                  <c:v>0.47404366030989</c:v>
                </c:pt>
                <c:pt idx="23">
                  <c:v>0.690137110745753</c:v>
                </c:pt>
                <c:pt idx="24">
                  <c:v>0.454708104680646</c:v>
                </c:pt>
              </c:numCache>
            </c:numRef>
          </c:yVal>
          <c:smooth val="0"/>
        </c:ser>
        <c:axId val="56772183"/>
        <c:axId val="64461678"/>
      </c:scatterChart>
      <c:valAx>
        <c:axId val="5677218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4461678"/>
        <c:crosses val="autoZero"/>
        <c:crossBetween val="midCat"/>
      </c:valAx>
      <c:valAx>
        <c:axId val="6446167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677218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15840</xdr:colOff>
      <xdr:row>2</xdr:row>
      <xdr:rowOff>30960</xdr:rowOff>
    </xdr:from>
    <xdr:to>
      <xdr:col>10</xdr:col>
      <xdr:colOff>78480</xdr:colOff>
      <xdr:row>22</xdr:row>
      <xdr:rowOff>15120</xdr:rowOff>
    </xdr:to>
    <xdr:graphicFrame>
      <xdr:nvGraphicFramePr>
        <xdr:cNvPr id="1" name=""/>
        <xdr:cNvGraphicFramePr/>
      </xdr:nvGraphicFramePr>
      <xdr:xfrm>
        <a:off x="2454120" y="356040"/>
        <a:ext cx="5752440" cy="323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28800</xdr:colOff>
      <xdr:row>5</xdr:row>
      <xdr:rowOff>15480</xdr:rowOff>
    </xdr:from>
    <xdr:to>
      <xdr:col>8</xdr:col>
      <xdr:colOff>889920</xdr:colOff>
      <xdr:row>24</xdr:row>
      <xdr:rowOff>160920</xdr:rowOff>
    </xdr:to>
    <xdr:graphicFrame>
      <xdr:nvGraphicFramePr>
        <xdr:cNvPr id="2" name=""/>
        <xdr:cNvGraphicFramePr/>
      </xdr:nvGraphicFramePr>
      <xdr:xfrm>
        <a:off x="4259160" y="828360"/>
        <a:ext cx="5760720" cy="3233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Q2" activeCellId="0" sqref="Q2"/>
    </sheetView>
  </sheetViews>
  <sheetFormatPr defaultColWidth="10.5859375" defaultRowHeight="15" customHeight="false" zeroHeight="false" outlineLevelRow="0" outlineLevelCol="0"/>
  <cols>
    <col collapsed="false" customWidth="true" hidden="false" outlineLevel="0" max="4" min="4" style="1" width="25.16"/>
    <col collapsed="false" customWidth="true" hidden="false" outlineLevel="0" max="5" min="5" style="1" width="15.49"/>
    <col collapsed="false" customWidth="false" hidden="false" outlineLevel="0" max="6" min="6" style="1" width="10.58"/>
    <col collapsed="false" customWidth="true" hidden="false" outlineLevel="0" max="7" min="7" style="2" width="39.93"/>
    <col collapsed="false" customWidth="true" hidden="false" outlineLevel="0" max="8" min="8" style="1" width="7.68"/>
    <col collapsed="false" customWidth="true" hidden="false" outlineLevel="0" max="10" min="9" style="1" width="18.71"/>
    <col collapsed="false" customWidth="true" hidden="false" outlineLevel="0" max="12" min="11" style="1" width="19.22"/>
    <col collapsed="false" customWidth="true" hidden="false" outlineLevel="0" max="17" min="17" style="0" width="21.94"/>
  </cols>
  <sheetData>
    <row r="1" customFormat="false" ht="37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P1" s="3" t="s">
        <v>12</v>
      </c>
      <c r="Q1" s="4" t="s">
        <v>13</v>
      </c>
      <c r="R1" s="3" t="s">
        <v>14</v>
      </c>
      <c r="S1" s="4" t="s">
        <v>15</v>
      </c>
    </row>
    <row r="2" customFormat="false" ht="15" hidden="false" customHeight="false" outlineLevel="0" collapsed="false">
      <c r="P2" s="4" t="n">
        <f aca="false">COUNT(K3:K143)</f>
        <v>141</v>
      </c>
      <c r="Q2" s="0" t="n">
        <f aca="false">AVERAGE(K3:K143)</f>
        <v>0.033631001996227</v>
      </c>
      <c r="R2" s="4" t="n">
        <f aca="false">CORREL(H3:H143,K3:K143)</f>
        <v>0.148857368975605</v>
      </c>
      <c r="S2" s="4" t="n">
        <v>0.078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n">
        <v>0</v>
      </c>
      <c r="G3" s="2" t="s">
        <v>21</v>
      </c>
      <c r="H3" s="1" t="n">
        <v>0.3145</v>
      </c>
      <c r="I3" s="1" t="n">
        <v>0.220067415049011</v>
      </c>
      <c r="J3" s="1" t="n">
        <v>0.290487827427283</v>
      </c>
      <c r="K3" s="1" t="n">
        <f aca="false">J3-I3</f>
        <v>0.0704204123782721</v>
      </c>
      <c r="L3" s="1" t="n">
        <v>0.724099533668665</v>
      </c>
    </row>
    <row r="4" customFormat="false" ht="15" hidden="false" customHeight="false" outlineLevel="0" collapsed="false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n">
        <v>0</v>
      </c>
      <c r="G4" s="2" t="s">
        <v>22</v>
      </c>
      <c r="H4" s="1" t="n">
        <v>0.298</v>
      </c>
      <c r="I4" s="1" t="n">
        <v>0.208500966166179</v>
      </c>
      <c r="J4" s="1" t="n">
        <v>0.275795634754161</v>
      </c>
      <c r="K4" s="1" t="n">
        <f aca="false">J4-I4</f>
        <v>0.0672946685879824</v>
      </c>
      <c r="L4" s="1" t="n">
        <v>0.724099533668665</v>
      </c>
    </row>
    <row r="5" customFormat="false" ht="15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n">
        <v>0</v>
      </c>
      <c r="G5" s="2" t="s">
        <v>23</v>
      </c>
      <c r="H5" s="1" t="n">
        <v>0.2876</v>
      </c>
      <c r="I5" s="1" t="n">
        <v>0.201232961264904</v>
      </c>
      <c r="J5" s="1" t="n">
        <v>0.318811511289361</v>
      </c>
      <c r="K5" s="1" t="n">
        <f aca="false">J5-I5</f>
        <v>0.117578550024457</v>
      </c>
      <c r="L5" s="1" t="n">
        <v>0.724099533668665</v>
      </c>
    </row>
    <row r="6" customFormat="false" ht="15" hidden="false" customHeight="false" outlineLevel="0" collapsed="false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n">
        <v>0</v>
      </c>
      <c r="G6" s="2" t="s">
        <v>24</v>
      </c>
      <c r="H6" s="1" t="n">
        <v>0.1</v>
      </c>
      <c r="I6" s="1" t="n">
        <v>0.145970140605919</v>
      </c>
      <c r="J6" s="1" t="n">
        <v>0.23127769282806</v>
      </c>
      <c r="K6" s="1" t="n">
        <f aca="false">J6-I6</f>
        <v>0.0853075522221405</v>
      </c>
      <c r="L6" s="1" t="n">
        <v>0.724099533668665</v>
      </c>
    </row>
    <row r="7" customFormat="false" ht="15" hidden="false" customHeight="false" outlineLevel="0" collapsed="false">
      <c r="A7" s="1" t="s">
        <v>25</v>
      </c>
      <c r="B7" s="1" t="s">
        <v>26</v>
      </c>
      <c r="C7" s="1" t="s">
        <v>27</v>
      </c>
      <c r="D7" s="1" t="s">
        <v>19</v>
      </c>
      <c r="E7" s="1" t="s">
        <v>20</v>
      </c>
      <c r="F7" s="1" t="n">
        <v>2</v>
      </c>
      <c r="G7" s="2" t="s">
        <v>21</v>
      </c>
      <c r="H7" s="1" t="n">
        <v>0.1879</v>
      </c>
      <c r="I7" s="1" t="n">
        <v>0.229887250316356</v>
      </c>
      <c r="J7" s="1" t="n">
        <v>0.311694777851871</v>
      </c>
      <c r="K7" s="1" t="n">
        <f aca="false">J7-I7</f>
        <v>0.0818075275355148</v>
      </c>
      <c r="L7" s="1" t="n">
        <v>0.690405786547539</v>
      </c>
    </row>
    <row r="8" customFormat="false" ht="15" hidden="false" customHeight="false" outlineLevel="0" collapsed="false">
      <c r="A8" s="1" t="s">
        <v>25</v>
      </c>
      <c r="B8" s="1" t="s">
        <v>26</v>
      </c>
      <c r="C8" s="1" t="s">
        <v>27</v>
      </c>
      <c r="D8" s="1" t="s">
        <v>19</v>
      </c>
      <c r="E8" s="1" t="s">
        <v>20</v>
      </c>
      <c r="F8" s="1" t="n">
        <v>2</v>
      </c>
      <c r="G8" s="2" t="s">
        <v>28</v>
      </c>
      <c r="H8" s="1" t="n">
        <v>0.1866</v>
      </c>
      <c r="I8" s="1" t="n">
        <v>0.228218583136294</v>
      </c>
      <c r="J8" s="1" t="n">
        <v>0.294020170126893</v>
      </c>
      <c r="K8" s="1" t="n">
        <f aca="false">J8-I8</f>
        <v>0.0658015869905984</v>
      </c>
      <c r="L8" s="1" t="n">
        <v>0.690405786547539</v>
      </c>
    </row>
    <row r="9" customFormat="false" ht="15" hidden="false" customHeight="false" outlineLevel="0" collapsed="false">
      <c r="A9" s="1" t="s">
        <v>25</v>
      </c>
      <c r="B9" s="1" t="s">
        <v>26</v>
      </c>
      <c r="C9" s="1" t="s">
        <v>27</v>
      </c>
      <c r="D9" s="1" t="s">
        <v>19</v>
      </c>
      <c r="E9" s="1" t="s">
        <v>20</v>
      </c>
      <c r="F9" s="1" t="n">
        <v>2</v>
      </c>
      <c r="G9" s="2" t="s">
        <v>23</v>
      </c>
      <c r="H9" s="1" t="n">
        <v>0.1796</v>
      </c>
      <c r="I9" s="1" t="n">
        <v>0.219687332757699</v>
      </c>
      <c r="J9" s="1" t="n">
        <v>0.360623772597539</v>
      </c>
      <c r="K9" s="1" t="n">
        <f aca="false">J9-I9</f>
        <v>0.14093643983984</v>
      </c>
      <c r="L9" s="1" t="n">
        <v>0.690405786547539</v>
      </c>
    </row>
    <row r="10" customFormat="false" ht="15" hidden="false" customHeight="false" outlineLevel="0" collapsed="false">
      <c r="A10" s="1" t="s">
        <v>25</v>
      </c>
      <c r="B10" s="1" t="s">
        <v>26</v>
      </c>
      <c r="C10" s="1" t="s">
        <v>27</v>
      </c>
      <c r="D10" s="1" t="s">
        <v>19</v>
      </c>
      <c r="E10" s="1" t="s">
        <v>20</v>
      </c>
      <c r="F10" s="1" t="n">
        <v>2</v>
      </c>
      <c r="G10" s="2" t="s">
        <v>22</v>
      </c>
      <c r="H10" s="1" t="n">
        <v>0.1746</v>
      </c>
      <c r="I10" s="1" t="n">
        <v>0.213615794527497</v>
      </c>
      <c r="J10" s="1" t="n">
        <v>0.272782397192978</v>
      </c>
      <c r="K10" s="1" t="n">
        <f aca="false">J10-I10</f>
        <v>0.0591666026654805</v>
      </c>
      <c r="L10" s="1" t="n">
        <v>0.690405786547539</v>
      </c>
    </row>
    <row r="11" customFormat="false" ht="15" hidden="false" customHeight="false" outlineLevel="0" collapsed="false">
      <c r="A11" s="1" t="s">
        <v>25</v>
      </c>
      <c r="B11" s="1" t="s">
        <v>26</v>
      </c>
      <c r="C11" s="1" t="s">
        <v>27</v>
      </c>
      <c r="D11" s="1" t="s">
        <v>19</v>
      </c>
      <c r="E11" s="1" t="s">
        <v>20</v>
      </c>
      <c r="F11" s="1" t="n">
        <v>2</v>
      </c>
      <c r="G11" s="2" t="s">
        <v>29</v>
      </c>
      <c r="H11" s="1" t="n">
        <v>0.1712</v>
      </c>
      <c r="I11" s="1" t="n">
        <v>0.209424334036622</v>
      </c>
      <c r="J11" s="1" t="n">
        <v>0.275537184959776</v>
      </c>
      <c r="K11" s="1" t="n">
        <f aca="false">J11-I11</f>
        <v>0.0661128509231543</v>
      </c>
      <c r="L11" s="1" t="n">
        <v>0.690405786547539</v>
      </c>
    </row>
    <row r="12" customFormat="false" ht="15" hidden="false" customHeight="false" outlineLevel="0" collapsed="false">
      <c r="A12" s="1" t="s">
        <v>25</v>
      </c>
      <c r="B12" s="1" t="s">
        <v>26</v>
      </c>
      <c r="C12" s="1" t="s">
        <v>27</v>
      </c>
      <c r="D12" s="1" t="s">
        <v>19</v>
      </c>
      <c r="E12" s="1" t="s">
        <v>20</v>
      </c>
      <c r="F12" s="1" t="n">
        <v>2</v>
      </c>
      <c r="G12" s="2" t="s">
        <v>24</v>
      </c>
      <c r="H12" s="1" t="n">
        <v>0.1</v>
      </c>
      <c r="I12" s="1" t="n">
        <v>0.178572875889748</v>
      </c>
      <c r="J12" s="1" t="n">
        <v>0.254704324624288</v>
      </c>
      <c r="K12" s="1" t="n">
        <f aca="false">J12-I12</f>
        <v>0.0761314487345407</v>
      </c>
      <c r="L12" s="1" t="n">
        <v>0.690405786547539</v>
      </c>
    </row>
    <row r="13" customFormat="false" ht="15" hidden="false" customHeight="false" outlineLevel="0" collapsed="false">
      <c r="A13" s="1" t="s">
        <v>30</v>
      </c>
      <c r="B13" s="1" t="s">
        <v>31</v>
      </c>
      <c r="C13" s="1" t="s">
        <v>32</v>
      </c>
      <c r="D13" s="1" t="s">
        <v>19</v>
      </c>
      <c r="E13" s="1" t="s">
        <v>20</v>
      </c>
      <c r="F13" s="1" t="n">
        <v>4</v>
      </c>
      <c r="G13" s="2" t="s">
        <v>33</v>
      </c>
      <c r="H13" s="1" t="n">
        <v>0.1957</v>
      </c>
      <c r="I13" s="1" t="n">
        <v>0.248464543722864</v>
      </c>
      <c r="J13" s="1" t="n">
        <v>0.230395725534202</v>
      </c>
      <c r="K13" s="1" t="n">
        <f aca="false">J13-I13</f>
        <v>-0.0180688181886613</v>
      </c>
      <c r="L13" s="1" t="n">
        <v>0.664424091143094</v>
      </c>
    </row>
    <row r="14" customFormat="false" ht="15" hidden="false" customHeight="false" outlineLevel="0" collapsed="false">
      <c r="A14" s="1" t="s">
        <v>30</v>
      </c>
      <c r="B14" s="1" t="s">
        <v>31</v>
      </c>
      <c r="C14" s="1" t="s">
        <v>32</v>
      </c>
      <c r="D14" s="1" t="s">
        <v>19</v>
      </c>
      <c r="E14" s="1" t="s">
        <v>20</v>
      </c>
      <c r="F14" s="1" t="n">
        <v>4</v>
      </c>
      <c r="G14" s="2" t="s">
        <v>23</v>
      </c>
      <c r="H14" s="1" t="n">
        <v>0.1933</v>
      </c>
      <c r="I14" s="1" t="n">
        <v>0.2454006393945</v>
      </c>
      <c r="J14" s="1" t="n">
        <v>0.309950232779438</v>
      </c>
      <c r="K14" s="1" t="n">
        <f aca="false">J14-I14</f>
        <v>0.0645495933849386</v>
      </c>
      <c r="L14" s="1" t="n">
        <v>0.664424091143094</v>
      </c>
    </row>
    <row r="15" customFormat="false" ht="15" hidden="false" customHeight="false" outlineLevel="0" collapsed="false">
      <c r="A15" s="1" t="s">
        <v>30</v>
      </c>
      <c r="B15" s="1" t="s">
        <v>31</v>
      </c>
      <c r="C15" s="1" t="s">
        <v>32</v>
      </c>
      <c r="D15" s="1" t="s">
        <v>19</v>
      </c>
      <c r="E15" s="1" t="s">
        <v>20</v>
      </c>
      <c r="F15" s="1" t="n">
        <v>4</v>
      </c>
      <c r="G15" s="2" t="s">
        <v>34</v>
      </c>
      <c r="H15" s="1" t="n">
        <v>0.1809</v>
      </c>
      <c r="I15" s="1" t="n">
        <v>0.229707391517746</v>
      </c>
      <c r="J15" s="1" t="n">
        <v>0.161283819881165</v>
      </c>
      <c r="K15" s="1" t="n">
        <f aca="false">J15-I15</f>
        <v>-0.0684235716365814</v>
      </c>
      <c r="L15" s="1" t="n">
        <v>0.664424091143094</v>
      </c>
    </row>
    <row r="16" customFormat="false" ht="15" hidden="false" customHeight="false" outlineLevel="0" collapsed="false">
      <c r="A16" s="1" t="s">
        <v>30</v>
      </c>
      <c r="B16" s="1" t="s">
        <v>31</v>
      </c>
      <c r="C16" s="1" t="s">
        <v>32</v>
      </c>
      <c r="D16" s="1" t="s">
        <v>19</v>
      </c>
      <c r="E16" s="1" t="s">
        <v>20</v>
      </c>
      <c r="F16" s="1" t="n">
        <v>4</v>
      </c>
      <c r="G16" s="2" t="s">
        <v>29</v>
      </c>
      <c r="H16" s="1" t="n">
        <v>0.1674</v>
      </c>
      <c r="I16" s="1" t="n">
        <v>0.212544182571329</v>
      </c>
      <c r="J16" s="1" t="n">
        <v>0.249676749951253</v>
      </c>
      <c r="K16" s="1" t="n">
        <f aca="false">J16-I16</f>
        <v>0.0371325673799232</v>
      </c>
      <c r="L16" s="1" t="n">
        <v>0.664424091143094</v>
      </c>
    </row>
    <row r="17" customFormat="false" ht="15" hidden="false" customHeight="false" outlineLevel="0" collapsed="false">
      <c r="A17" s="1" t="s">
        <v>30</v>
      </c>
      <c r="B17" s="1" t="s">
        <v>31</v>
      </c>
      <c r="C17" s="1" t="s">
        <v>32</v>
      </c>
      <c r="D17" s="1" t="s">
        <v>19</v>
      </c>
      <c r="E17" s="1" t="s">
        <v>20</v>
      </c>
      <c r="F17" s="1" t="n">
        <v>4</v>
      </c>
      <c r="G17" s="2" t="s">
        <v>21</v>
      </c>
      <c r="H17" s="1" t="n">
        <v>0.1626</v>
      </c>
      <c r="I17" s="1" t="n">
        <v>0.20642718655805</v>
      </c>
      <c r="J17" s="1" t="n">
        <v>0.260072673303004</v>
      </c>
      <c r="K17" s="1" t="n">
        <f aca="false">J17-I17</f>
        <v>0.0536454867449547</v>
      </c>
      <c r="L17" s="1" t="n">
        <v>0.664424091143094</v>
      </c>
    </row>
    <row r="18" customFormat="false" ht="15" hidden="false" customHeight="false" outlineLevel="0" collapsed="false">
      <c r="A18" s="1" t="s">
        <v>30</v>
      </c>
      <c r="B18" s="1" t="s">
        <v>31</v>
      </c>
      <c r="C18" s="1" t="s">
        <v>32</v>
      </c>
      <c r="D18" s="1" t="s">
        <v>19</v>
      </c>
      <c r="E18" s="1" t="s">
        <v>20</v>
      </c>
      <c r="F18" s="1" t="n">
        <v>4</v>
      </c>
      <c r="G18" s="2" t="s">
        <v>24</v>
      </c>
      <c r="H18" s="1" t="n">
        <v>0.1</v>
      </c>
      <c r="I18" s="1" t="n">
        <v>0.169316334446957</v>
      </c>
      <c r="J18" s="1" t="n">
        <v>0.224682232114663</v>
      </c>
      <c r="K18" s="1" t="n">
        <f aca="false">J18-I18</f>
        <v>0.0553658976677053</v>
      </c>
      <c r="L18" s="1" t="n">
        <v>0.664424091143094</v>
      </c>
    </row>
    <row r="19" customFormat="false" ht="15" hidden="false" customHeight="false" outlineLevel="0" collapsed="false">
      <c r="A19" s="1" t="s">
        <v>35</v>
      </c>
      <c r="B19" s="1" t="s">
        <v>36</v>
      </c>
      <c r="C19" s="1" t="s">
        <v>37</v>
      </c>
      <c r="D19" s="1" t="s">
        <v>19</v>
      </c>
      <c r="E19" s="1" t="s">
        <v>20</v>
      </c>
      <c r="F19" s="1" t="n">
        <v>6</v>
      </c>
      <c r="G19" s="2" t="s">
        <v>23</v>
      </c>
      <c r="H19" s="1" t="n">
        <v>0.1998</v>
      </c>
      <c r="I19" s="1" t="n">
        <v>0.326426283615297</v>
      </c>
      <c r="J19" s="1" t="n">
        <v>0.366178748333207</v>
      </c>
      <c r="K19" s="1" t="n">
        <f aca="false">J19-I19</f>
        <v>0.0397524647179098</v>
      </c>
      <c r="L19" s="1" t="n">
        <v>0.737872088358781</v>
      </c>
    </row>
    <row r="20" customFormat="false" ht="15" hidden="false" customHeight="false" outlineLevel="0" collapsed="false">
      <c r="A20" s="1" t="s">
        <v>35</v>
      </c>
      <c r="B20" s="1" t="s">
        <v>36</v>
      </c>
      <c r="C20" s="1" t="s">
        <v>37</v>
      </c>
      <c r="D20" s="1" t="s">
        <v>19</v>
      </c>
      <c r="E20" s="1" t="s">
        <v>20</v>
      </c>
      <c r="F20" s="1" t="n">
        <v>6</v>
      </c>
      <c r="G20" s="2" t="s">
        <v>29</v>
      </c>
      <c r="H20" s="1" t="n">
        <v>0.1763</v>
      </c>
      <c r="I20" s="1" t="n">
        <v>0.288055769633323</v>
      </c>
      <c r="J20" s="1" t="n">
        <v>0.283413670907899</v>
      </c>
      <c r="K20" s="1" t="n">
        <f aca="false">J20-I20</f>
        <v>-0.0046420987254237</v>
      </c>
      <c r="L20" s="1" t="n">
        <v>0.737872088358781</v>
      </c>
    </row>
    <row r="21" customFormat="false" ht="15" hidden="false" customHeight="false" outlineLevel="0" collapsed="false">
      <c r="A21" s="1" t="s">
        <v>35</v>
      </c>
      <c r="B21" s="1" t="s">
        <v>36</v>
      </c>
      <c r="C21" s="1" t="s">
        <v>37</v>
      </c>
      <c r="D21" s="1" t="s">
        <v>19</v>
      </c>
      <c r="E21" s="1" t="s">
        <v>20</v>
      </c>
      <c r="F21" s="1" t="n">
        <v>6</v>
      </c>
      <c r="G21" s="2" t="s">
        <v>21</v>
      </c>
      <c r="H21" s="1" t="n">
        <v>0.1635</v>
      </c>
      <c r="I21" s="1" t="n">
        <v>0.26704218571772</v>
      </c>
      <c r="J21" s="1" t="n">
        <v>0.339015911499966</v>
      </c>
      <c r="K21" s="1" t="n">
        <f aca="false">J21-I21</f>
        <v>0.0719737257822467</v>
      </c>
      <c r="L21" s="1" t="n">
        <v>0.737872088358781</v>
      </c>
    </row>
    <row r="22" customFormat="false" ht="15" hidden="false" customHeight="false" outlineLevel="0" collapsed="false">
      <c r="A22" s="1" t="s">
        <v>35</v>
      </c>
      <c r="B22" s="1" t="s">
        <v>36</v>
      </c>
      <c r="C22" s="1" t="s">
        <v>37</v>
      </c>
      <c r="D22" s="1" t="s">
        <v>19</v>
      </c>
      <c r="E22" s="1" t="s">
        <v>20</v>
      </c>
      <c r="F22" s="1" t="n">
        <v>6</v>
      </c>
      <c r="G22" s="2" t="s">
        <v>24</v>
      </c>
      <c r="H22" s="1" t="n">
        <v>0.1607</v>
      </c>
      <c r="I22" s="1" t="n">
        <v>0.262583700189145</v>
      </c>
      <c r="J22" s="1" t="n">
        <v>0.326304738128502</v>
      </c>
      <c r="K22" s="1" t="n">
        <f aca="false">J22-I22</f>
        <v>0.0637210379393575</v>
      </c>
      <c r="L22" s="1" t="n">
        <v>0.737872088358781</v>
      </c>
    </row>
    <row r="23" customFormat="false" ht="15" hidden="false" customHeight="false" outlineLevel="0" collapsed="false">
      <c r="A23" s="1" t="s">
        <v>35</v>
      </c>
      <c r="B23" s="1" t="s">
        <v>36</v>
      </c>
      <c r="C23" s="1" t="s">
        <v>37</v>
      </c>
      <c r="D23" s="1" t="s">
        <v>19</v>
      </c>
      <c r="E23" s="1" t="s">
        <v>20</v>
      </c>
      <c r="F23" s="1" t="n">
        <v>6</v>
      </c>
      <c r="G23" s="2" t="s">
        <v>28</v>
      </c>
      <c r="H23" s="1" t="n">
        <v>0.152</v>
      </c>
      <c r="I23" s="1" t="n">
        <v>0.248310477716698</v>
      </c>
      <c r="J23" s="1" t="n">
        <v>0.316127817908665</v>
      </c>
      <c r="K23" s="1" t="n">
        <f aca="false">J23-I23</f>
        <v>0.0678173401919663</v>
      </c>
      <c r="L23" s="1" t="n">
        <v>0.737872088358781</v>
      </c>
    </row>
    <row r="24" customFormat="false" ht="15" hidden="false" customHeight="false" outlineLevel="0" collapsed="false">
      <c r="A24" s="1" t="s">
        <v>35</v>
      </c>
      <c r="B24" s="1" t="s">
        <v>36</v>
      </c>
      <c r="C24" s="1" t="s">
        <v>37</v>
      </c>
      <c r="D24" s="1" t="s">
        <v>19</v>
      </c>
      <c r="E24" s="1" t="s">
        <v>20</v>
      </c>
      <c r="F24" s="1" t="n">
        <v>6</v>
      </c>
      <c r="G24" s="2" t="s">
        <v>22</v>
      </c>
      <c r="H24" s="1" t="n">
        <v>0.1477</v>
      </c>
      <c r="I24" s="1" t="n">
        <v>0.241246747351262</v>
      </c>
      <c r="J24" s="1" t="n">
        <v>0.286319137561963</v>
      </c>
      <c r="K24" s="1" t="n">
        <f aca="false">J24-I24</f>
        <v>0.0450723902107005</v>
      </c>
      <c r="L24" s="1" t="n">
        <v>0.737872088358781</v>
      </c>
    </row>
    <row r="25" customFormat="false" ht="15" hidden="false" customHeight="false" outlineLevel="0" collapsed="false">
      <c r="A25" s="1" t="s">
        <v>38</v>
      </c>
      <c r="B25" s="1" t="s">
        <v>39</v>
      </c>
      <c r="C25" s="1" t="s">
        <v>40</v>
      </c>
      <c r="D25" s="1" t="s">
        <v>19</v>
      </c>
      <c r="E25" s="1" t="s">
        <v>20</v>
      </c>
      <c r="F25" s="1" t="n">
        <v>8</v>
      </c>
      <c r="G25" s="2" t="s">
        <v>23</v>
      </c>
      <c r="H25" s="1" t="n">
        <v>0.201</v>
      </c>
      <c r="I25" s="1" t="n">
        <v>0.319982346435546</v>
      </c>
      <c r="J25" s="1" t="n">
        <v>0.373420474057128</v>
      </c>
      <c r="K25" s="1" t="n">
        <f aca="false">J25-I25</f>
        <v>0.0534381276215818</v>
      </c>
      <c r="L25" s="1" t="n">
        <v>0.731664951542418</v>
      </c>
    </row>
    <row r="26" customFormat="false" ht="15" hidden="false" customHeight="false" outlineLevel="0" collapsed="false">
      <c r="A26" s="1" t="s">
        <v>38</v>
      </c>
      <c r="B26" s="1" t="s">
        <v>39</v>
      </c>
      <c r="C26" s="1" t="s">
        <v>40</v>
      </c>
      <c r="D26" s="1" t="s">
        <v>19</v>
      </c>
      <c r="E26" s="1" t="s">
        <v>20</v>
      </c>
      <c r="F26" s="1" t="n">
        <v>8</v>
      </c>
      <c r="G26" s="2" t="s">
        <v>21</v>
      </c>
      <c r="H26" s="1" t="n">
        <v>0.1781</v>
      </c>
      <c r="I26" s="1" t="n">
        <v>0.283534392905811</v>
      </c>
      <c r="J26" s="1" t="n">
        <v>0.322774627471973</v>
      </c>
      <c r="K26" s="1" t="n">
        <f aca="false">J26-I26</f>
        <v>0.0392402345661621</v>
      </c>
      <c r="L26" s="1" t="n">
        <v>0.731664951542418</v>
      </c>
    </row>
    <row r="27" customFormat="false" ht="15" hidden="false" customHeight="false" outlineLevel="0" collapsed="false">
      <c r="A27" s="1" t="s">
        <v>38</v>
      </c>
      <c r="B27" s="1" t="s">
        <v>39</v>
      </c>
      <c r="C27" s="1" t="s">
        <v>40</v>
      </c>
      <c r="D27" s="1" t="s">
        <v>19</v>
      </c>
      <c r="E27" s="1" t="s">
        <v>20</v>
      </c>
      <c r="F27" s="1" t="n">
        <v>8</v>
      </c>
      <c r="G27" s="2" t="s">
        <v>24</v>
      </c>
      <c r="H27" s="1" t="n">
        <v>0.1688</v>
      </c>
      <c r="I27" s="1" t="n">
        <v>0.268703123477025</v>
      </c>
      <c r="J27" s="1" t="n">
        <v>0.28503382051597</v>
      </c>
      <c r="K27" s="1" t="n">
        <f aca="false">J27-I27</f>
        <v>0.0163306970389453</v>
      </c>
      <c r="L27" s="1" t="n">
        <v>0.731664951542418</v>
      </c>
    </row>
    <row r="28" customFormat="false" ht="15" hidden="false" customHeight="false" outlineLevel="0" collapsed="false">
      <c r="A28" s="1" t="s">
        <v>38</v>
      </c>
      <c r="B28" s="1" t="s">
        <v>39</v>
      </c>
      <c r="C28" s="1" t="s">
        <v>40</v>
      </c>
      <c r="D28" s="1" t="s">
        <v>19</v>
      </c>
      <c r="E28" s="1" t="s">
        <v>20</v>
      </c>
      <c r="F28" s="1" t="n">
        <v>8</v>
      </c>
      <c r="G28" s="2" t="s">
        <v>41</v>
      </c>
      <c r="H28" s="1" t="n">
        <v>0.1532</v>
      </c>
      <c r="I28" s="1" t="n">
        <v>0.243813929541673</v>
      </c>
      <c r="J28" s="1" t="n">
        <v>0.307873950033502</v>
      </c>
      <c r="K28" s="1" t="n">
        <f aca="false">J28-I28</f>
        <v>0.064060020491829</v>
      </c>
      <c r="L28" s="1" t="n">
        <v>0.731664951542418</v>
      </c>
    </row>
    <row r="29" customFormat="false" ht="15" hidden="false" customHeight="false" outlineLevel="0" collapsed="false">
      <c r="A29" s="1" t="s">
        <v>38</v>
      </c>
      <c r="B29" s="1" t="s">
        <v>39</v>
      </c>
      <c r="C29" s="1" t="s">
        <v>40</v>
      </c>
      <c r="D29" s="1" t="s">
        <v>19</v>
      </c>
      <c r="E29" s="1" t="s">
        <v>20</v>
      </c>
      <c r="F29" s="1" t="n">
        <v>8</v>
      </c>
      <c r="G29" s="2" t="s">
        <v>22</v>
      </c>
      <c r="H29" s="1" t="n">
        <v>0.151</v>
      </c>
      <c r="I29" s="1" t="n">
        <v>0.240293847492691</v>
      </c>
      <c r="J29" s="1" t="n">
        <v>0.278262677939059</v>
      </c>
      <c r="K29" s="1" t="n">
        <f aca="false">J29-I29</f>
        <v>0.0379688304463686</v>
      </c>
      <c r="L29" s="1" t="n">
        <v>0.731664951542418</v>
      </c>
    </row>
    <row r="30" customFormat="false" ht="15" hidden="false" customHeight="false" outlineLevel="0" collapsed="false">
      <c r="A30" s="1" t="s">
        <v>38</v>
      </c>
      <c r="B30" s="1" t="s">
        <v>39</v>
      </c>
      <c r="C30" s="1" t="s">
        <v>40</v>
      </c>
      <c r="D30" s="1" t="s">
        <v>19</v>
      </c>
      <c r="E30" s="1" t="s">
        <v>20</v>
      </c>
      <c r="F30" s="1" t="n">
        <v>8</v>
      </c>
      <c r="G30" s="2" t="s">
        <v>29</v>
      </c>
      <c r="H30" s="1" t="n">
        <v>0.1478</v>
      </c>
      <c r="I30" s="1" t="n">
        <v>0.23530599072706</v>
      </c>
      <c r="J30" s="1" t="n">
        <v>0.279577863995243</v>
      </c>
      <c r="K30" s="1" t="n">
        <f aca="false">J30-I30</f>
        <v>0.0442718732681823</v>
      </c>
      <c r="L30" s="1" t="n">
        <v>0.731664951542418</v>
      </c>
    </row>
    <row r="31" customFormat="false" ht="15" hidden="false" customHeight="false" outlineLevel="0" collapsed="false">
      <c r="A31" s="1" t="s">
        <v>42</v>
      </c>
      <c r="B31" s="1" t="s">
        <v>43</v>
      </c>
      <c r="C31" s="1" t="s">
        <v>44</v>
      </c>
      <c r="D31" s="1" t="s">
        <v>19</v>
      </c>
      <c r="E31" s="1" t="s">
        <v>20</v>
      </c>
      <c r="F31" s="1" t="n">
        <v>10</v>
      </c>
      <c r="G31" s="2" t="s">
        <v>22</v>
      </c>
      <c r="H31" s="1" t="n">
        <v>0.2051</v>
      </c>
      <c r="I31" s="1" t="n">
        <v>0.300397549340457</v>
      </c>
      <c r="J31" s="1" t="n">
        <v>0.256141651783767</v>
      </c>
      <c r="K31" s="1" t="n">
        <f aca="false">J31-I31</f>
        <v>-0.0442558975566896</v>
      </c>
      <c r="L31" s="1" t="n">
        <v>0.72767431707301</v>
      </c>
    </row>
    <row r="32" customFormat="false" ht="15" hidden="false" customHeight="false" outlineLevel="0" collapsed="false">
      <c r="A32" s="1" t="s">
        <v>42</v>
      </c>
      <c r="B32" s="1" t="s">
        <v>43</v>
      </c>
      <c r="C32" s="1" t="s">
        <v>44</v>
      </c>
      <c r="D32" s="1" t="s">
        <v>19</v>
      </c>
      <c r="E32" s="1" t="s">
        <v>20</v>
      </c>
      <c r="F32" s="1" t="n">
        <v>10</v>
      </c>
      <c r="G32" s="2" t="s">
        <v>23</v>
      </c>
      <c r="H32" s="1" t="n">
        <v>0.1819</v>
      </c>
      <c r="I32" s="1" t="n">
        <v>0.266437951977965</v>
      </c>
      <c r="J32" s="1" t="n">
        <v>0.267250747370899</v>
      </c>
      <c r="K32" s="1" t="n">
        <f aca="false">J32-I32</f>
        <v>0.000812795392933663</v>
      </c>
      <c r="L32" s="1" t="n">
        <v>0.72767431707301</v>
      </c>
    </row>
    <row r="33" customFormat="false" ht="15" hidden="false" customHeight="false" outlineLevel="0" collapsed="false">
      <c r="A33" s="1" t="s">
        <v>42</v>
      </c>
      <c r="B33" s="1" t="s">
        <v>43</v>
      </c>
      <c r="C33" s="1" t="s">
        <v>44</v>
      </c>
      <c r="D33" s="1" t="s">
        <v>19</v>
      </c>
      <c r="E33" s="1" t="s">
        <v>20</v>
      </c>
      <c r="F33" s="1" t="n">
        <v>10</v>
      </c>
      <c r="G33" s="2" t="s">
        <v>21</v>
      </c>
      <c r="H33" s="1" t="n">
        <v>0.1802</v>
      </c>
      <c r="I33" s="1" t="n">
        <v>0.264016035786733</v>
      </c>
      <c r="J33" s="1" t="n">
        <v>0.229940819742037</v>
      </c>
      <c r="K33" s="1" t="n">
        <f aca="false">J33-I33</f>
        <v>-0.0340752160446953</v>
      </c>
      <c r="L33" s="1" t="n">
        <v>0.72767431707301</v>
      </c>
    </row>
    <row r="34" customFormat="false" ht="15" hidden="false" customHeight="false" outlineLevel="0" collapsed="false">
      <c r="A34" s="1" t="s">
        <v>42</v>
      </c>
      <c r="B34" s="1" t="s">
        <v>43</v>
      </c>
      <c r="C34" s="1" t="s">
        <v>44</v>
      </c>
      <c r="D34" s="1" t="s">
        <v>19</v>
      </c>
      <c r="E34" s="1" t="s">
        <v>20</v>
      </c>
      <c r="F34" s="1" t="n">
        <v>10</v>
      </c>
      <c r="G34" s="2" t="s">
        <v>41</v>
      </c>
      <c r="H34" s="1" t="n">
        <v>0.1704</v>
      </c>
      <c r="I34" s="1" t="n">
        <v>0.249578265325239</v>
      </c>
      <c r="J34" s="1" t="n">
        <v>0.215421662159523</v>
      </c>
      <c r="K34" s="1" t="n">
        <f aca="false">J34-I34</f>
        <v>-0.034156603165716</v>
      </c>
      <c r="L34" s="1" t="n">
        <v>0.72767431707301</v>
      </c>
    </row>
    <row r="35" customFormat="false" ht="15" hidden="false" customHeight="false" outlineLevel="0" collapsed="false">
      <c r="A35" s="1" t="s">
        <v>42</v>
      </c>
      <c r="B35" s="1" t="s">
        <v>43</v>
      </c>
      <c r="C35" s="1" t="s">
        <v>44</v>
      </c>
      <c r="D35" s="1" t="s">
        <v>19</v>
      </c>
      <c r="E35" s="1" t="s">
        <v>20</v>
      </c>
      <c r="F35" s="1" t="n">
        <v>10</v>
      </c>
      <c r="G35" s="2" t="s">
        <v>29</v>
      </c>
      <c r="H35" s="1" t="n">
        <v>0.1625</v>
      </c>
      <c r="I35" s="1" t="n">
        <v>0.237977833950958</v>
      </c>
      <c r="J35" s="1" t="n">
        <v>0.203315075300594</v>
      </c>
      <c r="K35" s="1" t="n">
        <f aca="false">J35-I35</f>
        <v>-0.0346627586503641</v>
      </c>
      <c r="L35" s="1" t="n">
        <v>0.72767431707301</v>
      </c>
    </row>
    <row r="36" customFormat="false" ht="15" hidden="false" customHeight="false" outlineLevel="0" collapsed="false">
      <c r="A36" s="1" t="s">
        <v>42</v>
      </c>
      <c r="B36" s="1" t="s">
        <v>43</v>
      </c>
      <c r="C36" s="1" t="s">
        <v>44</v>
      </c>
      <c r="D36" s="1" t="s">
        <v>19</v>
      </c>
      <c r="E36" s="1" t="s">
        <v>20</v>
      </c>
      <c r="F36" s="1" t="n">
        <v>10</v>
      </c>
      <c r="G36" s="2" t="s">
        <v>24</v>
      </c>
      <c r="H36" s="1" t="n">
        <v>0.1</v>
      </c>
      <c r="I36" s="1" t="n">
        <v>0.201505799076229</v>
      </c>
      <c r="J36" s="1" t="n">
        <v>0.160765331606254</v>
      </c>
      <c r="K36" s="1" t="n">
        <f aca="false">J36-I36</f>
        <v>-0.0407404674699747</v>
      </c>
      <c r="L36" s="1" t="n">
        <v>0.72767431707301</v>
      </c>
    </row>
    <row r="37" customFormat="false" ht="15" hidden="false" customHeight="false" outlineLevel="0" collapsed="false">
      <c r="A37" s="1" t="s">
        <v>45</v>
      </c>
      <c r="B37" s="1" t="s">
        <v>46</v>
      </c>
      <c r="C37" s="1" t="s">
        <v>47</v>
      </c>
      <c r="D37" s="1" t="s">
        <v>19</v>
      </c>
      <c r="E37" s="1" t="s">
        <v>20</v>
      </c>
      <c r="F37" s="1" t="n">
        <v>12</v>
      </c>
      <c r="G37" s="2" t="s">
        <v>28</v>
      </c>
      <c r="H37" s="1" t="n">
        <v>0.3038</v>
      </c>
      <c r="I37" s="1" t="n">
        <v>0.207430870897203</v>
      </c>
      <c r="J37" s="1" t="n">
        <v>0.291600906555782</v>
      </c>
      <c r="K37" s="1" t="n">
        <f aca="false">J37-I37</f>
        <v>0.0841700356585781</v>
      </c>
      <c r="L37" s="1" t="n">
        <v>0.785159172931949</v>
      </c>
    </row>
    <row r="38" customFormat="false" ht="15" hidden="false" customHeight="false" outlineLevel="0" collapsed="false">
      <c r="A38" s="1" t="s">
        <v>45</v>
      </c>
      <c r="B38" s="1" t="s">
        <v>46</v>
      </c>
      <c r="C38" s="1" t="s">
        <v>47</v>
      </c>
      <c r="D38" s="1" t="s">
        <v>19</v>
      </c>
      <c r="E38" s="1" t="s">
        <v>20</v>
      </c>
      <c r="F38" s="1" t="n">
        <v>12</v>
      </c>
      <c r="G38" s="2" t="s">
        <v>22</v>
      </c>
      <c r="H38" s="1" t="n">
        <v>0.2991</v>
      </c>
      <c r="I38" s="1" t="n">
        <v>0.204249991655291</v>
      </c>
      <c r="J38" s="1" t="n">
        <v>0.228016985955942</v>
      </c>
      <c r="K38" s="1" t="n">
        <f aca="false">J38-I38</f>
        <v>0.0237669943006505</v>
      </c>
      <c r="L38" s="1" t="n">
        <v>0.785159172931949</v>
      </c>
    </row>
    <row r="39" customFormat="false" ht="15" hidden="false" customHeight="false" outlineLevel="0" collapsed="false">
      <c r="A39" s="1" t="s">
        <v>45</v>
      </c>
      <c r="B39" s="1" t="s">
        <v>46</v>
      </c>
      <c r="C39" s="1" t="s">
        <v>47</v>
      </c>
      <c r="D39" s="1" t="s">
        <v>19</v>
      </c>
      <c r="E39" s="1" t="s">
        <v>20</v>
      </c>
      <c r="F39" s="1" t="n">
        <v>12</v>
      </c>
      <c r="G39" s="2" t="s">
        <v>23</v>
      </c>
      <c r="H39" s="1" t="n">
        <v>0.2971</v>
      </c>
      <c r="I39" s="1" t="n">
        <v>0.202900360312339</v>
      </c>
      <c r="J39" s="1" t="n">
        <v>0.321799001887131</v>
      </c>
      <c r="K39" s="1" t="n">
        <f aca="false">J39-I39</f>
        <v>0.118898641574792</v>
      </c>
      <c r="L39" s="1" t="n">
        <v>0.785159172931949</v>
      </c>
    </row>
    <row r="40" customFormat="false" ht="15" hidden="false" customHeight="false" outlineLevel="0" collapsed="false">
      <c r="A40" s="1" t="s">
        <v>45</v>
      </c>
      <c r="B40" s="1" t="s">
        <v>46</v>
      </c>
      <c r="C40" s="1" t="s">
        <v>47</v>
      </c>
      <c r="D40" s="1" t="s">
        <v>19</v>
      </c>
      <c r="E40" s="1" t="s">
        <v>20</v>
      </c>
      <c r="F40" s="1" t="n">
        <v>12</v>
      </c>
      <c r="G40" s="2" t="s">
        <v>24</v>
      </c>
      <c r="H40" s="1" t="n">
        <v>0.1</v>
      </c>
      <c r="I40" s="1" t="n">
        <v>0.103661790501582</v>
      </c>
      <c r="J40" s="1" t="n">
        <v>0.210280613801679</v>
      </c>
      <c r="K40" s="1" t="n">
        <f aca="false">J40-I40</f>
        <v>0.106618823300097</v>
      </c>
      <c r="L40" s="1" t="n">
        <v>0.785159172931949</v>
      </c>
    </row>
    <row r="41" customFormat="false" ht="15" hidden="false" customHeight="false" outlineLevel="0" collapsed="false">
      <c r="A41" s="1" t="s">
        <v>48</v>
      </c>
      <c r="B41" s="1" t="s">
        <v>49</v>
      </c>
      <c r="C41" s="1" t="s">
        <v>50</v>
      </c>
      <c r="D41" s="1" t="s">
        <v>19</v>
      </c>
      <c r="E41" s="1" t="s">
        <v>20</v>
      </c>
      <c r="F41" s="1" t="n">
        <v>14</v>
      </c>
      <c r="G41" s="2" t="s">
        <v>51</v>
      </c>
      <c r="H41" s="1" t="n">
        <v>0.2466</v>
      </c>
      <c r="I41" s="1" t="n">
        <v>0.24487128317422</v>
      </c>
      <c r="J41" s="1" t="n">
        <v>0.268565249244994</v>
      </c>
      <c r="K41" s="1" t="n">
        <f aca="false">J41-I41</f>
        <v>0.0236939660707736</v>
      </c>
      <c r="L41" s="1" t="n">
        <v>0.699365933104337</v>
      </c>
    </row>
    <row r="42" customFormat="false" ht="15" hidden="false" customHeight="false" outlineLevel="0" collapsed="false">
      <c r="A42" s="1" t="s">
        <v>48</v>
      </c>
      <c r="B42" s="1" t="s">
        <v>49</v>
      </c>
      <c r="C42" s="1" t="s">
        <v>50</v>
      </c>
      <c r="D42" s="1" t="s">
        <v>19</v>
      </c>
      <c r="E42" s="1" t="s">
        <v>20</v>
      </c>
      <c r="F42" s="1" t="n">
        <v>14</v>
      </c>
      <c r="G42" s="2" t="s">
        <v>23</v>
      </c>
      <c r="H42" s="1" t="n">
        <v>0.2333</v>
      </c>
      <c r="I42" s="1" t="n">
        <v>0.231637085334189</v>
      </c>
      <c r="J42" s="1" t="n">
        <v>0.315663648902762</v>
      </c>
      <c r="K42" s="1" t="n">
        <f aca="false">J42-I42</f>
        <v>0.0840265635685731</v>
      </c>
      <c r="L42" s="1" t="n">
        <v>0.699365933104337</v>
      </c>
    </row>
    <row r="43" customFormat="false" ht="15" hidden="false" customHeight="false" outlineLevel="0" collapsed="false">
      <c r="A43" s="1" t="s">
        <v>48</v>
      </c>
      <c r="B43" s="1" t="s">
        <v>49</v>
      </c>
      <c r="C43" s="1" t="s">
        <v>50</v>
      </c>
      <c r="D43" s="1" t="s">
        <v>19</v>
      </c>
      <c r="E43" s="1" t="s">
        <v>20</v>
      </c>
      <c r="F43" s="1" t="n">
        <v>14</v>
      </c>
      <c r="G43" s="2" t="s">
        <v>28</v>
      </c>
      <c r="H43" s="1" t="n">
        <v>0.2183</v>
      </c>
      <c r="I43" s="1" t="n">
        <v>0.216737904965824</v>
      </c>
      <c r="J43" s="1" t="n">
        <v>0.325557315851462</v>
      </c>
      <c r="K43" s="1" t="n">
        <f aca="false">J43-I43</f>
        <v>0.108819410885638</v>
      </c>
      <c r="L43" s="1" t="n">
        <v>0.699365933104337</v>
      </c>
    </row>
    <row r="44" customFormat="false" ht="15" hidden="false" customHeight="false" outlineLevel="0" collapsed="false">
      <c r="A44" s="1" t="s">
        <v>48</v>
      </c>
      <c r="B44" s="1" t="s">
        <v>49</v>
      </c>
      <c r="C44" s="1" t="s">
        <v>50</v>
      </c>
      <c r="D44" s="1" t="s">
        <v>19</v>
      </c>
      <c r="E44" s="1" t="s">
        <v>20</v>
      </c>
      <c r="F44" s="1" t="n">
        <v>14</v>
      </c>
      <c r="G44" s="2" t="s">
        <v>41</v>
      </c>
      <c r="H44" s="1" t="n">
        <v>0.2018</v>
      </c>
      <c r="I44" s="1" t="n">
        <v>0.200381106645778</v>
      </c>
      <c r="J44" s="1" t="n">
        <v>0.300927912832921</v>
      </c>
      <c r="K44" s="1" t="n">
        <f aca="false">J44-I44</f>
        <v>0.100546806187143</v>
      </c>
      <c r="L44" s="1" t="n">
        <v>0.699365933104337</v>
      </c>
    </row>
    <row r="45" customFormat="false" ht="15" hidden="false" customHeight="false" outlineLevel="0" collapsed="false">
      <c r="A45" s="1" t="s">
        <v>48</v>
      </c>
      <c r="B45" s="1" t="s">
        <v>49</v>
      </c>
      <c r="C45" s="1" t="s">
        <v>50</v>
      </c>
      <c r="D45" s="1" t="s">
        <v>19</v>
      </c>
      <c r="E45" s="1" t="s">
        <v>20</v>
      </c>
      <c r="F45" s="1" t="n">
        <v>14</v>
      </c>
      <c r="G45" s="2" t="s">
        <v>24</v>
      </c>
      <c r="H45" s="1" t="n">
        <v>0.1</v>
      </c>
      <c r="I45" s="1" t="n">
        <v>0.152636058945734</v>
      </c>
      <c r="J45" s="1" t="n">
        <v>0.219121230776071</v>
      </c>
      <c r="K45" s="1" t="n">
        <f aca="false">J45-I45</f>
        <v>0.066485171830337</v>
      </c>
      <c r="L45" s="1" t="n">
        <v>0.699365933104337</v>
      </c>
    </row>
    <row r="46" customFormat="false" ht="15" hidden="false" customHeight="false" outlineLevel="0" collapsed="false">
      <c r="A46" s="1" t="s">
        <v>52</v>
      </c>
      <c r="B46" s="1" t="s">
        <v>53</v>
      </c>
      <c r="C46" s="1" t="s">
        <v>54</v>
      </c>
      <c r="D46" s="1" t="s">
        <v>19</v>
      </c>
      <c r="E46" s="1" t="s">
        <v>20</v>
      </c>
      <c r="F46" s="1" t="n">
        <v>16</v>
      </c>
      <c r="G46" s="2" t="s">
        <v>28</v>
      </c>
      <c r="H46" s="1" t="n">
        <v>0.9</v>
      </c>
      <c r="I46" s="1" t="n">
        <v>0.216713957186694</v>
      </c>
      <c r="J46" s="1" t="n">
        <v>0.329342598284513</v>
      </c>
      <c r="K46" s="1" t="n">
        <f aca="false">J46-I46</f>
        <v>0.112628641097819</v>
      </c>
      <c r="L46" s="1" t="n">
        <v>0.74686473255493</v>
      </c>
    </row>
    <row r="47" customFormat="false" ht="15" hidden="false" customHeight="false" outlineLevel="0" collapsed="false">
      <c r="A47" s="1" t="s">
        <v>52</v>
      </c>
      <c r="B47" s="1" t="s">
        <v>53</v>
      </c>
      <c r="C47" s="1" t="s">
        <v>54</v>
      </c>
      <c r="D47" s="1" t="s">
        <v>19</v>
      </c>
      <c r="E47" s="1" t="s">
        <v>20</v>
      </c>
      <c r="F47" s="1" t="n">
        <v>16</v>
      </c>
      <c r="G47" s="2" t="s">
        <v>24</v>
      </c>
      <c r="H47" s="1" t="n">
        <v>0.1</v>
      </c>
      <c r="I47" s="1" t="n">
        <v>0.133524688347755</v>
      </c>
      <c r="J47" s="1" t="n">
        <v>0.182988553020201</v>
      </c>
      <c r="K47" s="1" t="n">
        <f aca="false">J47-I47</f>
        <v>0.0494638646724462</v>
      </c>
      <c r="L47" s="1" t="n">
        <v>0.74686473255493</v>
      </c>
    </row>
    <row r="48" customFormat="false" ht="15" hidden="false" customHeight="false" outlineLevel="0" collapsed="false">
      <c r="A48" s="1" t="s">
        <v>55</v>
      </c>
      <c r="B48" s="1" t="s">
        <v>56</v>
      </c>
      <c r="C48" s="1" t="s">
        <v>57</v>
      </c>
      <c r="D48" s="1" t="s">
        <v>19</v>
      </c>
      <c r="E48" s="1" t="s">
        <v>20</v>
      </c>
      <c r="F48" s="1" t="n">
        <v>18</v>
      </c>
      <c r="G48" s="2" t="s">
        <v>28</v>
      </c>
      <c r="H48" s="1" t="n">
        <v>0.2162</v>
      </c>
      <c r="I48" s="1" t="n">
        <v>0.355628755693193</v>
      </c>
      <c r="J48" s="1" t="n">
        <v>0.321872963577688</v>
      </c>
      <c r="K48" s="1" t="n">
        <f aca="false">J48-I48</f>
        <v>-0.0337557921155051</v>
      </c>
      <c r="L48" s="1" t="n">
        <v>0.68571667055349</v>
      </c>
    </row>
    <row r="49" customFormat="false" ht="15" hidden="false" customHeight="false" outlineLevel="0" collapsed="false">
      <c r="A49" s="1" t="s">
        <v>55</v>
      </c>
      <c r="B49" s="1" t="s">
        <v>56</v>
      </c>
      <c r="C49" s="1" t="s">
        <v>57</v>
      </c>
      <c r="D49" s="1" t="s">
        <v>19</v>
      </c>
      <c r="E49" s="1" t="s">
        <v>20</v>
      </c>
      <c r="F49" s="1" t="n">
        <v>18</v>
      </c>
      <c r="G49" s="2" t="s">
        <v>21</v>
      </c>
      <c r="H49" s="1" t="n">
        <v>0.1874</v>
      </c>
      <c r="I49" s="1" t="n">
        <v>0.308232034076332</v>
      </c>
      <c r="J49" s="1" t="n">
        <v>0.324733133024628</v>
      </c>
      <c r="K49" s="1" t="n">
        <f aca="false">J49-I49</f>
        <v>0.0165010989482965</v>
      </c>
      <c r="L49" s="1" t="n">
        <v>0.68571667055349</v>
      </c>
    </row>
    <row r="50" customFormat="false" ht="15" hidden="false" customHeight="false" outlineLevel="0" collapsed="false">
      <c r="A50" s="1" t="s">
        <v>55</v>
      </c>
      <c r="B50" s="1" t="s">
        <v>56</v>
      </c>
      <c r="C50" s="1" t="s">
        <v>57</v>
      </c>
      <c r="D50" s="1" t="s">
        <v>19</v>
      </c>
      <c r="E50" s="1" t="s">
        <v>20</v>
      </c>
      <c r="F50" s="1" t="n">
        <v>18</v>
      </c>
      <c r="G50" s="2" t="s">
        <v>41</v>
      </c>
      <c r="H50" s="1" t="n">
        <v>0.1788</v>
      </c>
      <c r="I50" s="1" t="n">
        <v>0.294101359485492</v>
      </c>
      <c r="J50" s="1" t="n">
        <v>0.282565093228761</v>
      </c>
      <c r="K50" s="1" t="n">
        <f aca="false">J50-I50</f>
        <v>-0.0115362662567303</v>
      </c>
      <c r="L50" s="1" t="n">
        <v>0.68571667055349</v>
      </c>
    </row>
    <row r="51" customFormat="false" ht="15" hidden="false" customHeight="false" outlineLevel="0" collapsed="false">
      <c r="A51" s="1" t="s">
        <v>55</v>
      </c>
      <c r="B51" s="1" t="s">
        <v>56</v>
      </c>
      <c r="C51" s="1" t="s">
        <v>57</v>
      </c>
      <c r="D51" s="1" t="s">
        <v>19</v>
      </c>
      <c r="E51" s="1" t="s">
        <v>20</v>
      </c>
      <c r="F51" s="1" t="n">
        <v>18</v>
      </c>
      <c r="G51" s="2" t="s">
        <v>22</v>
      </c>
      <c r="H51" s="1" t="n">
        <v>0.1641</v>
      </c>
      <c r="I51" s="1" t="n">
        <v>0.269948561582708</v>
      </c>
      <c r="J51" s="1" t="n">
        <v>0.28151204430283</v>
      </c>
      <c r="K51" s="1" t="n">
        <f aca="false">J51-I51</f>
        <v>0.0115634827201219</v>
      </c>
      <c r="L51" s="1" t="n">
        <v>0.68571667055349</v>
      </c>
    </row>
    <row r="52" customFormat="false" ht="15" hidden="false" customHeight="false" outlineLevel="0" collapsed="false">
      <c r="A52" s="1" t="s">
        <v>55</v>
      </c>
      <c r="B52" s="1" t="s">
        <v>56</v>
      </c>
      <c r="C52" s="1" t="s">
        <v>57</v>
      </c>
      <c r="D52" s="1" t="s">
        <v>19</v>
      </c>
      <c r="E52" s="1" t="s">
        <v>20</v>
      </c>
      <c r="F52" s="1" t="n">
        <v>18</v>
      </c>
      <c r="G52" s="2" t="s">
        <v>23</v>
      </c>
      <c r="H52" s="1" t="n">
        <v>0.1535</v>
      </c>
      <c r="I52" s="1" t="n">
        <v>0.252500490113689</v>
      </c>
      <c r="J52" s="1" t="n">
        <v>0.333772099582715</v>
      </c>
      <c r="K52" s="1" t="n">
        <f aca="false">J52-I52</f>
        <v>0.081271609469026</v>
      </c>
      <c r="L52" s="1" t="n">
        <v>0.68571667055349</v>
      </c>
    </row>
    <row r="53" customFormat="false" ht="15" hidden="false" customHeight="false" outlineLevel="0" collapsed="false">
      <c r="A53" s="1" t="s">
        <v>55</v>
      </c>
      <c r="B53" s="1" t="s">
        <v>56</v>
      </c>
      <c r="C53" s="1" t="s">
        <v>57</v>
      </c>
      <c r="D53" s="1" t="s">
        <v>19</v>
      </c>
      <c r="E53" s="1" t="s">
        <v>20</v>
      </c>
      <c r="F53" s="1" t="n">
        <v>18</v>
      </c>
      <c r="G53" s="2" t="s">
        <v>24</v>
      </c>
      <c r="H53" s="1" t="n">
        <v>0.1</v>
      </c>
      <c r="I53" s="1" t="n">
        <v>0.198248361299768</v>
      </c>
      <c r="J53" s="1" t="n">
        <v>0.279391701604264</v>
      </c>
      <c r="K53" s="1" t="n">
        <f aca="false">J53-I53</f>
        <v>0.0811433403044957</v>
      </c>
      <c r="L53" s="1" t="n">
        <v>0.68571667055349</v>
      </c>
    </row>
    <row r="54" customFormat="false" ht="15" hidden="false" customHeight="false" outlineLevel="0" collapsed="false">
      <c r="A54" s="1" t="s">
        <v>58</v>
      </c>
      <c r="B54" s="1" t="s">
        <v>59</v>
      </c>
      <c r="C54" s="1" t="s">
        <v>60</v>
      </c>
      <c r="D54" s="1" t="s">
        <v>19</v>
      </c>
      <c r="E54" s="1" t="s">
        <v>20</v>
      </c>
      <c r="F54" s="1" t="n">
        <v>20</v>
      </c>
      <c r="G54" s="2" t="s">
        <v>24</v>
      </c>
      <c r="H54" s="1" t="n">
        <v>0.1811</v>
      </c>
      <c r="I54" s="1" t="n">
        <v>0.289147262413725</v>
      </c>
      <c r="J54" s="1" t="n">
        <v>0.305082486322715</v>
      </c>
      <c r="K54" s="1" t="n">
        <f aca="false">J54-I54</f>
        <v>0.0159352239089895</v>
      </c>
      <c r="L54" s="1" t="n">
        <v>0.765114909147396</v>
      </c>
    </row>
    <row r="55" customFormat="false" ht="15" hidden="false" customHeight="false" outlineLevel="0" collapsed="false">
      <c r="A55" s="1" t="s">
        <v>58</v>
      </c>
      <c r="B55" s="1" t="s">
        <v>59</v>
      </c>
      <c r="C55" s="1" t="s">
        <v>60</v>
      </c>
      <c r="D55" s="1" t="s">
        <v>19</v>
      </c>
      <c r="E55" s="1" t="s">
        <v>20</v>
      </c>
      <c r="F55" s="1" t="n">
        <v>20</v>
      </c>
      <c r="G55" s="2" t="s">
        <v>23</v>
      </c>
      <c r="H55" s="1" t="n">
        <v>0.1757</v>
      </c>
      <c r="I55" s="1" t="n">
        <v>0.280580757712397</v>
      </c>
      <c r="J55" s="1" t="n">
        <v>0.341202876484842</v>
      </c>
      <c r="K55" s="1" t="n">
        <f aca="false">J55-I55</f>
        <v>0.0606221187724453</v>
      </c>
      <c r="L55" s="1" t="n">
        <v>0.765114909147396</v>
      </c>
    </row>
    <row r="56" customFormat="false" ht="15" hidden="false" customHeight="false" outlineLevel="0" collapsed="false">
      <c r="A56" s="1" t="s">
        <v>58</v>
      </c>
      <c r="B56" s="1" t="s">
        <v>59</v>
      </c>
      <c r="C56" s="1" t="s">
        <v>60</v>
      </c>
      <c r="D56" s="1" t="s">
        <v>19</v>
      </c>
      <c r="E56" s="1" t="s">
        <v>20</v>
      </c>
      <c r="F56" s="1" t="n">
        <v>20</v>
      </c>
      <c r="G56" s="2" t="s">
        <v>21</v>
      </c>
      <c r="H56" s="1" t="n">
        <v>0.1669</v>
      </c>
      <c r="I56" s="1" t="n">
        <v>0.266494498878963</v>
      </c>
      <c r="J56" s="1" t="n">
        <v>0.309983065109327</v>
      </c>
      <c r="K56" s="1" t="n">
        <f aca="false">J56-I56</f>
        <v>0.0434885662303644</v>
      </c>
      <c r="L56" s="1" t="n">
        <v>0.765114909147396</v>
      </c>
    </row>
    <row r="57" customFormat="false" ht="15" hidden="false" customHeight="false" outlineLevel="0" collapsed="false">
      <c r="A57" s="1" t="s">
        <v>58</v>
      </c>
      <c r="B57" s="1" t="s">
        <v>59</v>
      </c>
      <c r="C57" s="1" t="s">
        <v>60</v>
      </c>
      <c r="D57" s="1" t="s">
        <v>19</v>
      </c>
      <c r="E57" s="1" t="s">
        <v>20</v>
      </c>
      <c r="F57" s="1" t="n">
        <v>20</v>
      </c>
      <c r="G57" s="2" t="s">
        <v>22</v>
      </c>
      <c r="H57" s="1" t="n">
        <v>0.1612</v>
      </c>
      <c r="I57" s="1" t="n">
        <v>0.257426959294271</v>
      </c>
      <c r="J57" s="1" t="n">
        <v>0.248772750386396</v>
      </c>
      <c r="K57" s="1" t="n">
        <f aca="false">J57-I57</f>
        <v>-0.0086542089078743</v>
      </c>
      <c r="L57" s="1" t="n">
        <v>0.765114909147396</v>
      </c>
    </row>
    <row r="58" customFormat="false" ht="15" hidden="false" customHeight="false" outlineLevel="0" collapsed="false">
      <c r="A58" s="1" t="s">
        <v>58</v>
      </c>
      <c r="B58" s="1" t="s">
        <v>59</v>
      </c>
      <c r="C58" s="1" t="s">
        <v>60</v>
      </c>
      <c r="D58" s="1" t="s">
        <v>19</v>
      </c>
      <c r="E58" s="1" t="s">
        <v>20</v>
      </c>
      <c r="F58" s="1" t="n">
        <v>20</v>
      </c>
      <c r="G58" s="2" t="s">
        <v>28</v>
      </c>
      <c r="H58" s="1" t="n">
        <v>0.161</v>
      </c>
      <c r="I58" s="1" t="n">
        <v>0.257157754846342</v>
      </c>
      <c r="J58" s="1" t="n">
        <v>0.282584406251792</v>
      </c>
      <c r="K58" s="1" t="n">
        <f aca="false">J58-I58</f>
        <v>0.0254266514054501</v>
      </c>
      <c r="L58" s="1" t="n">
        <v>0.765114909147396</v>
      </c>
    </row>
    <row r="59" customFormat="false" ht="15" hidden="false" customHeight="false" outlineLevel="0" collapsed="false">
      <c r="A59" s="1" t="s">
        <v>58</v>
      </c>
      <c r="B59" s="1" t="s">
        <v>59</v>
      </c>
      <c r="C59" s="1" t="s">
        <v>60</v>
      </c>
      <c r="D59" s="1" t="s">
        <v>19</v>
      </c>
      <c r="E59" s="1" t="s">
        <v>20</v>
      </c>
      <c r="F59" s="1" t="n">
        <v>20</v>
      </c>
      <c r="G59" s="2" t="s">
        <v>33</v>
      </c>
      <c r="H59" s="1" t="n">
        <v>0.154</v>
      </c>
      <c r="I59" s="1" t="n">
        <v>0.245983999177354</v>
      </c>
      <c r="J59" s="1" t="n">
        <v>0.265732215969191</v>
      </c>
      <c r="K59" s="1" t="n">
        <f aca="false">J59-I59</f>
        <v>0.019748216791837</v>
      </c>
      <c r="L59" s="1" t="n">
        <v>0.765114909147396</v>
      </c>
    </row>
    <row r="60" customFormat="false" ht="15" hidden="false" customHeight="false" outlineLevel="0" collapsed="false">
      <c r="A60" s="1" t="s">
        <v>61</v>
      </c>
      <c r="B60" s="1" t="s">
        <v>62</v>
      </c>
      <c r="C60" s="1" t="s">
        <v>63</v>
      </c>
      <c r="D60" s="1" t="s">
        <v>19</v>
      </c>
      <c r="E60" s="1" t="s">
        <v>20</v>
      </c>
      <c r="F60" s="1" t="n">
        <v>22</v>
      </c>
      <c r="G60" s="2" t="s">
        <v>23</v>
      </c>
      <c r="H60" s="1" t="n">
        <v>0.1835</v>
      </c>
      <c r="I60" s="1" t="n">
        <v>0.268875271293279</v>
      </c>
      <c r="J60" s="1" t="n">
        <v>0.341943840118249</v>
      </c>
      <c r="K60" s="1" t="n">
        <f aca="false">J60-I60</f>
        <v>0.0730685688249696</v>
      </c>
      <c r="L60" s="1" t="n">
        <v>0.736644236479232</v>
      </c>
    </row>
    <row r="61" customFormat="false" ht="15" hidden="false" customHeight="false" outlineLevel="0" collapsed="false">
      <c r="A61" s="1" t="s">
        <v>61</v>
      </c>
      <c r="B61" s="1" t="s">
        <v>62</v>
      </c>
      <c r="C61" s="1" t="s">
        <v>63</v>
      </c>
      <c r="D61" s="1" t="s">
        <v>19</v>
      </c>
      <c r="E61" s="1" t="s">
        <v>20</v>
      </c>
      <c r="F61" s="1" t="n">
        <v>22</v>
      </c>
      <c r="G61" s="2" t="s">
        <v>24</v>
      </c>
      <c r="H61" s="1" t="n">
        <v>0.1799</v>
      </c>
      <c r="I61" s="1" t="n">
        <v>0.263609623025816</v>
      </c>
      <c r="J61" s="1" t="n">
        <v>0.322201647271633</v>
      </c>
      <c r="K61" s="1" t="n">
        <f aca="false">J61-I61</f>
        <v>0.0585920242458171</v>
      </c>
      <c r="L61" s="1" t="n">
        <v>0.736644236479232</v>
      </c>
    </row>
    <row r="62" customFormat="false" ht="15" hidden="false" customHeight="false" outlineLevel="0" collapsed="false">
      <c r="A62" s="1" t="s">
        <v>61</v>
      </c>
      <c r="B62" s="1" t="s">
        <v>62</v>
      </c>
      <c r="C62" s="1" t="s">
        <v>63</v>
      </c>
      <c r="D62" s="1" t="s">
        <v>19</v>
      </c>
      <c r="E62" s="1" t="s">
        <v>20</v>
      </c>
      <c r="F62" s="1" t="n">
        <v>22</v>
      </c>
      <c r="G62" s="2" t="s">
        <v>21</v>
      </c>
      <c r="H62" s="1" t="n">
        <v>0.1719</v>
      </c>
      <c r="I62" s="1" t="n">
        <v>0.25200863694478</v>
      </c>
      <c r="J62" s="1" t="n">
        <v>0.287174293261756</v>
      </c>
      <c r="K62" s="1" t="n">
        <f aca="false">J62-I62</f>
        <v>0.0351656563169762</v>
      </c>
      <c r="L62" s="1" t="n">
        <v>0.736644236479232</v>
      </c>
    </row>
    <row r="63" customFormat="false" ht="15" hidden="false" customHeight="false" outlineLevel="0" collapsed="false">
      <c r="A63" s="1" t="s">
        <v>61</v>
      </c>
      <c r="B63" s="1" t="s">
        <v>62</v>
      </c>
      <c r="C63" s="1" t="s">
        <v>63</v>
      </c>
      <c r="D63" s="1" t="s">
        <v>19</v>
      </c>
      <c r="E63" s="1" t="s">
        <v>20</v>
      </c>
      <c r="F63" s="1" t="n">
        <v>22</v>
      </c>
      <c r="G63" s="2" t="s">
        <v>33</v>
      </c>
      <c r="H63" s="1" t="n">
        <v>0.1642</v>
      </c>
      <c r="I63" s="1" t="n">
        <v>0.240634159652372</v>
      </c>
      <c r="J63" s="1" t="n">
        <v>0.27783237770089</v>
      </c>
      <c r="K63" s="1" t="n">
        <f aca="false">J63-I63</f>
        <v>0.0371982180485179</v>
      </c>
      <c r="L63" s="1" t="n">
        <v>0.736644236479232</v>
      </c>
    </row>
    <row r="64" customFormat="false" ht="15" hidden="false" customHeight="false" outlineLevel="0" collapsed="false">
      <c r="A64" s="1" t="s">
        <v>61</v>
      </c>
      <c r="B64" s="1" t="s">
        <v>62</v>
      </c>
      <c r="C64" s="1" t="s">
        <v>63</v>
      </c>
      <c r="D64" s="1" t="s">
        <v>19</v>
      </c>
      <c r="E64" s="1" t="s">
        <v>20</v>
      </c>
      <c r="F64" s="1" t="n">
        <v>22</v>
      </c>
      <c r="G64" s="2" t="s">
        <v>51</v>
      </c>
      <c r="H64" s="1" t="n">
        <v>0.1518</v>
      </c>
      <c r="I64" s="1" t="n">
        <v>0.222466495541866</v>
      </c>
      <c r="J64" s="1" t="n">
        <v>0.304871166168776</v>
      </c>
      <c r="K64" s="1" t="n">
        <f aca="false">J64-I64</f>
        <v>0.0824046706269103</v>
      </c>
      <c r="L64" s="1" t="n">
        <v>0.736644236479232</v>
      </c>
    </row>
    <row r="65" customFormat="false" ht="15" hidden="false" customHeight="false" outlineLevel="0" collapsed="false">
      <c r="A65" s="1" t="s">
        <v>61</v>
      </c>
      <c r="B65" s="1" t="s">
        <v>62</v>
      </c>
      <c r="C65" s="1" t="s">
        <v>63</v>
      </c>
      <c r="D65" s="1" t="s">
        <v>19</v>
      </c>
      <c r="E65" s="1" t="s">
        <v>20</v>
      </c>
      <c r="F65" s="1" t="n">
        <v>22</v>
      </c>
      <c r="G65" s="2" t="s">
        <v>28</v>
      </c>
      <c r="H65" s="1" t="n">
        <v>0.1488</v>
      </c>
      <c r="I65" s="1" t="n">
        <v>0.218032866660178</v>
      </c>
      <c r="J65" s="1" t="n">
        <v>0.321885792056428</v>
      </c>
      <c r="K65" s="1" t="n">
        <f aca="false">J65-I65</f>
        <v>0.103852925396249</v>
      </c>
      <c r="L65" s="1" t="n">
        <v>0.736644236479232</v>
      </c>
    </row>
    <row r="66" customFormat="false" ht="15" hidden="false" customHeight="false" outlineLevel="0" collapsed="false">
      <c r="A66" s="1" t="s">
        <v>64</v>
      </c>
      <c r="B66" s="1" t="s">
        <v>65</v>
      </c>
      <c r="C66" s="1" t="s">
        <v>66</v>
      </c>
      <c r="D66" s="1" t="s">
        <v>19</v>
      </c>
      <c r="E66" s="1" t="s">
        <v>20</v>
      </c>
      <c r="F66" s="1" t="n">
        <v>24</v>
      </c>
      <c r="G66" s="2" t="s">
        <v>21</v>
      </c>
      <c r="H66" s="1" t="n">
        <v>0.1955</v>
      </c>
      <c r="I66" s="1" t="n">
        <v>0.251074234109625</v>
      </c>
      <c r="J66" s="1" t="n">
        <v>0.32741508022798</v>
      </c>
      <c r="K66" s="1" t="n">
        <f aca="false">J66-I66</f>
        <v>0.0763408461183548</v>
      </c>
      <c r="L66" s="1" t="n">
        <v>0.678666511575506</v>
      </c>
    </row>
    <row r="67" customFormat="false" ht="15" hidden="false" customHeight="false" outlineLevel="0" collapsed="false">
      <c r="A67" s="1" t="s">
        <v>64</v>
      </c>
      <c r="B67" s="1" t="s">
        <v>65</v>
      </c>
      <c r="C67" s="1" t="s">
        <v>66</v>
      </c>
      <c r="D67" s="1" t="s">
        <v>19</v>
      </c>
      <c r="E67" s="1" t="s">
        <v>20</v>
      </c>
      <c r="F67" s="1" t="n">
        <v>24</v>
      </c>
      <c r="G67" s="2" t="s">
        <v>28</v>
      </c>
      <c r="H67" s="1" t="n">
        <v>0.1891</v>
      </c>
      <c r="I67" s="1" t="n">
        <v>0.242845235156312</v>
      </c>
      <c r="J67" s="1" t="n">
        <v>0.319004560403415</v>
      </c>
      <c r="K67" s="1" t="n">
        <f aca="false">J67-I67</f>
        <v>0.0761593252471029</v>
      </c>
      <c r="L67" s="1" t="n">
        <v>0.678666511575506</v>
      </c>
    </row>
    <row r="68" customFormat="false" ht="15" hidden="false" customHeight="false" outlineLevel="0" collapsed="false">
      <c r="A68" s="1" t="s">
        <v>64</v>
      </c>
      <c r="B68" s="1" t="s">
        <v>65</v>
      </c>
      <c r="C68" s="1" t="s">
        <v>66</v>
      </c>
      <c r="D68" s="1" t="s">
        <v>19</v>
      </c>
      <c r="E68" s="1" t="s">
        <v>20</v>
      </c>
      <c r="F68" s="1" t="n">
        <v>24</v>
      </c>
      <c r="G68" s="2" t="s">
        <v>67</v>
      </c>
      <c r="H68" s="1" t="n">
        <v>0.1799</v>
      </c>
      <c r="I68" s="1" t="n">
        <v>0.231013060422048</v>
      </c>
      <c r="J68" s="1" t="n">
        <v>0.247042624776279</v>
      </c>
      <c r="K68" s="1" t="n">
        <f aca="false">J68-I68</f>
        <v>0.0160295643542312</v>
      </c>
      <c r="L68" s="1" t="n">
        <v>0.678666511575506</v>
      </c>
    </row>
    <row r="69" customFormat="false" ht="15" hidden="false" customHeight="false" outlineLevel="0" collapsed="false">
      <c r="A69" s="1" t="s">
        <v>64</v>
      </c>
      <c r="B69" s="1" t="s">
        <v>65</v>
      </c>
      <c r="C69" s="1" t="s">
        <v>66</v>
      </c>
      <c r="D69" s="1" t="s">
        <v>19</v>
      </c>
      <c r="E69" s="1" t="s">
        <v>20</v>
      </c>
      <c r="F69" s="1" t="n">
        <v>24</v>
      </c>
      <c r="G69" s="2" t="s">
        <v>29</v>
      </c>
      <c r="H69" s="1" t="n">
        <v>0.1679</v>
      </c>
      <c r="I69" s="1" t="n">
        <v>0.215640638399639</v>
      </c>
      <c r="J69" s="1" t="n">
        <v>0.262293077870643</v>
      </c>
      <c r="K69" s="1" t="n">
        <f aca="false">J69-I69</f>
        <v>0.0466524394710037</v>
      </c>
      <c r="L69" s="1" t="n">
        <v>0.678666511575506</v>
      </c>
    </row>
    <row r="70" customFormat="false" ht="15" hidden="false" customHeight="false" outlineLevel="0" collapsed="false">
      <c r="A70" s="1" t="s">
        <v>64</v>
      </c>
      <c r="B70" s="1" t="s">
        <v>65</v>
      </c>
      <c r="C70" s="1" t="s">
        <v>66</v>
      </c>
      <c r="D70" s="1" t="s">
        <v>19</v>
      </c>
      <c r="E70" s="1" t="s">
        <v>20</v>
      </c>
      <c r="F70" s="1" t="n">
        <v>24</v>
      </c>
      <c r="G70" s="2" t="s">
        <v>33</v>
      </c>
      <c r="H70" s="1" t="n">
        <v>0.1675</v>
      </c>
      <c r="I70" s="1" t="n">
        <v>0.215068985740141</v>
      </c>
      <c r="J70" s="1" t="n">
        <v>0.231955534048489</v>
      </c>
      <c r="K70" s="1" t="n">
        <f aca="false">J70-I70</f>
        <v>0.016886548308348</v>
      </c>
      <c r="L70" s="1" t="n">
        <v>0.678666511575506</v>
      </c>
    </row>
    <row r="71" customFormat="false" ht="15" hidden="false" customHeight="false" outlineLevel="0" collapsed="false">
      <c r="A71" s="1" t="s">
        <v>64</v>
      </c>
      <c r="B71" s="1" t="s">
        <v>65</v>
      </c>
      <c r="C71" s="1" t="s">
        <v>66</v>
      </c>
      <c r="D71" s="1" t="s">
        <v>19</v>
      </c>
      <c r="E71" s="1" t="s">
        <v>20</v>
      </c>
      <c r="F71" s="1" t="n">
        <v>24</v>
      </c>
      <c r="G71" s="2" t="s">
        <v>24</v>
      </c>
      <c r="H71" s="1" t="n">
        <v>0.1</v>
      </c>
      <c r="I71" s="1" t="n">
        <v>0.19659596760447</v>
      </c>
      <c r="J71" s="1" t="n">
        <v>0.234260074412113</v>
      </c>
      <c r="K71" s="1" t="n">
        <f aca="false">J71-I71</f>
        <v>0.0376641068076433</v>
      </c>
      <c r="L71" s="1" t="n">
        <v>0.678666511575506</v>
      </c>
    </row>
    <row r="72" customFormat="false" ht="15" hidden="false" customHeight="false" outlineLevel="0" collapsed="false">
      <c r="A72" s="1" t="s">
        <v>68</v>
      </c>
      <c r="B72" s="1" t="s">
        <v>69</v>
      </c>
      <c r="C72" s="1" t="s">
        <v>70</v>
      </c>
      <c r="D72" s="1" t="s">
        <v>19</v>
      </c>
      <c r="E72" s="1" t="s">
        <v>20</v>
      </c>
      <c r="F72" s="1" t="n">
        <v>26</v>
      </c>
      <c r="G72" s="2" t="s">
        <v>41</v>
      </c>
      <c r="H72" s="1" t="n">
        <v>0.1869</v>
      </c>
      <c r="I72" s="1" t="n">
        <v>0.359835578161462</v>
      </c>
      <c r="J72" s="1" t="n">
        <v>0.353296315884157</v>
      </c>
      <c r="K72" s="1" t="n">
        <f aca="false">J72-I72</f>
        <v>-0.00653926227730561</v>
      </c>
      <c r="L72" s="1" t="n">
        <v>0.800148648147254</v>
      </c>
    </row>
    <row r="73" customFormat="false" ht="15" hidden="false" customHeight="false" outlineLevel="0" collapsed="false">
      <c r="A73" s="1" t="s">
        <v>68</v>
      </c>
      <c r="B73" s="1" t="s">
        <v>69</v>
      </c>
      <c r="C73" s="1" t="s">
        <v>70</v>
      </c>
      <c r="D73" s="1" t="s">
        <v>19</v>
      </c>
      <c r="E73" s="1" t="s">
        <v>20</v>
      </c>
      <c r="F73" s="1" t="n">
        <v>26</v>
      </c>
      <c r="G73" s="2" t="s">
        <v>21</v>
      </c>
      <c r="H73" s="1" t="n">
        <v>0.184</v>
      </c>
      <c r="I73" s="1" t="n">
        <v>0.354318402142418</v>
      </c>
      <c r="J73" s="1" t="n">
        <v>0.34970591377334</v>
      </c>
      <c r="K73" s="1" t="n">
        <f aca="false">J73-I73</f>
        <v>-0.00461248836907841</v>
      </c>
      <c r="L73" s="1" t="n">
        <v>0.800148648147254</v>
      </c>
    </row>
    <row r="74" customFormat="false" ht="15" hidden="false" customHeight="false" outlineLevel="0" collapsed="false">
      <c r="A74" s="1" t="s">
        <v>68</v>
      </c>
      <c r="B74" s="1" t="s">
        <v>69</v>
      </c>
      <c r="C74" s="1" t="s">
        <v>70</v>
      </c>
      <c r="D74" s="1" t="s">
        <v>19</v>
      </c>
      <c r="E74" s="1" t="s">
        <v>20</v>
      </c>
      <c r="F74" s="1" t="n">
        <v>26</v>
      </c>
      <c r="G74" s="2" t="s">
        <v>28</v>
      </c>
      <c r="H74" s="1" t="n">
        <v>0.175</v>
      </c>
      <c r="I74" s="1" t="n">
        <v>0.336941003412904</v>
      </c>
      <c r="J74" s="1" t="n">
        <v>0.351575271703302</v>
      </c>
      <c r="K74" s="1" t="n">
        <f aca="false">J74-I74</f>
        <v>0.0146342682903982</v>
      </c>
      <c r="L74" s="1" t="n">
        <v>0.800148648147254</v>
      </c>
    </row>
    <row r="75" customFormat="false" ht="15" hidden="false" customHeight="false" outlineLevel="0" collapsed="false">
      <c r="A75" s="1" t="s">
        <v>68</v>
      </c>
      <c r="B75" s="1" t="s">
        <v>69</v>
      </c>
      <c r="C75" s="1" t="s">
        <v>70</v>
      </c>
      <c r="D75" s="1" t="s">
        <v>19</v>
      </c>
      <c r="E75" s="1" t="s">
        <v>20</v>
      </c>
      <c r="F75" s="1" t="n">
        <v>26</v>
      </c>
      <c r="G75" s="2" t="s">
        <v>22</v>
      </c>
      <c r="H75" s="1" t="n">
        <v>0.1662</v>
      </c>
      <c r="I75" s="1" t="n">
        <v>0.320011713234975</v>
      </c>
      <c r="J75" s="1" t="n">
        <v>0.338749650299595</v>
      </c>
      <c r="K75" s="1" t="n">
        <f aca="false">J75-I75</f>
        <v>0.01873793706462</v>
      </c>
      <c r="L75" s="1" t="n">
        <v>0.800148648147254</v>
      </c>
    </row>
    <row r="76" customFormat="false" ht="15" hidden="false" customHeight="false" outlineLevel="0" collapsed="false">
      <c r="A76" s="1" t="s">
        <v>68</v>
      </c>
      <c r="B76" s="1" t="s">
        <v>69</v>
      </c>
      <c r="C76" s="1" t="s">
        <v>70</v>
      </c>
      <c r="D76" s="1" t="s">
        <v>19</v>
      </c>
      <c r="E76" s="1" t="s">
        <v>20</v>
      </c>
      <c r="F76" s="1" t="n">
        <v>26</v>
      </c>
      <c r="G76" s="2" t="s">
        <v>24</v>
      </c>
      <c r="H76" s="1" t="n">
        <v>0.1447</v>
      </c>
      <c r="I76" s="1" t="n">
        <v>0.278626348857834</v>
      </c>
      <c r="J76" s="1" t="n">
        <v>0.296696432858445</v>
      </c>
      <c r="K76" s="1" t="n">
        <f aca="false">J76-I76</f>
        <v>0.0180700840006112</v>
      </c>
      <c r="L76" s="1" t="n">
        <v>0.800148648147254</v>
      </c>
    </row>
    <row r="77" customFormat="false" ht="15" hidden="false" customHeight="false" outlineLevel="0" collapsed="false">
      <c r="A77" s="1" t="s">
        <v>68</v>
      </c>
      <c r="B77" s="1" t="s">
        <v>69</v>
      </c>
      <c r="C77" s="1" t="s">
        <v>70</v>
      </c>
      <c r="D77" s="1" t="s">
        <v>19</v>
      </c>
      <c r="E77" s="1" t="s">
        <v>20</v>
      </c>
      <c r="F77" s="1" t="n">
        <v>26</v>
      </c>
      <c r="G77" s="2" t="s">
        <v>23</v>
      </c>
      <c r="H77" s="1" t="n">
        <v>0.1431</v>
      </c>
      <c r="I77" s="1" t="n">
        <v>0.275561232934244</v>
      </c>
      <c r="J77" s="1" t="n">
        <v>0.322416612855187</v>
      </c>
      <c r="K77" s="1" t="n">
        <f aca="false">J77-I77</f>
        <v>0.0468553799209426</v>
      </c>
      <c r="L77" s="1" t="n">
        <v>0.800148648147254</v>
      </c>
    </row>
    <row r="78" customFormat="false" ht="15" hidden="false" customHeight="false" outlineLevel="0" collapsed="false">
      <c r="A78" s="1" t="s">
        <v>71</v>
      </c>
      <c r="B78" s="1" t="s">
        <v>72</v>
      </c>
      <c r="C78" s="1" t="s">
        <v>73</v>
      </c>
      <c r="D78" s="1" t="s">
        <v>19</v>
      </c>
      <c r="E78" s="1" t="s">
        <v>20</v>
      </c>
      <c r="F78" s="1" t="n">
        <v>28</v>
      </c>
      <c r="G78" s="2" t="s">
        <v>41</v>
      </c>
      <c r="H78" s="1" t="n">
        <v>0.1829</v>
      </c>
      <c r="I78" s="1" t="n">
        <v>0.408454099008765</v>
      </c>
      <c r="J78" s="1" t="n">
        <v>0.339906546829205</v>
      </c>
      <c r="K78" s="1" t="n">
        <f aca="false">J78-I78</f>
        <v>-0.0685475521795593</v>
      </c>
      <c r="L78" s="1" t="n">
        <v>0.613656437383168</v>
      </c>
    </row>
    <row r="79" customFormat="false" ht="15" hidden="false" customHeight="false" outlineLevel="0" collapsed="false">
      <c r="A79" s="1" t="s">
        <v>71</v>
      </c>
      <c r="B79" s="1" t="s">
        <v>72</v>
      </c>
      <c r="C79" s="1" t="s">
        <v>73</v>
      </c>
      <c r="D79" s="1" t="s">
        <v>19</v>
      </c>
      <c r="E79" s="1" t="s">
        <v>20</v>
      </c>
      <c r="F79" s="1" t="n">
        <v>28</v>
      </c>
      <c r="G79" s="2" t="s">
        <v>21</v>
      </c>
      <c r="H79" s="1" t="n">
        <v>0.1801</v>
      </c>
      <c r="I79" s="1" t="n">
        <v>0.402201380788192</v>
      </c>
      <c r="J79" s="1" t="n">
        <v>0.343883146158585</v>
      </c>
      <c r="K79" s="1" t="n">
        <f aca="false">J79-I79</f>
        <v>-0.0583182346296068</v>
      </c>
      <c r="L79" s="1" t="n">
        <v>0.613656437383168</v>
      </c>
    </row>
    <row r="80" customFormat="false" ht="15" hidden="false" customHeight="false" outlineLevel="0" collapsed="false">
      <c r="A80" s="1" t="s">
        <v>71</v>
      </c>
      <c r="B80" s="1" t="s">
        <v>72</v>
      </c>
      <c r="C80" s="1" t="s">
        <v>73</v>
      </c>
      <c r="D80" s="1" t="s">
        <v>19</v>
      </c>
      <c r="E80" s="1" t="s">
        <v>20</v>
      </c>
      <c r="F80" s="1" t="n">
        <v>28</v>
      </c>
      <c r="G80" s="2" t="s">
        <v>28</v>
      </c>
      <c r="H80" s="1" t="n">
        <v>0.1752</v>
      </c>
      <c r="I80" s="1" t="n">
        <v>0.391392893031929</v>
      </c>
      <c r="J80" s="1" t="n">
        <v>0.373550108829899</v>
      </c>
      <c r="K80" s="1" t="n">
        <f aca="false">J80-I80</f>
        <v>-0.0178427842020296</v>
      </c>
      <c r="L80" s="1" t="n">
        <v>0.613656437383168</v>
      </c>
    </row>
    <row r="81" customFormat="false" ht="15" hidden="false" customHeight="false" outlineLevel="0" collapsed="false">
      <c r="A81" s="1" t="s">
        <v>71</v>
      </c>
      <c r="B81" s="1" t="s">
        <v>72</v>
      </c>
      <c r="C81" s="1" t="s">
        <v>73</v>
      </c>
      <c r="D81" s="1" t="s">
        <v>19</v>
      </c>
      <c r="E81" s="1" t="s">
        <v>20</v>
      </c>
      <c r="F81" s="1" t="n">
        <v>28</v>
      </c>
      <c r="G81" s="2" t="s">
        <v>22</v>
      </c>
      <c r="H81" s="1" t="n">
        <v>0.1559</v>
      </c>
      <c r="I81" s="1" t="n">
        <v>0.34823092776414</v>
      </c>
      <c r="J81" s="1" t="n">
        <v>0.313330512322022</v>
      </c>
      <c r="K81" s="1" t="n">
        <f aca="false">J81-I81</f>
        <v>-0.0349004154421172</v>
      </c>
      <c r="L81" s="1" t="n">
        <v>0.613656437383168</v>
      </c>
    </row>
    <row r="82" customFormat="false" ht="15" hidden="false" customHeight="false" outlineLevel="0" collapsed="false">
      <c r="A82" s="1" t="s">
        <v>71</v>
      </c>
      <c r="B82" s="1" t="s">
        <v>72</v>
      </c>
      <c r="C82" s="1" t="s">
        <v>73</v>
      </c>
      <c r="D82" s="1" t="s">
        <v>19</v>
      </c>
      <c r="E82" s="1" t="s">
        <v>20</v>
      </c>
      <c r="F82" s="1" t="n">
        <v>28</v>
      </c>
      <c r="G82" s="2" t="s">
        <v>67</v>
      </c>
      <c r="H82" s="1" t="n">
        <v>0.1531</v>
      </c>
      <c r="I82" s="1" t="n">
        <v>0.341829414266472</v>
      </c>
      <c r="J82" s="1" t="n">
        <v>0.316365841068003</v>
      </c>
      <c r="K82" s="1" t="n">
        <f aca="false">J82-I82</f>
        <v>-0.025463573198469</v>
      </c>
      <c r="L82" s="1" t="n">
        <v>0.613656437383168</v>
      </c>
    </row>
    <row r="83" customFormat="false" ht="15" hidden="false" customHeight="false" outlineLevel="0" collapsed="false">
      <c r="A83" s="1" t="s">
        <v>71</v>
      </c>
      <c r="B83" s="1" t="s">
        <v>72</v>
      </c>
      <c r="C83" s="1" t="s">
        <v>73</v>
      </c>
      <c r="D83" s="1" t="s">
        <v>19</v>
      </c>
      <c r="E83" s="1" t="s">
        <v>20</v>
      </c>
      <c r="F83" s="1" t="n">
        <v>28</v>
      </c>
      <c r="G83" s="2" t="s">
        <v>24</v>
      </c>
      <c r="H83" s="1" t="n">
        <v>0.1528</v>
      </c>
      <c r="I83" s="1" t="n">
        <v>0.341294767413549</v>
      </c>
      <c r="J83" s="1" t="n">
        <v>0.274380459643408</v>
      </c>
      <c r="K83" s="1" t="n">
        <f aca="false">J83-I83</f>
        <v>-0.0669143077701414</v>
      </c>
      <c r="L83" s="1" t="n">
        <v>0.613656437383168</v>
      </c>
    </row>
    <row r="84" customFormat="false" ht="15" hidden="false" customHeight="false" outlineLevel="0" collapsed="false">
      <c r="A84" s="1" t="s">
        <v>74</v>
      </c>
      <c r="B84" s="1" t="s">
        <v>75</v>
      </c>
      <c r="C84" s="1" t="s">
        <v>76</v>
      </c>
      <c r="D84" s="1" t="s">
        <v>19</v>
      </c>
      <c r="E84" s="1" t="s">
        <v>20</v>
      </c>
      <c r="F84" s="1" t="n">
        <v>30</v>
      </c>
      <c r="G84" s="2" t="s">
        <v>23</v>
      </c>
      <c r="H84" s="1" t="n">
        <v>0.2353</v>
      </c>
      <c r="I84" s="1" t="n">
        <v>0.356034796988031</v>
      </c>
      <c r="J84" s="1" t="n">
        <v>0.355808732665373</v>
      </c>
      <c r="K84" s="1" t="n">
        <f aca="false">J84-I84</f>
        <v>-0.000226064322657871</v>
      </c>
      <c r="L84" s="1" t="n">
        <v>0.70191452728509</v>
      </c>
    </row>
    <row r="85" customFormat="false" ht="15" hidden="false" customHeight="false" outlineLevel="0" collapsed="false">
      <c r="A85" s="1" t="s">
        <v>74</v>
      </c>
      <c r="B85" s="1" t="s">
        <v>75</v>
      </c>
      <c r="C85" s="1" t="s">
        <v>76</v>
      </c>
      <c r="D85" s="1" t="s">
        <v>19</v>
      </c>
      <c r="E85" s="1" t="s">
        <v>20</v>
      </c>
      <c r="F85" s="1" t="n">
        <v>30</v>
      </c>
      <c r="G85" s="2" t="s">
        <v>21</v>
      </c>
      <c r="H85" s="1" t="n">
        <v>0.173</v>
      </c>
      <c r="I85" s="1" t="n">
        <v>0.26170525254764</v>
      </c>
      <c r="J85" s="1" t="n">
        <v>0.302577236806758</v>
      </c>
      <c r="K85" s="1" t="n">
        <f aca="false">J85-I85</f>
        <v>0.0408719842591185</v>
      </c>
      <c r="L85" s="1" t="n">
        <v>0.70191452728509</v>
      </c>
    </row>
    <row r="86" customFormat="false" ht="15" hidden="false" customHeight="false" outlineLevel="0" collapsed="false">
      <c r="A86" s="1" t="s">
        <v>74</v>
      </c>
      <c r="B86" s="1" t="s">
        <v>75</v>
      </c>
      <c r="C86" s="1" t="s">
        <v>76</v>
      </c>
      <c r="D86" s="1" t="s">
        <v>19</v>
      </c>
      <c r="E86" s="1" t="s">
        <v>20</v>
      </c>
      <c r="F86" s="1" t="n">
        <v>30</v>
      </c>
      <c r="G86" s="2" t="s">
        <v>28</v>
      </c>
      <c r="H86" s="1" t="n">
        <v>0.1696</v>
      </c>
      <c r="I86" s="1" t="n">
        <v>0.256614250460235</v>
      </c>
      <c r="J86" s="1" t="n">
        <v>0.33801726066715</v>
      </c>
      <c r="K86" s="1" t="n">
        <f aca="false">J86-I86</f>
        <v>0.0814030102069148</v>
      </c>
      <c r="L86" s="1" t="n">
        <v>0.70191452728509</v>
      </c>
    </row>
    <row r="87" customFormat="false" ht="15" hidden="false" customHeight="false" outlineLevel="0" collapsed="false">
      <c r="A87" s="1" t="s">
        <v>74</v>
      </c>
      <c r="B87" s="1" t="s">
        <v>75</v>
      </c>
      <c r="C87" s="1" t="s">
        <v>76</v>
      </c>
      <c r="D87" s="1" t="s">
        <v>19</v>
      </c>
      <c r="E87" s="1" t="s">
        <v>20</v>
      </c>
      <c r="F87" s="1" t="n">
        <v>30</v>
      </c>
      <c r="G87" s="2" t="s">
        <v>41</v>
      </c>
      <c r="H87" s="1" t="n">
        <v>0.166</v>
      </c>
      <c r="I87" s="1" t="n">
        <v>0.251153359362291</v>
      </c>
      <c r="J87" s="1" t="n">
        <v>0.269342508240438</v>
      </c>
      <c r="K87" s="1" t="n">
        <f aca="false">J87-I87</f>
        <v>0.0181891488781469</v>
      </c>
      <c r="L87" s="1" t="n">
        <v>0.70191452728509</v>
      </c>
    </row>
    <row r="88" customFormat="false" ht="15" hidden="false" customHeight="false" outlineLevel="0" collapsed="false">
      <c r="A88" s="1" t="s">
        <v>74</v>
      </c>
      <c r="B88" s="1" t="s">
        <v>75</v>
      </c>
      <c r="C88" s="1" t="s">
        <v>76</v>
      </c>
      <c r="D88" s="1" t="s">
        <v>19</v>
      </c>
      <c r="E88" s="1" t="s">
        <v>20</v>
      </c>
      <c r="F88" s="1" t="n">
        <v>30</v>
      </c>
      <c r="G88" s="2" t="s">
        <v>67</v>
      </c>
      <c r="H88" s="1" t="n">
        <v>0.1562</v>
      </c>
      <c r="I88" s="1" t="n">
        <v>0.236274524050703</v>
      </c>
      <c r="J88" s="1" t="n">
        <v>0.285416210957588</v>
      </c>
      <c r="K88" s="1" t="n">
        <f aca="false">J88-I88</f>
        <v>0.0491416869068855</v>
      </c>
      <c r="L88" s="1" t="n">
        <v>0.70191452728509</v>
      </c>
    </row>
    <row r="89" customFormat="false" ht="15" hidden="false" customHeight="false" outlineLevel="0" collapsed="false">
      <c r="A89" s="1" t="s">
        <v>74</v>
      </c>
      <c r="B89" s="1" t="s">
        <v>75</v>
      </c>
      <c r="C89" s="1" t="s">
        <v>76</v>
      </c>
      <c r="D89" s="1" t="s">
        <v>19</v>
      </c>
      <c r="E89" s="1" t="s">
        <v>20</v>
      </c>
      <c r="F89" s="1" t="n">
        <v>30</v>
      </c>
      <c r="G89" s="2" t="s">
        <v>24</v>
      </c>
      <c r="H89" s="1" t="n">
        <v>0.1</v>
      </c>
      <c r="I89" s="1" t="n">
        <v>0.233193318254187</v>
      </c>
      <c r="J89" s="1" t="n">
        <v>0.297411735757243</v>
      </c>
      <c r="K89" s="1" t="n">
        <f aca="false">J89-I89</f>
        <v>0.0642184175030556</v>
      </c>
      <c r="L89" s="1" t="n">
        <v>0.70191452728509</v>
      </c>
    </row>
    <row r="90" customFormat="false" ht="15" hidden="false" customHeight="false" outlineLevel="0" collapsed="false">
      <c r="A90" s="1" t="s">
        <v>77</v>
      </c>
      <c r="B90" s="1" t="s">
        <v>78</v>
      </c>
      <c r="C90" s="1" t="s">
        <v>79</v>
      </c>
      <c r="D90" s="1" t="s">
        <v>19</v>
      </c>
      <c r="E90" s="1" t="s">
        <v>20</v>
      </c>
      <c r="F90" s="1" t="n">
        <v>32</v>
      </c>
      <c r="G90" s="2" t="s">
        <v>23</v>
      </c>
      <c r="H90" s="1" t="n">
        <v>0.185</v>
      </c>
      <c r="I90" s="1" t="n">
        <v>0.358673826559186</v>
      </c>
      <c r="J90" s="1" t="n">
        <v>0.409646766177699</v>
      </c>
      <c r="K90" s="1" t="n">
        <f aca="false">J90-I90</f>
        <v>0.0509729396185132</v>
      </c>
      <c r="L90" s="1" t="n">
        <v>0.696040981259132</v>
      </c>
    </row>
    <row r="91" customFormat="false" ht="15" hidden="false" customHeight="false" outlineLevel="0" collapsed="false">
      <c r="A91" s="1" t="s">
        <v>77</v>
      </c>
      <c r="B91" s="1" t="s">
        <v>78</v>
      </c>
      <c r="C91" s="1" t="s">
        <v>79</v>
      </c>
      <c r="D91" s="1" t="s">
        <v>19</v>
      </c>
      <c r="E91" s="1" t="s">
        <v>20</v>
      </c>
      <c r="F91" s="1" t="n">
        <v>32</v>
      </c>
      <c r="G91" s="2" t="s">
        <v>28</v>
      </c>
      <c r="H91" s="1" t="n">
        <v>0.1806</v>
      </c>
      <c r="I91" s="1" t="n">
        <v>0.350195628013828</v>
      </c>
      <c r="J91" s="1" t="n">
        <v>0.359454367838871</v>
      </c>
      <c r="K91" s="1" t="n">
        <f aca="false">J91-I91</f>
        <v>0.00925873982504277</v>
      </c>
      <c r="L91" s="1" t="n">
        <v>0.696040981259132</v>
      </c>
    </row>
    <row r="92" customFormat="false" ht="15" hidden="false" customHeight="false" outlineLevel="0" collapsed="false">
      <c r="A92" s="1" t="s">
        <v>77</v>
      </c>
      <c r="B92" s="1" t="s">
        <v>78</v>
      </c>
      <c r="C92" s="1" t="s">
        <v>79</v>
      </c>
      <c r="D92" s="1" t="s">
        <v>19</v>
      </c>
      <c r="E92" s="1" t="s">
        <v>20</v>
      </c>
      <c r="F92" s="1" t="n">
        <v>32</v>
      </c>
      <c r="G92" s="2" t="s">
        <v>24</v>
      </c>
      <c r="H92" s="1" t="n">
        <v>0.1697</v>
      </c>
      <c r="I92" s="1" t="n">
        <v>0.328981186761207</v>
      </c>
      <c r="J92" s="1" t="n">
        <v>0.379558274425812</v>
      </c>
      <c r="K92" s="1" t="n">
        <f aca="false">J92-I92</f>
        <v>0.0505770876646052</v>
      </c>
      <c r="L92" s="1" t="n">
        <v>0.696040981259132</v>
      </c>
    </row>
    <row r="93" customFormat="false" ht="15" hidden="false" customHeight="false" outlineLevel="0" collapsed="false">
      <c r="A93" s="1" t="s">
        <v>77</v>
      </c>
      <c r="B93" s="1" t="s">
        <v>78</v>
      </c>
      <c r="C93" s="1" t="s">
        <v>79</v>
      </c>
      <c r="D93" s="1" t="s">
        <v>19</v>
      </c>
      <c r="E93" s="1" t="s">
        <v>20</v>
      </c>
      <c r="F93" s="1" t="n">
        <v>32</v>
      </c>
      <c r="G93" s="2" t="s">
        <v>21</v>
      </c>
      <c r="H93" s="1" t="n">
        <v>0.1628</v>
      </c>
      <c r="I93" s="1" t="n">
        <v>0.315791769095112</v>
      </c>
      <c r="J93" s="1" t="n">
        <v>0.329023490859177</v>
      </c>
      <c r="K93" s="1" t="n">
        <f aca="false">J93-I93</f>
        <v>0.0132317217640655</v>
      </c>
      <c r="L93" s="1" t="n">
        <v>0.696040981259132</v>
      </c>
    </row>
    <row r="94" customFormat="false" ht="15" hidden="false" customHeight="false" outlineLevel="0" collapsed="false">
      <c r="A94" s="1" t="s">
        <v>77</v>
      </c>
      <c r="B94" s="1" t="s">
        <v>78</v>
      </c>
      <c r="C94" s="1" t="s">
        <v>79</v>
      </c>
      <c r="D94" s="1" t="s">
        <v>19</v>
      </c>
      <c r="E94" s="1" t="s">
        <v>20</v>
      </c>
      <c r="F94" s="1" t="n">
        <v>32</v>
      </c>
      <c r="G94" s="2" t="s">
        <v>67</v>
      </c>
      <c r="H94" s="1" t="n">
        <v>0.1601</v>
      </c>
      <c r="I94" s="1" t="n">
        <v>0.310496864588122</v>
      </c>
      <c r="J94" s="1" t="n">
        <v>0.344995080158165</v>
      </c>
      <c r="K94" s="1" t="n">
        <f aca="false">J94-I94</f>
        <v>0.0344982155700433</v>
      </c>
      <c r="L94" s="1" t="n">
        <v>0.696040981259132</v>
      </c>
    </row>
    <row r="95" customFormat="false" ht="15" hidden="false" customHeight="false" outlineLevel="0" collapsed="false">
      <c r="A95" s="1" t="s">
        <v>77</v>
      </c>
      <c r="B95" s="1" t="s">
        <v>78</v>
      </c>
      <c r="C95" s="1" t="s">
        <v>79</v>
      </c>
      <c r="D95" s="1" t="s">
        <v>19</v>
      </c>
      <c r="E95" s="1" t="s">
        <v>20</v>
      </c>
      <c r="F95" s="1" t="n">
        <v>32</v>
      </c>
      <c r="G95" s="2" t="s">
        <v>80</v>
      </c>
      <c r="H95" s="1" t="n">
        <v>0.1418</v>
      </c>
      <c r="I95" s="1" t="n">
        <v>0.275028834609053</v>
      </c>
      <c r="J95" s="1" t="n">
        <v>0.346633711815995</v>
      </c>
      <c r="K95" s="1" t="n">
        <f aca="false">J95-I95</f>
        <v>0.0716048772069428</v>
      </c>
      <c r="L95" s="1" t="n">
        <v>0.696040981259132</v>
      </c>
    </row>
    <row r="96" customFormat="false" ht="15" hidden="false" customHeight="false" outlineLevel="0" collapsed="false">
      <c r="A96" s="1" t="s">
        <v>81</v>
      </c>
      <c r="B96" s="1" t="s">
        <v>82</v>
      </c>
      <c r="C96" s="1" t="s">
        <v>83</v>
      </c>
      <c r="D96" s="1" t="s">
        <v>19</v>
      </c>
      <c r="E96" s="1" t="s">
        <v>20</v>
      </c>
      <c r="F96" s="1" t="n">
        <v>34</v>
      </c>
      <c r="G96" s="2" t="s">
        <v>23</v>
      </c>
      <c r="H96" s="1" t="n">
        <v>0.1841</v>
      </c>
      <c r="I96" s="1" t="n">
        <v>0.240133029493018</v>
      </c>
      <c r="J96" s="1" t="n">
        <v>0.290315623844868</v>
      </c>
      <c r="K96" s="1" t="n">
        <f aca="false">J96-I96</f>
        <v>0.0501825943518494</v>
      </c>
      <c r="L96" s="1" t="n">
        <v>0.764111372525898</v>
      </c>
    </row>
    <row r="97" customFormat="false" ht="15" hidden="false" customHeight="false" outlineLevel="0" collapsed="false">
      <c r="A97" s="1" t="s">
        <v>81</v>
      </c>
      <c r="B97" s="1" t="s">
        <v>82</v>
      </c>
      <c r="C97" s="1" t="s">
        <v>83</v>
      </c>
      <c r="D97" s="1" t="s">
        <v>19</v>
      </c>
      <c r="E97" s="1" t="s">
        <v>20</v>
      </c>
      <c r="F97" s="1" t="n">
        <v>34</v>
      </c>
      <c r="G97" s="2" t="s">
        <v>21</v>
      </c>
      <c r="H97" s="1" t="n">
        <v>0.1727</v>
      </c>
      <c r="I97" s="1" t="n">
        <v>0.225337370756511</v>
      </c>
      <c r="J97" s="1" t="n">
        <v>0.228275173161877</v>
      </c>
      <c r="K97" s="1" t="n">
        <f aca="false">J97-I97</f>
        <v>0.00293780240536559</v>
      </c>
      <c r="L97" s="1" t="n">
        <v>0.764111372525898</v>
      </c>
    </row>
    <row r="98" customFormat="false" ht="15" hidden="false" customHeight="false" outlineLevel="0" collapsed="false">
      <c r="A98" s="1" t="s">
        <v>81</v>
      </c>
      <c r="B98" s="1" t="s">
        <v>82</v>
      </c>
      <c r="C98" s="1" t="s">
        <v>83</v>
      </c>
      <c r="D98" s="1" t="s">
        <v>19</v>
      </c>
      <c r="E98" s="1" t="s">
        <v>20</v>
      </c>
      <c r="F98" s="1" t="n">
        <v>34</v>
      </c>
      <c r="G98" s="2" t="s">
        <v>28</v>
      </c>
      <c r="H98" s="1" t="n">
        <v>0.1668</v>
      </c>
      <c r="I98" s="1" t="n">
        <v>0.217629077805101</v>
      </c>
      <c r="J98" s="1" t="n">
        <v>0.224412919511177</v>
      </c>
      <c r="K98" s="1" t="n">
        <f aca="false">J98-I98</f>
        <v>0.00678384170607571</v>
      </c>
      <c r="L98" s="1" t="n">
        <v>0.764111372525898</v>
      </c>
    </row>
    <row r="99" customFormat="false" ht="15" hidden="false" customHeight="false" outlineLevel="0" collapsed="false">
      <c r="A99" s="1" t="s">
        <v>81</v>
      </c>
      <c r="B99" s="1" t="s">
        <v>82</v>
      </c>
      <c r="C99" s="1" t="s">
        <v>83</v>
      </c>
      <c r="D99" s="1" t="s">
        <v>19</v>
      </c>
      <c r="E99" s="1" t="s">
        <v>20</v>
      </c>
      <c r="F99" s="1" t="n">
        <v>34</v>
      </c>
      <c r="G99" s="2" t="s">
        <v>24</v>
      </c>
      <c r="H99" s="1" t="n">
        <v>0.1606</v>
      </c>
      <c r="I99" s="1" t="n">
        <v>0.209462531863764</v>
      </c>
      <c r="J99" s="1" t="n">
        <v>0.217452944651093</v>
      </c>
      <c r="K99" s="1" t="n">
        <f aca="false">J99-I99</f>
        <v>0.00799041278732982</v>
      </c>
      <c r="L99" s="1" t="n">
        <v>0.764111372525898</v>
      </c>
    </row>
    <row r="100" customFormat="false" ht="15" hidden="false" customHeight="false" outlineLevel="0" collapsed="false">
      <c r="A100" s="1" t="s">
        <v>81</v>
      </c>
      <c r="B100" s="1" t="s">
        <v>82</v>
      </c>
      <c r="C100" s="1" t="s">
        <v>83</v>
      </c>
      <c r="D100" s="1" t="s">
        <v>19</v>
      </c>
      <c r="E100" s="1" t="s">
        <v>20</v>
      </c>
      <c r="F100" s="1" t="n">
        <v>34</v>
      </c>
      <c r="G100" s="2" t="s">
        <v>41</v>
      </c>
      <c r="H100" s="1" t="n">
        <v>0.1584</v>
      </c>
      <c r="I100" s="1" t="n">
        <v>0.206569103614126</v>
      </c>
      <c r="J100" s="1" t="n">
        <v>0.2232401736656</v>
      </c>
      <c r="K100" s="1" t="n">
        <f aca="false">J100-I100</f>
        <v>0.0166710700514743</v>
      </c>
      <c r="L100" s="1" t="n">
        <v>0.764111372525898</v>
      </c>
    </row>
    <row r="101" customFormat="false" ht="15" hidden="false" customHeight="false" outlineLevel="0" collapsed="false">
      <c r="A101" s="1" t="s">
        <v>81</v>
      </c>
      <c r="B101" s="1" t="s">
        <v>82</v>
      </c>
      <c r="C101" s="1" t="s">
        <v>83</v>
      </c>
      <c r="D101" s="1" t="s">
        <v>19</v>
      </c>
      <c r="E101" s="1" t="s">
        <v>20</v>
      </c>
      <c r="F101" s="1" t="n">
        <v>34</v>
      </c>
      <c r="G101" s="2" t="s">
        <v>22</v>
      </c>
      <c r="H101" s="1" t="n">
        <v>0.1574</v>
      </c>
      <c r="I101" s="1" t="n">
        <v>0.205340611857774</v>
      </c>
      <c r="J101" s="1" t="n">
        <v>0.203724093699411</v>
      </c>
      <c r="K101" s="1" t="n">
        <f aca="false">J101-I101</f>
        <v>-0.001616518158363</v>
      </c>
      <c r="L101" s="1" t="n">
        <v>0.764111372525898</v>
      </c>
    </row>
    <row r="102" customFormat="false" ht="15" hidden="false" customHeight="false" outlineLevel="0" collapsed="false">
      <c r="A102" s="1" t="s">
        <v>84</v>
      </c>
      <c r="B102" s="1" t="s">
        <v>85</v>
      </c>
      <c r="C102" s="1" t="s">
        <v>86</v>
      </c>
      <c r="D102" s="1" t="s">
        <v>19</v>
      </c>
      <c r="E102" s="1" t="s">
        <v>20</v>
      </c>
      <c r="F102" s="1" t="n">
        <v>36</v>
      </c>
      <c r="G102" s="2" t="s">
        <v>23</v>
      </c>
      <c r="H102" s="1" t="n">
        <v>0.1972</v>
      </c>
      <c r="I102" s="1" t="n">
        <v>0.294227744600778</v>
      </c>
      <c r="J102" s="1" t="n">
        <v>0.422489347993428</v>
      </c>
      <c r="K102" s="1" t="n">
        <f aca="false">J102-I102</f>
        <v>0.128261603392649</v>
      </c>
      <c r="L102" s="1" t="n">
        <v>0.612949588021736</v>
      </c>
    </row>
    <row r="103" customFormat="false" ht="15" hidden="false" customHeight="false" outlineLevel="0" collapsed="false">
      <c r="A103" s="1" t="s">
        <v>84</v>
      </c>
      <c r="B103" s="1" t="s">
        <v>85</v>
      </c>
      <c r="C103" s="1" t="s">
        <v>86</v>
      </c>
      <c r="D103" s="1" t="s">
        <v>19</v>
      </c>
      <c r="E103" s="1" t="s">
        <v>20</v>
      </c>
      <c r="F103" s="1" t="n">
        <v>36</v>
      </c>
      <c r="G103" s="2" t="s">
        <v>28</v>
      </c>
      <c r="H103" s="1" t="n">
        <v>0.1654</v>
      </c>
      <c r="I103" s="1" t="n">
        <v>0.246816946420236</v>
      </c>
      <c r="J103" s="1" t="n">
        <v>0.379938751776119</v>
      </c>
      <c r="K103" s="1" t="n">
        <f aca="false">J103-I103</f>
        <v>0.133121805355883</v>
      </c>
      <c r="L103" s="1" t="n">
        <v>0.612949588021736</v>
      </c>
    </row>
    <row r="104" customFormat="false" ht="15" hidden="false" customHeight="false" outlineLevel="0" collapsed="false">
      <c r="A104" s="1" t="s">
        <v>84</v>
      </c>
      <c r="B104" s="1" t="s">
        <v>85</v>
      </c>
      <c r="C104" s="1" t="s">
        <v>86</v>
      </c>
      <c r="D104" s="1" t="s">
        <v>19</v>
      </c>
      <c r="E104" s="1" t="s">
        <v>20</v>
      </c>
      <c r="F104" s="1" t="n">
        <v>36</v>
      </c>
      <c r="G104" s="2" t="s">
        <v>21</v>
      </c>
      <c r="H104" s="1" t="n">
        <v>0.1642</v>
      </c>
      <c r="I104" s="1" t="n">
        <v>0.244980835933781</v>
      </c>
      <c r="J104" s="1" t="n">
        <v>0.33065595942342</v>
      </c>
      <c r="K104" s="1" t="n">
        <f aca="false">J104-I104</f>
        <v>0.0856751234896385</v>
      </c>
      <c r="L104" s="1" t="n">
        <v>0.612949588021736</v>
      </c>
    </row>
    <row r="105" customFormat="false" ht="15" hidden="false" customHeight="false" outlineLevel="0" collapsed="false">
      <c r="A105" s="1" t="s">
        <v>84</v>
      </c>
      <c r="B105" s="1" t="s">
        <v>85</v>
      </c>
      <c r="C105" s="1" t="s">
        <v>86</v>
      </c>
      <c r="D105" s="1" t="s">
        <v>19</v>
      </c>
      <c r="E105" s="1" t="s">
        <v>20</v>
      </c>
      <c r="F105" s="1" t="n">
        <v>36</v>
      </c>
      <c r="G105" s="2" t="s">
        <v>24</v>
      </c>
      <c r="H105" s="1" t="n">
        <v>0.1614</v>
      </c>
      <c r="I105" s="1" t="n">
        <v>0.240820070555539</v>
      </c>
      <c r="J105" s="1" t="n">
        <v>0.285447766222037</v>
      </c>
      <c r="K105" s="1" t="n">
        <f aca="false">J105-I105</f>
        <v>0.0446276956664981</v>
      </c>
      <c r="L105" s="1" t="n">
        <v>0.612949588021736</v>
      </c>
    </row>
    <row r="106" customFormat="false" ht="15" hidden="false" customHeight="false" outlineLevel="0" collapsed="false">
      <c r="A106" s="1" t="s">
        <v>84</v>
      </c>
      <c r="B106" s="1" t="s">
        <v>85</v>
      </c>
      <c r="C106" s="1" t="s">
        <v>86</v>
      </c>
      <c r="D106" s="1" t="s">
        <v>19</v>
      </c>
      <c r="E106" s="1" t="s">
        <v>20</v>
      </c>
      <c r="F106" s="1" t="n">
        <v>36</v>
      </c>
      <c r="G106" s="2" t="s">
        <v>41</v>
      </c>
      <c r="H106" s="1" t="n">
        <v>0.1567</v>
      </c>
      <c r="I106" s="1" t="n">
        <v>0.23391780872474</v>
      </c>
      <c r="J106" s="1" t="n">
        <v>0.313462808526599</v>
      </c>
      <c r="K106" s="1" t="n">
        <f aca="false">J106-I106</f>
        <v>0.0795449998018586</v>
      </c>
      <c r="L106" s="1" t="n">
        <v>0.612949588021736</v>
      </c>
    </row>
    <row r="107" customFormat="false" ht="15" hidden="false" customHeight="false" outlineLevel="0" collapsed="false">
      <c r="A107" s="1" t="s">
        <v>84</v>
      </c>
      <c r="B107" s="1" t="s">
        <v>85</v>
      </c>
      <c r="C107" s="1" t="s">
        <v>86</v>
      </c>
      <c r="D107" s="1" t="s">
        <v>19</v>
      </c>
      <c r="E107" s="1" t="s">
        <v>20</v>
      </c>
      <c r="F107" s="1" t="n">
        <v>36</v>
      </c>
      <c r="G107" s="2" t="s">
        <v>22</v>
      </c>
      <c r="H107" s="1" t="n">
        <v>0.1552</v>
      </c>
      <c r="I107" s="1" t="n">
        <v>0.231588475876345</v>
      </c>
      <c r="J107" s="1" t="n">
        <v>0.323404697549929</v>
      </c>
      <c r="K107" s="1" t="n">
        <f aca="false">J107-I107</f>
        <v>0.0918162216735837</v>
      </c>
      <c r="L107" s="1" t="n">
        <v>0.612949588021736</v>
      </c>
    </row>
    <row r="108" customFormat="false" ht="15" hidden="false" customHeight="false" outlineLevel="0" collapsed="false">
      <c r="A108" s="1" t="s">
        <v>87</v>
      </c>
      <c r="B108" s="1" t="s">
        <v>88</v>
      </c>
      <c r="C108" s="1" t="s">
        <v>89</v>
      </c>
      <c r="D108" s="1" t="s">
        <v>19</v>
      </c>
      <c r="E108" s="1" t="s">
        <v>20</v>
      </c>
      <c r="F108" s="1" t="n">
        <v>38</v>
      </c>
      <c r="G108" s="2" t="s">
        <v>28</v>
      </c>
      <c r="H108" s="1" t="n">
        <v>0.1952</v>
      </c>
      <c r="I108" s="1" t="n">
        <v>0.277307494796121</v>
      </c>
      <c r="J108" s="1" t="n">
        <v>0.334261729800179</v>
      </c>
      <c r="K108" s="1" t="n">
        <f aca="false">J108-I108</f>
        <v>0.056954235004058</v>
      </c>
      <c r="L108" s="1" t="n">
        <v>0.761234455225827</v>
      </c>
    </row>
    <row r="109" customFormat="false" ht="15" hidden="false" customHeight="false" outlineLevel="0" collapsed="false">
      <c r="A109" s="1" t="s">
        <v>87</v>
      </c>
      <c r="B109" s="1" t="s">
        <v>88</v>
      </c>
      <c r="C109" s="1" t="s">
        <v>89</v>
      </c>
      <c r="D109" s="1" t="s">
        <v>19</v>
      </c>
      <c r="E109" s="1" t="s">
        <v>20</v>
      </c>
      <c r="F109" s="1" t="n">
        <v>38</v>
      </c>
      <c r="G109" s="2" t="s">
        <v>23</v>
      </c>
      <c r="H109" s="1" t="n">
        <v>0.1853</v>
      </c>
      <c r="I109" s="1" t="n">
        <v>0.263289357414776</v>
      </c>
      <c r="J109" s="1" t="n">
        <v>0.300714737074874</v>
      </c>
      <c r="K109" s="1" t="n">
        <f aca="false">J109-I109</f>
        <v>0.0374253796600973</v>
      </c>
      <c r="L109" s="1" t="n">
        <v>0.761234455225827</v>
      </c>
    </row>
    <row r="110" customFormat="false" ht="15" hidden="false" customHeight="false" outlineLevel="0" collapsed="false">
      <c r="A110" s="1" t="s">
        <v>87</v>
      </c>
      <c r="B110" s="1" t="s">
        <v>88</v>
      </c>
      <c r="C110" s="1" t="s">
        <v>89</v>
      </c>
      <c r="D110" s="1" t="s">
        <v>19</v>
      </c>
      <c r="E110" s="1" t="s">
        <v>20</v>
      </c>
      <c r="F110" s="1" t="n">
        <v>38</v>
      </c>
      <c r="G110" s="2" t="s">
        <v>22</v>
      </c>
      <c r="H110" s="1" t="n">
        <v>0.1839</v>
      </c>
      <c r="I110" s="1" t="n">
        <v>0.261311781948934</v>
      </c>
      <c r="J110" s="1" t="n">
        <v>0.276904953766612</v>
      </c>
      <c r="K110" s="1" t="n">
        <f aca="false">J110-I110</f>
        <v>0.0155931718176784</v>
      </c>
      <c r="L110" s="1" t="n">
        <v>0.761234455225827</v>
      </c>
    </row>
    <row r="111" customFormat="false" ht="15" hidden="false" customHeight="false" outlineLevel="0" collapsed="false">
      <c r="A111" s="1" t="s">
        <v>87</v>
      </c>
      <c r="B111" s="1" t="s">
        <v>88</v>
      </c>
      <c r="C111" s="1" t="s">
        <v>89</v>
      </c>
      <c r="D111" s="1" t="s">
        <v>19</v>
      </c>
      <c r="E111" s="1" t="s">
        <v>20</v>
      </c>
      <c r="F111" s="1" t="n">
        <v>38</v>
      </c>
      <c r="G111" s="2" t="s">
        <v>21</v>
      </c>
      <c r="H111" s="1" t="n">
        <v>0.1772</v>
      </c>
      <c r="I111" s="1" t="n">
        <v>0.251753823624335</v>
      </c>
      <c r="J111" s="1" t="n">
        <v>0.29698643150853</v>
      </c>
      <c r="K111" s="1" t="n">
        <f aca="false">J111-I111</f>
        <v>0.0452326078841953</v>
      </c>
      <c r="L111" s="1" t="n">
        <v>0.761234455225827</v>
      </c>
    </row>
    <row r="112" customFormat="false" ht="15" hidden="false" customHeight="false" outlineLevel="0" collapsed="false">
      <c r="A112" s="1" t="s">
        <v>87</v>
      </c>
      <c r="B112" s="1" t="s">
        <v>88</v>
      </c>
      <c r="C112" s="1" t="s">
        <v>89</v>
      </c>
      <c r="D112" s="1" t="s">
        <v>19</v>
      </c>
      <c r="E112" s="1" t="s">
        <v>20</v>
      </c>
      <c r="F112" s="1" t="n">
        <v>38</v>
      </c>
      <c r="G112" s="2" t="s">
        <v>41</v>
      </c>
      <c r="H112" s="1" t="n">
        <v>0.1584</v>
      </c>
      <c r="I112" s="1" t="n">
        <v>0.22500157915837</v>
      </c>
      <c r="J112" s="1" t="n">
        <v>0.298247546954131</v>
      </c>
      <c r="K112" s="1" t="n">
        <f aca="false">J112-I112</f>
        <v>0.0732459677957613</v>
      </c>
      <c r="L112" s="1" t="n">
        <v>0.761234455225827</v>
      </c>
    </row>
    <row r="113" customFormat="false" ht="15" hidden="false" customHeight="false" outlineLevel="0" collapsed="false">
      <c r="A113" s="1" t="s">
        <v>87</v>
      </c>
      <c r="B113" s="1" t="s">
        <v>88</v>
      </c>
      <c r="C113" s="1" t="s">
        <v>89</v>
      </c>
      <c r="D113" s="1" t="s">
        <v>19</v>
      </c>
      <c r="E113" s="1" t="s">
        <v>20</v>
      </c>
      <c r="F113" s="1" t="n">
        <v>38</v>
      </c>
      <c r="G113" s="2" t="s">
        <v>24</v>
      </c>
      <c r="H113" s="1" t="n">
        <v>0.1</v>
      </c>
      <c r="I113" s="1" t="n">
        <v>0.187546327306369</v>
      </c>
      <c r="J113" s="1" t="n">
        <v>0.257799696099027</v>
      </c>
      <c r="K113" s="1" t="n">
        <f aca="false">J113-I113</f>
        <v>0.0702533687926579</v>
      </c>
      <c r="L113" s="1" t="n">
        <v>0.761234455225827</v>
      </c>
    </row>
    <row r="114" customFormat="false" ht="15" hidden="false" customHeight="false" outlineLevel="0" collapsed="false">
      <c r="A114" s="1" t="s">
        <v>90</v>
      </c>
      <c r="B114" s="1" t="s">
        <v>91</v>
      </c>
      <c r="C114" s="1" t="s">
        <v>92</v>
      </c>
      <c r="D114" s="1" t="s">
        <v>19</v>
      </c>
      <c r="E114" s="1" t="s">
        <v>20</v>
      </c>
      <c r="F114" s="1" t="n">
        <v>40</v>
      </c>
      <c r="G114" s="2" t="s">
        <v>21</v>
      </c>
      <c r="H114" s="1" t="n">
        <v>0.1947</v>
      </c>
      <c r="I114" s="1" t="n">
        <v>0.329185033814736</v>
      </c>
      <c r="J114" s="1" t="n">
        <v>0.322957645244795</v>
      </c>
      <c r="K114" s="1" t="n">
        <f aca="false">J114-I114</f>
        <v>-0.00622738856994137</v>
      </c>
      <c r="L114" s="1" t="n">
        <v>0.708545748319991</v>
      </c>
    </row>
    <row r="115" customFormat="false" ht="15" hidden="false" customHeight="false" outlineLevel="0" collapsed="false">
      <c r="A115" s="1" t="s">
        <v>90</v>
      </c>
      <c r="B115" s="1" t="s">
        <v>91</v>
      </c>
      <c r="C115" s="1" t="s">
        <v>92</v>
      </c>
      <c r="D115" s="1" t="s">
        <v>19</v>
      </c>
      <c r="E115" s="1" t="s">
        <v>20</v>
      </c>
      <c r="F115" s="1" t="n">
        <v>40</v>
      </c>
      <c r="G115" s="2" t="s">
        <v>28</v>
      </c>
      <c r="H115" s="1" t="n">
        <v>0.1866</v>
      </c>
      <c r="I115" s="1" t="n">
        <v>0.315448763051178</v>
      </c>
      <c r="J115" s="1" t="n">
        <v>0.331785238015643</v>
      </c>
      <c r="K115" s="1" t="n">
        <f aca="false">J115-I115</f>
        <v>0.0163364749644648</v>
      </c>
      <c r="L115" s="1" t="n">
        <v>0.708545748319991</v>
      </c>
    </row>
    <row r="116" customFormat="false" ht="15" hidden="false" customHeight="false" outlineLevel="0" collapsed="false">
      <c r="A116" s="1" t="s">
        <v>90</v>
      </c>
      <c r="B116" s="1" t="s">
        <v>91</v>
      </c>
      <c r="C116" s="1" t="s">
        <v>92</v>
      </c>
      <c r="D116" s="1" t="s">
        <v>19</v>
      </c>
      <c r="E116" s="1" t="s">
        <v>20</v>
      </c>
      <c r="F116" s="1" t="n">
        <v>40</v>
      </c>
      <c r="G116" s="2" t="s">
        <v>41</v>
      </c>
      <c r="H116" s="1" t="n">
        <v>0.1803</v>
      </c>
      <c r="I116" s="1" t="n">
        <v>0.304797664032364</v>
      </c>
      <c r="J116" s="1" t="n">
        <v>0.311682562055237</v>
      </c>
      <c r="K116" s="1" t="n">
        <f aca="false">J116-I116</f>
        <v>0.00688489802287229</v>
      </c>
      <c r="L116" s="1" t="n">
        <v>0.708545748319991</v>
      </c>
    </row>
    <row r="117" customFormat="false" ht="15" hidden="false" customHeight="false" outlineLevel="0" collapsed="false">
      <c r="A117" s="1" t="s">
        <v>90</v>
      </c>
      <c r="B117" s="1" t="s">
        <v>91</v>
      </c>
      <c r="C117" s="1" t="s">
        <v>92</v>
      </c>
      <c r="D117" s="1" t="s">
        <v>19</v>
      </c>
      <c r="E117" s="1" t="s">
        <v>20</v>
      </c>
      <c r="F117" s="1" t="n">
        <v>40</v>
      </c>
      <c r="G117" s="2" t="s">
        <v>22</v>
      </c>
      <c r="H117" s="1" t="n">
        <v>0.1759</v>
      </c>
      <c r="I117" s="1" t="n">
        <v>0.297427006238069</v>
      </c>
      <c r="J117" s="1" t="n">
        <v>0.30684789949176</v>
      </c>
      <c r="K117" s="1" t="n">
        <f aca="false">J117-I117</f>
        <v>0.00942089325369167</v>
      </c>
      <c r="L117" s="1" t="n">
        <v>0.708545748319991</v>
      </c>
    </row>
    <row r="118" customFormat="false" ht="15" hidden="false" customHeight="false" outlineLevel="0" collapsed="false">
      <c r="A118" s="1" t="s">
        <v>90</v>
      </c>
      <c r="B118" s="1" t="s">
        <v>91</v>
      </c>
      <c r="C118" s="1" t="s">
        <v>92</v>
      </c>
      <c r="D118" s="1" t="s">
        <v>19</v>
      </c>
      <c r="E118" s="1" t="s">
        <v>20</v>
      </c>
      <c r="F118" s="1" t="n">
        <v>40</v>
      </c>
      <c r="G118" s="2" t="s">
        <v>23</v>
      </c>
      <c r="H118" s="1" t="n">
        <v>0.1625</v>
      </c>
      <c r="I118" s="1" t="n">
        <v>0.274674619385214</v>
      </c>
      <c r="J118" s="1" t="n">
        <v>0.34079030323889</v>
      </c>
      <c r="K118" s="1" t="n">
        <f aca="false">J118-I118</f>
        <v>0.0661156838536763</v>
      </c>
      <c r="L118" s="1" t="n">
        <v>0.708545748319991</v>
      </c>
    </row>
    <row r="119" customFormat="false" ht="15" hidden="false" customHeight="false" outlineLevel="0" collapsed="false">
      <c r="A119" s="1" t="s">
        <v>90</v>
      </c>
      <c r="B119" s="1" t="s">
        <v>91</v>
      </c>
      <c r="C119" s="1" t="s">
        <v>92</v>
      </c>
      <c r="D119" s="1" t="s">
        <v>19</v>
      </c>
      <c r="E119" s="1" t="s">
        <v>20</v>
      </c>
      <c r="F119" s="1" t="n">
        <v>40</v>
      </c>
      <c r="G119" s="2" t="s">
        <v>24</v>
      </c>
      <c r="H119" s="1" t="n">
        <v>0.1</v>
      </c>
      <c r="I119" s="1" t="n">
        <v>0.243261232394813</v>
      </c>
      <c r="J119" s="1" t="n">
        <v>0.276687239591462</v>
      </c>
      <c r="K119" s="1" t="n">
        <f aca="false">J119-I119</f>
        <v>0.0334260071966486</v>
      </c>
      <c r="L119" s="1" t="n">
        <v>0.708545748319991</v>
      </c>
    </row>
    <row r="120" customFormat="false" ht="15" hidden="false" customHeight="false" outlineLevel="0" collapsed="false">
      <c r="A120" s="1" t="s">
        <v>93</v>
      </c>
      <c r="B120" s="1" t="s">
        <v>94</v>
      </c>
      <c r="C120" s="1" t="s">
        <v>95</v>
      </c>
      <c r="D120" s="1" t="s">
        <v>19</v>
      </c>
      <c r="E120" s="1" t="s">
        <v>20</v>
      </c>
      <c r="F120" s="1" t="n">
        <v>42</v>
      </c>
      <c r="G120" s="2" t="s">
        <v>21</v>
      </c>
      <c r="H120" s="1" t="n">
        <v>0.197</v>
      </c>
      <c r="I120" s="1" t="n">
        <v>0.354327105684505</v>
      </c>
      <c r="J120" s="1" t="n">
        <v>0.338001098263661</v>
      </c>
      <c r="K120" s="1" t="n">
        <f aca="false">J120-I120</f>
        <v>-0.0163260074208439</v>
      </c>
      <c r="L120" s="1" t="n">
        <v>0.756069449327172</v>
      </c>
    </row>
    <row r="121" customFormat="false" ht="15" hidden="false" customHeight="false" outlineLevel="0" collapsed="false">
      <c r="A121" s="1" t="s">
        <v>93</v>
      </c>
      <c r="B121" s="1" t="s">
        <v>94</v>
      </c>
      <c r="C121" s="1" t="s">
        <v>95</v>
      </c>
      <c r="D121" s="1" t="s">
        <v>19</v>
      </c>
      <c r="E121" s="1" t="s">
        <v>20</v>
      </c>
      <c r="F121" s="1" t="n">
        <v>42</v>
      </c>
      <c r="G121" s="2" t="s">
        <v>41</v>
      </c>
      <c r="H121" s="1" t="n">
        <v>0.1891</v>
      </c>
      <c r="I121" s="1" t="n">
        <v>0.340162461371373</v>
      </c>
      <c r="J121" s="1" t="n">
        <v>0.340493511146158</v>
      </c>
      <c r="K121" s="1" t="n">
        <f aca="false">J121-I121</f>
        <v>0.000331049774785597</v>
      </c>
      <c r="L121" s="1" t="n">
        <v>0.756069449327172</v>
      </c>
    </row>
    <row r="122" customFormat="false" ht="15" hidden="false" customHeight="false" outlineLevel="0" collapsed="false">
      <c r="A122" s="1" t="s">
        <v>93</v>
      </c>
      <c r="B122" s="1" t="s">
        <v>94</v>
      </c>
      <c r="C122" s="1" t="s">
        <v>95</v>
      </c>
      <c r="D122" s="1" t="s">
        <v>19</v>
      </c>
      <c r="E122" s="1" t="s">
        <v>20</v>
      </c>
      <c r="F122" s="1" t="n">
        <v>42</v>
      </c>
      <c r="G122" s="2" t="s">
        <v>22</v>
      </c>
      <c r="H122" s="1" t="n">
        <v>0.1741</v>
      </c>
      <c r="I122" s="1" t="n">
        <v>0.313182220459618</v>
      </c>
      <c r="J122" s="1" t="n">
        <v>0.301315692442015</v>
      </c>
      <c r="K122" s="1" t="n">
        <f aca="false">J122-I122</f>
        <v>-0.011866528017603</v>
      </c>
      <c r="L122" s="1" t="n">
        <v>0.756069449327172</v>
      </c>
    </row>
    <row r="123" customFormat="false" ht="15" hidden="false" customHeight="false" outlineLevel="0" collapsed="false">
      <c r="A123" s="1" t="s">
        <v>93</v>
      </c>
      <c r="B123" s="1" t="s">
        <v>94</v>
      </c>
      <c r="C123" s="1" t="s">
        <v>95</v>
      </c>
      <c r="D123" s="1" t="s">
        <v>19</v>
      </c>
      <c r="E123" s="1" t="s">
        <v>20</v>
      </c>
      <c r="F123" s="1" t="n">
        <v>42</v>
      </c>
      <c r="G123" s="2" t="s">
        <v>23</v>
      </c>
      <c r="H123" s="1" t="n">
        <v>0.171</v>
      </c>
      <c r="I123" s="1" t="n">
        <v>0.307472789535147</v>
      </c>
      <c r="J123" s="1" t="n">
        <v>0.346532605521133</v>
      </c>
      <c r="K123" s="1" t="n">
        <f aca="false">J123-I123</f>
        <v>0.0390598159859855</v>
      </c>
      <c r="L123" s="1" t="n">
        <v>0.756069449327172</v>
      </c>
    </row>
    <row r="124" customFormat="false" ht="15" hidden="false" customHeight="false" outlineLevel="0" collapsed="false">
      <c r="A124" s="1" t="s">
        <v>93</v>
      </c>
      <c r="B124" s="1" t="s">
        <v>94</v>
      </c>
      <c r="C124" s="1" t="s">
        <v>95</v>
      </c>
      <c r="D124" s="1" t="s">
        <v>19</v>
      </c>
      <c r="E124" s="1" t="s">
        <v>20</v>
      </c>
      <c r="F124" s="1" t="n">
        <v>42</v>
      </c>
      <c r="G124" s="2" t="s">
        <v>29</v>
      </c>
      <c r="H124" s="1" t="n">
        <v>0.1687</v>
      </c>
      <c r="I124" s="1" t="n">
        <v>0.30346533913923</v>
      </c>
      <c r="J124" s="1" t="n">
        <v>0.270111610607106</v>
      </c>
      <c r="K124" s="1" t="n">
        <f aca="false">J124-I124</f>
        <v>-0.0333537285321243</v>
      </c>
      <c r="L124" s="1" t="n">
        <v>0.756069449327172</v>
      </c>
    </row>
    <row r="125" customFormat="false" ht="15" hidden="false" customHeight="false" outlineLevel="0" collapsed="false">
      <c r="A125" s="1" t="s">
        <v>93</v>
      </c>
      <c r="B125" s="1" t="s">
        <v>94</v>
      </c>
      <c r="C125" s="1" t="s">
        <v>95</v>
      </c>
      <c r="D125" s="1" t="s">
        <v>19</v>
      </c>
      <c r="E125" s="1" t="s">
        <v>20</v>
      </c>
      <c r="F125" s="1" t="n">
        <v>42</v>
      </c>
      <c r="G125" s="2" t="s">
        <v>24</v>
      </c>
      <c r="H125" s="1" t="n">
        <v>0.1</v>
      </c>
      <c r="I125" s="1" t="n">
        <v>0.276226590229528</v>
      </c>
      <c r="J125" s="1" t="n">
        <v>0.272040177548523</v>
      </c>
      <c r="K125" s="1" t="n">
        <f aca="false">J125-I125</f>
        <v>-0.00418641268100589</v>
      </c>
      <c r="L125" s="1" t="n">
        <v>0.756069449327172</v>
      </c>
    </row>
    <row r="126" customFormat="false" ht="15" hidden="false" customHeight="false" outlineLevel="0" collapsed="false">
      <c r="A126" s="1" t="s">
        <v>96</v>
      </c>
      <c r="B126" s="1" t="s">
        <v>97</v>
      </c>
      <c r="C126" s="1" t="s">
        <v>98</v>
      </c>
      <c r="D126" s="1" t="s">
        <v>19</v>
      </c>
      <c r="E126" s="1" t="s">
        <v>20</v>
      </c>
      <c r="F126" s="1" t="n">
        <v>44</v>
      </c>
      <c r="G126" s="2" t="s">
        <v>21</v>
      </c>
      <c r="H126" s="1" t="n">
        <v>0.1839</v>
      </c>
      <c r="I126" s="1" t="n">
        <v>0.354436617360015</v>
      </c>
      <c r="J126" s="1" t="n">
        <v>0.299130277755402</v>
      </c>
      <c r="K126" s="1" t="n">
        <f aca="false">J126-I126</f>
        <v>-0.0553063396046129</v>
      </c>
      <c r="L126" s="1" t="n">
        <v>0.671531865451319</v>
      </c>
    </row>
    <row r="127" customFormat="false" ht="15" hidden="false" customHeight="false" outlineLevel="0" collapsed="false">
      <c r="A127" s="1" t="s">
        <v>96</v>
      </c>
      <c r="B127" s="1" t="s">
        <v>97</v>
      </c>
      <c r="C127" s="1" t="s">
        <v>98</v>
      </c>
      <c r="D127" s="1" t="s">
        <v>19</v>
      </c>
      <c r="E127" s="1" t="s">
        <v>20</v>
      </c>
      <c r="F127" s="1" t="n">
        <v>44</v>
      </c>
      <c r="G127" s="2" t="s">
        <v>41</v>
      </c>
      <c r="H127" s="1" t="n">
        <v>0.182</v>
      </c>
      <c r="I127" s="1" t="n">
        <v>0.350857851678297</v>
      </c>
      <c r="J127" s="1" t="n">
        <v>0.286773161189039</v>
      </c>
      <c r="K127" s="1" t="n">
        <f aca="false">J127-I127</f>
        <v>-0.0640846904892582</v>
      </c>
      <c r="L127" s="1" t="n">
        <v>0.671531865451319</v>
      </c>
    </row>
    <row r="128" customFormat="false" ht="15" hidden="false" customHeight="false" outlineLevel="0" collapsed="false">
      <c r="A128" s="1" t="s">
        <v>96</v>
      </c>
      <c r="B128" s="1" t="s">
        <v>97</v>
      </c>
      <c r="C128" s="1" t="s">
        <v>98</v>
      </c>
      <c r="D128" s="1" t="s">
        <v>19</v>
      </c>
      <c r="E128" s="1" t="s">
        <v>20</v>
      </c>
      <c r="F128" s="1" t="n">
        <v>44</v>
      </c>
      <c r="G128" s="2" t="s">
        <v>23</v>
      </c>
      <c r="H128" s="1" t="n">
        <v>0.1729</v>
      </c>
      <c r="I128" s="1" t="n">
        <v>0.333256550693556</v>
      </c>
      <c r="J128" s="1" t="n">
        <v>0.314992987462568</v>
      </c>
      <c r="K128" s="1" t="n">
        <f aca="false">J128-I128</f>
        <v>-0.018263563230988</v>
      </c>
      <c r="L128" s="1" t="n">
        <v>0.671531865451319</v>
      </c>
    </row>
    <row r="129" customFormat="false" ht="15" hidden="false" customHeight="false" outlineLevel="0" collapsed="false">
      <c r="A129" s="1" t="s">
        <v>96</v>
      </c>
      <c r="B129" s="1" t="s">
        <v>97</v>
      </c>
      <c r="C129" s="1" t="s">
        <v>98</v>
      </c>
      <c r="D129" s="1" t="s">
        <v>19</v>
      </c>
      <c r="E129" s="1" t="s">
        <v>20</v>
      </c>
      <c r="F129" s="1" t="n">
        <v>44</v>
      </c>
      <c r="G129" s="2" t="s">
        <v>28</v>
      </c>
      <c r="H129" s="1" t="n">
        <v>0.1655</v>
      </c>
      <c r="I129" s="1" t="n">
        <v>0.319026926311873</v>
      </c>
      <c r="J129" s="1" t="n">
        <v>0.302572014249854</v>
      </c>
      <c r="K129" s="1" t="n">
        <f aca="false">J129-I129</f>
        <v>-0.0164549120620186</v>
      </c>
      <c r="L129" s="1" t="n">
        <v>0.671531865451319</v>
      </c>
    </row>
    <row r="130" customFormat="false" ht="15" hidden="false" customHeight="false" outlineLevel="0" collapsed="false">
      <c r="A130" s="1" t="s">
        <v>96</v>
      </c>
      <c r="B130" s="1" t="s">
        <v>97</v>
      </c>
      <c r="C130" s="1" t="s">
        <v>98</v>
      </c>
      <c r="D130" s="1" t="s">
        <v>19</v>
      </c>
      <c r="E130" s="1" t="s">
        <v>20</v>
      </c>
      <c r="F130" s="1" t="n">
        <v>44</v>
      </c>
      <c r="G130" s="2" t="s">
        <v>22</v>
      </c>
      <c r="H130" s="1" t="n">
        <v>0.1491</v>
      </c>
      <c r="I130" s="1" t="n">
        <v>0.287378010815422</v>
      </c>
      <c r="J130" s="1" t="n">
        <v>0.248372907960009</v>
      </c>
      <c r="K130" s="1" t="n">
        <f aca="false">J130-I130</f>
        <v>-0.0390051028554131</v>
      </c>
      <c r="L130" s="1" t="n">
        <v>0.671531865451319</v>
      </c>
    </row>
    <row r="131" customFormat="false" ht="15" hidden="false" customHeight="false" outlineLevel="0" collapsed="false">
      <c r="A131" s="1" t="s">
        <v>96</v>
      </c>
      <c r="B131" s="1" t="s">
        <v>97</v>
      </c>
      <c r="C131" s="1" t="s">
        <v>98</v>
      </c>
      <c r="D131" s="1" t="s">
        <v>19</v>
      </c>
      <c r="E131" s="1" t="s">
        <v>20</v>
      </c>
      <c r="F131" s="1" t="n">
        <v>44</v>
      </c>
      <c r="G131" s="2" t="s">
        <v>24</v>
      </c>
      <c r="H131" s="1" t="n">
        <v>0.1466</v>
      </c>
      <c r="I131" s="1" t="n">
        <v>0.282577042042424</v>
      </c>
      <c r="J131" s="1" t="n">
        <v>0.263175084910062</v>
      </c>
      <c r="K131" s="1" t="n">
        <f aca="false">J131-I131</f>
        <v>-0.0194019571323624</v>
      </c>
      <c r="L131" s="1" t="n">
        <v>0.671531865451319</v>
      </c>
    </row>
    <row r="132" customFormat="false" ht="15" hidden="false" customHeight="false" outlineLevel="0" collapsed="false">
      <c r="A132" s="1" t="s">
        <v>99</v>
      </c>
      <c r="B132" s="1" t="s">
        <v>100</v>
      </c>
      <c r="C132" s="1" t="s">
        <v>101</v>
      </c>
      <c r="D132" s="1" t="s">
        <v>19</v>
      </c>
      <c r="E132" s="1" t="s">
        <v>20</v>
      </c>
      <c r="F132" s="1" t="n">
        <v>46</v>
      </c>
      <c r="G132" s="2" t="s">
        <v>28</v>
      </c>
      <c r="H132" s="1" t="n">
        <v>0.1914</v>
      </c>
      <c r="I132" s="1" t="n">
        <v>0.295393813811257</v>
      </c>
      <c r="J132" s="1" t="n">
        <v>0.386453648131072</v>
      </c>
      <c r="K132" s="1" t="n">
        <f aca="false">J132-I132</f>
        <v>0.0910598343198152</v>
      </c>
      <c r="L132" s="1" t="n">
        <v>0.793327292068252</v>
      </c>
    </row>
    <row r="133" customFormat="false" ht="15" hidden="false" customHeight="false" outlineLevel="0" collapsed="false">
      <c r="A133" s="1" t="s">
        <v>99</v>
      </c>
      <c r="B133" s="1" t="s">
        <v>100</v>
      </c>
      <c r="C133" s="1" t="s">
        <v>101</v>
      </c>
      <c r="D133" s="1" t="s">
        <v>19</v>
      </c>
      <c r="E133" s="1" t="s">
        <v>20</v>
      </c>
      <c r="F133" s="1" t="n">
        <v>46</v>
      </c>
      <c r="G133" s="2" t="s">
        <v>21</v>
      </c>
      <c r="H133" s="1" t="n">
        <v>0.1913</v>
      </c>
      <c r="I133" s="1" t="n">
        <v>0.295267926948721</v>
      </c>
      <c r="J133" s="1" t="n">
        <v>0.351561436015297</v>
      </c>
      <c r="K133" s="1" t="n">
        <f aca="false">J133-I133</f>
        <v>0.0562935090665753</v>
      </c>
      <c r="L133" s="1" t="n">
        <v>0.793327292068252</v>
      </c>
    </row>
    <row r="134" customFormat="false" ht="15" hidden="false" customHeight="false" outlineLevel="0" collapsed="false">
      <c r="A134" s="1" t="s">
        <v>99</v>
      </c>
      <c r="B134" s="1" t="s">
        <v>100</v>
      </c>
      <c r="C134" s="1" t="s">
        <v>101</v>
      </c>
      <c r="D134" s="1" t="s">
        <v>19</v>
      </c>
      <c r="E134" s="1" t="s">
        <v>20</v>
      </c>
      <c r="F134" s="1" t="n">
        <v>46</v>
      </c>
      <c r="G134" s="2" t="s">
        <v>23</v>
      </c>
      <c r="H134" s="1" t="n">
        <v>0.1836</v>
      </c>
      <c r="I134" s="1" t="n">
        <v>0.283413533031853</v>
      </c>
      <c r="J134" s="1" t="n">
        <v>0.327404174811811</v>
      </c>
      <c r="K134" s="1" t="n">
        <f aca="false">J134-I134</f>
        <v>0.0439906417799578</v>
      </c>
      <c r="L134" s="1" t="n">
        <v>0.793327292068252</v>
      </c>
    </row>
    <row r="135" customFormat="false" ht="15" hidden="false" customHeight="false" outlineLevel="0" collapsed="false">
      <c r="A135" s="1" t="s">
        <v>99</v>
      </c>
      <c r="B135" s="1" t="s">
        <v>100</v>
      </c>
      <c r="C135" s="1" t="s">
        <v>101</v>
      </c>
      <c r="D135" s="1" t="s">
        <v>19</v>
      </c>
      <c r="E135" s="1" t="s">
        <v>20</v>
      </c>
      <c r="F135" s="1" t="n">
        <v>46</v>
      </c>
      <c r="G135" s="2" t="s">
        <v>41</v>
      </c>
      <c r="H135" s="1" t="n">
        <v>0.1759</v>
      </c>
      <c r="I135" s="1" t="n">
        <v>0.271501116882588</v>
      </c>
      <c r="J135" s="1" t="n">
        <v>0.357517378770692</v>
      </c>
      <c r="K135" s="1" t="n">
        <f aca="false">J135-I135</f>
        <v>0.0860162618881039</v>
      </c>
      <c r="L135" s="1" t="n">
        <v>0.793327292068252</v>
      </c>
    </row>
    <row r="136" customFormat="false" ht="15" hidden="false" customHeight="false" outlineLevel="0" collapsed="false">
      <c r="A136" s="1" t="s">
        <v>99</v>
      </c>
      <c r="B136" s="1" t="s">
        <v>100</v>
      </c>
      <c r="C136" s="1" t="s">
        <v>101</v>
      </c>
      <c r="D136" s="1" t="s">
        <v>19</v>
      </c>
      <c r="E136" s="1" t="s">
        <v>20</v>
      </c>
      <c r="F136" s="1" t="n">
        <v>46</v>
      </c>
      <c r="G136" s="2" t="s">
        <v>67</v>
      </c>
      <c r="H136" s="1" t="n">
        <v>0.1577</v>
      </c>
      <c r="I136" s="1" t="n">
        <v>0.243436652209272</v>
      </c>
      <c r="J136" s="1" t="n">
        <v>0.337143461166598</v>
      </c>
      <c r="K136" s="1" t="n">
        <f aca="false">J136-I136</f>
        <v>0.0937068089573259</v>
      </c>
      <c r="L136" s="1" t="n">
        <v>0.793327292068252</v>
      </c>
    </row>
    <row r="137" customFormat="false" ht="15" hidden="false" customHeight="false" outlineLevel="0" collapsed="false">
      <c r="A137" s="1" t="s">
        <v>99</v>
      </c>
      <c r="B137" s="1" t="s">
        <v>100</v>
      </c>
      <c r="C137" s="1" t="s">
        <v>101</v>
      </c>
      <c r="D137" s="1" t="s">
        <v>19</v>
      </c>
      <c r="E137" s="1" t="s">
        <v>20</v>
      </c>
      <c r="F137" s="1" t="n">
        <v>46</v>
      </c>
      <c r="G137" s="2" t="s">
        <v>24</v>
      </c>
      <c r="H137" s="1" t="n">
        <v>0.1</v>
      </c>
      <c r="I137" s="1" t="n">
        <v>0.235561569602833</v>
      </c>
      <c r="J137" s="1" t="n">
        <v>0.319913828250527</v>
      </c>
      <c r="K137" s="1" t="n">
        <f aca="false">J137-I137</f>
        <v>0.084352258647694</v>
      </c>
      <c r="L137" s="1" t="n">
        <v>0.793327292068252</v>
      </c>
    </row>
    <row r="138" customFormat="false" ht="15" hidden="false" customHeight="false" outlineLevel="0" collapsed="false">
      <c r="A138" s="1" t="s">
        <v>102</v>
      </c>
      <c r="B138" s="1" t="s">
        <v>103</v>
      </c>
      <c r="C138" s="1" t="s">
        <v>104</v>
      </c>
      <c r="D138" s="1" t="s">
        <v>19</v>
      </c>
      <c r="E138" s="1" t="s">
        <v>20</v>
      </c>
      <c r="F138" s="1" t="n">
        <v>48</v>
      </c>
      <c r="G138" s="2" t="s">
        <v>28</v>
      </c>
      <c r="H138" s="1" t="n">
        <v>0.2005</v>
      </c>
      <c r="I138" s="1" t="n">
        <v>0.317889819237059</v>
      </c>
      <c r="J138" s="1" t="n">
        <v>0.333032072960948</v>
      </c>
      <c r="K138" s="1" t="n">
        <f aca="false">J138-I138</f>
        <v>0.015142253723889</v>
      </c>
      <c r="L138" s="1" t="n">
        <v>0.762254565867078</v>
      </c>
    </row>
    <row r="139" customFormat="false" ht="15" hidden="false" customHeight="false" outlineLevel="0" collapsed="false">
      <c r="A139" s="1" t="s">
        <v>102</v>
      </c>
      <c r="B139" s="1" t="s">
        <v>103</v>
      </c>
      <c r="C139" s="1" t="s">
        <v>104</v>
      </c>
      <c r="D139" s="1" t="s">
        <v>19</v>
      </c>
      <c r="E139" s="1" t="s">
        <v>20</v>
      </c>
      <c r="F139" s="1" t="n">
        <v>48</v>
      </c>
      <c r="G139" s="2" t="s">
        <v>21</v>
      </c>
      <c r="H139" s="1" t="n">
        <v>0.1845</v>
      </c>
      <c r="I139" s="1" t="n">
        <v>0.292448619449921</v>
      </c>
      <c r="J139" s="1" t="n">
        <v>0.272898902074236</v>
      </c>
      <c r="K139" s="1" t="n">
        <f aca="false">J139-I139</f>
        <v>-0.0195497173756852</v>
      </c>
      <c r="L139" s="1" t="n">
        <v>0.762254565867078</v>
      </c>
    </row>
    <row r="140" customFormat="false" ht="15" hidden="false" customHeight="false" outlineLevel="0" collapsed="false">
      <c r="A140" s="1" t="s">
        <v>102</v>
      </c>
      <c r="B140" s="1" t="s">
        <v>103</v>
      </c>
      <c r="C140" s="1" t="s">
        <v>104</v>
      </c>
      <c r="D140" s="1" t="s">
        <v>19</v>
      </c>
      <c r="E140" s="1" t="s">
        <v>20</v>
      </c>
      <c r="F140" s="1" t="n">
        <v>48</v>
      </c>
      <c r="G140" s="2" t="s">
        <v>41</v>
      </c>
      <c r="H140" s="1" t="n">
        <v>0.1802</v>
      </c>
      <c r="I140" s="1" t="n">
        <v>0.28560003985832</v>
      </c>
      <c r="J140" s="1" t="n">
        <v>0.276784837655094</v>
      </c>
      <c r="K140" s="1" t="n">
        <f aca="false">J140-I140</f>
        <v>-0.00881520220322662</v>
      </c>
      <c r="L140" s="1" t="n">
        <v>0.762254565867078</v>
      </c>
    </row>
    <row r="141" customFormat="false" ht="15" hidden="false" customHeight="false" outlineLevel="0" collapsed="false">
      <c r="A141" s="1" t="s">
        <v>102</v>
      </c>
      <c r="B141" s="1" t="s">
        <v>103</v>
      </c>
      <c r="C141" s="1" t="s">
        <v>104</v>
      </c>
      <c r="D141" s="1" t="s">
        <v>19</v>
      </c>
      <c r="E141" s="1" t="s">
        <v>20</v>
      </c>
      <c r="F141" s="1" t="n">
        <v>48</v>
      </c>
      <c r="G141" s="2" t="s">
        <v>23</v>
      </c>
      <c r="H141" s="1" t="n">
        <v>0.1704</v>
      </c>
      <c r="I141" s="1" t="n">
        <v>0.27006229284568</v>
      </c>
      <c r="J141" s="1" t="n">
        <v>0.299593936529936</v>
      </c>
      <c r="K141" s="1" t="n">
        <f aca="false">J141-I141</f>
        <v>0.0295316436842552</v>
      </c>
      <c r="L141" s="1" t="n">
        <v>0.762254565867078</v>
      </c>
    </row>
    <row r="142" customFormat="false" ht="15" hidden="false" customHeight="false" outlineLevel="0" collapsed="false">
      <c r="A142" s="1" t="s">
        <v>102</v>
      </c>
      <c r="B142" s="1" t="s">
        <v>103</v>
      </c>
      <c r="C142" s="1" t="s">
        <v>104</v>
      </c>
      <c r="D142" s="1" t="s">
        <v>19</v>
      </c>
      <c r="E142" s="1" t="s">
        <v>20</v>
      </c>
      <c r="F142" s="1" t="n">
        <v>48</v>
      </c>
      <c r="G142" s="2" t="s">
        <v>67</v>
      </c>
      <c r="H142" s="1" t="n">
        <v>0.1644</v>
      </c>
      <c r="I142" s="1" t="n">
        <v>0.260626373919856</v>
      </c>
      <c r="J142" s="1" t="n">
        <v>0.258083435575362</v>
      </c>
      <c r="K142" s="1" t="n">
        <f aca="false">J142-I142</f>
        <v>-0.00254293834449393</v>
      </c>
      <c r="L142" s="1" t="n">
        <v>0.762254565867078</v>
      </c>
    </row>
    <row r="143" customFormat="false" ht="15" hidden="false" customHeight="false" outlineLevel="0" collapsed="false">
      <c r="A143" s="1" t="s">
        <v>102</v>
      </c>
      <c r="B143" s="1" t="s">
        <v>103</v>
      </c>
      <c r="C143" s="1" t="s">
        <v>104</v>
      </c>
      <c r="D143" s="1" t="s">
        <v>19</v>
      </c>
      <c r="E143" s="1" t="s">
        <v>20</v>
      </c>
      <c r="F143" s="1" t="n">
        <v>48</v>
      </c>
      <c r="G143" s="2" t="s">
        <v>24</v>
      </c>
      <c r="H143" s="1" t="n">
        <v>0.1</v>
      </c>
      <c r="I143" s="1" t="n">
        <v>0.239361206487356</v>
      </c>
      <c r="J143" s="1" t="n">
        <v>0.2338735960945</v>
      </c>
      <c r="K143" s="1" t="n">
        <f aca="false">J143-I143</f>
        <v>-0.00548761039285631</v>
      </c>
      <c r="L143" s="1" t="n">
        <v>0.762254565867078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11" activeCellId="0" sqref="B11"/>
    </sheetView>
  </sheetViews>
  <sheetFormatPr defaultColWidth="14.0703125" defaultRowHeight="12.8" customHeight="false" zeroHeight="false" outlineLevelRow="0" outlineLevelCol="0"/>
  <sheetData>
    <row r="1" customFormat="false" ht="12.8" hidden="false" customHeight="false" outlineLevel="0" collapsed="false">
      <c r="A1" s="5" t="s">
        <v>105</v>
      </c>
      <c r="B1" s="5"/>
    </row>
    <row r="2" customFormat="false" ht="12.8" hidden="false" customHeight="false" outlineLevel="0" collapsed="false">
      <c r="A2" s="5"/>
      <c r="B2" s="5"/>
    </row>
    <row r="3" customFormat="false" ht="12.8" hidden="false" customHeight="false" outlineLevel="0" collapsed="false">
      <c r="A3" s="5" t="s">
        <v>106</v>
      </c>
      <c r="B3" s="6" t="n">
        <f aca="false">scen7_hybsem!P2</f>
        <v>141</v>
      </c>
    </row>
    <row r="4" customFormat="false" ht="12.8" hidden="false" customHeight="false" outlineLevel="0" collapsed="false">
      <c r="A4" s="5" t="s">
        <v>107</v>
      </c>
      <c r="B4" s="5" t="n">
        <f aca="false">B10*SQRT((B3-2)/(1-B10^2))</f>
        <v>1.77477584769516</v>
      </c>
    </row>
    <row r="5" customFormat="false" ht="12.8" hidden="false" customHeight="false" outlineLevel="0" collapsed="false">
      <c r="A5" s="5" t="s">
        <v>108</v>
      </c>
      <c r="B5" s="5" t="n">
        <f aca="false">_xlfn.T.DIST.2T(ABS(B4),B3-2)</f>
        <v>0.078123774631253</v>
      </c>
    </row>
    <row r="6" customFormat="false" ht="12.8" hidden="false" customHeight="false" outlineLevel="0" collapsed="false">
      <c r="A6" s="5"/>
      <c r="B6" s="7"/>
    </row>
    <row r="7" customFormat="false" ht="12.8" hidden="false" customHeight="false" outlineLevel="0" collapsed="false">
      <c r="A7" s="5"/>
      <c r="B7" s="7"/>
    </row>
    <row r="8" customFormat="false" ht="12.8" hidden="false" customHeight="false" outlineLevel="0" collapsed="false">
      <c r="A8" s="5"/>
      <c r="B8" s="7"/>
    </row>
    <row r="9" customFormat="false" ht="28.05" hidden="false" customHeight="false" outlineLevel="0" collapsed="false">
      <c r="A9" s="3" t="s">
        <v>12</v>
      </c>
      <c r="B9" s="3" t="s">
        <v>14</v>
      </c>
    </row>
    <row r="10" customFormat="false" ht="12.8" hidden="false" customHeight="false" outlineLevel="0" collapsed="false">
      <c r="A10" s="8" t="n">
        <f aca="false">B3</f>
        <v>141</v>
      </c>
      <c r="B10" s="8" t="n">
        <f aca="false">scen7_hybsem!R2</f>
        <v>0.148857368975605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2" activeCellId="0" sqref="B2"/>
    </sheetView>
  </sheetViews>
  <sheetFormatPr defaultColWidth="14.0703125" defaultRowHeight="12.8" customHeight="false" zeroHeight="false" outlineLevelRow="0" outlineLevelCol="0"/>
  <sheetData>
    <row r="1" customFormat="false" ht="12.8" hidden="false" customHeight="false" outlineLevel="0" collapsed="false">
      <c r="A1" s="9" t="s">
        <v>109</v>
      </c>
      <c r="B1" s="9"/>
    </row>
    <row r="2" customFormat="false" ht="12.8" hidden="false" customHeight="false" outlineLevel="0" collapsed="false">
      <c r="A2" s="10" t="s">
        <v>110</v>
      </c>
      <c r="B2" s="4" t="s">
        <v>111</v>
      </c>
    </row>
    <row r="3" customFormat="false" ht="12.8" hidden="false" customHeight="false" outlineLevel="0" collapsed="false">
      <c r="A3" s="7" t="n">
        <v>1</v>
      </c>
      <c r="B3" s="1" t="n">
        <v>0.724099533668665</v>
      </c>
    </row>
    <row r="4" customFormat="false" ht="12.8" hidden="false" customHeight="false" outlineLevel="0" collapsed="false">
      <c r="A4" s="7" t="n">
        <v>2</v>
      </c>
      <c r="B4" s="1" t="n">
        <v>0.690405786547539</v>
      </c>
    </row>
    <row r="5" customFormat="false" ht="12.8" hidden="false" customHeight="false" outlineLevel="0" collapsed="false">
      <c r="A5" s="7" t="n">
        <v>3</v>
      </c>
      <c r="B5" s="1" t="n">
        <v>0.664424091143094</v>
      </c>
    </row>
    <row r="6" customFormat="false" ht="12.8" hidden="false" customHeight="false" outlineLevel="0" collapsed="false">
      <c r="A6" s="7" t="n">
        <v>4</v>
      </c>
      <c r="B6" s="1" t="n">
        <v>0.737872088358781</v>
      </c>
    </row>
    <row r="7" customFormat="false" ht="12.8" hidden="false" customHeight="false" outlineLevel="0" collapsed="false">
      <c r="A7" s="7" t="n">
        <v>5</v>
      </c>
      <c r="B7" s="1" t="n">
        <v>0.731664951542418</v>
      </c>
    </row>
    <row r="8" customFormat="false" ht="12.8" hidden="false" customHeight="false" outlineLevel="0" collapsed="false">
      <c r="A8" s="7" t="n">
        <v>6</v>
      </c>
      <c r="B8" s="1" t="n">
        <v>0.72767431707301</v>
      </c>
    </row>
    <row r="9" customFormat="false" ht="12.8" hidden="false" customHeight="false" outlineLevel="0" collapsed="false">
      <c r="A9" s="7" t="n">
        <v>7</v>
      </c>
      <c r="B9" s="1" t="n">
        <v>0.785159172931949</v>
      </c>
    </row>
    <row r="10" customFormat="false" ht="12.8" hidden="false" customHeight="false" outlineLevel="0" collapsed="false">
      <c r="A10" s="7" t="n">
        <v>8</v>
      </c>
      <c r="B10" s="1" t="n">
        <v>0.699365933104337</v>
      </c>
    </row>
    <row r="11" customFormat="false" ht="12.8" hidden="false" customHeight="false" outlineLevel="0" collapsed="false">
      <c r="A11" s="7" t="n">
        <v>9</v>
      </c>
      <c r="B11" s="1" t="n">
        <v>0.74686473255493</v>
      </c>
    </row>
    <row r="12" customFormat="false" ht="12.8" hidden="false" customHeight="false" outlineLevel="0" collapsed="false">
      <c r="A12" s="7" t="n">
        <v>10</v>
      </c>
      <c r="B12" s="1" t="n">
        <v>0.68571667055349</v>
      </c>
    </row>
    <row r="13" customFormat="false" ht="12.8" hidden="false" customHeight="false" outlineLevel="0" collapsed="false">
      <c r="A13" s="7" t="n">
        <v>11</v>
      </c>
      <c r="B13" s="1" t="n">
        <v>0.765114909147396</v>
      </c>
    </row>
    <row r="14" customFormat="false" ht="12.8" hidden="false" customHeight="false" outlineLevel="0" collapsed="false">
      <c r="A14" s="7" t="n">
        <v>12</v>
      </c>
      <c r="B14" s="1" t="n">
        <v>0.736644236479232</v>
      </c>
    </row>
    <row r="15" customFormat="false" ht="12.8" hidden="false" customHeight="false" outlineLevel="0" collapsed="false">
      <c r="A15" s="7" t="n">
        <v>13</v>
      </c>
      <c r="B15" s="1" t="n">
        <v>0.678666511575506</v>
      </c>
    </row>
    <row r="16" customFormat="false" ht="12.8" hidden="false" customHeight="false" outlineLevel="0" collapsed="false">
      <c r="A16" s="7" t="n">
        <v>14</v>
      </c>
      <c r="B16" s="1" t="n">
        <v>0.800148648147254</v>
      </c>
    </row>
    <row r="17" customFormat="false" ht="12.8" hidden="false" customHeight="false" outlineLevel="0" collapsed="false">
      <c r="A17" s="7" t="n">
        <v>15</v>
      </c>
      <c r="B17" s="1" t="n">
        <v>0.613656437383168</v>
      </c>
    </row>
    <row r="18" customFormat="false" ht="12.8" hidden="false" customHeight="false" outlineLevel="0" collapsed="false">
      <c r="A18" s="7" t="n">
        <v>16</v>
      </c>
      <c r="B18" s="1" t="n">
        <v>0.70191452728509</v>
      </c>
    </row>
    <row r="19" customFormat="false" ht="12.8" hidden="false" customHeight="false" outlineLevel="0" collapsed="false">
      <c r="A19" s="7" t="n">
        <v>17</v>
      </c>
      <c r="B19" s="1" t="n">
        <v>0.696040981259132</v>
      </c>
    </row>
    <row r="20" customFormat="false" ht="12.8" hidden="false" customHeight="false" outlineLevel="0" collapsed="false">
      <c r="A20" s="7" t="n">
        <v>18</v>
      </c>
      <c r="B20" s="1" t="n">
        <v>0.764111372525898</v>
      </c>
    </row>
    <row r="21" customFormat="false" ht="12.8" hidden="false" customHeight="false" outlineLevel="0" collapsed="false">
      <c r="A21" s="7" t="n">
        <v>19</v>
      </c>
      <c r="B21" s="1" t="n">
        <v>0.612949588021736</v>
      </c>
    </row>
    <row r="22" customFormat="false" ht="12.8" hidden="false" customHeight="false" outlineLevel="0" collapsed="false">
      <c r="A22" s="7" t="n">
        <v>20</v>
      </c>
      <c r="B22" s="1" t="n">
        <v>0.761234455225827</v>
      </c>
    </row>
    <row r="23" customFormat="false" ht="12.8" hidden="false" customHeight="false" outlineLevel="0" collapsed="false">
      <c r="A23" s="7" t="n">
        <v>21</v>
      </c>
      <c r="B23" s="1" t="n">
        <v>0.708545748319991</v>
      </c>
    </row>
    <row r="24" customFormat="false" ht="12.8" hidden="false" customHeight="false" outlineLevel="0" collapsed="false">
      <c r="A24" s="7" t="n">
        <v>22</v>
      </c>
      <c r="B24" s="1" t="n">
        <v>0.756069449327172</v>
      </c>
    </row>
    <row r="25" customFormat="false" ht="12.8" hidden="false" customHeight="false" outlineLevel="0" collapsed="false">
      <c r="A25" s="7" t="n">
        <v>23</v>
      </c>
      <c r="B25" s="1" t="n">
        <v>0.671531865451319</v>
      </c>
    </row>
    <row r="26" customFormat="false" ht="12.8" hidden="false" customHeight="false" outlineLevel="0" collapsed="false">
      <c r="A26" s="7" t="n">
        <v>24</v>
      </c>
      <c r="B26" s="1" t="n">
        <v>0.793327292068252</v>
      </c>
    </row>
    <row r="27" customFormat="false" ht="12.8" hidden="false" customHeight="false" outlineLevel="0" collapsed="false">
      <c r="A27" s="4" t="n">
        <v>25</v>
      </c>
      <c r="B27" s="1" t="n">
        <v>0.762254565867078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L4" activeCellId="0" sqref="L4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4" min="2" style="1" width="19.71"/>
    <col collapsed="false" customWidth="true" hidden="false" outlineLevel="0" max="5" min="5" style="1" width="20.79"/>
    <col collapsed="false" customWidth="true" hidden="false" outlineLevel="0" max="6" min="6" style="1" width="19.71"/>
    <col collapsed="false" customWidth="true" hidden="false" outlineLevel="0" max="7" min="7" style="1" width="21.87"/>
    <col collapsed="false" customWidth="true" hidden="false" outlineLevel="0" max="9" min="8" style="1" width="22.42"/>
    <col collapsed="false" customWidth="true" hidden="false" outlineLevel="0" max="10" min="10" style="1" width="19.71"/>
  </cols>
  <sheetData>
    <row r="1" customFormat="false" ht="12.8" hidden="false" customHeight="false" outlineLevel="0" collapsed="false">
      <c r="A1" s="9" t="s">
        <v>109</v>
      </c>
      <c r="B1" s="9"/>
    </row>
    <row r="2" customFormat="false" ht="12.8" hidden="false" customHeight="false" outlineLevel="0" collapsed="false">
      <c r="A2" s="10" t="s">
        <v>110</v>
      </c>
      <c r="B2" s="4" t="s">
        <v>111</v>
      </c>
      <c r="C2" s="1" t="s">
        <v>112</v>
      </c>
      <c r="E2" s="4" t="s">
        <v>113</v>
      </c>
      <c r="F2" s="4" t="s">
        <v>114</v>
      </c>
      <c r="G2" s="4" t="s">
        <v>115</v>
      </c>
      <c r="H2" s="4" t="s">
        <v>116</v>
      </c>
      <c r="I2" s="4" t="s">
        <v>117</v>
      </c>
      <c r="J2" s="4" t="s">
        <v>118</v>
      </c>
      <c r="K2" s="0" t="s">
        <v>119</v>
      </c>
      <c r="L2" s="0" t="s">
        <v>120</v>
      </c>
    </row>
    <row r="3" customFormat="false" ht="12.8" hidden="false" customHeight="false" outlineLevel="0" collapsed="false">
      <c r="A3" s="7" t="n">
        <v>1</v>
      </c>
      <c r="B3" s="1" t="n">
        <v>0.724099533668665</v>
      </c>
      <c r="C3" s="1" t="n">
        <v>0.780357842803317</v>
      </c>
      <c r="E3" s="4" t="n">
        <f aca="false">_xlfn.STDEV.S(B3:B27)</f>
        <v>0.0498994733759011</v>
      </c>
      <c r="F3" s="4" t="n">
        <f aca="false">_xlfn.STDEV.S(C3:C27)</f>
        <v>0.108991128921815</v>
      </c>
      <c r="G3" s="4" t="n">
        <f aca="false">_xlfn.F.TEST(B3:B27,C3:C27)</f>
        <v>0.00029515490568397</v>
      </c>
      <c r="H3" s="4" t="n">
        <f aca="false">_xlfn.T.TEST(B3:B27, C3:C27, 2,2)</f>
        <v>7.16386584078716E-008</v>
      </c>
      <c r="I3" s="4" t="n">
        <f aca="false">_xlfn.T.TEST(B3:B27,C3:C27, 2,3)</f>
        <v>3.12869874322589E-007</v>
      </c>
      <c r="J3" s="4" t="n">
        <f aca="false">AVERAGE(B3:B27)-AVERAGE(C3:C27)</f>
        <v>0.152368008217739</v>
      </c>
      <c r="K3" s="0" t="n">
        <f aca="false">AVERAGE(B3:B27)</f>
        <v>0.720618314622491</v>
      </c>
      <c r="L3" s="0" t="n">
        <f aca="false">AVERAGE(C3:C27)</f>
        <v>0.568250306404752</v>
      </c>
    </row>
    <row r="4" customFormat="false" ht="12.8" hidden="false" customHeight="false" outlineLevel="0" collapsed="false">
      <c r="A4" s="7" t="n">
        <v>2</v>
      </c>
      <c r="B4" s="1" t="n">
        <v>0.690405786547539</v>
      </c>
      <c r="C4" s="1" t="n">
        <v>0.416207094658953</v>
      </c>
    </row>
    <row r="5" customFormat="false" ht="12.8" hidden="false" customHeight="false" outlineLevel="0" collapsed="false">
      <c r="A5" s="7" t="n">
        <v>3</v>
      </c>
      <c r="B5" s="1" t="n">
        <v>0.664424091143094</v>
      </c>
      <c r="C5" s="1" t="n">
        <v>0.440694734258005</v>
      </c>
    </row>
    <row r="6" customFormat="false" ht="12.8" hidden="false" customHeight="false" outlineLevel="0" collapsed="false">
      <c r="A6" s="7" t="n">
        <v>4</v>
      </c>
      <c r="B6" s="1" t="n">
        <v>0.737872088358781</v>
      </c>
      <c r="C6" s="1" t="n">
        <v>0.50298342709053</v>
      </c>
    </row>
    <row r="7" customFormat="false" ht="12.8" hidden="false" customHeight="false" outlineLevel="0" collapsed="false">
      <c r="A7" s="7" t="n">
        <v>5</v>
      </c>
      <c r="B7" s="1" t="n">
        <v>0.731664951542418</v>
      </c>
      <c r="C7" s="1" t="n">
        <v>0.648378238204048</v>
      </c>
    </row>
    <row r="8" customFormat="false" ht="12.8" hidden="false" customHeight="false" outlineLevel="0" collapsed="false">
      <c r="A8" s="7" t="n">
        <v>6</v>
      </c>
      <c r="B8" s="1" t="n">
        <v>0.72767431707301</v>
      </c>
      <c r="C8" s="1" t="n">
        <v>0.556905413484638</v>
      </c>
    </row>
    <row r="9" customFormat="false" ht="12.8" hidden="false" customHeight="false" outlineLevel="0" collapsed="false">
      <c r="A9" s="7" t="n">
        <v>7</v>
      </c>
      <c r="B9" s="1" t="n">
        <v>0.785159172931949</v>
      </c>
      <c r="C9" s="1" t="n">
        <v>0.676587781456039</v>
      </c>
    </row>
    <row r="10" customFormat="false" ht="12.8" hidden="false" customHeight="false" outlineLevel="0" collapsed="false">
      <c r="A10" s="7" t="n">
        <v>8</v>
      </c>
      <c r="B10" s="1" t="n">
        <v>0.699365933104337</v>
      </c>
      <c r="C10" s="1" t="n">
        <v>0.537556987618538</v>
      </c>
    </row>
    <row r="11" customFormat="false" ht="12.8" hidden="false" customHeight="false" outlineLevel="0" collapsed="false">
      <c r="A11" s="7" t="n">
        <v>9</v>
      </c>
      <c r="B11" s="1" t="n">
        <v>0.74686473255493</v>
      </c>
      <c r="C11" s="1" t="n">
        <v>0.547450655337536</v>
      </c>
    </row>
    <row r="12" customFormat="false" ht="12.8" hidden="false" customHeight="false" outlineLevel="0" collapsed="false">
      <c r="A12" s="7" t="n">
        <v>10</v>
      </c>
      <c r="B12" s="1" t="n">
        <v>0.68571667055349</v>
      </c>
      <c r="C12" s="1" t="n">
        <v>0.404475709994457</v>
      </c>
    </row>
    <row r="13" customFormat="false" ht="12.8" hidden="false" customHeight="false" outlineLevel="0" collapsed="false">
      <c r="A13" s="7" t="n">
        <v>11</v>
      </c>
      <c r="B13" s="1" t="n">
        <v>0.765114909147396</v>
      </c>
      <c r="C13" s="1" t="n">
        <v>0.573512450710954</v>
      </c>
    </row>
    <row r="14" customFormat="false" ht="12.8" hidden="false" customHeight="false" outlineLevel="0" collapsed="false">
      <c r="A14" s="7" t="n">
        <v>12</v>
      </c>
      <c r="B14" s="1" t="n">
        <v>0.736644236479232</v>
      </c>
      <c r="C14" s="1" t="n">
        <v>0.688426389427952</v>
      </c>
    </row>
    <row r="15" customFormat="false" ht="12.8" hidden="false" customHeight="false" outlineLevel="0" collapsed="false">
      <c r="A15" s="7" t="n">
        <v>13</v>
      </c>
      <c r="B15" s="1" t="n">
        <v>0.678666511575506</v>
      </c>
      <c r="C15" s="1" t="n">
        <v>0.536732539192105</v>
      </c>
    </row>
    <row r="16" customFormat="false" ht="12.8" hidden="false" customHeight="false" outlineLevel="0" collapsed="false">
      <c r="A16" s="7" t="n">
        <v>14</v>
      </c>
      <c r="B16" s="1" t="n">
        <v>0.800148648147254</v>
      </c>
      <c r="C16" s="1" t="n">
        <v>0.706905423359106</v>
      </c>
    </row>
    <row r="17" customFormat="false" ht="12.8" hidden="false" customHeight="false" outlineLevel="0" collapsed="false">
      <c r="A17" s="7" t="n">
        <v>15</v>
      </c>
      <c r="B17" s="1" t="n">
        <v>0.613656437383168</v>
      </c>
      <c r="C17" s="1" t="n">
        <v>0.559275980049327</v>
      </c>
    </row>
    <row r="18" customFormat="false" ht="12.8" hidden="false" customHeight="false" outlineLevel="0" collapsed="false">
      <c r="A18" s="7" t="n">
        <v>16</v>
      </c>
      <c r="B18" s="1" t="n">
        <v>0.70191452728509</v>
      </c>
      <c r="C18" s="1" t="n">
        <v>0.696687598503719</v>
      </c>
    </row>
    <row r="19" customFormat="false" ht="12.8" hidden="false" customHeight="false" outlineLevel="0" collapsed="false">
      <c r="A19" s="7" t="n">
        <v>17</v>
      </c>
      <c r="B19" s="1" t="n">
        <v>0.696040981259132</v>
      </c>
      <c r="C19" s="1" t="n">
        <v>0.48999145280364</v>
      </c>
    </row>
    <row r="20" customFormat="false" ht="12.8" hidden="false" customHeight="false" outlineLevel="0" collapsed="false">
      <c r="A20" s="7" t="n">
        <v>18</v>
      </c>
      <c r="B20" s="1" t="n">
        <v>0.764111372525898</v>
      </c>
      <c r="C20" s="1" t="n">
        <v>0.703777326026319</v>
      </c>
    </row>
    <row r="21" customFormat="false" ht="12.8" hidden="false" customHeight="false" outlineLevel="0" collapsed="false">
      <c r="A21" s="7" t="n">
        <v>19</v>
      </c>
      <c r="B21" s="1" t="n">
        <v>0.612949588021736</v>
      </c>
      <c r="C21" s="1" t="n">
        <v>0.538311826027795</v>
      </c>
    </row>
    <row r="22" customFormat="false" ht="12.8" hidden="false" customHeight="false" outlineLevel="0" collapsed="false">
      <c r="A22" s="7" t="n">
        <v>20</v>
      </c>
      <c r="B22" s="1" t="n">
        <v>0.761234455225827</v>
      </c>
      <c r="C22" s="1" t="n">
        <v>0.658619577213029</v>
      </c>
    </row>
    <row r="23" customFormat="false" ht="12.8" hidden="false" customHeight="false" outlineLevel="0" collapsed="false">
      <c r="A23" s="7" t="n">
        <v>21</v>
      </c>
      <c r="B23" s="1" t="n">
        <v>0.708545748319991</v>
      </c>
      <c r="C23" s="1" t="n">
        <v>0.407653544913038</v>
      </c>
    </row>
    <row r="24" customFormat="false" ht="12.8" hidden="false" customHeight="false" outlineLevel="0" collapsed="false">
      <c r="A24" s="7" t="n">
        <v>22</v>
      </c>
      <c r="B24" s="1" t="n">
        <v>0.756069449327172</v>
      </c>
      <c r="C24" s="1" t="n">
        <v>0.515876791249462</v>
      </c>
    </row>
    <row r="25" customFormat="false" ht="12.8" hidden="false" customHeight="false" outlineLevel="0" collapsed="false">
      <c r="A25" s="7" t="n">
        <v>23</v>
      </c>
      <c r="B25" s="1" t="n">
        <v>0.671531865451319</v>
      </c>
      <c r="C25" s="1" t="n">
        <v>0.47404366030989</v>
      </c>
    </row>
    <row r="26" customFormat="false" ht="12.8" hidden="false" customHeight="false" outlineLevel="0" collapsed="false">
      <c r="A26" s="7" t="n">
        <v>24</v>
      </c>
      <c r="B26" s="1" t="n">
        <v>0.793327292068252</v>
      </c>
      <c r="C26" s="1" t="n">
        <v>0.690137110745753</v>
      </c>
    </row>
    <row r="27" customFormat="false" ht="12.8" hidden="false" customHeight="false" outlineLevel="0" collapsed="false">
      <c r="A27" s="4" t="n">
        <v>25</v>
      </c>
      <c r="B27" s="1" t="n">
        <v>0.762254565867078</v>
      </c>
      <c r="C27" s="1" t="n">
        <v>0.454708104680646</v>
      </c>
    </row>
    <row r="28" customFormat="false" ht="12.8" hidden="false" customHeight="false" outlineLevel="0" collapsed="false">
      <c r="A28" s="4"/>
    </row>
    <row r="29" customFormat="false" ht="12.8" hidden="false" customHeight="false" outlineLevel="0" collapsed="false">
      <c r="A29" s="1" t="s">
        <v>121</v>
      </c>
    </row>
    <row r="31" customFormat="false" ht="12.8" hidden="false" customHeight="false" outlineLevel="0" collapsed="false">
      <c r="A31" s="10" t="s">
        <v>110</v>
      </c>
      <c r="B31" s="4" t="s">
        <v>122</v>
      </c>
      <c r="C31" s="4" t="s">
        <v>123</v>
      </c>
      <c r="D31" s="4" t="s">
        <v>111</v>
      </c>
      <c r="F31" s="11" t="s">
        <v>124</v>
      </c>
    </row>
    <row r="32" customFormat="false" ht="12.8" hidden="false" customHeight="false" outlineLevel="0" collapsed="false">
      <c r="A32" s="7" t="n">
        <v>1</v>
      </c>
      <c r="B32" s="1" t="n">
        <v>0.726604447396414</v>
      </c>
      <c r="C32" s="1" t="n">
        <v>0.745618221992126</v>
      </c>
      <c r="D32" s="1" t="n">
        <v>0.724099533668665</v>
      </c>
      <c r="F32" s="1" t="s">
        <v>125</v>
      </c>
      <c r="G32" s="1" t="n">
        <v>0.05</v>
      </c>
    </row>
    <row r="33" customFormat="false" ht="12.8" hidden="false" customHeight="false" outlineLevel="0" collapsed="false">
      <c r="A33" s="7" t="n">
        <v>2</v>
      </c>
      <c r="B33" s="1" t="n">
        <v>0.708959829151642</v>
      </c>
      <c r="C33" s="1" t="n">
        <v>0.731965622484604</v>
      </c>
      <c r="D33" s="1" t="n">
        <v>0.690405786547539</v>
      </c>
    </row>
    <row r="34" customFormat="false" ht="12.8" hidden="false" customHeight="false" outlineLevel="0" collapsed="false">
      <c r="A34" s="7" t="n">
        <v>3</v>
      </c>
      <c r="B34" s="1" t="n">
        <v>0.656250791088745</v>
      </c>
      <c r="C34" s="1" t="n">
        <v>0.556349411838211</v>
      </c>
      <c r="D34" s="1" t="n">
        <v>0.664424091143094</v>
      </c>
      <c r="F34" s="1" t="s">
        <v>126</v>
      </c>
      <c r="G34" s="1" t="s">
        <v>127</v>
      </c>
      <c r="H34" s="1" t="s">
        <v>128</v>
      </c>
      <c r="I34" s="1" t="s">
        <v>129</v>
      </c>
      <c r="J34" s="1" t="s">
        <v>130</v>
      </c>
    </row>
    <row r="35" customFormat="false" ht="12.8" hidden="false" customHeight="false" outlineLevel="0" collapsed="false">
      <c r="A35" s="7" t="n">
        <v>4</v>
      </c>
      <c r="B35" s="1" t="n">
        <v>0.682480064346605</v>
      </c>
      <c r="C35" s="1" t="n">
        <v>0.746961278269468</v>
      </c>
      <c r="D35" s="1" t="n">
        <v>0.737872088358781</v>
      </c>
      <c r="F35" s="1" t="s">
        <v>131</v>
      </c>
      <c r="G35" s="1" t="n">
        <f aca="false">COUNT(inter_system_stats!$B$31:$B$56)</f>
        <v>25</v>
      </c>
      <c r="H35" s="1" t="n">
        <f aca="false">SUM(inter_system_stats!$B$31:$B$56)</f>
        <v>17.7853972662572</v>
      </c>
      <c r="I35" s="1" t="n">
        <f aca="false">AVERAGE(inter_system_stats!$B$31:$B$56)</f>
        <v>0.711415890650289</v>
      </c>
      <c r="J35" s="1" t="n">
        <f aca="false">VAR(inter_system_stats!$B$31:$B$56)</f>
        <v>0.0022639833703396</v>
      </c>
    </row>
    <row r="36" customFormat="false" ht="12.8" hidden="false" customHeight="false" outlineLevel="0" collapsed="false">
      <c r="A36" s="7" t="n">
        <v>5</v>
      </c>
      <c r="B36" s="1" t="n">
        <v>0.750666088952323</v>
      </c>
      <c r="C36" s="1" t="n">
        <v>0.736303129517049</v>
      </c>
      <c r="D36" s="1" t="n">
        <v>0.731664951542418</v>
      </c>
      <c r="F36" s="1" t="s">
        <v>132</v>
      </c>
      <c r="G36" s="1" t="n">
        <f aca="false">COUNT(inter_system_stats!$C$31:$C$56)</f>
        <v>25</v>
      </c>
      <c r="H36" s="1" t="n">
        <f aca="false">SUM(inter_system_stats!$C$31:$C$56)</f>
        <v>18.0572812583224</v>
      </c>
      <c r="I36" s="1" t="n">
        <f aca="false">AVERAGE(inter_system_stats!$C$31:$C$56)</f>
        <v>0.722291250332898</v>
      </c>
      <c r="J36" s="1" t="n">
        <f aca="false">VAR(inter_system_stats!$C$31:$C$56)</f>
        <v>0.0025385628043498</v>
      </c>
    </row>
    <row r="37" customFormat="false" ht="12.8" hidden="false" customHeight="false" outlineLevel="0" collapsed="false">
      <c r="A37" s="7" t="n">
        <v>6</v>
      </c>
      <c r="B37" s="1" t="n">
        <v>0.690037613967929</v>
      </c>
      <c r="C37" s="1" t="n">
        <v>0.693060520928815</v>
      </c>
      <c r="D37" s="1" t="n">
        <v>0.72767431707301</v>
      </c>
      <c r="F37" s="1" t="s">
        <v>133</v>
      </c>
      <c r="G37" s="1" t="n">
        <f aca="false">COUNT(inter_system_stats!$D$31:$D$56)</f>
        <v>25</v>
      </c>
      <c r="H37" s="1" t="n">
        <f aca="false">SUM(inter_system_stats!$D$31:$D$56)</f>
        <v>18.0154578655623</v>
      </c>
      <c r="I37" s="1" t="n">
        <f aca="false">AVERAGE(inter_system_stats!$D$31:$D$56)</f>
        <v>0.720618314622491</v>
      </c>
      <c r="J37" s="1" t="n">
        <f aca="false">VAR(inter_system_stats!$D$31:$D$56)</f>
        <v>0.00248995744319226</v>
      </c>
    </row>
    <row r="38" customFormat="false" ht="12.8" hidden="false" customHeight="false" outlineLevel="0" collapsed="false">
      <c r="A38" s="7" t="n">
        <v>7</v>
      </c>
      <c r="B38" s="1" t="n">
        <v>0.70889799084929</v>
      </c>
      <c r="C38" s="1" t="n">
        <v>0.748597564255249</v>
      </c>
      <c r="D38" s="1" t="n">
        <v>0.785159172931949</v>
      </c>
    </row>
    <row r="39" customFormat="false" ht="12.8" hidden="false" customHeight="false" outlineLevel="0" collapsed="false">
      <c r="A39" s="7" t="n">
        <v>8</v>
      </c>
      <c r="B39" s="1" t="n">
        <v>0.685546620467512</v>
      </c>
      <c r="C39" s="1" t="n">
        <v>0.705165938537343</v>
      </c>
      <c r="D39" s="1" t="n">
        <v>0.699365933104337</v>
      </c>
      <c r="F39" s="1" t="s">
        <v>134</v>
      </c>
      <c r="G39" s="1" t="s">
        <v>135</v>
      </c>
      <c r="H39" s="1" t="s">
        <v>136</v>
      </c>
      <c r="I39" s="1" t="s">
        <v>137</v>
      </c>
      <c r="J39" s="1" t="s">
        <v>138</v>
      </c>
      <c r="K39" s="1" t="s">
        <v>139</v>
      </c>
      <c r="L39" s="1" t="s">
        <v>140</v>
      </c>
    </row>
    <row r="40" customFormat="false" ht="12.8" hidden="false" customHeight="false" outlineLevel="0" collapsed="false">
      <c r="A40" s="7" t="n">
        <v>9</v>
      </c>
      <c r="B40" s="1" t="n">
        <v>0.727629515141836</v>
      </c>
      <c r="C40" s="1" t="n">
        <v>0.750368716676119</v>
      </c>
      <c r="D40" s="1" t="n">
        <v>0.74686473255493</v>
      </c>
      <c r="F40" s="1" t="s">
        <v>141</v>
      </c>
      <c r="G40" s="1" t="n">
        <f aca="false">SUMPRODUCT(inter_system_stats!$H$35:$H$37,inter_system_stats!$I$35:$I$37)-SUM(inter_system_stats!$H$35:$H$37)^2/SUM(inter_system_stats!$G$35:$G$37)</f>
        <v>0.00171463974234598</v>
      </c>
      <c r="H40" s="1" t="n">
        <f aca="false">COUNT(inter_system_stats!$H$35:$H$37)-1</f>
        <v>2</v>
      </c>
      <c r="I40" s="1" t="n">
        <f aca="false">inter_system_stats!$G$40 / inter_system_stats!$H$40</f>
        <v>0.00085731987117299</v>
      </c>
      <c r="J40" s="1" t="n">
        <f aca="false">inter_system_stats!$I$40 / inter_system_stats!$I$41</f>
        <v>0.352685407959534</v>
      </c>
      <c r="K40" s="1" t="n">
        <f aca="false">FDIST(inter_system_stats!$J$40, inter_system_stats!$H$40, inter_system_stats!$H$41)</f>
        <v>0.704005569368576</v>
      </c>
      <c r="L40" s="1" t="n">
        <f aca="false">FINV(inter_system_stats!$G$32, inter_system_stats!$H$40, inter_system_stats!$H$41)</f>
        <v>3.12390744854578</v>
      </c>
    </row>
    <row r="41" customFormat="false" ht="12.8" hidden="false" customHeight="false" outlineLevel="0" collapsed="false">
      <c r="A41" s="7" t="n">
        <v>10</v>
      </c>
      <c r="B41" s="1" t="n">
        <v>0.637485514971611</v>
      </c>
      <c r="C41" s="1" t="n">
        <v>0.682432996770851</v>
      </c>
      <c r="D41" s="1" t="n">
        <v>0.68571667055349</v>
      </c>
      <c r="F41" s="1" t="s">
        <v>142</v>
      </c>
      <c r="G41" s="1" t="n">
        <f aca="false">SUM(DEVSQ(inter_system_stats!$B$31:$B$56),DEVSQ(inter_system_stats!$C$31:$C$56),DEVSQ(inter_system_stats!$D$31:$D$56))</f>
        <v>0.17502008682916</v>
      </c>
      <c r="H41" s="1" t="n">
        <f aca="false">SUM(inter_system_stats!$G$35:$G$37)-COUNT(inter_system_stats!$G$35:$G$37)</f>
        <v>72</v>
      </c>
      <c r="I41" s="1" t="n">
        <f aca="false">inter_system_stats!$G$41 / inter_system_stats!$H$41</f>
        <v>0.00243083453929389</v>
      </c>
    </row>
    <row r="42" customFormat="false" ht="12.8" hidden="false" customHeight="false" outlineLevel="0" collapsed="false">
      <c r="A42" s="7" t="n">
        <v>11</v>
      </c>
      <c r="B42" s="1" t="n">
        <v>0.717989456556699</v>
      </c>
      <c r="C42" s="1" t="n">
        <v>0.72387381443217</v>
      </c>
      <c r="D42" s="1" t="n">
        <v>0.765114909147396</v>
      </c>
      <c r="F42" s="1" t="s">
        <v>143</v>
      </c>
      <c r="G42" s="1" t="n">
        <f aca="false">DEVSQ(inter_system_stats!$B$31:$B$56,inter_system_stats!$C$31:$C$56,inter_system_stats!$D$31:$D$56)</f>
        <v>0.176734726571505</v>
      </c>
      <c r="H42" s="1" t="n">
        <f aca="false">SUM(inter_system_stats!$G$35:$G$37) - 1</f>
        <v>74</v>
      </c>
    </row>
    <row r="43" customFormat="false" ht="12.8" hidden="false" customHeight="false" outlineLevel="0" collapsed="false">
      <c r="A43" s="7" t="n">
        <v>12</v>
      </c>
      <c r="B43" s="1" t="n">
        <v>0.770906292597071</v>
      </c>
      <c r="C43" s="1" t="n">
        <v>0.667701763619203</v>
      </c>
      <c r="D43" s="1" t="n">
        <v>0.736644236479232</v>
      </c>
    </row>
    <row r="44" customFormat="false" ht="12.8" hidden="false" customHeight="false" outlineLevel="0" collapsed="false">
      <c r="A44" s="7" t="n">
        <v>13</v>
      </c>
      <c r="B44" s="1" t="n">
        <v>0.709827899363474</v>
      </c>
      <c r="C44" s="1" t="n">
        <v>0.72995268032519</v>
      </c>
      <c r="D44" s="1" t="n">
        <v>0.678666511575506</v>
      </c>
    </row>
    <row r="45" customFormat="false" ht="12.8" hidden="false" customHeight="false" outlineLevel="0" collapsed="false">
      <c r="A45" s="7" t="n">
        <v>14</v>
      </c>
      <c r="B45" s="1" t="n">
        <v>0.824775999287701</v>
      </c>
      <c r="C45" s="1" t="n">
        <v>0.79516955513513</v>
      </c>
      <c r="D45" s="1" t="n">
        <v>0.800148648147254</v>
      </c>
    </row>
    <row r="46" customFormat="false" ht="12.8" hidden="false" customHeight="false" outlineLevel="0" collapsed="false">
      <c r="A46" s="7" t="n">
        <v>15</v>
      </c>
      <c r="B46" s="1" t="n">
        <v>0.611331502918536</v>
      </c>
      <c r="C46" s="1" t="n">
        <v>0.641361051891741</v>
      </c>
      <c r="D46" s="1" t="n">
        <v>0.613656437383168</v>
      </c>
    </row>
    <row r="47" customFormat="false" ht="12.8" hidden="false" customHeight="false" outlineLevel="0" collapsed="false">
      <c r="A47" s="7" t="n">
        <v>16</v>
      </c>
      <c r="B47" s="1" t="n">
        <v>0.743473367956861</v>
      </c>
      <c r="C47" s="1" t="n">
        <v>0.758550116405013</v>
      </c>
      <c r="D47" s="1" t="n">
        <v>0.70191452728509</v>
      </c>
    </row>
    <row r="48" customFormat="false" ht="12.8" hidden="false" customHeight="false" outlineLevel="0" collapsed="false">
      <c r="A48" s="7" t="n">
        <v>17</v>
      </c>
      <c r="B48" s="1" t="n">
        <v>0.657769103514598</v>
      </c>
      <c r="C48" s="1" t="n">
        <v>0.694176028461883</v>
      </c>
      <c r="D48" s="1" t="n">
        <v>0.696040981259132</v>
      </c>
    </row>
    <row r="49" customFormat="false" ht="12.8" hidden="false" customHeight="false" outlineLevel="0" collapsed="false">
      <c r="A49" s="7" t="n">
        <v>18</v>
      </c>
      <c r="B49" s="1" t="n">
        <v>0.7336678926738</v>
      </c>
      <c r="C49" s="1" t="n">
        <v>0.753547411776315</v>
      </c>
      <c r="D49" s="1" t="n">
        <v>0.764111372525898</v>
      </c>
    </row>
    <row r="50" customFormat="false" ht="12.8" hidden="false" customHeight="false" outlineLevel="0" collapsed="false">
      <c r="A50" s="7" t="n">
        <v>19</v>
      </c>
      <c r="B50" s="1" t="n">
        <v>0.664769831999005</v>
      </c>
      <c r="C50" s="1" t="n">
        <v>0.718473139733635</v>
      </c>
      <c r="D50" s="1" t="n">
        <v>0.612949588021736</v>
      </c>
    </row>
    <row r="51" customFormat="false" ht="12.8" hidden="false" customHeight="false" outlineLevel="0" collapsed="false">
      <c r="A51" s="7" t="n">
        <v>20</v>
      </c>
      <c r="B51" s="1" t="n">
        <v>0.735511761701567</v>
      </c>
      <c r="C51" s="1" t="n">
        <v>0.754538991520845</v>
      </c>
      <c r="D51" s="1" t="n">
        <v>0.761234455225827</v>
      </c>
    </row>
    <row r="52" customFormat="false" ht="12.8" hidden="false" customHeight="false" outlineLevel="0" collapsed="false">
      <c r="A52" s="7" t="n">
        <v>21</v>
      </c>
      <c r="B52" s="1" t="n">
        <v>0.715466613809298</v>
      </c>
      <c r="C52" s="1" t="n">
        <v>0.71601754844973</v>
      </c>
      <c r="D52" s="1" t="n">
        <v>0.708545748319991</v>
      </c>
    </row>
    <row r="53" customFormat="false" ht="12.8" hidden="false" customHeight="false" outlineLevel="0" collapsed="false">
      <c r="A53" s="7" t="n">
        <v>22</v>
      </c>
      <c r="B53" s="1" t="n">
        <v>0.70902009513028</v>
      </c>
      <c r="C53" s="1" t="n">
        <v>0.751876513039488</v>
      </c>
      <c r="D53" s="1" t="n">
        <v>0.756069449327172</v>
      </c>
    </row>
    <row r="54" customFormat="false" ht="12.8" hidden="false" customHeight="false" outlineLevel="0" collapsed="false">
      <c r="A54" s="7" t="n">
        <v>23</v>
      </c>
      <c r="B54" s="1" t="n">
        <v>0.675856447847683</v>
      </c>
      <c r="C54" s="1" t="n">
        <v>0.717330086490848</v>
      </c>
      <c r="D54" s="1" t="n">
        <v>0.671531865451319</v>
      </c>
    </row>
    <row r="55" customFormat="false" ht="12.8" hidden="false" customHeight="false" outlineLevel="0" collapsed="false">
      <c r="A55" s="7" t="n">
        <v>24</v>
      </c>
      <c r="B55" s="1" t="n">
        <v>0.770886115042279</v>
      </c>
      <c r="C55" s="1" t="n">
        <v>0.810165160416988</v>
      </c>
      <c r="D55" s="1" t="n">
        <v>0.793327292068252</v>
      </c>
    </row>
    <row r="56" customFormat="false" ht="12.8" hidden="false" customHeight="false" outlineLevel="0" collapsed="false">
      <c r="A56" s="4" t="n">
        <v>25</v>
      </c>
      <c r="B56" s="1" t="n">
        <v>0.769586409524463</v>
      </c>
      <c r="C56" s="1" t="n">
        <v>0.72772399535443</v>
      </c>
      <c r="D56" s="1" t="n">
        <v>0.762254565867078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2026-02-11T16:41:07Z</dcterms:created>
  <dc:creator>openpyxl</dc:creator>
  <dc:description/>
  <dc:language>en-US</dc:language>
  <cp:lastModifiedBy/>
  <dcterms:modified xsi:type="dcterms:W3CDTF">2026-02-20T16:47:40Z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
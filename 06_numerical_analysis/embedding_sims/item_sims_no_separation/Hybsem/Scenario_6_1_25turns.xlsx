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6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<sst xmlns="http://schemas.openxmlformats.org/spreadsheetml/2006/main" count="752" uniqueCount="142">
  <si>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</si>
  <si>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</si>
  <si>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</si>
  <si>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</si>
  <si>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</si>
  <si>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</si>
  <si>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</si>
  <si>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</si>
  <si>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</si>
  <si>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</si>
  <si>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</si>
  <si>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</si>
  <si>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</si>
  <si>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</si>
  <si>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</si>
  <si>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</si>
  <si>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9408e536-8de1-496b-95d0-3ddfb84fec4a</t>
  </si>
  <si>
    <t xml:space="preserve">cmjh7ushb00eqzcx2pnk1sf7g</t>
  </si>
  <si>
    <t xml:space="preserve">cmjh7vx5r00f7zcx2f5va5erf</t>
  </si>
  <si>
    <t xml:space="preserve">hybrid_v3_5_semantic</t>
  </si>
  <si>
    <t xml:space="preserve">Scenario_6</t>
  </si>
  <si>
    <t xml:space="preserve">truth_and_fact</t>
  </si>
  <si>
    <t xml:space="preserve">b74c727f-c0ca-4522-930f-656f1d669a30</t>
  </si>
  <si>
    <t xml:space="preserve">cmjh7wt1g00fbzcx2ngcarogp</t>
  </si>
  <si>
    <t xml:space="preserve">cmjh7xbpq00fszcx2lf5t0qpi</t>
  </si>
  <si>
    <t xml:space="preserve">practicality_and_feasibility</t>
  </si>
  <si>
    <t xml:space="preserve">affective_interface</t>
  </si>
  <si>
    <t xml:space="preserve">temporal_dynamics</t>
  </si>
  <si>
    <t xml:space="preserve">c566cb99-b456-411a-99b0-8dbb99d04df8</t>
  </si>
  <si>
    <t xml:space="preserve">cmjh7zqne00fwzcx2ve2nxgih</t>
  </si>
  <si>
    <t xml:space="preserve">cmjh80iqu00gdzcx2njkkat4w</t>
  </si>
  <si>
    <t xml:space="preserve">sovereignty</t>
  </si>
  <si>
    <t xml:space="preserve">context_dependent_expression</t>
  </si>
  <si>
    <t xml:space="preserve">02829bdf-eb6a-4143-bcb9-2ab38f44f559</t>
  </si>
  <si>
    <t xml:space="preserve">cmjh810r700ghzcx23ca73hny</t>
  </si>
  <si>
    <t xml:space="preserve">cmjh81klu00gyzcx2w2lmbhgm</t>
  </si>
  <si>
    <t xml:space="preserve">f6dcef14-6472-4af8-ae10-251ff2d97bb6</t>
  </si>
  <si>
    <t xml:space="preserve">cmjh82eji00h2zcx2ado4q1qo</t>
  </si>
  <si>
    <t xml:space="preserve">cmjh83lin00hjzcx2vio8aq6i</t>
  </si>
  <si>
    <t xml:space="preserve">freedom_and_limitations</t>
  </si>
  <si>
    <t xml:space="preserve">imagination_and_possibility</t>
  </si>
  <si>
    <t xml:space="preserve">0867a30a-3756-4707-a9a9-87f7a8d2d716</t>
  </si>
  <si>
    <t xml:space="preserve">cmjh84h7e00hnzcx2j0afia3b</t>
  </si>
  <si>
    <t xml:space="preserve">cmjh853v700i4zcx2io0ohszv</t>
  </si>
  <si>
    <t xml:space="preserve">3a4779a5-db36-4c84-a523-dc28c22c128c</t>
  </si>
  <si>
    <t xml:space="preserve">cmjh869lv00i8zcx2a85v1n9k</t>
  </si>
  <si>
    <t xml:space="preserve">cmjh86rj400ipzcx20vrx1w85</t>
  </si>
  <si>
    <t xml:space="preserve">9afbb79f-b867-4bcc-a098-26acc6168509</t>
  </si>
  <si>
    <t xml:space="preserve">cmjh880b000itzcx27jff7203</t>
  </si>
  <si>
    <t xml:space="preserve">cmjh88pvj00jazcx27eozveiy</t>
  </si>
  <si>
    <t xml:space="preserve">9c61b02f-434c-4182-be56-9a420ea96447</t>
  </si>
  <si>
    <t xml:space="preserve">cmjh8aasa00jezcx2f1e96kfo</t>
  </si>
  <si>
    <t xml:space="preserve">cmjh8b17o00jvzcx2j7m2aghc</t>
  </si>
  <si>
    <t xml:space="preserve">48001b87-8f79-4e0d-8a9a-03b6d99e96e5</t>
  </si>
  <si>
    <t xml:space="preserve">cmjh8ec8i00jzzcx2suajrojh</t>
  </si>
  <si>
    <t xml:space="preserve">cmjh8espi00kgzcx2vlbsiuen</t>
  </si>
  <si>
    <t xml:space="preserve">mathematics_computer_science_engineering</t>
  </si>
  <si>
    <t xml:space="preserve">40022880-d7b2-4e93-a440-0e10ce066769</t>
  </si>
  <si>
    <t xml:space="preserve">cmjh8h6lt00kkzcx2h3g6e9ro</t>
  </si>
  <si>
    <t xml:space="preserve">cmjh8hlgo00l1zcx2prsau6m5</t>
  </si>
  <si>
    <t xml:space="preserve">0e73dfb5-f5b9-4829-ac31-e3f06409b775</t>
  </si>
  <si>
    <t xml:space="preserve">cmjh8jbff00l5zcx2g6rivrvx</t>
  </si>
  <si>
    <t xml:space="preserve">cmjh8jkdu00lmzcx2x24p1ywk</t>
  </si>
  <si>
    <t xml:space="preserve">93ef5a79-162c-4273-85b1-f3626182c2be</t>
  </si>
  <si>
    <t xml:space="preserve">cmjh8la7j00lqzcx2js2j5e9m</t>
  </si>
  <si>
    <t xml:space="preserve">cmjh8lo6y00m7zcx2wbr1ybww</t>
  </si>
  <si>
    <t xml:space="preserve">identity</t>
  </si>
  <si>
    <t xml:space="preserve">feb6e46e-7a75-4e45-92cd-8858fc4f3fa0</t>
  </si>
  <si>
    <t xml:space="preserve">cmjh8pxze00mbzcx24lvxtux4</t>
  </si>
  <si>
    <t xml:space="preserve">cmjh8qjoa00mszcx2xokveif5</t>
  </si>
  <si>
    <t xml:space="preserve">b0dc4f80-65d0-4674-841a-e4b6ea56dccc</t>
  </si>
  <si>
    <t xml:space="preserve">cmjh8rlxa00mwzcx2m5a61ago</t>
  </si>
  <si>
    <t xml:space="preserve">cmjh8s6uj00ndzcx2sh7hl5km</t>
  </si>
  <si>
    <t xml:space="preserve">b3a7d68b-8104-46c0-b281-941508928c24</t>
  </si>
  <si>
    <t xml:space="preserve">cmjh8sfv200nhzcx2aztozij6</t>
  </si>
  <si>
    <t xml:space="preserve">cmjh8t4r100nyzcx2s2rts3k7</t>
  </si>
  <si>
    <t xml:space="preserve">7750e9b5-bca9-432c-8c1b-58494fc2ed77</t>
  </si>
  <si>
    <t xml:space="preserve">cmjh8vf6100o2zcx2v06a1inx</t>
  </si>
  <si>
    <t xml:space="preserve">cmjh8vwdv00ojzcx2s5vu741g</t>
  </si>
  <si>
    <t xml:space="preserve">2adbd950-d9b9-493f-b3d9-a43bf8df4697</t>
  </si>
  <si>
    <t xml:space="preserve">cmjh906ho00onzcx2xh4rlrqs</t>
  </si>
  <si>
    <t xml:space="preserve">cmjh90vcl00p4zcx2qiei54j6</t>
  </si>
  <si>
    <t xml:space="preserve">a7becfb4-f351-46bc-a1dd-ccf709915f27</t>
  </si>
  <si>
    <t xml:space="preserve">cmjh91x6800p8zcx227jwml0c</t>
  </si>
  <si>
    <t xml:space="preserve">cmjh92jgl00ppzcx2djoh8yq0</t>
  </si>
  <si>
    <t xml:space="preserve">e24a8df0-d273-4148-a555-f6f8589040ab</t>
  </si>
  <si>
    <t xml:space="preserve">cmjh96mi000ptzcx2im10h1u9</t>
  </si>
  <si>
    <t xml:space="preserve">cmjh97bj900qazcx2f0c6mgl5</t>
  </si>
  <si>
    <t xml:space="preserve">6f29b85e-49f8-4b2d-bc07-af6ee5af987a</t>
  </si>
  <si>
    <t xml:space="preserve">cmjh993b700qezcx2epaqcym1</t>
  </si>
  <si>
    <t xml:space="preserve">cmjh99o6c00qvzcx2oq1z7fyj</t>
  </si>
  <si>
    <t xml:space="preserve">3e870c64-6b8f-4bff-b3ba-9fd66e688e34</t>
  </si>
  <si>
    <t xml:space="preserve">cmjh9bpue00qzzcx28zm13vg4</t>
  </si>
  <si>
    <t xml:space="preserve">cmjh9cboy00rgzcx2bpu6bc6l</t>
  </si>
  <si>
    <t xml:space="preserve">c32c5a51-d077-470a-a157-aafd07ff823b</t>
  </si>
  <si>
    <t xml:space="preserve">cmjh9he1v00rkzcx2d9kwusuq</t>
  </si>
  <si>
    <t xml:space="preserve">cmjh9hu3e00s1zcx24vfz6zl4</t>
  </si>
  <si>
    <t xml:space="preserve">59db99ec-e299-4d66-b598-d080c0bf7823</t>
  </si>
  <si>
    <t xml:space="preserve">cmjh9j4m000s5zcx2u4hdskdj</t>
  </si>
  <si>
    <t xml:space="preserve">cmjh9jrav00smzcx2ss6ggfyk</t>
  </si>
  <si>
    <t xml:space="preserve">edc86d51-f990-431a-9dbb-0b33174c23d3</t>
  </si>
  <si>
    <t xml:space="preserve">cmjh9r8fc00sqzcx2jltnr7u8</t>
  </si>
  <si>
    <t xml:space="preserve">cmjh9rp1000t7zcx235vjpklz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</si>
  <si>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</si>
  <si>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</si>
  <si>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</si>
  <si>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</si>
  <si>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</si>
  <si>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</si>
  <si>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hybsem</t>
  </si>
  <si>
    <t xml:space="preserve">control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</si>
  <si>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</si>
  <si>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</si>
  <si>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</si>
  <si>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</si>
  <si>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</si>
  <si>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</si>
  <si>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Mean scen</t>
  </si>
  <si>
    <t xml:space="preserve">Mean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</si>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</sst>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4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0.785168761593727</c:v>
                </c:pt>
                <c:pt idx="1">
                  <c:v>0.7034443874608</c:v>
                </c:pt>
                <c:pt idx="2">
                  <c:v>0.735399855829613</c:v>
                </c:pt>
                <c:pt idx="3">
                  <c:v>0.697297454274584</c:v>
                </c:pt>
                <c:pt idx="4">
                  <c:v>0.713223127756937</c:v>
                </c:pt>
                <c:pt idx="5">
                  <c:v>0.767347429776357</c:v>
                </c:pt>
                <c:pt idx="6">
                  <c:v>0.741214474418534</c:v>
                </c:pt>
                <c:pt idx="7">
                  <c:v>0.702691804836109</c:v>
                </c:pt>
                <c:pt idx="8">
                  <c:v>0.676410925873389</c:v>
                </c:pt>
                <c:pt idx="9">
                  <c:v>0.715155539827357</c:v>
                </c:pt>
                <c:pt idx="10">
                  <c:v>0.72491699498861</c:v>
                </c:pt>
                <c:pt idx="11">
                  <c:v>0.844773353099784</c:v>
                </c:pt>
                <c:pt idx="12">
                  <c:v>0.670771286759802</c:v>
                </c:pt>
                <c:pt idx="13">
                  <c:v>0.749199345598474</c:v>
                </c:pt>
                <c:pt idx="14">
                  <c:v>0.710334404151347</c:v>
                </c:pt>
                <c:pt idx="15">
                  <c:v>0.658233657913275</c:v>
                </c:pt>
                <c:pt idx="16">
                  <c:v>0.821533014122518</c:v>
                </c:pt>
                <c:pt idx="17">
                  <c:v>0.654001563002053</c:v>
                </c:pt>
                <c:pt idx="18">
                  <c:v>0.590768867737282</c:v>
                </c:pt>
                <c:pt idx="19">
                  <c:v>0.716584963681357</c:v>
                </c:pt>
                <c:pt idx="20">
                  <c:v>0.669739555124102</c:v>
                </c:pt>
                <c:pt idx="21">
                  <c:v>0.735555505104196</c:v>
                </c:pt>
                <c:pt idx="22">
                  <c:v>0.705937576250204</c:v>
                </c:pt>
                <c:pt idx="23">
                  <c:v>0.821053723330557</c:v>
                </c:pt>
                <c:pt idx="24">
                  <c:v>0.697201511529907</c:v>
                </c:pt>
              </c:numCache>
            </c:numRef>
          </c:yVal>
          <c:smooth val="0"/>
        </c:ser>
        <c:axId val="33597158"/>
        <c:axId val="81490850"/>
      </c:scatterChart>
      <c:valAx>
        <c:axId val="335971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1490850"/>
        <c:crosses val="autoZero"/>
        <c:crossBetween val="midCat"/>
      </c:valAx>
      <c:valAx>
        <c:axId val="814908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59715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inter_system_stats!$B$4:$B$28</c:f>
              <c:numCache>
                <c:formatCode>General</c:formatCode>
                <c:ptCount val="25"/>
                <c:pt idx="0">
                  <c:v>0.785168761593727</c:v>
                </c:pt>
                <c:pt idx="1">
                  <c:v>0.7034443874608</c:v>
                </c:pt>
                <c:pt idx="2">
                  <c:v>0.735399855829613</c:v>
                </c:pt>
                <c:pt idx="3">
                  <c:v>0.697297454274584</c:v>
                </c:pt>
                <c:pt idx="4">
                  <c:v>0.713223127756937</c:v>
                </c:pt>
                <c:pt idx="5">
                  <c:v>0.767347429776357</c:v>
                </c:pt>
                <c:pt idx="6">
                  <c:v>0.741214474418534</c:v>
                </c:pt>
                <c:pt idx="7">
                  <c:v>0.702691804836109</c:v>
                </c:pt>
                <c:pt idx="8">
                  <c:v>0.676410925873389</c:v>
                </c:pt>
                <c:pt idx="9">
                  <c:v>0.715155539827357</c:v>
                </c:pt>
                <c:pt idx="10">
                  <c:v>0.72491699498861</c:v>
                </c:pt>
                <c:pt idx="11">
                  <c:v>0.844773353099784</c:v>
                </c:pt>
                <c:pt idx="12">
                  <c:v>0.670771286759802</c:v>
                </c:pt>
                <c:pt idx="13">
                  <c:v>0.749199345598474</c:v>
                </c:pt>
                <c:pt idx="14">
                  <c:v>0.710334404151347</c:v>
                </c:pt>
                <c:pt idx="15">
                  <c:v>0.658233657913275</c:v>
                </c:pt>
                <c:pt idx="16">
                  <c:v>0.821533014122518</c:v>
                </c:pt>
                <c:pt idx="17">
                  <c:v>0.654001563002053</c:v>
                </c:pt>
                <c:pt idx="18">
                  <c:v>0.590768867737282</c:v>
                </c:pt>
                <c:pt idx="19">
                  <c:v>0.716584963681357</c:v>
                </c:pt>
                <c:pt idx="20">
                  <c:v>0.669739555124102</c:v>
                </c:pt>
                <c:pt idx="21">
                  <c:v>0.735555505104196</c:v>
                </c:pt>
                <c:pt idx="22">
                  <c:v>0.705937576250204</c:v>
                </c:pt>
                <c:pt idx="23">
                  <c:v>0.821053723330557</c:v>
                </c:pt>
                <c:pt idx="24">
                  <c:v>0.697201511529907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inter_system_stats!$C$4:$C$28</c:f>
              <c:numCache>
                <c:formatCode>General</c:formatCode>
                <c:ptCount val="25"/>
                <c:pt idx="0">
                  <c:v>0.820530604737196</c:v>
                </c:pt>
                <c:pt idx="1">
                  <c:v>0.407777700566947</c:v>
                </c:pt>
                <c:pt idx="2">
                  <c:v>0.64741533537976</c:v>
                </c:pt>
                <c:pt idx="3">
                  <c:v>0.492147299468326</c:v>
                </c:pt>
                <c:pt idx="4">
                  <c:v>0.536862868469305</c:v>
                </c:pt>
                <c:pt idx="5">
                  <c:v>0.63772449375854</c:v>
                </c:pt>
                <c:pt idx="6">
                  <c:v>0.616656606375133</c:v>
                </c:pt>
                <c:pt idx="7">
                  <c:v>0.626592572489672</c:v>
                </c:pt>
                <c:pt idx="8">
                  <c:v>0.648034250961909</c:v>
                </c:pt>
                <c:pt idx="9">
                  <c:v>0.506323646773135</c:v>
                </c:pt>
                <c:pt idx="10">
                  <c:v>0.585612272734794</c:v>
                </c:pt>
                <c:pt idx="11">
                  <c:v>0.522675525488207</c:v>
                </c:pt>
                <c:pt idx="12">
                  <c:v>0.59336895192208</c:v>
                </c:pt>
                <c:pt idx="13">
                  <c:v>0.712010193857469</c:v>
                </c:pt>
                <c:pt idx="14">
                  <c:v>0.389590431331602</c:v>
                </c:pt>
                <c:pt idx="15">
                  <c:v>0.538461186911437</c:v>
                </c:pt>
                <c:pt idx="16">
                  <c:v>0.562352229380074</c:v>
                </c:pt>
                <c:pt idx="17">
                  <c:v>0.449019179327942</c:v>
                </c:pt>
                <c:pt idx="18">
                  <c:v>0.547046967409802</c:v>
                </c:pt>
                <c:pt idx="19">
                  <c:v>0.566106097857875</c:v>
                </c:pt>
                <c:pt idx="20">
                  <c:v>0.404581945723551</c:v>
                </c:pt>
                <c:pt idx="21">
                  <c:v>0.662444425177304</c:v>
                </c:pt>
                <c:pt idx="22">
                  <c:v>0.42157129852119</c:v>
                </c:pt>
                <c:pt idx="23">
                  <c:v>0.744339298226825</c:v>
                </c:pt>
                <c:pt idx="24">
                  <c:v>0.469428262971454</c:v>
                </c:pt>
              </c:numCache>
            </c:numRef>
          </c:yVal>
          <c:smooth val="0"/>
        </c:ser>
        <c:axId val="55852897"/>
        <c:axId val="48861431"/>
      </c:scatterChart>
      <c:valAx>
        <c:axId val="558528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861431"/>
        <c:crosses val="autoZero"/>
        <c:crossBetween val="midCat"/>
      </c:valAx>
      <c:valAx>
        <c:axId val="488614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58528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23760</xdr:colOff>
      <xdr:row>2</xdr:row>
      <xdr:rowOff>46440</xdr:rowOff>
    </xdr:from>
    <xdr:to>
      <xdr:col>10</xdr:col>
      <xdr:colOff>86040</xdr:colOff>
      <xdr:row>22</xdr:row>
      <xdr:rowOff>30240</xdr:rowOff>
    </xdr:to>
    <xdr:graphicFrame>
      <xdr:nvGraphicFramePr>
        <xdr:cNvPr id="1" name=""/>
        <xdr:cNvGraphicFramePr/>
      </xdr:nvGraphicFramePr>
      <xdr:xfrm>
        <a:off x="2462040" y="371520"/>
        <a:ext cx="575208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12960</xdr:colOff>
      <xdr:row>6</xdr:row>
      <xdr:rowOff>38880</xdr:rowOff>
    </xdr:from>
    <xdr:to>
      <xdr:col>8</xdr:col>
      <xdr:colOff>1065960</xdr:colOff>
      <xdr:row>26</xdr:row>
      <xdr:rowOff>22680</xdr:rowOff>
    </xdr:to>
    <xdr:graphicFrame>
      <xdr:nvGraphicFramePr>
        <xdr:cNvPr id="2" name=""/>
        <xdr:cNvGraphicFramePr/>
      </xdr:nvGraphicFramePr>
      <xdr:xfrm>
        <a:off x="3916800" y="1014120"/>
        <a:ext cx="5758560" cy="323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859375" defaultRowHeight="15" customHeight="false" zeroHeight="false" outlineLevelRow="0" outlineLevelCol="0"/>
  <cols>
    <col collapsed="false" customWidth="true" hidden="false" outlineLevel="0" max="4" min="4" style="1" width="20.58"/>
    <col collapsed="false" customWidth="true" hidden="false" outlineLevel="0" max="5" min="5" style="1" width="13.12"/>
    <col collapsed="false" customWidth="true" hidden="false" outlineLevel="0" max="7" min="7" style="2" width="39.93"/>
    <col collapsed="false" customWidth="true" hidden="false" outlineLevel="0" max="8" min="8" style="1" width="7.68"/>
    <col collapsed="false" customWidth="true" hidden="false" outlineLevel="0" max="10" min="9" style="1" width="18.71"/>
    <col collapsed="false" customWidth="true" hidden="false" outlineLevel="0" max="11" min="11" style="1" width="21.77"/>
    <col collapsed="false" customWidth="true" hidden="false" outlineLevel="0" max="12" min="12" style="1" width="19.22"/>
    <col collapsed="false" customWidth="true" hidden="false" outlineLevel="0" max="18" min="17" style="1" width="21.4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4" t="s">
        <v>12</v>
      </c>
      <c r="Q1" s="4" t="s">
        <v>13</v>
      </c>
      <c r="R1" s="4" t="s">
        <v>14</v>
      </c>
      <c r="S1" s="5" t="s">
        <v>15</v>
      </c>
    </row>
    <row r="2" customFormat="false" ht="15" hidden="false" customHeight="false" outlineLevel="0" collapsed="false">
      <c r="G2" s="3"/>
      <c r="P2" s="6" t="n">
        <f aca="false">COUNT(F3:F117)</f>
        <v>115</v>
      </c>
      <c r="Q2" s="6" t="n">
        <f aca="false">AVERAGE(K3:K117)</f>
        <v>0.0431400986640625</v>
      </c>
      <c r="R2" s="6" t="n">
        <f aca="false">CORREL(H3:H117,K3:K117)</f>
        <v>-0.0137304556759604</v>
      </c>
      <c r="S2" s="6" t="n">
        <v>0.88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2" t="s">
        <v>21</v>
      </c>
      <c r="H3" s="1" t="n">
        <v>0.1</v>
      </c>
      <c r="I3" s="1" t="n">
        <v>0.134917733721713</v>
      </c>
      <c r="J3" s="1" t="n">
        <v>0.220760218330258</v>
      </c>
      <c r="K3" s="1" t="n">
        <f aca="false">J3-I3</f>
        <v>0.0858424846085453</v>
      </c>
      <c r="L3" s="1" t="n">
        <v>0.785168761593727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24</v>
      </c>
      <c r="D4" s="1" t="s">
        <v>19</v>
      </c>
      <c r="E4" s="1" t="s">
        <v>20</v>
      </c>
      <c r="F4" s="1" t="n">
        <v>2</v>
      </c>
      <c r="G4" s="2" t="s">
        <v>25</v>
      </c>
      <c r="H4" s="1" t="n">
        <v>0.3369</v>
      </c>
      <c r="I4" s="1" t="n">
        <v>0.24282597243047</v>
      </c>
      <c r="J4" s="1" t="n">
        <v>0.346183073278078</v>
      </c>
      <c r="K4" s="1" t="n">
        <f aca="false">J4-I4</f>
        <v>0.103357100847608</v>
      </c>
      <c r="L4" s="1" t="n">
        <v>0.7034443874608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19</v>
      </c>
      <c r="E5" s="1" t="s">
        <v>20</v>
      </c>
      <c r="F5" s="1" t="n">
        <v>2</v>
      </c>
      <c r="G5" s="2" t="s">
        <v>26</v>
      </c>
      <c r="H5" s="1" t="n">
        <v>0.2849</v>
      </c>
      <c r="I5" s="1" t="n">
        <v>0.205364730519236</v>
      </c>
      <c r="J5" s="1" t="n">
        <v>0.349426638475306</v>
      </c>
      <c r="K5" s="1" t="n">
        <f aca="false">J5-I5</f>
        <v>0.14406190795607</v>
      </c>
      <c r="L5" s="1" t="n">
        <v>0.7034443874608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19</v>
      </c>
      <c r="E6" s="1" t="s">
        <v>20</v>
      </c>
      <c r="F6" s="1" t="n">
        <v>2</v>
      </c>
      <c r="G6" s="2" t="s">
        <v>27</v>
      </c>
      <c r="H6" s="1" t="n">
        <v>0.2782</v>
      </c>
      <c r="I6" s="1" t="n">
        <v>0.200519827287281</v>
      </c>
      <c r="J6" s="1" t="n">
        <v>0.222004601215289</v>
      </c>
      <c r="K6" s="1" t="n">
        <f aca="false">J6-I6</f>
        <v>0.0214847739280078</v>
      </c>
      <c r="L6" s="1" t="n">
        <v>0.7034443874608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19</v>
      </c>
      <c r="E7" s="1" t="s">
        <v>20</v>
      </c>
      <c r="F7" s="1" t="n">
        <v>2</v>
      </c>
      <c r="G7" s="2" t="s">
        <v>21</v>
      </c>
      <c r="H7" s="1" t="n">
        <v>0.1</v>
      </c>
      <c r="I7" s="1" t="n">
        <v>0.157825583375355</v>
      </c>
      <c r="J7" s="1" t="n">
        <v>0.23137115592211</v>
      </c>
      <c r="K7" s="1" t="n">
        <f aca="false">J7-I7</f>
        <v>0.0735455725467557</v>
      </c>
      <c r="L7" s="1" t="n">
        <v>0.7034443874608</v>
      </c>
    </row>
    <row r="8" customFormat="false" ht="15" hidden="false" customHeight="false" outlineLevel="0" collapsed="false">
      <c r="A8" s="1" t="s">
        <v>28</v>
      </c>
      <c r="B8" s="1" t="s">
        <v>29</v>
      </c>
      <c r="C8" s="1" t="s">
        <v>30</v>
      </c>
      <c r="D8" s="1" t="s">
        <v>19</v>
      </c>
      <c r="E8" s="1" t="s">
        <v>20</v>
      </c>
      <c r="F8" s="1" t="n">
        <v>4</v>
      </c>
      <c r="G8" s="2" t="s">
        <v>25</v>
      </c>
      <c r="H8" s="1" t="n">
        <v>0.2505</v>
      </c>
      <c r="I8" s="1" t="n">
        <v>0.242876526244099</v>
      </c>
      <c r="J8" s="1" t="n">
        <v>0.232628071144211</v>
      </c>
      <c r="K8" s="1" t="n">
        <f aca="false">J8-I8</f>
        <v>-0.0102484550998884</v>
      </c>
      <c r="L8" s="1" t="n">
        <v>0.735399855829613</v>
      </c>
    </row>
    <row r="9" customFormat="false" ht="15" hidden="false" customHeight="false" outlineLevel="0" collapsed="false">
      <c r="A9" s="1" t="s">
        <v>28</v>
      </c>
      <c r="B9" s="1" t="s">
        <v>29</v>
      </c>
      <c r="C9" s="1" t="s">
        <v>30</v>
      </c>
      <c r="D9" s="1" t="s">
        <v>19</v>
      </c>
      <c r="E9" s="1" t="s">
        <v>20</v>
      </c>
      <c r="F9" s="1" t="n">
        <v>4</v>
      </c>
      <c r="G9" s="2" t="s">
        <v>26</v>
      </c>
      <c r="H9" s="1" t="n">
        <v>0.2208</v>
      </c>
      <c r="I9" s="1" t="n">
        <v>0.214016224963747</v>
      </c>
      <c r="J9" s="1" t="n">
        <v>0.195540883502616</v>
      </c>
      <c r="K9" s="1" t="n">
        <f aca="false">J9-I9</f>
        <v>-0.0184753414611305</v>
      </c>
      <c r="L9" s="1" t="n">
        <v>0.735399855829613</v>
      </c>
    </row>
    <row r="10" customFormat="false" ht="15" hidden="false" customHeight="false" outlineLevel="0" collapsed="false">
      <c r="A10" s="1" t="s">
        <v>28</v>
      </c>
      <c r="B10" s="1" t="s">
        <v>29</v>
      </c>
      <c r="C10" s="1" t="s">
        <v>30</v>
      </c>
      <c r="D10" s="1" t="s">
        <v>19</v>
      </c>
      <c r="E10" s="1" t="s">
        <v>20</v>
      </c>
      <c r="F10" s="1" t="n">
        <v>4</v>
      </c>
      <c r="G10" s="2" t="s">
        <v>31</v>
      </c>
      <c r="H10" s="1" t="n">
        <v>0.2168</v>
      </c>
      <c r="I10" s="1" t="n">
        <v>0.210210378184561</v>
      </c>
      <c r="J10" s="1" t="n">
        <v>0.207338221506132</v>
      </c>
      <c r="K10" s="1" t="n">
        <f aca="false">J10-I10</f>
        <v>-0.00287215667842902</v>
      </c>
      <c r="L10" s="1" t="n">
        <v>0.735399855829613</v>
      </c>
    </row>
    <row r="11" customFormat="false" ht="15" hidden="false" customHeight="false" outlineLevel="0" collapsed="false">
      <c r="A11" s="1" t="s">
        <v>28</v>
      </c>
      <c r="B11" s="1" t="s">
        <v>29</v>
      </c>
      <c r="C11" s="1" t="s">
        <v>30</v>
      </c>
      <c r="D11" s="1" t="s">
        <v>19</v>
      </c>
      <c r="E11" s="1" t="s">
        <v>20</v>
      </c>
      <c r="F11" s="1" t="n">
        <v>4</v>
      </c>
      <c r="G11" s="2" t="s">
        <v>32</v>
      </c>
      <c r="H11" s="1" t="n">
        <v>0.2119</v>
      </c>
      <c r="I11" s="1" t="n">
        <v>0.205392972250983</v>
      </c>
      <c r="J11" s="1" t="n">
        <v>0.183661523818817</v>
      </c>
      <c r="K11" s="1" t="n">
        <f aca="false">J11-I11</f>
        <v>-0.0217314484321661</v>
      </c>
      <c r="L11" s="1" t="n">
        <v>0.735399855829613</v>
      </c>
    </row>
    <row r="12" customFormat="false" ht="15" hidden="false" customHeight="false" outlineLevel="0" collapsed="false">
      <c r="A12" s="1" t="s">
        <v>28</v>
      </c>
      <c r="B12" s="1" t="s">
        <v>29</v>
      </c>
      <c r="C12" s="1" t="s">
        <v>30</v>
      </c>
      <c r="D12" s="1" t="s">
        <v>19</v>
      </c>
      <c r="E12" s="1" t="s">
        <v>20</v>
      </c>
      <c r="F12" s="1" t="n">
        <v>4</v>
      </c>
      <c r="G12" s="2" t="s">
        <v>21</v>
      </c>
      <c r="H12" s="1" t="n">
        <v>0.1</v>
      </c>
      <c r="I12" s="1" t="n">
        <v>0.180373902304569</v>
      </c>
      <c r="J12" s="1" t="n">
        <v>0.183292777106744</v>
      </c>
      <c r="K12" s="1" t="n">
        <f aca="false">J12-I12</f>
        <v>0.00291887480217562</v>
      </c>
      <c r="L12" s="1" t="n">
        <v>0.735399855829613</v>
      </c>
    </row>
    <row r="13" customFormat="false" ht="15" hidden="false" customHeight="false" outlineLevel="0" collapsed="false">
      <c r="A13" s="1" t="s">
        <v>33</v>
      </c>
      <c r="B13" s="1" t="s">
        <v>34</v>
      </c>
      <c r="C13" s="1" t="s">
        <v>35</v>
      </c>
      <c r="D13" s="1" t="s">
        <v>19</v>
      </c>
      <c r="E13" s="1" t="s">
        <v>20</v>
      </c>
      <c r="F13" s="1" t="n">
        <v>6</v>
      </c>
      <c r="G13" s="2" t="s">
        <v>21</v>
      </c>
      <c r="H13" s="1" t="n">
        <v>0.1</v>
      </c>
      <c r="I13" s="1" t="n">
        <v>0.136239309823157</v>
      </c>
      <c r="J13" s="1" t="n">
        <v>0.223639755889144</v>
      </c>
      <c r="K13" s="1" t="n">
        <f aca="false">J13-I13</f>
        <v>0.087400446065987</v>
      </c>
      <c r="L13" s="1" t="n">
        <v>0.697297454274584</v>
      </c>
    </row>
    <row r="14" customFormat="false" ht="15" hidden="false" customHeight="false" outlineLevel="0" collapsed="false">
      <c r="A14" s="1" t="s">
        <v>36</v>
      </c>
      <c r="B14" s="1" t="s">
        <v>37</v>
      </c>
      <c r="C14" s="1" t="s">
        <v>38</v>
      </c>
      <c r="D14" s="1" t="s">
        <v>19</v>
      </c>
      <c r="E14" s="1" t="s">
        <v>20</v>
      </c>
      <c r="F14" s="1" t="n">
        <v>8</v>
      </c>
      <c r="G14" s="2" t="s">
        <v>25</v>
      </c>
      <c r="H14" s="1" t="n">
        <v>0.2105</v>
      </c>
      <c r="I14" s="1" t="n">
        <v>0.295462867103868</v>
      </c>
      <c r="J14" s="1" t="n">
        <v>0.324996771963392</v>
      </c>
      <c r="K14" s="1" t="n">
        <f aca="false">J14-I14</f>
        <v>0.0295339048595235</v>
      </c>
      <c r="L14" s="1" t="n">
        <v>0.713223127756937</v>
      </c>
    </row>
    <row r="15" customFormat="false" ht="15" hidden="false" customHeight="false" outlineLevel="0" collapsed="false">
      <c r="A15" s="1" t="s">
        <v>36</v>
      </c>
      <c r="B15" s="1" t="s">
        <v>37</v>
      </c>
      <c r="C15" s="1" t="s">
        <v>38</v>
      </c>
      <c r="D15" s="1" t="s">
        <v>19</v>
      </c>
      <c r="E15" s="1" t="s">
        <v>20</v>
      </c>
      <c r="F15" s="1" t="n">
        <v>8</v>
      </c>
      <c r="G15" s="2" t="s">
        <v>26</v>
      </c>
      <c r="H15" s="1" t="n">
        <v>0.1964</v>
      </c>
      <c r="I15" s="1" t="n">
        <v>0.275570498860913</v>
      </c>
      <c r="J15" s="1" t="n">
        <v>0.287869012075062</v>
      </c>
      <c r="K15" s="1" t="n">
        <f aca="false">J15-I15</f>
        <v>0.0122985132141492</v>
      </c>
      <c r="L15" s="1" t="n">
        <v>0.713223127756937</v>
      </c>
    </row>
    <row r="16" customFormat="false" ht="15" hidden="false" customHeight="false" outlineLevel="0" collapsed="false">
      <c r="A16" s="1" t="s">
        <v>36</v>
      </c>
      <c r="B16" s="1" t="s">
        <v>37</v>
      </c>
      <c r="C16" s="1" t="s">
        <v>38</v>
      </c>
      <c r="D16" s="1" t="s">
        <v>19</v>
      </c>
      <c r="E16" s="1" t="s">
        <v>20</v>
      </c>
      <c r="F16" s="1" t="n">
        <v>8</v>
      </c>
      <c r="G16" s="2" t="s">
        <v>31</v>
      </c>
      <c r="H16" s="1" t="n">
        <v>0.1661</v>
      </c>
      <c r="I16" s="1" t="n">
        <v>0.233035941454416</v>
      </c>
      <c r="J16" s="1" t="n">
        <v>0.256072205070819</v>
      </c>
      <c r="K16" s="1" t="n">
        <f aca="false">J16-I16</f>
        <v>0.0230362636164032</v>
      </c>
      <c r="L16" s="1" t="n">
        <v>0.713223127756937</v>
      </c>
    </row>
    <row r="17" customFormat="false" ht="15" hidden="false" customHeight="false" outlineLevel="0" collapsed="false">
      <c r="A17" s="1" t="s">
        <v>36</v>
      </c>
      <c r="B17" s="1" t="s">
        <v>37</v>
      </c>
      <c r="C17" s="1" t="s">
        <v>38</v>
      </c>
      <c r="D17" s="1" t="s">
        <v>19</v>
      </c>
      <c r="E17" s="1" t="s">
        <v>20</v>
      </c>
      <c r="F17" s="1" t="n">
        <v>8</v>
      </c>
      <c r="G17" s="2" t="s">
        <v>39</v>
      </c>
      <c r="H17" s="1" t="n">
        <v>0.1641</v>
      </c>
      <c r="I17" s="1" t="n">
        <v>0.230315647170921</v>
      </c>
      <c r="J17" s="1" t="n">
        <v>0.264599218881483</v>
      </c>
      <c r="K17" s="1" t="n">
        <f aca="false">J17-I17</f>
        <v>0.0342835717105628</v>
      </c>
      <c r="L17" s="1" t="n">
        <v>0.713223127756937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1" t="s">
        <v>38</v>
      </c>
      <c r="D18" s="1" t="s">
        <v>19</v>
      </c>
      <c r="E18" s="1" t="s">
        <v>20</v>
      </c>
      <c r="F18" s="1" t="n">
        <v>8</v>
      </c>
      <c r="G18" s="2" t="s">
        <v>40</v>
      </c>
      <c r="H18" s="1" t="n">
        <v>0.1629</v>
      </c>
      <c r="I18" s="1" t="n">
        <v>0.228581636651971</v>
      </c>
      <c r="J18" s="1" t="n">
        <v>0.270992748489371</v>
      </c>
      <c r="K18" s="1" t="n">
        <f aca="false">J18-I18</f>
        <v>0.0424111118373999</v>
      </c>
      <c r="L18" s="1" t="n">
        <v>0.713223127756937</v>
      </c>
    </row>
    <row r="19" customFormat="false" ht="15" hidden="false" customHeight="false" outlineLevel="0" collapsed="false">
      <c r="A19" s="1" t="s">
        <v>36</v>
      </c>
      <c r="B19" s="1" t="s">
        <v>37</v>
      </c>
      <c r="C19" s="1" t="s">
        <v>38</v>
      </c>
      <c r="D19" s="1" t="s">
        <v>19</v>
      </c>
      <c r="E19" s="1" t="s">
        <v>20</v>
      </c>
      <c r="F19" s="1" t="n">
        <v>8</v>
      </c>
      <c r="G19" s="2" t="s">
        <v>21</v>
      </c>
      <c r="H19" s="1" t="n">
        <v>0.1</v>
      </c>
      <c r="I19" s="1" t="n">
        <v>0.189314322744226</v>
      </c>
      <c r="J19" s="1" t="n">
        <v>0.231933004084603</v>
      </c>
      <c r="K19" s="1" t="n">
        <f aca="false">J19-I19</f>
        <v>0.0426186813403767</v>
      </c>
      <c r="L19" s="1" t="n">
        <v>0.713223127756937</v>
      </c>
    </row>
    <row r="20" customFormat="false" ht="15" hidden="false" customHeight="false" outlineLevel="0" collapsed="false">
      <c r="A20" s="1" t="s">
        <v>41</v>
      </c>
      <c r="B20" s="1" t="s">
        <v>42</v>
      </c>
      <c r="C20" s="1" t="s">
        <v>43</v>
      </c>
      <c r="D20" s="1" t="s">
        <v>19</v>
      </c>
      <c r="E20" s="1" t="s">
        <v>20</v>
      </c>
      <c r="F20" s="1" t="n">
        <v>10</v>
      </c>
      <c r="G20" s="2" t="s">
        <v>21</v>
      </c>
      <c r="H20" s="1" t="n">
        <v>0.1</v>
      </c>
      <c r="I20" s="1" t="n">
        <v>0.148051223477515</v>
      </c>
      <c r="J20" s="1" t="n">
        <v>0.233079512487342</v>
      </c>
      <c r="K20" s="1" t="n">
        <f aca="false">J20-I20</f>
        <v>0.0850282890098266</v>
      </c>
      <c r="L20" s="1" t="n">
        <v>0.767347429776357</v>
      </c>
    </row>
    <row r="21" customFormat="false" ht="15" hidden="false" customHeight="false" outlineLevel="0" collapsed="false">
      <c r="A21" s="1" t="s">
        <v>44</v>
      </c>
      <c r="B21" s="1" t="s">
        <v>45</v>
      </c>
      <c r="C21" s="1" t="s">
        <v>46</v>
      </c>
      <c r="D21" s="1" t="s">
        <v>19</v>
      </c>
      <c r="E21" s="1" t="s">
        <v>20</v>
      </c>
      <c r="F21" s="1" t="n">
        <v>12</v>
      </c>
      <c r="G21" s="2" t="s">
        <v>26</v>
      </c>
      <c r="H21" s="1" t="n">
        <v>0.2542</v>
      </c>
      <c r="I21" s="1" t="n">
        <v>0.277120892126239</v>
      </c>
      <c r="J21" s="1" t="n">
        <v>0.339915839747503</v>
      </c>
      <c r="K21" s="1" t="n">
        <f aca="false">J21-I21</f>
        <v>0.0627949476212638</v>
      </c>
      <c r="L21" s="1" t="n">
        <v>0.741214474418534</v>
      </c>
    </row>
    <row r="22" customFormat="false" ht="15" hidden="false" customHeight="false" outlineLevel="0" collapsed="false">
      <c r="A22" s="1" t="s">
        <v>44</v>
      </c>
      <c r="B22" s="1" t="s">
        <v>45</v>
      </c>
      <c r="C22" s="1" t="s">
        <v>46</v>
      </c>
      <c r="D22" s="1" t="s">
        <v>19</v>
      </c>
      <c r="E22" s="1" t="s">
        <v>20</v>
      </c>
      <c r="F22" s="1" t="n">
        <v>12</v>
      </c>
      <c r="G22" s="2" t="s">
        <v>31</v>
      </c>
      <c r="H22" s="1" t="n">
        <v>0.2385</v>
      </c>
      <c r="I22" s="1" t="n">
        <v>0.259976224563166</v>
      </c>
      <c r="J22" s="1" t="n">
        <v>0.309798832185524</v>
      </c>
      <c r="K22" s="1" t="n">
        <f aca="false">J22-I22</f>
        <v>0.0498226076223572</v>
      </c>
      <c r="L22" s="1" t="n">
        <v>0.741214474418534</v>
      </c>
    </row>
    <row r="23" customFormat="false" ht="15" hidden="false" customHeight="false" outlineLevel="0" collapsed="false">
      <c r="A23" s="1" t="s">
        <v>44</v>
      </c>
      <c r="B23" s="1" t="s">
        <v>45</v>
      </c>
      <c r="C23" s="1" t="s">
        <v>46</v>
      </c>
      <c r="D23" s="1" t="s">
        <v>19</v>
      </c>
      <c r="E23" s="1" t="s">
        <v>20</v>
      </c>
      <c r="F23" s="1" t="n">
        <v>12</v>
      </c>
      <c r="G23" s="2" t="s">
        <v>25</v>
      </c>
      <c r="H23" s="1" t="n">
        <v>0.2205</v>
      </c>
      <c r="I23" s="1" t="n">
        <v>0.240375383071804</v>
      </c>
      <c r="J23" s="1" t="n">
        <v>0.303097924219611</v>
      </c>
      <c r="K23" s="1" t="n">
        <f aca="false">J23-I23</f>
        <v>0.0627225411478065</v>
      </c>
      <c r="L23" s="1" t="n">
        <v>0.741214474418534</v>
      </c>
    </row>
    <row r="24" customFormat="false" ht="15" hidden="false" customHeight="false" outlineLevel="0" collapsed="false">
      <c r="A24" s="1" t="s">
        <v>44</v>
      </c>
      <c r="B24" s="1" t="s">
        <v>45</v>
      </c>
      <c r="C24" s="1" t="s">
        <v>46</v>
      </c>
      <c r="D24" s="1" t="s">
        <v>19</v>
      </c>
      <c r="E24" s="1" t="s">
        <v>20</v>
      </c>
      <c r="F24" s="1" t="n">
        <v>12</v>
      </c>
      <c r="G24" s="2" t="s">
        <v>39</v>
      </c>
      <c r="H24" s="1" t="n">
        <v>0.1869</v>
      </c>
      <c r="I24" s="1" t="n">
        <v>0.203707688177316</v>
      </c>
      <c r="J24" s="1" t="n">
        <v>0.304113904295373</v>
      </c>
      <c r="K24" s="1" t="n">
        <f aca="false">J24-I24</f>
        <v>0.100406216118057</v>
      </c>
      <c r="L24" s="1" t="n">
        <v>0.741214474418534</v>
      </c>
    </row>
    <row r="25" customFormat="false" ht="15" hidden="false" customHeight="false" outlineLevel="0" collapsed="false">
      <c r="A25" s="1" t="s">
        <v>44</v>
      </c>
      <c r="B25" s="1" t="s">
        <v>45</v>
      </c>
      <c r="C25" s="1" t="s">
        <v>46</v>
      </c>
      <c r="D25" s="1" t="s">
        <v>19</v>
      </c>
      <c r="E25" s="1" t="s">
        <v>20</v>
      </c>
      <c r="F25" s="1" t="n">
        <v>12</v>
      </c>
      <c r="G25" s="2" t="s">
        <v>21</v>
      </c>
      <c r="H25" s="1" t="n">
        <v>0.1</v>
      </c>
      <c r="I25" s="1" t="n">
        <v>0.188245595736315</v>
      </c>
      <c r="J25" s="1" t="n">
        <v>0.261726459463762</v>
      </c>
      <c r="K25" s="1" t="n">
        <f aca="false">J25-I25</f>
        <v>0.0734808637274462</v>
      </c>
      <c r="L25" s="1" t="n">
        <v>0.741214474418534</v>
      </c>
    </row>
    <row r="26" customFormat="false" ht="15" hidden="false" customHeight="false" outlineLevel="0" collapsed="false">
      <c r="A26" s="1" t="s">
        <v>47</v>
      </c>
      <c r="B26" s="1" t="s">
        <v>48</v>
      </c>
      <c r="C26" s="1" t="s">
        <v>49</v>
      </c>
      <c r="D26" s="1" t="s">
        <v>19</v>
      </c>
      <c r="E26" s="1" t="s">
        <v>20</v>
      </c>
      <c r="F26" s="1" t="n">
        <v>14</v>
      </c>
      <c r="G26" s="2" t="s">
        <v>31</v>
      </c>
      <c r="H26" s="1" t="n">
        <v>0.9</v>
      </c>
      <c r="I26" s="1" t="n">
        <v>0.20310355930257</v>
      </c>
      <c r="J26" s="1" t="n">
        <v>0.225865995252389</v>
      </c>
      <c r="K26" s="1" t="n">
        <f aca="false">J26-I26</f>
        <v>0.0227624359498186</v>
      </c>
      <c r="L26" s="1" t="n">
        <v>0.702691804836109</v>
      </c>
    </row>
    <row r="27" customFormat="false" ht="15" hidden="false" customHeight="false" outlineLevel="0" collapsed="false">
      <c r="A27" s="1" t="s">
        <v>47</v>
      </c>
      <c r="B27" s="1" t="s">
        <v>48</v>
      </c>
      <c r="C27" s="1" t="s">
        <v>49</v>
      </c>
      <c r="D27" s="1" t="s">
        <v>19</v>
      </c>
      <c r="E27" s="1" t="s">
        <v>20</v>
      </c>
      <c r="F27" s="1" t="n">
        <v>14</v>
      </c>
      <c r="G27" s="2" t="s">
        <v>21</v>
      </c>
      <c r="H27" s="1" t="n">
        <v>0.1</v>
      </c>
      <c r="I27" s="1" t="n">
        <v>0.168439625680623</v>
      </c>
      <c r="J27" s="1" t="n">
        <v>0.205314598378191</v>
      </c>
      <c r="K27" s="1" t="n">
        <f aca="false">J27-I27</f>
        <v>0.0368749726975677</v>
      </c>
      <c r="L27" s="1" t="n">
        <v>0.702691804836109</v>
      </c>
    </row>
    <row r="28" customFormat="false" ht="15" hidden="false" customHeight="false" outlineLevel="0" collapsed="false">
      <c r="A28" s="1" t="s">
        <v>50</v>
      </c>
      <c r="B28" s="1" t="s">
        <v>51</v>
      </c>
      <c r="C28" s="1" t="s">
        <v>52</v>
      </c>
      <c r="D28" s="1" t="s">
        <v>19</v>
      </c>
      <c r="E28" s="1" t="s">
        <v>20</v>
      </c>
      <c r="F28" s="1" t="n">
        <v>16</v>
      </c>
      <c r="G28" s="2" t="s">
        <v>21</v>
      </c>
      <c r="H28" s="1" t="n">
        <v>0.1</v>
      </c>
      <c r="I28" s="1" t="n">
        <v>0.10514412076822</v>
      </c>
      <c r="J28" s="1" t="n">
        <v>0.231195625625818</v>
      </c>
      <c r="K28" s="1" t="n">
        <f aca="false">J28-I28</f>
        <v>0.126051504857598</v>
      </c>
      <c r="L28" s="1" t="n">
        <v>0.676410925873389</v>
      </c>
    </row>
    <row r="29" customFormat="false" ht="15" hidden="false" customHeight="false" outlineLevel="0" collapsed="false">
      <c r="A29" s="1" t="s">
        <v>53</v>
      </c>
      <c r="B29" s="1" t="s">
        <v>54</v>
      </c>
      <c r="C29" s="1" t="s">
        <v>55</v>
      </c>
      <c r="D29" s="1" t="s">
        <v>19</v>
      </c>
      <c r="E29" s="1" t="s">
        <v>20</v>
      </c>
      <c r="F29" s="1" t="n">
        <v>18</v>
      </c>
      <c r="G29" s="2" t="s">
        <v>25</v>
      </c>
      <c r="H29" s="1" t="n">
        <v>0.1887</v>
      </c>
      <c r="I29" s="1" t="n">
        <v>0.312010962689562</v>
      </c>
      <c r="J29" s="1" t="n">
        <v>0.320382615577423</v>
      </c>
      <c r="K29" s="1" t="n">
        <f aca="false">J29-I29</f>
        <v>0.0083716528878609</v>
      </c>
      <c r="L29" s="1" t="n">
        <v>0.715155539827357</v>
      </c>
    </row>
    <row r="30" customFormat="false" ht="15" hidden="false" customHeight="false" outlineLevel="0" collapsed="false">
      <c r="A30" s="1" t="s">
        <v>53</v>
      </c>
      <c r="B30" s="1" t="s">
        <v>54</v>
      </c>
      <c r="C30" s="1" t="s">
        <v>55</v>
      </c>
      <c r="D30" s="1" t="s">
        <v>19</v>
      </c>
      <c r="E30" s="1" t="s">
        <v>20</v>
      </c>
      <c r="F30" s="1" t="n">
        <v>18</v>
      </c>
      <c r="G30" s="2" t="s">
        <v>26</v>
      </c>
      <c r="H30" s="1" t="n">
        <v>0.1808</v>
      </c>
      <c r="I30" s="1" t="n">
        <v>0.29902104807497</v>
      </c>
      <c r="J30" s="1" t="n">
        <v>0.306691605230323</v>
      </c>
      <c r="K30" s="1" t="n">
        <f aca="false">J30-I30</f>
        <v>0.00767055715535292</v>
      </c>
      <c r="L30" s="1" t="n">
        <v>0.715155539827357</v>
      </c>
    </row>
    <row r="31" customFormat="false" ht="15" hidden="false" customHeight="false" outlineLevel="0" collapsed="false">
      <c r="A31" s="1" t="s">
        <v>53</v>
      </c>
      <c r="B31" s="1" t="s">
        <v>54</v>
      </c>
      <c r="C31" s="1" t="s">
        <v>55</v>
      </c>
      <c r="D31" s="1" t="s">
        <v>19</v>
      </c>
      <c r="E31" s="1" t="s">
        <v>20</v>
      </c>
      <c r="F31" s="1" t="n">
        <v>18</v>
      </c>
      <c r="G31" s="2" t="s">
        <v>31</v>
      </c>
      <c r="H31" s="1" t="n">
        <v>0.16</v>
      </c>
      <c r="I31" s="1" t="n">
        <v>0.264635095476456</v>
      </c>
      <c r="J31" s="1" t="n">
        <v>0.279881037201079</v>
      </c>
      <c r="K31" s="1" t="n">
        <f aca="false">J31-I31</f>
        <v>0.0152459417246221</v>
      </c>
      <c r="L31" s="1" t="n">
        <v>0.715155539827357</v>
      </c>
    </row>
    <row r="32" customFormat="false" ht="15" hidden="false" customHeight="false" outlineLevel="0" collapsed="false">
      <c r="A32" s="1" t="s">
        <v>53</v>
      </c>
      <c r="B32" s="1" t="s">
        <v>54</v>
      </c>
      <c r="C32" s="1" t="s">
        <v>55</v>
      </c>
      <c r="D32" s="1" t="s">
        <v>19</v>
      </c>
      <c r="E32" s="1" t="s">
        <v>20</v>
      </c>
      <c r="F32" s="1" t="n">
        <v>18</v>
      </c>
      <c r="G32" s="2" t="s">
        <v>39</v>
      </c>
      <c r="H32" s="1" t="n">
        <v>0.1586</v>
      </c>
      <c r="I32" s="1" t="n">
        <v>0.262273790509543</v>
      </c>
      <c r="J32" s="1" t="n">
        <v>0.284285534694439</v>
      </c>
      <c r="K32" s="1" t="n">
        <f aca="false">J32-I32</f>
        <v>0.0220117441848953</v>
      </c>
      <c r="L32" s="1" t="n">
        <v>0.715155539827357</v>
      </c>
    </row>
    <row r="33" customFormat="false" ht="15" hidden="false" customHeight="false" outlineLevel="0" collapsed="false">
      <c r="A33" s="1" t="s">
        <v>53</v>
      </c>
      <c r="B33" s="1" t="s">
        <v>54</v>
      </c>
      <c r="C33" s="1" t="s">
        <v>55</v>
      </c>
      <c r="D33" s="1" t="s">
        <v>19</v>
      </c>
      <c r="E33" s="1" t="s">
        <v>20</v>
      </c>
      <c r="F33" s="1" t="n">
        <v>18</v>
      </c>
      <c r="G33" s="2" t="s">
        <v>21</v>
      </c>
      <c r="H33" s="1" t="n">
        <v>0.1581</v>
      </c>
      <c r="I33" s="1" t="n">
        <v>0.261433801889195</v>
      </c>
      <c r="J33" s="1" t="n">
        <v>0.240279444932555</v>
      </c>
      <c r="K33" s="1" t="n">
        <f aca="false">J33-I33</f>
        <v>-0.0211543569566404</v>
      </c>
      <c r="L33" s="1" t="n">
        <v>0.715155539827357</v>
      </c>
    </row>
    <row r="34" customFormat="false" ht="15" hidden="false" customHeight="false" outlineLevel="0" collapsed="false">
      <c r="A34" s="1" t="s">
        <v>53</v>
      </c>
      <c r="B34" s="1" t="s">
        <v>54</v>
      </c>
      <c r="C34" s="1" t="s">
        <v>55</v>
      </c>
      <c r="D34" s="1" t="s">
        <v>19</v>
      </c>
      <c r="E34" s="1" t="s">
        <v>20</v>
      </c>
      <c r="F34" s="1" t="n">
        <v>18</v>
      </c>
      <c r="G34" s="2" t="s">
        <v>56</v>
      </c>
      <c r="H34" s="1" t="n">
        <v>0.1538</v>
      </c>
      <c r="I34" s="1" t="n">
        <v>0.254369904578466</v>
      </c>
      <c r="J34" s="1" t="n">
        <v>0.258112585066204</v>
      </c>
      <c r="K34" s="1" t="n">
        <f aca="false">J34-I34</f>
        <v>0.0037426804877374</v>
      </c>
      <c r="L34" s="1" t="n">
        <v>0.715155539827357</v>
      </c>
    </row>
    <row r="35" customFormat="false" ht="15" hidden="false" customHeight="false" outlineLevel="0" collapsed="false">
      <c r="A35" s="1" t="s">
        <v>57</v>
      </c>
      <c r="B35" s="1" t="s">
        <v>58</v>
      </c>
      <c r="C35" s="1" t="s">
        <v>59</v>
      </c>
      <c r="D35" s="1" t="s">
        <v>19</v>
      </c>
      <c r="E35" s="1" t="s">
        <v>20</v>
      </c>
      <c r="F35" s="1" t="n">
        <v>20</v>
      </c>
      <c r="G35" s="2" t="s">
        <v>25</v>
      </c>
      <c r="H35" s="1" t="n">
        <v>0.2038</v>
      </c>
      <c r="I35" s="1" t="n">
        <v>0.257075918846306</v>
      </c>
      <c r="J35" s="1" t="n">
        <v>0.33575341361943</v>
      </c>
      <c r="K35" s="1" t="n">
        <f aca="false">J35-I35</f>
        <v>0.0786774947731242</v>
      </c>
      <c r="L35" s="1" t="n">
        <v>0.72491699498861</v>
      </c>
    </row>
    <row r="36" customFormat="false" ht="15" hidden="false" customHeight="false" outlineLevel="0" collapsed="false">
      <c r="A36" s="1" t="s">
        <v>57</v>
      </c>
      <c r="B36" s="1" t="s">
        <v>58</v>
      </c>
      <c r="C36" s="1" t="s">
        <v>59</v>
      </c>
      <c r="D36" s="1" t="s">
        <v>19</v>
      </c>
      <c r="E36" s="1" t="s">
        <v>20</v>
      </c>
      <c r="F36" s="1" t="n">
        <v>20</v>
      </c>
      <c r="G36" s="2" t="s">
        <v>26</v>
      </c>
      <c r="H36" s="1" t="n">
        <v>0.2032</v>
      </c>
      <c r="I36" s="1" t="n">
        <v>0.256291156337833</v>
      </c>
      <c r="J36" s="1" t="n">
        <v>0.361834736038856</v>
      </c>
      <c r="K36" s="1" t="n">
        <f aca="false">J36-I36</f>
        <v>0.105543579701022</v>
      </c>
      <c r="L36" s="1" t="n">
        <v>0.72491699498861</v>
      </c>
    </row>
    <row r="37" customFormat="false" ht="15" hidden="false" customHeight="false" outlineLevel="0" collapsed="false">
      <c r="A37" s="1" t="s">
        <v>57</v>
      </c>
      <c r="B37" s="1" t="s">
        <v>58</v>
      </c>
      <c r="C37" s="1" t="s">
        <v>59</v>
      </c>
      <c r="D37" s="1" t="s">
        <v>19</v>
      </c>
      <c r="E37" s="1" t="s">
        <v>20</v>
      </c>
      <c r="F37" s="1" t="n">
        <v>20</v>
      </c>
      <c r="G37" s="2" t="s">
        <v>31</v>
      </c>
      <c r="H37" s="1" t="n">
        <v>0.1694</v>
      </c>
      <c r="I37" s="1" t="n">
        <v>0.213691216183597</v>
      </c>
      <c r="J37" s="1" t="n">
        <v>0.284479632257827</v>
      </c>
      <c r="K37" s="1" t="n">
        <f aca="false">J37-I37</f>
        <v>0.0707884160742308</v>
      </c>
      <c r="L37" s="1" t="n">
        <v>0.72491699498861</v>
      </c>
    </row>
    <row r="38" customFormat="false" ht="15" hidden="false" customHeight="false" outlineLevel="0" collapsed="false">
      <c r="A38" s="1" t="s">
        <v>57</v>
      </c>
      <c r="B38" s="1" t="s">
        <v>58</v>
      </c>
      <c r="C38" s="1" t="s">
        <v>59</v>
      </c>
      <c r="D38" s="1" t="s">
        <v>19</v>
      </c>
      <c r="E38" s="1" t="s">
        <v>20</v>
      </c>
      <c r="F38" s="1" t="n">
        <v>20</v>
      </c>
      <c r="G38" s="2" t="s">
        <v>39</v>
      </c>
      <c r="H38" s="1" t="n">
        <v>0.1624</v>
      </c>
      <c r="I38" s="1" t="n">
        <v>0.204872603561876</v>
      </c>
      <c r="J38" s="1" t="n">
        <v>0.296958147414188</v>
      </c>
      <c r="K38" s="1" t="n">
        <f aca="false">J38-I38</f>
        <v>0.0920855438523121</v>
      </c>
      <c r="L38" s="1" t="n">
        <v>0.72491699498861</v>
      </c>
    </row>
    <row r="39" customFormat="false" ht="15" hidden="false" customHeight="false" outlineLevel="0" collapsed="false">
      <c r="A39" s="1" t="s">
        <v>57</v>
      </c>
      <c r="B39" s="1" t="s">
        <v>58</v>
      </c>
      <c r="C39" s="1" t="s">
        <v>59</v>
      </c>
      <c r="D39" s="1" t="s">
        <v>19</v>
      </c>
      <c r="E39" s="1" t="s">
        <v>20</v>
      </c>
      <c r="F39" s="1" t="n">
        <v>20</v>
      </c>
      <c r="G39" s="2" t="s">
        <v>56</v>
      </c>
      <c r="H39" s="1" t="n">
        <v>0.1612</v>
      </c>
      <c r="I39" s="1" t="n">
        <v>0.203380934021975</v>
      </c>
      <c r="J39" s="1" t="n">
        <v>0.281028645188724</v>
      </c>
      <c r="K39" s="1" t="n">
        <f aca="false">J39-I39</f>
        <v>0.0776477111667497</v>
      </c>
      <c r="L39" s="1" t="n">
        <v>0.72491699498861</v>
      </c>
    </row>
    <row r="40" customFormat="false" ht="15" hidden="false" customHeight="false" outlineLevel="0" collapsed="false">
      <c r="A40" s="1" t="s">
        <v>57</v>
      </c>
      <c r="B40" s="1" t="s">
        <v>58</v>
      </c>
      <c r="C40" s="1" t="s">
        <v>59</v>
      </c>
      <c r="D40" s="1" t="s">
        <v>19</v>
      </c>
      <c r="E40" s="1" t="s">
        <v>20</v>
      </c>
      <c r="F40" s="1" t="n">
        <v>20</v>
      </c>
      <c r="G40" s="2" t="s">
        <v>21</v>
      </c>
      <c r="H40" s="1" t="n">
        <v>0.1</v>
      </c>
      <c r="I40" s="1" t="n">
        <v>0.186906995968878</v>
      </c>
      <c r="J40" s="1" t="n">
        <v>0.270974148563153</v>
      </c>
      <c r="K40" s="1" t="n">
        <f aca="false">J40-I40</f>
        <v>0.0840671525942748</v>
      </c>
      <c r="L40" s="1" t="n">
        <v>0.72491699498861</v>
      </c>
    </row>
    <row r="41" customFormat="false" ht="15" hidden="false" customHeight="false" outlineLevel="0" collapsed="false">
      <c r="A41" s="1" t="s">
        <v>60</v>
      </c>
      <c r="B41" s="1" t="s">
        <v>61</v>
      </c>
      <c r="C41" s="1" t="s">
        <v>62</v>
      </c>
      <c r="D41" s="1" t="s">
        <v>19</v>
      </c>
      <c r="E41" s="1" t="s">
        <v>20</v>
      </c>
      <c r="F41" s="1" t="n">
        <v>22</v>
      </c>
      <c r="G41" s="2" t="s">
        <v>26</v>
      </c>
      <c r="H41" s="1" t="n">
        <v>0.1977</v>
      </c>
      <c r="I41" s="1" t="n">
        <v>0.299152507644012</v>
      </c>
      <c r="J41" s="1" t="n">
        <v>0.404512278686004</v>
      </c>
      <c r="K41" s="1" t="n">
        <f aca="false">J41-I41</f>
        <v>0.105359771041992</v>
      </c>
      <c r="L41" s="1" t="n">
        <v>0.844773353099784</v>
      </c>
    </row>
    <row r="42" customFormat="false" ht="15" hidden="false" customHeight="false" outlineLevel="0" collapsed="false">
      <c r="A42" s="1" t="s">
        <v>60</v>
      </c>
      <c r="B42" s="1" t="s">
        <v>61</v>
      </c>
      <c r="C42" s="1" t="s">
        <v>62</v>
      </c>
      <c r="D42" s="1" t="s">
        <v>19</v>
      </c>
      <c r="E42" s="1" t="s">
        <v>20</v>
      </c>
      <c r="F42" s="1" t="n">
        <v>22</v>
      </c>
      <c r="G42" s="2" t="s">
        <v>21</v>
      </c>
      <c r="H42" s="1" t="n">
        <v>0.1762</v>
      </c>
      <c r="I42" s="1" t="n">
        <v>0.266593220584918</v>
      </c>
      <c r="J42" s="1" t="n">
        <v>0.318447298056138</v>
      </c>
      <c r="K42" s="1" t="n">
        <f aca="false">J42-I42</f>
        <v>0.0518540774712198</v>
      </c>
      <c r="L42" s="1" t="n">
        <v>0.844773353099784</v>
      </c>
    </row>
    <row r="43" customFormat="false" ht="15" hidden="false" customHeight="false" outlineLevel="0" collapsed="false">
      <c r="A43" s="1" t="s">
        <v>60</v>
      </c>
      <c r="B43" s="1" t="s">
        <v>61</v>
      </c>
      <c r="C43" s="1" t="s">
        <v>62</v>
      </c>
      <c r="D43" s="1" t="s">
        <v>19</v>
      </c>
      <c r="E43" s="1" t="s">
        <v>20</v>
      </c>
      <c r="F43" s="1" t="n">
        <v>22</v>
      </c>
      <c r="G43" s="2" t="s">
        <v>25</v>
      </c>
      <c r="H43" s="1" t="n">
        <v>0.1605</v>
      </c>
      <c r="I43" s="1" t="n">
        <v>0.242932366175043</v>
      </c>
      <c r="J43" s="1" t="n">
        <v>0.317389953255233</v>
      </c>
      <c r="K43" s="1" t="n">
        <f aca="false">J43-I43</f>
        <v>0.0744575870801904</v>
      </c>
      <c r="L43" s="1" t="n">
        <v>0.844773353099784</v>
      </c>
    </row>
    <row r="44" customFormat="false" ht="15" hidden="false" customHeight="false" outlineLevel="0" collapsed="false">
      <c r="A44" s="1" t="s">
        <v>60</v>
      </c>
      <c r="B44" s="1" t="s">
        <v>61</v>
      </c>
      <c r="C44" s="1" t="s">
        <v>62</v>
      </c>
      <c r="D44" s="1" t="s">
        <v>19</v>
      </c>
      <c r="E44" s="1" t="s">
        <v>20</v>
      </c>
      <c r="F44" s="1" t="n">
        <v>22</v>
      </c>
      <c r="G44" s="2" t="s">
        <v>39</v>
      </c>
      <c r="H44" s="1" t="n">
        <v>0.1587</v>
      </c>
      <c r="I44" s="1" t="n">
        <v>0.240118937710784</v>
      </c>
      <c r="J44" s="1" t="n">
        <v>0.313086475555054</v>
      </c>
      <c r="K44" s="1" t="n">
        <f aca="false">J44-I44</f>
        <v>0.0729675378442702</v>
      </c>
      <c r="L44" s="1" t="n">
        <v>0.844773353099784</v>
      </c>
    </row>
    <row r="45" customFormat="false" ht="15" hidden="false" customHeight="false" outlineLevel="0" collapsed="false">
      <c r="A45" s="1" t="s">
        <v>60</v>
      </c>
      <c r="B45" s="1" t="s">
        <v>61</v>
      </c>
      <c r="C45" s="1" t="s">
        <v>62</v>
      </c>
      <c r="D45" s="1" t="s">
        <v>19</v>
      </c>
      <c r="E45" s="1" t="s">
        <v>20</v>
      </c>
      <c r="F45" s="1" t="n">
        <v>22</v>
      </c>
      <c r="G45" s="2" t="s">
        <v>31</v>
      </c>
      <c r="H45" s="1" t="n">
        <v>0.1537</v>
      </c>
      <c r="I45" s="1" t="n">
        <v>0.232612848383206</v>
      </c>
      <c r="J45" s="1" t="n">
        <v>0.312443493763715</v>
      </c>
      <c r="K45" s="1" t="n">
        <f aca="false">J45-I45</f>
        <v>0.0798306453805091</v>
      </c>
      <c r="L45" s="1" t="n">
        <v>0.844773353099784</v>
      </c>
    </row>
    <row r="46" customFormat="false" ht="15" hidden="false" customHeight="false" outlineLevel="0" collapsed="false">
      <c r="A46" s="1" t="s">
        <v>60</v>
      </c>
      <c r="B46" s="1" t="s">
        <v>61</v>
      </c>
      <c r="C46" s="1" t="s">
        <v>62</v>
      </c>
      <c r="D46" s="1" t="s">
        <v>19</v>
      </c>
      <c r="E46" s="1" t="s">
        <v>20</v>
      </c>
      <c r="F46" s="1" t="n">
        <v>22</v>
      </c>
      <c r="G46" s="2" t="s">
        <v>40</v>
      </c>
      <c r="H46" s="1" t="n">
        <v>0.1533</v>
      </c>
      <c r="I46" s="1" t="n">
        <v>0.231979098787895</v>
      </c>
      <c r="J46" s="1" t="n">
        <v>0.279467920560613</v>
      </c>
      <c r="K46" s="1" t="n">
        <f aca="false">J46-I46</f>
        <v>0.0474888217727178</v>
      </c>
      <c r="L46" s="1" t="n">
        <v>0.844773353099784</v>
      </c>
    </row>
    <row r="47" customFormat="false" ht="15" hidden="false" customHeight="false" outlineLevel="0" collapsed="false">
      <c r="A47" s="1" t="s">
        <v>63</v>
      </c>
      <c r="B47" s="1" t="s">
        <v>64</v>
      </c>
      <c r="C47" s="1" t="s">
        <v>65</v>
      </c>
      <c r="D47" s="1" t="s">
        <v>19</v>
      </c>
      <c r="E47" s="1" t="s">
        <v>20</v>
      </c>
      <c r="F47" s="1" t="n">
        <v>24</v>
      </c>
      <c r="G47" s="2" t="s">
        <v>26</v>
      </c>
      <c r="H47" s="1" t="n">
        <v>0.2079</v>
      </c>
      <c r="I47" s="1" t="n">
        <v>0.322576768459861</v>
      </c>
      <c r="J47" s="1" t="n">
        <v>0.368456162336535</v>
      </c>
      <c r="K47" s="1" t="n">
        <f aca="false">J47-I47</f>
        <v>0.0458793938766741</v>
      </c>
      <c r="L47" s="1" t="n">
        <v>0.670771286759802</v>
      </c>
    </row>
    <row r="48" customFormat="false" ht="15" hidden="false" customHeight="false" outlineLevel="0" collapsed="false">
      <c r="A48" s="1" t="s">
        <v>63</v>
      </c>
      <c r="B48" s="1" t="s">
        <v>64</v>
      </c>
      <c r="C48" s="1" t="s">
        <v>65</v>
      </c>
      <c r="D48" s="1" t="s">
        <v>19</v>
      </c>
      <c r="E48" s="1" t="s">
        <v>20</v>
      </c>
      <c r="F48" s="1" t="n">
        <v>24</v>
      </c>
      <c r="G48" s="2" t="s">
        <v>31</v>
      </c>
      <c r="H48" s="1" t="n">
        <v>0.1714</v>
      </c>
      <c r="I48" s="1" t="n">
        <v>0.266047268120843</v>
      </c>
      <c r="J48" s="1" t="n">
        <v>0.339619937628956</v>
      </c>
      <c r="K48" s="1" t="n">
        <f aca="false">J48-I48</f>
        <v>0.0735726695081131</v>
      </c>
      <c r="L48" s="1" t="n">
        <v>0.670771286759802</v>
      </c>
    </row>
    <row r="49" customFormat="false" ht="15" hidden="false" customHeight="false" outlineLevel="0" collapsed="false">
      <c r="A49" s="1" t="s">
        <v>63</v>
      </c>
      <c r="B49" s="1" t="s">
        <v>64</v>
      </c>
      <c r="C49" s="1" t="s">
        <v>65</v>
      </c>
      <c r="D49" s="1" t="s">
        <v>19</v>
      </c>
      <c r="E49" s="1" t="s">
        <v>20</v>
      </c>
      <c r="F49" s="1" t="n">
        <v>24</v>
      </c>
      <c r="G49" s="2" t="s">
        <v>25</v>
      </c>
      <c r="H49" s="1" t="n">
        <v>0.1611</v>
      </c>
      <c r="I49" s="1" t="n">
        <v>0.250045085034637</v>
      </c>
      <c r="J49" s="1" t="n">
        <v>0.391226238583388</v>
      </c>
      <c r="K49" s="1" t="n">
        <f aca="false">J49-I49</f>
        <v>0.14118115354875</v>
      </c>
      <c r="L49" s="1" t="n">
        <v>0.670771286759802</v>
      </c>
    </row>
    <row r="50" customFormat="false" ht="15" hidden="false" customHeight="false" outlineLevel="0" collapsed="false">
      <c r="A50" s="1" t="s">
        <v>63</v>
      </c>
      <c r="B50" s="1" t="s">
        <v>64</v>
      </c>
      <c r="C50" s="1" t="s">
        <v>65</v>
      </c>
      <c r="D50" s="1" t="s">
        <v>19</v>
      </c>
      <c r="E50" s="1" t="s">
        <v>20</v>
      </c>
      <c r="F50" s="1" t="n">
        <v>24</v>
      </c>
      <c r="G50" s="2" t="s">
        <v>21</v>
      </c>
      <c r="H50" s="1" t="n">
        <v>0.158</v>
      </c>
      <c r="I50" s="1" t="n">
        <v>0.245227493468298</v>
      </c>
      <c r="J50" s="1" t="n">
        <v>0.280123071123908</v>
      </c>
      <c r="K50" s="1" t="n">
        <f aca="false">J50-I50</f>
        <v>0.0348955776556102</v>
      </c>
      <c r="L50" s="1" t="n">
        <v>0.670771286759802</v>
      </c>
    </row>
    <row r="51" customFormat="false" ht="15" hidden="false" customHeight="false" outlineLevel="0" collapsed="false">
      <c r="A51" s="1" t="s">
        <v>63</v>
      </c>
      <c r="B51" s="1" t="s">
        <v>64</v>
      </c>
      <c r="C51" s="1" t="s">
        <v>65</v>
      </c>
      <c r="D51" s="1" t="s">
        <v>19</v>
      </c>
      <c r="E51" s="1" t="s">
        <v>20</v>
      </c>
      <c r="F51" s="1" t="n">
        <v>24</v>
      </c>
      <c r="G51" s="2" t="s">
        <v>66</v>
      </c>
      <c r="H51" s="1" t="n">
        <v>0.1532</v>
      </c>
      <c r="I51" s="1" t="n">
        <v>0.237748020893084</v>
      </c>
      <c r="J51" s="1" t="n">
        <v>0.313576868915697</v>
      </c>
      <c r="K51" s="1" t="n">
        <f aca="false">J51-I51</f>
        <v>0.0758288480226128</v>
      </c>
      <c r="L51" s="1" t="n">
        <v>0.670771286759802</v>
      </c>
    </row>
    <row r="52" customFormat="false" ht="15" hidden="false" customHeight="false" outlineLevel="0" collapsed="false">
      <c r="A52" s="1" t="s">
        <v>63</v>
      </c>
      <c r="B52" s="1" t="s">
        <v>64</v>
      </c>
      <c r="C52" s="1" t="s">
        <v>65</v>
      </c>
      <c r="D52" s="1" t="s">
        <v>19</v>
      </c>
      <c r="E52" s="1" t="s">
        <v>20</v>
      </c>
      <c r="F52" s="1" t="n">
        <v>24</v>
      </c>
      <c r="G52" s="2" t="s">
        <v>32</v>
      </c>
      <c r="H52" s="1" t="n">
        <v>0.1484</v>
      </c>
      <c r="I52" s="1" t="n">
        <v>0.23025019083195</v>
      </c>
      <c r="J52" s="1" t="n">
        <v>0.335186517984345</v>
      </c>
      <c r="K52" s="1" t="n">
        <f aca="false">J52-I52</f>
        <v>0.104936327152395</v>
      </c>
      <c r="L52" s="1" t="n">
        <v>0.670771286759802</v>
      </c>
    </row>
    <row r="53" customFormat="false" ht="15" hidden="false" customHeight="false" outlineLevel="0" collapsed="false">
      <c r="A53" s="1" t="s">
        <v>67</v>
      </c>
      <c r="B53" s="1" t="s">
        <v>68</v>
      </c>
      <c r="C53" s="1" t="s">
        <v>69</v>
      </c>
      <c r="D53" s="1" t="s">
        <v>19</v>
      </c>
      <c r="E53" s="1" t="s">
        <v>20</v>
      </c>
      <c r="F53" s="1" t="n">
        <v>26</v>
      </c>
      <c r="G53" s="2" t="s">
        <v>25</v>
      </c>
      <c r="H53" s="1" t="n">
        <v>0.2031</v>
      </c>
      <c r="I53" s="1" t="n">
        <v>0.26438315532737</v>
      </c>
      <c r="J53" s="1" t="n">
        <v>0.352911014903741</v>
      </c>
      <c r="K53" s="1" t="n">
        <f aca="false">J53-I53</f>
        <v>0.0885278595763706</v>
      </c>
      <c r="L53" s="1" t="n">
        <v>0.749199345598474</v>
      </c>
    </row>
    <row r="54" customFormat="false" ht="15" hidden="false" customHeight="false" outlineLevel="0" collapsed="false">
      <c r="A54" s="1" t="s">
        <v>67</v>
      </c>
      <c r="B54" s="1" t="s">
        <v>68</v>
      </c>
      <c r="C54" s="1" t="s">
        <v>69</v>
      </c>
      <c r="D54" s="1" t="s">
        <v>19</v>
      </c>
      <c r="E54" s="1" t="s">
        <v>20</v>
      </c>
      <c r="F54" s="1" t="n">
        <v>26</v>
      </c>
      <c r="G54" s="2" t="s">
        <v>26</v>
      </c>
      <c r="H54" s="1" t="n">
        <v>0.1877</v>
      </c>
      <c r="I54" s="1" t="n">
        <v>0.244323162835877</v>
      </c>
      <c r="J54" s="1" t="n">
        <v>0.317823936696574</v>
      </c>
      <c r="K54" s="1" t="n">
        <f aca="false">J54-I54</f>
        <v>0.0735007738606968</v>
      </c>
      <c r="L54" s="1" t="n">
        <v>0.749199345598474</v>
      </c>
    </row>
    <row r="55" customFormat="false" ht="15" hidden="false" customHeight="false" outlineLevel="0" collapsed="false">
      <c r="A55" s="1" t="s">
        <v>67</v>
      </c>
      <c r="B55" s="1" t="s">
        <v>68</v>
      </c>
      <c r="C55" s="1" t="s">
        <v>69</v>
      </c>
      <c r="D55" s="1" t="s">
        <v>19</v>
      </c>
      <c r="E55" s="1" t="s">
        <v>20</v>
      </c>
      <c r="F55" s="1" t="n">
        <v>26</v>
      </c>
      <c r="G55" s="2" t="s">
        <v>31</v>
      </c>
      <c r="H55" s="1" t="n">
        <v>0.1722</v>
      </c>
      <c r="I55" s="1" t="n">
        <v>0.224184063267152</v>
      </c>
      <c r="J55" s="1" t="n">
        <v>0.279885916130714</v>
      </c>
      <c r="K55" s="1" t="n">
        <f aca="false">J55-I55</f>
        <v>0.0557018528635622</v>
      </c>
      <c r="L55" s="1" t="n">
        <v>0.749199345598474</v>
      </c>
    </row>
    <row r="56" customFormat="false" ht="15" hidden="false" customHeight="false" outlineLevel="0" collapsed="false">
      <c r="A56" s="1" t="s">
        <v>67</v>
      </c>
      <c r="B56" s="1" t="s">
        <v>68</v>
      </c>
      <c r="C56" s="1" t="s">
        <v>69</v>
      </c>
      <c r="D56" s="1" t="s">
        <v>19</v>
      </c>
      <c r="E56" s="1" t="s">
        <v>20</v>
      </c>
      <c r="F56" s="1" t="n">
        <v>26</v>
      </c>
      <c r="G56" s="2" t="s">
        <v>56</v>
      </c>
      <c r="H56" s="1" t="n">
        <v>0.1705</v>
      </c>
      <c r="I56" s="1" t="n">
        <v>0.221901492487409</v>
      </c>
      <c r="J56" s="1" t="n">
        <v>0.280722213120006</v>
      </c>
      <c r="K56" s="1" t="n">
        <f aca="false">J56-I56</f>
        <v>0.0588207206325971</v>
      </c>
      <c r="L56" s="1" t="n">
        <v>0.749199345598474</v>
      </c>
    </row>
    <row r="57" customFormat="false" ht="15" hidden="false" customHeight="false" outlineLevel="0" collapsed="false">
      <c r="A57" s="1" t="s">
        <v>67</v>
      </c>
      <c r="B57" s="1" t="s">
        <v>68</v>
      </c>
      <c r="C57" s="1" t="s">
        <v>69</v>
      </c>
      <c r="D57" s="1" t="s">
        <v>19</v>
      </c>
      <c r="E57" s="1" t="s">
        <v>20</v>
      </c>
      <c r="F57" s="1" t="n">
        <v>26</v>
      </c>
      <c r="G57" s="2" t="s">
        <v>39</v>
      </c>
      <c r="H57" s="1" t="n">
        <v>0.1666</v>
      </c>
      <c r="I57" s="1" t="n">
        <v>0.216851833100253</v>
      </c>
      <c r="J57" s="1" t="n">
        <v>0.282833322848255</v>
      </c>
      <c r="K57" s="1" t="n">
        <f aca="false">J57-I57</f>
        <v>0.0659814897480016</v>
      </c>
      <c r="L57" s="1" t="n">
        <v>0.749199345598474</v>
      </c>
    </row>
    <row r="58" customFormat="false" ht="15" hidden="false" customHeight="false" outlineLevel="0" collapsed="false">
      <c r="A58" s="1" t="s">
        <v>67</v>
      </c>
      <c r="B58" s="1" t="s">
        <v>68</v>
      </c>
      <c r="C58" s="1" t="s">
        <v>69</v>
      </c>
      <c r="D58" s="1" t="s">
        <v>19</v>
      </c>
      <c r="E58" s="1" t="s">
        <v>20</v>
      </c>
      <c r="F58" s="1" t="n">
        <v>26</v>
      </c>
      <c r="G58" s="2" t="s">
        <v>21</v>
      </c>
      <c r="H58" s="1" t="n">
        <v>0.1</v>
      </c>
      <c r="I58" s="1" t="n">
        <v>0.18606923074952</v>
      </c>
      <c r="J58" s="1" t="n">
        <v>0.217743374365505</v>
      </c>
      <c r="K58" s="1" t="n">
        <f aca="false">J58-I58</f>
        <v>0.0316741436159852</v>
      </c>
      <c r="L58" s="1" t="n">
        <v>0.749199345598474</v>
      </c>
    </row>
    <row r="59" customFormat="false" ht="15" hidden="false" customHeight="false" outlineLevel="0" collapsed="false">
      <c r="A59" s="1" t="s">
        <v>70</v>
      </c>
      <c r="B59" s="1" t="s">
        <v>71</v>
      </c>
      <c r="C59" s="1" t="s">
        <v>72</v>
      </c>
      <c r="D59" s="1" t="s">
        <v>19</v>
      </c>
      <c r="E59" s="1" t="s">
        <v>20</v>
      </c>
      <c r="F59" s="1" t="n">
        <v>28</v>
      </c>
      <c r="G59" s="2" t="s">
        <v>25</v>
      </c>
      <c r="H59" s="1" t="n">
        <v>0.2274</v>
      </c>
      <c r="I59" s="1" t="n">
        <v>0.342157440894368</v>
      </c>
      <c r="J59" s="1" t="n">
        <v>0.349629801971269</v>
      </c>
      <c r="K59" s="1" t="n">
        <f aca="false">J59-I59</f>
        <v>0.00747236107690114</v>
      </c>
      <c r="L59" s="1" t="n">
        <v>0.710334404151347</v>
      </c>
    </row>
    <row r="60" customFormat="false" ht="15" hidden="false" customHeight="false" outlineLevel="0" collapsed="false">
      <c r="A60" s="1" t="s">
        <v>70</v>
      </c>
      <c r="B60" s="1" t="s">
        <v>71</v>
      </c>
      <c r="C60" s="1" t="s">
        <v>72</v>
      </c>
      <c r="D60" s="1" t="s">
        <v>19</v>
      </c>
      <c r="E60" s="1" t="s">
        <v>20</v>
      </c>
      <c r="F60" s="1" t="n">
        <v>28</v>
      </c>
      <c r="G60" s="2" t="s">
        <v>56</v>
      </c>
      <c r="H60" s="1" t="n">
        <v>0.1771</v>
      </c>
      <c r="I60" s="1" t="n">
        <v>0.266554280102928</v>
      </c>
      <c r="J60" s="1" t="n">
        <v>0.279917743838056</v>
      </c>
      <c r="K60" s="1" t="n">
        <f aca="false">J60-I60</f>
        <v>0.0133634637351287</v>
      </c>
      <c r="L60" s="1" t="n">
        <v>0.710334404151347</v>
      </c>
    </row>
    <row r="61" customFormat="false" ht="15" hidden="false" customHeight="false" outlineLevel="0" collapsed="false">
      <c r="A61" s="1" t="s">
        <v>70</v>
      </c>
      <c r="B61" s="1" t="s">
        <v>71</v>
      </c>
      <c r="C61" s="1" t="s">
        <v>72</v>
      </c>
      <c r="D61" s="1" t="s">
        <v>19</v>
      </c>
      <c r="E61" s="1" t="s">
        <v>20</v>
      </c>
      <c r="F61" s="1" t="n">
        <v>28</v>
      </c>
      <c r="G61" s="2" t="s">
        <v>39</v>
      </c>
      <c r="H61" s="1" t="n">
        <v>0.1731</v>
      </c>
      <c r="I61" s="1" t="n">
        <v>0.260524870007329</v>
      </c>
      <c r="J61" s="1" t="n">
        <v>0.295961270422827</v>
      </c>
      <c r="K61" s="1" t="n">
        <f aca="false">J61-I61</f>
        <v>0.0354364004154972</v>
      </c>
      <c r="L61" s="1" t="n">
        <v>0.710334404151347</v>
      </c>
    </row>
    <row r="62" customFormat="false" ht="15" hidden="false" customHeight="false" outlineLevel="0" collapsed="false">
      <c r="A62" s="1" t="s">
        <v>70</v>
      </c>
      <c r="B62" s="1" t="s">
        <v>71</v>
      </c>
      <c r="C62" s="1" t="s">
        <v>72</v>
      </c>
      <c r="D62" s="1" t="s">
        <v>19</v>
      </c>
      <c r="E62" s="1" t="s">
        <v>20</v>
      </c>
      <c r="F62" s="1" t="n">
        <v>28</v>
      </c>
      <c r="G62" s="2" t="s">
        <v>31</v>
      </c>
      <c r="H62" s="1" t="n">
        <v>0.1631</v>
      </c>
      <c r="I62" s="1" t="n">
        <v>0.245437673975542</v>
      </c>
      <c r="J62" s="1" t="n">
        <v>0.31553852543238</v>
      </c>
      <c r="K62" s="1" t="n">
        <f aca="false">J62-I62</f>
        <v>0.070100851456838</v>
      </c>
      <c r="L62" s="1" t="n">
        <v>0.710334404151347</v>
      </c>
    </row>
    <row r="63" customFormat="false" ht="15" hidden="false" customHeight="false" outlineLevel="0" collapsed="false">
      <c r="A63" s="1" t="s">
        <v>70</v>
      </c>
      <c r="B63" s="1" t="s">
        <v>71</v>
      </c>
      <c r="C63" s="1" t="s">
        <v>72</v>
      </c>
      <c r="D63" s="1" t="s">
        <v>19</v>
      </c>
      <c r="E63" s="1" t="s">
        <v>20</v>
      </c>
      <c r="F63" s="1" t="n">
        <v>28</v>
      </c>
      <c r="G63" s="2" t="s">
        <v>27</v>
      </c>
      <c r="H63" s="1" t="n">
        <v>0.1592</v>
      </c>
      <c r="I63" s="1" t="n">
        <v>0.239553001265172</v>
      </c>
      <c r="J63" s="1" t="n">
        <v>0.205841559077936</v>
      </c>
      <c r="K63" s="1" t="n">
        <f aca="false">J63-I63</f>
        <v>-0.0337114421872364</v>
      </c>
      <c r="L63" s="1" t="n">
        <v>0.710334404151347</v>
      </c>
    </row>
    <row r="64" customFormat="false" ht="15" hidden="false" customHeight="false" outlineLevel="0" collapsed="false">
      <c r="A64" s="1" t="s">
        <v>70</v>
      </c>
      <c r="B64" s="1" t="s">
        <v>71</v>
      </c>
      <c r="C64" s="1" t="s">
        <v>72</v>
      </c>
      <c r="D64" s="1" t="s">
        <v>19</v>
      </c>
      <c r="E64" s="1" t="s">
        <v>20</v>
      </c>
      <c r="F64" s="1" t="n">
        <v>28</v>
      </c>
      <c r="G64" s="2" t="s">
        <v>21</v>
      </c>
      <c r="H64" s="1" t="n">
        <v>0.1</v>
      </c>
      <c r="I64" s="1" t="n">
        <v>0.14183630166753</v>
      </c>
      <c r="J64" s="1" t="n">
        <v>0.25628808483944</v>
      </c>
      <c r="K64" s="1" t="n">
        <f aca="false">J64-I64</f>
        <v>0.11445178317191</v>
      </c>
      <c r="L64" s="1" t="n">
        <v>0.710334404151347</v>
      </c>
    </row>
    <row r="65" customFormat="false" ht="15" hidden="false" customHeight="false" outlineLevel="0" collapsed="false">
      <c r="A65" s="1" t="s">
        <v>73</v>
      </c>
      <c r="B65" s="1" t="s">
        <v>74</v>
      </c>
      <c r="C65" s="1" t="s">
        <v>75</v>
      </c>
      <c r="D65" s="1" t="s">
        <v>19</v>
      </c>
      <c r="E65" s="1" t="s">
        <v>20</v>
      </c>
      <c r="F65" s="1" t="n">
        <v>30</v>
      </c>
      <c r="G65" s="2" t="s">
        <v>25</v>
      </c>
      <c r="H65" s="1" t="n">
        <v>0.2237</v>
      </c>
      <c r="I65" s="1" t="n">
        <v>0.30414981982877</v>
      </c>
      <c r="J65" s="1" t="n">
        <v>0.293642053590457</v>
      </c>
      <c r="K65" s="1" t="n">
        <f aca="false">J65-I65</f>
        <v>-0.0105077662383129</v>
      </c>
      <c r="L65" s="1" t="n">
        <v>0.658233657913275</v>
      </c>
    </row>
    <row r="66" customFormat="false" ht="15" hidden="false" customHeight="false" outlineLevel="0" collapsed="false">
      <c r="A66" s="1" t="s">
        <v>73</v>
      </c>
      <c r="B66" s="1" t="s">
        <v>74</v>
      </c>
      <c r="C66" s="1" t="s">
        <v>75</v>
      </c>
      <c r="D66" s="1" t="s">
        <v>19</v>
      </c>
      <c r="E66" s="1" t="s">
        <v>20</v>
      </c>
      <c r="F66" s="1" t="n">
        <v>30</v>
      </c>
      <c r="G66" s="2" t="s">
        <v>39</v>
      </c>
      <c r="H66" s="1" t="n">
        <v>0.1791</v>
      </c>
      <c r="I66" s="1" t="n">
        <v>0.243511594129255</v>
      </c>
      <c r="J66" s="1" t="n">
        <v>0.279454403607293</v>
      </c>
      <c r="K66" s="1" t="n">
        <f aca="false">J66-I66</f>
        <v>0.0359428094780381</v>
      </c>
      <c r="L66" s="1" t="n">
        <v>0.658233657913275</v>
      </c>
    </row>
    <row r="67" customFormat="false" ht="15" hidden="false" customHeight="false" outlineLevel="0" collapsed="false">
      <c r="A67" s="1" t="s">
        <v>73</v>
      </c>
      <c r="B67" s="1" t="s">
        <v>74</v>
      </c>
      <c r="C67" s="1" t="s">
        <v>75</v>
      </c>
      <c r="D67" s="1" t="s">
        <v>19</v>
      </c>
      <c r="E67" s="1" t="s">
        <v>20</v>
      </c>
      <c r="F67" s="1" t="n">
        <v>30</v>
      </c>
      <c r="G67" s="2" t="s">
        <v>26</v>
      </c>
      <c r="H67" s="1" t="n">
        <v>0.1778</v>
      </c>
      <c r="I67" s="1" t="n">
        <v>0.241724116819841</v>
      </c>
      <c r="J67" s="1" t="n">
        <v>0.316166284660446</v>
      </c>
      <c r="K67" s="1" t="n">
        <f aca="false">J67-I67</f>
        <v>0.0744421678406044</v>
      </c>
      <c r="L67" s="1" t="n">
        <v>0.658233657913275</v>
      </c>
    </row>
    <row r="68" customFormat="false" ht="15" hidden="false" customHeight="false" outlineLevel="0" collapsed="false">
      <c r="A68" s="1" t="s">
        <v>73</v>
      </c>
      <c r="B68" s="1" t="s">
        <v>74</v>
      </c>
      <c r="C68" s="1" t="s">
        <v>75</v>
      </c>
      <c r="D68" s="1" t="s">
        <v>19</v>
      </c>
      <c r="E68" s="1" t="s">
        <v>20</v>
      </c>
      <c r="F68" s="1" t="n">
        <v>30</v>
      </c>
      <c r="G68" s="2" t="s">
        <v>56</v>
      </c>
      <c r="H68" s="1" t="n">
        <v>0.1618</v>
      </c>
      <c r="I68" s="1" t="n">
        <v>0.220022915917414</v>
      </c>
      <c r="J68" s="1" t="n">
        <v>0.23450703116923</v>
      </c>
      <c r="K68" s="1" t="n">
        <f aca="false">J68-I68</f>
        <v>0.0144841152518164</v>
      </c>
      <c r="L68" s="1" t="n">
        <v>0.658233657913275</v>
      </c>
    </row>
    <row r="69" customFormat="false" ht="15" hidden="false" customHeight="false" outlineLevel="0" collapsed="false">
      <c r="A69" s="1" t="s">
        <v>73</v>
      </c>
      <c r="B69" s="1" t="s">
        <v>74</v>
      </c>
      <c r="C69" s="1" t="s">
        <v>75</v>
      </c>
      <c r="D69" s="1" t="s">
        <v>19</v>
      </c>
      <c r="E69" s="1" t="s">
        <v>20</v>
      </c>
      <c r="F69" s="1" t="n">
        <v>30</v>
      </c>
      <c r="G69" s="2" t="s">
        <v>31</v>
      </c>
      <c r="H69" s="1" t="n">
        <v>0.1576</v>
      </c>
      <c r="I69" s="1" t="n">
        <v>0.21431528925023</v>
      </c>
      <c r="J69" s="1" t="n">
        <v>0.276818314594485</v>
      </c>
      <c r="K69" s="1" t="n">
        <f aca="false">J69-I69</f>
        <v>0.062503025344255</v>
      </c>
      <c r="L69" s="1" t="n">
        <v>0.658233657913275</v>
      </c>
    </row>
    <row r="70" customFormat="false" ht="15" hidden="false" customHeight="false" outlineLevel="0" collapsed="false">
      <c r="A70" s="1" t="s">
        <v>73</v>
      </c>
      <c r="B70" s="1" t="s">
        <v>74</v>
      </c>
      <c r="C70" s="1" t="s">
        <v>75</v>
      </c>
      <c r="D70" s="1" t="s">
        <v>19</v>
      </c>
      <c r="E70" s="1" t="s">
        <v>20</v>
      </c>
      <c r="F70" s="1" t="n">
        <v>30</v>
      </c>
      <c r="G70" s="2" t="s">
        <v>21</v>
      </c>
      <c r="H70" s="1" t="n">
        <v>0.1</v>
      </c>
      <c r="I70" s="1" t="n">
        <v>0.189253330912267</v>
      </c>
      <c r="J70" s="1" t="n">
        <v>0.219845317860687</v>
      </c>
      <c r="K70" s="1" t="n">
        <f aca="false">J70-I70</f>
        <v>0.0305919869484205</v>
      </c>
      <c r="L70" s="1" t="n">
        <v>0.658233657913275</v>
      </c>
    </row>
    <row r="71" customFormat="false" ht="15" hidden="false" customHeight="false" outlineLevel="0" collapsed="false">
      <c r="A71" s="1" t="s">
        <v>76</v>
      </c>
      <c r="B71" s="1" t="s">
        <v>77</v>
      </c>
      <c r="C71" s="1" t="s">
        <v>78</v>
      </c>
      <c r="D71" s="1" t="s">
        <v>19</v>
      </c>
      <c r="E71" s="1" t="s">
        <v>20</v>
      </c>
      <c r="F71" s="1" t="n">
        <v>32</v>
      </c>
      <c r="G71" s="2" t="s">
        <v>26</v>
      </c>
      <c r="H71" s="1" t="n">
        <v>0.1913</v>
      </c>
      <c r="I71" s="1" t="n">
        <v>0.249623672161997</v>
      </c>
      <c r="J71" s="1" t="n">
        <v>0.354885055884447</v>
      </c>
      <c r="K71" s="1" t="n">
        <f aca="false">J71-I71</f>
        <v>0.10526138372245</v>
      </c>
      <c r="L71" s="1" t="n">
        <v>0.821533014122518</v>
      </c>
    </row>
    <row r="72" customFormat="false" ht="15" hidden="false" customHeight="false" outlineLevel="0" collapsed="false">
      <c r="A72" s="1" t="s">
        <v>76</v>
      </c>
      <c r="B72" s="1" t="s">
        <v>77</v>
      </c>
      <c r="C72" s="1" t="s">
        <v>78</v>
      </c>
      <c r="D72" s="1" t="s">
        <v>19</v>
      </c>
      <c r="E72" s="1" t="s">
        <v>20</v>
      </c>
      <c r="F72" s="1" t="n">
        <v>32</v>
      </c>
      <c r="G72" s="2" t="s">
        <v>31</v>
      </c>
      <c r="H72" s="1" t="n">
        <v>0.1829</v>
      </c>
      <c r="I72" s="1" t="n">
        <v>0.23865802928573</v>
      </c>
      <c r="J72" s="1" t="n">
        <v>0.31034832058286</v>
      </c>
      <c r="K72" s="1" t="n">
        <f aca="false">J72-I72</f>
        <v>0.0716902912971294</v>
      </c>
      <c r="L72" s="1" t="n">
        <v>0.821533014122518</v>
      </c>
    </row>
    <row r="73" customFormat="false" ht="15" hidden="false" customHeight="false" outlineLevel="0" collapsed="false">
      <c r="A73" s="1" t="s">
        <v>76</v>
      </c>
      <c r="B73" s="1" t="s">
        <v>77</v>
      </c>
      <c r="C73" s="1" t="s">
        <v>78</v>
      </c>
      <c r="D73" s="1" t="s">
        <v>19</v>
      </c>
      <c r="E73" s="1" t="s">
        <v>20</v>
      </c>
      <c r="F73" s="1" t="n">
        <v>32</v>
      </c>
      <c r="G73" s="2" t="s">
        <v>39</v>
      </c>
      <c r="H73" s="1" t="n">
        <v>0.1784</v>
      </c>
      <c r="I73" s="1" t="n">
        <v>0.232841852048457</v>
      </c>
      <c r="J73" s="1" t="n">
        <v>0.300626504876692</v>
      </c>
      <c r="K73" s="1" t="n">
        <f aca="false">J73-I73</f>
        <v>0.0677846528282348</v>
      </c>
      <c r="L73" s="1" t="n">
        <v>0.821533014122518</v>
      </c>
    </row>
    <row r="74" customFormat="false" ht="15" hidden="false" customHeight="false" outlineLevel="0" collapsed="false">
      <c r="A74" s="1" t="s">
        <v>76</v>
      </c>
      <c r="B74" s="1" t="s">
        <v>77</v>
      </c>
      <c r="C74" s="1" t="s">
        <v>78</v>
      </c>
      <c r="D74" s="1" t="s">
        <v>19</v>
      </c>
      <c r="E74" s="1" t="s">
        <v>20</v>
      </c>
      <c r="F74" s="1" t="n">
        <v>32</v>
      </c>
      <c r="G74" s="2" t="s">
        <v>25</v>
      </c>
      <c r="H74" s="1" t="n">
        <v>0.1772</v>
      </c>
      <c r="I74" s="1" t="n">
        <v>0.231242788644692</v>
      </c>
      <c r="J74" s="1" t="n">
        <v>0.304070809854038</v>
      </c>
      <c r="K74" s="1" t="n">
        <f aca="false">J74-I74</f>
        <v>0.0728280212093458</v>
      </c>
      <c r="L74" s="1" t="n">
        <v>0.821533014122518</v>
      </c>
    </row>
    <row r="75" customFormat="false" ht="15" hidden="false" customHeight="false" outlineLevel="0" collapsed="false">
      <c r="A75" s="1" t="s">
        <v>76</v>
      </c>
      <c r="B75" s="1" t="s">
        <v>77</v>
      </c>
      <c r="C75" s="1" t="s">
        <v>78</v>
      </c>
      <c r="D75" s="1" t="s">
        <v>19</v>
      </c>
      <c r="E75" s="1" t="s">
        <v>20</v>
      </c>
      <c r="F75" s="1" t="n">
        <v>32</v>
      </c>
      <c r="G75" s="2" t="s">
        <v>66</v>
      </c>
      <c r="H75" s="1" t="n">
        <v>0.1703</v>
      </c>
      <c r="I75" s="1" t="n">
        <v>0.222209333966614</v>
      </c>
      <c r="J75" s="1" t="n">
        <v>0.266555013597618</v>
      </c>
      <c r="K75" s="1" t="n">
        <f aca="false">J75-I75</f>
        <v>0.0443456796310046</v>
      </c>
      <c r="L75" s="1" t="n">
        <v>0.821533014122518</v>
      </c>
    </row>
    <row r="76" customFormat="false" ht="15" hidden="false" customHeight="false" outlineLevel="0" collapsed="false">
      <c r="A76" s="1" t="s">
        <v>76</v>
      </c>
      <c r="B76" s="1" t="s">
        <v>77</v>
      </c>
      <c r="C76" s="1" t="s">
        <v>78</v>
      </c>
      <c r="D76" s="1" t="s">
        <v>19</v>
      </c>
      <c r="E76" s="1" t="s">
        <v>20</v>
      </c>
      <c r="F76" s="1" t="n">
        <v>32</v>
      </c>
      <c r="G76" s="2" t="s">
        <v>21</v>
      </c>
      <c r="H76" s="1" t="n">
        <v>0.1</v>
      </c>
      <c r="I76" s="1" t="n">
        <v>0.166816355762361</v>
      </c>
      <c r="J76" s="1" t="n">
        <v>0.239307005517738</v>
      </c>
      <c r="K76" s="1" t="n">
        <f aca="false">J76-I76</f>
        <v>0.0724906497553769</v>
      </c>
      <c r="L76" s="1" t="n">
        <v>0.821533014122518</v>
      </c>
    </row>
    <row r="77" customFormat="false" ht="15" hidden="false" customHeight="false" outlineLevel="0" collapsed="false">
      <c r="A77" s="1" t="s">
        <v>79</v>
      </c>
      <c r="B77" s="1" t="s">
        <v>80</v>
      </c>
      <c r="C77" s="1" t="s">
        <v>81</v>
      </c>
      <c r="D77" s="1" t="s">
        <v>19</v>
      </c>
      <c r="E77" s="1" t="s">
        <v>20</v>
      </c>
      <c r="F77" s="1" t="n">
        <v>34</v>
      </c>
      <c r="G77" s="2" t="s">
        <v>39</v>
      </c>
      <c r="H77" s="1" t="n">
        <v>0.1876</v>
      </c>
      <c r="I77" s="1" t="n">
        <v>0.324174721263273</v>
      </c>
      <c r="J77" s="1" t="n">
        <v>0.2693692350256</v>
      </c>
      <c r="K77" s="1" t="n">
        <f aca="false">J77-I77</f>
        <v>-0.0548054862376733</v>
      </c>
      <c r="L77" s="1" t="n">
        <v>0.654001563002053</v>
      </c>
    </row>
    <row r="78" customFormat="false" ht="15" hidden="false" customHeight="false" outlineLevel="0" collapsed="false">
      <c r="A78" s="1" t="s">
        <v>79</v>
      </c>
      <c r="B78" s="1" t="s">
        <v>80</v>
      </c>
      <c r="C78" s="1" t="s">
        <v>81</v>
      </c>
      <c r="D78" s="1" t="s">
        <v>19</v>
      </c>
      <c r="E78" s="1" t="s">
        <v>20</v>
      </c>
      <c r="F78" s="1" t="n">
        <v>34</v>
      </c>
      <c r="G78" s="2" t="s">
        <v>26</v>
      </c>
      <c r="H78" s="1" t="n">
        <v>0.1868</v>
      </c>
      <c r="I78" s="1" t="n">
        <v>0.322938134543717</v>
      </c>
      <c r="J78" s="1" t="n">
        <v>0.281704448675665</v>
      </c>
      <c r="K78" s="1" t="n">
        <f aca="false">J78-I78</f>
        <v>-0.0412336858680519</v>
      </c>
      <c r="L78" s="1" t="n">
        <v>0.654001563002053</v>
      </c>
    </row>
    <row r="79" customFormat="false" ht="15" hidden="false" customHeight="false" outlineLevel="0" collapsed="false">
      <c r="A79" s="1" t="s">
        <v>79</v>
      </c>
      <c r="B79" s="1" t="s">
        <v>80</v>
      </c>
      <c r="C79" s="1" t="s">
        <v>81</v>
      </c>
      <c r="D79" s="1" t="s">
        <v>19</v>
      </c>
      <c r="E79" s="1" t="s">
        <v>20</v>
      </c>
      <c r="F79" s="1" t="n">
        <v>34</v>
      </c>
      <c r="G79" s="2" t="s">
        <v>31</v>
      </c>
      <c r="H79" s="1" t="n">
        <v>0.1867</v>
      </c>
      <c r="I79" s="1" t="n">
        <v>0.322680723366337</v>
      </c>
      <c r="J79" s="1" t="n">
        <v>0.273350651611202</v>
      </c>
      <c r="K79" s="1" t="n">
        <f aca="false">J79-I79</f>
        <v>-0.0493300717551347</v>
      </c>
      <c r="L79" s="1" t="n">
        <v>0.654001563002053</v>
      </c>
    </row>
    <row r="80" customFormat="false" ht="15" hidden="false" customHeight="false" outlineLevel="0" collapsed="false">
      <c r="A80" s="1" t="s">
        <v>79</v>
      </c>
      <c r="B80" s="1" t="s">
        <v>80</v>
      </c>
      <c r="C80" s="1" t="s">
        <v>81</v>
      </c>
      <c r="D80" s="1" t="s">
        <v>19</v>
      </c>
      <c r="E80" s="1" t="s">
        <v>20</v>
      </c>
      <c r="F80" s="1" t="n">
        <v>34</v>
      </c>
      <c r="G80" s="2" t="s">
        <v>25</v>
      </c>
      <c r="H80" s="1" t="n">
        <v>0.1757</v>
      </c>
      <c r="I80" s="1" t="n">
        <v>0.303724689361619</v>
      </c>
      <c r="J80" s="1" t="n">
        <v>0.33793186534836</v>
      </c>
      <c r="K80" s="1" t="n">
        <f aca="false">J80-I80</f>
        <v>0.034207175986741</v>
      </c>
      <c r="L80" s="1" t="n">
        <v>0.654001563002053</v>
      </c>
    </row>
    <row r="81" customFormat="false" ht="15" hidden="false" customHeight="false" outlineLevel="0" collapsed="false">
      <c r="A81" s="1" t="s">
        <v>79</v>
      </c>
      <c r="B81" s="1" t="s">
        <v>80</v>
      </c>
      <c r="C81" s="1" t="s">
        <v>81</v>
      </c>
      <c r="D81" s="1" t="s">
        <v>19</v>
      </c>
      <c r="E81" s="1" t="s">
        <v>20</v>
      </c>
      <c r="F81" s="1" t="n">
        <v>34</v>
      </c>
      <c r="G81" s="2" t="s">
        <v>56</v>
      </c>
      <c r="H81" s="1" t="n">
        <v>0.1632</v>
      </c>
      <c r="I81" s="1" t="n">
        <v>0.282032410002537</v>
      </c>
      <c r="J81" s="1" t="n">
        <v>0.250148616365682</v>
      </c>
      <c r="K81" s="1" t="n">
        <f aca="false">J81-I81</f>
        <v>-0.0318837936368551</v>
      </c>
      <c r="L81" s="1" t="n">
        <v>0.654001563002053</v>
      </c>
    </row>
    <row r="82" customFormat="false" ht="15" hidden="false" customHeight="false" outlineLevel="0" collapsed="false">
      <c r="A82" s="1" t="s">
        <v>79</v>
      </c>
      <c r="B82" s="1" t="s">
        <v>80</v>
      </c>
      <c r="C82" s="1" t="s">
        <v>81</v>
      </c>
      <c r="D82" s="1" t="s">
        <v>19</v>
      </c>
      <c r="E82" s="1" t="s">
        <v>20</v>
      </c>
      <c r="F82" s="1" t="n">
        <v>34</v>
      </c>
      <c r="G82" s="2" t="s">
        <v>21</v>
      </c>
      <c r="H82" s="1" t="n">
        <v>0.1</v>
      </c>
      <c r="I82" s="1" t="n">
        <v>0.242604457021379</v>
      </c>
      <c r="J82" s="1" t="n">
        <v>0.243019647394161</v>
      </c>
      <c r="K82" s="1" t="n">
        <f aca="false">J82-I82</f>
        <v>0.000415190372782481</v>
      </c>
      <c r="L82" s="1" t="n">
        <v>0.654001563002053</v>
      </c>
    </row>
    <row r="83" customFormat="false" ht="15" hidden="false" customHeight="false" outlineLevel="0" collapsed="false">
      <c r="A83" s="1" t="s">
        <v>82</v>
      </c>
      <c r="B83" s="1" t="s">
        <v>83</v>
      </c>
      <c r="C83" s="1" t="s">
        <v>84</v>
      </c>
      <c r="D83" s="1" t="s">
        <v>19</v>
      </c>
      <c r="E83" s="1" t="s">
        <v>20</v>
      </c>
      <c r="F83" s="1" t="n">
        <v>36</v>
      </c>
      <c r="G83" s="2" t="s">
        <v>25</v>
      </c>
      <c r="H83" s="1" t="n">
        <v>0.2163</v>
      </c>
      <c r="I83" s="1" t="n">
        <v>0.313684480402463</v>
      </c>
      <c r="J83" s="1" t="n">
        <v>0.274884984902011</v>
      </c>
      <c r="K83" s="1" t="n">
        <f aca="false">J83-I83</f>
        <v>-0.0387994955004513</v>
      </c>
      <c r="L83" s="1" t="n">
        <v>0.590768867737282</v>
      </c>
    </row>
    <row r="84" customFormat="false" ht="15" hidden="false" customHeight="false" outlineLevel="0" collapsed="false">
      <c r="A84" s="1" t="s">
        <v>82</v>
      </c>
      <c r="B84" s="1" t="s">
        <v>83</v>
      </c>
      <c r="C84" s="1" t="s">
        <v>84</v>
      </c>
      <c r="D84" s="1" t="s">
        <v>19</v>
      </c>
      <c r="E84" s="1" t="s">
        <v>20</v>
      </c>
      <c r="F84" s="1" t="n">
        <v>36</v>
      </c>
      <c r="G84" s="2" t="s">
        <v>27</v>
      </c>
      <c r="H84" s="1" t="n">
        <v>0.1729</v>
      </c>
      <c r="I84" s="1" t="n">
        <v>0.250654653143828</v>
      </c>
      <c r="J84" s="1" t="n">
        <v>0.252395025695691</v>
      </c>
      <c r="K84" s="1" t="n">
        <f aca="false">J84-I84</f>
        <v>0.0017403725518626</v>
      </c>
      <c r="L84" s="1" t="n">
        <v>0.590768867737282</v>
      </c>
    </row>
    <row r="85" customFormat="false" ht="15" hidden="false" customHeight="false" outlineLevel="0" collapsed="false">
      <c r="A85" s="1" t="s">
        <v>82</v>
      </c>
      <c r="B85" s="1" t="s">
        <v>83</v>
      </c>
      <c r="C85" s="1" t="s">
        <v>84</v>
      </c>
      <c r="D85" s="1" t="s">
        <v>19</v>
      </c>
      <c r="E85" s="1" t="s">
        <v>20</v>
      </c>
      <c r="F85" s="1" t="n">
        <v>36</v>
      </c>
      <c r="G85" s="2" t="s">
        <v>56</v>
      </c>
      <c r="H85" s="1" t="n">
        <v>0.1721</v>
      </c>
      <c r="I85" s="1" t="n">
        <v>0.249573198405558</v>
      </c>
      <c r="J85" s="1" t="n">
        <v>0.241925495221958</v>
      </c>
      <c r="K85" s="1" t="n">
        <f aca="false">J85-I85</f>
        <v>-0.0076477031836002</v>
      </c>
      <c r="L85" s="1" t="n">
        <v>0.590768867737282</v>
      </c>
    </row>
    <row r="86" customFormat="false" ht="15" hidden="false" customHeight="false" outlineLevel="0" collapsed="false">
      <c r="A86" s="1" t="s">
        <v>82</v>
      </c>
      <c r="B86" s="1" t="s">
        <v>83</v>
      </c>
      <c r="C86" s="1" t="s">
        <v>84</v>
      </c>
      <c r="D86" s="1" t="s">
        <v>19</v>
      </c>
      <c r="E86" s="1" t="s">
        <v>20</v>
      </c>
      <c r="F86" s="1" t="n">
        <v>36</v>
      </c>
      <c r="G86" s="2" t="s">
        <v>26</v>
      </c>
      <c r="H86" s="1" t="n">
        <v>0.1696</v>
      </c>
      <c r="I86" s="1" t="n">
        <v>0.245925456634276</v>
      </c>
      <c r="J86" s="1" t="n">
        <v>0.266057166893005</v>
      </c>
      <c r="K86" s="1" t="n">
        <f aca="false">J86-I86</f>
        <v>0.0201317102587293</v>
      </c>
      <c r="L86" s="1" t="n">
        <v>0.590768867737282</v>
      </c>
    </row>
    <row r="87" customFormat="false" ht="15" hidden="false" customHeight="false" outlineLevel="0" collapsed="false">
      <c r="A87" s="1" t="s">
        <v>82</v>
      </c>
      <c r="B87" s="1" t="s">
        <v>83</v>
      </c>
      <c r="C87" s="1" t="s">
        <v>84</v>
      </c>
      <c r="D87" s="1" t="s">
        <v>19</v>
      </c>
      <c r="E87" s="1" t="s">
        <v>20</v>
      </c>
      <c r="F87" s="1" t="n">
        <v>36</v>
      </c>
      <c r="G87" s="2" t="s">
        <v>31</v>
      </c>
      <c r="H87" s="1" t="n">
        <v>0.1691</v>
      </c>
      <c r="I87" s="1" t="n">
        <v>0.245114050845123</v>
      </c>
      <c r="J87" s="1" t="n">
        <v>0.212653185554919</v>
      </c>
      <c r="K87" s="1" t="n">
        <f aca="false">J87-I87</f>
        <v>-0.0324608652902039</v>
      </c>
      <c r="L87" s="1" t="n">
        <v>0.590768867737282</v>
      </c>
    </row>
    <row r="88" customFormat="false" ht="15" hidden="false" customHeight="false" outlineLevel="0" collapsed="false">
      <c r="A88" s="1" t="s">
        <v>82</v>
      </c>
      <c r="B88" s="1" t="s">
        <v>83</v>
      </c>
      <c r="C88" s="1" t="s">
        <v>84</v>
      </c>
      <c r="D88" s="1" t="s">
        <v>19</v>
      </c>
      <c r="E88" s="1" t="s">
        <v>20</v>
      </c>
      <c r="F88" s="1" t="n">
        <v>36</v>
      </c>
      <c r="G88" s="2" t="s">
        <v>21</v>
      </c>
      <c r="H88" s="1" t="n">
        <v>0.1</v>
      </c>
      <c r="I88" s="1" t="n">
        <v>0.23888932477394</v>
      </c>
      <c r="J88" s="1" t="n">
        <v>0.248293956614507</v>
      </c>
      <c r="K88" s="1" t="n">
        <f aca="false">J88-I88</f>
        <v>0.009404631840567</v>
      </c>
      <c r="L88" s="1" t="n">
        <v>0.590768867737282</v>
      </c>
    </row>
    <row r="89" customFormat="false" ht="15" hidden="false" customHeight="false" outlineLevel="0" collapsed="false">
      <c r="A89" s="1" t="s">
        <v>85</v>
      </c>
      <c r="B89" s="1" t="s">
        <v>86</v>
      </c>
      <c r="C89" s="1" t="s">
        <v>87</v>
      </c>
      <c r="D89" s="1" t="s">
        <v>19</v>
      </c>
      <c r="E89" s="1" t="s">
        <v>20</v>
      </c>
      <c r="F89" s="1" t="n">
        <v>38</v>
      </c>
      <c r="G89" s="2" t="s">
        <v>21</v>
      </c>
      <c r="H89" s="1" t="n">
        <v>0.1</v>
      </c>
      <c r="I89" s="1" t="n">
        <v>0.177634231531766</v>
      </c>
      <c r="J89" s="1" t="n">
        <v>0.225343010354119</v>
      </c>
      <c r="K89" s="1" t="n">
        <f aca="false">J89-I89</f>
        <v>0.0477087788223534</v>
      </c>
      <c r="L89" s="1" t="n">
        <v>0.716584963681357</v>
      </c>
    </row>
    <row r="90" customFormat="false" ht="15" hidden="false" customHeight="false" outlineLevel="0" collapsed="false">
      <c r="A90" s="1" t="s">
        <v>88</v>
      </c>
      <c r="B90" s="1" t="s">
        <v>89</v>
      </c>
      <c r="C90" s="1" t="s">
        <v>90</v>
      </c>
      <c r="D90" s="1" t="s">
        <v>19</v>
      </c>
      <c r="E90" s="1" t="s">
        <v>20</v>
      </c>
      <c r="F90" s="1" t="n">
        <v>40</v>
      </c>
      <c r="G90" s="2" t="s">
        <v>25</v>
      </c>
      <c r="H90" s="1" t="n">
        <v>0.281</v>
      </c>
      <c r="I90" s="1" t="n">
        <v>0.242528703609771</v>
      </c>
      <c r="J90" s="1" t="n">
        <v>0.386417196914619</v>
      </c>
      <c r="K90" s="1" t="n">
        <f aca="false">J90-I90</f>
        <v>0.143888493304848</v>
      </c>
      <c r="L90" s="1" t="n">
        <v>0.669739555124102</v>
      </c>
    </row>
    <row r="91" customFormat="false" ht="15" hidden="false" customHeight="false" outlineLevel="0" collapsed="false">
      <c r="A91" s="1" t="s">
        <v>88</v>
      </c>
      <c r="B91" s="1" t="s">
        <v>89</v>
      </c>
      <c r="C91" s="1" t="s">
        <v>90</v>
      </c>
      <c r="D91" s="1" t="s">
        <v>19</v>
      </c>
      <c r="E91" s="1" t="s">
        <v>20</v>
      </c>
      <c r="F91" s="1" t="n">
        <v>40</v>
      </c>
      <c r="G91" s="2" t="s">
        <v>56</v>
      </c>
      <c r="H91" s="1" t="n">
        <v>0.245</v>
      </c>
      <c r="I91" s="1" t="n">
        <v>0.211485027352171</v>
      </c>
      <c r="J91" s="1" t="n">
        <v>0.301524125094405</v>
      </c>
      <c r="K91" s="1" t="n">
        <f aca="false">J91-I91</f>
        <v>0.0900390977422337</v>
      </c>
      <c r="L91" s="1" t="n">
        <v>0.669739555124102</v>
      </c>
    </row>
    <row r="92" customFormat="false" ht="15" hidden="false" customHeight="false" outlineLevel="0" collapsed="false">
      <c r="A92" s="1" t="s">
        <v>88</v>
      </c>
      <c r="B92" s="1" t="s">
        <v>89</v>
      </c>
      <c r="C92" s="1" t="s">
        <v>90</v>
      </c>
      <c r="D92" s="1" t="s">
        <v>19</v>
      </c>
      <c r="E92" s="1" t="s">
        <v>20</v>
      </c>
      <c r="F92" s="1" t="n">
        <v>40</v>
      </c>
      <c r="G92" s="2" t="s">
        <v>26</v>
      </c>
      <c r="H92" s="1" t="n">
        <v>0.2384</v>
      </c>
      <c r="I92" s="1" t="n">
        <v>0.205823923460188</v>
      </c>
      <c r="J92" s="1" t="n">
        <v>0.383429117177194</v>
      </c>
      <c r="K92" s="1" t="n">
        <f aca="false">J92-I92</f>
        <v>0.177605193717006</v>
      </c>
      <c r="L92" s="1" t="n">
        <v>0.669739555124102</v>
      </c>
    </row>
    <row r="93" customFormat="false" ht="15" hidden="false" customHeight="false" outlineLevel="0" collapsed="false">
      <c r="A93" s="1" t="s">
        <v>88</v>
      </c>
      <c r="B93" s="1" t="s">
        <v>89</v>
      </c>
      <c r="C93" s="1" t="s">
        <v>90</v>
      </c>
      <c r="D93" s="1" t="s">
        <v>19</v>
      </c>
      <c r="E93" s="1" t="s">
        <v>20</v>
      </c>
      <c r="F93" s="1" t="n">
        <v>40</v>
      </c>
      <c r="G93" s="2" t="s">
        <v>21</v>
      </c>
      <c r="H93" s="1" t="n">
        <v>0.2356</v>
      </c>
      <c r="I93" s="1" t="n">
        <v>0.203345123562544</v>
      </c>
      <c r="J93" s="1" t="n">
        <v>0.299901028632908</v>
      </c>
      <c r="K93" s="1" t="n">
        <f aca="false">J93-I93</f>
        <v>0.0965559050703639</v>
      </c>
      <c r="L93" s="1" t="n">
        <v>0.669739555124102</v>
      </c>
    </row>
    <row r="94" customFormat="false" ht="15" hidden="false" customHeight="false" outlineLevel="0" collapsed="false">
      <c r="A94" s="1" t="s">
        <v>91</v>
      </c>
      <c r="B94" s="1" t="s">
        <v>92</v>
      </c>
      <c r="C94" s="1" t="s">
        <v>93</v>
      </c>
      <c r="D94" s="1" t="s">
        <v>19</v>
      </c>
      <c r="E94" s="1" t="s">
        <v>20</v>
      </c>
      <c r="F94" s="1" t="n">
        <v>42</v>
      </c>
      <c r="G94" s="2" t="s">
        <v>26</v>
      </c>
      <c r="H94" s="1" t="n">
        <v>0.194</v>
      </c>
      <c r="I94" s="1" t="n">
        <v>0.398186781948109</v>
      </c>
      <c r="J94" s="1" t="n">
        <v>0.30427089802523</v>
      </c>
      <c r="K94" s="1" t="n">
        <f aca="false">J94-I94</f>
        <v>-0.0939158839228787</v>
      </c>
      <c r="L94" s="1" t="n">
        <v>0.735555505104196</v>
      </c>
    </row>
    <row r="95" customFormat="false" ht="15" hidden="false" customHeight="false" outlineLevel="0" collapsed="false">
      <c r="A95" s="1" t="s">
        <v>91</v>
      </c>
      <c r="B95" s="1" t="s">
        <v>92</v>
      </c>
      <c r="C95" s="1" t="s">
        <v>93</v>
      </c>
      <c r="D95" s="1" t="s">
        <v>19</v>
      </c>
      <c r="E95" s="1" t="s">
        <v>20</v>
      </c>
      <c r="F95" s="1" t="n">
        <v>42</v>
      </c>
      <c r="G95" s="2" t="s">
        <v>25</v>
      </c>
      <c r="H95" s="1" t="n">
        <v>0.1816</v>
      </c>
      <c r="I95" s="1" t="n">
        <v>0.372817026755388</v>
      </c>
      <c r="J95" s="1" t="n">
        <v>0.350319963254585</v>
      </c>
      <c r="K95" s="1" t="n">
        <f aca="false">J95-I95</f>
        <v>-0.022497063500803</v>
      </c>
      <c r="L95" s="1" t="n">
        <v>0.735555505104196</v>
      </c>
    </row>
    <row r="96" customFormat="false" ht="15" hidden="false" customHeight="false" outlineLevel="0" collapsed="false">
      <c r="A96" s="1" t="s">
        <v>91</v>
      </c>
      <c r="B96" s="1" t="s">
        <v>92</v>
      </c>
      <c r="C96" s="1" t="s">
        <v>93</v>
      </c>
      <c r="D96" s="1" t="s">
        <v>19</v>
      </c>
      <c r="E96" s="1" t="s">
        <v>20</v>
      </c>
      <c r="F96" s="1" t="n">
        <v>42</v>
      </c>
      <c r="G96" s="2" t="s">
        <v>40</v>
      </c>
      <c r="H96" s="1" t="n">
        <v>0.1611</v>
      </c>
      <c r="I96" s="1" t="n">
        <v>0.33070162328552</v>
      </c>
      <c r="J96" s="1" t="n">
        <v>0.287831021914577</v>
      </c>
      <c r="K96" s="1" t="n">
        <f aca="false">J96-I96</f>
        <v>-0.0428706013709431</v>
      </c>
      <c r="L96" s="1" t="n">
        <v>0.735555505104196</v>
      </c>
    </row>
    <row r="97" customFormat="false" ht="15" hidden="false" customHeight="false" outlineLevel="0" collapsed="false">
      <c r="A97" s="1" t="s">
        <v>91</v>
      </c>
      <c r="B97" s="1" t="s">
        <v>92</v>
      </c>
      <c r="C97" s="1" t="s">
        <v>93</v>
      </c>
      <c r="D97" s="1" t="s">
        <v>19</v>
      </c>
      <c r="E97" s="1" t="s">
        <v>20</v>
      </c>
      <c r="F97" s="1" t="n">
        <v>42</v>
      </c>
      <c r="G97" s="2" t="s">
        <v>39</v>
      </c>
      <c r="H97" s="1" t="n">
        <v>0.159</v>
      </c>
      <c r="I97" s="1" t="n">
        <v>0.326400884131921</v>
      </c>
      <c r="J97" s="1" t="n">
        <v>0.31130366412376</v>
      </c>
      <c r="K97" s="1" t="n">
        <f aca="false">J97-I97</f>
        <v>-0.0150972200081607</v>
      </c>
      <c r="L97" s="1" t="n">
        <v>0.735555505104196</v>
      </c>
    </row>
    <row r="98" customFormat="false" ht="15" hidden="false" customHeight="false" outlineLevel="0" collapsed="false">
      <c r="A98" s="1" t="s">
        <v>91</v>
      </c>
      <c r="B98" s="1" t="s">
        <v>92</v>
      </c>
      <c r="C98" s="1" t="s">
        <v>93</v>
      </c>
      <c r="D98" s="1" t="s">
        <v>19</v>
      </c>
      <c r="E98" s="1" t="s">
        <v>20</v>
      </c>
      <c r="F98" s="1" t="n">
        <v>42</v>
      </c>
      <c r="G98" s="2" t="s">
        <v>21</v>
      </c>
      <c r="H98" s="1" t="n">
        <v>0.1561</v>
      </c>
      <c r="I98" s="1" t="n">
        <v>0.320455572679426</v>
      </c>
      <c r="J98" s="1" t="n">
        <v>0.26592084414012</v>
      </c>
      <c r="K98" s="1" t="n">
        <f aca="false">J98-I98</f>
        <v>-0.0545347285393059</v>
      </c>
      <c r="L98" s="1" t="n">
        <v>0.735555505104196</v>
      </c>
    </row>
    <row r="99" customFormat="false" ht="15" hidden="false" customHeight="false" outlineLevel="0" collapsed="false">
      <c r="A99" s="1" t="s">
        <v>91</v>
      </c>
      <c r="B99" s="1" t="s">
        <v>92</v>
      </c>
      <c r="C99" s="1" t="s">
        <v>93</v>
      </c>
      <c r="D99" s="1" t="s">
        <v>19</v>
      </c>
      <c r="E99" s="1" t="s">
        <v>20</v>
      </c>
      <c r="F99" s="1" t="n">
        <v>42</v>
      </c>
      <c r="G99" s="2" t="s">
        <v>27</v>
      </c>
      <c r="H99" s="1" t="n">
        <v>0.1482</v>
      </c>
      <c r="I99" s="1" t="n">
        <v>0.304255773440987</v>
      </c>
      <c r="J99" s="1" t="n">
        <v>0.247470038606365</v>
      </c>
      <c r="K99" s="1" t="n">
        <f aca="false">J99-I99</f>
        <v>-0.0567857348346215</v>
      </c>
      <c r="L99" s="1" t="n">
        <v>0.735555505104196</v>
      </c>
    </row>
    <row r="100" customFormat="false" ht="15" hidden="false" customHeight="false" outlineLevel="0" collapsed="false">
      <c r="A100" s="1" t="s">
        <v>94</v>
      </c>
      <c r="B100" s="1" t="s">
        <v>95</v>
      </c>
      <c r="C100" s="1" t="s">
        <v>96</v>
      </c>
      <c r="D100" s="1" t="s">
        <v>19</v>
      </c>
      <c r="E100" s="1" t="s">
        <v>20</v>
      </c>
      <c r="F100" s="1" t="n">
        <v>44</v>
      </c>
      <c r="G100" s="2" t="s">
        <v>25</v>
      </c>
      <c r="H100" s="1" t="n">
        <v>0.2281</v>
      </c>
      <c r="I100" s="1" t="n">
        <v>0.362708149449838</v>
      </c>
      <c r="J100" s="1" t="n">
        <v>0.389426448809137</v>
      </c>
      <c r="K100" s="1" t="n">
        <f aca="false">J100-I100</f>
        <v>0.0267182993592989</v>
      </c>
      <c r="L100" s="1" t="n">
        <v>0.705937576250204</v>
      </c>
    </row>
    <row r="101" customFormat="false" ht="15" hidden="false" customHeight="false" outlineLevel="0" collapsed="false">
      <c r="A101" s="1" t="s">
        <v>94</v>
      </c>
      <c r="B101" s="1" t="s">
        <v>95</v>
      </c>
      <c r="C101" s="1" t="s">
        <v>96</v>
      </c>
      <c r="D101" s="1" t="s">
        <v>19</v>
      </c>
      <c r="E101" s="1" t="s">
        <v>20</v>
      </c>
      <c r="F101" s="1" t="n">
        <v>44</v>
      </c>
      <c r="G101" s="2" t="s">
        <v>31</v>
      </c>
      <c r="H101" s="1" t="n">
        <v>0.1742</v>
      </c>
      <c r="I101" s="1" t="n">
        <v>0.276966401040859</v>
      </c>
      <c r="J101" s="1" t="n">
        <v>0.281934789404618</v>
      </c>
      <c r="K101" s="1" t="n">
        <f aca="false">J101-I101</f>
        <v>0.00496838836375979</v>
      </c>
      <c r="L101" s="1" t="n">
        <v>0.705937576250204</v>
      </c>
    </row>
    <row r="102" customFormat="false" ht="15" hidden="false" customHeight="false" outlineLevel="0" collapsed="false">
      <c r="A102" s="1" t="s">
        <v>94</v>
      </c>
      <c r="B102" s="1" t="s">
        <v>95</v>
      </c>
      <c r="C102" s="1" t="s">
        <v>96</v>
      </c>
      <c r="D102" s="1" t="s">
        <v>19</v>
      </c>
      <c r="E102" s="1" t="s">
        <v>20</v>
      </c>
      <c r="F102" s="1" t="n">
        <v>44</v>
      </c>
      <c r="G102" s="2" t="s">
        <v>56</v>
      </c>
      <c r="H102" s="1" t="n">
        <v>0.17</v>
      </c>
      <c r="I102" s="1" t="n">
        <v>0.270338882433398</v>
      </c>
      <c r="J102" s="1" t="n">
        <v>0.279803316858456</v>
      </c>
      <c r="K102" s="1" t="n">
        <f aca="false">J102-I102</f>
        <v>0.0094644344250574</v>
      </c>
      <c r="L102" s="1" t="n">
        <v>0.705937576250204</v>
      </c>
    </row>
    <row r="103" customFormat="false" ht="15" hidden="false" customHeight="false" outlineLevel="0" collapsed="false">
      <c r="A103" s="1" t="s">
        <v>94</v>
      </c>
      <c r="B103" s="1" t="s">
        <v>95</v>
      </c>
      <c r="C103" s="1" t="s">
        <v>96</v>
      </c>
      <c r="D103" s="1" t="s">
        <v>19</v>
      </c>
      <c r="E103" s="1" t="s">
        <v>20</v>
      </c>
      <c r="F103" s="1" t="n">
        <v>44</v>
      </c>
      <c r="G103" s="2" t="s">
        <v>26</v>
      </c>
      <c r="H103" s="1" t="n">
        <v>0.1643</v>
      </c>
      <c r="I103" s="1" t="n">
        <v>0.261228434455491</v>
      </c>
      <c r="J103" s="1" t="n">
        <v>0.325411825483537</v>
      </c>
      <c r="K103" s="1" t="n">
        <f aca="false">J103-I103</f>
        <v>0.0641833910280461</v>
      </c>
      <c r="L103" s="1" t="n">
        <v>0.705937576250204</v>
      </c>
    </row>
    <row r="104" customFormat="false" ht="15" hidden="false" customHeight="false" outlineLevel="0" collapsed="false">
      <c r="A104" s="1" t="s">
        <v>94</v>
      </c>
      <c r="B104" s="1" t="s">
        <v>95</v>
      </c>
      <c r="C104" s="1" t="s">
        <v>96</v>
      </c>
      <c r="D104" s="1" t="s">
        <v>19</v>
      </c>
      <c r="E104" s="1" t="s">
        <v>20</v>
      </c>
      <c r="F104" s="1" t="n">
        <v>44</v>
      </c>
      <c r="G104" s="2" t="s">
        <v>39</v>
      </c>
      <c r="H104" s="1" t="n">
        <v>0.1634</v>
      </c>
      <c r="I104" s="1" t="n">
        <v>0.259764201934873</v>
      </c>
      <c r="J104" s="1" t="n">
        <v>0.294873348253757</v>
      </c>
      <c r="K104" s="1" t="n">
        <f aca="false">J104-I104</f>
        <v>0.0351091463188836</v>
      </c>
      <c r="L104" s="1" t="n">
        <v>0.705937576250204</v>
      </c>
    </row>
    <row r="105" customFormat="false" ht="15" hidden="false" customHeight="false" outlineLevel="0" collapsed="false">
      <c r="A105" s="1" t="s">
        <v>94</v>
      </c>
      <c r="B105" s="1" t="s">
        <v>95</v>
      </c>
      <c r="C105" s="1" t="s">
        <v>96</v>
      </c>
      <c r="D105" s="1" t="s">
        <v>19</v>
      </c>
      <c r="E105" s="1" t="s">
        <v>20</v>
      </c>
      <c r="F105" s="1" t="n">
        <v>44</v>
      </c>
      <c r="G105" s="2" t="s">
        <v>21</v>
      </c>
      <c r="H105" s="1" t="n">
        <v>0.1</v>
      </c>
      <c r="I105" s="1" t="n">
        <v>0.220408031295865</v>
      </c>
      <c r="J105" s="1" t="n">
        <v>0.242926709244483</v>
      </c>
      <c r="K105" s="1" t="n">
        <f aca="false">J105-I105</f>
        <v>0.0225186779486175</v>
      </c>
      <c r="L105" s="1" t="n">
        <v>0.705937576250204</v>
      </c>
    </row>
    <row r="106" customFormat="false" ht="15" hidden="false" customHeight="false" outlineLevel="0" collapsed="false">
      <c r="A106" s="1" t="s">
        <v>97</v>
      </c>
      <c r="B106" s="1" t="s">
        <v>98</v>
      </c>
      <c r="C106" s="1" t="s">
        <v>99</v>
      </c>
      <c r="D106" s="1" t="s">
        <v>19</v>
      </c>
      <c r="E106" s="1" t="s">
        <v>20</v>
      </c>
      <c r="F106" s="1" t="n">
        <v>46</v>
      </c>
      <c r="G106" s="2" t="s">
        <v>25</v>
      </c>
      <c r="H106" s="1" t="n">
        <v>0.2197</v>
      </c>
      <c r="I106" s="1" t="n">
        <v>0.297980398610031</v>
      </c>
      <c r="J106" s="1" t="n">
        <v>0.288127219408954</v>
      </c>
      <c r="K106" s="1" t="n">
        <f aca="false">J106-I106</f>
        <v>-0.00985317920107731</v>
      </c>
      <c r="L106" s="1" t="n">
        <v>0.821053723330557</v>
      </c>
    </row>
    <row r="107" customFormat="false" ht="15" hidden="false" customHeight="false" outlineLevel="0" collapsed="false">
      <c r="A107" s="1" t="s">
        <v>97</v>
      </c>
      <c r="B107" s="1" t="s">
        <v>98</v>
      </c>
      <c r="C107" s="1" t="s">
        <v>99</v>
      </c>
      <c r="D107" s="1" t="s">
        <v>19</v>
      </c>
      <c r="E107" s="1" t="s">
        <v>20</v>
      </c>
      <c r="F107" s="1" t="n">
        <v>46</v>
      </c>
      <c r="G107" s="2" t="s">
        <v>26</v>
      </c>
      <c r="H107" s="1" t="n">
        <v>0.1855</v>
      </c>
      <c r="I107" s="1" t="n">
        <v>0.251576784404372</v>
      </c>
      <c r="J107" s="1" t="n">
        <v>0.304436231314938</v>
      </c>
      <c r="K107" s="1" t="n">
        <f aca="false">J107-I107</f>
        <v>0.0528594469105662</v>
      </c>
      <c r="L107" s="1" t="n">
        <v>0.821053723330557</v>
      </c>
    </row>
    <row r="108" customFormat="false" ht="15" hidden="false" customHeight="false" outlineLevel="0" collapsed="false">
      <c r="A108" s="1" t="s">
        <v>97</v>
      </c>
      <c r="B108" s="1" t="s">
        <v>98</v>
      </c>
      <c r="C108" s="1" t="s">
        <v>99</v>
      </c>
      <c r="D108" s="1" t="s">
        <v>19</v>
      </c>
      <c r="E108" s="1" t="s">
        <v>20</v>
      </c>
      <c r="F108" s="1" t="n">
        <v>46</v>
      </c>
      <c r="G108" s="2" t="s">
        <v>31</v>
      </c>
      <c r="H108" s="1" t="n">
        <v>0.1736</v>
      </c>
      <c r="I108" s="1" t="n">
        <v>0.235386294637539</v>
      </c>
      <c r="J108" s="1" t="n">
        <v>0.271985743674252</v>
      </c>
      <c r="K108" s="1" t="n">
        <f aca="false">J108-I108</f>
        <v>0.0365994490367138</v>
      </c>
      <c r="L108" s="1" t="n">
        <v>0.821053723330557</v>
      </c>
    </row>
    <row r="109" customFormat="false" ht="15" hidden="false" customHeight="false" outlineLevel="0" collapsed="false">
      <c r="A109" s="1" t="s">
        <v>97</v>
      </c>
      <c r="B109" s="1" t="s">
        <v>98</v>
      </c>
      <c r="C109" s="1" t="s">
        <v>99</v>
      </c>
      <c r="D109" s="1" t="s">
        <v>19</v>
      </c>
      <c r="E109" s="1" t="s">
        <v>20</v>
      </c>
      <c r="F109" s="1" t="n">
        <v>46</v>
      </c>
      <c r="G109" s="2" t="s">
        <v>56</v>
      </c>
      <c r="H109" s="1" t="n">
        <v>0.1615</v>
      </c>
      <c r="I109" s="1" t="n">
        <v>0.218953868791525</v>
      </c>
      <c r="J109" s="1" t="n">
        <v>0.246871227417192</v>
      </c>
      <c r="K109" s="1" t="n">
        <f aca="false">J109-I109</f>
        <v>0.0279173586256677</v>
      </c>
      <c r="L109" s="1" t="n">
        <v>0.821053723330557</v>
      </c>
    </row>
    <row r="110" customFormat="false" ht="15" hidden="false" customHeight="false" outlineLevel="0" collapsed="false">
      <c r="A110" s="1" t="s">
        <v>97</v>
      </c>
      <c r="B110" s="1" t="s">
        <v>98</v>
      </c>
      <c r="C110" s="1" t="s">
        <v>99</v>
      </c>
      <c r="D110" s="1" t="s">
        <v>19</v>
      </c>
      <c r="E110" s="1" t="s">
        <v>20</v>
      </c>
      <c r="F110" s="1" t="n">
        <v>46</v>
      </c>
      <c r="G110" s="2" t="s">
        <v>40</v>
      </c>
      <c r="H110" s="1" t="n">
        <v>0.1597</v>
      </c>
      <c r="I110" s="1" t="n">
        <v>0.216608036530213</v>
      </c>
      <c r="J110" s="1" t="n">
        <v>0.249728884512994</v>
      </c>
      <c r="K110" s="1" t="n">
        <f aca="false">J110-I110</f>
        <v>0.0331208479827814</v>
      </c>
      <c r="L110" s="1" t="n">
        <v>0.821053723330557</v>
      </c>
    </row>
    <row r="111" customFormat="false" ht="15" hidden="false" customHeight="false" outlineLevel="0" collapsed="false">
      <c r="A111" s="1" t="s">
        <v>97</v>
      </c>
      <c r="B111" s="1" t="s">
        <v>98</v>
      </c>
      <c r="C111" s="1" t="s">
        <v>99</v>
      </c>
      <c r="D111" s="1" t="s">
        <v>19</v>
      </c>
      <c r="E111" s="1" t="s">
        <v>20</v>
      </c>
      <c r="F111" s="1" t="n">
        <v>46</v>
      </c>
      <c r="G111" s="2" t="s">
        <v>21</v>
      </c>
      <c r="H111" s="1" t="n">
        <v>0.1</v>
      </c>
      <c r="I111" s="1" t="n">
        <v>0.174382334006932</v>
      </c>
      <c r="J111" s="1" t="n">
        <v>0.227513149496051</v>
      </c>
      <c r="K111" s="1" t="n">
        <f aca="false">J111-I111</f>
        <v>0.0531308154891189</v>
      </c>
      <c r="L111" s="1" t="n">
        <v>0.821053723330557</v>
      </c>
    </row>
    <row r="112" customFormat="false" ht="15" hidden="false" customHeight="false" outlineLevel="0" collapsed="false">
      <c r="A112" s="1" t="s">
        <v>100</v>
      </c>
      <c r="B112" s="1" t="s">
        <v>101</v>
      </c>
      <c r="C112" s="1" t="s">
        <v>102</v>
      </c>
      <c r="D112" s="1" t="s">
        <v>19</v>
      </c>
      <c r="E112" s="1" t="s">
        <v>20</v>
      </c>
      <c r="F112" s="1" t="n">
        <v>48</v>
      </c>
      <c r="G112" s="2" t="s">
        <v>25</v>
      </c>
      <c r="H112" s="1" t="n">
        <v>0.1865</v>
      </c>
      <c r="I112" s="1" t="n">
        <v>0.252283370760067</v>
      </c>
      <c r="J112" s="1" t="n">
        <v>0.386500958920585</v>
      </c>
      <c r="K112" s="1" t="n">
        <f aca="false">J112-I112</f>
        <v>0.134217588160517</v>
      </c>
      <c r="L112" s="1" t="n">
        <v>0.697201511529907</v>
      </c>
    </row>
    <row r="113" customFormat="false" ht="15" hidden="false" customHeight="false" outlineLevel="0" collapsed="false">
      <c r="A113" s="1" t="s">
        <v>100</v>
      </c>
      <c r="B113" s="1" t="s">
        <v>101</v>
      </c>
      <c r="C113" s="1" t="s">
        <v>102</v>
      </c>
      <c r="D113" s="1" t="s">
        <v>19</v>
      </c>
      <c r="E113" s="1" t="s">
        <v>20</v>
      </c>
      <c r="F113" s="1" t="n">
        <v>48</v>
      </c>
      <c r="G113" s="2" t="s">
        <v>26</v>
      </c>
      <c r="H113" s="1" t="n">
        <v>0.1838</v>
      </c>
      <c r="I113" s="1" t="n">
        <v>0.248633140947594</v>
      </c>
      <c r="J113" s="1" t="n">
        <v>0.384521759533256</v>
      </c>
      <c r="K113" s="1" t="n">
        <f aca="false">J113-I113</f>
        <v>0.135888618585662</v>
      </c>
      <c r="L113" s="1" t="n">
        <v>0.697201511529907</v>
      </c>
    </row>
    <row r="114" customFormat="false" ht="15" hidden="false" customHeight="false" outlineLevel="0" collapsed="false">
      <c r="A114" s="1" t="s">
        <v>100</v>
      </c>
      <c r="B114" s="1" t="s">
        <v>101</v>
      </c>
      <c r="C114" s="1" t="s">
        <v>102</v>
      </c>
      <c r="D114" s="1" t="s">
        <v>19</v>
      </c>
      <c r="E114" s="1" t="s">
        <v>20</v>
      </c>
      <c r="F114" s="1" t="n">
        <v>48</v>
      </c>
      <c r="G114" s="2" t="s">
        <v>39</v>
      </c>
      <c r="H114" s="1" t="n">
        <v>0.1834</v>
      </c>
      <c r="I114" s="1" t="n">
        <v>0.248142144897453</v>
      </c>
      <c r="J114" s="1" t="n">
        <v>0.325262646627586</v>
      </c>
      <c r="K114" s="1" t="n">
        <f aca="false">J114-I114</f>
        <v>0.0771205017301328</v>
      </c>
      <c r="L114" s="1" t="n">
        <v>0.697201511529907</v>
      </c>
    </row>
    <row r="115" customFormat="false" ht="15" hidden="false" customHeight="false" outlineLevel="0" collapsed="false">
      <c r="A115" s="1" t="s">
        <v>100</v>
      </c>
      <c r="B115" s="1" t="s">
        <v>101</v>
      </c>
      <c r="C115" s="1" t="s">
        <v>102</v>
      </c>
      <c r="D115" s="1" t="s">
        <v>19</v>
      </c>
      <c r="E115" s="1" t="s">
        <v>20</v>
      </c>
      <c r="F115" s="1" t="n">
        <v>48</v>
      </c>
      <c r="G115" s="2" t="s">
        <v>40</v>
      </c>
      <c r="H115" s="1" t="n">
        <v>0.1751</v>
      </c>
      <c r="I115" s="1" t="n">
        <v>0.236794309959097</v>
      </c>
      <c r="J115" s="1" t="n">
        <v>0.283886029385739</v>
      </c>
      <c r="K115" s="1" t="n">
        <f aca="false">J115-I115</f>
        <v>0.047091719426642</v>
      </c>
      <c r="L115" s="1" t="n">
        <v>0.697201511529907</v>
      </c>
    </row>
    <row r="116" customFormat="false" ht="15" hidden="false" customHeight="false" outlineLevel="0" collapsed="false">
      <c r="A116" s="1" t="s">
        <v>100</v>
      </c>
      <c r="B116" s="1" t="s">
        <v>101</v>
      </c>
      <c r="C116" s="1" t="s">
        <v>102</v>
      </c>
      <c r="D116" s="1" t="s">
        <v>19</v>
      </c>
      <c r="E116" s="1" t="s">
        <v>20</v>
      </c>
      <c r="F116" s="1" t="n">
        <v>48</v>
      </c>
      <c r="G116" s="2" t="s">
        <v>31</v>
      </c>
      <c r="H116" s="1" t="n">
        <v>0.1712</v>
      </c>
      <c r="I116" s="1" t="n">
        <v>0.231526251281015</v>
      </c>
      <c r="J116" s="1" t="n">
        <v>0.310820811092554</v>
      </c>
      <c r="K116" s="1" t="n">
        <f aca="false">J116-I116</f>
        <v>0.079294559811539</v>
      </c>
      <c r="L116" s="1" t="n">
        <v>0.697201511529907</v>
      </c>
    </row>
    <row r="117" customFormat="false" ht="15" hidden="false" customHeight="false" outlineLevel="0" collapsed="false">
      <c r="A117" s="1" t="s">
        <v>100</v>
      </c>
      <c r="B117" s="1" t="s">
        <v>101</v>
      </c>
      <c r="C117" s="1" t="s">
        <v>102</v>
      </c>
      <c r="D117" s="1" t="s">
        <v>19</v>
      </c>
      <c r="E117" s="1" t="s">
        <v>20</v>
      </c>
      <c r="F117" s="1" t="n">
        <v>48</v>
      </c>
      <c r="G117" s="2" t="s">
        <v>21</v>
      </c>
      <c r="H117" s="1" t="n">
        <v>0.1</v>
      </c>
      <c r="I117" s="1" t="n">
        <v>0.180984348843706</v>
      </c>
      <c r="J117" s="1" t="n">
        <v>0.286373427741255</v>
      </c>
      <c r="K117" s="1" t="n">
        <f aca="false">J117-I117</f>
        <v>0.105389078897549</v>
      </c>
      <c r="L117" s="1" t="n">
        <v>0.697201511529907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2" min="2" style="1" width="19.71"/>
  </cols>
  <sheetData>
    <row r="1" customFormat="false" ht="12.8" hidden="false" customHeight="false" outlineLevel="0" collapsed="false">
      <c r="A1" s="7" t="s">
        <v>103</v>
      </c>
      <c r="B1" s="7"/>
    </row>
    <row r="2" customFormat="false" ht="12.8" hidden="false" customHeight="false" outlineLevel="0" collapsed="false">
      <c r="A2" s="7"/>
      <c r="B2" s="7"/>
    </row>
    <row r="3" customFormat="false" ht="12.8" hidden="false" customHeight="false" outlineLevel="0" collapsed="false">
      <c r="A3" s="7" t="s">
        <v>104</v>
      </c>
      <c r="B3" s="8" t="n">
        <f aca="false">scen6_hybsem!P2</f>
        <v>115</v>
      </c>
    </row>
    <row r="4" customFormat="false" ht="12.8" hidden="false" customHeight="false" outlineLevel="0" collapsed="false">
      <c r="A4" s="7" t="s">
        <v>105</v>
      </c>
      <c r="B4" s="7" t="n">
        <f aca="false">B10*SQRT((B3-2)/(1-B10^2))</f>
        <v>-0.145970506134301</v>
      </c>
    </row>
    <row r="5" customFormat="false" ht="12.8" hidden="false" customHeight="false" outlineLevel="0" collapsed="false">
      <c r="A5" s="7" t="s">
        <v>106</v>
      </c>
      <c r="B5" s="7" t="n">
        <f aca="false">_xlfn.T.DIST.2T(ABS(B4),B3-2)</f>
        <v>0.884204749503429</v>
      </c>
    </row>
    <row r="6" customFormat="false" ht="12.8" hidden="false" customHeight="false" outlineLevel="0" collapsed="false">
      <c r="A6" s="7"/>
      <c r="B6" s="9"/>
    </row>
    <row r="7" customFormat="false" ht="12.8" hidden="false" customHeight="false" outlineLevel="0" collapsed="false">
      <c r="A7" s="7"/>
      <c r="B7" s="9"/>
    </row>
    <row r="8" customFormat="false" ht="12.8" hidden="false" customHeight="false" outlineLevel="0" collapsed="false">
      <c r="A8" s="7"/>
      <c r="B8" s="9"/>
    </row>
    <row r="9" customFormat="false" ht="19.4" hidden="false" customHeight="false" outlineLevel="0" collapsed="false">
      <c r="A9" s="4" t="s">
        <v>12</v>
      </c>
      <c r="B9" s="4" t="s">
        <v>14</v>
      </c>
    </row>
    <row r="10" customFormat="false" ht="12.8" hidden="false" customHeight="false" outlineLevel="0" collapsed="false">
      <c r="A10" s="10" t="n">
        <f aca="false">B3</f>
        <v>115</v>
      </c>
      <c r="B10" s="10" t="n">
        <f aca="false">scen6_hybsem!R2</f>
        <v>-0.0137304556759604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5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2" activeCellId="0" sqref="A2"/>
    </sheetView>
  </sheetViews>
  <sheetFormatPr defaultColWidth="14.0703125" defaultRowHeight="12.8" customHeight="false" zeroHeight="false" outlineLevelRow="0" outlineLevelCol="0"/>
  <sheetData>
    <row r="2" customFormat="false" ht="12.8" hidden="false" customHeight="false" outlineLevel="0" collapsed="false">
      <c r="A2" s="11" t="s">
        <v>107</v>
      </c>
      <c r="B2" s="11"/>
    </row>
    <row r="3" customFormat="false" ht="12.8" hidden="false" customHeight="false" outlineLevel="0" collapsed="false">
      <c r="A3" s="12" t="s">
        <v>108</v>
      </c>
      <c r="B3" s="6" t="s">
        <v>109</v>
      </c>
    </row>
    <row r="4" customFormat="false" ht="12.8" hidden="false" customHeight="false" outlineLevel="0" collapsed="false">
      <c r="A4" s="9" t="n">
        <v>1</v>
      </c>
      <c r="B4" s="1" t="n">
        <v>0.785168761593727</v>
      </c>
    </row>
    <row r="5" customFormat="false" ht="12.8" hidden="false" customHeight="false" outlineLevel="0" collapsed="false">
      <c r="A5" s="9" t="n">
        <v>2</v>
      </c>
      <c r="B5" s="1" t="n">
        <v>0.7034443874608</v>
      </c>
    </row>
    <row r="6" customFormat="false" ht="12.8" hidden="false" customHeight="false" outlineLevel="0" collapsed="false">
      <c r="A6" s="9" t="n">
        <v>3</v>
      </c>
      <c r="B6" s="1" t="n">
        <v>0.735399855829613</v>
      </c>
    </row>
    <row r="7" customFormat="false" ht="12.8" hidden="false" customHeight="false" outlineLevel="0" collapsed="false">
      <c r="A7" s="9" t="n">
        <v>4</v>
      </c>
      <c r="B7" s="1" t="n">
        <v>0.697297454274584</v>
      </c>
    </row>
    <row r="8" customFormat="false" ht="12.8" hidden="false" customHeight="false" outlineLevel="0" collapsed="false">
      <c r="A8" s="9" t="n">
        <v>5</v>
      </c>
      <c r="B8" s="1" t="n">
        <v>0.713223127756937</v>
      </c>
    </row>
    <row r="9" customFormat="false" ht="12.8" hidden="false" customHeight="false" outlineLevel="0" collapsed="false">
      <c r="A9" s="9" t="n">
        <v>6</v>
      </c>
      <c r="B9" s="1" t="n">
        <v>0.767347429776357</v>
      </c>
    </row>
    <row r="10" customFormat="false" ht="12.8" hidden="false" customHeight="false" outlineLevel="0" collapsed="false">
      <c r="A10" s="9" t="n">
        <v>7</v>
      </c>
      <c r="B10" s="1" t="n">
        <v>0.741214474418534</v>
      </c>
    </row>
    <row r="11" customFormat="false" ht="12.8" hidden="false" customHeight="false" outlineLevel="0" collapsed="false">
      <c r="A11" s="9" t="n">
        <v>8</v>
      </c>
      <c r="B11" s="1" t="n">
        <v>0.702691804836109</v>
      </c>
    </row>
    <row r="12" customFormat="false" ht="12.8" hidden="false" customHeight="false" outlineLevel="0" collapsed="false">
      <c r="A12" s="9" t="n">
        <v>9</v>
      </c>
      <c r="B12" s="1" t="n">
        <v>0.676410925873389</v>
      </c>
    </row>
    <row r="13" customFormat="false" ht="12.8" hidden="false" customHeight="false" outlineLevel="0" collapsed="false">
      <c r="A13" s="9" t="n">
        <v>10</v>
      </c>
      <c r="B13" s="1" t="n">
        <v>0.715155539827357</v>
      </c>
    </row>
    <row r="14" customFormat="false" ht="12.8" hidden="false" customHeight="false" outlineLevel="0" collapsed="false">
      <c r="A14" s="9" t="n">
        <v>11</v>
      </c>
      <c r="B14" s="1" t="n">
        <v>0.72491699498861</v>
      </c>
    </row>
    <row r="15" customFormat="false" ht="12.8" hidden="false" customHeight="false" outlineLevel="0" collapsed="false">
      <c r="A15" s="9" t="n">
        <v>12</v>
      </c>
      <c r="B15" s="1" t="n">
        <v>0.844773353099784</v>
      </c>
    </row>
    <row r="16" customFormat="false" ht="12.8" hidden="false" customHeight="false" outlineLevel="0" collapsed="false">
      <c r="A16" s="9" t="n">
        <v>13</v>
      </c>
      <c r="B16" s="1" t="n">
        <v>0.670771286759802</v>
      </c>
    </row>
    <row r="17" customFormat="false" ht="12.8" hidden="false" customHeight="false" outlineLevel="0" collapsed="false">
      <c r="A17" s="9" t="n">
        <v>14</v>
      </c>
      <c r="B17" s="1" t="n">
        <v>0.749199345598474</v>
      </c>
    </row>
    <row r="18" customFormat="false" ht="12.8" hidden="false" customHeight="false" outlineLevel="0" collapsed="false">
      <c r="A18" s="9" t="n">
        <v>15</v>
      </c>
      <c r="B18" s="1" t="n">
        <v>0.710334404151347</v>
      </c>
    </row>
    <row r="19" customFormat="false" ht="12.8" hidden="false" customHeight="false" outlineLevel="0" collapsed="false">
      <c r="A19" s="9" t="n">
        <v>16</v>
      </c>
      <c r="B19" s="1" t="n">
        <v>0.658233657913275</v>
      </c>
    </row>
    <row r="20" customFormat="false" ht="12.8" hidden="false" customHeight="false" outlineLevel="0" collapsed="false">
      <c r="A20" s="9" t="n">
        <v>17</v>
      </c>
      <c r="B20" s="1" t="n">
        <v>0.821533014122518</v>
      </c>
    </row>
    <row r="21" customFormat="false" ht="12.8" hidden="false" customHeight="false" outlineLevel="0" collapsed="false">
      <c r="A21" s="9" t="n">
        <v>18</v>
      </c>
      <c r="B21" s="1" t="n">
        <v>0.654001563002053</v>
      </c>
    </row>
    <row r="22" customFormat="false" ht="12.8" hidden="false" customHeight="false" outlineLevel="0" collapsed="false">
      <c r="A22" s="9" t="n">
        <v>19</v>
      </c>
      <c r="B22" s="1" t="n">
        <v>0.590768867737282</v>
      </c>
    </row>
    <row r="23" customFormat="false" ht="12.8" hidden="false" customHeight="false" outlineLevel="0" collapsed="false">
      <c r="A23" s="9" t="n">
        <v>20</v>
      </c>
      <c r="B23" s="1" t="n">
        <v>0.716584963681357</v>
      </c>
    </row>
    <row r="24" customFormat="false" ht="12.8" hidden="false" customHeight="false" outlineLevel="0" collapsed="false">
      <c r="A24" s="9" t="n">
        <v>21</v>
      </c>
      <c r="B24" s="1" t="n">
        <v>0.669739555124102</v>
      </c>
    </row>
    <row r="25" customFormat="false" ht="12.8" hidden="false" customHeight="false" outlineLevel="0" collapsed="false">
      <c r="A25" s="9" t="n">
        <v>22</v>
      </c>
      <c r="B25" s="1" t="n">
        <v>0.735555505104196</v>
      </c>
    </row>
    <row r="26" customFormat="false" ht="12.8" hidden="false" customHeight="false" outlineLevel="0" collapsed="false">
      <c r="A26" s="9" t="n">
        <v>23</v>
      </c>
      <c r="B26" s="1" t="n">
        <v>0.705937576250204</v>
      </c>
    </row>
    <row r="27" customFormat="false" ht="12.8" hidden="false" customHeight="false" outlineLevel="0" collapsed="false">
      <c r="A27" s="9" t="n">
        <v>24</v>
      </c>
      <c r="B27" s="1" t="n">
        <v>0.821053723330557</v>
      </c>
    </row>
    <row r="28" customFormat="false" ht="12.8" hidden="false" customHeight="false" outlineLevel="0" collapsed="false">
      <c r="A28" s="5" t="n">
        <v>25</v>
      </c>
      <c r="B28" s="1" t="n">
        <v>0.697201511529907</v>
      </c>
    </row>
    <row r="29" customFormat="false" ht="12.8" hidden="false" customHeight="false" outlineLevel="0" collapsed="false">
      <c r="A29" s="5"/>
    </row>
    <row r="30" customFormat="false" ht="12.8" hidden="false" customHeight="false" outlineLevel="0" collapsed="false">
      <c r="A30" s="5"/>
    </row>
    <row r="31" customFormat="false" ht="12.8" hidden="false" customHeight="false" outlineLevel="0" collapsed="false">
      <c r="A31" s="5"/>
    </row>
    <row r="32" customFormat="false" ht="12.8" hidden="false" customHeight="false" outlineLevel="0" collapsed="false">
      <c r="A32" s="5"/>
    </row>
    <row r="33" customFormat="false" ht="12.8" hidden="false" customHeight="false" outlineLevel="0" collapsed="false">
      <c r="A33" s="5"/>
    </row>
    <row r="34" customFormat="false" ht="12.8" hidden="false" customHeight="false" outlineLevel="0" collapsed="false">
      <c r="A34" s="5"/>
    </row>
    <row r="35" customFormat="false" ht="12.8" hidden="false" customHeight="false" outlineLevel="0" collapsed="false">
      <c r="A35" s="5"/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9" activeCellId="0" sqref="L9"/>
    </sheetView>
  </sheetViews>
  <sheetFormatPr defaultColWidth="14.0703125" defaultRowHeight="12.8" customHeight="false" zeroHeight="false" outlineLevelRow="0" outlineLevelCol="0"/>
  <cols>
    <col collapsed="false" customWidth="true" hidden="false" outlineLevel="0" max="3" min="2" style="1" width="19.71"/>
    <col collapsed="false" customWidth="true" hidden="false" outlineLevel="0" max="6" min="6" style="1" width="23.08"/>
    <col collapsed="false" customWidth="true" hidden="false" outlineLevel="0" max="7" min="7" style="1" width="21.87"/>
    <col collapsed="false" customWidth="true" hidden="false" outlineLevel="0" max="9" min="8" style="1" width="22.42"/>
    <col collapsed="false" customWidth="true" hidden="false" outlineLevel="0" max="10" min="10" style="1" width="21.87"/>
    <col collapsed="false" customWidth="true" hidden="false" outlineLevel="0" max="11" min="11" style="1" width="19.71"/>
    <col collapsed="false" customWidth="true" hidden="false" outlineLevel="0" max="12" min="12" style="1" width="18.62"/>
  </cols>
  <sheetData>
    <row r="2" customFormat="false" ht="12.8" hidden="false" customHeight="false" outlineLevel="0" collapsed="false">
      <c r="A2" s="11" t="s">
        <v>107</v>
      </c>
      <c r="B2" s="11"/>
    </row>
    <row r="3" customFormat="false" ht="12.8" hidden="false" customHeight="false" outlineLevel="0" collapsed="false">
      <c r="A3" s="12" t="s">
        <v>108</v>
      </c>
      <c r="B3" s="6" t="s">
        <v>109</v>
      </c>
      <c r="C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1" t="s">
        <v>117</v>
      </c>
      <c r="L3" s="1" t="s">
        <v>118</v>
      </c>
    </row>
    <row r="4" customFormat="false" ht="12.8" hidden="false" customHeight="false" outlineLevel="0" collapsed="false">
      <c r="A4" s="9" t="n">
        <v>1</v>
      </c>
      <c r="B4" s="1" t="n">
        <v>0.785168761593727</v>
      </c>
      <c r="C4" s="6" t="n">
        <v>0.820530604737196</v>
      </c>
      <c r="E4" s="5" t="n">
        <f aca="false">_xlfn.STDEV.S(B4:B28)</f>
        <v>0.0570393101549572</v>
      </c>
      <c r="F4" s="5" t="n">
        <f aca="false">_xlfn.STDEV.S(C4:C28)</f>
        <v>0.110296896441833</v>
      </c>
      <c r="G4" s="5" t="n">
        <f aca="false">_xlfn.F.TEST(B4:B28,C4:C28)</f>
        <v>0.00198493368424902</v>
      </c>
      <c r="H4" s="5" t="n">
        <f aca="false">_xlfn.T.TEST(B4:B28, C4:C28, 2,2)</f>
        <v>9.33748793111396E-008</v>
      </c>
      <c r="I4" s="5" t="n">
        <f aca="false">_xlfn.T.TEST(B4:B28,C4:C28, 2,3)</f>
        <v>2.94397773057012E-007</v>
      </c>
      <c r="J4" s="5" t="n">
        <f aca="false">AVERAGE(B4:B28)-AVERAGE(C4:C28)</f>
        <v>0.155971417528774</v>
      </c>
      <c r="K4" s="1" t="n">
        <f aca="false">AVERAGE(B4:B28)</f>
        <v>0.720318363361635</v>
      </c>
      <c r="L4" s="1" t="n">
        <f aca="false">AVERAGE(C4:C28)</f>
        <v>0.564346945832861</v>
      </c>
    </row>
    <row r="5" customFormat="false" ht="12.8" hidden="false" customHeight="false" outlineLevel="0" collapsed="false">
      <c r="A5" s="9" t="n">
        <v>2</v>
      </c>
      <c r="B5" s="1" t="n">
        <v>0.7034443874608</v>
      </c>
      <c r="C5" s="6" t="n">
        <v>0.407777700566947</v>
      </c>
    </row>
    <row r="6" customFormat="false" ht="12.8" hidden="false" customHeight="false" outlineLevel="0" collapsed="false">
      <c r="A6" s="9" t="n">
        <v>3</v>
      </c>
      <c r="B6" s="1" t="n">
        <v>0.735399855829613</v>
      </c>
      <c r="C6" s="6" t="n">
        <v>0.64741533537976</v>
      </c>
    </row>
    <row r="7" customFormat="false" ht="12.8" hidden="false" customHeight="false" outlineLevel="0" collapsed="false">
      <c r="A7" s="9" t="n">
        <v>4</v>
      </c>
      <c r="B7" s="1" t="n">
        <v>0.697297454274584</v>
      </c>
      <c r="C7" s="6" t="n">
        <v>0.492147299468326</v>
      </c>
    </row>
    <row r="8" customFormat="false" ht="12.8" hidden="false" customHeight="false" outlineLevel="0" collapsed="false">
      <c r="A8" s="9" t="n">
        <v>5</v>
      </c>
      <c r="B8" s="1" t="n">
        <v>0.713223127756937</v>
      </c>
      <c r="C8" s="6" t="n">
        <v>0.536862868469305</v>
      </c>
    </row>
    <row r="9" customFormat="false" ht="12.8" hidden="false" customHeight="false" outlineLevel="0" collapsed="false">
      <c r="A9" s="9" t="n">
        <v>6</v>
      </c>
      <c r="B9" s="1" t="n">
        <v>0.767347429776357</v>
      </c>
      <c r="C9" s="6" t="n">
        <v>0.63772449375854</v>
      </c>
    </row>
    <row r="10" customFormat="false" ht="12.8" hidden="false" customHeight="false" outlineLevel="0" collapsed="false">
      <c r="A10" s="9" t="n">
        <v>7</v>
      </c>
      <c r="B10" s="1" t="n">
        <v>0.741214474418534</v>
      </c>
      <c r="C10" s="6" t="n">
        <v>0.616656606375133</v>
      </c>
    </row>
    <row r="11" customFormat="false" ht="12.8" hidden="false" customHeight="false" outlineLevel="0" collapsed="false">
      <c r="A11" s="9" t="n">
        <v>8</v>
      </c>
      <c r="B11" s="1" t="n">
        <v>0.702691804836109</v>
      </c>
      <c r="C11" s="6" t="n">
        <v>0.626592572489672</v>
      </c>
    </row>
    <row r="12" customFormat="false" ht="12.8" hidden="false" customHeight="false" outlineLevel="0" collapsed="false">
      <c r="A12" s="9" t="n">
        <v>9</v>
      </c>
      <c r="B12" s="1" t="n">
        <v>0.676410925873389</v>
      </c>
      <c r="C12" s="6" t="n">
        <v>0.648034250961909</v>
      </c>
    </row>
    <row r="13" customFormat="false" ht="12.8" hidden="false" customHeight="false" outlineLevel="0" collapsed="false">
      <c r="A13" s="9" t="n">
        <v>10</v>
      </c>
      <c r="B13" s="1" t="n">
        <v>0.715155539827357</v>
      </c>
      <c r="C13" s="6" t="n">
        <v>0.506323646773135</v>
      </c>
    </row>
    <row r="14" customFormat="false" ht="12.8" hidden="false" customHeight="false" outlineLevel="0" collapsed="false">
      <c r="A14" s="9" t="n">
        <v>11</v>
      </c>
      <c r="B14" s="1" t="n">
        <v>0.72491699498861</v>
      </c>
      <c r="C14" s="6" t="n">
        <v>0.585612272734794</v>
      </c>
    </row>
    <row r="15" customFormat="false" ht="12.8" hidden="false" customHeight="false" outlineLevel="0" collapsed="false">
      <c r="A15" s="9" t="n">
        <v>12</v>
      </c>
      <c r="B15" s="1" t="n">
        <v>0.844773353099784</v>
      </c>
      <c r="C15" s="6" t="n">
        <v>0.522675525488207</v>
      </c>
    </row>
    <row r="16" customFormat="false" ht="12.8" hidden="false" customHeight="false" outlineLevel="0" collapsed="false">
      <c r="A16" s="9" t="n">
        <v>13</v>
      </c>
      <c r="B16" s="1" t="n">
        <v>0.670771286759802</v>
      </c>
      <c r="C16" s="6" t="n">
        <v>0.59336895192208</v>
      </c>
    </row>
    <row r="17" customFormat="false" ht="12.8" hidden="false" customHeight="false" outlineLevel="0" collapsed="false">
      <c r="A17" s="9" t="n">
        <v>14</v>
      </c>
      <c r="B17" s="1" t="n">
        <v>0.749199345598474</v>
      </c>
      <c r="C17" s="6" t="n">
        <v>0.712010193857469</v>
      </c>
    </row>
    <row r="18" customFormat="false" ht="12.8" hidden="false" customHeight="false" outlineLevel="0" collapsed="false">
      <c r="A18" s="9" t="n">
        <v>15</v>
      </c>
      <c r="B18" s="1" t="n">
        <v>0.710334404151347</v>
      </c>
      <c r="C18" s="6" t="n">
        <v>0.389590431331602</v>
      </c>
    </row>
    <row r="19" customFormat="false" ht="12.8" hidden="false" customHeight="false" outlineLevel="0" collapsed="false">
      <c r="A19" s="9" t="n">
        <v>16</v>
      </c>
      <c r="B19" s="1" t="n">
        <v>0.658233657913275</v>
      </c>
      <c r="C19" s="6" t="n">
        <v>0.538461186911437</v>
      </c>
    </row>
    <row r="20" customFormat="false" ht="12.8" hidden="false" customHeight="false" outlineLevel="0" collapsed="false">
      <c r="A20" s="9" t="n">
        <v>17</v>
      </c>
      <c r="B20" s="1" t="n">
        <v>0.821533014122518</v>
      </c>
      <c r="C20" s="6" t="n">
        <v>0.562352229380074</v>
      </c>
    </row>
    <row r="21" customFormat="false" ht="12.8" hidden="false" customHeight="false" outlineLevel="0" collapsed="false">
      <c r="A21" s="9" t="n">
        <v>18</v>
      </c>
      <c r="B21" s="1" t="n">
        <v>0.654001563002053</v>
      </c>
      <c r="C21" s="6" t="n">
        <v>0.449019179327942</v>
      </c>
    </row>
    <row r="22" customFormat="false" ht="12.8" hidden="false" customHeight="false" outlineLevel="0" collapsed="false">
      <c r="A22" s="9" t="n">
        <v>19</v>
      </c>
      <c r="B22" s="1" t="n">
        <v>0.590768867737282</v>
      </c>
      <c r="C22" s="6" t="n">
        <v>0.547046967409802</v>
      </c>
    </row>
    <row r="23" customFormat="false" ht="12.8" hidden="false" customHeight="false" outlineLevel="0" collapsed="false">
      <c r="A23" s="9" t="n">
        <v>20</v>
      </c>
      <c r="B23" s="1" t="n">
        <v>0.716584963681357</v>
      </c>
      <c r="C23" s="6" t="n">
        <v>0.566106097857875</v>
      </c>
    </row>
    <row r="24" customFormat="false" ht="12.8" hidden="false" customHeight="false" outlineLevel="0" collapsed="false">
      <c r="A24" s="9" t="n">
        <v>21</v>
      </c>
      <c r="B24" s="1" t="n">
        <v>0.669739555124102</v>
      </c>
      <c r="C24" s="6" t="n">
        <v>0.404581945723551</v>
      </c>
    </row>
    <row r="25" customFormat="false" ht="12.8" hidden="false" customHeight="false" outlineLevel="0" collapsed="false">
      <c r="A25" s="9" t="n">
        <v>22</v>
      </c>
      <c r="B25" s="1" t="n">
        <v>0.735555505104196</v>
      </c>
      <c r="C25" s="6" t="n">
        <v>0.662444425177304</v>
      </c>
    </row>
    <row r="26" customFormat="false" ht="12.8" hidden="false" customHeight="false" outlineLevel="0" collapsed="false">
      <c r="A26" s="9" t="n">
        <v>23</v>
      </c>
      <c r="B26" s="1" t="n">
        <v>0.705937576250204</v>
      </c>
      <c r="C26" s="6" t="n">
        <v>0.42157129852119</v>
      </c>
    </row>
    <row r="27" customFormat="false" ht="12.8" hidden="false" customHeight="false" outlineLevel="0" collapsed="false">
      <c r="A27" s="9" t="n">
        <v>24</v>
      </c>
      <c r="B27" s="1" t="n">
        <v>0.821053723330557</v>
      </c>
      <c r="C27" s="6" t="n">
        <v>0.744339298226825</v>
      </c>
    </row>
    <row r="28" customFormat="false" ht="12.8" hidden="false" customHeight="false" outlineLevel="0" collapsed="false">
      <c r="A28" s="5" t="n">
        <v>25</v>
      </c>
      <c r="B28" s="1" t="n">
        <v>0.697201511529907</v>
      </c>
      <c r="C28" s="6" t="n">
        <v>0.469428262971454</v>
      </c>
    </row>
    <row r="32" customFormat="false" ht="12.8" hidden="false" customHeight="false" outlineLevel="0" collapsed="false">
      <c r="A32" s="1" t="s">
        <v>119</v>
      </c>
    </row>
    <row r="34" customFormat="false" ht="12.8" hidden="false" customHeight="false" outlineLevel="0" collapsed="false">
      <c r="A34" s="12" t="s">
        <v>108</v>
      </c>
      <c r="B34" s="6" t="s">
        <v>120</v>
      </c>
      <c r="C34" s="6" t="s">
        <v>121</v>
      </c>
      <c r="D34" s="6" t="s">
        <v>109</v>
      </c>
      <c r="F34" s="13" t="s">
        <v>122</v>
      </c>
    </row>
    <row r="35" customFormat="false" ht="12.8" hidden="false" customHeight="false" outlineLevel="0" collapsed="false">
      <c r="A35" s="9" t="n">
        <v>1</v>
      </c>
      <c r="B35" s="1" t="n">
        <v>0.790005749889737</v>
      </c>
      <c r="C35" s="1" t="n">
        <v>0.818947298519002</v>
      </c>
      <c r="D35" s="1" t="n">
        <v>0.785168761593727</v>
      </c>
      <c r="F35" s="1" t="s">
        <v>123</v>
      </c>
      <c r="G35" s="1" t="n">
        <v>0.05</v>
      </c>
    </row>
    <row r="36" customFormat="false" ht="12.8" hidden="false" customHeight="false" outlineLevel="0" collapsed="false">
      <c r="A36" s="9" t="n">
        <v>2</v>
      </c>
      <c r="B36" s="1" t="n">
        <v>0.681735099200446</v>
      </c>
      <c r="C36" s="1" t="n">
        <v>0.726675054349364</v>
      </c>
      <c r="D36" s="1" t="n">
        <v>0.7034443874608</v>
      </c>
    </row>
    <row r="37" customFormat="false" ht="12.8" hidden="false" customHeight="false" outlineLevel="0" collapsed="false">
      <c r="A37" s="9" t="n">
        <v>3</v>
      </c>
      <c r="B37" s="1" t="n">
        <v>0.736591542434996</v>
      </c>
      <c r="C37" s="1" t="n">
        <v>0.753823763148008</v>
      </c>
      <c r="D37" s="1" t="n">
        <v>0.735399855829613</v>
      </c>
      <c r="F37" s="1" t="s">
        <v>124</v>
      </c>
      <c r="G37" s="1" t="s">
        <v>125</v>
      </c>
      <c r="H37" s="1" t="s">
        <v>126</v>
      </c>
      <c r="I37" s="1" t="s">
        <v>127</v>
      </c>
      <c r="J37" s="1" t="s">
        <v>128</v>
      </c>
    </row>
    <row r="38" customFormat="false" ht="12.8" hidden="false" customHeight="false" outlineLevel="0" collapsed="false">
      <c r="A38" s="9" t="n">
        <v>4</v>
      </c>
      <c r="B38" s="1" t="n">
        <v>0.65821229308805</v>
      </c>
      <c r="C38" s="1" t="n">
        <v>0.694689160951428</v>
      </c>
      <c r="D38" s="1" t="n">
        <v>0.697297454274584</v>
      </c>
      <c r="F38" s="1" t="s">
        <v>129</v>
      </c>
      <c r="G38" s="1" t="n">
        <f aca="false">COUNT(inter_system_stats!$B$34:$B$59)</f>
        <v>25</v>
      </c>
      <c r="H38" s="1" t="n">
        <f aca="false">SUM(inter_system_stats!$B$34:$B$59)</f>
        <v>18.2014117602233</v>
      </c>
      <c r="I38" s="1" t="n">
        <f aca="false">AVERAGE(inter_system_stats!$B$34:$B$59)</f>
        <v>0.728056470408934</v>
      </c>
      <c r="J38" s="1" t="n">
        <f aca="false">VAR(inter_system_stats!$B$34:$B$59)</f>
        <v>0.00373474514581052</v>
      </c>
    </row>
    <row r="39" customFormat="false" ht="12.8" hidden="false" customHeight="false" outlineLevel="0" collapsed="false">
      <c r="A39" s="9" t="n">
        <v>5</v>
      </c>
      <c r="B39" s="1" t="n">
        <v>0.743184893131854</v>
      </c>
      <c r="C39" s="1" t="n">
        <v>0.750318975083652</v>
      </c>
      <c r="D39" s="1" t="n">
        <v>0.713223127756937</v>
      </c>
      <c r="F39" s="1" t="s">
        <v>130</v>
      </c>
      <c r="G39" s="1" t="n">
        <f aca="false">COUNT(inter_system_stats!$C$34:$C$59)</f>
        <v>25</v>
      </c>
      <c r="H39" s="1" t="n">
        <f aca="false">SUM(inter_system_stats!$C$34:$C$59)</f>
        <v>18.4007705875838</v>
      </c>
      <c r="I39" s="1" t="n">
        <f aca="false">AVERAGE(inter_system_stats!$C$34:$C$59)</f>
        <v>0.736030823503351</v>
      </c>
      <c r="J39" s="1" t="n">
        <f aca="false">VAR(inter_system_stats!$C$34:$C$59)</f>
        <v>0.00298974415306126</v>
      </c>
    </row>
    <row r="40" customFormat="false" ht="12.8" hidden="false" customHeight="false" outlineLevel="0" collapsed="false">
      <c r="A40" s="9" t="n">
        <v>6</v>
      </c>
      <c r="B40" s="1" t="n">
        <v>0.738363300257884</v>
      </c>
      <c r="C40" s="1" t="n">
        <v>0.792897506425522</v>
      </c>
      <c r="D40" s="1" t="n">
        <v>0.767347429776357</v>
      </c>
      <c r="F40" s="1" t="s">
        <v>131</v>
      </c>
      <c r="G40" s="1" t="n">
        <f aca="false">COUNT(inter_system_stats!$D$34:$D$59)</f>
        <v>25</v>
      </c>
      <c r="H40" s="1" t="n">
        <f aca="false">SUM(inter_system_stats!$D$34:$D$59)</f>
        <v>18.0079590840409</v>
      </c>
      <c r="I40" s="1" t="n">
        <f aca="false">AVERAGE(inter_system_stats!$D$34:$D$59)</f>
        <v>0.720318363361635</v>
      </c>
      <c r="J40" s="1" t="n">
        <f aca="false">VAR(inter_system_stats!$D$34:$D$59)</f>
        <v>0.0032534829029534</v>
      </c>
    </row>
    <row r="41" customFormat="false" ht="12.8" hidden="false" customHeight="false" outlineLevel="0" collapsed="false">
      <c r="A41" s="9" t="n">
        <v>7</v>
      </c>
      <c r="B41" s="1" t="n">
        <v>0.802709380775578</v>
      </c>
      <c r="C41" s="1" t="n">
        <v>0.740717063652639</v>
      </c>
      <c r="D41" s="1" t="n">
        <v>0.741214474418534</v>
      </c>
    </row>
    <row r="42" customFormat="false" ht="12.8" hidden="false" customHeight="false" outlineLevel="0" collapsed="false">
      <c r="A42" s="9" t="n">
        <v>8</v>
      </c>
      <c r="B42" s="1" t="n">
        <v>0.767137820624339</v>
      </c>
      <c r="C42" s="1" t="n">
        <v>0.701518866188206</v>
      </c>
      <c r="D42" s="1" t="n">
        <v>0.702691804836109</v>
      </c>
      <c r="F42" s="1" t="s">
        <v>132</v>
      </c>
      <c r="G42" s="1" t="s">
        <v>133</v>
      </c>
      <c r="H42" s="1" t="s">
        <v>134</v>
      </c>
      <c r="I42" s="1" t="s">
        <v>135</v>
      </c>
      <c r="J42" s="1" t="s">
        <v>136</v>
      </c>
      <c r="K42" s="1" t="s">
        <v>137</v>
      </c>
      <c r="L42" s="1" t="s">
        <v>138</v>
      </c>
    </row>
    <row r="43" customFormat="false" ht="12.8" hidden="false" customHeight="false" outlineLevel="0" collapsed="false">
      <c r="A43" s="9" t="n">
        <v>9</v>
      </c>
      <c r="B43" s="1" t="n">
        <v>0.655203842604779</v>
      </c>
      <c r="C43" s="1" t="n">
        <v>0.679408838434061</v>
      </c>
      <c r="D43" s="1" t="n">
        <v>0.676410925873389</v>
      </c>
      <c r="F43" s="1" t="s">
        <v>139</v>
      </c>
      <c r="G43" s="1" t="n">
        <f aca="false">SUMPRODUCT(inter_system_stats!$H$38:$H$40,inter_system_stats!$I$38:$I$40)-SUM(inter_system_stats!$H$38:$H$40)^2/SUM(inter_system_stats!$G$38:$G$40)</f>
        <v>0.00308625009712671</v>
      </c>
      <c r="H43" s="1" t="n">
        <f aca="false">COUNT(inter_system_stats!$H$38:$H$40)-1</f>
        <v>2</v>
      </c>
      <c r="I43" s="1" t="n">
        <f aca="false">inter_system_stats!$G$43 / inter_system_stats!$H$43</f>
        <v>0.00154312504856335</v>
      </c>
      <c r="J43" s="1" t="n">
        <f aca="false">inter_system_stats!$I$43 / inter_system_stats!$I$44</f>
        <v>0.463959515225273</v>
      </c>
      <c r="K43" s="1" t="n">
        <f aca="false">FDIST(inter_system_stats!$J$43, inter_system_stats!$H$43, inter_system_stats!$H$44)</f>
        <v>0.630655669179309</v>
      </c>
      <c r="L43" s="1" t="n">
        <f aca="false">FINV(inter_system_stats!$G$35, inter_system_stats!$H$43, inter_system_stats!$H$44)</f>
        <v>3.12390744854578</v>
      </c>
    </row>
    <row r="44" customFormat="false" ht="12.8" hidden="false" customHeight="false" outlineLevel="0" collapsed="false">
      <c r="A44" s="9" t="n">
        <v>10</v>
      </c>
      <c r="B44" s="1" t="n">
        <v>0.700905183166286</v>
      </c>
      <c r="C44" s="1" t="n">
        <v>0.693828339018655</v>
      </c>
      <c r="D44" s="1" t="n">
        <v>0.715155539827357</v>
      </c>
      <c r="F44" s="1" t="s">
        <v>140</v>
      </c>
      <c r="G44" s="1" t="n">
        <f aca="false">SUM(DEVSQ(inter_system_stats!$B$34:$B$59),DEVSQ(inter_system_stats!$C$34:$C$59),DEVSQ(inter_system_stats!$D$34:$D$59))</f>
        <v>0.239471332843804</v>
      </c>
      <c r="H44" s="1" t="n">
        <f aca="false">SUM(inter_system_stats!$G$38:$G$40)-COUNT(inter_system_stats!$G$38:$G$40)</f>
        <v>72</v>
      </c>
      <c r="I44" s="1" t="n">
        <f aca="false">inter_system_stats!$G$44 / inter_system_stats!$H$44</f>
        <v>0.00332599073394173</v>
      </c>
    </row>
    <row r="45" customFormat="false" ht="12.8" hidden="false" customHeight="false" outlineLevel="0" collapsed="false">
      <c r="A45" s="9" t="n">
        <v>11</v>
      </c>
      <c r="B45" s="1" t="n">
        <v>0.719629235257693</v>
      </c>
      <c r="C45" s="1" t="n">
        <v>0.714015093691685</v>
      </c>
      <c r="D45" s="1" t="n">
        <v>0.72491699498861</v>
      </c>
      <c r="F45" s="1" t="s">
        <v>141</v>
      </c>
      <c r="G45" s="1" t="n">
        <f aca="false">DEVSQ(inter_system_stats!$B$34:$B$59,inter_system_stats!$C$34:$C$59,inter_system_stats!$D$34:$D$59)</f>
        <v>0.242557582940928</v>
      </c>
      <c r="H45" s="1" t="n">
        <f aca="false">SUM(inter_system_stats!$G$38:$G$40) - 1</f>
        <v>74</v>
      </c>
    </row>
    <row r="46" customFormat="false" ht="12.8" hidden="false" customHeight="false" outlineLevel="0" collapsed="false">
      <c r="A46" s="9" t="n">
        <v>12</v>
      </c>
      <c r="B46" s="1" t="n">
        <v>0.831621410337318</v>
      </c>
      <c r="C46" s="1" t="n">
        <v>0.829353335851788</v>
      </c>
      <c r="D46" s="1" t="n">
        <v>0.844773353099784</v>
      </c>
    </row>
    <row r="47" customFormat="false" ht="12.8" hidden="false" customHeight="false" outlineLevel="0" collapsed="false">
      <c r="A47" s="9" t="n">
        <v>13</v>
      </c>
      <c r="B47" s="1" t="n">
        <v>0.709519501585356</v>
      </c>
      <c r="C47" s="1" t="n">
        <v>0.741335114714525</v>
      </c>
      <c r="D47" s="1" t="n">
        <v>0.670771286759802</v>
      </c>
    </row>
    <row r="48" customFormat="false" ht="12.8" hidden="false" customHeight="false" outlineLevel="0" collapsed="false">
      <c r="A48" s="9" t="n">
        <v>14</v>
      </c>
      <c r="B48" s="1" t="n">
        <v>0.752588038781123</v>
      </c>
      <c r="C48" s="1" t="n">
        <v>0.777558691836526</v>
      </c>
      <c r="D48" s="1" t="n">
        <v>0.749199345598474</v>
      </c>
    </row>
    <row r="49" customFormat="false" ht="12.8" hidden="false" customHeight="false" outlineLevel="0" collapsed="false">
      <c r="A49" s="9" t="n">
        <v>15</v>
      </c>
      <c r="B49" s="1" t="n">
        <v>0.742555870420495</v>
      </c>
      <c r="C49" s="1" t="n">
        <v>0.769655236905789</v>
      </c>
      <c r="D49" s="1" t="n">
        <v>0.710334404151347</v>
      </c>
    </row>
    <row r="50" customFormat="false" ht="12.8" hidden="false" customHeight="false" outlineLevel="0" collapsed="false">
      <c r="A50" s="9" t="n">
        <v>16</v>
      </c>
      <c r="B50" s="1" t="n">
        <v>0.626600189640605</v>
      </c>
      <c r="C50" s="1" t="n">
        <v>0.692685234430471</v>
      </c>
      <c r="D50" s="1" t="n">
        <v>0.658233657913275</v>
      </c>
    </row>
    <row r="51" customFormat="false" ht="12.8" hidden="false" customHeight="false" outlineLevel="0" collapsed="false">
      <c r="A51" s="9" t="n">
        <v>17</v>
      </c>
      <c r="B51" s="1" t="n">
        <v>0.81814248001184</v>
      </c>
      <c r="C51" s="1" t="n">
        <v>0.805787272798479</v>
      </c>
      <c r="D51" s="1" t="n">
        <v>0.821533014122518</v>
      </c>
    </row>
    <row r="52" customFormat="false" ht="12.8" hidden="false" customHeight="false" outlineLevel="0" collapsed="false">
      <c r="A52" s="9" t="n">
        <v>18</v>
      </c>
      <c r="B52" s="1" t="n">
        <v>0.647963419254761</v>
      </c>
      <c r="C52" s="1" t="n">
        <v>0.631093794200336</v>
      </c>
      <c r="D52" s="1" t="n">
        <v>0.654001563002053</v>
      </c>
    </row>
    <row r="53" customFormat="false" ht="12.8" hidden="false" customHeight="false" outlineLevel="0" collapsed="false">
      <c r="A53" s="9" t="n">
        <v>19</v>
      </c>
      <c r="B53" s="1" t="n">
        <v>0.643841741383017</v>
      </c>
      <c r="C53" s="1" t="n">
        <v>0.690269162854351</v>
      </c>
      <c r="D53" s="1" t="n">
        <v>0.590768867737282</v>
      </c>
    </row>
    <row r="54" customFormat="false" ht="12.8" hidden="false" customHeight="false" outlineLevel="0" collapsed="false">
      <c r="A54" s="9" t="n">
        <v>20</v>
      </c>
      <c r="B54" s="1" t="n">
        <v>0.654547731132537</v>
      </c>
      <c r="C54" s="1" t="n">
        <v>0.697049065043941</v>
      </c>
      <c r="D54" s="1" t="n">
        <v>0.716584963681357</v>
      </c>
    </row>
    <row r="55" customFormat="false" ht="12.8" hidden="false" customHeight="false" outlineLevel="0" collapsed="false">
      <c r="A55" s="9" t="n">
        <v>21</v>
      </c>
      <c r="B55" s="1" t="n">
        <v>0.737279793404405</v>
      </c>
      <c r="C55" s="1" t="n">
        <v>0.69517695472312</v>
      </c>
      <c r="D55" s="1" t="n">
        <v>0.669739555124102</v>
      </c>
    </row>
    <row r="56" customFormat="false" ht="12.8" hidden="false" customHeight="false" outlineLevel="0" collapsed="false">
      <c r="A56" s="9" t="n">
        <v>22</v>
      </c>
      <c r="B56" s="1" t="n">
        <v>0.741791001479869</v>
      </c>
      <c r="C56" s="1" t="n">
        <v>0.757953803081435</v>
      </c>
      <c r="D56" s="1" t="n">
        <v>0.735555505104196</v>
      </c>
    </row>
    <row r="57" customFormat="false" ht="12.8" hidden="false" customHeight="false" outlineLevel="0" collapsed="false">
      <c r="A57" s="9" t="n">
        <v>23</v>
      </c>
      <c r="B57" s="1" t="n">
        <v>0.720324505975325</v>
      </c>
      <c r="C57" s="1" t="n">
        <v>0.663150812819657</v>
      </c>
      <c r="D57" s="1" t="n">
        <v>0.705937576250204</v>
      </c>
    </row>
    <row r="58" customFormat="false" ht="12.8" hidden="false" customHeight="false" outlineLevel="0" collapsed="false">
      <c r="A58" s="9" t="n">
        <v>24</v>
      </c>
      <c r="B58" s="1" t="n">
        <v>0.85301227080764</v>
      </c>
      <c r="C58" s="1" t="n">
        <v>0.846569350289584</v>
      </c>
      <c r="D58" s="1" t="n">
        <v>0.821053723330557</v>
      </c>
    </row>
    <row r="59" customFormat="false" ht="12.8" hidden="false" customHeight="false" outlineLevel="0" collapsed="false">
      <c r="A59" s="5" t="n">
        <v>25</v>
      </c>
      <c r="B59" s="1" t="n">
        <v>0.727945465577406</v>
      </c>
      <c r="C59" s="1" t="n">
        <v>0.736292798571547</v>
      </c>
      <c r="D59" s="1" t="n">
        <v>0.697201511529907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2026-02-20T16:34:28Z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
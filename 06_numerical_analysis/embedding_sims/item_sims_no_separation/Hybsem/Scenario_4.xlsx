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4_hybsem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<sst xmlns="http://schemas.openxmlformats.org/spreadsheetml/2006/main" count="944" uniqueCount="142">
  <si>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</si>
  <si>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</si>
  <si>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</si>
  <si>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</si>
  <si>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</si>
  <si>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</si>
  <si>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</si>
  <si>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</si>
  <si>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</si>
  <si>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</si>
  <si>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</si>
  <si>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</si>
  <si>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</si>
  <si>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average activation delta</t>
  </si>
  <si>
    <t xml:space="preserve">correlation weights / activation delta</t>
  </si>
  <si>
    <t xml:space="preserve">p</t>
  </si>
  <si>
    <t xml:space="preserve">b6424ab5-3810-4821-bb37-705e70e16d51</t>
  </si>
  <si>
    <t xml:space="preserve">cmjclnfno001uzcp2y4zd603d</t>
  </si>
  <si>
    <t xml:space="preserve">cmjclob32002bzcp2kgfwh6r4</t>
  </si>
  <si>
    <t xml:space="preserve">hybrid_v3_5_semantic</t>
  </si>
  <si>
    <t xml:space="preserve">Scenario_4</t>
  </si>
  <si>
    <t xml:space="preserve">practicality_and_feasibility</t>
  </si>
  <si>
    <t xml:space="preserve">identity</t>
  </si>
  <si>
    <t xml:space="preserve">imagination_and_possibility</t>
  </si>
  <si>
    <t xml:space="preserve">mathematics_computer_science_engineering</t>
  </si>
  <si>
    <t xml:space="preserve">affective_interface</t>
  </si>
  <si>
    <t xml:space="preserve">truth_and_fact</t>
  </si>
  <si>
    <t xml:space="preserve">9c65cf22-8589-4aa1-898c-056765a7583a</t>
  </si>
  <si>
    <t xml:space="preserve">cmjclogln002fzcp227r5aikc</t>
  </si>
  <si>
    <t xml:space="preserve">cmjclp4gl002wzcp2r169mt0v</t>
  </si>
  <si>
    <t xml:space="preserve">68e7ac55-e2a8-4489-a061-ecaa7d508eb6</t>
  </si>
  <si>
    <t xml:space="preserve">cmjclqakd0030zcp2uoyrrwxo</t>
  </si>
  <si>
    <t xml:space="preserve">cmjclqw62003hzcp24dxswbxd</t>
  </si>
  <si>
    <t xml:space="preserve">sovereignty</t>
  </si>
  <si>
    <t xml:space="preserve">053cd2d0-d8b4-40c2-8f09-f29c0ba1c298</t>
  </si>
  <si>
    <t xml:space="preserve">cmjclr7dr003lzcp2efe75u1u</t>
  </si>
  <si>
    <t xml:space="preserve">cmjclrtw50042zcp24pbwzuq5</t>
  </si>
  <si>
    <t xml:space="preserve">6f7a34b6-7938-4770-a40e-1fc616601bf8</t>
  </si>
  <si>
    <t xml:space="preserve">cmjcls6ie0046zcp28h7tuav3</t>
  </si>
  <si>
    <t xml:space="preserve">cmjclsoi3004nzcp2d9x98e5t</t>
  </si>
  <si>
    <t xml:space="preserve">metaphorical_scaffolding</t>
  </si>
  <si>
    <t xml:space="preserve">ed4938bc-c865-4a5f-9756-9ccc72b7eb4c</t>
  </si>
  <si>
    <t xml:space="preserve">cmjclt8hd004rzcp2yq1apeur</t>
  </si>
  <si>
    <t xml:space="preserve">cmjclu0ku0058zcp2o65k1xk4</t>
  </si>
  <si>
    <t xml:space="preserve">temporal_dynamics</t>
  </si>
  <si>
    <t xml:space="preserve">450ee9a5-146a-4cbb-ba8f-fc7ed0074dd9</t>
  </si>
  <si>
    <t xml:space="preserve">cmjcluhp3005czcp2zsibrj17</t>
  </si>
  <si>
    <t xml:space="preserve">cmjclv17u005tzcp2lg8jxw0a</t>
  </si>
  <si>
    <t xml:space="preserve">d3c45fc4-f6ac-4f73-857a-ee514ce997cd</t>
  </si>
  <si>
    <t xml:space="preserve">cmjclvcl9005xzcp2oxmq54bw</t>
  </si>
  <si>
    <t xml:space="preserve">cmjclw0gq006ezcp2v05feo6e</t>
  </si>
  <si>
    <t xml:space="preserve">cc4f819e-d4c2-4d5d-87a8-da19d39c74af</t>
  </si>
  <si>
    <t xml:space="preserve">cmjclwa06006izcp2716emkwn</t>
  </si>
  <si>
    <t xml:space="preserve">cmjclwxby006zzcp2gwb95fo2</t>
  </si>
  <si>
    <t xml:space="preserve">freedom_and_limitations</t>
  </si>
  <si>
    <t xml:space="preserve">07a141e6-9357-4ca4-9510-8da1a71a78b8</t>
  </si>
  <si>
    <t xml:space="preserve">cmjclx7sj0073zcp2p6wsw6d6</t>
  </si>
  <si>
    <t xml:space="preserve">cmjclxi3x007kzcp2oksxj99l</t>
  </si>
  <si>
    <t xml:space="preserve">0b58e596-c0f1-43f9-8844-56531d7affd8</t>
  </si>
  <si>
    <t xml:space="preserve">cmjclxua7007ozcp2n75rlepa</t>
  </si>
  <si>
    <t xml:space="preserve">cmjclycii0085zcp2idse43tt</t>
  </si>
  <si>
    <t xml:space="preserve">f25034e0-d850-4bc5-9264-52ab9bfaf7c6</t>
  </si>
  <si>
    <t xml:space="preserve">cmjclysfm0089zcp2b9ylr00u</t>
  </si>
  <si>
    <t xml:space="preserve">cmjclzcod008qzcp2jx20y99q</t>
  </si>
  <si>
    <t xml:space="preserve">2e7d2dae-9f9e-49cc-b839-e67fef8fe3f5</t>
  </si>
  <si>
    <t xml:space="preserve">cmjcm0ddm008uzcp2nijd40ny</t>
  </si>
  <si>
    <t xml:space="preserve">cmjcm0zcj009bzcp2qi06gvzf</t>
  </si>
  <si>
    <t xml:space="preserve">eaf1dc02-2b43-43b0-b10c-e2df5bc9dbe9</t>
  </si>
  <si>
    <t xml:space="preserve">cmjcm1hag009fzcp2gmw9m7fz</t>
  </si>
  <si>
    <t xml:space="preserve">cmjcm230g009wzcp2lhk92umc</t>
  </si>
  <si>
    <t xml:space="preserve">6b9a52dc-f3b7-4e32-885e-b7f89ab22c21</t>
  </si>
  <si>
    <t xml:space="preserve">cmjcm2brb00a0zcp2kevdb7zb</t>
  </si>
  <si>
    <t xml:space="preserve">cmjcm330s00ahzcp2zbm4k11m</t>
  </si>
  <si>
    <t xml:space="preserve">fd32c4ca-5e06-4d8b-80a5-028ac0ed9343</t>
  </si>
  <si>
    <t xml:space="preserve">cmjcm3py700alzcp2mbf4dyat</t>
  </si>
  <si>
    <t xml:space="preserve">cmjcm4bex00b2zcp2d84ktu43</t>
  </si>
  <si>
    <t xml:space="preserve">365ecff9-9590-4e02-b25a-d8cee32cfc6d</t>
  </si>
  <si>
    <t xml:space="preserve">cmjcm4pfa00b6zcp2jw4d3xyj</t>
  </si>
  <si>
    <t xml:space="preserve">cmjcm541p00bnzcp2lnl4ddnn</t>
  </si>
  <si>
    <t xml:space="preserve">902eac12-4aa2-4537-885d-d20d5eed5c5a</t>
  </si>
  <si>
    <t xml:space="preserve">cmjcm5ivb00brzcp2n1w4yu9m</t>
  </si>
  <si>
    <t xml:space="preserve">cmjcm64h300c8zcp2x0eyaeub</t>
  </si>
  <si>
    <t xml:space="preserve">bf4886e6-7589-4b1a-acca-f4a6f4af07f7</t>
  </si>
  <si>
    <t xml:space="preserve">cmjcm6njk00cczcp2bn8072ta</t>
  </si>
  <si>
    <t xml:space="preserve">cmjcm768400ctzcp2e70b4o1k</t>
  </si>
  <si>
    <t xml:space="preserve">6acfac8d-f2da-4904-bc4f-ad9f25a10f34</t>
  </si>
  <si>
    <t xml:space="preserve">cmjcm7oc100cxzcp2sdfshzpf</t>
  </si>
  <si>
    <t xml:space="preserve">cmjcm8dhw00dezcp2fwk6abrg</t>
  </si>
  <si>
    <t xml:space="preserve">e1ba4a51-dd2b-4b86-b47d-84a6ca5b07f4</t>
  </si>
  <si>
    <t xml:space="preserve">cmjcm8qeo00dizcp2c5kanznj</t>
  </si>
  <si>
    <t xml:space="preserve">cmjcm9bx200dzzcp2hmvjym38</t>
  </si>
  <si>
    <t xml:space="preserve">c2111155-8ac1-43a4-94b9-6e1d5682ca2b</t>
  </si>
  <si>
    <t xml:space="preserve">cmjcm9rd900e3zcp2x55fw753</t>
  </si>
  <si>
    <t xml:space="preserve">cmjcmaaff00ekzcp2ot54h08k</t>
  </si>
  <si>
    <t xml:space="preserve">d1a14a3b-7489-494d-9ddd-51fd39ab6f4e</t>
  </si>
  <si>
    <t xml:space="preserve">cmjcmalmm00eozcp2crj45xuy</t>
  </si>
  <si>
    <t xml:space="preserve">cmjcmb2uf00f5zcp2fpvyd0n7</t>
  </si>
  <si>
    <t xml:space="preserve">9d84919c-1134-4b57-9561-05fbec16191c</t>
  </si>
  <si>
    <t xml:space="preserve">cmjcmbjd200f9zcp2tcl281u3</t>
  </si>
  <si>
    <t xml:space="preserve">cmjcmc40o00fqzcp2mhhk6ezj</t>
  </si>
  <si>
    <t xml:space="preserve">0d76a0d0-8301-4ad8-b886-59fddb4a1e75</t>
  </si>
  <si>
    <t xml:space="preserve">cmjcmcfzl00fuzcp2r915meev</t>
  </si>
  <si>
    <t xml:space="preserve">cmjcmcss800gbzcp2lw20djco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</si>
  <si>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</si>
  <si>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</si>
  <si>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</si>
  <si>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</si>
  <si>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</si>
  <si>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</si>
  <si>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hybsem</t>
  </si>
  <si>
    <t xml:space="preserve">control</t>
  </si>
  <si>
    <t xml:space="preserve">std.ac15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</si>
  <si>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</si>
  <si>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</si>
  <si>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</si>
  <si>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</si>
  <si>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</si>
  <si>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scenario</t>
  </si>
  <si>
    <t xml:space="preserve">Average control</t>
  </si>
  <si>
    <t xml:space="preserve">General</t>
  </si>
  <si>
    <t xml:space="preserve">ac15p</t>
  </si>
  <si>
    <t xml:space="preserve">hybrid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</si>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</sst>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0.000000;[RED]\-0.000000"/>
    <numFmt numFmtId="165" formatCode="0;[RED]\-0"/>
    <numFmt numFmtId="166" formatCode="General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6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0.000000;[RED]\-0.000000</c:formatCode>
                <c:ptCount val="25"/>
                <c:pt idx="0">
                  <c:v>0.802858105976441</c:v>
                </c:pt>
                <c:pt idx="1">
                  <c:v>0.723830722485877</c:v>
                </c:pt>
                <c:pt idx="2">
                  <c:v>0.720096923539769</c:v>
                </c:pt>
                <c:pt idx="3">
                  <c:v>0.744563645027981</c:v>
                </c:pt>
                <c:pt idx="4">
                  <c:v>0.67114667173556</c:v>
                </c:pt>
                <c:pt idx="5">
                  <c:v>0.740698706746506</c:v>
                </c:pt>
                <c:pt idx="6">
                  <c:v>0.773772436552573</c:v>
                </c:pt>
                <c:pt idx="7">
                  <c:v>0.669131289751387</c:v>
                </c:pt>
                <c:pt idx="8">
                  <c:v>0.76936357772334</c:v>
                </c:pt>
                <c:pt idx="9">
                  <c:v>0.795393600984621</c:v>
                </c:pt>
                <c:pt idx="10">
                  <c:v>0.750280009673556</c:v>
                </c:pt>
                <c:pt idx="11">
                  <c:v>0.791112051354437</c:v>
                </c:pt>
                <c:pt idx="12">
                  <c:v>0.684900718861709</c:v>
                </c:pt>
                <c:pt idx="13">
                  <c:v>0.81196411023973</c:v>
                </c:pt>
                <c:pt idx="14">
                  <c:v>0.793315446960825</c:v>
                </c:pt>
                <c:pt idx="15">
                  <c:v>0.677622741253111</c:v>
                </c:pt>
                <c:pt idx="16">
                  <c:v>0.775090547764</c:v>
                </c:pt>
                <c:pt idx="17">
                  <c:v>0.608910195539342</c:v>
                </c:pt>
                <c:pt idx="18">
                  <c:v>0.816339008116756</c:v>
                </c:pt>
                <c:pt idx="19">
                  <c:v>0.675912922731983</c:v>
                </c:pt>
                <c:pt idx="20">
                  <c:v>0.748125732839088</c:v>
                </c:pt>
                <c:pt idx="21">
                  <c:v>0.66618628675421</c:v>
                </c:pt>
                <c:pt idx="22">
                  <c:v>0.757211026307674</c:v>
                </c:pt>
                <c:pt idx="23">
                  <c:v>0.74821765393045</c:v>
                </c:pt>
                <c:pt idx="24">
                  <c:v>0.748732725295858</c:v>
                </c:pt>
              </c:numCache>
            </c:numRef>
          </c:yVal>
          <c:smooth val="0"/>
        </c:ser>
        <c:axId val="99627796"/>
        <c:axId val="77699666"/>
      </c:scatterChart>
      <c:valAx>
        <c:axId val="996277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699666"/>
        <c:crosses val="autoZero"/>
        <c:crossBetween val="midCat"/>
      </c:valAx>
      <c:valAx>
        <c:axId val="776996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62779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inter_system_stats!$B$35:$B$59</c:f>
              <c:numCache>
                <c:formatCode>0.000000;[RED]\-0.000000</c:formatCode>
                <c:ptCount val="25"/>
                <c:pt idx="0">
                  <c:v>0.782943341241136</c:v>
                </c:pt>
                <c:pt idx="1">
                  <c:v>0.72616787514369</c:v>
                </c:pt>
                <c:pt idx="2">
                  <c:v>0.762384843564062</c:v>
                </c:pt>
                <c:pt idx="3">
                  <c:v>0.703293963123335</c:v>
                </c:pt>
                <c:pt idx="4">
                  <c:v>0.729690702766813</c:v>
                </c:pt>
                <c:pt idx="5">
                  <c:v>0.752076127330993</c:v>
                </c:pt>
                <c:pt idx="6">
                  <c:v>0.811772559323065</c:v>
                </c:pt>
                <c:pt idx="7">
                  <c:v>0.718329243982785</c:v>
                </c:pt>
                <c:pt idx="8">
                  <c:v>0.750898507673254</c:v>
                </c:pt>
                <c:pt idx="9">
                  <c:v>0.712335367494729</c:v>
                </c:pt>
                <c:pt idx="10">
                  <c:v>0.77617002993037</c:v>
                </c:pt>
                <c:pt idx="11">
                  <c:v>0.770418007906113</c:v>
                </c:pt>
                <c:pt idx="12">
                  <c:v>0.687181835442281</c:v>
                </c:pt>
                <c:pt idx="13">
                  <c:v>0.81381364646817</c:v>
                </c:pt>
                <c:pt idx="14">
                  <c:v>0.78154173279719</c:v>
                </c:pt>
                <c:pt idx="15">
                  <c:v>0.679973262997131</c:v>
                </c:pt>
                <c:pt idx="16">
                  <c:v>0.804539740964931</c:v>
                </c:pt>
                <c:pt idx="17">
                  <c:v>0.575788380252692</c:v>
                </c:pt>
                <c:pt idx="18">
                  <c:v>0.808293439836629</c:v>
                </c:pt>
                <c:pt idx="19">
                  <c:v>0.631098700615939</c:v>
                </c:pt>
                <c:pt idx="20">
                  <c:v>0.723521456744309</c:v>
                </c:pt>
                <c:pt idx="21">
                  <c:v>0.667636089020494</c:v>
                </c:pt>
                <c:pt idx="22">
                  <c:v>0.729145136576755</c:v>
                </c:pt>
                <c:pt idx="23">
                  <c:v>0.768909591560026</c:v>
                </c:pt>
                <c:pt idx="24">
                  <c:v>0.694335761858647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inter_system_stats!$C$35:$C$59</c:f>
              <c:numCache>
                <c:formatCode>0.000000;[RED]\-0.000000</c:formatCode>
                <c:ptCount val="25"/>
                <c:pt idx="0">
                  <c:v>0.796298769133089</c:v>
                </c:pt>
                <c:pt idx="1">
                  <c:v>0.739558549996658</c:v>
                </c:pt>
                <c:pt idx="2">
                  <c:v>0.739544897773702</c:v>
                </c:pt>
                <c:pt idx="3">
                  <c:v>0.743029391601184</c:v>
                </c:pt>
                <c:pt idx="4">
                  <c:v>0.725502046355756</c:v>
                </c:pt>
                <c:pt idx="5">
                  <c:v>0.74855685096753</c:v>
                </c:pt>
                <c:pt idx="6">
                  <c:v>0.734138467252432</c:v>
                </c:pt>
                <c:pt idx="7">
                  <c:v>0.668701341307149</c:v>
                </c:pt>
                <c:pt idx="8">
                  <c:v>0.786880036989265</c:v>
                </c:pt>
                <c:pt idx="9">
                  <c:v>0.80994865911664</c:v>
                </c:pt>
                <c:pt idx="10">
                  <c:v>0.690171891444283</c:v>
                </c:pt>
                <c:pt idx="11">
                  <c:v>0.749125347769507</c:v>
                </c:pt>
                <c:pt idx="12">
                  <c:v>0.677480782400821</c:v>
                </c:pt>
                <c:pt idx="13">
                  <c:v>0.792919049793641</c:v>
                </c:pt>
                <c:pt idx="14">
                  <c:v>0.800884410132615</c:v>
                </c:pt>
                <c:pt idx="15">
                  <c:v>0.645399166816264</c:v>
                </c:pt>
                <c:pt idx="16">
                  <c:v>0.773016224974695</c:v>
                </c:pt>
                <c:pt idx="17">
                  <c:v>0.583045440245199</c:v>
                </c:pt>
                <c:pt idx="18">
                  <c:v>0.795481203585273</c:v>
                </c:pt>
                <c:pt idx="19">
                  <c:v>0.652507768318238</c:v>
                </c:pt>
                <c:pt idx="20">
                  <c:v>0.613427900388095</c:v>
                </c:pt>
                <c:pt idx="21">
                  <c:v>0.656999422835807</c:v>
                </c:pt>
                <c:pt idx="22">
                  <c:v>0.779435389877834</c:v>
                </c:pt>
                <c:pt idx="23">
                  <c:v>0.795672429591334</c:v>
                </c:pt>
                <c:pt idx="24">
                  <c:v>0.695664418244049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inter_system_stats!$D$34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inter_system_stats!$D$35:$D$59</c:f>
              <c:numCache>
                <c:formatCode>0.000000;[RED]\-0.000000</c:formatCode>
                <c:ptCount val="25"/>
                <c:pt idx="0">
                  <c:v>0.802858105976441</c:v>
                </c:pt>
                <c:pt idx="1">
                  <c:v>0.723830722485877</c:v>
                </c:pt>
                <c:pt idx="2">
                  <c:v>0.720096923539769</c:v>
                </c:pt>
                <c:pt idx="3">
                  <c:v>0.744563645027981</c:v>
                </c:pt>
                <c:pt idx="4">
                  <c:v>0.67114667173556</c:v>
                </c:pt>
                <c:pt idx="5">
                  <c:v>0.740698706746506</c:v>
                </c:pt>
                <c:pt idx="6">
                  <c:v>0.773772436552573</c:v>
                </c:pt>
                <c:pt idx="7">
                  <c:v>0.669131289751387</c:v>
                </c:pt>
                <c:pt idx="8">
                  <c:v>0.76936357772334</c:v>
                </c:pt>
                <c:pt idx="9">
                  <c:v>0.795393600984621</c:v>
                </c:pt>
                <c:pt idx="10">
                  <c:v>0.750280009673556</c:v>
                </c:pt>
                <c:pt idx="11">
                  <c:v>0.791112051354437</c:v>
                </c:pt>
                <c:pt idx="12">
                  <c:v>0.684900718861709</c:v>
                </c:pt>
                <c:pt idx="13">
                  <c:v>0.81196411023973</c:v>
                </c:pt>
                <c:pt idx="14">
                  <c:v>0.793315446960825</c:v>
                </c:pt>
                <c:pt idx="15">
                  <c:v>0.677622741253111</c:v>
                </c:pt>
                <c:pt idx="16">
                  <c:v>0.775090547764</c:v>
                </c:pt>
                <c:pt idx="17">
                  <c:v>0.608910195539342</c:v>
                </c:pt>
                <c:pt idx="18">
                  <c:v>0.816339008116756</c:v>
                </c:pt>
                <c:pt idx="19">
                  <c:v>0.675912922731983</c:v>
                </c:pt>
                <c:pt idx="20">
                  <c:v>0.748125732839088</c:v>
                </c:pt>
                <c:pt idx="21">
                  <c:v>0.66618628675421</c:v>
                </c:pt>
                <c:pt idx="22">
                  <c:v>0.757211026307674</c:v>
                </c:pt>
                <c:pt idx="23">
                  <c:v>0.74821765393045</c:v>
                </c:pt>
                <c:pt idx="24">
                  <c:v>0.748732725295858</c:v>
                </c:pt>
              </c:numCache>
            </c:numRef>
          </c:yVal>
          <c:smooth val="0"/>
        </c:ser>
        <c:axId val="22738658"/>
        <c:axId val="7517172"/>
      </c:scatterChart>
      <c:valAx>
        <c:axId val="227386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517172"/>
        <c:crosses val="autoZero"/>
        <c:crossBetween val="midCat"/>
      </c:valAx>
      <c:valAx>
        <c:axId val="75171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7386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288720</xdr:colOff>
      <xdr:row>2</xdr:row>
      <xdr:rowOff>127800</xdr:rowOff>
    </xdr:from>
    <xdr:to>
      <xdr:col>10</xdr:col>
      <xdr:colOff>357480</xdr:colOff>
      <xdr:row>22</xdr:row>
      <xdr:rowOff>115560</xdr:rowOff>
    </xdr:to>
    <xdr:graphicFrame>
      <xdr:nvGraphicFramePr>
        <xdr:cNvPr id="1" name=""/>
        <xdr:cNvGraphicFramePr/>
      </xdr:nvGraphicFramePr>
      <xdr:xfrm>
        <a:off x="2647080" y="452880"/>
        <a:ext cx="509616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28440</xdr:colOff>
      <xdr:row>48</xdr:row>
      <xdr:rowOff>20160</xdr:rowOff>
    </xdr:from>
    <xdr:to>
      <xdr:col>9</xdr:col>
      <xdr:colOff>242280</xdr:colOff>
      <xdr:row>68</xdr:row>
      <xdr:rowOff>7920</xdr:rowOff>
    </xdr:to>
    <xdr:graphicFrame>
      <xdr:nvGraphicFramePr>
        <xdr:cNvPr id="2" name=""/>
        <xdr:cNvGraphicFramePr/>
      </xdr:nvGraphicFramePr>
      <xdr:xfrm>
        <a:off x="4079880" y="7826760"/>
        <a:ext cx="510840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1" sqref="E4:L4 Q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19.84"/>
    <col collapsed="false" customWidth="true" hidden="false" outlineLevel="0" max="5" min="5" style="1" width="13.09"/>
    <col collapsed="false" customWidth="false" hidden="false" outlineLevel="0" max="6" min="6" style="2" width="10.5"/>
    <col collapsed="false" customWidth="true" hidden="false" outlineLevel="0" max="7" min="7" style="3" width="41.52"/>
    <col collapsed="false" customWidth="true" hidden="false" outlineLevel="0" max="8" min="8" style="1" width="9.48"/>
    <col collapsed="false" customWidth="true" hidden="false" outlineLevel="0" max="9" min="9" style="1" width="10.99"/>
    <col collapsed="false" customWidth="true" hidden="false" outlineLevel="0" max="10" min="10" style="1" width="12.63"/>
    <col collapsed="false" customWidth="true" hidden="false" outlineLevel="0" max="12" min="11" style="1" width="18.79"/>
    <col collapsed="false" customWidth="true" hidden="false" outlineLevel="0" max="16" min="16" style="1" width="12.14"/>
    <col collapsed="false" customWidth="true" hidden="false" outlineLevel="0" max="18" min="17" style="1" width="21.62"/>
    <col collapsed="false" customWidth="true" hidden="false" outlineLevel="0" max="19" min="19" style="1" width="18.93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4" t="s">
        <v>12</v>
      </c>
      <c r="Q1" s="4" t="s">
        <v>13</v>
      </c>
      <c r="R1" s="4" t="s">
        <v>14</v>
      </c>
      <c r="S1" s="5" t="s">
        <v>15</v>
      </c>
    </row>
    <row r="2" customFormat="false" ht="15" hidden="false" customHeight="false" outlineLevel="0" collapsed="false">
      <c r="P2" s="6" t="n">
        <f aca="false">COUNT(K3:K149)</f>
        <v>147</v>
      </c>
      <c r="Q2" s="6" t="n">
        <f aca="false">AVERAGE(K3:K149)</f>
        <v>0.0489381426726636</v>
      </c>
      <c r="R2" s="6" t="n">
        <f aca="false">CORREL(H3:H149,K3:K149)</f>
        <v>-0.00449338363769033</v>
      </c>
      <c r="S2" s="6" t="n">
        <v>0.96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n">
        <v>0</v>
      </c>
      <c r="G3" s="3" t="s">
        <v>21</v>
      </c>
      <c r="H3" s="1" t="n">
        <v>0.1996</v>
      </c>
      <c r="I3" s="1" t="n">
        <v>0.319192071816874</v>
      </c>
      <c r="J3" s="1" t="n">
        <v>0.399885863443457</v>
      </c>
      <c r="K3" s="1" t="n">
        <f aca="false">J3-I3</f>
        <v>0.0806937916265833</v>
      </c>
      <c r="L3" s="1" t="n">
        <v>0.802858105976441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n">
        <v>0</v>
      </c>
      <c r="G4" s="3" t="s">
        <v>22</v>
      </c>
      <c r="H4" s="1" t="n">
        <v>0.1924</v>
      </c>
      <c r="I4" s="1" t="n">
        <v>0.307725599265945</v>
      </c>
      <c r="J4" s="1" t="n">
        <v>0.345226308516642</v>
      </c>
      <c r="K4" s="1" t="n">
        <f aca="false">J4-I4</f>
        <v>0.0375007092506977</v>
      </c>
      <c r="L4" s="1" t="n">
        <v>0.802858105976441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2" t="n">
        <v>0</v>
      </c>
      <c r="G5" s="3" t="s">
        <v>23</v>
      </c>
      <c r="H5" s="1" t="n">
        <v>0.1764</v>
      </c>
      <c r="I5" s="1" t="n">
        <v>0.282048346997445</v>
      </c>
      <c r="J5" s="1" t="n">
        <v>0.342453484447987</v>
      </c>
      <c r="K5" s="1" t="n">
        <f aca="false">J5-I5</f>
        <v>0.0604051374505424</v>
      </c>
      <c r="L5" s="1" t="n">
        <v>0.802858105976441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2" t="n">
        <v>0</v>
      </c>
      <c r="G6" s="3" t="s">
        <v>24</v>
      </c>
      <c r="H6" s="1" t="n">
        <v>0.172</v>
      </c>
      <c r="I6" s="1" t="n">
        <v>0.274967513384948</v>
      </c>
      <c r="J6" s="1" t="n">
        <v>0.3037758664833</v>
      </c>
      <c r="K6" s="1" t="n">
        <f aca="false">J6-I6</f>
        <v>0.0288083530983513</v>
      </c>
      <c r="L6" s="1" t="n">
        <v>0.802858105976441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2" t="n">
        <v>0</v>
      </c>
      <c r="G7" s="3" t="s">
        <v>25</v>
      </c>
      <c r="H7" s="1" t="n">
        <v>0.1596</v>
      </c>
      <c r="I7" s="1" t="n">
        <v>0.255248991856076</v>
      </c>
      <c r="J7" s="1" t="n">
        <v>0.356610100030255</v>
      </c>
      <c r="K7" s="1" t="n">
        <f aca="false">J7-I7</f>
        <v>0.101361108174179</v>
      </c>
      <c r="L7" s="1" t="n">
        <v>0.802858105976441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2" t="n">
        <v>0</v>
      </c>
      <c r="G8" s="3" t="s">
        <v>26</v>
      </c>
      <c r="H8" s="1" t="n">
        <v>0.1</v>
      </c>
      <c r="I8" s="1" t="n">
        <v>0.188935647167882</v>
      </c>
      <c r="J8" s="1" t="n">
        <v>0.2309624334864</v>
      </c>
      <c r="K8" s="1" t="n">
        <f aca="false">J8-I8</f>
        <v>0.0420267863185175</v>
      </c>
      <c r="L8" s="1" t="n">
        <v>0.802858105976441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2" t="n">
        <v>2</v>
      </c>
      <c r="G9" s="3" t="s">
        <v>21</v>
      </c>
      <c r="H9" s="1" t="n">
        <v>0.2092</v>
      </c>
      <c r="I9" s="1" t="n">
        <v>0.380432950147723</v>
      </c>
      <c r="J9" s="1" t="n">
        <v>0.394951643905374</v>
      </c>
      <c r="K9" s="1" t="n">
        <f aca="false">J9-I9</f>
        <v>0.0145186937576512</v>
      </c>
      <c r="L9" s="1" t="n">
        <v>0.723830722485877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2" t="n">
        <v>2</v>
      </c>
      <c r="G10" s="3" t="s">
        <v>22</v>
      </c>
      <c r="H10" s="1" t="n">
        <v>0.1824</v>
      </c>
      <c r="I10" s="1" t="n">
        <v>0.331627133099532</v>
      </c>
      <c r="J10" s="1" t="n">
        <v>0.334617139165188</v>
      </c>
      <c r="K10" s="1" t="n">
        <f aca="false">J10-I10</f>
        <v>0.00299000606565614</v>
      </c>
      <c r="L10" s="1" t="n">
        <v>0.723830722485877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2" t="n">
        <v>2</v>
      </c>
      <c r="G11" s="3" t="s">
        <v>25</v>
      </c>
      <c r="H11" s="1" t="n">
        <v>0.1775</v>
      </c>
      <c r="I11" s="1" t="n">
        <v>0.32270190033389</v>
      </c>
      <c r="J11" s="1" t="n">
        <v>0.394585423406254</v>
      </c>
      <c r="K11" s="1" t="n">
        <f aca="false">J11-I11</f>
        <v>0.0718835230723632</v>
      </c>
      <c r="L11" s="1" t="n">
        <v>0.723830722485877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2" t="n">
        <v>2</v>
      </c>
      <c r="G12" s="3" t="s">
        <v>23</v>
      </c>
      <c r="H12" s="1" t="n">
        <v>0.1678</v>
      </c>
      <c r="I12" s="1" t="n">
        <v>0.305029053046118</v>
      </c>
      <c r="J12" s="1" t="n">
        <v>0.342680499119958</v>
      </c>
      <c r="K12" s="1" t="n">
        <f aca="false">J12-I12</f>
        <v>0.0376514460738402</v>
      </c>
      <c r="L12" s="1" t="n">
        <v>0.723830722485877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2" t="n">
        <v>2</v>
      </c>
      <c r="G13" s="3" t="s">
        <v>24</v>
      </c>
      <c r="H13" s="1" t="n">
        <v>0.1632</v>
      </c>
      <c r="I13" s="1" t="n">
        <v>0.296661835448429</v>
      </c>
      <c r="J13" s="1" t="n">
        <v>0.325128620088661</v>
      </c>
      <c r="K13" s="1" t="n">
        <f aca="false">J13-I13</f>
        <v>0.0284667846402319</v>
      </c>
      <c r="L13" s="1" t="n">
        <v>0.723830722485877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2" t="n">
        <v>2</v>
      </c>
      <c r="G14" s="3" t="s">
        <v>26</v>
      </c>
      <c r="H14" s="1" t="n">
        <v>0.1</v>
      </c>
      <c r="I14" s="1" t="n">
        <v>0.232324626240803</v>
      </c>
      <c r="J14" s="1" t="n">
        <v>0.304861457106961</v>
      </c>
      <c r="K14" s="1" t="n">
        <f aca="false">J14-I14</f>
        <v>0.072536830866158</v>
      </c>
      <c r="L14" s="1" t="n">
        <v>0.723830722485877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1" t="s">
        <v>32</v>
      </c>
      <c r="D15" s="1" t="s">
        <v>19</v>
      </c>
      <c r="E15" s="1" t="s">
        <v>20</v>
      </c>
      <c r="F15" s="2" t="n">
        <v>4</v>
      </c>
      <c r="G15" s="3" t="s">
        <v>21</v>
      </c>
      <c r="H15" s="1" t="n">
        <v>0.1922</v>
      </c>
      <c r="I15" s="1" t="n">
        <v>0.307064371777523</v>
      </c>
      <c r="J15" s="1" t="n">
        <v>0.379143895098288</v>
      </c>
      <c r="K15" s="1" t="n">
        <f aca="false">J15-I15</f>
        <v>0.0720795233207652</v>
      </c>
      <c r="L15" s="1" t="n">
        <v>0.720096923539769</v>
      </c>
    </row>
    <row r="16" customFormat="false" ht="15" hidden="false" customHeight="false" outlineLevel="0" collapsed="false">
      <c r="A16" s="1" t="s">
        <v>30</v>
      </c>
      <c r="B16" s="1" t="s">
        <v>31</v>
      </c>
      <c r="C16" s="1" t="s">
        <v>32</v>
      </c>
      <c r="D16" s="1" t="s">
        <v>19</v>
      </c>
      <c r="E16" s="1" t="s">
        <v>20</v>
      </c>
      <c r="F16" s="2" t="n">
        <v>4</v>
      </c>
      <c r="G16" s="3" t="s">
        <v>33</v>
      </c>
      <c r="H16" s="1" t="n">
        <v>0.1855</v>
      </c>
      <c r="I16" s="1" t="n">
        <v>0.29632235394669</v>
      </c>
      <c r="J16" s="1" t="n">
        <v>0.356527205405854</v>
      </c>
      <c r="K16" s="1" t="n">
        <f aca="false">J16-I16</f>
        <v>0.0602048514591639</v>
      </c>
      <c r="L16" s="1" t="n">
        <v>0.720096923539769</v>
      </c>
    </row>
    <row r="17" customFormat="false" ht="15" hidden="false" customHeight="false" outlineLevel="0" collapsed="false">
      <c r="A17" s="1" t="s">
        <v>30</v>
      </c>
      <c r="B17" s="1" t="s">
        <v>31</v>
      </c>
      <c r="C17" s="1" t="s">
        <v>32</v>
      </c>
      <c r="D17" s="1" t="s">
        <v>19</v>
      </c>
      <c r="E17" s="1" t="s">
        <v>20</v>
      </c>
      <c r="F17" s="2" t="n">
        <v>4</v>
      </c>
      <c r="G17" s="3" t="s">
        <v>25</v>
      </c>
      <c r="H17" s="1" t="n">
        <v>0.1774</v>
      </c>
      <c r="I17" s="1" t="n">
        <v>0.283385359026991</v>
      </c>
      <c r="J17" s="1" t="n">
        <v>0.398063803346924</v>
      </c>
      <c r="K17" s="1" t="n">
        <f aca="false">J17-I17</f>
        <v>0.114678444319932</v>
      </c>
      <c r="L17" s="1" t="n">
        <v>0.720096923539769</v>
      </c>
    </row>
    <row r="18" customFormat="false" ht="15" hidden="false" customHeight="false" outlineLevel="0" collapsed="false">
      <c r="A18" s="1" t="s">
        <v>30</v>
      </c>
      <c r="B18" s="1" t="s">
        <v>31</v>
      </c>
      <c r="C18" s="1" t="s">
        <v>32</v>
      </c>
      <c r="D18" s="1" t="s">
        <v>19</v>
      </c>
      <c r="E18" s="1" t="s">
        <v>20</v>
      </c>
      <c r="F18" s="2" t="n">
        <v>4</v>
      </c>
      <c r="G18" s="3" t="s">
        <v>23</v>
      </c>
      <c r="H18" s="1" t="n">
        <v>0.1743</v>
      </c>
      <c r="I18" s="1" t="n">
        <v>0.27855658246521</v>
      </c>
      <c r="J18" s="1" t="n">
        <v>0.37540258511422</v>
      </c>
      <c r="K18" s="1" t="n">
        <f aca="false">J18-I18</f>
        <v>0.0968460026490102</v>
      </c>
      <c r="L18" s="1" t="n">
        <v>0.720096923539769</v>
      </c>
    </row>
    <row r="19" customFormat="false" ht="15" hidden="false" customHeight="false" outlineLevel="0" collapsed="false">
      <c r="A19" s="1" t="s">
        <v>30</v>
      </c>
      <c r="B19" s="1" t="s">
        <v>31</v>
      </c>
      <c r="C19" s="1" t="s">
        <v>32</v>
      </c>
      <c r="D19" s="1" t="s">
        <v>19</v>
      </c>
      <c r="E19" s="1" t="s">
        <v>20</v>
      </c>
      <c r="F19" s="2" t="n">
        <v>4</v>
      </c>
      <c r="G19" s="3" t="s">
        <v>22</v>
      </c>
      <c r="H19" s="1" t="n">
        <v>0.1706</v>
      </c>
      <c r="I19" s="1" t="n">
        <v>0.27260728211793</v>
      </c>
      <c r="J19" s="1" t="n">
        <v>0.393122960562409</v>
      </c>
      <c r="K19" s="1" t="n">
        <f aca="false">J19-I19</f>
        <v>0.120515678444478</v>
      </c>
      <c r="L19" s="1" t="n">
        <v>0.720096923539769</v>
      </c>
    </row>
    <row r="20" customFormat="false" ht="15" hidden="false" customHeight="false" outlineLevel="0" collapsed="false">
      <c r="A20" s="1" t="s">
        <v>30</v>
      </c>
      <c r="B20" s="1" t="s">
        <v>31</v>
      </c>
      <c r="C20" s="1" t="s">
        <v>32</v>
      </c>
      <c r="D20" s="1" t="s">
        <v>19</v>
      </c>
      <c r="E20" s="1" t="s">
        <v>20</v>
      </c>
      <c r="F20" s="2" t="n">
        <v>4</v>
      </c>
      <c r="G20" s="3" t="s">
        <v>26</v>
      </c>
      <c r="H20" s="1" t="n">
        <v>0.1</v>
      </c>
      <c r="I20" s="1" t="n">
        <v>0.221301650447845</v>
      </c>
      <c r="J20" s="1" t="n">
        <v>0.273348270176184</v>
      </c>
      <c r="K20" s="1" t="n">
        <f aca="false">J20-I20</f>
        <v>0.0520466197283391</v>
      </c>
      <c r="L20" s="1" t="n">
        <v>0.720096923539769</v>
      </c>
    </row>
    <row r="21" customFormat="false" ht="15" hidden="false" customHeight="false" outlineLevel="0" collapsed="false">
      <c r="A21" s="1" t="s">
        <v>34</v>
      </c>
      <c r="B21" s="1" t="s">
        <v>35</v>
      </c>
      <c r="C21" s="1" t="s">
        <v>36</v>
      </c>
      <c r="D21" s="1" t="s">
        <v>19</v>
      </c>
      <c r="E21" s="1" t="s">
        <v>20</v>
      </c>
      <c r="F21" s="2" t="n">
        <v>6</v>
      </c>
      <c r="G21" s="3" t="s">
        <v>22</v>
      </c>
      <c r="H21" s="1" t="n">
        <v>0.2083</v>
      </c>
      <c r="I21" s="1" t="n">
        <v>0.369439023770103</v>
      </c>
      <c r="J21" s="1" t="n">
        <v>0.323506164793496</v>
      </c>
      <c r="K21" s="1" t="n">
        <f aca="false">J21-I21</f>
        <v>-0.0459328589766073</v>
      </c>
      <c r="L21" s="1" t="n">
        <v>0.744563645027981</v>
      </c>
    </row>
    <row r="22" customFormat="false" ht="15" hidden="false" customHeight="false" outlineLevel="0" collapsed="false">
      <c r="A22" s="1" t="s">
        <v>34</v>
      </c>
      <c r="B22" s="1" t="s">
        <v>35</v>
      </c>
      <c r="C22" s="1" t="s">
        <v>36</v>
      </c>
      <c r="D22" s="1" t="s">
        <v>19</v>
      </c>
      <c r="E22" s="1" t="s">
        <v>20</v>
      </c>
      <c r="F22" s="2" t="n">
        <v>6</v>
      </c>
      <c r="G22" s="3" t="s">
        <v>21</v>
      </c>
      <c r="H22" s="1" t="n">
        <v>0.1877</v>
      </c>
      <c r="I22" s="1" t="n">
        <v>0.332830713133459</v>
      </c>
      <c r="J22" s="1" t="n">
        <v>0.35582565009032</v>
      </c>
      <c r="K22" s="1" t="n">
        <f aca="false">J22-I22</f>
        <v>0.0229949369568608</v>
      </c>
      <c r="L22" s="1" t="n">
        <v>0.744563645027981</v>
      </c>
    </row>
    <row r="23" customFormat="false" ht="15" hidden="false" customHeight="false" outlineLevel="0" collapsed="false">
      <c r="A23" s="1" t="s">
        <v>34</v>
      </c>
      <c r="B23" s="1" t="s">
        <v>35</v>
      </c>
      <c r="C23" s="1" t="s">
        <v>36</v>
      </c>
      <c r="D23" s="1" t="s">
        <v>19</v>
      </c>
      <c r="E23" s="1" t="s">
        <v>20</v>
      </c>
      <c r="F23" s="2" t="n">
        <v>6</v>
      </c>
      <c r="G23" s="3" t="s">
        <v>23</v>
      </c>
      <c r="H23" s="1" t="n">
        <v>0.1742</v>
      </c>
      <c r="I23" s="1" t="n">
        <v>0.308861077853576</v>
      </c>
      <c r="J23" s="1" t="n">
        <v>0.295489521720493</v>
      </c>
      <c r="K23" s="1" t="n">
        <f aca="false">J23-I23</f>
        <v>-0.0133715561330824</v>
      </c>
      <c r="L23" s="1" t="n">
        <v>0.744563645027981</v>
      </c>
    </row>
    <row r="24" customFormat="false" ht="15" hidden="false" customHeight="false" outlineLevel="0" collapsed="false">
      <c r="A24" s="1" t="s">
        <v>34</v>
      </c>
      <c r="B24" s="1" t="s">
        <v>35</v>
      </c>
      <c r="C24" s="1" t="s">
        <v>36</v>
      </c>
      <c r="D24" s="1" t="s">
        <v>19</v>
      </c>
      <c r="E24" s="1" t="s">
        <v>20</v>
      </c>
      <c r="F24" s="2" t="n">
        <v>6</v>
      </c>
      <c r="G24" s="3" t="s">
        <v>24</v>
      </c>
      <c r="H24" s="1" t="n">
        <v>0.165</v>
      </c>
      <c r="I24" s="1" t="n">
        <v>0.292605323526116</v>
      </c>
      <c r="J24" s="1" t="n">
        <v>0.295555055542973</v>
      </c>
      <c r="K24" s="1" t="n">
        <f aca="false">J24-I24</f>
        <v>0.00294973201685678</v>
      </c>
      <c r="L24" s="1" t="n">
        <v>0.744563645027981</v>
      </c>
    </row>
    <row r="25" customFormat="false" ht="15" hidden="false" customHeight="false" outlineLevel="0" collapsed="false">
      <c r="A25" s="1" t="s">
        <v>34</v>
      </c>
      <c r="B25" s="1" t="s">
        <v>35</v>
      </c>
      <c r="C25" s="1" t="s">
        <v>36</v>
      </c>
      <c r="D25" s="1" t="s">
        <v>19</v>
      </c>
      <c r="E25" s="1" t="s">
        <v>20</v>
      </c>
      <c r="F25" s="2" t="n">
        <v>6</v>
      </c>
      <c r="G25" s="3" t="s">
        <v>25</v>
      </c>
      <c r="H25" s="1" t="n">
        <v>0.1648</v>
      </c>
      <c r="I25" s="1" t="n">
        <v>0.29223378150368</v>
      </c>
      <c r="J25" s="1" t="n">
        <v>0.324112288630631</v>
      </c>
      <c r="K25" s="1" t="n">
        <f aca="false">J25-I25</f>
        <v>0.0318785071269504</v>
      </c>
      <c r="L25" s="1" t="n">
        <v>0.744563645027981</v>
      </c>
    </row>
    <row r="26" customFormat="false" ht="15" hidden="false" customHeight="false" outlineLevel="0" collapsed="false">
      <c r="A26" s="1" t="s">
        <v>34</v>
      </c>
      <c r="B26" s="1" t="s">
        <v>35</v>
      </c>
      <c r="C26" s="1" t="s">
        <v>36</v>
      </c>
      <c r="D26" s="1" t="s">
        <v>19</v>
      </c>
      <c r="E26" s="1" t="s">
        <v>20</v>
      </c>
      <c r="F26" s="2" t="n">
        <v>6</v>
      </c>
      <c r="G26" s="3" t="s">
        <v>26</v>
      </c>
      <c r="H26" s="1" t="n">
        <v>0.1</v>
      </c>
      <c r="I26" s="1" t="n">
        <v>0.232695230364863</v>
      </c>
      <c r="J26" s="1" t="n">
        <v>0.246810173964716</v>
      </c>
      <c r="K26" s="1" t="n">
        <f aca="false">J26-I26</f>
        <v>0.0141149435998524</v>
      </c>
      <c r="L26" s="1" t="n">
        <v>0.744563645027981</v>
      </c>
    </row>
    <row r="27" customFormat="false" ht="15" hidden="false" customHeight="false" outlineLevel="0" collapsed="false">
      <c r="A27" s="1" t="s">
        <v>37</v>
      </c>
      <c r="B27" s="1" t="s">
        <v>38</v>
      </c>
      <c r="C27" s="1" t="s">
        <v>39</v>
      </c>
      <c r="D27" s="1" t="s">
        <v>19</v>
      </c>
      <c r="E27" s="1" t="s">
        <v>20</v>
      </c>
      <c r="F27" s="2" t="n">
        <v>8</v>
      </c>
      <c r="G27" s="3" t="s">
        <v>21</v>
      </c>
      <c r="H27" s="1" t="n">
        <v>0.2452</v>
      </c>
      <c r="I27" s="1" t="n">
        <v>0.325212842417724</v>
      </c>
      <c r="J27" s="1" t="n">
        <v>0.410198563914212</v>
      </c>
      <c r="K27" s="1" t="n">
        <f aca="false">J27-I27</f>
        <v>0.0849857214964881</v>
      </c>
      <c r="L27" s="1" t="n">
        <v>0.67114667173556</v>
      </c>
    </row>
    <row r="28" customFormat="false" ht="15" hidden="false" customHeight="false" outlineLevel="0" collapsed="false">
      <c r="A28" s="1" t="s">
        <v>37</v>
      </c>
      <c r="B28" s="1" t="s">
        <v>38</v>
      </c>
      <c r="C28" s="1" t="s">
        <v>39</v>
      </c>
      <c r="D28" s="1" t="s">
        <v>19</v>
      </c>
      <c r="E28" s="1" t="s">
        <v>20</v>
      </c>
      <c r="F28" s="2" t="n">
        <v>8</v>
      </c>
      <c r="G28" s="3" t="s">
        <v>24</v>
      </c>
      <c r="H28" s="1" t="n">
        <v>0.1705</v>
      </c>
      <c r="I28" s="1" t="n">
        <v>0.226106712292351</v>
      </c>
      <c r="J28" s="1" t="n">
        <v>0.290402597378317</v>
      </c>
      <c r="K28" s="1" t="n">
        <f aca="false">J28-I28</f>
        <v>0.0642958850859661</v>
      </c>
      <c r="L28" s="1" t="n">
        <v>0.67114667173556</v>
      </c>
    </row>
    <row r="29" customFormat="false" ht="15" hidden="false" customHeight="false" outlineLevel="0" collapsed="false">
      <c r="A29" s="1" t="s">
        <v>37</v>
      </c>
      <c r="B29" s="1" t="s">
        <v>38</v>
      </c>
      <c r="C29" s="1" t="s">
        <v>39</v>
      </c>
      <c r="D29" s="1" t="s">
        <v>19</v>
      </c>
      <c r="E29" s="1" t="s">
        <v>20</v>
      </c>
      <c r="F29" s="2" t="n">
        <v>8</v>
      </c>
      <c r="G29" s="3" t="s">
        <v>22</v>
      </c>
      <c r="H29" s="1" t="n">
        <v>0.1656</v>
      </c>
      <c r="I29" s="1" t="n">
        <v>0.219642947827027</v>
      </c>
      <c r="J29" s="1" t="n">
        <v>0.291394526886296</v>
      </c>
      <c r="K29" s="1" t="n">
        <f aca="false">J29-I29</f>
        <v>0.0717515790592684</v>
      </c>
      <c r="L29" s="1" t="n">
        <v>0.67114667173556</v>
      </c>
    </row>
    <row r="30" customFormat="false" ht="15" hidden="false" customHeight="false" outlineLevel="0" collapsed="false">
      <c r="A30" s="1" t="s">
        <v>37</v>
      </c>
      <c r="B30" s="1" t="s">
        <v>38</v>
      </c>
      <c r="C30" s="1" t="s">
        <v>39</v>
      </c>
      <c r="D30" s="1" t="s">
        <v>19</v>
      </c>
      <c r="E30" s="1" t="s">
        <v>20</v>
      </c>
      <c r="F30" s="2" t="n">
        <v>8</v>
      </c>
      <c r="G30" s="3" t="s">
        <v>23</v>
      </c>
      <c r="H30" s="1" t="n">
        <v>0.1637</v>
      </c>
      <c r="I30" s="1" t="n">
        <v>0.217186388492196</v>
      </c>
      <c r="J30" s="1" t="n">
        <v>0.325410900972164</v>
      </c>
      <c r="K30" s="1" t="n">
        <f aca="false">J30-I30</f>
        <v>0.108224512479968</v>
      </c>
      <c r="L30" s="1" t="n">
        <v>0.67114667173556</v>
      </c>
    </row>
    <row r="31" customFormat="false" ht="15" hidden="false" customHeight="false" outlineLevel="0" collapsed="false">
      <c r="A31" s="1" t="s">
        <v>37</v>
      </c>
      <c r="B31" s="1" t="s">
        <v>38</v>
      </c>
      <c r="C31" s="1" t="s">
        <v>39</v>
      </c>
      <c r="D31" s="1" t="s">
        <v>19</v>
      </c>
      <c r="E31" s="1" t="s">
        <v>20</v>
      </c>
      <c r="F31" s="2" t="n">
        <v>8</v>
      </c>
      <c r="G31" s="3" t="s">
        <v>40</v>
      </c>
      <c r="H31" s="1" t="n">
        <v>0.155</v>
      </c>
      <c r="I31" s="1" t="n">
        <v>0.205617815238761</v>
      </c>
      <c r="J31" s="1" t="n">
        <v>0.309229589680343</v>
      </c>
      <c r="K31" s="1" t="n">
        <f aca="false">J31-I31</f>
        <v>0.103611774441582</v>
      </c>
      <c r="L31" s="1" t="n">
        <v>0.67114667173556</v>
      </c>
    </row>
    <row r="32" customFormat="false" ht="15" hidden="false" customHeight="false" outlineLevel="0" collapsed="false">
      <c r="A32" s="1" t="s">
        <v>37</v>
      </c>
      <c r="B32" s="1" t="s">
        <v>38</v>
      </c>
      <c r="C32" s="1" t="s">
        <v>39</v>
      </c>
      <c r="D32" s="1" t="s">
        <v>19</v>
      </c>
      <c r="E32" s="1" t="s">
        <v>20</v>
      </c>
      <c r="F32" s="2" t="n">
        <v>8</v>
      </c>
      <c r="G32" s="3" t="s">
        <v>26</v>
      </c>
      <c r="H32" s="1" t="n">
        <v>0.1</v>
      </c>
      <c r="I32" s="1" t="n">
        <v>0.163971056300835</v>
      </c>
      <c r="J32" s="1" t="n">
        <v>0.220667458468521</v>
      </c>
      <c r="K32" s="1" t="n">
        <f aca="false">J32-I32</f>
        <v>0.0566964021676854</v>
      </c>
      <c r="L32" s="1" t="n">
        <v>0.67114667173556</v>
      </c>
    </row>
    <row r="33" customFormat="false" ht="15" hidden="false" customHeight="false" outlineLevel="0" collapsed="false">
      <c r="A33" s="1" t="s">
        <v>41</v>
      </c>
      <c r="B33" s="1" t="s">
        <v>42</v>
      </c>
      <c r="C33" s="1" t="s">
        <v>43</v>
      </c>
      <c r="D33" s="1" t="s">
        <v>19</v>
      </c>
      <c r="E33" s="1" t="s">
        <v>20</v>
      </c>
      <c r="F33" s="2" t="n">
        <v>10</v>
      </c>
      <c r="G33" s="3" t="s">
        <v>21</v>
      </c>
      <c r="H33" s="1" t="n">
        <v>0.2052</v>
      </c>
      <c r="I33" s="1" t="n">
        <v>0.299152187216971</v>
      </c>
      <c r="J33" s="1" t="n">
        <v>0.416519439692501</v>
      </c>
      <c r="K33" s="1" t="n">
        <f aca="false">J33-I33</f>
        <v>0.11736725247553</v>
      </c>
      <c r="L33" s="1" t="n">
        <v>0.740698706746506</v>
      </c>
    </row>
    <row r="34" customFormat="false" ht="15" hidden="false" customHeight="false" outlineLevel="0" collapsed="false">
      <c r="A34" s="1" t="s">
        <v>41</v>
      </c>
      <c r="B34" s="1" t="s">
        <v>42</v>
      </c>
      <c r="C34" s="1" t="s">
        <v>43</v>
      </c>
      <c r="D34" s="1" t="s">
        <v>19</v>
      </c>
      <c r="E34" s="1" t="s">
        <v>20</v>
      </c>
      <c r="F34" s="2" t="n">
        <v>10</v>
      </c>
      <c r="G34" s="3" t="s">
        <v>40</v>
      </c>
      <c r="H34" s="1" t="n">
        <v>0.1752</v>
      </c>
      <c r="I34" s="1" t="n">
        <v>0.255452266580784</v>
      </c>
      <c r="J34" s="1" t="n">
        <v>0.352433136082224</v>
      </c>
      <c r="K34" s="1" t="n">
        <f aca="false">J34-I34</f>
        <v>0.0969808695014393</v>
      </c>
      <c r="L34" s="1" t="n">
        <v>0.740698706746506</v>
      </c>
    </row>
    <row r="35" customFormat="false" ht="15" hidden="false" customHeight="false" outlineLevel="0" collapsed="false">
      <c r="A35" s="1" t="s">
        <v>41</v>
      </c>
      <c r="B35" s="1" t="s">
        <v>42</v>
      </c>
      <c r="C35" s="1" t="s">
        <v>43</v>
      </c>
      <c r="D35" s="1" t="s">
        <v>19</v>
      </c>
      <c r="E35" s="1" t="s">
        <v>20</v>
      </c>
      <c r="F35" s="2" t="n">
        <v>10</v>
      </c>
      <c r="G35" s="3" t="s">
        <v>25</v>
      </c>
      <c r="H35" s="1" t="n">
        <v>0.1747</v>
      </c>
      <c r="I35" s="1" t="n">
        <v>0.254606429590611</v>
      </c>
      <c r="J35" s="1" t="n">
        <v>0.371846909130389</v>
      </c>
      <c r="K35" s="1" t="n">
        <f aca="false">J35-I35</f>
        <v>0.117240479539778</v>
      </c>
      <c r="L35" s="1" t="n">
        <v>0.740698706746506</v>
      </c>
    </row>
    <row r="36" customFormat="false" ht="15" hidden="false" customHeight="false" outlineLevel="0" collapsed="false">
      <c r="A36" s="1" t="s">
        <v>41</v>
      </c>
      <c r="B36" s="1" t="s">
        <v>42</v>
      </c>
      <c r="C36" s="1" t="s">
        <v>43</v>
      </c>
      <c r="D36" s="1" t="s">
        <v>19</v>
      </c>
      <c r="E36" s="1" t="s">
        <v>20</v>
      </c>
      <c r="F36" s="2" t="n">
        <v>10</v>
      </c>
      <c r="G36" s="3" t="s">
        <v>22</v>
      </c>
      <c r="H36" s="1" t="n">
        <v>0.1728</v>
      </c>
      <c r="I36" s="1" t="n">
        <v>0.251892247379011</v>
      </c>
      <c r="J36" s="1" t="n">
        <v>0.347762782455439</v>
      </c>
      <c r="K36" s="1" t="n">
        <f aca="false">J36-I36</f>
        <v>0.0958705350764277</v>
      </c>
      <c r="L36" s="1" t="n">
        <v>0.740698706746506</v>
      </c>
    </row>
    <row r="37" customFormat="false" ht="15" hidden="false" customHeight="false" outlineLevel="0" collapsed="false">
      <c r="A37" s="1" t="s">
        <v>41</v>
      </c>
      <c r="B37" s="1" t="s">
        <v>42</v>
      </c>
      <c r="C37" s="1" t="s">
        <v>43</v>
      </c>
      <c r="D37" s="1" t="s">
        <v>19</v>
      </c>
      <c r="E37" s="1" t="s">
        <v>20</v>
      </c>
      <c r="F37" s="2" t="n">
        <v>10</v>
      </c>
      <c r="G37" s="3" t="s">
        <v>44</v>
      </c>
      <c r="H37" s="1" t="n">
        <v>0.1721</v>
      </c>
      <c r="I37" s="1" t="n">
        <v>0.250814981054843</v>
      </c>
      <c r="J37" s="1" t="n">
        <v>0.305841281086133</v>
      </c>
      <c r="K37" s="1" t="n">
        <f aca="false">J37-I37</f>
        <v>0.0550263000312898</v>
      </c>
      <c r="L37" s="1" t="n">
        <v>0.740698706746506</v>
      </c>
    </row>
    <row r="38" customFormat="false" ht="15" hidden="false" customHeight="false" outlineLevel="0" collapsed="false">
      <c r="A38" s="1" t="s">
        <v>41</v>
      </c>
      <c r="B38" s="1" t="s">
        <v>42</v>
      </c>
      <c r="C38" s="1" t="s">
        <v>43</v>
      </c>
      <c r="D38" s="1" t="s">
        <v>19</v>
      </c>
      <c r="E38" s="1" t="s">
        <v>20</v>
      </c>
      <c r="F38" s="2" t="n">
        <v>10</v>
      </c>
      <c r="G38" s="3" t="s">
        <v>26</v>
      </c>
      <c r="H38" s="1" t="n">
        <v>0.1</v>
      </c>
      <c r="I38" s="1" t="n">
        <v>0.194984894724926</v>
      </c>
      <c r="J38" s="1" t="n">
        <v>0.285507492636889</v>
      </c>
      <c r="K38" s="1" t="n">
        <f aca="false">J38-I38</f>
        <v>0.0905225979119626</v>
      </c>
      <c r="L38" s="1" t="n">
        <v>0.740698706746506</v>
      </c>
    </row>
    <row r="39" customFormat="false" ht="15" hidden="false" customHeight="false" outlineLevel="0" collapsed="false">
      <c r="A39" s="1" t="s">
        <v>45</v>
      </c>
      <c r="B39" s="1" t="s">
        <v>46</v>
      </c>
      <c r="C39" s="1" t="s">
        <v>47</v>
      </c>
      <c r="D39" s="1" t="s">
        <v>19</v>
      </c>
      <c r="E39" s="1" t="s">
        <v>20</v>
      </c>
      <c r="F39" s="2" t="n">
        <v>12</v>
      </c>
      <c r="G39" s="3" t="s">
        <v>21</v>
      </c>
      <c r="H39" s="1" t="n">
        <v>0.21</v>
      </c>
      <c r="I39" s="1" t="n">
        <v>0.304722443457103</v>
      </c>
      <c r="J39" s="1" t="n">
        <v>0.37706901312714</v>
      </c>
      <c r="K39" s="1" t="n">
        <f aca="false">J39-I39</f>
        <v>0.0723465696700371</v>
      </c>
      <c r="L39" s="1" t="n">
        <v>0.773772436552573</v>
      </c>
    </row>
    <row r="40" customFormat="false" ht="15" hidden="false" customHeight="false" outlineLevel="0" collapsed="false">
      <c r="A40" s="1" t="s">
        <v>45</v>
      </c>
      <c r="B40" s="1" t="s">
        <v>46</v>
      </c>
      <c r="C40" s="1" t="s">
        <v>47</v>
      </c>
      <c r="D40" s="1" t="s">
        <v>19</v>
      </c>
      <c r="E40" s="1" t="s">
        <v>20</v>
      </c>
      <c r="F40" s="2" t="n">
        <v>12</v>
      </c>
      <c r="G40" s="3" t="s">
        <v>24</v>
      </c>
      <c r="H40" s="1" t="n">
        <v>0.178</v>
      </c>
      <c r="I40" s="1" t="n">
        <v>0.25827759953196</v>
      </c>
      <c r="J40" s="1" t="n">
        <v>0.313252703981954</v>
      </c>
      <c r="K40" s="1" t="n">
        <f aca="false">J40-I40</f>
        <v>0.0549751044499932</v>
      </c>
      <c r="L40" s="1" t="n">
        <v>0.773772436552573</v>
      </c>
    </row>
    <row r="41" customFormat="false" ht="15" hidden="false" customHeight="false" outlineLevel="0" collapsed="false">
      <c r="A41" s="1" t="s">
        <v>45</v>
      </c>
      <c r="B41" s="1" t="s">
        <v>46</v>
      </c>
      <c r="C41" s="1" t="s">
        <v>47</v>
      </c>
      <c r="D41" s="1" t="s">
        <v>19</v>
      </c>
      <c r="E41" s="1" t="s">
        <v>20</v>
      </c>
      <c r="F41" s="2" t="n">
        <v>12</v>
      </c>
      <c r="G41" s="3" t="s">
        <v>33</v>
      </c>
      <c r="H41" s="1" t="n">
        <v>0.1772</v>
      </c>
      <c r="I41" s="1" t="n">
        <v>0.257054127855144</v>
      </c>
      <c r="J41" s="1" t="n">
        <v>0.318230269831385</v>
      </c>
      <c r="K41" s="1" t="n">
        <f aca="false">J41-I41</f>
        <v>0.061176141976241</v>
      </c>
      <c r="L41" s="1" t="n">
        <v>0.773772436552573</v>
      </c>
    </row>
    <row r="42" customFormat="false" ht="15" hidden="false" customHeight="false" outlineLevel="0" collapsed="false">
      <c r="A42" s="1" t="s">
        <v>45</v>
      </c>
      <c r="B42" s="1" t="s">
        <v>46</v>
      </c>
      <c r="C42" s="1" t="s">
        <v>47</v>
      </c>
      <c r="D42" s="1" t="s">
        <v>19</v>
      </c>
      <c r="E42" s="1" t="s">
        <v>20</v>
      </c>
      <c r="F42" s="2" t="n">
        <v>12</v>
      </c>
      <c r="G42" s="3" t="s">
        <v>44</v>
      </c>
      <c r="H42" s="1" t="n">
        <v>0.1701</v>
      </c>
      <c r="I42" s="1" t="n">
        <v>0.246800929339919</v>
      </c>
      <c r="J42" s="1" t="n">
        <v>0.330534139025604</v>
      </c>
      <c r="K42" s="1" t="n">
        <f aca="false">J42-I42</f>
        <v>0.0837332096856856</v>
      </c>
      <c r="L42" s="1" t="n">
        <v>0.773772436552573</v>
      </c>
    </row>
    <row r="43" customFormat="false" ht="15" hidden="false" customHeight="false" outlineLevel="0" collapsed="false">
      <c r="A43" s="1" t="s">
        <v>45</v>
      </c>
      <c r="B43" s="1" t="s">
        <v>46</v>
      </c>
      <c r="C43" s="1" t="s">
        <v>47</v>
      </c>
      <c r="D43" s="1" t="s">
        <v>19</v>
      </c>
      <c r="E43" s="1" t="s">
        <v>20</v>
      </c>
      <c r="F43" s="2" t="n">
        <v>12</v>
      </c>
      <c r="G43" s="3" t="s">
        <v>25</v>
      </c>
      <c r="H43" s="1" t="n">
        <v>0.1647</v>
      </c>
      <c r="I43" s="1" t="n">
        <v>0.239023381971618</v>
      </c>
      <c r="J43" s="1" t="n">
        <v>0.337988258191366</v>
      </c>
      <c r="K43" s="1" t="n">
        <f aca="false">J43-I43</f>
        <v>0.0989648762197475</v>
      </c>
      <c r="L43" s="1" t="n">
        <v>0.773772436552573</v>
      </c>
    </row>
    <row r="44" customFormat="false" ht="15" hidden="false" customHeight="false" outlineLevel="0" collapsed="false">
      <c r="A44" s="1" t="s">
        <v>45</v>
      </c>
      <c r="B44" s="1" t="s">
        <v>46</v>
      </c>
      <c r="C44" s="1" t="s">
        <v>47</v>
      </c>
      <c r="D44" s="1" t="s">
        <v>19</v>
      </c>
      <c r="E44" s="1" t="s">
        <v>20</v>
      </c>
      <c r="F44" s="2" t="n">
        <v>12</v>
      </c>
      <c r="G44" s="3" t="s">
        <v>26</v>
      </c>
      <c r="H44" s="1" t="n">
        <v>0.1</v>
      </c>
      <c r="I44" s="1" t="n">
        <v>0.201825665398589</v>
      </c>
      <c r="J44" s="1" t="n">
        <v>0.26340187254731</v>
      </c>
      <c r="K44" s="1" t="n">
        <f aca="false">J44-I44</f>
        <v>0.0615762071487204</v>
      </c>
      <c r="L44" s="1" t="n">
        <v>0.773772436552573</v>
      </c>
    </row>
    <row r="45" customFormat="false" ht="15" hidden="false" customHeight="false" outlineLevel="0" collapsed="false">
      <c r="A45" s="1" t="s">
        <v>48</v>
      </c>
      <c r="B45" s="1" t="s">
        <v>49</v>
      </c>
      <c r="C45" s="1" t="s">
        <v>50</v>
      </c>
      <c r="D45" s="1" t="s">
        <v>19</v>
      </c>
      <c r="E45" s="1" t="s">
        <v>20</v>
      </c>
      <c r="F45" s="2" t="n">
        <v>14</v>
      </c>
      <c r="G45" s="3" t="s">
        <v>21</v>
      </c>
      <c r="H45" s="1" t="n">
        <v>0.194</v>
      </c>
      <c r="I45" s="1" t="n">
        <v>0.325669663767113</v>
      </c>
      <c r="J45" s="1" t="n">
        <v>0.368725579305902</v>
      </c>
      <c r="K45" s="1" t="n">
        <f aca="false">J45-I45</f>
        <v>0.0430559155387883</v>
      </c>
      <c r="L45" s="1" t="n">
        <v>0.669131289751387</v>
      </c>
    </row>
    <row r="46" customFormat="false" ht="15" hidden="false" customHeight="false" outlineLevel="0" collapsed="false">
      <c r="A46" s="1" t="s">
        <v>48</v>
      </c>
      <c r="B46" s="1" t="s">
        <v>49</v>
      </c>
      <c r="C46" s="1" t="s">
        <v>50</v>
      </c>
      <c r="D46" s="1" t="s">
        <v>19</v>
      </c>
      <c r="E46" s="1" t="s">
        <v>20</v>
      </c>
      <c r="F46" s="2" t="n">
        <v>14</v>
      </c>
      <c r="G46" s="3" t="s">
        <v>40</v>
      </c>
      <c r="H46" s="1" t="n">
        <v>0.1875</v>
      </c>
      <c r="I46" s="1" t="n">
        <v>0.31488673307125</v>
      </c>
      <c r="J46" s="1" t="n">
        <v>0.326638674714162</v>
      </c>
      <c r="K46" s="1" t="n">
        <f aca="false">J46-I46</f>
        <v>0.0117519416429115</v>
      </c>
      <c r="L46" s="1" t="n">
        <v>0.669131289751387</v>
      </c>
    </row>
    <row r="47" customFormat="false" ht="15" hidden="false" customHeight="false" outlineLevel="0" collapsed="false">
      <c r="A47" s="1" t="s">
        <v>48</v>
      </c>
      <c r="B47" s="1" t="s">
        <v>49</v>
      </c>
      <c r="C47" s="1" t="s">
        <v>50</v>
      </c>
      <c r="D47" s="1" t="s">
        <v>19</v>
      </c>
      <c r="E47" s="1" t="s">
        <v>20</v>
      </c>
      <c r="F47" s="2" t="n">
        <v>14</v>
      </c>
      <c r="G47" s="3" t="s">
        <v>22</v>
      </c>
      <c r="H47" s="1" t="n">
        <v>0.1789</v>
      </c>
      <c r="I47" s="1" t="n">
        <v>0.300293199572928</v>
      </c>
      <c r="J47" s="1" t="n">
        <v>0.365184560098806</v>
      </c>
      <c r="K47" s="1" t="n">
        <f aca="false">J47-I47</f>
        <v>0.0648913605258772</v>
      </c>
      <c r="L47" s="1" t="n">
        <v>0.669131289751387</v>
      </c>
    </row>
    <row r="48" customFormat="false" ht="15" hidden="false" customHeight="false" outlineLevel="0" collapsed="false">
      <c r="A48" s="1" t="s">
        <v>48</v>
      </c>
      <c r="B48" s="1" t="s">
        <v>49</v>
      </c>
      <c r="C48" s="1" t="s">
        <v>50</v>
      </c>
      <c r="D48" s="1" t="s">
        <v>19</v>
      </c>
      <c r="E48" s="1" t="s">
        <v>20</v>
      </c>
      <c r="F48" s="2" t="n">
        <v>14</v>
      </c>
      <c r="G48" s="3" t="s">
        <v>33</v>
      </c>
      <c r="H48" s="1" t="n">
        <v>0.1701</v>
      </c>
      <c r="I48" s="1" t="n">
        <v>0.285561582312865</v>
      </c>
      <c r="J48" s="1" t="n">
        <v>0.326711201831158</v>
      </c>
      <c r="K48" s="1" t="n">
        <f aca="false">J48-I48</f>
        <v>0.0411496195182933</v>
      </c>
      <c r="L48" s="1" t="n">
        <v>0.669131289751387</v>
      </c>
    </row>
    <row r="49" customFormat="false" ht="15" hidden="false" customHeight="false" outlineLevel="0" collapsed="false">
      <c r="A49" s="1" t="s">
        <v>48</v>
      </c>
      <c r="B49" s="1" t="s">
        <v>49</v>
      </c>
      <c r="C49" s="1" t="s">
        <v>50</v>
      </c>
      <c r="D49" s="1" t="s">
        <v>19</v>
      </c>
      <c r="E49" s="1" t="s">
        <v>20</v>
      </c>
      <c r="F49" s="2" t="n">
        <v>14</v>
      </c>
      <c r="G49" s="3" t="s">
        <v>23</v>
      </c>
      <c r="H49" s="1" t="n">
        <v>0.1696</v>
      </c>
      <c r="I49" s="1" t="n">
        <v>0.284706676372369</v>
      </c>
      <c r="J49" s="1" t="n">
        <v>0.323231004401348</v>
      </c>
      <c r="K49" s="1" t="n">
        <f aca="false">J49-I49</f>
        <v>0.0385243280289788</v>
      </c>
      <c r="L49" s="1" t="n">
        <v>0.669131289751387</v>
      </c>
    </row>
    <row r="50" customFormat="false" ht="15" hidden="false" customHeight="false" outlineLevel="0" collapsed="false">
      <c r="A50" s="1" t="s">
        <v>48</v>
      </c>
      <c r="B50" s="1" t="s">
        <v>49</v>
      </c>
      <c r="C50" s="1" t="s">
        <v>50</v>
      </c>
      <c r="D50" s="1" t="s">
        <v>19</v>
      </c>
      <c r="E50" s="1" t="s">
        <v>20</v>
      </c>
      <c r="F50" s="2" t="n">
        <v>14</v>
      </c>
      <c r="G50" s="3" t="s">
        <v>26</v>
      </c>
      <c r="H50" s="1" t="n">
        <v>0.1</v>
      </c>
      <c r="I50" s="1" t="n">
        <v>0.192851696716061</v>
      </c>
      <c r="J50" s="1" t="n">
        <v>0.248542315966685</v>
      </c>
      <c r="K50" s="1" t="n">
        <f aca="false">J50-I50</f>
        <v>0.0556906192506242</v>
      </c>
      <c r="L50" s="1" t="n">
        <v>0.669131289751387</v>
      </c>
    </row>
    <row r="51" customFormat="false" ht="15" hidden="false" customHeight="false" outlineLevel="0" collapsed="false">
      <c r="A51" s="1" t="s">
        <v>51</v>
      </c>
      <c r="B51" s="1" t="s">
        <v>52</v>
      </c>
      <c r="C51" s="1" t="s">
        <v>53</v>
      </c>
      <c r="D51" s="1" t="s">
        <v>19</v>
      </c>
      <c r="E51" s="1" t="s">
        <v>20</v>
      </c>
      <c r="F51" s="2" t="n">
        <v>16</v>
      </c>
      <c r="G51" s="3" t="s">
        <v>22</v>
      </c>
      <c r="H51" s="1" t="n">
        <v>0.1916</v>
      </c>
      <c r="I51" s="1" t="n">
        <v>0.367180185883553</v>
      </c>
      <c r="J51" s="1" t="n">
        <v>0.377428702599269</v>
      </c>
      <c r="K51" s="1" t="n">
        <f aca="false">J51-I51</f>
        <v>0.0102485167157157</v>
      </c>
      <c r="L51" s="1" t="n">
        <v>0.76936357772334</v>
      </c>
    </row>
    <row r="52" customFormat="false" ht="15" hidden="false" customHeight="false" outlineLevel="0" collapsed="false">
      <c r="A52" s="1" t="s">
        <v>51</v>
      </c>
      <c r="B52" s="1" t="s">
        <v>52</v>
      </c>
      <c r="C52" s="1" t="s">
        <v>53</v>
      </c>
      <c r="D52" s="1" t="s">
        <v>19</v>
      </c>
      <c r="E52" s="1" t="s">
        <v>20</v>
      </c>
      <c r="F52" s="2" t="n">
        <v>16</v>
      </c>
      <c r="G52" s="3" t="s">
        <v>33</v>
      </c>
      <c r="H52" s="1" t="n">
        <v>0.1814</v>
      </c>
      <c r="I52" s="1" t="n">
        <v>0.34757049375922</v>
      </c>
      <c r="J52" s="1" t="n">
        <v>0.36106665204201</v>
      </c>
      <c r="K52" s="1" t="n">
        <f aca="false">J52-I52</f>
        <v>0.0134961582827896</v>
      </c>
      <c r="L52" s="1" t="n">
        <v>0.76936357772334</v>
      </c>
    </row>
    <row r="53" customFormat="false" ht="15" hidden="false" customHeight="false" outlineLevel="0" collapsed="false">
      <c r="A53" s="1" t="s">
        <v>51</v>
      </c>
      <c r="B53" s="1" t="s">
        <v>52</v>
      </c>
      <c r="C53" s="1" t="s">
        <v>53</v>
      </c>
      <c r="D53" s="1" t="s">
        <v>19</v>
      </c>
      <c r="E53" s="1" t="s">
        <v>20</v>
      </c>
      <c r="F53" s="2" t="n">
        <v>16</v>
      </c>
      <c r="G53" s="3" t="s">
        <v>25</v>
      </c>
      <c r="H53" s="1" t="n">
        <v>0.1796</v>
      </c>
      <c r="I53" s="1" t="n">
        <v>0.344115646132236</v>
      </c>
      <c r="J53" s="1" t="n">
        <v>0.384796554389949</v>
      </c>
      <c r="K53" s="1" t="n">
        <f aca="false">J53-I53</f>
        <v>0.0406809082577131</v>
      </c>
      <c r="L53" s="1" t="n">
        <v>0.76936357772334</v>
      </c>
    </row>
    <row r="54" customFormat="false" ht="15" hidden="false" customHeight="false" outlineLevel="0" collapsed="false">
      <c r="A54" s="1" t="s">
        <v>51</v>
      </c>
      <c r="B54" s="1" t="s">
        <v>52</v>
      </c>
      <c r="C54" s="1" t="s">
        <v>53</v>
      </c>
      <c r="D54" s="1" t="s">
        <v>19</v>
      </c>
      <c r="E54" s="1" t="s">
        <v>20</v>
      </c>
      <c r="F54" s="2" t="n">
        <v>16</v>
      </c>
      <c r="G54" s="3" t="s">
        <v>21</v>
      </c>
      <c r="H54" s="1" t="n">
        <v>0.1782</v>
      </c>
      <c r="I54" s="1" t="n">
        <v>0.341503949256259</v>
      </c>
      <c r="J54" s="1" t="n">
        <v>0.383650972037544</v>
      </c>
      <c r="K54" s="1" t="n">
        <f aca="false">J54-I54</f>
        <v>0.0421470227812856</v>
      </c>
      <c r="L54" s="1" t="n">
        <v>0.76936357772334</v>
      </c>
    </row>
    <row r="55" customFormat="false" ht="15" hidden="false" customHeight="false" outlineLevel="0" collapsed="false">
      <c r="A55" s="1" t="s">
        <v>51</v>
      </c>
      <c r="B55" s="1" t="s">
        <v>52</v>
      </c>
      <c r="C55" s="1" t="s">
        <v>53</v>
      </c>
      <c r="D55" s="1" t="s">
        <v>19</v>
      </c>
      <c r="E55" s="1" t="s">
        <v>20</v>
      </c>
      <c r="F55" s="2" t="n">
        <v>16</v>
      </c>
      <c r="G55" s="3" t="s">
        <v>54</v>
      </c>
      <c r="H55" s="1" t="n">
        <v>0.1692</v>
      </c>
      <c r="I55" s="1" t="n">
        <v>0.32415972926623</v>
      </c>
      <c r="J55" s="1" t="n">
        <v>0.378382543384313</v>
      </c>
      <c r="K55" s="1" t="n">
        <f aca="false">J55-I55</f>
        <v>0.0542228141180832</v>
      </c>
      <c r="L55" s="1" t="n">
        <v>0.76936357772334</v>
      </c>
    </row>
    <row r="56" customFormat="false" ht="15" hidden="false" customHeight="false" outlineLevel="0" collapsed="false">
      <c r="A56" s="1" t="s">
        <v>51</v>
      </c>
      <c r="B56" s="1" t="s">
        <v>52</v>
      </c>
      <c r="C56" s="1" t="s">
        <v>53</v>
      </c>
      <c r="D56" s="1" t="s">
        <v>19</v>
      </c>
      <c r="E56" s="1" t="s">
        <v>20</v>
      </c>
      <c r="F56" s="2" t="n">
        <v>16</v>
      </c>
      <c r="G56" s="3" t="s">
        <v>26</v>
      </c>
      <c r="H56" s="1" t="n">
        <v>0.1</v>
      </c>
      <c r="I56" s="1" t="n">
        <v>0.249297240250626</v>
      </c>
      <c r="J56" s="1" t="n">
        <v>0.326552609130437</v>
      </c>
      <c r="K56" s="1" t="n">
        <f aca="false">J56-I56</f>
        <v>0.0772553688798105</v>
      </c>
      <c r="L56" s="1" t="n">
        <v>0.76936357772334</v>
      </c>
    </row>
    <row r="57" customFormat="false" ht="15" hidden="false" customHeight="false" outlineLevel="0" collapsed="false">
      <c r="A57" s="1" t="s">
        <v>55</v>
      </c>
      <c r="B57" s="1" t="s">
        <v>56</v>
      </c>
      <c r="C57" s="1" t="s">
        <v>57</v>
      </c>
      <c r="D57" s="1" t="s">
        <v>19</v>
      </c>
      <c r="E57" s="1" t="s">
        <v>20</v>
      </c>
      <c r="F57" s="2" t="n">
        <v>18</v>
      </c>
      <c r="G57" s="3" t="s">
        <v>21</v>
      </c>
      <c r="H57" s="1" t="n">
        <v>0.1877</v>
      </c>
      <c r="I57" s="1" t="n">
        <v>0.395240891605469</v>
      </c>
      <c r="J57" s="1" t="n">
        <v>0.430979036724664</v>
      </c>
      <c r="K57" s="1" t="n">
        <f aca="false">J57-I57</f>
        <v>0.0357381451191955</v>
      </c>
      <c r="L57" s="1" t="n">
        <v>0.795393600984621</v>
      </c>
    </row>
    <row r="58" customFormat="false" ht="15" hidden="false" customHeight="false" outlineLevel="0" collapsed="false">
      <c r="A58" s="1" t="s">
        <v>55</v>
      </c>
      <c r="B58" s="1" t="s">
        <v>56</v>
      </c>
      <c r="C58" s="1" t="s">
        <v>57</v>
      </c>
      <c r="D58" s="1" t="s">
        <v>19</v>
      </c>
      <c r="E58" s="1" t="s">
        <v>20</v>
      </c>
      <c r="F58" s="2" t="n">
        <v>18</v>
      </c>
      <c r="G58" s="3" t="s">
        <v>22</v>
      </c>
      <c r="H58" s="1" t="n">
        <v>0.1835</v>
      </c>
      <c r="I58" s="1" t="n">
        <v>0.386300756809306</v>
      </c>
      <c r="J58" s="1" t="n">
        <v>0.381467346899514</v>
      </c>
      <c r="K58" s="1" t="n">
        <f aca="false">J58-I58</f>
        <v>-0.00483340990979131</v>
      </c>
      <c r="L58" s="1" t="n">
        <v>0.795393600984621</v>
      </c>
    </row>
    <row r="59" customFormat="false" ht="15" hidden="false" customHeight="false" outlineLevel="0" collapsed="false">
      <c r="A59" s="1" t="s">
        <v>55</v>
      </c>
      <c r="B59" s="1" t="s">
        <v>56</v>
      </c>
      <c r="C59" s="1" t="s">
        <v>57</v>
      </c>
      <c r="D59" s="1" t="s">
        <v>19</v>
      </c>
      <c r="E59" s="1" t="s">
        <v>20</v>
      </c>
      <c r="F59" s="2" t="n">
        <v>18</v>
      </c>
      <c r="G59" s="3" t="s">
        <v>23</v>
      </c>
      <c r="H59" s="1" t="n">
        <v>0.1783</v>
      </c>
      <c r="I59" s="1" t="n">
        <v>0.375461831142941</v>
      </c>
      <c r="J59" s="1" t="n">
        <v>0.389644784737674</v>
      </c>
      <c r="K59" s="1" t="n">
        <f aca="false">J59-I59</f>
        <v>0.0141829535947329</v>
      </c>
      <c r="L59" s="1" t="n">
        <v>0.795393600984621</v>
      </c>
    </row>
    <row r="60" customFormat="false" ht="15" hidden="false" customHeight="false" outlineLevel="0" collapsed="false">
      <c r="A60" s="1" t="s">
        <v>55</v>
      </c>
      <c r="B60" s="1" t="s">
        <v>56</v>
      </c>
      <c r="C60" s="1" t="s">
        <v>57</v>
      </c>
      <c r="D60" s="1" t="s">
        <v>19</v>
      </c>
      <c r="E60" s="1" t="s">
        <v>20</v>
      </c>
      <c r="F60" s="2" t="n">
        <v>18</v>
      </c>
      <c r="G60" s="3" t="s">
        <v>24</v>
      </c>
      <c r="H60" s="1" t="n">
        <v>0.1753</v>
      </c>
      <c r="I60" s="1" t="n">
        <v>0.36916048408406</v>
      </c>
      <c r="J60" s="1" t="n">
        <v>0.375476178294383</v>
      </c>
      <c r="K60" s="1" t="n">
        <f aca="false">J60-I60</f>
        <v>0.00631569421032341</v>
      </c>
      <c r="L60" s="1" t="n">
        <v>0.795393600984621</v>
      </c>
    </row>
    <row r="61" customFormat="false" ht="15" hidden="false" customHeight="false" outlineLevel="0" collapsed="false">
      <c r="A61" s="1" t="s">
        <v>55</v>
      </c>
      <c r="B61" s="1" t="s">
        <v>56</v>
      </c>
      <c r="C61" s="1" t="s">
        <v>57</v>
      </c>
      <c r="D61" s="1" t="s">
        <v>19</v>
      </c>
      <c r="E61" s="1" t="s">
        <v>20</v>
      </c>
      <c r="F61" s="2" t="n">
        <v>18</v>
      </c>
      <c r="G61" s="3" t="s">
        <v>25</v>
      </c>
      <c r="H61" s="1" t="n">
        <v>0.1752</v>
      </c>
      <c r="I61" s="1" t="n">
        <v>0.368949474918876</v>
      </c>
      <c r="J61" s="1" t="n">
        <v>0.395012192374569</v>
      </c>
      <c r="K61" s="1" t="n">
        <f aca="false">J61-I61</f>
        <v>0.0260627174556936</v>
      </c>
      <c r="L61" s="1" t="n">
        <v>0.795393600984621</v>
      </c>
    </row>
    <row r="62" customFormat="false" ht="15" hidden="false" customHeight="false" outlineLevel="0" collapsed="false">
      <c r="A62" s="1" t="s">
        <v>55</v>
      </c>
      <c r="B62" s="1" t="s">
        <v>56</v>
      </c>
      <c r="C62" s="1" t="s">
        <v>57</v>
      </c>
      <c r="D62" s="1" t="s">
        <v>19</v>
      </c>
      <c r="E62" s="1" t="s">
        <v>20</v>
      </c>
      <c r="F62" s="2" t="n">
        <v>18</v>
      </c>
      <c r="G62" s="3" t="s">
        <v>26</v>
      </c>
      <c r="H62" s="1" t="n">
        <v>0.1</v>
      </c>
      <c r="I62" s="1" t="n">
        <v>0.292099977041323</v>
      </c>
      <c r="J62" s="1" t="n">
        <v>0.309509999051475</v>
      </c>
      <c r="K62" s="1" t="n">
        <f aca="false">J62-I62</f>
        <v>0.0174100220101526</v>
      </c>
      <c r="L62" s="1" t="n">
        <v>0.795393600984621</v>
      </c>
    </row>
    <row r="63" customFormat="false" ht="15" hidden="false" customHeight="false" outlineLevel="0" collapsed="false">
      <c r="A63" s="1" t="s">
        <v>58</v>
      </c>
      <c r="B63" s="1" t="s">
        <v>59</v>
      </c>
      <c r="C63" s="1" t="s">
        <v>60</v>
      </c>
      <c r="D63" s="1" t="s">
        <v>19</v>
      </c>
      <c r="E63" s="1" t="s">
        <v>20</v>
      </c>
      <c r="F63" s="2" t="n">
        <v>20</v>
      </c>
      <c r="G63" s="3" t="s">
        <v>21</v>
      </c>
      <c r="H63" s="1" t="n">
        <v>0.2026</v>
      </c>
      <c r="I63" s="1" t="n">
        <v>0.352855833741418</v>
      </c>
      <c r="J63" s="1" t="n">
        <v>0.423434332265493</v>
      </c>
      <c r="K63" s="1" t="n">
        <f aca="false">J63-I63</f>
        <v>0.0705784985240751</v>
      </c>
      <c r="L63" s="1" t="n">
        <v>0.750280009673556</v>
      </c>
    </row>
    <row r="64" customFormat="false" ht="15" hidden="false" customHeight="false" outlineLevel="0" collapsed="false">
      <c r="A64" s="1" t="s">
        <v>58</v>
      </c>
      <c r="B64" s="1" t="s">
        <v>59</v>
      </c>
      <c r="C64" s="1" t="s">
        <v>60</v>
      </c>
      <c r="D64" s="1" t="s">
        <v>19</v>
      </c>
      <c r="E64" s="1" t="s">
        <v>20</v>
      </c>
      <c r="F64" s="2" t="n">
        <v>20</v>
      </c>
      <c r="G64" s="3" t="s">
        <v>54</v>
      </c>
      <c r="H64" s="1" t="n">
        <v>0.1799</v>
      </c>
      <c r="I64" s="1" t="n">
        <v>0.313386635829919</v>
      </c>
      <c r="J64" s="1" t="n">
        <v>0.325995829123868</v>
      </c>
      <c r="K64" s="1" t="n">
        <f aca="false">J64-I64</f>
        <v>0.0126091932939492</v>
      </c>
      <c r="L64" s="1" t="n">
        <v>0.750280009673556</v>
      </c>
    </row>
    <row r="65" customFormat="false" ht="15" hidden="false" customHeight="false" outlineLevel="0" collapsed="false">
      <c r="A65" s="1" t="s">
        <v>58</v>
      </c>
      <c r="B65" s="1" t="s">
        <v>59</v>
      </c>
      <c r="C65" s="1" t="s">
        <v>60</v>
      </c>
      <c r="D65" s="1" t="s">
        <v>19</v>
      </c>
      <c r="E65" s="1" t="s">
        <v>20</v>
      </c>
      <c r="F65" s="2" t="n">
        <v>20</v>
      </c>
      <c r="G65" s="3" t="s">
        <v>40</v>
      </c>
      <c r="H65" s="1" t="n">
        <v>0.1748</v>
      </c>
      <c r="I65" s="1" t="n">
        <v>0.304506645250742</v>
      </c>
      <c r="J65" s="1" t="n">
        <v>0.306709654774306</v>
      </c>
      <c r="K65" s="1" t="n">
        <f aca="false">J65-I65</f>
        <v>0.00220300952356423</v>
      </c>
      <c r="L65" s="1" t="n">
        <v>0.750280009673556</v>
      </c>
    </row>
    <row r="66" customFormat="false" ht="15" hidden="false" customHeight="false" outlineLevel="0" collapsed="false">
      <c r="A66" s="1" t="s">
        <v>58</v>
      </c>
      <c r="B66" s="1" t="s">
        <v>59</v>
      </c>
      <c r="C66" s="1" t="s">
        <v>60</v>
      </c>
      <c r="D66" s="1" t="s">
        <v>19</v>
      </c>
      <c r="E66" s="1" t="s">
        <v>20</v>
      </c>
      <c r="F66" s="2" t="n">
        <v>20</v>
      </c>
      <c r="G66" s="3" t="s">
        <v>22</v>
      </c>
      <c r="H66" s="1" t="n">
        <v>0.1732</v>
      </c>
      <c r="I66" s="1" t="n">
        <v>0.301603946800408</v>
      </c>
      <c r="J66" s="1" t="n">
        <v>0.305887860066619</v>
      </c>
      <c r="K66" s="1" t="n">
        <f aca="false">J66-I66</f>
        <v>0.00428391326621141</v>
      </c>
      <c r="L66" s="1" t="n">
        <v>0.750280009673556</v>
      </c>
    </row>
    <row r="67" customFormat="false" ht="15" hidden="false" customHeight="false" outlineLevel="0" collapsed="false">
      <c r="A67" s="1" t="s">
        <v>58</v>
      </c>
      <c r="B67" s="1" t="s">
        <v>59</v>
      </c>
      <c r="C67" s="1" t="s">
        <v>60</v>
      </c>
      <c r="D67" s="1" t="s">
        <v>19</v>
      </c>
      <c r="E67" s="1" t="s">
        <v>20</v>
      </c>
      <c r="F67" s="2" t="n">
        <v>20</v>
      </c>
      <c r="G67" s="3" t="s">
        <v>24</v>
      </c>
      <c r="H67" s="1" t="n">
        <v>0.1694</v>
      </c>
      <c r="I67" s="1" t="n">
        <v>0.295093021501054</v>
      </c>
      <c r="J67" s="1" t="n">
        <v>0.327902073845022</v>
      </c>
      <c r="K67" s="1" t="n">
        <f aca="false">J67-I67</f>
        <v>0.0328090523439677</v>
      </c>
      <c r="L67" s="1" t="n">
        <v>0.750280009673556</v>
      </c>
    </row>
    <row r="68" customFormat="false" ht="15" hidden="false" customHeight="false" outlineLevel="0" collapsed="false">
      <c r="A68" s="1" t="s">
        <v>58</v>
      </c>
      <c r="B68" s="1" t="s">
        <v>59</v>
      </c>
      <c r="C68" s="1" t="s">
        <v>60</v>
      </c>
      <c r="D68" s="1" t="s">
        <v>19</v>
      </c>
      <c r="E68" s="1" t="s">
        <v>20</v>
      </c>
      <c r="F68" s="2" t="n">
        <v>20</v>
      </c>
      <c r="G68" s="3" t="s">
        <v>26</v>
      </c>
      <c r="H68" s="1" t="n">
        <v>0.1</v>
      </c>
      <c r="I68" s="1" t="n">
        <v>0.210086429543292</v>
      </c>
      <c r="J68" s="1" t="n">
        <v>0.212182413582511</v>
      </c>
      <c r="K68" s="1" t="n">
        <f aca="false">J68-I68</f>
        <v>0.0020959840392189</v>
      </c>
      <c r="L68" s="1" t="n">
        <v>0.750280009673556</v>
      </c>
    </row>
    <row r="69" customFormat="false" ht="15" hidden="false" customHeight="false" outlineLevel="0" collapsed="false">
      <c r="A69" s="1" t="s">
        <v>61</v>
      </c>
      <c r="B69" s="1" t="s">
        <v>62</v>
      </c>
      <c r="C69" s="1" t="s">
        <v>63</v>
      </c>
      <c r="D69" s="1" t="s">
        <v>19</v>
      </c>
      <c r="E69" s="1" t="s">
        <v>20</v>
      </c>
      <c r="F69" s="2" t="n">
        <v>22</v>
      </c>
      <c r="G69" s="3" t="s">
        <v>21</v>
      </c>
      <c r="H69" s="1" t="n">
        <v>0.2244</v>
      </c>
      <c r="I69" s="1" t="n">
        <v>0.314719834656986</v>
      </c>
      <c r="J69" s="1" t="n">
        <v>0.385009955256791</v>
      </c>
      <c r="K69" s="1" t="n">
        <f aca="false">J69-I69</f>
        <v>0.0702901205998056</v>
      </c>
      <c r="L69" s="1" t="n">
        <v>0.791112051354437</v>
      </c>
    </row>
    <row r="70" customFormat="false" ht="15" hidden="false" customHeight="false" outlineLevel="0" collapsed="false">
      <c r="A70" s="1" t="s">
        <v>61</v>
      </c>
      <c r="B70" s="1" t="s">
        <v>62</v>
      </c>
      <c r="C70" s="1" t="s">
        <v>63</v>
      </c>
      <c r="D70" s="1" t="s">
        <v>19</v>
      </c>
      <c r="E70" s="1" t="s">
        <v>20</v>
      </c>
      <c r="F70" s="2" t="n">
        <v>22</v>
      </c>
      <c r="G70" s="3" t="s">
        <v>24</v>
      </c>
      <c r="H70" s="1" t="n">
        <v>0.1752</v>
      </c>
      <c r="I70" s="1" t="n">
        <v>0.245637286179433</v>
      </c>
      <c r="J70" s="1" t="n">
        <v>0.28990631797363</v>
      </c>
      <c r="K70" s="1" t="n">
        <f aca="false">J70-I70</f>
        <v>0.0442690317941971</v>
      </c>
      <c r="L70" s="1" t="n">
        <v>0.791112051354437</v>
      </c>
    </row>
    <row r="71" customFormat="false" ht="15" hidden="false" customHeight="false" outlineLevel="0" collapsed="false">
      <c r="A71" s="1" t="s">
        <v>61</v>
      </c>
      <c r="B71" s="1" t="s">
        <v>62</v>
      </c>
      <c r="C71" s="1" t="s">
        <v>63</v>
      </c>
      <c r="D71" s="1" t="s">
        <v>19</v>
      </c>
      <c r="E71" s="1" t="s">
        <v>20</v>
      </c>
      <c r="F71" s="2" t="n">
        <v>22</v>
      </c>
      <c r="G71" s="3" t="s">
        <v>23</v>
      </c>
      <c r="H71" s="1" t="n">
        <v>0.1711</v>
      </c>
      <c r="I71" s="1" t="n">
        <v>0.239966123262484</v>
      </c>
      <c r="J71" s="1" t="n">
        <v>0.308242809054015</v>
      </c>
      <c r="K71" s="1" t="n">
        <f aca="false">J71-I71</f>
        <v>0.0682766857915312</v>
      </c>
      <c r="L71" s="1" t="n">
        <v>0.791112051354437</v>
      </c>
    </row>
    <row r="72" customFormat="false" ht="15" hidden="false" customHeight="false" outlineLevel="0" collapsed="false">
      <c r="A72" s="1" t="s">
        <v>61</v>
      </c>
      <c r="B72" s="1" t="s">
        <v>62</v>
      </c>
      <c r="C72" s="1" t="s">
        <v>63</v>
      </c>
      <c r="D72" s="1" t="s">
        <v>19</v>
      </c>
      <c r="E72" s="1" t="s">
        <v>20</v>
      </c>
      <c r="F72" s="2" t="n">
        <v>22</v>
      </c>
      <c r="G72" s="3" t="s">
        <v>40</v>
      </c>
      <c r="H72" s="1" t="n">
        <v>0.1659</v>
      </c>
      <c r="I72" s="1" t="n">
        <v>0.232577891569313</v>
      </c>
      <c r="J72" s="1" t="n">
        <v>0.291160940859621</v>
      </c>
      <c r="K72" s="1" t="n">
        <f aca="false">J72-I72</f>
        <v>0.0585830492903085</v>
      </c>
      <c r="L72" s="1" t="n">
        <v>0.791112051354437</v>
      </c>
    </row>
    <row r="73" customFormat="false" ht="15" hidden="false" customHeight="false" outlineLevel="0" collapsed="false">
      <c r="A73" s="1" t="s">
        <v>61</v>
      </c>
      <c r="B73" s="1" t="s">
        <v>62</v>
      </c>
      <c r="C73" s="1" t="s">
        <v>63</v>
      </c>
      <c r="D73" s="1" t="s">
        <v>19</v>
      </c>
      <c r="E73" s="1" t="s">
        <v>20</v>
      </c>
      <c r="F73" s="2" t="n">
        <v>22</v>
      </c>
      <c r="G73" s="3" t="s">
        <v>54</v>
      </c>
      <c r="H73" s="1" t="n">
        <v>0.1634</v>
      </c>
      <c r="I73" s="1" t="n">
        <v>0.229116907256763</v>
      </c>
      <c r="J73" s="1" t="n">
        <v>0.275814740936498</v>
      </c>
      <c r="K73" s="1" t="n">
        <f aca="false">J73-I73</f>
        <v>0.0466978336797353</v>
      </c>
      <c r="L73" s="1" t="n">
        <v>0.791112051354437</v>
      </c>
    </row>
    <row r="74" customFormat="false" ht="15" hidden="false" customHeight="false" outlineLevel="0" collapsed="false">
      <c r="A74" s="1" t="s">
        <v>61</v>
      </c>
      <c r="B74" s="1" t="s">
        <v>62</v>
      </c>
      <c r="C74" s="1" t="s">
        <v>63</v>
      </c>
      <c r="D74" s="1" t="s">
        <v>19</v>
      </c>
      <c r="E74" s="1" t="s">
        <v>20</v>
      </c>
      <c r="F74" s="2" t="n">
        <v>22</v>
      </c>
      <c r="G74" s="3" t="s">
        <v>26</v>
      </c>
      <c r="H74" s="1" t="n">
        <v>0.1</v>
      </c>
      <c r="I74" s="1" t="n">
        <v>0.136118104813034</v>
      </c>
      <c r="J74" s="1" t="n">
        <v>0.195542927218662</v>
      </c>
      <c r="K74" s="1" t="n">
        <f aca="false">J74-I74</f>
        <v>0.0594248224056277</v>
      </c>
      <c r="L74" s="1" t="n">
        <v>0.791112051354437</v>
      </c>
    </row>
    <row r="75" customFormat="false" ht="15" hidden="false" customHeight="false" outlineLevel="0" collapsed="false">
      <c r="A75" s="1" t="s">
        <v>64</v>
      </c>
      <c r="B75" s="1" t="s">
        <v>65</v>
      </c>
      <c r="C75" s="1" t="s">
        <v>66</v>
      </c>
      <c r="D75" s="1" t="s">
        <v>19</v>
      </c>
      <c r="E75" s="1" t="s">
        <v>20</v>
      </c>
      <c r="F75" s="2" t="n">
        <v>24</v>
      </c>
      <c r="G75" s="3" t="s">
        <v>21</v>
      </c>
      <c r="H75" s="1" t="n">
        <v>0.2087</v>
      </c>
      <c r="I75" s="1" t="n">
        <v>0.302193507635406</v>
      </c>
      <c r="J75" s="1" t="n">
        <v>0.318795710276976</v>
      </c>
      <c r="K75" s="1" t="n">
        <f aca="false">J75-I75</f>
        <v>0.0166022026415702</v>
      </c>
      <c r="L75" s="1" t="n">
        <v>0.684900718861709</v>
      </c>
    </row>
    <row r="76" customFormat="false" ht="15" hidden="false" customHeight="false" outlineLevel="0" collapsed="false">
      <c r="A76" s="1" t="s">
        <v>64</v>
      </c>
      <c r="B76" s="1" t="s">
        <v>65</v>
      </c>
      <c r="C76" s="1" t="s">
        <v>66</v>
      </c>
      <c r="D76" s="1" t="s">
        <v>19</v>
      </c>
      <c r="E76" s="1" t="s">
        <v>20</v>
      </c>
      <c r="F76" s="2" t="n">
        <v>24</v>
      </c>
      <c r="G76" s="3" t="s">
        <v>24</v>
      </c>
      <c r="H76" s="1" t="n">
        <v>0.1808</v>
      </c>
      <c r="I76" s="1" t="n">
        <v>0.261740473731728</v>
      </c>
      <c r="J76" s="1" t="n">
        <v>0.281417470697349</v>
      </c>
      <c r="K76" s="1" t="n">
        <f aca="false">J76-I76</f>
        <v>0.0196769969656213</v>
      </c>
      <c r="L76" s="1" t="n">
        <v>0.684900718861709</v>
      </c>
    </row>
    <row r="77" customFormat="false" ht="15" hidden="false" customHeight="false" outlineLevel="0" collapsed="false">
      <c r="A77" s="1" t="s">
        <v>64</v>
      </c>
      <c r="B77" s="1" t="s">
        <v>65</v>
      </c>
      <c r="C77" s="1" t="s">
        <v>66</v>
      </c>
      <c r="D77" s="1" t="s">
        <v>19</v>
      </c>
      <c r="E77" s="1" t="s">
        <v>20</v>
      </c>
      <c r="F77" s="2" t="n">
        <v>24</v>
      </c>
      <c r="G77" s="3" t="s">
        <v>40</v>
      </c>
      <c r="H77" s="1" t="n">
        <v>0.1732</v>
      </c>
      <c r="I77" s="1" t="n">
        <v>0.250705667165816</v>
      </c>
      <c r="J77" s="1" t="n">
        <v>0.285615785190158</v>
      </c>
      <c r="K77" s="1" t="n">
        <f aca="false">J77-I77</f>
        <v>0.0349101180243421</v>
      </c>
      <c r="L77" s="1" t="n">
        <v>0.684900718861709</v>
      </c>
    </row>
    <row r="78" customFormat="false" ht="15" hidden="false" customHeight="false" outlineLevel="0" collapsed="false">
      <c r="A78" s="1" t="s">
        <v>64</v>
      </c>
      <c r="B78" s="1" t="s">
        <v>65</v>
      </c>
      <c r="C78" s="1" t="s">
        <v>66</v>
      </c>
      <c r="D78" s="1" t="s">
        <v>19</v>
      </c>
      <c r="E78" s="1" t="s">
        <v>20</v>
      </c>
      <c r="F78" s="2" t="n">
        <v>24</v>
      </c>
      <c r="G78" s="3" t="s">
        <v>54</v>
      </c>
      <c r="H78" s="1" t="n">
        <v>0.1726</v>
      </c>
      <c r="I78" s="1" t="n">
        <v>0.249805516040979</v>
      </c>
      <c r="J78" s="1" t="n">
        <v>0.318463197183312</v>
      </c>
      <c r="K78" s="1" t="n">
        <f aca="false">J78-I78</f>
        <v>0.0686576811423323</v>
      </c>
      <c r="L78" s="1" t="n">
        <v>0.684900718861709</v>
      </c>
    </row>
    <row r="79" customFormat="false" ht="15" hidden="false" customHeight="false" outlineLevel="0" collapsed="false">
      <c r="A79" s="1" t="s">
        <v>64</v>
      </c>
      <c r="B79" s="1" t="s">
        <v>65</v>
      </c>
      <c r="C79" s="1" t="s">
        <v>66</v>
      </c>
      <c r="D79" s="1" t="s">
        <v>19</v>
      </c>
      <c r="E79" s="1" t="s">
        <v>20</v>
      </c>
      <c r="F79" s="2" t="n">
        <v>24</v>
      </c>
      <c r="G79" s="3" t="s">
        <v>23</v>
      </c>
      <c r="H79" s="1" t="n">
        <v>0.1647</v>
      </c>
      <c r="I79" s="1" t="n">
        <v>0.238492073806427</v>
      </c>
      <c r="J79" s="1" t="n">
        <v>0.282158213329488</v>
      </c>
      <c r="K79" s="1" t="n">
        <f aca="false">J79-I79</f>
        <v>0.0436661395230608</v>
      </c>
      <c r="L79" s="1" t="n">
        <v>0.684900718861709</v>
      </c>
    </row>
    <row r="80" customFormat="false" ht="15" hidden="false" customHeight="false" outlineLevel="0" collapsed="false">
      <c r="A80" s="1" t="s">
        <v>64</v>
      </c>
      <c r="B80" s="1" t="s">
        <v>65</v>
      </c>
      <c r="C80" s="1" t="s">
        <v>66</v>
      </c>
      <c r="D80" s="1" t="s">
        <v>19</v>
      </c>
      <c r="E80" s="1" t="s">
        <v>20</v>
      </c>
      <c r="F80" s="2" t="n">
        <v>24</v>
      </c>
      <c r="G80" s="3" t="s">
        <v>26</v>
      </c>
      <c r="H80" s="1" t="n">
        <v>0.1</v>
      </c>
      <c r="I80" s="1" t="n">
        <v>0.157695765615523</v>
      </c>
      <c r="J80" s="1" t="n">
        <v>0.210160113188684</v>
      </c>
      <c r="K80" s="1" t="n">
        <f aca="false">J80-I80</f>
        <v>0.0524643475731619</v>
      </c>
      <c r="L80" s="1" t="n">
        <v>0.684900718861709</v>
      </c>
    </row>
    <row r="81" customFormat="false" ht="15" hidden="false" customHeight="false" outlineLevel="0" collapsed="false">
      <c r="A81" s="1" t="s">
        <v>67</v>
      </c>
      <c r="B81" s="1" t="s">
        <v>68</v>
      </c>
      <c r="C81" s="1" t="s">
        <v>69</v>
      </c>
      <c r="D81" s="1" t="s">
        <v>19</v>
      </c>
      <c r="E81" s="1" t="s">
        <v>20</v>
      </c>
      <c r="F81" s="2" t="n">
        <v>26</v>
      </c>
      <c r="G81" s="3" t="s">
        <v>21</v>
      </c>
      <c r="H81" s="1" t="n">
        <v>0.2011</v>
      </c>
      <c r="I81" s="1" t="n">
        <v>0.245797919694436</v>
      </c>
      <c r="J81" s="1" t="n">
        <v>0.349932994356293</v>
      </c>
      <c r="K81" s="1" t="n">
        <f aca="false">J81-I81</f>
        <v>0.104135074661857</v>
      </c>
      <c r="L81" s="1" t="n">
        <v>0.81196411023973</v>
      </c>
    </row>
    <row r="82" customFormat="false" ht="15" hidden="false" customHeight="false" outlineLevel="0" collapsed="false">
      <c r="A82" s="1" t="s">
        <v>67</v>
      </c>
      <c r="B82" s="1" t="s">
        <v>68</v>
      </c>
      <c r="C82" s="1" t="s">
        <v>69</v>
      </c>
      <c r="D82" s="1" t="s">
        <v>19</v>
      </c>
      <c r="E82" s="1" t="s">
        <v>20</v>
      </c>
      <c r="F82" s="2" t="n">
        <v>26</v>
      </c>
      <c r="G82" s="3" t="s">
        <v>54</v>
      </c>
      <c r="H82" s="1" t="n">
        <v>0.1986</v>
      </c>
      <c r="I82" s="1" t="n">
        <v>0.242670470247544</v>
      </c>
      <c r="J82" s="1" t="n">
        <v>0.337218130392247</v>
      </c>
      <c r="K82" s="1" t="n">
        <f aca="false">J82-I82</f>
        <v>0.0945476601447023</v>
      </c>
      <c r="L82" s="1" t="n">
        <v>0.81196411023973</v>
      </c>
    </row>
    <row r="83" customFormat="false" ht="15" hidden="false" customHeight="false" outlineLevel="0" collapsed="false">
      <c r="A83" s="1" t="s">
        <v>67</v>
      </c>
      <c r="B83" s="1" t="s">
        <v>68</v>
      </c>
      <c r="C83" s="1" t="s">
        <v>69</v>
      </c>
      <c r="D83" s="1" t="s">
        <v>19</v>
      </c>
      <c r="E83" s="1" t="s">
        <v>20</v>
      </c>
      <c r="F83" s="2" t="n">
        <v>26</v>
      </c>
      <c r="G83" s="3" t="s">
        <v>23</v>
      </c>
      <c r="H83" s="1" t="n">
        <v>0.1691</v>
      </c>
      <c r="I83" s="1" t="n">
        <v>0.206635323092037</v>
      </c>
      <c r="J83" s="1" t="n">
        <v>0.304756553269836</v>
      </c>
      <c r="K83" s="1" t="n">
        <f aca="false">J83-I83</f>
        <v>0.0981212301777991</v>
      </c>
      <c r="L83" s="1" t="n">
        <v>0.81196411023973</v>
      </c>
    </row>
    <row r="84" customFormat="false" ht="15" hidden="false" customHeight="false" outlineLevel="0" collapsed="false">
      <c r="A84" s="1" t="s">
        <v>67</v>
      </c>
      <c r="B84" s="1" t="s">
        <v>68</v>
      </c>
      <c r="C84" s="1" t="s">
        <v>69</v>
      </c>
      <c r="D84" s="1" t="s">
        <v>19</v>
      </c>
      <c r="E84" s="1" t="s">
        <v>20</v>
      </c>
      <c r="F84" s="2" t="n">
        <v>26</v>
      </c>
      <c r="G84" s="3" t="s">
        <v>44</v>
      </c>
      <c r="H84" s="1" t="n">
        <v>0.1671</v>
      </c>
      <c r="I84" s="1" t="n">
        <v>0.204251515985465</v>
      </c>
      <c r="J84" s="1" t="n">
        <v>0.225708197614697</v>
      </c>
      <c r="K84" s="1" t="n">
        <f aca="false">J84-I84</f>
        <v>0.0214566816292327</v>
      </c>
      <c r="L84" s="1" t="n">
        <v>0.81196411023973</v>
      </c>
    </row>
    <row r="85" customFormat="false" ht="15" hidden="false" customHeight="false" outlineLevel="0" collapsed="false">
      <c r="A85" s="1" t="s">
        <v>67</v>
      </c>
      <c r="B85" s="1" t="s">
        <v>68</v>
      </c>
      <c r="C85" s="1" t="s">
        <v>69</v>
      </c>
      <c r="D85" s="1" t="s">
        <v>19</v>
      </c>
      <c r="E85" s="1" t="s">
        <v>20</v>
      </c>
      <c r="F85" s="2" t="n">
        <v>26</v>
      </c>
      <c r="G85" s="3" t="s">
        <v>33</v>
      </c>
      <c r="H85" s="1" t="n">
        <v>0.1641</v>
      </c>
      <c r="I85" s="1" t="n">
        <v>0.200570182251641</v>
      </c>
      <c r="J85" s="1" t="n">
        <v>0.297162327479676</v>
      </c>
      <c r="K85" s="1" t="n">
        <f aca="false">J85-I85</f>
        <v>0.0965921452280345</v>
      </c>
      <c r="L85" s="1" t="n">
        <v>0.81196411023973</v>
      </c>
    </row>
    <row r="86" customFormat="false" ht="15" hidden="false" customHeight="false" outlineLevel="0" collapsed="false">
      <c r="A86" s="1" t="s">
        <v>67</v>
      </c>
      <c r="B86" s="1" t="s">
        <v>68</v>
      </c>
      <c r="C86" s="1" t="s">
        <v>69</v>
      </c>
      <c r="D86" s="1" t="s">
        <v>19</v>
      </c>
      <c r="E86" s="1" t="s">
        <v>20</v>
      </c>
      <c r="F86" s="2" t="n">
        <v>26</v>
      </c>
      <c r="G86" s="3" t="s">
        <v>26</v>
      </c>
      <c r="H86" s="1" t="n">
        <v>0.1</v>
      </c>
      <c r="I86" s="1" t="n">
        <v>0.131332506079396</v>
      </c>
      <c r="J86" s="1" t="n">
        <v>0.211627597531869</v>
      </c>
      <c r="K86" s="1" t="n">
        <f aca="false">J86-I86</f>
        <v>0.0802950914524726</v>
      </c>
      <c r="L86" s="1" t="n">
        <v>0.81196411023973</v>
      </c>
    </row>
    <row r="87" customFormat="false" ht="15" hidden="false" customHeight="false" outlineLevel="0" collapsed="false">
      <c r="A87" s="1" t="s">
        <v>70</v>
      </c>
      <c r="B87" s="1" t="s">
        <v>71</v>
      </c>
      <c r="C87" s="1" t="s">
        <v>72</v>
      </c>
      <c r="D87" s="1" t="s">
        <v>19</v>
      </c>
      <c r="E87" s="1" t="s">
        <v>20</v>
      </c>
      <c r="F87" s="2" t="n">
        <v>28</v>
      </c>
      <c r="G87" s="3" t="s">
        <v>54</v>
      </c>
      <c r="H87" s="1" t="n">
        <v>0.2095</v>
      </c>
      <c r="I87" s="1" t="n">
        <v>0.341737253301455</v>
      </c>
      <c r="J87" s="1" t="n">
        <v>0.355004161966641</v>
      </c>
      <c r="K87" s="1" t="n">
        <f aca="false">J87-I87</f>
        <v>0.0132669086651857</v>
      </c>
      <c r="L87" s="1" t="n">
        <v>0.793315446960825</v>
      </c>
    </row>
    <row r="88" customFormat="false" ht="15" hidden="false" customHeight="false" outlineLevel="0" collapsed="false">
      <c r="A88" s="1" t="s">
        <v>70</v>
      </c>
      <c r="B88" s="1" t="s">
        <v>71</v>
      </c>
      <c r="C88" s="1" t="s">
        <v>72</v>
      </c>
      <c r="D88" s="1" t="s">
        <v>19</v>
      </c>
      <c r="E88" s="1" t="s">
        <v>20</v>
      </c>
      <c r="F88" s="2" t="n">
        <v>28</v>
      </c>
      <c r="G88" s="3" t="s">
        <v>21</v>
      </c>
      <c r="H88" s="1" t="n">
        <v>0.1963</v>
      </c>
      <c r="I88" s="1" t="n">
        <v>0.320229729737696</v>
      </c>
      <c r="J88" s="1" t="n">
        <v>0.363260650484342</v>
      </c>
      <c r="K88" s="1" t="n">
        <f aca="false">J88-I88</f>
        <v>0.0430309207466456</v>
      </c>
      <c r="L88" s="1" t="n">
        <v>0.793315446960825</v>
      </c>
    </row>
    <row r="89" customFormat="false" ht="15" hidden="false" customHeight="false" outlineLevel="0" collapsed="false">
      <c r="A89" s="1" t="s">
        <v>70</v>
      </c>
      <c r="B89" s="1" t="s">
        <v>71</v>
      </c>
      <c r="C89" s="1" t="s">
        <v>72</v>
      </c>
      <c r="D89" s="1" t="s">
        <v>19</v>
      </c>
      <c r="E89" s="1" t="s">
        <v>20</v>
      </c>
      <c r="F89" s="2" t="n">
        <v>28</v>
      </c>
      <c r="G89" s="3" t="s">
        <v>23</v>
      </c>
      <c r="H89" s="1" t="n">
        <v>0.1734</v>
      </c>
      <c r="I89" s="1" t="n">
        <v>0.282881600575645</v>
      </c>
      <c r="J89" s="1" t="n">
        <v>0.337649688599244</v>
      </c>
      <c r="K89" s="1" t="n">
        <f aca="false">J89-I89</f>
        <v>0.0547680880235999</v>
      </c>
      <c r="L89" s="1" t="n">
        <v>0.793315446960825</v>
      </c>
    </row>
    <row r="90" customFormat="false" ht="15" hidden="false" customHeight="false" outlineLevel="0" collapsed="false">
      <c r="A90" s="1" t="s">
        <v>70</v>
      </c>
      <c r="B90" s="1" t="s">
        <v>71</v>
      </c>
      <c r="C90" s="1" t="s">
        <v>72</v>
      </c>
      <c r="D90" s="1" t="s">
        <v>19</v>
      </c>
      <c r="E90" s="1" t="s">
        <v>20</v>
      </c>
      <c r="F90" s="2" t="n">
        <v>28</v>
      </c>
      <c r="G90" s="3" t="s">
        <v>24</v>
      </c>
      <c r="H90" s="1" t="n">
        <v>0.1649</v>
      </c>
      <c r="I90" s="1" t="n">
        <v>0.269045542675003</v>
      </c>
      <c r="J90" s="1" t="n">
        <v>0.320440494007832</v>
      </c>
      <c r="K90" s="1" t="n">
        <f aca="false">J90-I90</f>
        <v>0.0513949513328297</v>
      </c>
      <c r="L90" s="1" t="n">
        <v>0.793315446960825</v>
      </c>
    </row>
    <row r="91" customFormat="false" ht="15" hidden="false" customHeight="false" outlineLevel="0" collapsed="false">
      <c r="A91" s="1" t="s">
        <v>70</v>
      </c>
      <c r="B91" s="1" t="s">
        <v>71</v>
      </c>
      <c r="C91" s="1" t="s">
        <v>72</v>
      </c>
      <c r="D91" s="1" t="s">
        <v>19</v>
      </c>
      <c r="E91" s="1" t="s">
        <v>20</v>
      </c>
      <c r="F91" s="2" t="n">
        <v>28</v>
      </c>
      <c r="G91" s="3" t="s">
        <v>33</v>
      </c>
      <c r="H91" s="1" t="n">
        <v>0.156</v>
      </c>
      <c r="I91" s="1" t="n">
        <v>0.254460358749413</v>
      </c>
      <c r="J91" s="1" t="n">
        <v>0.304836342512137</v>
      </c>
      <c r="K91" s="1" t="n">
        <f aca="false">J91-I91</f>
        <v>0.0503759837627236</v>
      </c>
      <c r="L91" s="1" t="n">
        <v>0.793315446960825</v>
      </c>
    </row>
    <row r="92" customFormat="false" ht="15" hidden="false" customHeight="false" outlineLevel="0" collapsed="false">
      <c r="A92" s="1" t="s">
        <v>70</v>
      </c>
      <c r="B92" s="1" t="s">
        <v>71</v>
      </c>
      <c r="C92" s="1" t="s">
        <v>72</v>
      </c>
      <c r="D92" s="1" t="s">
        <v>19</v>
      </c>
      <c r="E92" s="1" t="s">
        <v>20</v>
      </c>
      <c r="F92" s="2" t="n">
        <v>28</v>
      </c>
      <c r="G92" s="3" t="s">
        <v>26</v>
      </c>
      <c r="H92" s="1" t="n">
        <v>0.1</v>
      </c>
      <c r="I92" s="1" t="n">
        <v>0.190567766335619</v>
      </c>
      <c r="J92" s="1" t="n">
        <v>0.235550384498727</v>
      </c>
      <c r="K92" s="1" t="n">
        <f aca="false">J92-I92</f>
        <v>0.0449826181631081</v>
      </c>
      <c r="L92" s="1" t="n">
        <v>0.793315446960825</v>
      </c>
    </row>
    <row r="93" customFormat="false" ht="15" hidden="false" customHeight="false" outlineLevel="0" collapsed="false">
      <c r="A93" s="1" t="s">
        <v>73</v>
      </c>
      <c r="B93" s="1" t="s">
        <v>74</v>
      </c>
      <c r="C93" s="1" t="s">
        <v>75</v>
      </c>
      <c r="D93" s="1" t="s">
        <v>19</v>
      </c>
      <c r="E93" s="1" t="s">
        <v>20</v>
      </c>
      <c r="F93" s="2" t="n">
        <v>30</v>
      </c>
      <c r="G93" s="3" t="s">
        <v>21</v>
      </c>
      <c r="H93" s="1" t="n">
        <v>0.1952</v>
      </c>
      <c r="I93" s="1" t="n">
        <v>0.298119813570773</v>
      </c>
      <c r="J93" s="1" t="n">
        <v>0.335739983477775</v>
      </c>
      <c r="K93" s="1" t="n">
        <f aca="false">J93-I93</f>
        <v>0.0376201699070023</v>
      </c>
      <c r="L93" s="1" t="n">
        <v>0.677622741253111</v>
      </c>
    </row>
    <row r="94" customFormat="false" ht="15" hidden="false" customHeight="false" outlineLevel="0" collapsed="false">
      <c r="A94" s="1" t="s">
        <v>73</v>
      </c>
      <c r="B94" s="1" t="s">
        <v>74</v>
      </c>
      <c r="C94" s="1" t="s">
        <v>75</v>
      </c>
      <c r="D94" s="1" t="s">
        <v>19</v>
      </c>
      <c r="E94" s="1" t="s">
        <v>20</v>
      </c>
      <c r="F94" s="2" t="n">
        <v>30</v>
      </c>
      <c r="G94" s="3" t="s">
        <v>23</v>
      </c>
      <c r="H94" s="1" t="n">
        <v>0.1904</v>
      </c>
      <c r="I94" s="1" t="n">
        <v>0.290731627812426</v>
      </c>
      <c r="J94" s="1" t="n">
        <v>0.276332375575366</v>
      </c>
      <c r="K94" s="1" t="n">
        <f aca="false">J94-I94</f>
        <v>-0.0143992522370596</v>
      </c>
      <c r="L94" s="1" t="n">
        <v>0.677622741253111</v>
      </c>
    </row>
    <row r="95" customFormat="false" ht="15" hidden="false" customHeight="false" outlineLevel="0" collapsed="false">
      <c r="A95" s="1" t="s">
        <v>73</v>
      </c>
      <c r="B95" s="1" t="s">
        <v>74</v>
      </c>
      <c r="C95" s="1" t="s">
        <v>75</v>
      </c>
      <c r="D95" s="1" t="s">
        <v>19</v>
      </c>
      <c r="E95" s="1" t="s">
        <v>20</v>
      </c>
      <c r="F95" s="2" t="n">
        <v>30</v>
      </c>
      <c r="G95" s="3" t="s">
        <v>54</v>
      </c>
      <c r="H95" s="1" t="n">
        <v>0.1742</v>
      </c>
      <c r="I95" s="1" t="n">
        <v>0.266088783554541</v>
      </c>
      <c r="J95" s="1" t="n">
        <v>0.26150765653798</v>
      </c>
      <c r="K95" s="1" t="n">
        <f aca="false">J95-I95</f>
        <v>-0.0045811270165606</v>
      </c>
      <c r="L95" s="1" t="n">
        <v>0.677622741253111</v>
      </c>
    </row>
    <row r="96" customFormat="false" ht="15" hidden="false" customHeight="false" outlineLevel="0" collapsed="false">
      <c r="A96" s="1" t="s">
        <v>73</v>
      </c>
      <c r="B96" s="1" t="s">
        <v>74</v>
      </c>
      <c r="C96" s="1" t="s">
        <v>75</v>
      </c>
      <c r="D96" s="1" t="s">
        <v>19</v>
      </c>
      <c r="E96" s="1" t="s">
        <v>20</v>
      </c>
      <c r="F96" s="2" t="n">
        <v>30</v>
      </c>
      <c r="G96" s="3" t="s">
        <v>24</v>
      </c>
      <c r="H96" s="1" t="n">
        <v>0.1738</v>
      </c>
      <c r="I96" s="1" t="n">
        <v>0.265457697012568</v>
      </c>
      <c r="J96" s="1" t="n">
        <v>0.278791542279179</v>
      </c>
      <c r="K96" s="1" t="n">
        <f aca="false">J96-I96</f>
        <v>0.0133338452666106</v>
      </c>
      <c r="L96" s="1" t="n">
        <v>0.677622741253111</v>
      </c>
    </row>
    <row r="97" customFormat="false" ht="15" hidden="false" customHeight="false" outlineLevel="0" collapsed="false">
      <c r="A97" s="1" t="s">
        <v>73</v>
      </c>
      <c r="B97" s="1" t="s">
        <v>74</v>
      </c>
      <c r="C97" s="1" t="s">
        <v>75</v>
      </c>
      <c r="D97" s="1" t="s">
        <v>19</v>
      </c>
      <c r="E97" s="1" t="s">
        <v>20</v>
      </c>
      <c r="F97" s="2" t="n">
        <v>30</v>
      </c>
      <c r="G97" s="3" t="s">
        <v>25</v>
      </c>
      <c r="H97" s="1" t="n">
        <v>0.1663</v>
      </c>
      <c r="I97" s="1" t="n">
        <v>0.253960586863456</v>
      </c>
      <c r="J97" s="1" t="n">
        <v>0.297200101423998</v>
      </c>
      <c r="K97" s="1" t="n">
        <f aca="false">J97-I97</f>
        <v>0.0432395145605417</v>
      </c>
      <c r="L97" s="1" t="n">
        <v>0.677622741253111</v>
      </c>
    </row>
    <row r="98" customFormat="false" ht="15" hidden="false" customHeight="false" outlineLevel="0" collapsed="false">
      <c r="A98" s="1" t="s">
        <v>73</v>
      </c>
      <c r="B98" s="1" t="s">
        <v>74</v>
      </c>
      <c r="C98" s="1" t="s">
        <v>75</v>
      </c>
      <c r="D98" s="1" t="s">
        <v>19</v>
      </c>
      <c r="E98" s="1" t="s">
        <v>20</v>
      </c>
      <c r="F98" s="2" t="n">
        <v>30</v>
      </c>
      <c r="G98" s="3" t="s">
        <v>26</v>
      </c>
      <c r="H98" s="1" t="n">
        <v>0.1</v>
      </c>
      <c r="I98" s="1" t="n">
        <v>0.18211591776573</v>
      </c>
      <c r="J98" s="1" t="n">
        <v>0.217042203866683</v>
      </c>
      <c r="K98" s="1" t="n">
        <f aca="false">J98-I98</f>
        <v>0.0349262861009522</v>
      </c>
      <c r="L98" s="1" t="n">
        <v>0.677622741253111</v>
      </c>
    </row>
    <row r="99" customFormat="false" ht="15" hidden="false" customHeight="false" outlineLevel="0" collapsed="false">
      <c r="A99" s="1" t="s">
        <v>76</v>
      </c>
      <c r="B99" s="1" t="s">
        <v>77</v>
      </c>
      <c r="C99" s="1" t="s">
        <v>78</v>
      </c>
      <c r="D99" s="1" t="s">
        <v>19</v>
      </c>
      <c r="E99" s="1" t="s">
        <v>20</v>
      </c>
      <c r="F99" s="2" t="n">
        <v>32</v>
      </c>
      <c r="G99" s="3" t="s">
        <v>21</v>
      </c>
      <c r="H99" s="1" t="n">
        <v>0.205</v>
      </c>
      <c r="I99" s="1" t="n">
        <v>0.249969147565434</v>
      </c>
      <c r="J99" s="1" t="n">
        <v>0.330221451643889</v>
      </c>
      <c r="K99" s="1" t="n">
        <f aca="false">J99-I99</f>
        <v>0.0802523040784545</v>
      </c>
      <c r="L99" s="1" t="n">
        <v>0.775090547764</v>
      </c>
    </row>
    <row r="100" customFormat="false" ht="15" hidden="false" customHeight="false" outlineLevel="0" collapsed="false">
      <c r="A100" s="1" t="s">
        <v>76</v>
      </c>
      <c r="B100" s="1" t="s">
        <v>77</v>
      </c>
      <c r="C100" s="1" t="s">
        <v>78</v>
      </c>
      <c r="D100" s="1" t="s">
        <v>19</v>
      </c>
      <c r="E100" s="1" t="s">
        <v>20</v>
      </c>
      <c r="F100" s="2" t="n">
        <v>32</v>
      </c>
      <c r="G100" s="3" t="s">
        <v>24</v>
      </c>
      <c r="H100" s="1" t="n">
        <v>0.1897</v>
      </c>
      <c r="I100" s="1" t="n">
        <v>0.231330761432902</v>
      </c>
      <c r="J100" s="1" t="n">
        <v>0.286463478217662</v>
      </c>
      <c r="K100" s="1" t="n">
        <f aca="false">J100-I100</f>
        <v>0.0551327167847592</v>
      </c>
      <c r="L100" s="1" t="n">
        <v>0.775090547764</v>
      </c>
    </row>
    <row r="101" customFormat="false" ht="15" hidden="false" customHeight="false" outlineLevel="0" collapsed="false">
      <c r="A101" s="1" t="s">
        <v>76</v>
      </c>
      <c r="B101" s="1" t="s">
        <v>77</v>
      </c>
      <c r="C101" s="1" t="s">
        <v>78</v>
      </c>
      <c r="D101" s="1" t="s">
        <v>19</v>
      </c>
      <c r="E101" s="1" t="s">
        <v>20</v>
      </c>
      <c r="F101" s="2" t="n">
        <v>32</v>
      </c>
      <c r="G101" s="3" t="s">
        <v>40</v>
      </c>
      <c r="H101" s="1" t="n">
        <v>0.17</v>
      </c>
      <c r="I101" s="1" t="n">
        <v>0.20727941459722</v>
      </c>
      <c r="J101" s="1" t="n">
        <v>0.271470676855153</v>
      </c>
      <c r="K101" s="1" t="n">
        <f aca="false">J101-I101</f>
        <v>0.0641912622579331</v>
      </c>
      <c r="L101" s="1" t="n">
        <v>0.775090547764</v>
      </c>
    </row>
    <row r="102" customFormat="false" ht="15" hidden="false" customHeight="false" outlineLevel="0" collapsed="false">
      <c r="A102" s="1" t="s">
        <v>76</v>
      </c>
      <c r="B102" s="1" t="s">
        <v>77</v>
      </c>
      <c r="C102" s="1" t="s">
        <v>78</v>
      </c>
      <c r="D102" s="1" t="s">
        <v>19</v>
      </c>
      <c r="E102" s="1" t="s">
        <v>20</v>
      </c>
      <c r="F102" s="2" t="n">
        <v>32</v>
      </c>
      <c r="G102" s="3" t="s">
        <v>25</v>
      </c>
      <c r="H102" s="1" t="n">
        <v>0.1682</v>
      </c>
      <c r="I102" s="1" t="n">
        <v>0.2051470504653</v>
      </c>
      <c r="J102" s="1" t="n">
        <v>0.276889654298319</v>
      </c>
      <c r="K102" s="1" t="n">
        <f aca="false">J102-I102</f>
        <v>0.0717426038330193</v>
      </c>
      <c r="L102" s="1" t="n">
        <v>0.775090547764</v>
      </c>
    </row>
    <row r="103" customFormat="false" ht="15" hidden="false" customHeight="false" outlineLevel="0" collapsed="false">
      <c r="A103" s="1" t="s">
        <v>76</v>
      </c>
      <c r="B103" s="1" t="s">
        <v>77</v>
      </c>
      <c r="C103" s="1" t="s">
        <v>78</v>
      </c>
      <c r="D103" s="1" t="s">
        <v>19</v>
      </c>
      <c r="E103" s="1" t="s">
        <v>20</v>
      </c>
      <c r="F103" s="2" t="n">
        <v>32</v>
      </c>
      <c r="G103" s="3" t="s">
        <v>23</v>
      </c>
      <c r="H103" s="1" t="n">
        <v>0.167</v>
      </c>
      <c r="I103" s="1" t="n">
        <v>0.203663931841877</v>
      </c>
      <c r="J103" s="1" t="n">
        <v>0.287274204474949</v>
      </c>
      <c r="K103" s="1" t="n">
        <f aca="false">J103-I103</f>
        <v>0.0836102726330721</v>
      </c>
      <c r="L103" s="1" t="n">
        <v>0.775090547764</v>
      </c>
    </row>
    <row r="104" customFormat="false" ht="15" hidden="false" customHeight="false" outlineLevel="0" collapsed="false">
      <c r="A104" s="1" t="s">
        <v>76</v>
      </c>
      <c r="B104" s="1" t="s">
        <v>77</v>
      </c>
      <c r="C104" s="1" t="s">
        <v>78</v>
      </c>
      <c r="D104" s="1" t="s">
        <v>19</v>
      </c>
      <c r="E104" s="1" t="s">
        <v>20</v>
      </c>
      <c r="F104" s="2" t="n">
        <v>32</v>
      </c>
      <c r="G104" s="3" t="s">
        <v>26</v>
      </c>
      <c r="H104" s="1" t="n">
        <v>0.1</v>
      </c>
      <c r="I104" s="1" t="n">
        <v>0.183796153708835</v>
      </c>
      <c r="J104" s="1" t="n">
        <v>0.23590842268559</v>
      </c>
      <c r="K104" s="1" t="n">
        <f aca="false">J104-I104</f>
        <v>0.0521122689767556</v>
      </c>
      <c r="L104" s="1" t="n">
        <v>0.775090547764</v>
      </c>
    </row>
    <row r="105" customFormat="false" ht="15" hidden="false" customHeight="false" outlineLevel="0" collapsed="false">
      <c r="A105" s="1" t="s">
        <v>79</v>
      </c>
      <c r="B105" s="1" t="s">
        <v>80</v>
      </c>
      <c r="C105" s="1" t="s">
        <v>81</v>
      </c>
      <c r="D105" s="1" t="s">
        <v>19</v>
      </c>
      <c r="E105" s="1" t="s">
        <v>20</v>
      </c>
      <c r="F105" s="2" t="n">
        <v>34</v>
      </c>
      <c r="G105" s="3" t="s">
        <v>21</v>
      </c>
      <c r="H105" s="1" t="n">
        <v>0.2047</v>
      </c>
      <c r="I105" s="1" t="n">
        <v>0.301906202731144</v>
      </c>
      <c r="J105" s="1" t="n">
        <v>0.339320802422562</v>
      </c>
      <c r="K105" s="1" t="n">
        <f aca="false">J105-I105</f>
        <v>0.037414599691418</v>
      </c>
      <c r="L105" s="1" t="n">
        <v>0.608910195539342</v>
      </c>
    </row>
    <row r="106" customFormat="false" ht="15" hidden="false" customHeight="false" outlineLevel="0" collapsed="false">
      <c r="A106" s="1" t="s">
        <v>79</v>
      </c>
      <c r="B106" s="1" t="s">
        <v>80</v>
      </c>
      <c r="C106" s="1" t="s">
        <v>81</v>
      </c>
      <c r="D106" s="1" t="s">
        <v>19</v>
      </c>
      <c r="E106" s="1" t="s">
        <v>20</v>
      </c>
      <c r="F106" s="2" t="n">
        <v>34</v>
      </c>
      <c r="G106" s="3" t="s">
        <v>25</v>
      </c>
      <c r="H106" s="1" t="n">
        <v>0.1796</v>
      </c>
      <c r="I106" s="1" t="n">
        <v>0.264966584592079</v>
      </c>
      <c r="J106" s="1" t="n">
        <v>0.332420372058165</v>
      </c>
      <c r="K106" s="1" t="n">
        <f aca="false">J106-I106</f>
        <v>0.0674537874660857</v>
      </c>
      <c r="L106" s="1" t="n">
        <v>0.608910195539342</v>
      </c>
    </row>
    <row r="107" customFormat="false" ht="15" hidden="false" customHeight="false" outlineLevel="0" collapsed="false">
      <c r="A107" s="1" t="s">
        <v>79</v>
      </c>
      <c r="B107" s="1" t="s">
        <v>80</v>
      </c>
      <c r="C107" s="1" t="s">
        <v>81</v>
      </c>
      <c r="D107" s="1" t="s">
        <v>19</v>
      </c>
      <c r="E107" s="1" t="s">
        <v>20</v>
      </c>
      <c r="F107" s="2" t="n">
        <v>34</v>
      </c>
      <c r="G107" s="3" t="s">
        <v>24</v>
      </c>
      <c r="H107" s="1" t="n">
        <v>0.1794</v>
      </c>
      <c r="I107" s="1" t="n">
        <v>0.264644826562662</v>
      </c>
      <c r="J107" s="1" t="n">
        <v>0.327898251214336</v>
      </c>
      <c r="K107" s="1" t="n">
        <f aca="false">J107-I107</f>
        <v>0.0632534246516742</v>
      </c>
      <c r="L107" s="1" t="n">
        <v>0.608910195539342</v>
      </c>
    </row>
    <row r="108" customFormat="false" ht="15" hidden="false" customHeight="false" outlineLevel="0" collapsed="false">
      <c r="A108" s="1" t="s">
        <v>79</v>
      </c>
      <c r="B108" s="1" t="s">
        <v>80</v>
      </c>
      <c r="C108" s="1" t="s">
        <v>81</v>
      </c>
      <c r="D108" s="1" t="s">
        <v>19</v>
      </c>
      <c r="E108" s="1" t="s">
        <v>20</v>
      </c>
      <c r="F108" s="2" t="n">
        <v>34</v>
      </c>
      <c r="G108" s="3" t="s">
        <v>44</v>
      </c>
      <c r="H108" s="1" t="n">
        <v>0.1693</v>
      </c>
      <c r="I108" s="1" t="n">
        <v>0.249729781157388</v>
      </c>
      <c r="J108" s="1" t="n">
        <v>0.324778386034285</v>
      </c>
      <c r="K108" s="1" t="n">
        <f aca="false">J108-I108</f>
        <v>0.0750486048768976</v>
      </c>
      <c r="L108" s="1" t="n">
        <v>0.608910195539342</v>
      </c>
    </row>
    <row r="109" customFormat="false" ht="15" hidden="false" customHeight="false" outlineLevel="0" collapsed="false">
      <c r="A109" s="1" t="s">
        <v>79</v>
      </c>
      <c r="B109" s="1" t="s">
        <v>80</v>
      </c>
      <c r="C109" s="1" t="s">
        <v>81</v>
      </c>
      <c r="D109" s="1" t="s">
        <v>19</v>
      </c>
      <c r="E109" s="1" t="s">
        <v>20</v>
      </c>
      <c r="F109" s="2" t="n">
        <v>34</v>
      </c>
      <c r="G109" s="3" t="s">
        <v>23</v>
      </c>
      <c r="H109" s="1" t="n">
        <v>0.1669</v>
      </c>
      <c r="I109" s="1" t="n">
        <v>0.246243676688667</v>
      </c>
      <c r="J109" s="1" t="n">
        <v>0.307421627504556</v>
      </c>
      <c r="K109" s="1" t="n">
        <f aca="false">J109-I109</f>
        <v>0.061177950815889</v>
      </c>
      <c r="L109" s="1" t="n">
        <v>0.608910195539342</v>
      </c>
    </row>
    <row r="110" customFormat="false" ht="15" hidden="false" customHeight="false" outlineLevel="0" collapsed="false">
      <c r="A110" s="1" t="s">
        <v>79</v>
      </c>
      <c r="B110" s="1" t="s">
        <v>80</v>
      </c>
      <c r="C110" s="1" t="s">
        <v>81</v>
      </c>
      <c r="D110" s="1" t="s">
        <v>19</v>
      </c>
      <c r="E110" s="1" t="s">
        <v>20</v>
      </c>
      <c r="F110" s="2" t="n">
        <v>34</v>
      </c>
      <c r="G110" s="3" t="s">
        <v>26</v>
      </c>
      <c r="H110" s="1" t="n">
        <v>0.1</v>
      </c>
      <c r="I110" s="1" t="n">
        <v>0.184567850582254</v>
      </c>
      <c r="J110" s="1" t="n">
        <v>0.229135184937196</v>
      </c>
      <c r="K110" s="1" t="n">
        <f aca="false">J110-I110</f>
        <v>0.0445673343549421</v>
      </c>
      <c r="L110" s="1" t="n">
        <v>0.608910195539342</v>
      </c>
    </row>
    <row r="111" customFormat="false" ht="15" hidden="false" customHeight="false" outlineLevel="0" collapsed="false">
      <c r="A111" s="1" t="s">
        <v>82</v>
      </c>
      <c r="B111" s="1" t="s">
        <v>83</v>
      </c>
      <c r="C111" s="1" t="s">
        <v>84</v>
      </c>
      <c r="D111" s="1" t="s">
        <v>19</v>
      </c>
      <c r="E111" s="1" t="s">
        <v>20</v>
      </c>
      <c r="F111" s="2" t="n">
        <v>36</v>
      </c>
      <c r="G111" s="3" t="s">
        <v>44</v>
      </c>
      <c r="H111" s="1" t="n">
        <v>0.1888</v>
      </c>
      <c r="I111" s="1" t="n">
        <v>0.341965729759089</v>
      </c>
      <c r="J111" s="1" t="n">
        <v>0.393463215885763</v>
      </c>
      <c r="K111" s="1" t="n">
        <f aca="false">J111-I111</f>
        <v>0.0514974861266741</v>
      </c>
      <c r="L111" s="1" t="n">
        <v>0.816339008116756</v>
      </c>
    </row>
    <row r="112" customFormat="false" ht="15" hidden="false" customHeight="false" outlineLevel="0" collapsed="false">
      <c r="A112" s="1" t="s">
        <v>82</v>
      </c>
      <c r="B112" s="1" t="s">
        <v>83</v>
      </c>
      <c r="C112" s="1" t="s">
        <v>84</v>
      </c>
      <c r="D112" s="1" t="s">
        <v>19</v>
      </c>
      <c r="E112" s="1" t="s">
        <v>20</v>
      </c>
      <c r="F112" s="2" t="n">
        <v>36</v>
      </c>
      <c r="G112" s="3" t="s">
        <v>21</v>
      </c>
      <c r="H112" s="1" t="n">
        <v>0.1869</v>
      </c>
      <c r="I112" s="1" t="n">
        <v>0.338568956106391</v>
      </c>
      <c r="J112" s="1" t="n">
        <v>0.439069167252792</v>
      </c>
      <c r="K112" s="1" t="n">
        <f aca="false">J112-I112</f>
        <v>0.100500211146401</v>
      </c>
      <c r="L112" s="1" t="n">
        <v>0.816339008116756</v>
      </c>
    </row>
    <row r="113" customFormat="false" ht="15" hidden="false" customHeight="false" outlineLevel="0" collapsed="false">
      <c r="A113" s="1" t="s">
        <v>82</v>
      </c>
      <c r="B113" s="1" t="s">
        <v>83</v>
      </c>
      <c r="C113" s="1" t="s">
        <v>84</v>
      </c>
      <c r="D113" s="1" t="s">
        <v>19</v>
      </c>
      <c r="E113" s="1" t="s">
        <v>20</v>
      </c>
      <c r="F113" s="2" t="n">
        <v>36</v>
      </c>
      <c r="G113" s="3" t="s">
        <v>24</v>
      </c>
      <c r="H113" s="1" t="n">
        <v>0.182</v>
      </c>
      <c r="I113" s="1" t="n">
        <v>0.329789576545709</v>
      </c>
      <c r="J113" s="1" t="n">
        <v>0.392515454958516</v>
      </c>
      <c r="K113" s="1" t="n">
        <f aca="false">J113-I113</f>
        <v>0.0627258784128068</v>
      </c>
      <c r="L113" s="1" t="n">
        <v>0.816339008116756</v>
      </c>
    </row>
    <row r="114" customFormat="false" ht="15" hidden="false" customHeight="false" outlineLevel="0" collapsed="false">
      <c r="A114" s="1" t="s">
        <v>82</v>
      </c>
      <c r="B114" s="1" t="s">
        <v>83</v>
      </c>
      <c r="C114" s="1" t="s">
        <v>84</v>
      </c>
      <c r="D114" s="1" t="s">
        <v>19</v>
      </c>
      <c r="E114" s="1" t="s">
        <v>20</v>
      </c>
      <c r="F114" s="2" t="n">
        <v>36</v>
      </c>
      <c r="G114" s="3" t="s">
        <v>40</v>
      </c>
      <c r="H114" s="1" t="n">
        <v>0.1752</v>
      </c>
      <c r="I114" s="1" t="n">
        <v>0.31746222707203</v>
      </c>
      <c r="J114" s="1" t="n">
        <v>0.386574505834028</v>
      </c>
      <c r="K114" s="1" t="n">
        <f aca="false">J114-I114</f>
        <v>0.0691122787619975</v>
      </c>
      <c r="L114" s="1" t="n">
        <v>0.816339008116756</v>
      </c>
    </row>
    <row r="115" customFormat="false" ht="15" hidden="false" customHeight="false" outlineLevel="0" collapsed="false">
      <c r="A115" s="1" t="s">
        <v>82</v>
      </c>
      <c r="B115" s="1" t="s">
        <v>83</v>
      </c>
      <c r="C115" s="1" t="s">
        <v>84</v>
      </c>
      <c r="D115" s="1" t="s">
        <v>19</v>
      </c>
      <c r="E115" s="1" t="s">
        <v>20</v>
      </c>
      <c r="F115" s="2" t="n">
        <v>36</v>
      </c>
      <c r="G115" s="3" t="s">
        <v>33</v>
      </c>
      <c r="H115" s="1" t="n">
        <v>0.1671</v>
      </c>
      <c r="I115" s="1" t="n">
        <v>0.302639548456194</v>
      </c>
      <c r="J115" s="1" t="n">
        <v>0.32752877505236</v>
      </c>
      <c r="K115" s="1" t="n">
        <f aca="false">J115-I115</f>
        <v>0.0248892265961659</v>
      </c>
      <c r="L115" s="1" t="n">
        <v>0.816339008116756</v>
      </c>
    </row>
    <row r="116" customFormat="false" ht="15" hidden="false" customHeight="false" outlineLevel="0" collapsed="false">
      <c r="A116" s="1" t="s">
        <v>82</v>
      </c>
      <c r="B116" s="1" t="s">
        <v>83</v>
      </c>
      <c r="C116" s="1" t="s">
        <v>84</v>
      </c>
      <c r="D116" s="1" t="s">
        <v>19</v>
      </c>
      <c r="E116" s="1" t="s">
        <v>20</v>
      </c>
      <c r="F116" s="2" t="n">
        <v>36</v>
      </c>
      <c r="G116" s="3" t="s">
        <v>26</v>
      </c>
      <c r="H116" s="1" t="n">
        <v>0.1</v>
      </c>
      <c r="I116" s="1" t="n">
        <v>0.247235899746128</v>
      </c>
      <c r="J116" s="1" t="n">
        <v>0.318345618592406</v>
      </c>
      <c r="K116" s="1" t="n">
        <f aca="false">J116-I116</f>
        <v>0.0711097188462773</v>
      </c>
      <c r="L116" s="1" t="n">
        <v>0.816339008116756</v>
      </c>
    </row>
    <row r="117" customFormat="false" ht="15" hidden="false" customHeight="false" outlineLevel="0" collapsed="false">
      <c r="A117" s="1" t="s">
        <v>85</v>
      </c>
      <c r="B117" s="1" t="s">
        <v>86</v>
      </c>
      <c r="C117" s="1" t="s">
        <v>87</v>
      </c>
      <c r="D117" s="1" t="s">
        <v>19</v>
      </c>
      <c r="E117" s="1" t="s">
        <v>20</v>
      </c>
      <c r="F117" s="2" t="n">
        <v>38</v>
      </c>
      <c r="G117" s="3" t="s">
        <v>21</v>
      </c>
      <c r="H117" s="1" t="n">
        <v>0.1921</v>
      </c>
      <c r="I117" s="1" t="n">
        <v>0.301832479735019</v>
      </c>
      <c r="J117" s="1" t="n">
        <v>0.344021872279608</v>
      </c>
      <c r="K117" s="1" t="n">
        <f aca="false">J117-I117</f>
        <v>0.0421893925445886</v>
      </c>
      <c r="L117" s="1" t="n">
        <v>0.675912922731983</v>
      </c>
    </row>
    <row r="118" customFormat="false" ht="15" hidden="false" customHeight="false" outlineLevel="0" collapsed="false">
      <c r="A118" s="1" t="s">
        <v>85</v>
      </c>
      <c r="B118" s="1" t="s">
        <v>86</v>
      </c>
      <c r="C118" s="1" t="s">
        <v>87</v>
      </c>
      <c r="D118" s="1" t="s">
        <v>19</v>
      </c>
      <c r="E118" s="1" t="s">
        <v>20</v>
      </c>
      <c r="F118" s="2" t="n">
        <v>38</v>
      </c>
      <c r="G118" s="3" t="s">
        <v>24</v>
      </c>
      <c r="H118" s="1" t="n">
        <v>0.1895</v>
      </c>
      <c r="I118" s="1" t="n">
        <v>0.297753039080048</v>
      </c>
      <c r="J118" s="1" t="n">
        <v>0.297592419844112</v>
      </c>
      <c r="K118" s="1" t="n">
        <f aca="false">J118-I118</f>
        <v>-0.000160619235936355</v>
      </c>
      <c r="L118" s="1" t="n">
        <v>0.675912922731983</v>
      </c>
    </row>
    <row r="119" customFormat="false" ht="15" hidden="false" customHeight="false" outlineLevel="0" collapsed="false">
      <c r="A119" s="1" t="s">
        <v>85</v>
      </c>
      <c r="B119" s="1" t="s">
        <v>86</v>
      </c>
      <c r="C119" s="1" t="s">
        <v>87</v>
      </c>
      <c r="D119" s="1" t="s">
        <v>19</v>
      </c>
      <c r="E119" s="1" t="s">
        <v>20</v>
      </c>
      <c r="F119" s="2" t="n">
        <v>38</v>
      </c>
      <c r="G119" s="3" t="s">
        <v>23</v>
      </c>
      <c r="H119" s="1" t="n">
        <v>0.1744</v>
      </c>
      <c r="I119" s="1" t="n">
        <v>0.27399790060899</v>
      </c>
      <c r="J119" s="1" t="n">
        <v>0.303849016386825</v>
      </c>
      <c r="K119" s="1" t="n">
        <f aca="false">J119-I119</f>
        <v>0.0298511157778354</v>
      </c>
      <c r="L119" s="1" t="n">
        <v>0.675912922731983</v>
      </c>
    </row>
    <row r="120" customFormat="false" ht="15" hidden="false" customHeight="false" outlineLevel="0" collapsed="false">
      <c r="A120" s="1" t="s">
        <v>85</v>
      </c>
      <c r="B120" s="1" t="s">
        <v>86</v>
      </c>
      <c r="C120" s="1" t="s">
        <v>87</v>
      </c>
      <c r="D120" s="1" t="s">
        <v>19</v>
      </c>
      <c r="E120" s="1" t="s">
        <v>20</v>
      </c>
      <c r="F120" s="2" t="n">
        <v>38</v>
      </c>
      <c r="G120" s="3" t="s">
        <v>33</v>
      </c>
      <c r="H120" s="1" t="n">
        <v>0.172</v>
      </c>
      <c r="I120" s="1" t="n">
        <v>0.270241377777753</v>
      </c>
      <c r="J120" s="1" t="n">
        <v>0.292799796226131</v>
      </c>
      <c r="K120" s="1" t="n">
        <f aca="false">J120-I120</f>
        <v>0.0225584184483782</v>
      </c>
      <c r="L120" s="1" t="n">
        <v>0.675912922731983</v>
      </c>
    </row>
    <row r="121" customFormat="false" ht="15" hidden="false" customHeight="false" outlineLevel="0" collapsed="false">
      <c r="A121" s="1" t="s">
        <v>85</v>
      </c>
      <c r="B121" s="1" t="s">
        <v>86</v>
      </c>
      <c r="C121" s="1" t="s">
        <v>87</v>
      </c>
      <c r="D121" s="1" t="s">
        <v>19</v>
      </c>
      <c r="E121" s="1" t="s">
        <v>20</v>
      </c>
      <c r="F121" s="2" t="n">
        <v>38</v>
      </c>
      <c r="G121" s="3" t="s">
        <v>54</v>
      </c>
      <c r="H121" s="1" t="n">
        <v>0.1719</v>
      </c>
      <c r="I121" s="1" t="n">
        <v>0.269998896896831</v>
      </c>
      <c r="J121" s="1" t="n">
        <v>0.30976036082763</v>
      </c>
      <c r="K121" s="1" t="n">
        <f aca="false">J121-I121</f>
        <v>0.0397614639307992</v>
      </c>
      <c r="L121" s="1" t="n">
        <v>0.675912922731983</v>
      </c>
    </row>
    <row r="122" customFormat="false" ht="15" hidden="false" customHeight="false" outlineLevel="0" collapsed="false">
      <c r="A122" s="1" t="s">
        <v>85</v>
      </c>
      <c r="B122" s="1" t="s">
        <v>86</v>
      </c>
      <c r="C122" s="1" t="s">
        <v>87</v>
      </c>
      <c r="D122" s="1" t="s">
        <v>19</v>
      </c>
      <c r="E122" s="1" t="s">
        <v>20</v>
      </c>
      <c r="F122" s="2" t="n">
        <v>38</v>
      </c>
      <c r="G122" s="3" t="s">
        <v>26</v>
      </c>
      <c r="H122" s="1" t="n">
        <v>0.1</v>
      </c>
      <c r="I122" s="1" t="n">
        <v>0.259198847533515</v>
      </c>
      <c r="J122" s="1" t="n">
        <v>0.218287272347808</v>
      </c>
      <c r="K122" s="1" t="n">
        <f aca="false">J122-I122</f>
        <v>-0.0409115751857073</v>
      </c>
      <c r="L122" s="1" t="n">
        <v>0.675912922731983</v>
      </c>
    </row>
    <row r="123" customFormat="false" ht="15" hidden="false" customHeight="false" outlineLevel="0" collapsed="false">
      <c r="A123" s="1" t="s">
        <v>88</v>
      </c>
      <c r="B123" s="1" t="s">
        <v>89</v>
      </c>
      <c r="C123" s="1" t="s">
        <v>90</v>
      </c>
      <c r="D123" s="1" t="s">
        <v>19</v>
      </c>
      <c r="E123" s="1" t="s">
        <v>20</v>
      </c>
      <c r="F123" s="2" t="n">
        <v>40</v>
      </c>
      <c r="G123" s="3" t="s">
        <v>21</v>
      </c>
      <c r="H123" s="1" t="n">
        <v>0.327</v>
      </c>
      <c r="I123" s="1" t="n">
        <v>0.245434501935978</v>
      </c>
      <c r="J123" s="1" t="n">
        <v>0.27718417697122</v>
      </c>
      <c r="K123" s="1" t="n">
        <f aca="false">J123-I123</f>
        <v>0.0317496750352426</v>
      </c>
      <c r="L123" s="1" t="n">
        <v>0.748125732839088</v>
      </c>
    </row>
    <row r="124" customFormat="false" ht="15" hidden="false" customHeight="false" outlineLevel="0" collapsed="false">
      <c r="A124" s="1" t="s">
        <v>88</v>
      </c>
      <c r="B124" s="1" t="s">
        <v>89</v>
      </c>
      <c r="C124" s="1" t="s">
        <v>90</v>
      </c>
      <c r="D124" s="1" t="s">
        <v>19</v>
      </c>
      <c r="E124" s="1" t="s">
        <v>20</v>
      </c>
      <c r="F124" s="2" t="n">
        <v>40</v>
      </c>
      <c r="G124" s="3" t="s">
        <v>23</v>
      </c>
      <c r="H124" s="1" t="n">
        <v>0.2985</v>
      </c>
      <c r="I124" s="1" t="n">
        <v>0.224036075674587</v>
      </c>
      <c r="J124" s="1" t="n">
        <v>0.248263276368694</v>
      </c>
      <c r="K124" s="1" t="n">
        <f aca="false">J124-I124</f>
        <v>0.0242272006941077</v>
      </c>
      <c r="L124" s="1" t="n">
        <v>0.748125732839088</v>
      </c>
    </row>
    <row r="125" customFormat="false" ht="15" hidden="false" customHeight="false" outlineLevel="0" collapsed="false">
      <c r="A125" s="1" t="s">
        <v>88</v>
      </c>
      <c r="B125" s="1" t="s">
        <v>89</v>
      </c>
      <c r="C125" s="1" t="s">
        <v>90</v>
      </c>
      <c r="D125" s="1" t="s">
        <v>19</v>
      </c>
      <c r="E125" s="1" t="s">
        <v>20</v>
      </c>
      <c r="F125" s="2" t="n">
        <v>40</v>
      </c>
      <c r="G125" s="3" t="s">
        <v>33</v>
      </c>
      <c r="H125" s="1" t="n">
        <v>0.2745</v>
      </c>
      <c r="I125" s="1" t="n">
        <v>0.206041057200185</v>
      </c>
      <c r="J125" s="1" t="n">
        <v>0.212197407519785</v>
      </c>
      <c r="K125" s="1" t="n">
        <f aca="false">J125-I125</f>
        <v>0.00615635031960052</v>
      </c>
      <c r="L125" s="1" t="n">
        <v>0.748125732839088</v>
      </c>
    </row>
    <row r="126" customFormat="false" ht="15" hidden="false" customHeight="false" outlineLevel="0" collapsed="false">
      <c r="A126" s="1" t="s">
        <v>88</v>
      </c>
      <c r="B126" s="1" t="s">
        <v>89</v>
      </c>
      <c r="C126" s="1" t="s">
        <v>90</v>
      </c>
      <c r="D126" s="1" t="s">
        <v>19</v>
      </c>
      <c r="E126" s="1" t="s">
        <v>20</v>
      </c>
      <c r="F126" s="2" t="n">
        <v>40</v>
      </c>
      <c r="G126" s="3" t="s">
        <v>26</v>
      </c>
      <c r="H126" s="1" t="n">
        <v>0.1</v>
      </c>
      <c r="I126" s="1" t="n">
        <v>0.135466328171107</v>
      </c>
      <c r="J126" s="1" t="n">
        <v>0.188548458279212</v>
      </c>
      <c r="K126" s="1" t="n">
        <f aca="false">J126-I126</f>
        <v>0.0530821301081052</v>
      </c>
      <c r="L126" s="1" t="n">
        <v>0.748125732839088</v>
      </c>
    </row>
    <row r="127" customFormat="false" ht="15" hidden="false" customHeight="false" outlineLevel="0" collapsed="false">
      <c r="A127" s="1" t="s">
        <v>91</v>
      </c>
      <c r="B127" s="1" t="s">
        <v>92</v>
      </c>
      <c r="C127" s="1" t="s">
        <v>93</v>
      </c>
      <c r="D127" s="1" t="s">
        <v>19</v>
      </c>
      <c r="E127" s="1" t="s">
        <v>20</v>
      </c>
      <c r="F127" s="2" t="n">
        <v>42</v>
      </c>
      <c r="G127" s="3" t="s">
        <v>54</v>
      </c>
      <c r="H127" s="1" t="n">
        <v>0.1946</v>
      </c>
      <c r="I127" s="1" t="n">
        <v>0.260401401392273</v>
      </c>
      <c r="J127" s="1" t="n">
        <v>0.382300976167486</v>
      </c>
      <c r="K127" s="1" t="n">
        <f aca="false">J127-I127</f>
        <v>0.121899574775213</v>
      </c>
      <c r="L127" s="1" t="n">
        <v>0.66618628675421</v>
      </c>
    </row>
    <row r="128" customFormat="false" ht="15" hidden="false" customHeight="false" outlineLevel="0" collapsed="false">
      <c r="A128" s="1" t="s">
        <v>91</v>
      </c>
      <c r="B128" s="1" t="s">
        <v>92</v>
      </c>
      <c r="C128" s="1" t="s">
        <v>93</v>
      </c>
      <c r="D128" s="1" t="s">
        <v>19</v>
      </c>
      <c r="E128" s="1" t="s">
        <v>20</v>
      </c>
      <c r="F128" s="2" t="n">
        <v>42</v>
      </c>
      <c r="G128" s="3" t="s">
        <v>21</v>
      </c>
      <c r="H128" s="1" t="n">
        <v>0.1878</v>
      </c>
      <c r="I128" s="1" t="n">
        <v>0.251323928841108</v>
      </c>
      <c r="J128" s="1" t="n">
        <v>0.362720151718437</v>
      </c>
      <c r="K128" s="1" t="n">
        <f aca="false">J128-I128</f>
        <v>0.111396222877328</v>
      </c>
      <c r="L128" s="1" t="n">
        <v>0.66618628675421</v>
      </c>
    </row>
    <row r="129" customFormat="false" ht="15" hidden="false" customHeight="false" outlineLevel="0" collapsed="false">
      <c r="A129" s="1" t="s">
        <v>91</v>
      </c>
      <c r="B129" s="1" t="s">
        <v>92</v>
      </c>
      <c r="C129" s="1" t="s">
        <v>93</v>
      </c>
      <c r="D129" s="1" t="s">
        <v>19</v>
      </c>
      <c r="E129" s="1" t="s">
        <v>20</v>
      </c>
      <c r="F129" s="2" t="n">
        <v>42</v>
      </c>
      <c r="G129" s="3" t="s">
        <v>23</v>
      </c>
      <c r="H129" s="1" t="n">
        <v>0.1788</v>
      </c>
      <c r="I129" s="1" t="n">
        <v>0.239239695336812</v>
      </c>
      <c r="J129" s="1" t="n">
        <v>0.340601565678009</v>
      </c>
      <c r="K129" s="1" t="n">
        <f aca="false">J129-I129</f>
        <v>0.101361870341198</v>
      </c>
      <c r="L129" s="1" t="n">
        <v>0.66618628675421</v>
      </c>
    </row>
    <row r="130" customFormat="false" ht="15" hidden="false" customHeight="false" outlineLevel="0" collapsed="false">
      <c r="A130" s="1" t="s">
        <v>91</v>
      </c>
      <c r="B130" s="1" t="s">
        <v>92</v>
      </c>
      <c r="C130" s="1" t="s">
        <v>93</v>
      </c>
      <c r="D130" s="1" t="s">
        <v>19</v>
      </c>
      <c r="E130" s="1" t="s">
        <v>20</v>
      </c>
      <c r="F130" s="2" t="n">
        <v>42</v>
      </c>
      <c r="G130" s="3" t="s">
        <v>24</v>
      </c>
      <c r="H130" s="1" t="n">
        <v>0.1764</v>
      </c>
      <c r="I130" s="1" t="n">
        <v>0.236119821093898</v>
      </c>
      <c r="J130" s="1" t="n">
        <v>0.342403735631488</v>
      </c>
      <c r="K130" s="1" t="n">
        <f aca="false">J130-I130</f>
        <v>0.10628391453759</v>
      </c>
      <c r="L130" s="1" t="n">
        <v>0.66618628675421</v>
      </c>
    </row>
    <row r="131" customFormat="false" ht="15" hidden="false" customHeight="false" outlineLevel="0" collapsed="false">
      <c r="A131" s="1" t="s">
        <v>91</v>
      </c>
      <c r="B131" s="1" t="s">
        <v>92</v>
      </c>
      <c r="C131" s="1" t="s">
        <v>93</v>
      </c>
      <c r="D131" s="1" t="s">
        <v>19</v>
      </c>
      <c r="E131" s="1" t="s">
        <v>20</v>
      </c>
      <c r="F131" s="2" t="n">
        <v>42</v>
      </c>
      <c r="G131" s="3" t="s">
        <v>33</v>
      </c>
      <c r="H131" s="1" t="n">
        <v>0.1624</v>
      </c>
      <c r="I131" s="1" t="n">
        <v>0.217279859296856</v>
      </c>
      <c r="J131" s="1" t="n">
        <v>0.290427827345859</v>
      </c>
      <c r="K131" s="1" t="n">
        <f aca="false">J131-I131</f>
        <v>0.073147968049003</v>
      </c>
      <c r="L131" s="1" t="n">
        <v>0.66618628675421</v>
      </c>
    </row>
    <row r="132" customFormat="false" ht="15" hidden="false" customHeight="false" outlineLevel="0" collapsed="false">
      <c r="A132" s="1" t="s">
        <v>91</v>
      </c>
      <c r="B132" s="1" t="s">
        <v>92</v>
      </c>
      <c r="C132" s="1" t="s">
        <v>93</v>
      </c>
      <c r="D132" s="1" t="s">
        <v>19</v>
      </c>
      <c r="E132" s="1" t="s">
        <v>20</v>
      </c>
      <c r="F132" s="2" t="n">
        <v>42</v>
      </c>
      <c r="G132" s="3" t="s">
        <v>26</v>
      </c>
      <c r="H132" s="1" t="n">
        <v>0.1</v>
      </c>
      <c r="I132" s="1" t="n">
        <v>0.190672183224151</v>
      </c>
      <c r="J132" s="1" t="n">
        <v>0.257916516748039</v>
      </c>
      <c r="K132" s="1" t="n">
        <f aca="false">J132-I132</f>
        <v>0.0672443335238879</v>
      </c>
      <c r="L132" s="1" t="n">
        <v>0.66618628675421</v>
      </c>
    </row>
    <row r="133" customFormat="false" ht="15" hidden="false" customHeight="false" outlineLevel="0" collapsed="false">
      <c r="A133" s="1" t="s">
        <v>94</v>
      </c>
      <c r="B133" s="1" t="s">
        <v>95</v>
      </c>
      <c r="C133" s="1" t="s">
        <v>96</v>
      </c>
      <c r="D133" s="1" t="s">
        <v>19</v>
      </c>
      <c r="E133" s="1" t="s">
        <v>20</v>
      </c>
      <c r="F133" s="2" t="n">
        <v>44</v>
      </c>
      <c r="G133" s="3" t="s">
        <v>54</v>
      </c>
      <c r="H133" s="1" t="n">
        <v>0.1879</v>
      </c>
      <c r="I133" s="1" t="n">
        <v>0.317151122131781</v>
      </c>
      <c r="J133" s="1" t="n">
        <v>0.31293540681965</v>
      </c>
      <c r="K133" s="1" t="n">
        <f aca="false">J133-I133</f>
        <v>-0.00421571531213072</v>
      </c>
      <c r="L133" s="1" t="n">
        <v>0.757211026307674</v>
      </c>
    </row>
    <row r="134" customFormat="false" ht="15" hidden="false" customHeight="false" outlineLevel="0" collapsed="false">
      <c r="A134" s="1" t="s">
        <v>94</v>
      </c>
      <c r="B134" s="1" t="s">
        <v>95</v>
      </c>
      <c r="C134" s="1" t="s">
        <v>96</v>
      </c>
      <c r="D134" s="1" t="s">
        <v>19</v>
      </c>
      <c r="E134" s="1" t="s">
        <v>20</v>
      </c>
      <c r="F134" s="2" t="n">
        <v>44</v>
      </c>
      <c r="G134" s="3" t="s">
        <v>25</v>
      </c>
      <c r="H134" s="1" t="n">
        <v>0.1828</v>
      </c>
      <c r="I134" s="1" t="n">
        <v>0.308626661119118</v>
      </c>
      <c r="J134" s="1" t="n">
        <v>0.300929115608711</v>
      </c>
      <c r="K134" s="1" t="n">
        <f aca="false">J134-I134</f>
        <v>-0.00769754551040619</v>
      </c>
      <c r="L134" s="1" t="n">
        <v>0.757211026307674</v>
      </c>
    </row>
    <row r="135" customFormat="false" ht="15" hidden="false" customHeight="false" outlineLevel="0" collapsed="false">
      <c r="A135" s="1" t="s">
        <v>94</v>
      </c>
      <c r="B135" s="1" t="s">
        <v>95</v>
      </c>
      <c r="C135" s="1" t="s">
        <v>96</v>
      </c>
      <c r="D135" s="1" t="s">
        <v>19</v>
      </c>
      <c r="E135" s="1" t="s">
        <v>20</v>
      </c>
      <c r="F135" s="2" t="n">
        <v>44</v>
      </c>
      <c r="G135" s="3" t="s">
        <v>21</v>
      </c>
      <c r="H135" s="1" t="n">
        <v>0.1823</v>
      </c>
      <c r="I135" s="1" t="n">
        <v>0.307817581995508</v>
      </c>
      <c r="J135" s="1" t="n">
        <v>0.34808617839536</v>
      </c>
      <c r="K135" s="1" t="n">
        <f aca="false">J135-I135</f>
        <v>0.0402685963998518</v>
      </c>
      <c r="L135" s="1" t="n">
        <v>0.757211026307674</v>
      </c>
    </row>
    <row r="136" customFormat="false" ht="15" hidden="false" customHeight="false" outlineLevel="0" collapsed="false">
      <c r="A136" s="1" t="s">
        <v>94</v>
      </c>
      <c r="B136" s="1" t="s">
        <v>95</v>
      </c>
      <c r="C136" s="1" t="s">
        <v>96</v>
      </c>
      <c r="D136" s="1" t="s">
        <v>19</v>
      </c>
      <c r="E136" s="1" t="s">
        <v>20</v>
      </c>
      <c r="F136" s="2" t="n">
        <v>44</v>
      </c>
      <c r="G136" s="3" t="s">
        <v>24</v>
      </c>
      <c r="H136" s="1" t="n">
        <v>0.1758</v>
      </c>
      <c r="I136" s="1" t="n">
        <v>0.296735865381538</v>
      </c>
      <c r="J136" s="1" t="n">
        <v>0.294658520007759</v>
      </c>
      <c r="K136" s="1" t="n">
        <f aca="false">J136-I136</f>
        <v>-0.00207734537377852</v>
      </c>
      <c r="L136" s="1" t="n">
        <v>0.757211026307674</v>
      </c>
    </row>
    <row r="137" customFormat="false" ht="15" hidden="false" customHeight="false" outlineLevel="0" collapsed="false">
      <c r="A137" s="1" t="s">
        <v>94</v>
      </c>
      <c r="B137" s="1" t="s">
        <v>95</v>
      </c>
      <c r="C137" s="1" t="s">
        <v>96</v>
      </c>
      <c r="D137" s="1" t="s">
        <v>19</v>
      </c>
      <c r="E137" s="1" t="s">
        <v>20</v>
      </c>
      <c r="F137" s="2" t="n">
        <v>44</v>
      </c>
      <c r="G137" s="3" t="s">
        <v>40</v>
      </c>
      <c r="H137" s="1" t="n">
        <v>0.1712</v>
      </c>
      <c r="I137" s="1" t="n">
        <v>0.288944449962531</v>
      </c>
      <c r="J137" s="1" t="n">
        <v>0.265526772943023</v>
      </c>
      <c r="K137" s="1" t="n">
        <f aca="false">J137-I137</f>
        <v>-0.0234176770195076</v>
      </c>
      <c r="L137" s="1" t="n">
        <v>0.757211026307674</v>
      </c>
    </row>
    <row r="138" customFormat="false" ht="15" hidden="false" customHeight="false" outlineLevel="0" collapsed="false">
      <c r="A138" s="1" t="s">
        <v>94</v>
      </c>
      <c r="B138" s="1" t="s">
        <v>95</v>
      </c>
      <c r="C138" s="1" t="s">
        <v>96</v>
      </c>
      <c r="D138" s="1" t="s">
        <v>19</v>
      </c>
      <c r="E138" s="1" t="s">
        <v>20</v>
      </c>
      <c r="F138" s="2" t="n">
        <v>44</v>
      </c>
      <c r="G138" s="3" t="s">
        <v>26</v>
      </c>
      <c r="H138" s="1" t="n">
        <v>0.1</v>
      </c>
      <c r="I138" s="1" t="n">
        <v>0.212751008130038</v>
      </c>
      <c r="J138" s="1" t="n">
        <v>0.222129118945493</v>
      </c>
      <c r="K138" s="1" t="n">
        <f aca="false">J138-I138</f>
        <v>0.009378110815455</v>
      </c>
      <c r="L138" s="1" t="n">
        <v>0.757211026307674</v>
      </c>
    </row>
    <row r="139" customFormat="false" ht="15" hidden="false" customHeight="false" outlineLevel="0" collapsed="false">
      <c r="A139" s="1" t="s">
        <v>97</v>
      </c>
      <c r="B139" s="1" t="s">
        <v>98</v>
      </c>
      <c r="C139" s="1" t="s">
        <v>99</v>
      </c>
      <c r="D139" s="1" t="s">
        <v>19</v>
      </c>
      <c r="E139" s="1" t="s">
        <v>20</v>
      </c>
      <c r="F139" s="2" t="n">
        <v>46</v>
      </c>
      <c r="G139" s="3" t="s">
        <v>21</v>
      </c>
      <c r="H139" s="1" t="n">
        <v>0.241</v>
      </c>
      <c r="I139" s="1" t="n">
        <v>0.224357055406811</v>
      </c>
      <c r="J139" s="1" t="n">
        <v>0.319135943440118</v>
      </c>
      <c r="K139" s="1" t="n">
        <f aca="false">J139-I139</f>
        <v>0.0947788880333072</v>
      </c>
      <c r="L139" s="1" t="n">
        <v>0.74821765393045</v>
      </c>
    </row>
    <row r="140" customFormat="false" ht="15" hidden="false" customHeight="false" outlineLevel="0" collapsed="false">
      <c r="A140" s="1" t="s">
        <v>97</v>
      </c>
      <c r="B140" s="1" t="s">
        <v>98</v>
      </c>
      <c r="C140" s="1" t="s">
        <v>99</v>
      </c>
      <c r="D140" s="1" t="s">
        <v>19</v>
      </c>
      <c r="E140" s="1" t="s">
        <v>20</v>
      </c>
      <c r="F140" s="2" t="n">
        <v>46</v>
      </c>
      <c r="G140" s="3" t="s">
        <v>25</v>
      </c>
      <c r="H140" s="1" t="n">
        <v>0.2267</v>
      </c>
      <c r="I140" s="1" t="n">
        <v>0.211011980883182</v>
      </c>
      <c r="J140" s="1" t="n">
        <v>0.305599511977856</v>
      </c>
      <c r="K140" s="1" t="n">
        <f aca="false">J140-I140</f>
        <v>0.0945875310946735</v>
      </c>
      <c r="L140" s="1" t="n">
        <v>0.74821765393045</v>
      </c>
    </row>
    <row r="141" customFormat="false" ht="15" hidden="false" customHeight="false" outlineLevel="0" collapsed="false">
      <c r="A141" s="1" t="s">
        <v>97</v>
      </c>
      <c r="B141" s="1" t="s">
        <v>98</v>
      </c>
      <c r="C141" s="1" t="s">
        <v>99</v>
      </c>
      <c r="D141" s="1" t="s">
        <v>19</v>
      </c>
      <c r="E141" s="1" t="s">
        <v>20</v>
      </c>
      <c r="F141" s="2" t="n">
        <v>46</v>
      </c>
      <c r="G141" s="3" t="s">
        <v>54</v>
      </c>
      <c r="H141" s="1" t="n">
        <v>0.2163</v>
      </c>
      <c r="I141" s="1" t="n">
        <v>0.20133265771299</v>
      </c>
      <c r="J141" s="1" t="n">
        <v>0.288734138018775</v>
      </c>
      <c r="K141" s="1" t="n">
        <f aca="false">J141-I141</f>
        <v>0.0874014803057845</v>
      </c>
      <c r="L141" s="1" t="n">
        <v>0.74821765393045</v>
      </c>
    </row>
    <row r="142" customFormat="false" ht="15" hidden="false" customHeight="false" outlineLevel="0" collapsed="false">
      <c r="A142" s="1" t="s">
        <v>97</v>
      </c>
      <c r="B142" s="1" t="s">
        <v>98</v>
      </c>
      <c r="C142" s="1" t="s">
        <v>99</v>
      </c>
      <c r="D142" s="1" t="s">
        <v>19</v>
      </c>
      <c r="E142" s="1" t="s">
        <v>20</v>
      </c>
      <c r="F142" s="2" t="n">
        <v>46</v>
      </c>
      <c r="G142" s="3" t="s">
        <v>33</v>
      </c>
      <c r="H142" s="1" t="n">
        <v>0.2161</v>
      </c>
      <c r="I142" s="1" t="n">
        <v>0.201176630797487</v>
      </c>
      <c r="J142" s="1" t="n">
        <v>0.280726612705407</v>
      </c>
      <c r="K142" s="1" t="n">
        <f aca="false">J142-I142</f>
        <v>0.0795499819079206</v>
      </c>
      <c r="L142" s="1" t="n">
        <v>0.74821765393045</v>
      </c>
    </row>
    <row r="143" customFormat="false" ht="15" hidden="false" customHeight="false" outlineLevel="0" collapsed="false">
      <c r="A143" s="1" t="s">
        <v>97</v>
      </c>
      <c r="B143" s="1" t="s">
        <v>98</v>
      </c>
      <c r="C143" s="1" t="s">
        <v>99</v>
      </c>
      <c r="D143" s="1" t="s">
        <v>19</v>
      </c>
      <c r="E143" s="1" t="s">
        <v>20</v>
      </c>
      <c r="F143" s="2" t="n">
        <v>46</v>
      </c>
      <c r="G143" s="3" t="s">
        <v>26</v>
      </c>
      <c r="H143" s="1" t="n">
        <v>0.1</v>
      </c>
      <c r="I143" s="1" t="n">
        <v>0.158004357870078</v>
      </c>
      <c r="J143" s="1" t="n">
        <v>0.23532761540626</v>
      </c>
      <c r="K143" s="1" t="n">
        <f aca="false">J143-I143</f>
        <v>0.0773232575361814</v>
      </c>
      <c r="L143" s="1" t="n">
        <v>0.74821765393045</v>
      </c>
    </row>
    <row r="144" customFormat="false" ht="15" hidden="false" customHeight="false" outlineLevel="0" collapsed="false">
      <c r="A144" s="1" t="s">
        <v>100</v>
      </c>
      <c r="B144" s="1" t="s">
        <v>101</v>
      </c>
      <c r="C144" s="1" t="s">
        <v>102</v>
      </c>
      <c r="D144" s="1" t="s">
        <v>19</v>
      </c>
      <c r="E144" s="1" t="s">
        <v>20</v>
      </c>
      <c r="F144" s="2" t="n">
        <v>48</v>
      </c>
      <c r="G144" s="3" t="s">
        <v>21</v>
      </c>
      <c r="H144" s="1" t="n">
        <v>0.2295</v>
      </c>
      <c r="I144" s="1" t="n">
        <v>0.347150092221009</v>
      </c>
      <c r="J144" s="1" t="n">
        <v>0.354415707827969</v>
      </c>
      <c r="K144" s="1" t="n">
        <f aca="false">J144-I144</f>
        <v>0.00726561560695943</v>
      </c>
      <c r="L144" s="1" t="n">
        <v>0.748732725295858</v>
      </c>
    </row>
    <row r="145" customFormat="false" ht="15" hidden="false" customHeight="false" outlineLevel="0" collapsed="false">
      <c r="A145" s="1" t="s">
        <v>100</v>
      </c>
      <c r="B145" s="1" t="s">
        <v>101</v>
      </c>
      <c r="C145" s="1" t="s">
        <v>102</v>
      </c>
      <c r="D145" s="1" t="s">
        <v>19</v>
      </c>
      <c r="E145" s="1" t="s">
        <v>20</v>
      </c>
      <c r="F145" s="2" t="n">
        <v>48</v>
      </c>
      <c r="G145" s="3" t="s">
        <v>24</v>
      </c>
      <c r="H145" s="1" t="n">
        <v>0.1814</v>
      </c>
      <c r="I145" s="1" t="n">
        <v>0.274349910989637</v>
      </c>
      <c r="J145" s="1" t="n">
        <v>0.270353175924697</v>
      </c>
      <c r="K145" s="1" t="n">
        <f aca="false">J145-I145</f>
        <v>-0.00399673506493992</v>
      </c>
      <c r="L145" s="1" t="n">
        <v>0.748732725295858</v>
      </c>
    </row>
    <row r="146" customFormat="false" ht="15" hidden="false" customHeight="false" outlineLevel="0" collapsed="false">
      <c r="A146" s="1" t="s">
        <v>100</v>
      </c>
      <c r="B146" s="1" t="s">
        <v>101</v>
      </c>
      <c r="C146" s="1" t="s">
        <v>102</v>
      </c>
      <c r="D146" s="1" t="s">
        <v>19</v>
      </c>
      <c r="E146" s="1" t="s">
        <v>20</v>
      </c>
      <c r="F146" s="2" t="n">
        <v>48</v>
      </c>
      <c r="G146" s="3" t="s">
        <v>54</v>
      </c>
      <c r="H146" s="1" t="n">
        <v>0.167</v>
      </c>
      <c r="I146" s="1" t="n">
        <v>0.25256756130944</v>
      </c>
      <c r="J146" s="1" t="n">
        <v>0.244335773962332</v>
      </c>
      <c r="K146" s="1" t="n">
        <f aca="false">J146-I146</f>
        <v>-0.0082317873471075</v>
      </c>
      <c r="L146" s="1" t="n">
        <v>0.748732725295858</v>
      </c>
    </row>
    <row r="147" customFormat="false" ht="15" hidden="false" customHeight="false" outlineLevel="0" collapsed="false">
      <c r="A147" s="1" t="s">
        <v>100</v>
      </c>
      <c r="B147" s="1" t="s">
        <v>101</v>
      </c>
      <c r="C147" s="1" t="s">
        <v>102</v>
      </c>
      <c r="D147" s="1" t="s">
        <v>19</v>
      </c>
      <c r="E147" s="1" t="s">
        <v>20</v>
      </c>
      <c r="F147" s="2" t="n">
        <v>48</v>
      </c>
      <c r="G147" s="3" t="s">
        <v>25</v>
      </c>
      <c r="H147" s="1" t="n">
        <v>0.1616</v>
      </c>
      <c r="I147" s="1" t="n">
        <v>0.244404311487269</v>
      </c>
      <c r="J147" s="1" t="n">
        <v>0.277903540512435</v>
      </c>
      <c r="K147" s="1" t="n">
        <f aca="false">J147-I147</f>
        <v>0.0334992290251662</v>
      </c>
      <c r="L147" s="1" t="n">
        <v>0.748732725295858</v>
      </c>
    </row>
    <row r="148" customFormat="false" ht="15" hidden="false" customHeight="false" outlineLevel="0" collapsed="false">
      <c r="A148" s="1" t="s">
        <v>100</v>
      </c>
      <c r="B148" s="1" t="s">
        <v>101</v>
      </c>
      <c r="C148" s="1" t="s">
        <v>102</v>
      </c>
      <c r="D148" s="1" t="s">
        <v>19</v>
      </c>
      <c r="E148" s="1" t="s">
        <v>20</v>
      </c>
      <c r="F148" s="2" t="n">
        <v>48</v>
      </c>
      <c r="G148" s="3" t="s">
        <v>23</v>
      </c>
      <c r="H148" s="1" t="n">
        <v>0.1605</v>
      </c>
      <c r="I148" s="1" t="n">
        <v>0.242701344612082</v>
      </c>
      <c r="J148" s="1" t="n">
        <v>0.254597209620802</v>
      </c>
      <c r="K148" s="1" t="n">
        <f aca="false">J148-I148</f>
        <v>0.0118958650087198</v>
      </c>
      <c r="L148" s="1" t="n">
        <v>0.748732725295858</v>
      </c>
    </row>
    <row r="149" customFormat="false" ht="15" hidden="false" customHeight="false" outlineLevel="0" collapsed="false">
      <c r="A149" s="1" t="s">
        <v>100</v>
      </c>
      <c r="B149" s="1" t="s">
        <v>101</v>
      </c>
      <c r="C149" s="1" t="s">
        <v>102</v>
      </c>
      <c r="D149" s="1" t="s">
        <v>19</v>
      </c>
      <c r="E149" s="1" t="s">
        <v>20</v>
      </c>
      <c r="F149" s="2" t="n">
        <v>48</v>
      </c>
      <c r="G149" s="3" t="s">
        <v>26</v>
      </c>
      <c r="H149" s="1" t="n">
        <v>0.1</v>
      </c>
      <c r="I149" s="1" t="n">
        <v>0.196123417562838</v>
      </c>
      <c r="J149" s="1" t="n">
        <v>0.215699093147551</v>
      </c>
      <c r="K149" s="1" t="n">
        <f aca="false">J149-I149</f>
        <v>0.0195756755847127</v>
      </c>
      <c r="L149" s="1" t="n">
        <v>0.748732725295858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1" activeCellId="1" sqref="E4:L4 B1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94"/>
  </cols>
  <sheetData>
    <row r="1" customFormat="false" ht="12.8" hidden="false" customHeight="false" outlineLevel="0" collapsed="false">
      <c r="A1" s="7" t="s">
        <v>103</v>
      </c>
      <c r="B1" s="7"/>
    </row>
    <row r="2" customFormat="false" ht="12.8" hidden="false" customHeight="false" outlineLevel="0" collapsed="false">
      <c r="A2" s="7"/>
      <c r="B2" s="7"/>
    </row>
    <row r="3" customFormat="false" ht="12.8" hidden="false" customHeight="false" outlineLevel="0" collapsed="false">
      <c r="A3" s="7" t="s">
        <v>104</v>
      </c>
      <c r="B3" s="8" t="n">
        <f aca="false">scen4_hybsem!P2</f>
        <v>147</v>
      </c>
    </row>
    <row r="4" customFormat="false" ht="12.8" hidden="false" customHeight="false" outlineLevel="0" collapsed="false">
      <c r="A4" s="7" t="s">
        <v>105</v>
      </c>
      <c r="B4" s="7" t="n">
        <f aca="false">B10*SQRT((B3-2)/(1-B10^2))</f>
        <v>-0.0541080502890035</v>
      </c>
    </row>
    <row r="5" customFormat="false" ht="12.8" hidden="false" customHeight="false" outlineLevel="0" collapsed="false">
      <c r="A5" s="7" t="s">
        <v>106</v>
      </c>
      <c r="B5" s="7" t="n">
        <f aca="false">_xlfn.T.DIST.2T(ABS(B4),B3-2)</f>
        <v>0.956923556668521</v>
      </c>
    </row>
    <row r="6" customFormat="false" ht="12.8" hidden="false" customHeight="false" outlineLevel="0" collapsed="false">
      <c r="A6" s="7"/>
      <c r="B6" s="9"/>
    </row>
    <row r="7" customFormat="false" ht="12.8" hidden="false" customHeight="false" outlineLevel="0" collapsed="false">
      <c r="A7" s="7"/>
      <c r="B7" s="9"/>
    </row>
    <row r="8" customFormat="false" ht="12.8" hidden="false" customHeight="false" outlineLevel="0" collapsed="false">
      <c r="A8" s="7"/>
      <c r="B8" s="9"/>
    </row>
    <row r="9" customFormat="false" ht="19.4" hidden="false" customHeight="false" outlineLevel="0" collapsed="false">
      <c r="A9" s="4" t="s">
        <v>12</v>
      </c>
      <c r="B9" s="4" t="s">
        <v>14</v>
      </c>
    </row>
    <row r="10" customFormat="false" ht="12.8" hidden="false" customHeight="false" outlineLevel="0" collapsed="false">
      <c r="A10" s="10" t="n">
        <f aca="false">B3</f>
        <v>147</v>
      </c>
      <c r="B10" s="10" t="n">
        <f aca="false">scen4_hybsem!R2</f>
        <v>-0.00449338363769033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3" activeCellId="1" sqref="E4:L4 B3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5.96"/>
  </cols>
  <sheetData>
    <row r="2" customFormat="false" ht="12.8" hidden="false" customHeight="false" outlineLevel="0" collapsed="false">
      <c r="B2" s="7" t="s">
        <v>107</v>
      </c>
    </row>
    <row r="3" customFormat="false" ht="12.8" hidden="false" customHeight="false" outlineLevel="0" collapsed="false">
      <c r="A3" s="11" t="s">
        <v>108</v>
      </c>
      <c r="B3" s="6" t="s">
        <v>109</v>
      </c>
    </row>
    <row r="4" customFormat="false" ht="12.8" hidden="false" customHeight="false" outlineLevel="0" collapsed="false">
      <c r="A4" s="9" t="n">
        <v>1</v>
      </c>
      <c r="B4" s="1" t="n">
        <v>0.802858105976441</v>
      </c>
    </row>
    <row r="5" customFormat="false" ht="12.8" hidden="false" customHeight="false" outlineLevel="0" collapsed="false">
      <c r="A5" s="9" t="n">
        <v>2</v>
      </c>
      <c r="B5" s="1" t="n">
        <v>0.723830722485877</v>
      </c>
    </row>
    <row r="6" customFormat="false" ht="12.8" hidden="false" customHeight="false" outlineLevel="0" collapsed="false">
      <c r="A6" s="9" t="n">
        <v>3</v>
      </c>
      <c r="B6" s="1" t="n">
        <v>0.720096923539769</v>
      </c>
    </row>
    <row r="7" customFormat="false" ht="12.8" hidden="false" customHeight="false" outlineLevel="0" collapsed="false">
      <c r="A7" s="9" t="n">
        <v>4</v>
      </c>
      <c r="B7" s="1" t="n">
        <v>0.744563645027981</v>
      </c>
    </row>
    <row r="8" customFormat="false" ht="12.8" hidden="false" customHeight="false" outlineLevel="0" collapsed="false">
      <c r="A8" s="9" t="n">
        <v>5</v>
      </c>
      <c r="B8" s="1" t="n">
        <v>0.67114667173556</v>
      </c>
    </row>
    <row r="9" customFormat="false" ht="12.8" hidden="false" customHeight="false" outlineLevel="0" collapsed="false">
      <c r="A9" s="9" t="n">
        <v>6</v>
      </c>
      <c r="B9" s="1" t="n">
        <v>0.740698706746506</v>
      </c>
    </row>
    <row r="10" customFormat="false" ht="12.8" hidden="false" customHeight="false" outlineLevel="0" collapsed="false">
      <c r="A10" s="9" t="n">
        <v>7</v>
      </c>
      <c r="B10" s="1" t="n">
        <v>0.773772436552573</v>
      </c>
    </row>
    <row r="11" customFormat="false" ht="12.8" hidden="false" customHeight="false" outlineLevel="0" collapsed="false">
      <c r="A11" s="9" t="n">
        <v>8</v>
      </c>
      <c r="B11" s="1" t="n">
        <v>0.669131289751387</v>
      </c>
    </row>
    <row r="12" customFormat="false" ht="12.8" hidden="false" customHeight="false" outlineLevel="0" collapsed="false">
      <c r="A12" s="9" t="n">
        <v>9</v>
      </c>
      <c r="B12" s="1" t="n">
        <v>0.76936357772334</v>
      </c>
    </row>
    <row r="13" customFormat="false" ht="12.8" hidden="false" customHeight="false" outlineLevel="0" collapsed="false">
      <c r="A13" s="9" t="n">
        <v>10</v>
      </c>
      <c r="B13" s="1" t="n">
        <v>0.795393600984621</v>
      </c>
    </row>
    <row r="14" customFormat="false" ht="12.8" hidden="false" customHeight="false" outlineLevel="0" collapsed="false">
      <c r="A14" s="9" t="n">
        <v>11</v>
      </c>
      <c r="B14" s="1" t="n">
        <v>0.750280009673556</v>
      </c>
    </row>
    <row r="15" customFormat="false" ht="12.8" hidden="false" customHeight="false" outlineLevel="0" collapsed="false">
      <c r="A15" s="9" t="n">
        <v>12</v>
      </c>
      <c r="B15" s="1" t="n">
        <v>0.791112051354437</v>
      </c>
    </row>
    <row r="16" customFormat="false" ht="12.8" hidden="false" customHeight="false" outlineLevel="0" collapsed="false">
      <c r="A16" s="9" t="n">
        <v>13</v>
      </c>
      <c r="B16" s="1" t="n">
        <v>0.684900718861709</v>
      </c>
    </row>
    <row r="17" customFormat="false" ht="12.8" hidden="false" customHeight="false" outlineLevel="0" collapsed="false">
      <c r="A17" s="9" t="n">
        <v>14</v>
      </c>
      <c r="B17" s="1" t="n">
        <v>0.81196411023973</v>
      </c>
    </row>
    <row r="18" customFormat="false" ht="12.8" hidden="false" customHeight="false" outlineLevel="0" collapsed="false">
      <c r="A18" s="9" t="n">
        <v>15</v>
      </c>
      <c r="B18" s="1" t="n">
        <v>0.793315446960825</v>
      </c>
    </row>
    <row r="19" customFormat="false" ht="12.8" hidden="false" customHeight="false" outlineLevel="0" collapsed="false">
      <c r="A19" s="9" t="n">
        <v>16</v>
      </c>
      <c r="B19" s="1" t="n">
        <v>0.677622741253111</v>
      </c>
    </row>
    <row r="20" customFormat="false" ht="12.8" hidden="false" customHeight="false" outlineLevel="0" collapsed="false">
      <c r="A20" s="9" t="n">
        <v>17</v>
      </c>
      <c r="B20" s="1" t="n">
        <v>0.775090547764</v>
      </c>
    </row>
    <row r="21" customFormat="false" ht="12.8" hidden="false" customHeight="false" outlineLevel="0" collapsed="false">
      <c r="A21" s="9" t="n">
        <v>18</v>
      </c>
      <c r="B21" s="1" t="n">
        <v>0.608910195539342</v>
      </c>
    </row>
    <row r="22" customFormat="false" ht="12.8" hidden="false" customHeight="false" outlineLevel="0" collapsed="false">
      <c r="A22" s="9" t="n">
        <v>19</v>
      </c>
      <c r="B22" s="1" t="n">
        <v>0.816339008116756</v>
      </c>
    </row>
    <row r="23" customFormat="false" ht="12.8" hidden="false" customHeight="false" outlineLevel="0" collapsed="false">
      <c r="A23" s="9" t="n">
        <v>20</v>
      </c>
      <c r="B23" s="1" t="n">
        <v>0.675912922731983</v>
      </c>
    </row>
    <row r="24" customFormat="false" ht="12.8" hidden="false" customHeight="false" outlineLevel="0" collapsed="false">
      <c r="A24" s="9" t="n">
        <v>21</v>
      </c>
      <c r="B24" s="1" t="n">
        <v>0.748125732839088</v>
      </c>
    </row>
    <row r="25" customFormat="false" ht="12.8" hidden="false" customHeight="false" outlineLevel="0" collapsed="false">
      <c r="A25" s="9" t="n">
        <v>22</v>
      </c>
      <c r="B25" s="1" t="n">
        <v>0.66618628675421</v>
      </c>
    </row>
    <row r="26" customFormat="false" ht="12.8" hidden="false" customHeight="false" outlineLevel="0" collapsed="false">
      <c r="A26" s="9" t="n">
        <v>23</v>
      </c>
      <c r="B26" s="1" t="n">
        <v>0.757211026307674</v>
      </c>
    </row>
    <row r="27" customFormat="false" ht="12.8" hidden="false" customHeight="false" outlineLevel="0" collapsed="false">
      <c r="A27" s="9" t="n">
        <v>24</v>
      </c>
      <c r="B27" s="1" t="n">
        <v>0.74821765393045</v>
      </c>
    </row>
    <row r="28" customFormat="false" ht="12.8" hidden="false" customHeight="false" outlineLevel="0" collapsed="false">
      <c r="A28" s="12" t="n">
        <v>25</v>
      </c>
      <c r="B28" s="1" t="n">
        <v>0.748732725295858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4" activeCellId="0" sqref="E4:L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7" min="5" style="1" width="20.4"/>
    <col collapsed="false" customWidth="true" hidden="false" outlineLevel="0" max="9" min="8" style="1" width="21.95"/>
    <col collapsed="false" customWidth="true" hidden="false" outlineLevel="0" max="10" min="10" style="1" width="20.4"/>
    <col collapsed="false" customWidth="true" hidden="false" outlineLevel="0" max="11" min="11" style="0" width="15.62"/>
    <col collapsed="false" customWidth="true" hidden="false" outlineLevel="0" max="12" min="12" style="0" width="14.68"/>
  </cols>
  <sheetData>
    <row r="2" customFormat="false" ht="13.1" hidden="false" customHeight="true" outlineLevel="0" collapsed="false">
      <c r="B2" s="13" t="s">
        <v>11</v>
      </c>
      <c r="C2" s="13"/>
    </row>
    <row r="3" customFormat="false" ht="12.8" hidden="false" customHeight="false" outlineLevel="0" collapsed="false">
      <c r="A3" s="11" t="s">
        <v>108</v>
      </c>
      <c r="B3" s="6" t="s">
        <v>109</v>
      </c>
      <c r="C3" s="12" t="s">
        <v>110</v>
      </c>
      <c r="E3" s="12" t="s">
        <v>111</v>
      </c>
      <c r="F3" s="12" t="s">
        <v>112</v>
      </c>
      <c r="G3" s="12" t="s">
        <v>113</v>
      </c>
      <c r="H3" s="12" t="s">
        <v>114</v>
      </c>
      <c r="I3" s="12" t="s">
        <v>115</v>
      </c>
      <c r="J3" s="12" t="s">
        <v>116</v>
      </c>
      <c r="K3" s="0" t="s">
        <v>117</v>
      </c>
      <c r="L3" s="0" t="s">
        <v>118</v>
      </c>
    </row>
    <row r="4" customFormat="false" ht="12.8" hidden="false" customHeight="false" outlineLevel="0" collapsed="false">
      <c r="A4" s="9" t="n">
        <v>1</v>
      </c>
      <c r="B4" s="1" t="n">
        <v>0.802858105976441</v>
      </c>
      <c r="C4" s="1" t="n">
        <v>0.820620353982448</v>
      </c>
      <c r="E4" s="12" t="n">
        <f aca="false">_xlfn.STDEV.S(B4:B28)</f>
        <v>0.0545383416454234</v>
      </c>
      <c r="F4" s="12" t="n">
        <f aca="false">_xlfn.STDEV.S(C4:C28)</f>
        <v>0.0838485560603297</v>
      </c>
      <c r="G4" s="12" t="n">
        <f aca="false">_xlfn.F.TEST(B4:B28,C4:C28)</f>
        <v>0.0399064319421159</v>
      </c>
      <c r="H4" s="12" t="n">
        <f aca="false">_xlfn.T.TEST(B4:B28, C4:C28, 2,2)</f>
        <v>1.46042133221283E-005</v>
      </c>
      <c r="I4" s="12" t="n">
        <f aca="false">_xlfn.T.TEST(B4:B28,C4:C28, 2,3)</f>
        <v>1.94643094559887E-005</v>
      </c>
      <c r="J4" s="12" t="n">
        <f aca="false">AVERAGE(B4:B28)-AVERAGE(C4:C28)</f>
        <v>0.0965191330665399</v>
      </c>
      <c r="K4" s="0" t="n">
        <f aca="false">AVERAGE(B4:B28)</f>
        <v>0.738591074325871</v>
      </c>
      <c r="L4" s="0" t="n">
        <f aca="false">AVERAGE(C4:C28)</f>
        <v>0.642071941259331</v>
      </c>
    </row>
    <row r="5" customFormat="false" ht="12.8" hidden="false" customHeight="false" outlineLevel="0" collapsed="false">
      <c r="A5" s="9" t="n">
        <v>2</v>
      </c>
      <c r="B5" s="1" t="n">
        <v>0.723830722485877</v>
      </c>
      <c r="C5" s="1" t="n">
        <v>0.677850780887192</v>
      </c>
    </row>
    <row r="6" customFormat="false" ht="12.8" hidden="false" customHeight="false" outlineLevel="0" collapsed="false">
      <c r="A6" s="9" t="n">
        <v>3</v>
      </c>
      <c r="B6" s="1" t="n">
        <v>0.720096923539769</v>
      </c>
      <c r="C6" s="1" t="n">
        <v>0.677952285287439</v>
      </c>
    </row>
    <row r="7" customFormat="false" ht="12.8" hidden="false" customHeight="false" outlineLevel="0" collapsed="false">
      <c r="A7" s="9" t="n">
        <v>4</v>
      </c>
      <c r="B7" s="1" t="n">
        <v>0.744563645027981</v>
      </c>
      <c r="C7" s="1" t="n">
        <v>0.661353165434158</v>
      </c>
    </row>
    <row r="8" customFormat="false" ht="12.8" hidden="false" customHeight="false" outlineLevel="0" collapsed="false">
      <c r="A8" s="9" t="n">
        <v>5</v>
      </c>
      <c r="B8" s="1" t="n">
        <v>0.67114667173556</v>
      </c>
      <c r="C8" s="1" t="n">
        <v>0.593991040073877</v>
      </c>
    </row>
    <row r="9" customFormat="false" ht="12.8" hidden="false" customHeight="false" outlineLevel="0" collapsed="false">
      <c r="A9" s="9" t="n">
        <v>6</v>
      </c>
      <c r="B9" s="1" t="n">
        <v>0.740698706746506</v>
      </c>
      <c r="C9" s="1" t="n">
        <v>0.608645298556612</v>
      </c>
    </row>
    <row r="10" customFormat="false" ht="12.8" hidden="false" customHeight="false" outlineLevel="0" collapsed="false">
      <c r="A10" s="9" t="n">
        <v>7</v>
      </c>
      <c r="B10" s="1" t="n">
        <v>0.773772436552573</v>
      </c>
      <c r="C10" s="1" t="n">
        <v>0.574818823501635</v>
      </c>
    </row>
    <row r="11" customFormat="false" ht="12.8" hidden="false" customHeight="false" outlineLevel="0" collapsed="false">
      <c r="A11" s="9" t="n">
        <v>8</v>
      </c>
      <c r="B11" s="1" t="n">
        <v>0.669131289751387</v>
      </c>
      <c r="C11" s="1" t="n">
        <v>0.522250049685591</v>
      </c>
    </row>
    <row r="12" customFormat="false" ht="12.8" hidden="false" customHeight="false" outlineLevel="0" collapsed="false">
      <c r="A12" s="9" t="n">
        <v>9</v>
      </c>
      <c r="B12" s="1" t="n">
        <v>0.76936357772334</v>
      </c>
      <c r="C12" s="1" t="n">
        <v>0.763435630553549</v>
      </c>
    </row>
    <row r="13" customFormat="false" ht="12.8" hidden="false" customHeight="false" outlineLevel="0" collapsed="false">
      <c r="A13" s="9" t="n">
        <v>10</v>
      </c>
      <c r="B13" s="1" t="n">
        <v>0.795393600984621</v>
      </c>
      <c r="C13" s="1" t="n">
        <v>0.690362904205506</v>
      </c>
    </row>
    <row r="14" customFormat="false" ht="12.8" hidden="false" customHeight="false" outlineLevel="0" collapsed="false">
      <c r="A14" s="9" t="n">
        <v>11</v>
      </c>
      <c r="B14" s="1" t="n">
        <v>0.750280009673556</v>
      </c>
      <c r="C14" s="1" t="n">
        <v>0.669616305799924</v>
      </c>
    </row>
    <row r="15" customFormat="false" ht="12.8" hidden="false" customHeight="false" outlineLevel="0" collapsed="false">
      <c r="A15" s="9" t="n">
        <v>12</v>
      </c>
      <c r="B15" s="1" t="n">
        <v>0.791112051354437</v>
      </c>
      <c r="C15" s="1" t="n">
        <v>0.750515577717232</v>
      </c>
    </row>
    <row r="16" customFormat="false" ht="12.8" hidden="false" customHeight="false" outlineLevel="0" collapsed="false">
      <c r="A16" s="9" t="n">
        <v>13</v>
      </c>
      <c r="B16" s="1" t="n">
        <v>0.684900718861709</v>
      </c>
      <c r="C16" s="1" t="n">
        <v>0.709222966214306</v>
      </c>
    </row>
    <row r="17" customFormat="false" ht="12.8" hidden="false" customHeight="false" outlineLevel="0" collapsed="false">
      <c r="A17" s="9" t="n">
        <v>14</v>
      </c>
      <c r="B17" s="1" t="n">
        <v>0.81196411023973</v>
      </c>
      <c r="C17" s="1" t="n">
        <v>0.526107506619162</v>
      </c>
    </row>
    <row r="18" customFormat="false" ht="12.8" hidden="false" customHeight="false" outlineLevel="0" collapsed="false">
      <c r="A18" s="9" t="n">
        <v>15</v>
      </c>
      <c r="B18" s="1" t="n">
        <v>0.793315446960825</v>
      </c>
      <c r="C18" s="1" t="n">
        <v>0.568606644280233</v>
      </c>
    </row>
    <row r="19" customFormat="false" ht="12.8" hidden="false" customHeight="false" outlineLevel="0" collapsed="false">
      <c r="A19" s="9" t="n">
        <v>16</v>
      </c>
      <c r="B19" s="1" t="n">
        <v>0.677622741253111</v>
      </c>
      <c r="C19" s="1" t="n">
        <v>0.495011712365797</v>
      </c>
    </row>
    <row r="20" customFormat="false" ht="12.8" hidden="false" customHeight="false" outlineLevel="0" collapsed="false">
      <c r="A20" s="9" t="n">
        <v>17</v>
      </c>
      <c r="B20" s="1" t="n">
        <v>0.775090547764</v>
      </c>
      <c r="C20" s="1" t="n">
        <v>0.672995011679508</v>
      </c>
    </row>
    <row r="21" customFormat="false" ht="12.8" hidden="false" customHeight="false" outlineLevel="0" collapsed="false">
      <c r="A21" s="9" t="n">
        <v>18</v>
      </c>
      <c r="B21" s="1" t="n">
        <v>0.608910195539342</v>
      </c>
      <c r="C21" s="1" t="n">
        <v>0.637832242885566</v>
      </c>
    </row>
    <row r="22" customFormat="false" ht="12.8" hidden="false" customHeight="false" outlineLevel="0" collapsed="false">
      <c r="A22" s="9" t="n">
        <v>19</v>
      </c>
      <c r="B22" s="1" t="n">
        <v>0.816339008116756</v>
      </c>
      <c r="C22" s="1" t="n">
        <v>0.677348078562667</v>
      </c>
    </row>
    <row r="23" customFormat="false" ht="12.8" hidden="false" customHeight="false" outlineLevel="0" collapsed="false">
      <c r="A23" s="9" t="n">
        <v>20</v>
      </c>
      <c r="B23" s="1" t="n">
        <v>0.675912922731983</v>
      </c>
      <c r="C23" s="1" t="n">
        <v>0.675947228908232</v>
      </c>
    </row>
    <row r="24" customFormat="false" ht="12.8" hidden="false" customHeight="false" outlineLevel="0" collapsed="false">
      <c r="A24" s="9" t="n">
        <v>21</v>
      </c>
      <c r="B24" s="1" t="n">
        <v>0.748125732839088</v>
      </c>
      <c r="C24" s="1" t="n">
        <v>0.610943329404948</v>
      </c>
    </row>
    <row r="25" customFormat="false" ht="12.8" hidden="false" customHeight="false" outlineLevel="0" collapsed="false">
      <c r="A25" s="9" t="n">
        <v>22</v>
      </c>
      <c r="B25" s="1" t="n">
        <v>0.66618628675421</v>
      </c>
      <c r="C25" s="1" t="n">
        <v>0.750091190228488</v>
      </c>
    </row>
    <row r="26" customFormat="false" ht="12.8" hidden="false" customHeight="false" outlineLevel="0" collapsed="false">
      <c r="A26" s="9" t="n">
        <v>23</v>
      </c>
      <c r="B26" s="1" t="n">
        <v>0.757211026307674</v>
      </c>
      <c r="C26" s="1" t="n">
        <v>0.569584008433566</v>
      </c>
    </row>
    <row r="27" customFormat="false" ht="12.8" hidden="false" customHeight="false" outlineLevel="0" collapsed="false">
      <c r="A27" s="9" t="n">
        <v>24</v>
      </c>
      <c r="B27" s="1" t="n">
        <v>0.74821765393045</v>
      </c>
      <c r="C27" s="1" t="n">
        <v>0.517039819129782</v>
      </c>
    </row>
    <row r="28" customFormat="false" ht="12.8" hidden="false" customHeight="false" outlineLevel="0" collapsed="false">
      <c r="A28" s="12" t="n">
        <v>25</v>
      </c>
      <c r="B28" s="1" t="n">
        <v>0.748732725295858</v>
      </c>
      <c r="C28" s="1" t="n">
        <v>0.629656577085868</v>
      </c>
    </row>
    <row r="32" customFormat="false" ht="12.8" hidden="false" customHeight="false" outlineLevel="0" collapsed="false">
      <c r="A32" s="1" t="s">
        <v>119</v>
      </c>
    </row>
    <row r="34" customFormat="false" ht="12.8" hidden="false" customHeight="false" outlineLevel="0" collapsed="false">
      <c r="A34" s="11" t="s">
        <v>108</v>
      </c>
      <c r="B34" s="14" t="s">
        <v>120</v>
      </c>
      <c r="C34" s="6" t="s">
        <v>121</v>
      </c>
      <c r="D34" s="6" t="s">
        <v>109</v>
      </c>
      <c r="F34" s="15" t="s">
        <v>122</v>
      </c>
    </row>
    <row r="35" customFormat="false" ht="12.8" hidden="false" customHeight="false" outlineLevel="0" collapsed="false">
      <c r="A35" s="9" t="n">
        <v>1</v>
      </c>
      <c r="B35" s="1" t="n">
        <v>0.782943341241136</v>
      </c>
      <c r="C35" s="1" t="n">
        <v>0.796298769133089</v>
      </c>
      <c r="D35" s="1" t="n">
        <v>0.802858105976441</v>
      </c>
      <c r="F35" s="1" t="s">
        <v>123</v>
      </c>
      <c r="G35" s="1" t="n">
        <v>0.05</v>
      </c>
    </row>
    <row r="36" customFormat="false" ht="12.8" hidden="false" customHeight="false" outlineLevel="0" collapsed="false">
      <c r="A36" s="9" t="n">
        <v>2</v>
      </c>
      <c r="B36" s="1" t="n">
        <v>0.72616787514369</v>
      </c>
      <c r="C36" s="1" t="n">
        <v>0.739558549996658</v>
      </c>
      <c r="D36" s="1" t="n">
        <v>0.723830722485877</v>
      </c>
    </row>
    <row r="37" customFormat="false" ht="12.8" hidden="false" customHeight="false" outlineLevel="0" collapsed="false">
      <c r="A37" s="9" t="n">
        <v>3</v>
      </c>
      <c r="B37" s="1" t="n">
        <v>0.762384843564062</v>
      </c>
      <c r="C37" s="1" t="n">
        <v>0.739544897773702</v>
      </c>
      <c r="D37" s="1" t="n">
        <v>0.720096923539769</v>
      </c>
      <c r="F37" s="3" t="s">
        <v>124</v>
      </c>
      <c r="G37" s="1" t="s">
        <v>125</v>
      </c>
      <c r="H37" s="1" t="s">
        <v>126</v>
      </c>
      <c r="I37" s="1" t="s">
        <v>127</v>
      </c>
      <c r="J37" s="1" t="s">
        <v>128</v>
      </c>
    </row>
    <row r="38" customFormat="false" ht="12.8" hidden="false" customHeight="false" outlineLevel="0" collapsed="false">
      <c r="A38" s="9" t="n">
        <v>4</v>
      </c>
      <c r="B38" s="1" t="n">
        <v>0.703293963123335</v>
      </c>
      <c r="C38" s="1" t="n">
        <v>0.743029391601184</v>
      </c>
      <c r="D38" s="1" t="n">
        <v>0.744563645027981</v>
      </c>
      <c r="F38" s="3" t="s">
        <v>129</v>
      </c>
      <c r="G38" s="1" t="n">
        <f aca="false">COUNT(inter_system_stats!$B$34:$B$59)</f>
        <v>25</v>
      </c>
      <c r="H38" s="1" t="n">
        <f aca="false">SUM(inter_system_stats!$B$34:$B$59)</f>
        <v>18.3622593446155</v>
      </c>
      <c r="I38" s="1" t="n">
        <f aca="false">AVERAGE(inter_system_stats!$B$34:$B$59)</f>
        <v>0.734490373784622</v>
      </c>
      <c r="J38" s="1" t="n">
        <f aca="false">VAR(inter_system_stats!$B$34:$B$59)</f>
        <v>0.00341183321168499</v>
      </c>
    </row>
    <row r="39" customFormat="false" ht="12.8" hidden="false" customHeight="false" outlineLevel="0" collapsed="false">
      <c r="A39" s="9" t="n">
        <v>5</v>
      </c>
      <c r="B39" s="1" t="n">
        <v>0.729690702766813</v>
      </c>
      <c r="C39" s="1" t="n">
        <v>0.725502046355756</v>
      </c>
      <c r="D39" s="1" t="n">
        <v>0.67114667173556</v>
      </c>
      <c r="F39" s="3" t="s">
        <v>130</v>
      </c>
      <c r="G39" s="1" t="n">
        <f aca="false">COUNT(inter_system_stats!$C$34:$C$59)</f>
        <v>25</v>
      </c>
      <c r="H39" s="1" t="n">
        <f aca="false">SUM(inter_system_stats!$C$34:$C$59)</f>
        <v>18.1933898569111</v>
      </c>
      <c r="I39" s="1" t="n">
        <f aca="false">AVERAGE(inter_system_stats!$C$34:$C$59)</f>
        <v>0.727735594276442</v>
      </c>
      <c r="J39" s="1" t="n">
        <f aca="false">VAR(inter_system_stats!$C$34:$C$59)</f>
        <v>0.00415956848228218</v>
      </c>
    </row>
    <row r="40" customFormat="false" ht="12.8" hidden="false" customHeight="false" outlineLevel="0" collapsed="false">
      <c r="A40" s="9" t="n">
        <v>6</v>
      </c>
      <c r="B40" s="1" t="n">
        <v>0.752076127330993</v>
      </c>
      <c r="C40" s="1" t="n">
        <v>0.74855685096753</v>
      </c>
      <c r="D40" s="1" t="n">
        <v>0.740698706746506</v>
      </c>
      <c r="F40" s="3" t="s">
        <v>131</v>
      </c>
      <c r="G40" s="1" t="n">
        <f aca="false">COUNT(inter_system_stats!$D$34:$D$59)</f>
        <v>25</v>
      </c>
      <c r="H40" s="1" t="n">
        <f aca="false">SUM(inter_system_stats!$D$34:$D$59)</f>
        <v>18.4647768581468</v>
      </c>
      <c r="I40" s="1" t="n">
        <f aca="false">AVERAGE(inter_system_stats!$D$34:$D$59)</f>
        <v>0.738591074325871</v>
      </c>
      <c r="J40" s="1" t="n">
        <f aca="false">VAR(inter_system_stats!$D$34:$D$59)</f>
        <v>0.00297443070943292</v>
      </c>
    </row>
    <row r="41" customFormat="false" ht="12.8" hidden="false" customHeight="false" outlineLevel="0" collapsed="false">
      <c r="A41" s="9" t="n">
        <v>7</v>
      </c>
      <c r="B41" s="1" t="n">
        <v>0.811772559323065</v>
      </c>
      <c r="C41" s="1" t="n">
        <v>0.734138467252432</v>
      </c>
      <c r="D41" s="1" t="n">
        <v>0.773772436552573</v>
      </c>
      <c r="F41" s="3"/>
    </row>
    <row r="42" customFormat="false" ht="12.8" hidden="false" customHeight="false" outlineLevel="0" collapsed="false">
      <c r="A42" s="9" t="n">
        <v>8</v>
      </c>
      <c r="B42" s="1" t="n">
        <v>0.718329243982785</v>
      </c>
      <c r="C42" s="1" t="n">
        <v>0.668701341307149</v>
      </c>
      <c r="D42" s="1" t="n">
        <v>0.669131289751387</v>
      </c>
      <c r="F42" s="3" t="s">
        <v>132</v>
      </c>
      <c r="G42" s="1" t="s">
        <v>133</v>
      </c>
      <c r="H42" s="1" t="s">
        <v>134</v>
      </c>
      <c r="I42" s="1" t="s">
        <v>135</v>
      </c>
      <c r="J42" s="1" t="s">
        <v>136</v>
      </c>
      <c r="K42" s="1" t="s">
        <v>137</v>
      </c>
      <c r="L42" s="1" t="s">
        <v>138</v>
      </c>
    </row>
    <row r="43" customFormat="false" ht="12.8" hidden="false" customHeight="false" outlineLevel="0" collapsed="false">
      <c r="A43" s="9" t="n">
        <v>9</v>
      </c>
      <c r="B43" s="1" t="n">
        <v>0.750898507673254</v>
      </c>
      <c r="C43" s="1" t="n">
        <v>0.786880036989265</v>
      </c>
      <c r="D43" s="1" t="n">
        <v>0.76936357772334</v>
      </c>
      <c r="F43" s="3" t="s">
        <v>139</v>
      </c>
      <c r="G43" s="1" t="n">
        <f aca="false">SUMPRODUCT(inter_system_stats!$H$38:$H$40,inter_system_stats!$I$38:$I$40)-SUM(inter_system_stats!$H$38:$H$40)^2/SUM(inter_system_stats!$G$38:$G$40)</f>
        <v>0.00150236865196973</v>
      </c>
      <c r="H43" s="1" t="n">
        <f aca="false">COUNT(inter_system_stats!$H$38:$H$40)-1</f>
        <v>2</v>
      </c>
      <c r="I43" s="1" t="n">
        <f aca="false">inter_system_stats!$G$43 / inter_system_stats!$H$43</f>
        <v>0.000751184325984866</v>
      </c>
      <c r="J43" s="1" t="n">
        <f aca="false">inter_system_stats!$I$43 / inter_system_stats!$I$44</f>
        <v>0.213691332438398</v>
      </c>
      <c r="K43" s="1" t="n">
        <f aca="false">FDIST(inter_system_stats!$J$43, inter_system_stats!$H$43, inter_system_stats!$H$44)</f>
        <v>0.808107965216975</v>
      </c>
      <c r="L43" s="1" t="n">
        <f aca="false">FINV(inter_system_stats!$G$35, inter_system_stats!$H$43, inter_system_stats!$H$44)</f>
        <v>3.12390744854578</v>
      </c>
    </row>
    <row r="44" customFormat="false" ht="12.8" hidden="false" customHeight="false" outlineLevel="0" collapsed="false">
      <c r="A44" s="9" t="n">
        <v>10</v>
      </c>
      <c r="B44" s="1" t="n">
        <v>0.712335367494729</v>
      </c>
      <c r="C44" s="1" t="n">
        <v>0.80994865911664</v>
      </c>
      <c r="D44" s="1" t="n">
        <v>0.795393600984621</v>
      </c>
      <c r="F44" s="3" t="s">
        <v>140</v>
      </c>
      <c r="G44" s="1" t="n">
        <f aca="false">SUM(DEVSQ(inter_system_stats!$B$34:$B$59),DEVSQ(inter_system_stats!$C$34:$C$59),DEVSQ(inter_system_stats!$D$34:$D$59))</f>
        <v>0.253099977681602</v>
      </c>
      <c r="H44" s="1" t="n">
        <f aca="false">SUM(inter_system_stats!$G$38:$G$40)-COUNT(inter_system_stats!$G$38:$G$40)</f>
        <v>72</v>
      </c>
      <c r="I44" s="1" t="n">
        <f aca="false">inter_system_stats!$G$44 / inter_system_stats!$H$44</f>
        <v>0.00351527746780003</v>
      </c>
    </row>
    <row r="45" customFormat="false" ht="12.8" hidden="false" customHeight="false" outlineLevel="0" collapsed="false">
      <c r="A45" s="9" t="n">
        <v>11</v>
      </c>
      <c r="B45" s="1" t="n">
        <v>0.77617002993037</v>
      </c>
      <c r="C45" s="1" t="n">
        <v>0.690171891444283</v>
      </c>
      <c r="D45" s="1" t="n">
        <v>0.750280009673556</v>
      </c>
      <c r="F45" s="3" t="s">
        <v>141</v>
      </c>
      <c r="G45" s="1" t="n">
        <f aca="false">DEVSQ(inter_system_stats!$B$34:$B$59,inter_system_stats!$C$34:$C$59,inter_system_stats!$D$34:$D$59)</f>
        <v>0.254602346333574</v>
      </c>
      <c r="H45" s="1" t="n">
        <f aca="false">SUM(inter_system_stats!$G$38:$G$40) - 1</f>
        <v>74</v>
      </c>
    </row>
    <row r="46" customFormat="false" ht="12.8" hidden="false" customHeight="false" outlineLevel="0" collapsed="false">
      <c r="A46" s="9" t="n">
        <v>12</v>
      </c>
      <c r="B46" s="1" t="n">
        <v>0.770418007906113</v>
      </c>
      <c r="C46" s="1" t="n">
        <v>0.749125347769507</v>
      </c>
      <c r="D46" s="1" t="n">
        <v>0.791112051354437</v>
      </c>
    </row>
    <row r="47" customFormat="false" ht="12.8" hidden="false" customHeight="false" outlineLevel="0" collapsed="false">
      <c r="A47" s="9" t="n">
        <v>13</v>
      </c>
      <c r="B47" s="1" t="n">
        <v>0.687181835442281</v>
      </c>
      <c r="C47" s="1" t="n">
        <v>0.677480782400821</v>
      </c>
      <c r="D47" s="1" t="n">
        <v>0.684900718861709</v>
      </c>
    </row>
    <row r="48" customFormat="false" ht="12.8" hidden="false" customHeight="false" outlineLevel="0" collapsed="false">
      <c r="A48" s="9" t="n">
        <v>14</v>
      </c>
      <c r="B48" s="1" t="n">
        <v>0.81381364646817</v>
      </c>
      <c r="C48" s="1" t="n">
        <v>0.792919049793641</v>
      </c>
      <c r="D48" s="1" t="n">
        <v>0.81196411023973</v>
      </c>
    </row>
    <row r="49" customFormat="false" ht="12.8" hidden="false" customHeight="false" outlineLevel="0" collapsed="false">
      <c r="A49" s="9" t="n">
        <v>15</v>
      </c>
      <c r="B49" s="1" t="n">
        <v>0.78154173279719</v>
      </c>
      <c r="C49" s="1" t="n">
        <v>0.800884410132615</v>
      </c>
      <c r="D49" s="1" t="n">
        <v>0.793315446960825</v>
      </c>
    </row>
    <row r="50" customFormat="false" ht="12.8" hidden="false" customHeight="false" outlineLevel="0" collapsed="false">
      <c r="A50" s="9" t="n">
        <v>16</v>
      </c>
      <c r="B50" s="1" t="n">
        <v>0.679973262997131</v>
      </c>
      <c r="C50" s="1" t="n">
        <v>0.645399166816264</v>
      </c>
      <c r="D50" s="1" t="n">
        <v>0.677622741253111</v>
      </c>
    </row>
    <row r="51" customFormat="false" ht="12.8" hidden="false" customHeight="false" outlineLevel="0" collapsed="false">
      <c r="A51" s="9" t="n">
        <v>17</v>
      </c>
      <c r="B51" s="1" t="n">
        <v>0.804539740964931</v>
      </c>
      <c r="C51" s="1" t="n">
        <v>0.773016224974695</v>
      </c>
      <c r="D51" s="1" t="n">
        <v>0.775090547764</v>
      </c>
    </row>
    <row r="52" customFormat="false" ht="12.8" hidden="false" customHeight="false" outlineLevel="0" collapsed="false">
      <c r="A52" s="9" t="n">
        <v>18</v>
      </c>
      <c r="B52" s="1" t="n">
        <v>0.575788380252692</v>
      </c>
      <c r="C52" s="1" t="n">
        <v>0.583045440245199</v>
      </c>
      <c r="D52" s="1" t="n">
        <v>0.608910195539342</v>
      </c>
    </row>
    <row r="53" customFormat="false" ht="12.8" hidden="false" customHeight="false" outlineLevel="0" collapsed="false">
      <c r="A53" s="9" t="n">
        <v>19</v>
      </c>
      <c r="B53" s="1" t="n">
        <v>0.808293439836629</v>
      </c>
      <c r="C53" s="1" t="n">
        <v>0.795481203585273</v>
      </c>
      <c r="D53" s="1" t="n">
        <v>0.816339008116756</v>
      </c>
    </row>
    <row r="54" customFormat="false" ht="12.8" hidden="false" customHeight="false" outlineLevel="0" collapsed="false">
      <c r="A54" s="9" t="n">
        <v>20</v>
      </c>
      <c r="B54" s="1" t="n">
        <v>0.631098700615939</v>
      </c>
      <c r="C54" s="1" t="n">
        <v>0.652507768318238</v>
      </c>
      <c r="D54" s="1" t="n">
        <v>0.675912922731983</v>
      </c>
    </row>
    <row r="55" customFormat="false" ht="12.8" hidden="false" customHeight="false" outlineLevel="0" collapsed="false">
      <c r="A55" s="9" t="n">
        <v>21</v>
      </c>
      <c r="B55" s="1" t="n">
        <v>0.723521456744309</v>
      </c>
      <c r="C55" s="1" t="n">
        <v>0.613427900388095</v>
      </c>
      <c r="D55" s="1" t="n">
        <v>0.748125732839088</v>
      </c>
    </row>
    <row r="56" customFormat="false" ht="12.8" hidden="false" customHeight="false" outlineLevel="0" collapsed="false">
      <c r="A56" s="9" t="n">
        <v>22</v>
      </c>
      <c r="B56" s="1" t="n">
        <v>0.667636089020494</v>
      </c>
      <c r="C56" s="1" t="n">
        <v>0.656999422835807</v>
      </c>
      <c r="D56" s="1" t="n">
        <v>0.66618628675421</v>
      </c>
    </row>
    <row r="57" customFormat="false" ht="12.8" hidden="false" customHeight="false" outlineLevel="0" collapsed="false">
      <c r="A57" s="9" t="n">
        <v>23</v>
      </c>
      <c r="B57" s="1" t="n">
        <v>0.729145136576755</v>
      </c>
      <c r="C57" s="1" t="n">
        <v>0.779435389877834</v>
      </c>
      <c r="D57" s="1" t="n">
        <v>0.757211026307674</v>
      </c>
    </row>
    <row r="58" customFormat="false" ht="12.8" hidden="false" customHeight="false" outlineLevel="0" collapsed="false">
      <c r="A58" s="9" t="n">
        <v>24</v>
      </c>
      <c r="B58" s="1" t="n">
        <v>0.768909591560026</v>
      </c>
      <c r="C58" s="1" t="n">
        <v>0.795672429591334</v>
      </c>
      <c r="D58" s="1" t="n">
        <v>0.74821765393045</v>
      </c>
    </row>
    <row r="59" customFormat="false" ht="12.8" hidden="false" customHeight="false" outlineLevel="0" collapsed="false">
      <c r="A59" s="12" t="n">
        <v>25</v>
      </c>
      <c r="B59" s="1" t="n">
        <v>0.694335761858647</v>
      </c>
      <c r="C59" s="1" t="n">
        <v>0.695664418244049</v>
      </c>
      <c r="D59" s="1" t="n">
        <v>0.748732725295858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2026-02-20T16:08:17Z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
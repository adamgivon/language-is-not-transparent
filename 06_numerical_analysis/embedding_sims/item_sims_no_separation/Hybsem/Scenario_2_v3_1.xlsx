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2_hybsem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<sst xmlns="http://schemas.openxmlformats.org/spreadsheetml/2006/main" count="914" uniqueCount="155">
  <si>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</si>
  <si>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</si>
  <si>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</si>
  <si>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</si>
  <si>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</si>
  <si>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</si>
  <si>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</si>
  <si>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</si>
  <si>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</si>
  <si>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</si>
  <si>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</si>
  <si>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</si>
  <si>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activation/turn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</si>
  <si>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</si>
  <si>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</si>
  <si>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</si>
  <si>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</si>
  <si>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d5467efd-28d9-4c8c-9387-706193cf09bf</t>
  </si>
  <si>
    <t xml:space="preserve">cmja3vbwt000kzc4eu2msjdwc</t>
  </si>
  <si>
    <t xml:space="preserve">cmja3w8rs0011zc4e5ijfrp3u</t>
  </si>
  <si>
    <t xml:space="preserve">hybrid_v3_5_semantic</t>
  </si>
  <si>
    <t xml:space="preserve">Scenario_2_v3</t>
  </si>
  <si>
    <t xml:space="preserve">practicality_and_feasibility</t>
  </si>
  <si>
    <t xml:space="preserve">affective_interface</t>
  </si>
  <si>
    <t xml:space="preserve">temporal_dynamics</t>
  </si>
  <si>
    <t xml:space="preserve">imagination_and_possibility</t>
  </si>
  <si>
    <t xml:space="preserve">mathematics_computer_science_engineering</t>
  </si>
  <si>
    <t xml:space="preserve">truth_and_fact</t>
  </si>
  <si>
    <t xml:space="preserve">78b215aa-3d91-4f01-80f0-4d26a10ac328</t>
  </si>
  <si>
    <t xml:space="preserve">cmja3xbm40015zc4eqpdb9puo</t>
  </si>
  <si>
    <t xml:space="preserve">cmja3yldr001mzc4epu7kbfl9</t>
  </si>
  <si>
    <t xml:space="preserve">5e6c3f49-1682-4f70-a5d5-50e29b1d251a</t>
  </si>
  <si>
    <t xml:space="preserve">cmja3ztgv001qzc4e6p1ojxtj</t>
  </si>
  <si>
    <t xml:space="preserve">cmja40goc0027zc4ec8dqkvdm</t>
  </si>
  <si>
    <t xml:space="preserve">432a16b9-3618-4aaf-8ded-e470f745b0e1</t>
  </si>
  <si>
    <t xml:space="preserve">cmja41qfw002bzc4eiega4byl</t>
  </si>
  <si>
    <t xml:space="preserve">cmja42b8j002szc4ee73fqo9s</t>
  </si>
  <si>
    <t xml:space="preserve">54dd1e03-398d-4eaa-9a7e-812574b69fa1</t>
  </si>
  <si>
    <t xml:space="preserve">cmja43jjh002wzc4ed3mq4wza</t>
  </si>
  <si>
    <t xml:space="preserve">cmja443s4003dzc4e97urf3qe</t>
  </si>
  <si>
    <t xml:space="preserve">28e3c064-f5e1-4128-b3ee-b2c728419e53</t>
  </si>
  <si>
    <t xml:space="preserve">cmja46dqm003hzc4e8eo9600x</t>
  </si>
  <si>
    <t xml:space="preserve">cmja47ez2003yzc4ef1gii1ye</t>
  </si>
  <si>
    <t xml:space="preserve">a5e87be6-d125-4ad4-83e6-7882e3487ee9</t>
  </si>
  <si>
    <t xml:space="preserve">cmja482q40042zc4eln0po4sx</t>
  </si>
  <si>
    <t xml:space="preserve">cmja48r2f004jzc4ec33zimak</t>
  </si>
  <si>
    <t xml:space="preserve">sovereignty</t>
  </si>
  <si>
    <t xml:space="preserve">49246dfc-3a14-482e-83d2-a9cc2faa9de9</t>
  </si>
  <si>
    <t xml:space="preserve">cmja4bjnr004nzc4e29a83456</t>
  </si>
  <si>
    <t xml:space="preserve">cmja4c7480054zc4eeclcwrnd</t>
  </si>
  <si>
    <t xml:space="preserve">d43b7dfe-3029-4b64-a912-007e92f90862</t>
  </si>
  <si>
    <t xml:space="preserve">cmja4ddpd0058zc4er10ux66a</t>
  </si>
  <si>
    <t xml:space="preserve">cmja4dtqi005pzc4e376f2vc6</t>
  </si>
  <si>
    <t xml:space="preserve">a14fc81b-5bb1-44e1-8e8a-9da8604c5e1f</t>
  </si>
  <si>
    <t xml:space="preserve">cmja4fa6x005tzc4eu4wzi013</t>
  </si>
  <si>
    <t xml:space="preserve">cmja4fyf8006azc4ege1gaaj2</t>
  </si>
  <si>
    <t xml:space="preserve">4c25068b-5371-4459-b7f2-71276ddc2fc0</t>
  </si>
  <si>
    <t xml:space="preserve">cmja4gvof006ezc4e4gycmk17</t>
  </si>
  <si>
    <t xml:space="preserve">cmja4hhhu006vzc4eqiu8jrwl</t>
  </si>
  <si>
    <t xml:space="preserve">821272ae-b039-4fe4-a716-aa654b21bed1</t>
  </si>
  <si>
    <t xml:space="preserve">cmja4ilnp006zzc4et5ct62t4</t>
  </si>
  <si>
    <t xml:space="preserve">cmja4j4ze007gzc4etd32ln1v</t>
  </si>
  <si>
    <t xml:space="preserve">5ab1f938-73f7-4a79-917f-93d8cd9c5297</t>
  </si>
  <si>
    <t xml:space="preserve">cmja4kh19007kzc4ebd1jfzrn</t>
  </si>
  <si>
    <t xml:space="preserve">cmja4l4qg0081zc4e9kebm7ss</t>
  </si>
  <si>
    <t xml:space="preserve">17b99bcd-fcb5-415a-989d-1ba643e7bfb6</t>
  </si>
  <si>
    <t xml:space="preserve">cmja4m9t00085zc4e52asd4jw</t>
  </si>
  <si>
    <t xml:space="preserve">cmja4muu3008mzc4erh8kwkow</t>
  </si>
  <si>
    <t xml:space="preserve">279d7288-7948-410b-bb12-7ff07144dbcd</t>
  </si>
  <si>
    <t xml:space="preserve">cmja4opip008qzc4egs3dgvyd</t>
  </si>
  <si>
    <t xml:space="preserve">cmja4pg100097zc4e8aw57ae9</t>
  </si>
  <si>
    <t xml:space="preserve">freedom_and_limitations</t>
  </si>
  <si>
    <t xml:space="preserve">02d5160c-f897-423c-8f62-67342ff55ee6</t>
  </si>
  <si>
    <t xml:space="preserve">cmja4qdmr009bzc4eoozpy6zz</t>
  </si>
  <si>
    <t xml:space="preserve">cmja4r05t009szc4e5nz7hwnt</t>
  </si>
  <si>
    <t xml:space="preserve">d00b3a79-f137-4d2a-9f76-9cbaa0435e11</t>
  </si>
  <si>
    <t xml:space="preserve">cmja4t4v6009wzc4emzlt9hy1</t>
  </si>
  <si>
    <t xml:space="preserve">cmja4tr8r00adzc4ercde9id0</t>
  </si>
  <si>
    <t xml:space="preserve">8d1926a4-0f9a-4582-8ffb-efc9a9d54a6e</t>
  </si>
  <si>
    <t xml:space="preserve">cmja4u9nq00ahzc4e8jn5sy83</t>
  </si>
  <si>
    <t xml:space="preserve">cmja4uuuz00ayzc4el739ulxl</t>
  </si>
  <si>
    <t xml:space="preserve">15d5859e-9e20-47a2-b04e-1233cf6bb1bb</t>
  </si>
  <si>
    <t xml:space="preserve">cmja4vpm200b2zc4exb80srdk</t>
  </si>
  <si>
    <t xml:space="preserve">cmja4weaj00bjzc4eicezfr2e</t>
  </si>
  <si>
    <t xml:space="preserve">8e715645-3486-429b-9ed2-16e5689e2ac1</t>
  </si>
  <si>
    <t xml:space="preserve">cmja4y48500bnzc4ek6xn1g4u</t>
  </si>
  <si>
    <t xml:space="preserve">cmja4ye1200c4zc4e6gz0mxzg</t>
  </si>
  <si>
    <t xml:space="preserve">e1688d5f-a890-4108-a6bd-cb415ab0fa77</t>
  </si>
  <si>
    <t xml:space="preserve">cmja4zl6x00c8zc4eopo6no2m</t>
  </si>
  <si>
    <t xml:space="preserve">cmja506zb00cpzc4eotn6fu40</t>
  </si>
  <si>
    <t xml:space="preserve">2abb993f-97ac-49c7-8c8b-14ae1c76a245</t>
  </si>
  <si>
    <t xml:space="preserve">cmja51jhh00ctzc4e1hugrcrm</t>
  </si>
  <si>
    <t xml:space="preserve">cmja523s900dazc4e0ne1zxm0</t>
  </si>
  <si>
    <t xml:space="preserve">science</t>
  </si>
  <si>
    <t xml:space="preserve">a0172942-9bb6-4908-91e4-33e4ce3587e9</t>
  </si>
  <si>
    <t xml:space="preserve">cmja53lfa00dezc4evxjqsw0f</t>
  </si>
  <si>
    <t xml:space="preserve">cmja53tww00dvzc4e3loe355p</t>
  </si>
  <si>
    <t xml:space="preserve">metaphorical_scaffolding</t>
  </si>
  <si>
    <t xml:space="preserve">43a3d2db-3edf-488f-ba19-afa6f59c29d3</t>
  </si>
  <si>
    <t xml:space="preserve">cmja54k7w00dzzc4e7csx89gp</t>
  </si>
  <si>
    <t xml:space="preserve">cmja553c400egzc4edxbm8u0v</t>
  </si>
  <si>
    <t xml:space="preserve">70a6778f-d8d7-4d1d-b330-105ead8d671f</t>
  </si>
  <si>
    <t xml:space="preserve">cmja5cfbb00ggzc4egpbo11va</t>
  </si>
  <si>
    <t xml:space="preserve">cmja5d5mn00gxzc4e474mcxtx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</si>
  <si>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</si>
  <si>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</si>
  <si>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</si>
  <si>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</si>
  <si>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Correlation</t>
  </si>
  <si>
    <t xml:space="preserve">T-statistic</t>
  </si>
  <si>
    <t xml:space="preserve">Turn</t>
  </si>
  <si>
    <t xml:space="preserve">Prompt-response</t>
  </si>
  <si>
    <t xml:space="preserve">hybsem</t>
  </si>
  <si>
    <t xml:space="preserve">control</t>
  </si>
  <si>
    <t xml:space="preserve">std. Hybsem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</si>
  <si>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</si>
  <si>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</si>
  <si>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</si>
  <si>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</si>
  <si>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</si>
  <si>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</si>
  <si>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</si>
  <si>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</si>
  <si>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</si>
  <si>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</si>
  <si>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</si>
  <si>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</si>
  <si>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</si>
  <si>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</si>
  <si>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</si>
  <si>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</si>
  <si>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</si>
  <si>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</si>
  <si>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</si>
  <si>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</si>
  <si>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</si>
  <si>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</si>
  <si>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hybrid</t>
  </si>
  <si>
    <t xml:space="preserve">ac15p</t>
  </si>
  <si>
    <t xml:space="preserve">ANOVA - Single Factor</t>
  </si>
  <si>
    <t xml:space="preserve">Groups</t>
  </si>
  <si>
    <t xml:space="preserve">Count</t>
  </si>
  <si>
    <t xml:space="preserve">Sum</t>
  </si>
  <si>
    <t xml:space="preserve">Column 1</t>
  </si>
  <si>
    <t xml:space="preserve">Column 2</t>
  </si>
  <si>
    <t xml:space="preserve">Column 3</t>
  </si>
  <si>
    <t xml:space="preserve">Source of Variation</t>
  </si>
  <si>
    <t xml:space="preserve">SS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</si>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</sst>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0.000000;[RED]\-0.000000"/>
    <numFmt numFmtId="165" formatCode="0;[RED]\-0"/>
    <numFmt numFmtId="166" formatCode="General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0.000000;[RED]\-0.000000</c:formatCode>
                <c:ptCount val="25"/>
                <c:pt idx="0">
                  <c:v>0.826465743120003</c:v>
                </c:pt>
                <c:pt idx="1">
                  <c:v>0.760295791016544</c:v>
                </c:pt>
                <c:pt idx="2">
                  <c:v>0.745513104503565</c:v>
                </c:pt>
                <c:pt idx="3">
                  <c:v>0.740237977344109</c:v>
                </c:pt>
                <c:pt idx="4">
                  <c:v>0.701417807349544</c:v>
                </c:pt>
                <c:pt idx="5">
                  <c:v>0.764412269319662</c:v>
                </c:pt>
                <c:pt idx="6">
                  <c:v>0.704629188099325</c:v>
                </c:pt>
                <c:pt idx="7">
                  <c:v>0.77201186291984</c:v>
                </c:pt>
                <c:pt idx="8">
                  <c:v>0.72188407789367</c:v>
                </c:pt>
                <c:pt idx="9">
                  <c:v>0.801799093845666</c:v>
                </c:pt>
                <c:pt idx="10">
                  <c:v>0.82639186986707</c:v>
                </c:pt>
                <c:pt idx="11">
                  <c:v>0.74557662237038</c:v>
                </c:pt>
                <c:pt idx="12">
                  <c:v>0.739304791041697</c:v>
                </c:pt>
                <c:pt idx="13">
                  <c:v>0.716775890381091</c:v>
                </c:pt>
                <c:pt idx="14">
                  <c:v>0.72335469896996</c:v>
                </c:pt>
                <c:pt idx="15">
                  <c:v>0.74148150305735</c:v>
                </c:pt>
                <c:pt idx="16">
                  <c:v>0.782813226803677</c:v>
                </c:pt>
                <c:pt idx="17">
                  <c:v>0.683924726356955</c:v>
                </c:pt>
                <c:pt idx="18">
                  <c:v>0.741861628869437</c:v>
                </c:pt>
                <c:pt idx="19">
                  <c:v>0.861291025455911</c:v>
                </c:pt>
                <c:pt idx="20">
                  <c:v>0.726997779119958</c:v>
                </c:pt>
                <c:pt idx="21">
                  <c:v>0.665221956623617</c:v>
                </c:pt>
                <c:pt idx="22">
                  <c:v>0.761746926827647</c:v>
                </c:pt>
                <c:pt idx="23">
                  <c:v>0.746216792553118</c:v>
                </c:pt>
                <c:pt idx="24">
                  <c:v>0.725032419587978</c:v>
                </c:pt>
              </c:numCache>
            </c:numRef>
          </c:yVal>
          <c:smooth val="0"/>
        </c:ser>
        <c:axId val="80715855"/>
        <c:axId val="24870114"/>
      </c:scatterChart>
      <c:valAx>
        <c:axId val="807158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870114"/>
        <c:crosses val="autoZero"/>
        <c:crossBetween val="midCat"/>
      </c:valAx>
      <c:valAx>
        <c:axId val="248701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071585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716760</xdr:colOff>
      <xdr:row>5</xdr:row>
      <xdr:rowOff>68040</xdr:rowOff>
    </xdr:from>
    <xdr:to>
      <xdr:col>11</xdr:col>
      <xdr:colOff>119520</xdr:colOff>
      <xdr:row>25</xdr:row>
      <xdr:rowOff>61200</xdr:rowOff>
    </xdr:to>
    <xdr:graphicFrame>
      <xdr:nvGraphicFramePr>
        <xdr:cNvPr id="1" name=""/>
        <xdr:cNvGraphicFramePr/>
      </xdr:nvGraphicFramePr>
      <xdr:xfrm>
        <a:off x="5719320" y="880920"/>
        <a:ext cx="5038920" cy="324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3" activeCellId="1" sqref="F11:G11 O3"/>
    </sheetView>
  </sheetViews>
  <sheetFormatPr defaultColWidth="10.51953125" defaultRowHeight="15" customHeight="false" zeroHeight="false" outlineLevelRow="0" outlineLevelCol="0"/>
  <cols>
    <col collapsed="false" customWidth="false" hidden="false" outlineLevel="0" max="3" min="1" style="1" width="10.5"/>
    <col collapsed="false" customWidth="true" hidden="false" outlineLevel="0" max="4" min="4" style="2" width="28.33"/>
    <col collapsed="false" customWidth="true" hidden="false" outlineLevel="0" max="5" min="5" style="2" width="22.33"/>
    <col collapsed="false" customWidth="false" hidden="false" outlineLevel="0" max="6" min="6" style="3" width="10.5"/>
    <col collapsed="false" customWidth="true" hidden="false" outlineLevel="0" max="7" min="7" style="2" width="44.08"/>
    <col collapsed="false" customWidth="true" hidden="false" outlineLevel="0" max="8" min="8" style="2" width="17.84"/>
    <col collapsed="false" customWidth="true" hidden="false" outlineLevel="0" max="9" min="9" style="2" width="19.18"/>
    <col collapsed="false" customWidth="true" hidden="false" outlineLevel="0" max="10" min="10" style="2" width="16.17"/>
    <col collapsed="false" customWidth="true" hidden="false" outlineLevel="0" max="12" min="11" style="2" width="20.54"/>
    <col collapsed="false" customWidth="true" hidden="false" outlineLevel="0" max="14" min="14" style="2" width="18.44"/>
    <col collapsed="false" customWidth="true" hidden="false" outlineLevel="0" max="15" min="15" style="4" width="21.28"/>
    <col collapsed="false" customWidth="true" hidden="false" outlineLevel="0" max="16" min="16" style="4" width="15.89"/>
    <col collapsed="false" customWidth="true" hidden="false" outlineLevel="0" max="17" min="17" style="4" width="22.79"/>
    <col collapsed="false" customWidth="false" hidden="false" outlineLevel="0" max="18" min="18" style="2" width="10.5"/>
  </cols>
  <sheetData>
    <row r="1" customFormat="false" ht="19.4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6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D3" s="2" t="s">
        <v>20</v>
      </c>
      <c r="E3" s="2" t="s">
        <v>21</v>
      </c>
      <c r="F3" s="3" t="n">
        <v>1</v>
      </c>
      <c r="G3" s="2" t="s">
        <v>22</v>
      </c>
      <c r="H3" s="2" t="n">
        <v>0.2222</v>
      </c>
      <c r="I3" s="2" t="n">
        <v>0.329412875750878</v>
      </c>
      <c r="J3" s="2" t="n">
        <v>0.384156768838628</v>
      </c>
      <c r="K3" s="2" t="n">
        <f aca="false">J3-I3</f>
        <v>0.0547438930877509</v>
      </c>
      <c r="L3" s="2" t="n">
        <v>0.826465743120003</v>
      </c>
      <c r="N3" s="2" t="n">
        <f aca="false">AVERAGE(K3:K8)</f>
        <v>0.0546431263787856</v>
      </c>
      <c r="O3" s="2" t="n">
        <f aca="false">AVERAGE(K3:K141)</f>
        <v>0.0570536592596925</v>
      </c>
      <c r="P3" s="2" t="n">
        <f aca="false">COUNT(K3:K141)</f>
        <v>139</v>
      </c>
      <c r="Q3" s="2" t="n">
        <f aca="false">CORREL(H3:H141,K3:K141)</f>
        <v>0.126855137334041</v>
      </c>
      <c r="R3" s="2" t="n">
        <v>0.1367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19</v>
      </c>
      <c r="D4" s="2" t="s">
        <v>20</v>
      </c>
      <c r="E4" s="2" t="s">
        <v>21</v>
      </c>
      <c r="F4" s="3" t="n">
        <v>1</v>
      </c>
      <c r="G4" s="2" t="s">
        <v>23</v>
      </c>
      <c r="H4" s="2" t="n">
        <v>0.1778</v>
      </c>
      <c r="I4" s="2" t="n">
        <v>0.2636085996951</v>
      </c>
      <c r="J4" s="2" t="n">
        <v>0.314997646105731</v>
      </c>
      <c r="K4" s="2" t="n">
        <f aca="false">J4-I4</f>
        <v>0.0513890464106316</v>
      </c>
      <c r="L4" s="2" t="n">
        <v>0.826465743120003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19</v>
      </c>
      <c r="D5" s="2" t="s">
        <v>20</v>
      </c>
      <c r="E5" s="2" t="s">
        <v>21</v>
      </c>
      <c r="F5" s="3" t="n">
        <v>1</v>
      </c>
      <c r="G5" s="2" t="s">
        <v>24</v>
      </c>
      <c r="H5" s="2" t="n">
        <v>0.1767</v>
      </c>
      <c r="I5" s="2" t="n">
        <v>0.26208050611138</v>
      </c>
      <c r="J5" s="2" t="n">
        <v>0.309426999564864</v>
      </c>
      <c r="K5" s="2" t="n">
        <f aca="false">J5-I5</f>
        <v>0.0473464934534844</v>
      </c>
      <c r="L5" s="2" t="n">
        <v>0.826465743120003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2" t="s">
        <v>20</v>
      </c>
      <c r="E6" s="2" t="s">
        <v>21</v>
      </c>
      <c r="F6" s="3" t="n">
        <v>1</v>
      </c>
      <c r="G6" s="2" t="s">
        <v>25</v>
      </c>
      <c r="H6" s="2" t="n">
        <v>0.1723</v>
      </c>
      <c r="I6" s="2" t="n">
        <v>0.255505352633457</v>
      </c>
      <c r="J6" s="2" t="n">
        <v>0.301103707677605</v>
      </c>
      <c r="K6" s="2" t="n">
        <f aca="false">J6-I6</f>
        <v>0.0455983550441483</v>
      </c>
      <c r="L6" s="2" t="n">
        <v>0.826465743120003</v>
      </c>
    </row>
    <row r="7" customFormat="false" ht="15" hidden="false" customHeight="false" outlineLevel="0" collapsed="false">
      <c r="A7" s="1" t="s">
        <v>17</v>
      </c>
      <c r="B7" s="1" t="s">
        <v>18</v>
      </c>
      <c r="C7" s="1" t="s">
        <v>19</v>
      </c>
      <c r="D7" s="2" t="s">
        <v>20</v>
      </c>
      <c r="E7" s="2" t="s">
        <v>21</v>
      </c>
      <c r="F7" s="3" t="n">
        <v>1</v>
      </c>
      <c r="G7" s="2" t="s">
        <v>26</v>
      </c>
      <c r="H7" s="2" t="n">
        <v>0.151</v>
      </c>
      <c r="I7" s="2" t="n">
        <v>0.223943506929601</v>
      </c>
      <c r="J7" s="2" t="n">
        <v>0.272957958875588</v>
      </c>
      <c r="K7" s="2" t="n">
        <f aca="false">J7-I7</f>
        <v>0.0490144519459873</v>
      </c>
      <c r="L7" s="2" t="n">
        <v>0.826465743120003</v>
      </c>
    </row>
    <row r="8" customFormat="false" ht="15" hidden="false" customHeight="false" outlineLevel="0" collapsed="false">
      <c r="A8" s="1" t="s">
        <v>17</v>
      </c>
      <c r="B8" s="1" t="s">
        <v>18</v>
      </c>
      <c r="C8" s="1" t="s">
        <v>19</v>
      </c>
      <c r="D8" s="2" t="s">
        <v>20</v>
      </c>
      <c r="E8" s="2" t="s">
        <v>21</v>
      </c>
      <c r="F8" s="3" t="n">
        <v>1</v>
      </c>
      <c r="G8" s="2" t="s">
        <v>27</v>
      </c>
      <c r="H8" s="2" t="n">
        <v>0.1</v>
      </c>
      <c r="I8" s="2" t="n">
        <v>0.117832704409934</v>
      </c>
      <c r="J8" s="2" t="n">
        <v>0.197599222740645</v>
      </c>
      <c r="K8" s="2" t="n">
        <f aca="false">J8-I8</f>
        <v>0.0797665183307108</v>
      </c>
      <c r="L8" s="2" t="n">
        <v>0.826465743120003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2" t="s">
        <v>20</v>
      </c>
      <c r="E9" s="2" t="s">
        <v>21</v>
      </c>
      <c r="F9" s="3" t="n">
        <v>3</v>
      </c>
      <c r="G9" s="2" t="s">
        <v>22</v>
      </c>
      <c r="H9" s="2" t="n">
        <v>0.2342</v>
      </c>
      <c r="I9" s="2" t="n">
        <v>0.32501910506319</v>
      </c>
      <c r="J9" s="2" t="n">
        <v>0.404295843887522</v>
      </c>
      <c r="K9" s="2" t="n">
        <f aca="false">J9-I9</f>
        <v>0.0792767388243321</v>
      </c>
      <c r="L9" s="2" t="n">
        <v>0.760295791016544</v>
      </c>
      <c r="N9" s="2" t="n">
        <f aca="false">AVERAGE(K9:K14)</f>
        <v>0.0820029024969715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2" t="s">
        <v>20</v>
      </c>
      <c r="E10" s="2" t="s">
        <v>21</v>
      </c>
      <c r="F10" s="3" t="n">
        <v>3</v>
      </c>
      <c r="G10" s="2" t="s">
        <v>24</v>
      </c>
      <c r="H10" s="2" t="n">
        <v>0.1886</v>
      </c>
      <c r="I10" s="2" t="n">
        <v>0.261671044557003</v>
      </c>
      <c r="J10" s="2" t="n">
        <v>0.301524990702473</v>
      </c>
      <c r="K10" s="2" t="n">
        <f aca="false">J10-I10</f>
        <v>0.03985394614547</v>
      </c>
      <c r="L10" s="2" t="n">
        <v>0.760295791016544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  <c r="D11" s="2" t="s">
        <v>20</v>
      </c>
      <c r="E11" s="2" t="s">
        <v>21</v>
      </c>
      <c r="F11" s="3" t="n">
        <v>3</v>
      </c>
      <c r="G11" s="2" t="s">
        <v>23</v>
      </c>
      <c r="H11" s="2" t="n">
        <v>0.1731</v>
      </c>
      <c r="I11" s="2" t="n">
        <v>0.240232654639841</v>
      </c>
      <c r="J11" s="2" t="n">
        <v>0.350004733255713</v>
      </c>
      <c r="K11" s="2" t="n">
        <f aca="false">J11-I11</f>
        <v>0.109772078615872</v>
      </c>
      <c r="L11" s="2" t="n">
        <v>0.760295791016544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30</v>
      </c>
      <c r="D12" s="2" t="s">
        <v>20</v>
      </c>
      <c r="E12" s="2" t="s">
        <v>21</v>
      </c>
      <c r="F12" s="3" t="n">
        <v>3</v>
      </c>
      <c r="G12" s="2" t="s">
        <v>26</v>
      </c>
      <c r="H12" s="2" t="n">
        <v>0.1535</v>
      </c>
      <c r="I12" s="2" t="n">
        <v>0.212942560151617</v>
      </c>
      <c r="J12" s="2" t="n">
        <v>0.289500728911855</v>
      </c>
      <c r="K12" s="2" t="n">
        <f aca="false">J12-I12</f>
        <v>0.0765581687602382</v>
      </c>
      <c r="L12" s="2" t="n">
        <v>0.760295791016544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s">
        <v>30</v>
      </c>
      <c r="D13" s="2" t="s">
        <v>20</v>
      </c>
      <c r="E13" s="2" t="s">
        <v>21</v>
      </c>
      <c r="F13" s="3" t="n">
        <v>3</v>
      </c>
      <c r="G13" s="2" t="s">
        <v>25</v>
      </c>
      <c r="H13" s="2" t="n">
        <v>0.1506</v>
      </c>
      <c r="I13" s="2" t="n">
        <v>0.209040922985911</v>
      </c>
      <c r="J13" s="2" t="n">
        <v>0.276805455198152</v>
      </c>
      <c r="K13" s="2" t="n">
        <f aca="false">J13-I13</f>
        <v>0.067764532212241</v>
      </c>
      <c r="L13" s="2" t="n">
        <v>0.760295791016544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1" t="s">
        <v>30</v>
      </c>
      <c r="D14" s="2" t="s">
        <v>20</v>
      </c>
      <c r="E14" s="2" t="s">
        <v>21</v>
      </c>
      <c r="F14" s="3" t="n">
        <v>3</v>
      </c>
      <c r="G14" s="2" t="s">
        <v>27</v>
      </c>
      <c r="H14" s="2" t="n">
        <v>0.1</v>
      </c>
      <c r="I14" s="2" t="n">
        <v>0.116057820760159</v>
      </c>
      <c r="J14" s="2" t="n">
        <v>0.234849771183835</v>
      </c>
      <c r="K14" s="2" t="n">
        <f aca="false">J14-I14</f>
        <v>0.118791950423676</v>
      </c>
      <c r="L14" s="2" t="n">
        <v>0.760295791016544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2" t="s">
        <v>20</v>
      </c>
      <c r="E15" s="2" t="s">
        <v>21</v>
      </c>
      <c r="F15" s="3" t="n">
        <v>5</v>
      </c>
      <c r="G15" s="2" t="s">
        <v>22</v>
      </c>
      <c r="H15" s="2" t="n">
        <v>0.2203</v>
      </c>
      <c r="I15" s="2" t="n">
        <v>0.411806753250142</v>
      </c>
      <c r="J15" s="2" t="n">
        <v>0.435907496910006</v>
      </c>
      <c r="K15" s="2" t="n">
        <f aca="false">J15-I15</f>
        <v>0.0241007436598642</v>
      </c>
      <c r="L15" s="2" t="n">
        <v>0.745513104503565</v>
      </c>
      <c r="N15" s="2" t="n">
        <f aca="false">AVERAGE(K15:K20)</f>
        <v>0.050709208905384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2" t="s">
        <v>20</v>
      </c>
      <c r="E16" s="2" t="s">
        <v>21</v>
      </c>
      <c r="F16" s="3" t="n">
        <v>5</v>
      </c>
      <c r="G16" s="2" t="s">
        <v>24</v>
      </c>
      <c r="H16" s="2" t="n">
        <v>0.189</v>
      </c>
      <c r="I16" s="2" t="n">
        <v>0.353365469207318</v>
      </c>
      <c r="J16" s="2" t="n">
        <v>0.408861007829247</v>
      </c>
      <c r="K16" s="2" t="n">
        <f aca="false">J16-I16</f>
        <v>0.055495538621929</v>
      </c>
      <c r="L16" s="2" t="n">
        <v>0.745513104503565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2" t="s">
        <v>20</v>
      </c>
      <c r="E17" s="2" t="s">
        <v>21</v>
      </c>
      <c r="F17" s="3" t="n">
        <v>5</v>
      </c>
      <c r="G17" s="2" t="s">
        <v>23</v>
      </c>
      <c r="H17" s="2" t="n">
        <v>0.1812</v>
      </c>
      <c r="I17" s="2" t="n">
        <v>0.338631530059748</v>
      </c>
      <c r="J17" s="2" t="n">
        <v>0.388429649038385</v>
      </c>
      <c r="K17" s="2" t="n">
        <f aca="false">J17-I17</f>
        <v>0.0497981189786366</v>
      </c>
      <c r="L17" s="2" t="n">
        <v>0.745513104503565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2" t="s">
        <v>20</v>
      </c>
      <c r="E18" s="2" t="s">
        <v>21</v>
      </c>
      <c r="F18" s="3" t="n">
        <v>5</v>
      </c>
      <c r="G18" s="2" t="s">
        <v>26</v>
      </c>
      <c r="H18" s="2" t="n">
        <v>0.1556</v>
      </c>
      <c r="I18" s="2" t="n">
        <v>0.290794138644215</v>
      </c>
      <c r="J18" s="2" t="n">
        <v>0.315684119665564</v>
      </c>
      <c r="K18" s="2" t="n">
        <f aca="false">J18-I18</f>
        <v>0.0248899810213495</v>
      </c>
      <c r="L18" s="2" t="n">
        <v>0.745513104503565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2" t="s">
        <v>20</v>
      </c>
      <c r="E19" s="2" t="s">
        <v>21</v>
      </c>
      <c r="F19" s="3" t="n">
        <v>5</v>
      </c>
      <c r="G19" s="2" t="s">
        <v>25</v>
      </c>
      <c r="H19" s="2" t="n">
        <v>0.1539</v>
      </c>
      <c r="I19" s="2" t="n">
        <v>0.287695994169798</v>
      </c>
      <c r="J19" s="2" t="n">
        <v>0.35870841303187</v>
      </c>
      <c r="K19" s="2" t="n">
        <f aca="false">J19-I19</f>
        <v>0.071012418862072</v>
      </c>
      <c r="L19" s="2" t="n">
        <v>0.745513104503565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2" t="s">
        <v>20</v>
      </c>
      <c r="E20" s="2" t="s">
        <v>21</v>
      </c>
      <c r="F20" s="3" t="n">
        <v>5</v>
      </c>
      <c r="G20" s="2" t="s">
        <v>27</v>
      </c>
      <c r="H20" s="2" t="n">
        <v>0.1</v>
      </c>
      <c r="I20" s="2" t="n">
        <v>0.185884706323177</v>
      </c>
      <c r="J20" s="2" t="n">
        <v>0.264843158611629</v>
      </c>
      <c r="K20" s="2" t="n">
        <f aca="false">J20-I20</f>
        <v>0.0789584522884528</v>
      </c>
      <c r="L20" s="2" t="n">
        <v>0.745513104503565</v>
      </c>
    </row>
    <row r="21" customFormat="false" ht="15" hidden="false" customHeight="false" outlineLevel="0" collapsed="false">
      <c r="A21" s="1" t="s">
        <v>34</v>
      </c>
      <c r="B21" s="1" t="s">
        <v>35</v>
      </c>
      <c r="C21" s="1" t="s">
        <v>36</v>
      </c>
      <c r="D21" s="2" t="s">
        <v>20</v>
      </c>
      <c r="E21" s="2" t="s">
        <v>21</v>
      </c>
      <c r="F21" s="3" t="n">
        <v>7</v>
      </c>
      <c r="G21" s="2" t="s">
        <v>22</v>
      </c>
      <c r="H21" s="2" t="n">
        <v>0.2216</v>
      </c>
      <c r="I21" s="2" t="n">
        <v>0.367003194357798</v>
      </c>
      <c r="J21" s="2" t="n">
        <v>0.39461517493385</v>
      </c>
      <c r="K21" s="2" t="n">
        <f aca="false">J21-I21</f>
        <v>0.0276119805760524</v>
      </c>
      <c r="L21" s="2" t="n">
        <v>0.740237977344109</v>
      </c>
      <c r="N21" s="2" t="n">
        <f aca="false">AVERAGE(K21:K26)</f>
        <v>0.0418903465636048</v>
      </c>
    </row>
    <row r="22" customFormat="false" ht="15" hidden="false" customHeight="false" outlineLevel="0" collapsed="false">
      <c r="A22" s="1" t="s">
        <v>34</v>
      </c>
      <c r="B22" s="1" t="s">
        <v>35</v>
      </c>
      <c r="C22" s="1" t="s">
        <v>36</v>
      </c>
      <c r="D22" s="2" t="s">
        <v>20</v>
      </c>
      <c r="E22" s="2" t="s">
        <v>21</v>
      </c>
      <c r="F22" s="3" t="n">
        <v>7</v>
      </c>
      <c r="G22" s="2" t="s">
        <v>24</v>
      </c>
      <c r="H22" s="2" t="n">
        <v>0.2039</v>
      </c>
      <c r="I22" s="2" t="n">
        <v>0.337621214497903</v>
      </c>
      <c r="J22" s="2" t="n">
        <v>0.311705409042419</v>
      </c>
      <c r="K22" s="2" t="n">
        <f aca="false">J22-I22</f>
        <v>-0.025915805455484</v>
      </c>
      <c r="L22" s="2" t="n">
        <v>0.740237977344109</v>
      </c>
    </row>
    <row r="23" customFormat="false" ht="15" hidden="false" customHeight="false" outlineLevel="0" collapsed="false">
      <c r="A23" s="1" t="s">
        <v>34</v>
      </c>
      <c r="B23" s="1" t="s">
        <v>35</v>
      </c>
      <c r="C23" s="1" t="s">
        <v>36</v>
      </c>
      <c r="D23" s="2" t="s">
        <v>20</v>
      </c>
      <c r="E23" s="2" t="s">
        <v>21</v>
      </c>
      <c r="F23" s="3" t="n">
        <v>7</v>
      </c>
      <c r="G23" s="2" t="s">
        <v>23</v>
      </c>
      <c r="H23" s="2" t="n">
        <v>0.1702</v>
      </c>
      <c r="I23" s="2" t="n">
        <v>0.281778540514906</v>
      </c>
      <c r="J23" s="2" t="n">
        <v>0.365331456615885</v>
      </c>
      <c r="K23" s="2" t="n">
        <f aca="false">J23-I23</f>
        <v>0.0835529161009787</v>
      </c>
      <c r="L23" s="2" t="n">
        <v>0.740237977344109</v>
      </c>
    </row>
    <row r="24" customFormat="false" ht="15" hidden="false" customHeight="false" outlineLevel="0" collapsed="false">
      <c r="A24" s="1" t="s">
        <v>34</v>
      </c>
      <c r="B24" s="1" t="s">
        <v>35</v>
      </c>
      <c r="C24" s="1" t="s">
        <v>36</v>
      </c>
      <c r="D24" s="2" t="s">
        <v>20</v>
      </c>
      <c r="E24" s="2" t="s">
        <v>21</v>
      </c>
      <c r="F24" s="3" t="n">
        <v>7</v>
      </c>
      <c r="G24" s="2" t="s">
        <v>25</v>
      </c>
      <c r="H24" s="2" t="n">
        <v>0.1568</v>
      </c>
      <c r="I24" s="2" t="n">
        <v>0.259594950951287</v>
      </c>
      <c r="J24" s="2" t="n">
        <v>0.279861077915307</v>
      </c>
      <c r="K24" s="2" t="n">
        <f aca="false">J24-I24</f>
        <v>0.0202661269640199</v>
      </c>
      <c r="L24" s="2" t="n">
        <v>0.740237977344109</v>
      </c>
    </row>
    <row r="25" customFormat="false" ht="15" hidden="false" customHeight="false" outlineLevel="0" collapsed="false">
      <c r="A25" s="1" t="s">
        <v>34</v>
      </c>
      <c r="B25" s="1" t="s">
        <v>35</v>
      </c>
      <c r="C25" s="1" t="s">
        <v>36</v>
      </c>
      <c r="D25" s="2" t="s">
        <v>20</v>
      </c>
      <c r="E25" s="2" t="s">
        <v>21</v>
      </c>
      <c r="F25" s="3" t="n">
        <v>7</v>
      </c>
      <c r="G25" s="2" t="s">
        <v>26</v>
      </c>
      <c r="H25" s="2" t="n">
        <v>0.1475</v>
      </c>
      <c r="I25" s="2" t="n">
        <v>0.244320235349944</v>
      </c>
      <c r="J25" s="2" t="n">
        <v>0.31208691915047</v>
      </c>
      <c r="K25" s="2" t="n">
        <f aca="false">J25-I25</f>
        <v>0.0677666838005266</v>
      </c>
      <c r="L25" s="2" t="n">
        <v>0.740237977344109</v>
      </c>
    </row>
    <row r="26" customFormat="false" ht="15" hidden="false" customHeight="false" outlineLevel="0" collapsed="false">
      <c r="A26" s="1" t="s">
        <v>34</v>
      </c>
      <c r="B26" s="1" t="s">
        <v>35</v>
      </c>
      <c r="C26" s="1" t="s">
        <v>36</v>
      </c>
      <c r="D26" s="2" t="s">
        <v>20</v>
      </c>
      <c r="E26" s="2" t="s">
        <v>21</v>
      </c>
      <c r="F26" s="3" t="n">
        <v>7</v>
      </c>
      <c r="G26" s="2" t="s">
        <v>27</v>
      </c>
      <c r="H26" s="2" t="n">
        <v>0.1</v>
      </c>
      <c r="I26" s="2" t="n">
        <v>0.179399233193906</v>
      </c>
      <c r="J26" s="2" t="n">
        <v>0.257459410589441</v>
      </c>
      <c r="K26" s="2" t="n">
        <f aca="false">J26-I26</f>
        <v>0.0780601773955352</v>
      </c>
      <c r="L26" s="2" t="n">
        <v>0.740237977344109</v>
      </c>
    </row>
    <row r="27" customFormat="false" ht="15" hidden="false" customHeight="false" outlineLevel="0" collapsed="false">
      <c r="A27" s="1" t="s">
        <v>37</v>
      </c>
      <c r="B27" s="1" t="s">
        <v>38</v>
      </c>
      <c r="C27" s="1" t="s">
        <v>39</v>
      </c>
      <c r="D27" s="2" t="s">
        <v>20</v>
      </c>
      <c r="E27" s="2" t="s">
        <v>21</v>
      </c>
      <c r="F27" s="3" t="n">
        <v>9</v>
      </c>
      <c r="G27" s="2" t="s">
        <v>22</v>
      </c>
      <c r="H27" s="2" t="n">
        <v>0.2103</v>
      </c>
      <c r="I27" s="2" t="n">
        <v>0.331547771652361</v>
      </c>
      <c r="J27" s="2" t="n">
        <v>0.432990752980396</v>
      </c>
      <c r="K27" s="2" t="n">
        <f aca="false">J27-I27</f>
        <v>0.101442981328035</v>
      </c>
      <c r="L27" s="2" t="n">
        <v>0.701417807349544</v>
      </c>
      <c r="N27" s="2" t="n">
        <f aca="false">AVERAGE(K27:K32)</f>
        <v>0.0728990321327978</v>
      </c>
    </row>
    <row r="28" customFormat="false" ht="15" hidden="false" customHeight="false" outlineLevel="0" collapsed="false">
      <c r="A28" s="1" t="s">
        <v>37</v>
      </c>
      <c r="B28" s="1" t="s">
        <v>38</v>
      </c>
      <c r="C28" s="1" t="s">
        <v>39</v>
      </c>
      <c r="D28" s="2" t="s">
        <v>20</v>
      </c>
      <c r="E28" s="2" t="s">
        <v>21</v>
      </c>
      <c r="F28" s="3" t="n">
        <v>9</v>
      </c>
      <c r="G28" s="2" t="s">
        <v>24</v>
      </c>
      <c r="H28" s="2" t="n">
        <v>0.1948</v>
      </c>
      <c r="I28" s="2" t="n">
        <v>0.307143590087116</v>
      </c>
      <c r="J28" s="2" t="n">
        <v>0.34157417400253</v>
      </c>
      <c r="K28" s="2" t="n">
        <f aca="false">J28-I28</f>
        <v>0.0344305839154138</v>
      </c>
      <c r="L28" s="2" t="n">
        <v>0.701417807349544</v>
      </c>
    </row>
    <row r="29" customFormat="false" ht="15" hidden="false" customHeight="false" outlineLevel="0" collapsed="false">
      <c r="A29" s="1" t="s">
        <v>37</v>
      </c>
      <c r="B29" s="1" t="s">
        <v>38</v>
      </c>
      <c r="C29" s="1" t="s">
        <v>39</v>
      </c>
      <c r="D29" s="2" t="s">
        <v>20</v>
      </c>
      <c r="E29" s="2" t="s">
        <v>21</v>
      </c>
      <c r="F29" s="3" t="n">
        <v>9</v>
      </c>
      <c r="G29" s="2" t="s">
        <v>23</v>
      </c>
      <c r="H29" s="2" t="n">
        <v>0.1821</v>
      </c>
      <c r="I29" s="2" t="n">
        <v>0.287074939320797</v>
      </c>
      <c r="J29" s="2" t="n">
        <v>0.361397602724671</v>
      </c>
      <c r="K29" s="2" t="n">
        <f aca="false">J29-I29</f>
        <v>0.0743226634038745</v>
      </c>
      <c r="L29" s="2" t="n">
        <v>0.701417807349544</v>
      </c>
    </row>
    <row r="30" customFormat="false" ht="15" hidden="false" customHeight="false" outlineLevel="0" collapsed="false">
      <c r="A30" s="1" t="s">
        <v>37</v>
      </c>
      <c r="B30" s="1" t="s">
        <v>38</v>
      </c>
      <c r="C30" s="1" t="s">
        <v>39</v>
      </c>
      <c r="D30" s="2" t="s">
        <v>20</v>
      </c>
      <c r="E30" s="2" t="s">
        <v>21</v>
      </c>
      <c r="F30" s="3" t="n">
        <v>9</v>
      </c>
      <c r="G30" s="2" t="s">
        <v>26</v>
      </c>
      <c r="H30" s="2" t="n">
        <v>0.1639</v>
      </c>
      <c r="I30" s="2" t="n">
        <v>0.258424336442869</v>
      </c>
      <c r="J30" s="2" t="n">
        <v>0.32468912180419</v>
      </c>
      <c r="K30" s="2" t="n">
        <f aca="false">J30-I30</f>
        <v>0.0662647853613217</v>
      </c>
      <c r="L30" s="2" t="n">
        <v>0.701417807349544</v>
      </c>
    </row>
    <row r="31" customFormat="false" ht="15" hidden="false" customHeight="false" outlineLevel="0" collapsed="false">
      <c r="A31" s="1" t="s">
        <v>37</v>
      </c>
      <c r="B31" s="1" t="s">
        <v>38</v>
      </c>
      <c r="C31" s="1" t="s">
        <v>39</v>
      </c>
      <c r="D31" s="2" t="s">
        <v>20</v>
      </c>
      <c r="E31" s="2" t="s">
        <v>21</v>
      </c>
      <c r="F31" s="3" t="n">
        <v>9</v>
      </c>
      <c r="G31" s="2" t="s">
        <v>25</v>
      </c>
      <c r="H31" s="2" t="n">
        <v>0.1488</v>
      </c>
      <c r="I31" s="2" t="n">
        <v>0.234596709031815</v>
      </c>
      <c r="J31" s="2" t="n">
        <v>0.335254124460233</v>
      </c>
      <c r="K31" s="2" t="n">
        <f aca="false">J31-I31</f>
        <v>0.100657415428419</v>
      </c>
      <c r="L31" s="2" t="n">
        <v>0.701417807349544</v>
      </c>
    </row>
    <row r="32" customFormat="false" ht="15" hidden="false" customHeight="false" outlineLevel="0" collapsed="false">
      <c r="A32" s="1" t="s">
        <v>37</v>
      </c>
      <c r="B32" s="1" t="s">
        <v>38</v>
      </c>
      <c r="C32" s="1" t="s">
        <v>39</v>
      </c>
      <c r="D32" s="2" t="s">
        <v>20</v>
      </c>
      <c r="E32" s="2" t="s">
        <v>21</v>
      </c>
      <c r="F32" s="3" t="n">
        <v>9</v>
      </c>
      <c r="G32" s="2" t="s">
        <v>27</v>
      </c>
      <c r="H32" s="2" t="n">
        <v>0.1</v>
      </c>
      <c r="I32" s="2" t="n">
        <v>0.196889032407013</v>
      </c>
      <c r="J32" s="2" t="n">
        <v>0.257164795766737</v>
      </c>
      <c r="K32" s="2" t="n">
        <f aca="false">J32-I32</f>
        <v>0.0602757633597239</v>
      </c>
      <c r="L32" s="2" t="n">
        <v>0.701417807349544</v>
      </c>
    </row>
    <row r="33" customFormat="false" ht="15" hidden="false" customHeight="false" outlineLevel="0" collapsed="false">
      <c r="A33" s="1" t="s">
        <v>40</v>
      </c>
      <c r="B33" s="1" t="s">
        <v>41</v>
      </c>
      <c r="C33" s="1" t="s">
        <v>42</v>
      </c>
      <c r="D33" s="2" t="s">
        <v>20</v>
      </c>
      <c r="E33" s="2" t="s">
        <v>21</v>
      </c>
      <c r="F33" s="3" t="n">
        <v>11</v>
      </c>
      <c r="G33" s="2" t="s">
        <v>22</v>
      </c>
      <c r="H33" s="2" t="n">
        <v>0.2208</v>
      </c>
      <c r="I33" s="2" t="n">
        <v>0.319095529482583</v>
      </c>
      <c r="J33" s="2" t="n">
        <v>0.389077142787068</v>
      </c>
      <c r="K33" s="2" t="n">
        <f aca="false">J33-I33</f>
        <v>0.0699816133044847</v>
      </c>
      <c r="L33" s="2" t="n">
        <v>0.764412269319662</v>
      </c>
      <c r="N33" s="2" t="n">
        <f aca="false">AVERAGE(K33:K38)</f>
        <v>0.0468020487194692</v>
      </c>
    </row>
    <row r="34" customFormat="false" ht="15" hidden="false" customHeight="false" outlineLevel="0" collapsed="false">
      <c r="A34" s="1" t="s">
        <v>40</v>
      </c>
      <c r="B34" s="1" t="s">
        <v>41</v>
      </c>
      <c r="C34" s="1" t="s">
        <v>42</v>
      </c>
      <c r="D34" s="2" t="s">
        <v>20</v>
      </c>
      <c r="E34" s="2" t="s">
        <v>21</v>
      </c>
      <c r="F34" s="3" t="n">
        <v>11</v>
      </c>
      <c r="G34" s="2" t="s">
        <v>24</v>
      </c>
      <c r="H34" s="2" t="n">
        <v>0.2</v>
      </c>
      <c r="I34" s="2" t="n">
        <v>0.288971070994415</v>
      </c>
      <c r="J34" s="2" t="n">
        <v>0.281418228452802</v>
      </c>
      <c r="K34" s="2" t="n">
        <f aca="false">J34-I34</f>
        <v>-0.00755284254161331</v>
      </c>
      <c r="L34" s="2" t="n">
        <v>0.764412269319662</v>
      </c>
    </row>
    <row r="35" customFormat="false" ht="15" hidden="false" customHeight="false" outlineLevel="0" collapsed="false">
      <c r="A35" s="1" t="s">
        <v>40</v>
      </c>
      <c r="B35" s="1" t="s">
        <v>41</v>
      </c>
      <c r="C35" s="1" t="s">
        <v>42</v>
      </c>
      <c r="D35" s="2" t="s">
        <v>20</v>
      </c>
      <c r="E35" s="2" t="s">
        <v>21</v>
      </c>
      <c r="F35" s="3" t="n">
        <v>11</v>
      </c>
      <c r="G35" s="2" t="s">
        <v>23</v>
      </c>
      <c r="H35" s="2" t="n">
        <v>0.1745</v>
      </c>
      <c r="I35" s="2" t="n">
        <v>0.25217790842997</v>
      </c>
      <c r="J35" s="2" t="n">
        <v>0.326923926375697</v>
      </c>
      <c r="K35" s="2" t="n">
        <f aca="false">J35-I35</f>
        <v>0.0747460179457265</v>
      </c>
      <c r="L35" s="2" t="n">
        <v>0.764412269319662</v>
      </c>
    </row>
    <row r="36" customFormat="false" ht="15" hidden="false" customHeight="false" outlineLevel="0" collapsed="false">
      <c r="A36" s="1" t="s">
        <v>40</v>
      </c>
      <c r="B36" s="1" t="s">
        <v>41</v>
      </c>
      <c r="C36" s="1" t="s">
        <v>42</v>
      </c>
      <c r="D36" s="2" t="s">
        <v>20</v>
      </c>
      <c r="E36" s="2" t="s">
        <v>21</v>
      </c>
      <c r="F36" s="3" t="n">
        <v>11</v>
      </c>
      <c r="G36" s="2" t="s">
        <v>26</v>
      </c>
      <c r="H36" s="2" t="n">
        <v>0.1585</v>
      </c>
      <c r="I36" s="2" t="n">
        <v>0.228997883056835</v>
      </c>
      <c r="J36" s="2" t="n">
        <v>0.265255173105205</v>
      </c>
      <c r="K36" s="2" t="n">
        <f aca="false">J36-I36</f>
        <v>0.0362572900483703</v>
      </c>
      <c r="L36" s="2" t="n">
        <v>0.764412269319662</v>
      </c>
    </row>
    <row r="37" customFormat="false" ht="15" hidden="false" customHeight="false" outlineLevel="0" collapsed="false">
      <c r="A37" s="1" t="s">
        <v>40</v>
      </c>
      <c r="B37" s="1" t="s">
        <v>41</v>
      </c>
      <c r="C37" s="1" t="s">
        <v>42</v>
      </c>
      <c r="D37" s="2" t="s">
        <v>20</v>
      </c>
      <c r="E37" s="2" t="s">
        <v>21</v>
      </c>
      <c r="F37" s="3" t="n">
        <v>11</v>
      </c>
      <c r="G37" s="2" t="s">
        <v>25</v>
      </c>
      <c r="H37" s="2" t="n">
        <v>0.1462</v>
      </c>
      <c r="I37" s="2" t="n">
        <v>0.211218048544311</v>
      </c>
      <c r="J37" s="2" t="n">
        <v>0.290546374912087</v>
      </c>
      <c r="K37" s="2" t="n">
        <f aca="false">J37-I37</f>
        <v>0.0793283263677763</v>
      </c>
      <c r="L37" s="2" t="n">
        <v>0.764412269319662</v>
      </c>
    </row>
    <row r="38" customFormat="false" ht="15" hidden="false" customHeight="false" outlineLevel="0" collapsed="false">
      <c r="A38" s="1" t="s">
        <v>40</v>
      </c>
      <c r="B38" s="1" t="s">
        <v>41</v>
      </c>
      <c r="C38" s="1" t="s">
        <v>42</v>
      </c>
      <c r="D38" s="2" t="s">
        <v>20</v>
      </c>
      <c r="E38" s="2" t="s">
        <v>21</v>
      </c>
      <c r="F38" s="3" t="n">
        <v>11</v>
      </c>
      <c r="G38" s="2" t="s">
        <v>27</v>
      </c>
      <c r="H38" s="2" t="n">
        <v>0.1</v>
      </c>
      <c r="I38" s="2" t="n">
        <v>0.16147171962926</v>
      </c>
      <c r="J38" s="2" t="n">
        <v>0.189523606821331</v>
      </c>
      <c r="K38" s="2" t="n">
        <f aca="false">J38-I38</f>
        <v>0.0280518871920706</v>
      </c>
      <c r="L38" s="2" t="n">
        <v>0.764412269319662</v>
      </c>
    </row>
    <row r="39" customFormat="false" ht="15" hidden="false" customHeight="false" outlineLevel="0" collapsed="false">
      <c r="A39" s="1" t="s">
        <v>43</v>
      </c>
      <c r="B39" s="1" t="s">
        <v>44</v>
      </c>
      <c r="C39" s="1" t="s">
        <v>45</v>
      </c>
      <c r="D39" s="2" t="s">
        <v>20</v>
      </c>
      <c r="E39" s="2" t="s">
        <v>21</v>
      </c>
      <c r="F39" s="3" t="n">
        <v>13</v>
      </c>
      <c r="G39" s="2" t="s">
        <v>22</v>
      </c>
      <c r="H39" s="2" t="n">
        <v>0.2405</v>
      </c>
      <c r="I39" s="2" t="n">
        <v>0.314891266047783</v>
      </c>
      <c r="J39" s="2" t="n">
        <v>0.388637350764441</v>
      </c>
      <c r="K39" s="2" t="n">
        <f aca="false">J39-I39</f>
        <v>0.0737460847166584</v>
      </c>
      <c r="L39" s="2" t="n">
        <v>0.704629188099325</v>
      </c>
      <c r="N39" s="2" t="n">
        <f aca="false">AVERAGE(K39:K44)</f>
        <v>0.0797668556171888</v>
      </c>
    </row>
    <row r="40" customFormat="false" ht="15" hidden="false" customHeight="false" outlineLevel="0" collapsed="false">
      <c r="A40" s="1" t="s">
        <v>43</v>
      </c>
      <c r="B40" s="1" t="s">
        <v>44</v>
      </c>
      <c r="C40" s="1" t="s">
        <v>45</v>
      </c>
      <c r="D40" s="2" t="s">
        <v>20</v>
      </c>
      <c r="E40" s="2" t="s">
        <v>21</v>
      </c>
      <c r="F40" s="3" t="n">
        <v>13</v>
      </c>
      <c r="G40" s="2" t="s">
        <v>23</v>
      </c>
      <c r="H40" s="2" t="n">
        <v>0.1784</v>
      </c>
      <c r="I40" s="2" t="n">
        <v>0.233622835775204</v>
      </c>
      <c r="J40" s="2" t="n">
        <v>0.355939648201812</v>
      </c>
      <c r="K40" s="2" t="n">
        <f aca="false">J40-I40</f>
        <v>0.122316812426608</v>
      </c>
      <c r="L40" s="2" t="n">
        <v>0.704629188099325</v>
      </c>
    </row>
    <row r="41" customFormat="false" ht="15" hidden="false" customHeight="false" outlineLevel="0" collapsed="false">
      <c r="A41" s="1" t="s">
        <v>43</v>
      </c>
      <c r="B41" s="1" t="s">
        <v>44</v>
      </c>
      <c r="C41" s="1" t="s">
        <v>45</v>
      </c>
      <c r="D41" s="2" t="s">
        <v>20</v>
      </c>
      <c r="E41" s="2" t="s">
        <v>21</v>
      </c>
      <c r="F41" s="3" t="n">
        <v>13</v>
      </c>
      <c r="G41" s="2" t="s">
        <v>26</v>
      </c>
      <c r="H41" s="2" t="n">
        <v>0.1686</v>
      </c>
      <c r="I41" s="2" t="n">
        <v>0.220782695247984</v>
      </c>
      <c r="J41" s="2" t="n">
        <v>0.265562933746769</v>
      </c>
      <c r="K41" s="2" t="n">
        <f aca="false">J41-I41</f>
        <v>0.0447802384987851</v>
      </c>
      <c r="L41" s="2" t="n">
        <v>0.704629188099325</v>
      </c>
    </row>
    <row r="42" customFormat="false" ht="15" hidden="false" customHeight="false" outlineLevel="0" collapsed="false">
      <c r="A42" s="1" t="s">
        <v>43</v>
      </c>
      <c r="B42" s="1" t="s">
        <v>44</v>
      </c>
      <c r="C42" s="1" t="s">
        <v>45</v>
      </c>
      <c r="D42" s="2" t="s">
        <v>20</v>
      </c>
      <c r="E42" s="2" t="s">
        <v>21</v>
      </c>
      <c r="F42" s="3" t="n">
        <v>13</v>
      </c>
      <c r="G42" s="2" t="s">
        <v>24</v>
      </c>
      <c r="H42" s="2" t="n">
        <v>0.1568</v>
      </c>
      <c r="I42" s="2" t="n">
        <v>0.205273807688771</v>
      </c>
      <c r="J42" s="2" t="n">
        <v>0.286346937160012</v>
      </c>
      <c r="K42" s="2" t="n">
        <f aca="false">J42-I42</f>
        <v>0.0810731294712407</v>
      </c>
      <c r="L42" s="2" t="n">
        <v>0.704629188099325</v>
      </c>
    </row>
    <row r="43" customFormat="false" ht="15" hidden="false" customHeight="false" outlineLevel="0" collapsed="false">
      <c r="A43" s="1" t="s">
        <v>43</v>
      </c>
      <c r="B43" s="1" t="s">
        <v>44</v>
      </c>
      <c r="C43" s="1" t="s">
        <v>45</v>
      </c>
      <c r="D43" s="2" t="s">
        <v>20</v>
      </c>
      <c r="E43" s="2" t="s">
        <v>21</v>
      </c>
      <c r="F43" s="3" t="n">
        <v>13</v>
      </c>
      <c r="G43" s="2" t="s">
        <v>46</v>
      </c>
      <c r="H43" s="2" t="n">
        <v>0.1558</v>
      </c>
      <c r="I43" s="2" t="n">
        <v>0.203954534881825</v>
      </c>
      <c r="J43" s="2" t="n">
        <v>0.267944114306833</v>
      </c>
      <c r="K43" s="2" t="n">
        <f aca="false">J43-I43</f>
        <v>0.0639895794250075</v>
      </c>
      <c r="L43" s="2" t="n">
        <v>0.704629188099325</v>
      </c>
    </row>
    <row r="44" customFormat="false" ht="15" hidden="false" customHeight="false" outlineLevel="0" collapsed="false">
      <c r="A44" s="1" t="s">
        <v>43</v>
      </c>
      <c r="B44" s="1" t="s">
        <v>44</v>
      </c>
      <c r="C44" s="1" t="s">
        <v>45</v>
      </c>
      <c r="D44" s="2" t="s">
        <v>20</v>
      </c>
      <c r="E44" s="2" t="s">
        <v>21</v>
      </c>
      <c r="F44" s="3" t="n">
        <v>13</v>
      </c>
      <c r="G44" s="2" t="s">
        <v>27</v>
      </c>
      <c r="H44" s="2" t="n">
        <v>0.1</v>
      </c>
      <c r="I44" s="2" t="n">
        <v>0.119164350588182</v>
      </c>
      <c r="J44" s="2" t="n">
        <v>0.211859639753014</v>
      </c>
      <c r="K44" s="2" t="n">
        <f aca="false">J44-I44</f>
        <v>0.0926952891648329</v>
      </c>
      <c r="L44" s="2" t="n">
        <v>0.704629188099325</v>
      </c>
    </row>
    <row r="45" customFormat="false" ht="15" hidden="false" customHeight="false" outlineLevel="0" collapsed="false">
      <c r="A45" s="1" t="s">
        <v>47</v>
      </c>
      <c r="B45" s="1" t="s">
        <v>48</v>
      </c>
      <c r="C45" s="1" t="s">
        <v>49</v>
      </c>
      <c r="D45" s="2" t="s">
        <v>20</v>
      </c>
      <c r="E45" s="2" t="s">
        <v>21</v>
      </c>
      <c r="F45" s="3" t="n">
        <v>15</v>
      </c>
      <c r="G45" s="2" t="s">
        <v>22</v>
      </c>
      <c r="H45" s="2" t="n">
        <v>0.2239</v>
      </c>
      <c r="I45" s="2" t="n">
        <v>0.380396247531855</v>
      </c>
      <c r="J45" s="2" t="n">
        <v>0.392062607590177</v>
      </c>
      <c r="K45" s="2" t="n">
        <f aca="false">J45-I45</f>
        <v>0.0116663600583226</v>
      </c>
      <c r="L45" s="2" t="n">
        <v>0.77201186291984</v>
      </c>
      <c r="N45" s="2" t="n">
        <f aca="false">AVERAGE(K45:K50)</f>
        <v>0.0280785181260192</v>
      </c>
    </row>
    <row r="46" customFormat="false" ht="15" hidden="false" customHeight="false" outlineLevel="0" collapsed="false">
      <c r="A46" s="1" t="s">
        <v>47</v>
      </c>
      <c r="B46" s="1" t="s">
        <v>48</v>
      </c>
      <c r="C46" s="1" t="s">
        <v>49</v>
      </c>
      <c r="D46" s="2" t="s">
        <v>20</v>
      </c>
      <c r="E46" s="2" t="s">
        <v>21</v>
      </c>
      <c r="F46" s="3" t="n">
        <v>15</v>
      </c>
      <c r="G46" s="2" t="s">
        <v>24</v>
      </c>
      <c r="H46" s="2" t="n">
        <v>0.1975</v>
      </c>
      <c r="I46" s="2" t="n">
        <v>0.335494910462239</v>
      </c>
      <c r="J46" s="2" t="n">
        <v>0.309481892260651</v>
      </c>
      <c r="K46" s="2" t="n">
        <f aca="false">J46-I46</f>
        <v>-0.026013018201588</v>
      </c>
      <c r="L46" s="2" t="n">
        <v>0.77201186291984</v>
      </c>
    </row>
    <row r="47" customFormat="false" ht="15" hidden="false" customHeight="false" outlineLevel="0" collapsed="false">
      <c r="A47" s="1" t="s">
        <v>47</v>
      </c>
      <c r="B47" s="1" t="s">
        <v>48</v>
      </c>
      <c r="C47" s="1" t="s">
        <v>49</v>
      </c>
      <c r="D47" s="2" t="s">
        <v>20</v>
      </c>
      <c r="E47" s="2" t="s">
        <v>21</v>
      </c>
      <c r="F47" s="3" t="n">
        <v>15</v>
      </c>
      <c r="G47" s="2" t="s">
        <v>23</v>
      </c>
      <c r="H47" s="2" t="n">
        <v>0.1829</v>
      </c>
      <c r="I47" s="2" t="n">
        <v>0.310706126118947</v>
      </c>
      <c r="J47" s="2" t="n">
        <v>0.359448282349637</v>
      </c>
      <c r="K47" s="2" t="n">
        <f aca="false">J47-I47</f>
        <v>0.0487421562306909</v>
      </c>
      <c r="L47" s="2" t="n">
        <v>0.77201186291984</v>
      </c>
    </row>
    <row r="48" customFormat="false" ht="15" hidden="false" customHeight="false" outlineLevel="0" collapsed="false">
      <c r="A48" s="1" t="s">
        <v>47</v>
      </c>
      <c r="B48" s="1" t="s">
        <v>48</v>
      </c>
      <c r="C48" s="1" t="s">
        <v>49</v>
      </c>
      <c r="D48" s="2" t="s">
        <v>20</v>
      </c>
      <c r="E48" s="2" t="s">
        <v>21</v>
      </c>
      <c r="F48" s="3" t="n">
        <v>15</v>
      </c>
      <c r="G48" s="2" t="s">
        <v>25</v>
      </c>
      <c r="H48" s="2" t="n">
        <v>0.1548</v>
      </c>
      <c r="I48" s="2" t="n">
        <v>0.26296428924395</v>
      </c>
      <c r="J48" s="2" t="n">
        <v>0.302058682204447</v>
      </c>
      <c r="K48" s="2" t="n">
        <f aca="false">J48-I48</f>
        <v>0.0390943929604967</v>
      </c>
      <c r="L48" s="2" t="n">
        <v>0.77201186291984</v>
      </c>
    </row>
    <row r="49" customFormat="false" ht="15" hidden="false" customHeight="false" outlineLevel="0" collapsed="false">
      <c r="A49" s="1" t="s">
        <v>47</v>
      </c>
      <c r="B49" s="1" t="s">
        <v>48</v>
      </c>
      <c r="C49" s="1" t="s">
        <v>49</v>
      </c>
      <c r="D49" s="2" t="s">
        <v>20</v>
      </c>
      <c r="E49" s="2" t="s">
        <v>21</v>
      </c>
      <c r="F49" s="3" t="n">
        <v>15</v>
      </c>
      <c r="G49" s="2" t="s">
        <v>26</v>
      </c>
      <c r="H49" s="2" t="n">
        <v>0.1409</v>
      </c>
      <c r="I49" s="2" t="n">
        <v>0.239319231078461</v>
      </c>
      <c r="J49" s="2" t="n">
        <v>0.278977532182698</v>
      </c>
      <c r="K49" s="2" t="n">
        <f aca="false">J49-I49</f>
        <v>0.0396583011042365</v>
      </c>
      <c r="L49" s="2" t="n">
        <v>0.77201186291984</v>
      </c>
    </row>
    <row r="50" customFormat="false" ht="15" hidden="false" customHeight="false" outlineLevel="0" collapsed="false">
      <c r="A50" s="1" t="s">
        <v>47</v>
      </c>
      <c r="B50" s="1" t="s">
        <v>48</v>
      </c>
      <c r="C50" s="1" t="s">
        <v>49</v>
      </c>
      <c r="D50" s="2" t="s">
        <v>20</v>
      </c>
      <c r="E50" s="2" t="s">
        <v>21</v>
      </c>
      <c r="F50" s="3" t="n">
        <v>15</v>
      </c>
      <c r="G50" s="2" t="s">
        <v>27</v>
      </c>
      <c r="H50" s="2" t="n">
        <v>0.1</v>
      </c>
      <c r="I50" s="2" t="n">
        <v>0.174363630771483</v>
      </c>
      <c r="J50" s="2" t="n">
        <v>0.22968654737544</v>
      </c>
      <c r="K50" s="2" t="n">
        <f aca="false">J50-I50</f>
        <v>0.0553229166039566</v>
      </c>
      <c r="L50" s="2" t="n">
        <v>0.77201186291984</v>
      </c>
    </row>
    <row r="51" customFormat="false" ht="15" hidden="false" customHeight="false" outlineLevel="0" collapsed="false">
      <c r="A51" s="1" t="s">
        <v>50</v>
      </c>
      <c r="B51" s="1" t="s">
        <v>51</v>
      </c>
      <c r="C51" s="1" t="s">
        <v>52</v>
      </c>
      <c r="D51" s="2" t="s">
        <v>20</v>
      </c>
      <c r="E51" s="2" t="s">
        <v>21</v>
      </c>
      <c r="F51" s="3" t="n">
        <v>17</v>
      </c>
      <c r="G51" s="2" t="s">
        <v>24</v>
      </c>
      <c r="H51" s="2" t="n">
        <v>0.2122</v>
      </c>
      <c r="I51" s="2" t="n">
        <v>0.353321374904128</v>
      </c>
      <c r="J51" s="2" t="n">
        <v>0.356706295697024</v>
      </c>
      <c r="K51" s="2" t="n">
        <f aca="false">J51-I51</f>
        <v>0.00338492079289598</v>
      </c>
      <c r="L51" s="2" t="n">
        <v>0.72188407789367</v>
      </c>
      <c r="N51" s="2" t="n">
        <f aca="false">AVERAGE(K51:K56)</f>
        <v>0.0400530288015456</v>
      </c>
    </row>
    <row r="52" customFormat="false" ht="15" hidden="false" customHeight="false" outlineLevel="0" collapsed="false">
      <c r="A52" s="1" t="s">
        <v>50</v>
      </c>
      <c r="B52" s="1" t="s">
        <v>51</v>
      </c>
      <c r="C52" s="1" t="s">
        <v>52</v>
      </c>
      <c r="D52" s="2" t="s">
        <v>20</v>
      </c>
      <c r="E52" s="2" t="s">
        <v>21</v>
      </c>
      <c r="F52" s="3" t="n">
        <v>17</v>
      </c>
      <c r="G52" s="2" t="s">
        <v>22</v>
      </c>
      <c r="H52" s="2" t="n">
        <v>0.2106</v>
      </c>
      <c r="I52" s="2" t="n">
        <v>0.350589786923245</v>
      </c>
      <c r="J52" s="2" t="n">
        <v>0.429025228323883</v>
      </c>
      <c r="K52" s="2" t="n">
        <f aca="false">J52-I52</f>
        <v>0.0784354414006383</v>
      </c>
      <c r="L52" s="2" t="n">
        <v>0.72188407789367</v>
      </c>
    </row>
    <row r="53" customFormat="false" ht="15" hidden="false" customHeight="false" outlineLevel="0" collapsed="false">
      <c r="A53" s="1" t="s">
        <v>50</v>
      </c>
      <c r="B53" s="1" t="s">
        <v>51</v>
      </c>
      <c r="C53" s="1" t="s">
        <v>52</v>
      </c>
      <c r="D53" s="2" t="s">
        <v>20</v>
      </c>
      <c r="E53" s="2" t="s">
        <v>21</v>
      </c>
      <c r="F53" s="3" t="n">
        <v>17</v>
      </c>
      <c r="G53" s="2" t="s">
        <v>25</v>
      </c>
      <c r="H53" s="2" t="n">
        <v>0.1674</v>
      </c>
      <c r="I53" s="2" t="n">
        <v>0.278682170665537</v>
      </c>
      <c r="J53" s="2" t="n">
        <v>0.331405815065129</v>
      </c>
      <c r="K53" s="2" t="n">
        <f aca="false">J53-I53</f>
        <v>0.0527236443995921</v>
      </c>
      <c r="L53" s="2" t="n">
        <v>0.72188407789367</v>
      </c>
    </row>
    <row r="54" customFormat="false" ht="15" hidden="false" customHeight="false" outlineLevel="0" collapsed="false">
      <c r="A54" s="1" t="s">
        <v>50</v>
      </c>
      <c r="B54" s="1" t="s">
        <v>51</v>
      </c>
      <c r="C54" s="1" t="s">
        <v>52</v>
      </c>
      <c r="D54" s="2" t="s">
        <v>20</v>
      </c>
      <c r="E54" s="2" t="s">
        <v>21</v>
      </c>
      <c r="F54" s="3" t="n">
        <v>17</v>
      </c>
      <c r="G54" s="2" t="s">
        <v>23</v>
      </c>
      <c r="H54" s="2" t="n">
        <v>0.1673</v>
      </c>
      <c r="I54" s="2" t="n">
        <v>0.278626019916687</v>
      </c>
      <c r="J54" s="2" t="n">
        <v>0.313392958915871</v>
      </c>
      <c r="K54" s="2" t="n">
        <f aca="false">J54-I54</f>
        <v>0.034766938999184</v>
      </c>
      <c r="L54" s="2" t="n">
        <v>0.72188407789367</v>
      </c>
    </row>
    <row r="55" customFormat="false" ht="15" hidden="false" customHeight="false" outlineLevel="0" collapsed="false">
      <c r="A55" s="1" t="s">
        <v>50</v>
      </c>
      <c r="B55" s="1" t="s">
        <v>51</v>
      </c>
      <c r="C55" s="1" t="s">
        <v>52</v>
      </c>
      <c r="D55" s="2" t="s">
        <v>20</v>
      </c>
      <c r="E55" s="2" t="s">
        <v>21</v>
      </c>
      <c r="F55" s="3" t="n">
        <v>17</v>
      </c>
      <c r="G55" s="2" t="s">
        <v>26</v>
      </c>
      <c r="H55" s="2" t="n">
        <v>0.1425</v>
      </c>
      <c r="I55" s="2" t="n">
        <v>0.237233976547581</v>
      </c>
      <c r="J55" s="2" t="n">
        <v>0.302315571342954</v>
      </c>
      <c r="K55" s="2" t="n">
        <f aca="false">J55-I55</f>
        <v>0.0650815947953731</v>
      </c>
      <c r="L55" s="2" t="n">
        <v>0.72188407789367</v>
      </c>
    </row>
    <row r="56" customFormat="false" ht="15" hidden="false" customHeight="false" outlineLevel="0" collapsed="false">
      <c r="A56" s="1" t="s">
        <v>50</v>
      </c>
      <c r="B56" s="1" t="s">
        <v>51</v>
      </c>
      <c r="C56" s="1" t="s">
        <v>52</v>
      </c>
      <c r="D56" s="2" t="s">
        <v>20</v>
      </c>
      <c r="E56" s="2" t="s">
        <v>21</v>
      </c>
      <c r="F56" s="3" t="n">
        <v>17</v>
      </c>
      <c r="G56" s="2" t="s">
        <v>27</v>
      </c>
      <c r="H56" s="2" t="n">
        <v>0.1</v>
      </c>
      <c r="I56" s="2" t="n">
        <v>0.203867686610995</v>
      </c>
      <c r="J56" s="2" t="n">
        <v>0.209793319032585</v>
      </c>
      <c r="K56" s="2" t="n">
        <f aca="false">J56-I56</f>
        <v>0.00592563242158989</v>
      </c>
      <c r="L56" s="2" t="n">
        <v>0.72188407789367</v>
      </c>
    </row>
    <row r="57" customFormat="false" ht="15" hidden="false" customHeight="false" outlineLevel="0" collapsed="false">
      <c r="A57" s="1" t="s">
        <v>53</v>
      </c>
      <c r="B57" s="1" t="s">
        <v>54</v>
      </c>
      <c r="C57" s="1" t="s">
        <v>55</v>
      </c>
      <c r="D57" s="2" t="s">
        <v>20</v>
      </c>
      <c r="E57" s="2" t="s">
        <v>21</v>
      </c>
      <c r="F57" s="3" t="n">
        <v>19</v>
      </c>
      <c r="G57" s="2" t="s">
        <v>22</v>
      </c>
      <c r="H57" s="2" t="n">
        <v>0.2257</v>
      </c>
      <c r="I57" s="2" t="n">
        <v>0.31778779099129</v>
      </c>
      <c r="J57" s="2" t="n">
        <v>0.367534037255135</v>
      </c>
      <c r="K57" s="2" t="n">
        <f aca="false">J57-I57</f>
        <v>0.0497462462638448</v>
      </c>
      <c r="L57" s="2" t="n">
        <v>0.801799093845666</v>
      </c>
      <c r="N57" s="2" t="n">
        <f aca="false">AVERAGE(K57:K62)</f>
        <v>0.0646048026306338</v>
      </c>
    </row>
    <row r="58" customFormat="false" ht="15" hidden="false" customHeight="false" outlineLevel="0" collapsed="false">
      <c r="A58" s="1" t="s">
        <v>53</v>
      </c>
      <c r="B58" s="1" t="s">
        <v>54</v>
      </c>
      <c r="C58" s="1" t="s">
        <v>55</v>
      </c>
      <c r="D58" s="2" t="s">
        <v>20</v>
      </c>
      <c r="E58" s="2" t="s">
        <v>21</v>
      </c>
      <c r="F58" s="3" t="n">
        <v>19</v>
      </c>
      <c r="G58" s="2" t="s">
        <v>24</v>
      </c>
      <c r="H58" s="2" t="n">
        <v>0.1859</v>
      </c>
      <c r="I58" s="2" t="n">
        <v>0.261832125138486</v>
      </c>
      <c r="J58" s="2" t="n">
        <v>0.307546901461517</v>
      </c>
      <c r="K58" s="2" t="n">
        <f aca="false">J58-I58</f>
        <v>0.0457147763230313</v>
      </c>
      <c r="L58" s="2" t="n">
        <v>0.801799093845666</v>
      </c>
    </row>
    <row r="59" customFormat="false" ht="15" hidden="false" customHeight="false" outlineLevel="0" collapsed="false">
      <c r="A59" s="1" t="s">
        <v>53</v>
      </c>
      <c r="B59" s="1" t="s">
        <v>54</v>
      </c>
      <c r="C59" s="1" t="s">
        <v>55</v>
      </c>
      <c r="D59" s="2" t="s">
        <v>20</v>
      </c>
      <c r="E59" s="2" t="s">
        <v>21</v>
      </c>
      <c r="F59" s="3" t="n">
        <v>19</v>
      </c>
      <c r="G59" s="2" t="s">
        <v>23</v>
      </c>
      <c r="H59" s="2" t="n">
        <v>0.1759</v>
      </c>
      <c r="I59" s="2" t="n">
        <v>0.247676410813647</v>
      </c>
      <c r="J59" s="2" t="n">
        <v>0.338112796392405</v>
      </c>
      <c r="K59" s="2" t="n">
        <f aca="false">J59-I59</f>
        <v>0.0904363855787584</v>
      </c>
      <c r="L59" s="2" t="n">
        <v>0.801799093845666</v>
      </c>
    </row>
    <row r="60" customFormat="false" ht="15" hidden="false" customHeight="false" outlineLevel="0" collapsed="false">
      <c r="A60" s="1" t="s">
        <v>53</v>
      </c>
      <c r="B60" s="1" t="s">
        <v>54</v>
      </c>
      <c r="C60" s="1" t="s">
        <v>55</v>
      </c>
      <c r="D60" s="2" t="s">
        <v>20</v>
      </c>
      <c r="E60" s="2" t="s">
        <v>21</v>
      </c>
      <c r="F60" s="3" t="n">
        <v>19</v>
      </c>
      <c r="G60" s="2" t="s">
        <v>25</v>
      </c>
      <c r="H60" s="2" t="n">
        <v>0.1568</v>
      </c>
      <c r="I60" s="2" t="n">
        <v>0.220823782005061</v>
      </c>
      <c r="J60" s="2" t="n">
        <v>0.288804822931684</v>
      </c>
      <c r="K60" s="2" t="n">
        <f aca="false">J60-I60</f>
        <v>0.0679810409266232</v>
      </c>
      <c r="L60" s="2" t="n">
        <v>0.801799093845666</v>
      </c>
    </row>
    <row r="61" customFormat="false" ht="15" hidden="false" customHeight="false" outlineLevel="0" collapsed="false">
      <c r="A61" s="1" t="s">
        <v>53</v>
      </c>
      <c r="B61" s="1" t="s">
        <v>54</v>
      </c>
      <c r="C61" s="1" t="s">
        <v>55</v>
      </c>
      <c r="D61" s="2" t="s">
        <v>20</v>
      </c>
      <c r="E61" s="2" t="s">
        <v>21</v>
      </c>
      <c r="F61" s="3" t="n">
        <v>19</v>
      </c>
      <c r="G61" s="2" t="s">
        <v>26</v>
      </c>
      <c r="H61" s="2" t="n">
        <v>0.1557</v>
      </c>
      <c r="I61" s="2" t="n">
        <v>0.219199617552489</v>
      </c>
      <c r="J61" s="2" t="n">
        <v>0.260362691826951</v>
      </c>
      <c r="K61" s="2" t="n">
        <f aca="false">J61-I61</f>
        <v>0.0411630742744619</v>
      </c>
      <c r="L61" s="2" t="n">
        <v>0.801799093845666</v>
      </c>
    </row>
    <row r="62" customFormat="false" ht="15" hidden="false" customHeight="false" outlineLevel="0" collapsed="false">
      <c r="A62" s="1" t="s">
        <v>53</v>
      </c>
      <c r="B62" s="1" t="s">
        <v>54</v>
      </c>
      <c r="C62" s="1" t="s">
        <v>55</v>
      </c>
      <c r="D62" s="2" t="s">
        <v>20</v>
      </c>
      <c r="E62" s="2" t="s">
        <v>21</v>
      </c>
      <c r="F62" s="3" t="n">
        <v>19</v>
      </c>
      <c r="G62" s="2" t="s">
        <v>27</v>
      </c>
      <c r="H62" s="2" t="n">
        <v>0.1</v>
      </c>
      <c r="I62" s="2" t="n">
        <v>0.120299064747107</v>
      </c>
      <c r="J62" s="2" t="n">
        <v>0.212886357164191</v>
      </c>
      <c r="K62" s="2" t="n">
        <f aca="false">J62-I62</f>
        <v>0.0925872924170834</v>
      </c>
      <c r="L62" s="2" t="n">
        <v>0.801799093845666</v>
      </c>
    </row>
    <row r="63" customFormat="false" ht="15" hidden="false" customHeight="false" outlineLevel="0" collapsed="false">
      <c r="A63" s="1" t="s">
        <v>56</v>
      </c>
      <c r="B63" s="1" t="s">
        <v>57</v>
      </c>
      <c r="C63" s="1" t="s">
        <v>58</v>
      </c>
      <c r="D63" s="2" t="s">
        <v>20</v>
      </c>
      <c r="E63" s="2" t="s">
        <v>21</v>
      </c>
      <c r="F63" s="3" t="n">
        <v>21</v>
      </c>
      <c r="G63" s="2" t="s">
        <v>24</v>
      </c>
      <c r="H63" s="2" t="n">
        <v>0.3212</v>
      </c>
      <c r="I63" s="2" t="n">
        <v>0.267798917737901</v>
      </c>
      <c r="J63" s="2" t="n">
        <v>0.344010875283702</v>
      </c>
      <c r="K63" s="2" t="n">
        <f aca="false">J63-I63</f>
        <v>0.0762119575458006</v>
      </c>
      <c r="L63" s="2" t="n">
        <v>0.82639186986707</v>
      </c>
      <c r="N63" s="2" t="n">
        <f aca="false">AVERAGE(K63:K66)</f>
        <v>0.101387983507805</v>
      </c>
    </row>
    <row r="64" customFormat="false" ht="15" hidden="false" customHeight="false" outlineLevel="0" collapsed="false">
      <c r="A64" s="1" t="s">
        <v>56</v>
      </c>
      <c r="B64" s="1" t="s">
        <v>57</v>
      </c>
      <c r="C64" s="1" t="s">
        <v>58</v>
      </c>
      <c r="D64" s="2" t="s">
        <v>20</v>
      </c>
      <c r="E64" s="2" t="s">
        <v>21</v>
      </c>
      <c r="F64" s="3" t="n">
        <v>21</v>
      </c>
      <c r="G64" s="2" t="s">
        <v>22</v>
      </c>
      <c r="H64" s="2" t="n">
        <v>0.3016</v>
      </c>
      <c r="I64" s="2" t="n">
        <v>0.251447926713646</v>
      </c>
      <c r="J64" s="2" t="n">
        <v>0.386078675791806</v>
      </c>
      <c r="K64" s="2" t="n">
        <f aca="false">J64-I64</f>
        <v>0.13463074907816</v>
      </c>
      <c r="L64" s="2" t="n">
        <v>0.82639186986707</v>
      </c>
    </row>
    <row r="65" customFormat="false" ht="15" hidden="false" customHeight="false" outlineLevel="0" collapsed="false">
      <c r="A65" s="1" t="s">
        <v>56</v>
      </c>
      <c r="B65" s="1" t="s">
        <v>57</v>
      </c>
      <c r="C65" s="1" t="s">
        <v>58</v>
      </c>
      <c r="D65" s="2" t="s">
        <v>20</v>
      </c>
      <c r="E65" s="2" t="s">
        <v>21</v>
      </c>
      <c r="F65" s="3" t="n">
        <v>21</v>
      </c>
      <c r="G65" s="2" t="s">
        <v>23</v>
      </c>
      <c r="H65" s="2" t="n">
        <v>0.2771</v>
      </c>
      <c r="I65" s="2" t="n">
        <v>0.231046551634909</v>
      </c>
      <c r="J65" s="2" t="n">
        <v>0.326718174622103</v>
      </c>
      <c r="K65" s="2" t="n">
        <f aca="false">J65-I65</f>
        <v>0.0956716229871934</v>
      </c>
      <c r="L65" s="2" t="n">
        <v>0.82639186986707</v>
      </c>
    </row>
    <row r="66" customFormat="false" ht="15" hidden="false" customHeight="false" outlineLevel="0" collapsed="false">
      <c r="A66" s="1" t="s">
        <v>56</v>
      </c>
      <c r="B66" s="1" t="s">
        <v>57</v>
      </c>
      <c r="C66" s="1" t="s">
        <v>58</v>
      </c>
      <c r="D66" s="2" t="s">
        <v>20</v>
      </c>
      <c r="E66" s="2" t="s">
        <v>21</v>
      </c>
      <c r="F66" s="3" t="n">
        <v>21</v>
      </c>
      <c r="G66" s="2" t="s">
        <v>27</v>
      </c>
      <c r="H66" s="2" t="n">
        <v>0.1</v>
      </c>
      <c r="I66" s="2" t="n">
        <v>0.0943475467896668</v>
      </c>
      <c r="J66" s="2" t="n">
        <v>0.193385151209731</v>
      </c>
      <c r="K66" s="2" t="n">
        <f aca="false">J66-I66</f>
        <v>0.0990376044200645</v>
      </c>
      <c r="L66" s="2" t="n">
        <v>0.82639186986707</v>
      </c>
    </row>
    <row r="67" customFormat="false" ht="15" hidden="false" customHeight="false" outlineLevel="0" collapsed="false">
      <c r="A67" s="1" t="s">
        <v>59</v>
      </c>
      <c r="B67" s="1" t="s">
        <v>60</v>
      </c>
      <c r="C67" s="1" t="s">
        <v>61</v>
      </c>
      <c r="D67" s="2" t="s">
        <v>20</v>
      </c>
      <c r="E67" s="2" t="s">
        <v>21</v>
      </c>
      <c r="F67" s="3" t="n">
        <v>23</v>
      </c>
      <c r="G67" s="2" t="s">
        <v>22</v>
      </c>
      <c r="H67" s="2" t="n">
        <v>0.3162</v>
      </c>
      <c r="I67" s="2" t="n">
        <v>0.261777142336481</v>
      </c>
      <c r="J67" s="2" t="n">
        <v>0.383727659662787</v>
      </c>
      <c r="K67" s="2" t="n">
        <f aca="false">J67-I67</f>
        <v>0.121950517326306</v>
      </c>
      <c r="L67" s="2" t="n">
        <v>0.74557662237038</v>
      </c>
      <c r="N67" s="2" t="n">
        <f aca="false">AVERAGE(K67:K70)</f>
        <v>0.109119790952213</v>
      </c>
    </row>
    <row r="68" customFormat="false" ht="15" hidden="false" customHeight="false" outlineLevel="0" collapsed="false">
      <c r="A68" s="1" t="s">
        <v>59</v>
      </c>
      <c r="B68" s="1" t="s">
        <v>60</v>
      </c>
      <c r="C68" s="1" t="s">
        <v>61</v>
      </c>
      <c r="D68" s="2" t="s">
        <v>20</v>
      </c>
      <c r="E68" s="2" t="s">
        <v>21</v>
      </c>
      <c r="F68" s="3" t="n">
        <v>23</v>
      </c>
      <c r="G68" s="2" t="s">
        <v>23</v>
      </c>
      <c r="H68" s="2" t="n">
        <v>0.2961</v>
      </c>
      <c r="I68" s="2" t="n">
        <v>0.245137991196802</v>
      </c>
      <c r="J68" s="2" t="n">
        <v>0.388964545494604</v>
      </c>
      <c r="K68" s="2" t="n">
        <f aca="false">J68-I68</f>
        <v>0.143826554297802</v>
      </c>
      <c r="L68" s="2" t="n">
        <v>0.74557662237038</v>
      </c>
    </row>
    <row r="69" customFormat="false" ht="15" hidden="false" customHeight="false" outlineLevel="0" collapsed="false">
      <c r="A69" s="1" t="s">
        <v>59</v>
      </c>
      <c r="B69" s="1" t="s">
        <v>60</v>
      </c>
      <c r="C69" s="1" t="s">
        <v>61</v>
      </c>
      <c r="D69" s="2" t="s">
        <v>20</v>
      </c>
      <c r="E69" s="2" t="s">
        <v>21</v>
      </c>
      <c r="F69" s="3" t="n">
        <v>23</v>
      </c>
      <c r="G69" s="2" t="s">
        <v>24</v>
      </c>
      <c r="H69" s="2" t="n">
        <v>0.2878</v>
      </c>
      <c r="I69" s="2" t="n">
        <v>0.238291320680561</v>
      </c>
      <c r="J69" s="2" t="n">
        <v>0.29418074728685</v>
      </c>
      <c r="K69" s="2" t="n">
        <f aca="false">J69-I69</f>
        <v>0.0558894266062889</v>
      </c>
      <c r="L69" s="2" t="n">
        <v>0.74557662237038</v>
      </c>
    </row>
    <row r="70" customFormat="false" ht="15" hidden="false" customHeight="false" outlineLevel="0" collapsed="false">
      <c r="A70" s="1" t="s">
        <v>59</v>
      </c>
      <c r="B70" s="1" t="s">
        <v>60</v>
      </c>
      <c r="C70" s="1" t="s">
        <v>61</v>
      </c>
      <c r="D70" s="2" t="s">
        <v>20</v>
      </c>
      <c r="E70" s="2" t="s">
        <v>21</v>
      </c>
      <c r="F70" s="3" t="n">
        <v>23</v>
      </c>
      <c r="G70" s="2" t="s">
        <v>27</v>
      </c>
      <c r="H70" s="2" t="n">
        <v>0.1</v>
      </c>
      <c r="I70" s="2" t="n">
        <v>0.106419131874818</v>
      </c>
      <c r="J70" s="2" t="n">
        <v>0.221231797453273</v>
      </c>
      <c r="K70" s="2" t="n">
        <f aca="false">J70-I70</f>
        <v>0.114812665578456</v>
      </c>
      <c r="L70" s="2" t="n">
        <v>0.74557662237038</v>
      </c>
    </row>
    <row r="71" customFormat="false" ht="15" hidden="false" customHeight="false" outlineLevel="0" collapsed="false">
      <c r="A71" s="1" t="s">
        <v>62</v>
      </c>
      <c r="B71" s="1" t="s">
        <v>63</v>
      </c>
      <c r="C71" s="1" t="s">
        <v>64</v>
      </c>
      <c r="D71" s="2" t="s">
        <v>20</v>
      </c>
      <c r="E71" s="2" t="s">
        <v>21</v>
      </c>
      <c r="F71" s="3" t="n">
        <v>25</v>
      </c>
      <c r="G71" s="2" t="s">
        <v>22</v>
      </c>
      <c r="H71" s="2" t="n">
        <v>0.4714</v>
      </c>
      <c r="I71" s="2" t="n">
        <v>0.290165449118675</v>
      </c>
      <c r="J71" s="2" t="n">
        <v>0.388804954935668</v>
      </c>
      <c r="K71" s="2" t="n">
        <f aca="false">J71-I71</f>
        <v>0.0986395058169925</v>
      </c>
      <c r="L71" s="2" t="n">
        <v>0.739304791041697</v>
      </c>
      <c r="N71" s="2" t="n">
        <f aca="false">-AVERAGE(K71:K73)</f>
        <v>-0.0965100176414137</v>
      </c>
    </row>
    <row r="72" customFormat="false" ht="15" hidden="false" customHeight="false" outlineLevel="0" collapsed="false">
      <c r="A72" s="1" t="s">
        <v>62</v>
      </c>
      <c r="B72" s="1" t="s">
        <v>63</v>
      </c>
      <c r="C72" s="1" t="s">
        <v>64</v>
      </c>
      <c r="D72" s="2" t="s">
        <v>20</v>
      </c>
      <c r="E72" s="2" t="s">
        <v>21</v>
      </c>
      <c r="F72" s="3" t="n">
        <v>25</v>
      </c>
      <c r="G72" s="2" t="s">
        <v>23</v>
      </c>
      <c r="H72" s="2" t="n">
        <v>0.4286</v>
      </c>
      <c r="I72" s="2" t="n">
        <v>0.263838965187688</v>
      </c>
      <c r="J72" s="2" t="n">
        <v>0.379321802989481</v>
      </c>
      <c r="K72" s="2" t="n">
        <f aca="false">J72-I72</f>
        <v>0.115482837801793</v>
      </c>
      <c r="L72" s="2" t="n">
        <v>0.739304791041697</v>
      </c>
    </row>
    <row r="73" customFormat="false" ht="15" hidden="false" customHeight="false" outlineLevel="0" collapsed="false">
      <c r="A73" s="1" t="s">
        <v>62</v>
      </c>
      <c r="B73" s="1" t="s">
        <v>63</v>
      </c>
      <c r="C73" s="1" t="s">
        <v>64</v>
      </c>
      <c r="D73" s="2" t="s">
        <v>20</v>
      </c>
      <c r="E73" s="2" t="s">
        <v>21</v>
      </c>
      <c r="F73" s="3" t="n">
        <v>25</v>
      </c>
      <c r="G73" s="2" t="s">
        <v>27</v>
      </c>
      <c r="H73" s="2" t="n">
        <v>0.1</v>
      </c>
      <c r="I73" s="2" t="n">
        <v>0.129732473219007</v>
      </c>
      <c r="J73" s="2" t="n">
        <v>0.205140182524463</v>
      </c>
      <c r="K73" s="2" t="n">
        <f aca="false">J73-I73</f>
        <v>0.0754077093054557</v>
      </c>
      <c r="L73" s="2" t="n">
        <v>0.739304791041697</v>
      </c>
    </row>
    <row r="74" customFormat="false" ht="15" hidden="false" customHeight="false" outlineLevel="0" collapsed="false">
      <c r="A74" s="1" t="s">
        <v>65</v>
      </c>
      <c r="B74" s="1" t="s">
        <v>66</v>
      </c>
      <c r="C74" s="1" t="s">
        <v>67</v>
      </c>
      <c r="D74" s="2" t="s">
        <v>20</v>
      </c>
      <c r="E74" s="2" t="s">
        <v>21</v>
      </c>
      <c r="F74" s="3" t="n">
        <v>27</v>
      </c>
      <c r="G74" s="2" t="s">
        <v>22</v>
      </c>
      <c r="H74" s="2" t="n">
        <v>0.2199</v>
      </c>
      <c r="I74" s="2" t="n">
        <v>0.35140473332134</v>
      </c>
      <c r="J74" s="2" t="n">
        <v>0.443269891010527</v>
      </c>
      <c r="K74" s="2" t="n">
        <f aca="false">J74-I74</f>
        <v>0.0918651576891865</v>
      </c>
      <c r="L74" s="2" t="n">
        <v>0.716775890381091</v>
      </c>
      <c r="N74" s="2" t="n">
        <f aca="false">AVERAGE(K74:K79)</f>
        <v>0.0676365161449058</v>
      </c>
    </row>
    <row r="75" customFormat="false" ht="15" hidden="false" customHeight="false" outlineLevel="0" collapsed="false">
      <c r="A75" s="1" t="s">
        <v>65</v>
      </c>
      <c r="B75" s="1" t="s">
        <v>66</v>
      </c>
      <c r="C75" s="1" t="s">
        <v>67</v>
      </c>
      <c r="D75" s="2" t="s">
        <v>20</v>
      </c>
      <c r="E75" s="2" t="s">
        <v>21</v>
      </c>
      <c r="F75" s="3" t="n">
        <v>27</v>
      </c>
      <c r="G75" s="2" t="s">
        <v>23</v>
      </c>
      <c r="H75" s="2" t="n">
        <v>0.1946</v>
      </c>
      <c r="I75" s="2" t="n">
        <v>0.3108956169855</v>
      </c>
      <c r="J75" s="2" t="n">
        <v>0.342528561372863</v>
      </c>
      <c r="K75" s="2" t="n">
        <f aca="false">J75-I75</f>
        <v>0.0316329443873628</v>
      </c>
      <c r="L75" s="2" t="n">
        <v>0.716775890381091</v>
      </c>
    </row>
    <row r="76" customFormat="false" ht="15" hidden="false" customHeight="false" outlineLevel="0" collapsed="false">
      <c r="A76" s="1" t="s">
        <v>65</v>
      </c>
      <c r="B76" s="1" t="s">
        <v>66</v>
      </c>
      <c r="C76" s="1" t="s">
        <v>67</v>
      </c>
      <c r="D76" s="2" t="s">
        <v>20</v>
      </c>
      <c r="E76" s="2" t="s">
        <v>21</v>
      </c>
      <c r="F76" s="3" t="n">
        <v>27</v>
      </c>
      <c r="G76" s="2" t="s">
        <v>25</v>
      </c>
      <c r="H76" s="2" t="n">
        <v>0.1698</v>
      </c>
      <c r="I76" s="2" t="n">
        <v>0.271296880640485</v>
      </c>
      <c r="J76" s="2" t="n">
        <v>0.331120979836425</v>
      </c>
      <c r="K76" s="2" t="n">
        <f aca="false">J76-I76</f>
        <v>0.0598240991959399</v>
      </c>
      <c r="L76" s="2" t="n">
        <v>0.716775890381091</v>
      </c>
    </row>
    <row r="77" customFormat="false" ht="15" hidden="false" customHeight="false" outlineLevel="0" collapsed="false">
      <c r="A77" s="1" t="s">
        <v>65</v>
      </c>
      <c r="B77" s="1" t="s">
        <v>66</v>
      </c>
      <c r="C77" s="1" t="s">
        <v>67</v>
      </c>
      <c r="D77" s="2" t="s">
        <v>20</v>
      </c>
      <c r="E77" s="2" t="s">
        <v>21</v>
      </c>
      <c r="F77" s="3" t="n">
        <v>27</v>
      </c>
      <c r="G77" s="2" t="s">
        <v>24</v>
      </c>
      <c r="H77" s="2" t="n">
        <v>0.1618</v>
      </c>
      <c r="I77" s="2" t="n">
        <v>0.258531945277576</v>
      </c>
      <c r="J77" s="2" t="n">
        <v>0.354595394450752</v>
      </c>
      <c r="K77" s="2" t="n">
        <f aca="false">J77-I77</f>
        <v>0.0960634491731755</v>
      </c>
      <c r="L77" s="2" t="n">
        <v>0.716775890381091</v>
      </c>
    </row>
    <row r="78" customFormat="false" ht="15" hidden="false" customHeight="false" outlineLevel="0" collapsed="false">
      <c r="A78" s="1" t="s">
        <v>65</v>
      </c>
      <c r="B78" s="1" t="s">
        <v>66</v>
      </c>
      <c r="C78" s="1" t="s">
        <v>67</v>
      </c>
      <c r="D78" s="2" t="s">
        <v>20</v>
      </c>
      <c r="E78" s="2" t="s">
        <v>21</v>
      </c>
      <c r="F78" s="3" t="n">
        <v>27</v>
      </c>
      <c r="G78" s="2" t="s">
        <v>26</v>
      </c>
      <c r="H78" s="2" t="n">
        <v>0.1539</v>
      </c>
      <c r="I78" s="2" t="n">
        <v>0.245891292717131</v>
      </c>
      <c r="J78" s="2" t="n">
        <v>0.326545371708909</v>
      </c>
      <c r="K78" s="2" t="n">
        <f aca="false">J78-I78</f>
        <v>0.0806540789917775</v>
      </c>
      <c r="L78" s="2" t="n">
        <v>0.716775890381091</v>
      </c>
    </row>
    <row r="79" customFormat="false" ht="15" hidden="false" customHeight="false" outlineLevel="0" collapsed="false">
      <c r="A79" s="1" t="s">
        <v>65</v>
      </c>
      <c r="B79" s="1" t="s">
        <v>66</v>
      </c>
      <c r="C79" s="1" t="s">
        <v>67</v>
      </c>
      <c r="D79" s="2" t="s">
        <v>20</v>
      </c>
      <c r="E79" s="2" t="s">
        <v>21</v>
      </c>
      <c r="F79" s="3" t="n">
        <v>27</v>
      </c>
      <c r="G79" s="2" t="s">
        <v>27</v>
      </c>
      <c r="H79" s="2" t="n">
        <v>0.1</v>
      </c>
      <c r="I79" s="2" t="n">
        <v>0.180425855910434</v>
      </c>
      <c r="J79" s="2" t="n">
        <v>0.226205223342426</v>
      </c>
      <c r="K79" s="2" t="n">
        <f aca="false">J79-I79</f>
        <v>0.0457793674319924</v>
      </c>
      <c r="L79" s="2" t="n">
        <v>0.716775890381091</v>
      </c>
    </row>
    <row r="80" customFormat="false" ht="15" hidden="false" customHeight="false" outlineLevel="0" collapsed="false">
      <c r="A80" s="1" t="s">
        <v>68</v>
      </c>
      <c r="B80" s="1" t="s">
        <v>69</v>
      </c>
      <c r="C80" s="1" t="s">
        <v>70</v>
      </c>
      <c r="D80" s="2" t="s">
        <v>20</v>
      </c>
      <c r="E80" s="2" t="s">
        <v>21</v>
      </c>
      <c r="F80" s="3" t="n">
        <v>29</v>
      </c>
      <c r="G80" s="2" t="s">
        <v>22</v>
      </c>
      <c r="H80" s="2" t="n">
        <v>0.2216</v>
      </c>
      <c r="I80" s="2" t="n">
        <v>0.348960495094186</v>
      </c>
      <c r="J80" s="2" t="n">
        <v>0.395668939337927</v>
      </c>
      <c r="K80" s="2" t="n">
        <f aca="false">J80-I80</f>
        <v>0.046708444243741</v>
      </c>
      <c r="L80" s="2" t="n">
        <v>0.72335469896996</v>
      </c>
      <c r="N80" s="2" t="n">
        <f aca="false">AVERAGE(K80:K85)</f>
        <v>0.0440129852638783</v>
      </c>
    </row>
    <row r="81" customFormat="false" ht="15" hidden="false" customHeight="false" outlineLevel="0" collapsed="false">
      <c r="A81" s="1" t="s">
        <v>68</v>
      </c>
      <c r="B81" s="1" t="s">
        <v>69</v>
      </c>
      <c r="C81" s="1" t="s">
        <v>70</v>
      </c>
      <c r="D81" s="2" t="s">
        <v>20</v>
      </c>
      <c r="E81" s="2" t="s">
        <v>21</v>
      </c>
      <c r="F81" s="3" t="n">
        <v>29</v>
      </c>
      <c r="G81" s="2" t="s">
        <v>24</v>
      </c>
      <c r="H81" s="2" t="n">
        <v>0.2007</v>
      </c>
      <c r="I81" s="2" t="n">
        <v>0.315954665279053</v>
      </c>
      <c r="J81" s="2" t="n">
        <v>0.303303035762042</v>
      </c>
      <c r="K81" s="2" t="n">
        <f aca="false">J81-I81</f>
        <v>-0.0126516295170112</v>
      </c>
      <c r="L81" s="2" t="n">
        <v>0.72335469896996</v>
      </c>
    </row>
    <row r="82" customFormat="false" ht="15" hidden="false" customHeight="false" outlineLevel="0" collapsed="false">
      <c r="A82" s="1" t="s">
        <v>68</v>
      </c>
      <c r="B82" s="1" t="s">
        <v>69</v>
      </c>
      <c r="C82" s="1" t="s">
        <v>70</v>
      </c>
      <c r="D82" s="2" t="s">
        <v>20</v>
      </c>
      <c r="E82" s="2" t="s">
        <v>21</v>
      </c>
      <c r="F82" s="3" t="n">
        <v>29</v>
      </c>
      <c r="G82" s="2" t="s">
        <v>25</v>
      </c>
      <c r="H82" s="2" t="n">
        <v>0.1711</v>
      </c>
      <c r="I82" s="2" t="n">
        <v>0.269407987134742</v>
      </c>
      <c r="J82" s="2" t="n">
        <v>0.310243483609399</v>
      </c>
      <c r="K82" s="2" t="n">
        <f aca="false">J82-I82</f>
        <v>0.0408354964746576</v>
      </c>
      <c r="L82" s="2" t="n">
        <v>0.72335469896996</v>
      </c>
    </row>
    <row r="83" customFormat="false" ht="15" hidden="false" customHeight="false" outlineLevel="0" collapsed="false">
      <c r="A83" s="1" t="s">
        <v>68</v>
      </c>
      <c r="B83" s="1" t="s">
        <v>69</v>
      </c>
      <c r="C83" s="1" t="s">
        <v>70</v>
      </c>
      <c r="D83" s="2" t="s">
        <v>20</v>
      </c>
      <c r="E83" s="2" t="s">
        <v>21</v>
      </c>
      <c r="F83" s="3" t="n">
        <v>29</v>
      </c>
      <c r="G83" s="2" t="s">
        <v>23</v>
      </c>
      <c r="H83" s="2" t="n">
        <v>0.1665</v>
      </c>
      <c r="I83" s="2" t="n">
        <v>0.26220799945968</v>
      </c>
      <c r="J83" s="2" t="n">
        <v>0.328997672847513</v>
      </c>
      <c r="K83" s="2" t="n">
        <f aca="false">J83-I83</f>
        <v>0.066789673387833</v>
      </c>
      <c r="L83" s="2" t="n">
        <v>0.72335469896996</v>
      </c>
    </row>
    <row r="84" customFormat="false" ht="15" hidden="false" customHeight="false" outlineLevel="0" collapsed="false">
      <c r="A84" s="1" t="s">
        <v>68</v>
      </c>
      <c r="B84" s="1" t="s">
        <v>69</v>
      </c>
      <c r="C84" s="1" t="s">
        <v>70</v>
      </c>
      <c r="D84" s="2" t="s">
        <v>20</v>
      </c>
      <c r="E84" s="2" t="s">
        <v>21</v>
      </c>
      <c r="F84" s="3" t="n">
        <v>29</v>
      </c>
      <c r="G84" s="2" t="s">
        <v>71</v>
      </c>
      <c r="H84" s="2" t="n">
        <v>0.1401</v>
      </c>
      <c r="I84" s="2" t="n">
        <v>0.220654398244316</v>
      </c>
      <c r="J84" s="2" t="n">
        <v>0.27773413342138</v>
      </c>
      <c r="K84" s="2" t="n">
        <f aca="false">J84-I84</f>
        <v>0.0570797351770638</v>
      </c>
      <c r="L84" s="2" t="n">
        <v>0.72335469896996</v>
      </c>
    </row>
    <row r="85" customFormat="false" ht="15" hidden="false" customHeight="false" outlineLevel="0" collapsed="false">
      <c r="A85" s="1" t="s">
        <v>68</v>
      </c>
      <c r="B85" s="1" t="s">
        <v>69</v>
      </c>
      <c r="C85" s="1" t="s">
        <v>70</v>
      </c>
      <c r="D85" s="2" t="s">
        <v>20</v>
      </c>
      <c r="E85" s="2" t="s">
        <v>21</v>
      </c>
      <c r="F85" s="3" t="n">
        <v>29</v>
      </c>
      <c r="G85" s="2" t="s">
        <v>27</v>
      </c>
      <c r="H85" s="2" t="n">
        <v>0.1</v>
      </c>
      <c r="I85" s="2" t="n">
        <v>0.136934316678007</v>
      </c>
      <c r="J85" s="2" t="n">
        <v>0.202250508494993</v>
      </c>
      <c r="K85" s="2" t="n">
        <f aca="false">J85-I85</f>
        <v>0.0653161918169857</v>
      </c>
      <c r="L85" s="2" t="n">
        <v>0.72335469896996</v>
      </c>
    </row>
    <row r="86" customFormat="false" ht="15" hidden="false" customHeight="false" outlineLevel="0" collapsed="false">
      <c r="A86" s="1" t="s">
        <v>72</v>
      </c>
      <c r="B86" s="1" t="s">
        <v>73</v>
      </c>
      <c r="C86" s="1" t="s">
        <v>74</v>
      </c>
      <c r="D86" s="2" t="s">
        <v>20</v>
      </c>
      <c r="E86" s="2" t="s">
        <v>21</v>
      </c>
      <c r="F86" s="3" t="n">
        <v>31</v>
      </c>
      <c r="G86" s="2" t="s">
        <v>22</v>
      </c>
      <c r="H86" s="2" t="n">
        <v>0.3328</v>
      </c>
      <c r="I86" s="2" t="n">
        <v>0.260451186804422</v>
      </c>
      <c r="J86" s="2" t="n">
        <v>0.327040034611317</v>
      </c>
      <c r="K86" s="2" t="n">
        <f aca="false">J86-I86</f>
        <v>0.0665888478068953</v>
      </c>
      <c r="L86" s="2" t="n">
        <v>0.74148150305735</v>
      </c>
      <c r="N86" s="2" t="n">
        <f aca="false">AVERAGE(K86:K89)</f>
        <v>0.0772497703754088</v>
      </c>
    </row>
    <row r="87" customFormat="false" ht="15" hidden="false" customHeight="false" outlineLevel="0" collapsed="false">
      <c r="A87" s="1" t="s">
        <v>72</v>
      </c>
      <c r="B87" s="1" t="s">
        <v>73</v>
      </c>
      <c r="C87" s="1" t="s">
        <v>74</v>
      </c>
      <c r="D87" s="2" t="s">
        <v>20</v>
      </c>
      <c r="E87" s="2" t="s">
        <v>21</v>
      </c>
      <c r="F87" s="3" t="n">
        <v>31</v>
      </c>
      <c r="G87" s="2" t="s">
        <v>24</v>
      </c>
      <c r="H87" s="2" t="n">
        <v>0.2848</v>
      </c>
      <c r="I87" s="2" t="n">
        <v>0.222854131399451</v>
      </c>
      <c r="J87" s="2" t="n">
        <v>0.272400544082566</v>
      </c>
      <c r="K87" s="2" t="n">
        <f aca="false">J87-I87</f>
        <v>0.049546412683115</v>
      </c>
      <c r="L87" s="2" t="n">
        <v>0.74148150305735</v>
      </c>
    </row>
    <row r="88" customFormat="false" ht="15" hidden="false" customHeight="false" outlineLevel="0" collapsed="false">
      <c r="A88" s="1" t="s">
        <v>72</v>
      </c>
      <c r="B88" s="1" t="s">
        <v>73</v>
      </c>
      <c r="C88" s="1" t="s">
        <v>74</v>
      </c>
      <c r="D88" s="2" t="s">
        <v>20</v>
      </c>
      <c r="E88" s="2" t="s">
        <v>21</v>
      </c>
      <c r="F88" s="3" t="n">
        <v>31</v>
      </c>
      <c r="G88" s="2" t="s">
        <v>23</v>
      </c>
      <c r="H88" s="2" t="n">
        <v>0.2824</v>
      </c>
      <c r="I88" s="2" t="n">
        <v>0.220971036383029</v>
      </c>
      <c r="J88" s="2" t="n">
        <v>0.342835189431649</v>
      </c>
      <c r="K88" s="2" t="n">
        <f aca="false">J88-I88</f>
        <v>0.12186415304862</v>
      </c>
      <c r="L88" s="2" t="n">
        <v>0.74148150305735</v>
      </c>
    </row>
    <row r="89" customFormat="false" ht="15" hidden="false" customHeight="false" outlineLevel="0" collapsed="false">
      <c r="A89" s="1" t="s">
        <v>72</v>
      </c>
      <c r="B89" s="1" t="s">
        <v>73</v>
      </c>
      <c r="C89" s="1" t="s">
        <v>74</v>
      </c>
      <c r="D89" s="2" t="s">
        <v>20</v>
      </c>
      <c r="E89" s="2" t="s">
        <v>21</v>
      </c>
      <c r="F89" s="3" t="n">
        <v>31</v>
      </c>
      <c r="G89" s="2" t="s">
        <v>27</v>
      </c>
      <c r="H89" s="2" t="n">
        <v>0.1</v>
      </c>
      <c r="I89" s="2" t="n">
        <v>0.0941324926407234</v>
      </c>
      <c r="J89" s="2" t="n">
        <v>0.165132160603729</v>
      </c>
      <c r="K89" s="2" t="n">
        <f aca="false">J89-I89</f>
        <v>0.0709996679630056</v>
      </c>
      <c r="L89" s="2" t="n">
        <v>0.74148150305735</v>
      </c>
    </row>
    <row r="90" customFormat="false" ht="15" hidden="false" customHeight="false" outlineLevel="0" collapsed="false">
      <c r="A90" s="1" t="s">
        <v>75</v>
      </c>
      <c r="B90" s="1" t="s">
        <v>76</v>
      </c>
      <c r="C90" s="1" t="s">
        <v>77</v>
      </c>
      <c r="D90" s="2" t="s">
        <v>20</v>
      </c>
      <c r="E90" s="2" t="s">
        <v>21</v>
      </c>
      <c r="F90" s="3" t="n">
        <v>33</v>
      </c>
      <c r="G90" s="2" t="s">
        <v>22</v>
      </c>
      <c r="H90" s="2" t="n">
        <v>0.2071</v>
      </c>
      <c r="I90" s="2" t="n">
        <v>0.294704305872184</v>
      </c>
      <c r="J90" s="2" t="n">
        <v>0.341729593561958</v>
      </c>
      <c r="K90" s="2" t="n">
        <f aca="false">J90-I90</f>
        <v>0.0470252876897734</v>
      </c>
      <c r="L90" s="2" t="n">
        <v>0.782813226803677</v>
      </c>
      <c r="N90" s="2" t="n">
        <f aca="false">AVERAGE(K90:K95)</f>
        <v>0.0449656255489569</v>
      </c>
    </row>
    <row r="91" customFormat="false" ht="15" hidden="false" customHeight="false" outlineLevel="0" collapsed="false">
      <c r="A91" s="1" t="s">
        <v>75</v>
      </c>
      <c r="B91" s="1" t="s">
        <v>76</v>
      </c>
      <c r="C91" s="1" t="s">
        <v>77</v>
      </c>
      <c r="D91" s="2" t="s">
        <v>20</v>
      </c>
      <c r="E91" s="2" t="s">
        <v>21</v>
      </c>
      <c r="F91" s="3" t="n">
        <v>33</v>
      </c>
      <c r="G91" s="2" t="s">
        <v>23</v>
      </c>
      <c r="H91" s="2" t="n">
        <v>0.1907</v>
      </c>
      <c r="I91" s="2" t="n">
        <v>0.271348060182865</v>
      </c>
      <c r="J91" s="2" t="n">
        <v>0.303249583573056</v>
      </c>
      <c r="K91" s="2" t="n">
        <f aca="false">J91-I91</f>
        <v>0.0319015233901916</v>
      </c>
      <c r="L91" s="2" t="n">
        <v>0.782813226803677</v>
      </c>
    </row>
    <row r="92" customFormat="false" ht="15" hidden="false" customHeight="false" outlineLevel="0" collapsed="false">
      <c r="A92" s="1" t="s">
        <v>75</v>
      </c>
      <c r="B92" s="1" t="s">
        <v>76</v>
      </c>
      <c r="C92" s="1" t="s">
        <v>77</v>
      </c>
      <c r="D92" s="2" t="s">
        <v>20</v>
      </c>
      <c r="E92" s="2" t="s">
        <v>21</v>
      </c>
      <c r="F92" s="3" t="n">
        <v>33</v>
      </c>
      <c r="G92" s="2" t="s">
        <v>24</v>
      </c>
      <c r="H92" s="2" t="n">
        <v>0.1881</v>
      </c>
      <c r="I92" s="2" t="n">
        <v>0.267572592887456</v>
      </c>
      <c r="J92" s="2" t="n">
        <v>0.30969797551087</v>
      </c>
      <c r="K92" s="2" t="n">
        <f aca="false">J92-I92</f>
        <v>0.0421253826234139</v>
      </c>
      <c r="L92" s="2" t="n">
        <v>0.782813226803677</v>
      </c>
    </row>
    <row r="93" customFormat="false" ht="15" hidden="false" customHeight="false" outlineLevel="0" collapsed="false">
      <c r="A93" s="1" t="s">
        <v>75</v>
      </c>
      <c r="B93" s="1" t="s">
        <v>76</v>
      </c>
      <c r="C93" s="1" t="s">
        <v>77</v>
      </c>
      <c r="D93" s="2" t="s">
        <v>20</v>
      </c>
      <c r="E93" s="2" t="s">
        <v>21</v>
      </c>
      <c r="F93" s="3" t="n">
        <v>33</v>
      </c>
      <c r="G93" s="2" t="s">
        <v>25</v>
      </c>
      <c r="H93" s="2" t="n">
        <v>0.1623</v>
      </c>
      <c r="I93" s="2" t="n">
        <v>0.230877219024478</v>
      </c>
      <c r="J93" s="2" t="n">
        <v>0.304775202677888</v>
      </c>
      <c r="K93" s="2" t="n">
        <f aca="false">J93-I93</f>
        <v>0.07389798365341</v>
      </c>
      <c r="L93" s="2" t="n">
        <v>0.782813226803677</v>
      </c>
    </row>
    <row r="94" customFormat="false" ht="15" hidden="false" customHeight="false" outlineLevel="0" collapsed="false">
      <c r="A94" s="1" t="s">
        <v>75</v>
      </c>
      <c r="B94" s="1" t="s">
        <v>76</v>
      </c>
      <c r="C94" s="1" t="s">
        <v>77</v>
      </c>
      <c r="D94" s="2" t="s">
        <v>20</v>
      </c>
      <c r="E94" s="2" t="s">
        <v>21</v>
      </c>
      <c r="F94" s="3" t="n">
        <v>33</v>
      </c>
      <c r="G94" s="2" t="s">
        <v>26</v>
      </c>
      <c r="H94" s="2" t="n">
        <v>0.1519</v>
      </c>
      <c r="I94" s="2" t="n">
        <v>0.21608592920476</v>
      </c>
      <c r="J94" s="2" t="n">
        <v>0.252253147826098</v>
      </c>
      <c r="K94" s="2" t="n">
        <f aca="false">J94-I94</f>
        <v>0.0361672186213374</v>
      </c>
      <c r="L94" s="2" t="n">
        <v>0.782813226803677</v>
      </c>
    </row>
    <row r="95" customFormat="false" ht="15" hidden="false" customHeight="false" outlineLevel="0" collapsed="false">
      <c r="A95" s="1" t="s">
        <v>75</v>
      </c>
      <c r="B95" s="1" t="s">
        <v>76</v>
      </c>
      <c r="C95" s="1" t="s">
        <v>77</v>
      </c>
      <c r="D95" s="2" t="s">
        <v>20</v>
      </c>
      <c r="E95" s="2" t="s">
        <v>21</v>
      </c>
      <c r="F95" s="3" t="n">
        <v>33</v>
      </c>
      <c r="G95" s="2" t="s">
        <v>27</v>
      </c>
      <c r="H95" s="2" t="n">
        <v>0.1</v>
      </c>
      <c r="I95" s="2" t="n">
        <v>0.128358016262817</v>
      </c>
      <c r="J95" s="2" t="n">
        <v>0.167034373578432</v>
      </c>
      <c r="K95" s="2" t="n">
        <f aca="false">J95-I95</f>
        <v>0.0386763573156153</v>
      </c>
      <c r="L95" s="2" t="n">
        <v>0.782813226803677</v>
      </c>
    </row>
    <row r="96" customFormat="false" ht="15" hidden="false" customHeight="false" outlineLevel="0" collapsed="false">
      <c r="A96" s="1" t="s">
        <v>78</v>
      </c>
      <c r="B96" s="1" t="s">
        <v>79</v>
      </c>
      <c r="C96" s="1" t="s">
        <v>80</v>
      </c>
      <c r="D96" s="2" t="s">
        <v>20</v>
      </c>
      <c r="E96" s="2" t="s">
        <v>21</v>
      </c>
      <c r="F96" s="3" t="n">
        <v>35</v>
      </c>
      <c r="G96" s="2" t="s">
        <v>22</v>
      </c>
      <c r="H96" s="2" t="n">
        <v>0.2023</v>
      </c>
      <c r="I96" s="2" t="n">
        <v>0.300749728903317</v>
      </c>
      <c r="J96" s="2" t="n">
        <v>0.406733711427846</v>
      </c>
      <c r="K96" s="2" t="n">
        <f aca="false">J96-I96</f>
        <v>0.105983982524529</v>
      </c>
      <c r="L96" s="2" t="n">
        <v>0.683924726356955</v>
      </c>
      <c r="N96" s="2" t="n">
        <f aca="false">AVERAGE(K96:K101)</f>
        <v>0.0941935732296858</v>
      </c>
    </row>
    <row r="97" customFormat="false" ht="15" hidden="false" customHeight="false" outlineLevel="0" collapsed="false">
      <c r="A97" s="1" t="s">
        <v>78</v>
      </c>
      <c r="B97" s="1" t="s">
        <v>79</v>
      </c>
      <c r="C97" s="1" t="s">
        <v>80</v>
      </c>
      <c r="D97" s="2" t="s">
        <v>20</v>
      </c>
      <c r="E97" s="2" t="s">
        <v>21</v>
      </c>
      <c r="F97" s="3" t="n">
        <v>35</v>
      </c>
      <c r="G97" s="2" t="s">
        <v>25</v>
      </c>
      <c r="H97" s="2" t="n">
        <v>0.1807</v>
      </c>
      <c r="I97" s="2" t="n">
        <v>0.268675062448128</v>
      </c>
      <c r="J97" s="2" t="n">
        <v>0.333151257677076</v>
      </c>
      <c r="K97" s="2" t="n">
        <f aca="false">J97-I97</f>
        <v>0.0644761952289483</v>
      </c>
      <c r="L97" s="2" t="n">
        <v>0.683924726356955</v>
      </c>
    </row>
    <row r="98" customFormat="false" ht="15" hidden="false" customHeight="false" outlineLevel="0" collapsed="false">
      <c r="A98" s="1" t="s">
        <v>78</v>
      </c>
      <c r="B98" s="1" t="s">
        <v>79</v>
      </c>
      <c r="C98" s="1" t="s">
        <v>80</v>
      </c>
      <c r="D98" s="2" t="s">
        <v>20</v>
      </c>
      <c r="E98" s="2" t="s">
        <v>21</v>
      </c>
      <c r="F98" s="3" t="n">
        <v>35</v>
      </c>
      <c r="G98" s="2" t="s">
        <v>23</v>
      </c>
      <c r="H98" s="2" t="n">
        <v>0.1748</v>
      </c>
      <c r="I98" s="2" t="n">
        <v>0.259875620838933</v>
      </c>
      <c r="J98" s="2" t="n">
        <v>0.410128779850025</v>
      </c>
      <c r="K98" s="2" t="n">
        <f aca="false">J98-I98</f>
        <v>0.150253159011092</v>
      </c>
      <c r="L98" s="2" t="n">
        <v>0.683924726356955</v>
      </c>
    </row>
    <row r="99" customFormat="false" ht="15" hidden="false" customHeight="false" outlineLevel="0" collapsed="false">
      <c r="A99" s="1" t="s">
        <v>78</v>
      </c>
      <c r="B99" s="1" t="s">
        <v>79</v>
      </c>
      <c r="C99" s="1" t="s">
        <v>80</v>
      </c>
      <c r="D99" s="2" t="s">
        <v>20</v>
      </c>
      <c r="E99" s="2" t="s">
        <v>21</v>
      </c>
      <c r="F99" s="3" t="n">
        <v>35</v>
      </c>
      <c r="G99" s="2" t="s">
        <v>24</v>
      </c>
      <c r="H99" s="2" t="n">
        <v>0.172</v>
      </c>
      <c r="I99" s="2" t="n">
        <v>0.255766430281977</v>
      </c>
      <c r="J99" s="2" t="n">
        <v>0.350851214963027</v>
      </c>
      <c r="K99" s="2" t="n">
        <f aca="false">J99-I99</f>
        <v>0.0950847846810508</v>
      </c>
      <c r="L99" s="2" t="n">
        <v>0.683924726356955</v>
      </c>
    </row>
    <row r="100" customFormat="false" ht="15" hidden="false" customHeight="false" outlineLevel="0" collapsed="false">
      <c r="A100" s="1" t="s">
        <v>78</v>
      </c>
      <c r="B100" s="1" t="s">
        <v>79</v>
      </c>
      <c r="C100" s="1" t="s">
        <v>80</v>
      </c>
      <c r="D100" s="2" t="s">
        <v>20</v>
      </c>
      <c r="E100" s="2" t="s">
        <v>21</v>
      </c>
      <c r="F100" s="3" t="n">
        <v>35</v>
      </c>
      <c r="G100" s="2" t="s">
        <v>26</v>
      </c>
      <c r="H100" s="2" t="n">
        <v>0.1701</v>
      </c>
      <c r="I100" s="2" t="n">
        <v>0.252858794536744</v>
      </c>
      <c r="J100" s="2" t="n">
        <v>0.285366853511245</v>
      </c>
      <c r="K100" s="2" t="n">
        <f aca="false">J100-I100</f>
        <v>0.0325080589745014</v>
      </c>
      <c r="L100" s="2" t="n">
        <v>0.683924726356955</v>
      </c>
    </row>
    <row r="101" customFormat="false" ht="15" hidden="false" customHeight="false" outlineLevel="0" collapsed="false">
      <c r="A101" s="1" t="s">
        <v>78</v>
      </c>
      <c r="B101" s="1" t="s">
        <v>79</v>
      </c>
      <c r="C101" s="1" t="s">
        <v>80</v>
      </c>
      <c r="D101" s="2" t="s">
        <v>20</v>
      </c>
      <c r="E101" s="2" t="s">
        <v>21</v>
      </c>
      <c r="F101" s="3" t="n">
        <v>35</v>
      </c>
      <c r="G101" s="2" t="s">
        <v>27</v>
      </c>
      <c r="H101" s="2" t="n">
        <v>0.1</v>
      </c>
      <c r="I101" s="2" t="n">
        <v>0.159153462399328</v>
      </c>
      <c r="J101" s="2" t="n">
        <v>0.276008721357321</v>
      </c>
      <c r="K101" s="2" t="n">
        <f aca="false">J101-I101</f>
        <v>0.116855258957993</v>
      </c>
      <c r="L101" s="2" t="n">
        <v>0.683924726356955</v>
      </c>
    </row>
    <row r="102" customFormat="false" ht="15" hidden="false" customHeight="false" outlineLevel="0" collapsed="false">
      <c r="A102" s="1" t="s">
        <v>81</v>
      </c>
      <c r="B102" s="1" t="s">
        <v>82</v>
      </c>
      <c r="C102" s="1" t="s">
        <v>83</v>
      </c>
      <c r="D102" s="2" t="s">
        <v>20</v>
      </c>
      <c r="E102" s="2" t="s">
        <v>21</v>
      </c>
      <c r="F102" s="3" t="n">
        <v>37</v>
      </c>
      <c r="G102" s="2" t="s">
        <v>22</v>
      </c>
      <c r="H102" s="2" t="n">
        <v>0.2204</v>
      </c>
      <c r="I102" s="2" t="n">
        <v>0.37215365419016</v>
      </c>
      <c r="J102" s="2" t="n">
        <v>0.368750900675944</v>
      </c>
      <c r="K102" s="2" t="n">
        <f aca="false">J102-I102</f>
        <v>-0.00340275351421676</v>
      </c>
      <c r="L102" s="2" t="n">
        <v>0.741861628869437</v>
      </c>
      <c r="N102" s="2" t="n">
        <f aca="false">AVERAGE(K102:K107)</f>
        <v>-0.0020187610161787</v>
      </c>
    </row>
    <row r="103" customFormat="false" ht="15" hidden="false" customHeight="false" outlineLevel="0" collapsed="false">
      <c r="A103" s="1" t="s">
        <v>81</v>
      </c>
      <c r="B103" s="1" t="s">
        <v>82</v>
      </c>
      <c r="C103" s="1" t="s">
        <v>83</v>
      </c>
      <c r="D103" s="2" t="s">
        <v>20</v>
      </c>
      <c r="E103" s="2" t="s">
        <v>21</v>
      </c>
      <c r="F103" s="3" t="n">
        <v>37</v>
      </c>
      <c r="G103" s="2" t="s">
        <v>24</v>
      </c>
      <c r="H103" s="2" t="n">
        <v>0.1856</v>
      </c>
      <c r="I103" s="2" t="n">
        <v>0.313418522945728</v>
      </c>
      <c r="J103" s="2" t="n">
        <v>0.293650526699056</v>
      </c>
      <c r="K103" s="2" t="n">
        <f aca="false">J103-I103</f>
        <v>-0.0197679962466713</v>
      </c>
      <c r="L103" s="2" t="n">
        <v>0.741861628869437</v>
      </c>
    </row>
    <row r="104" customFormat="false" ht="15" hidden="false" customHeight="false" outlineLevel="0" collapsed="false">
      <c r="A104" s="1" t="s">
        <v>81</v>
      </c>
      <c r="B104" s="1" t="s">
        <v>82</v>
      </c>
      <c r="C104" s="1" t="s">
        <v>83</v>
      </c>
      <c r="D104" s="2" t="s">
        <v>20</v>
      </c>
      <c r="E104" s="2" t="s">
        <v>21</v>
      </c>
      <c r="F104" s="3" t="n">
        <v>37</v>
      </c>
      <c r="G104" s="2" t="s">
        <v>23</v>
      </c>
      <c r="H104" s="2" t="n">
        <v>0.1816</v>
      </c>
      <c r="I104" s="2" t="n">
        <v>0.306749156561227</v>
      </c>
      <c r="J104" s="2" t="n">
        <v>0.330886539059339</v>
      </c>
      <c r="K104" s="2" t="n">
        <f aca="false">J104-I104</f>
        <v>0.0241373824981116</v>
      </c>
      <c r="L104" s="2" t="n">
        <v>0.741861628869437</v>
      </c>
    </row>
    <row r="105" customFormat="false" ht="15" hidden="false" customHeight="false" outlineLevel="0" collapsed="false">
      <c r="A105" s="1" t="s">
        <v>81</v>
      </c>
      <c r="B105" s="1" t="s">
        <v>82</v>
      </c>
      <c r="C105" s="1" t="s">
        <v>83</v>
      </c>
      <c r="D105" s="2" t="s">
        <v>20</v>
      </c>
      <c r="E105" s="2" t="s">
        <v>21</v>
      </c>
      <c r="F105" s="3" t="n">
        <v>37</v>
      </c>
      <c r="G105" s="2" t="s">
        <v>25</v>
      </c>
      <c r="H105" s="2" t="n">
        <v>0.1594</v>
      </c>
      <c r="I105" s="2" t="n">
        <v>0.26925091957044</v>
      </c>
      <c r="J105" s="2" t="n">
        <v>0.278844915675709</v>
      </c>
      <c r="K105" s="2" t="n">
        <f aca="false">J105-I105</f>
        <v>0.0095939961052694</v>
      </c>
      <c r="L105" s="2" t="n">
        <v>0.741861628869437</v>
      </c>
    </row>
    <row r="106" customFormat="false" ht="15" hidden="false" customHeight="false" outlineLevel="0" collapsed="false">
      <c r="A106" s="1" t="s">
        <v>81</v>
      </c>
      <c r="B106" s="1" t="s">
        <v>82</v>
      </c>
      <c r="C106" s="1" t="s">
        <v>83</v>
      </c>
      <c r="D106" s="2" t="s">
        <v>20</v>
      </c>
      <c r="E106" s="2" t="s">
        <v>21</v>
      </c>
      <c r="F106" s="3" t="n">
        <v>37</v>
      </c>
      <c r="G106" s="2" t="s">
        <v>46</v>
      </c>
      <c r="H106" s="2" t="n">
        <v>0.153</v>
      </c>
      <c r="I106" s="2" t="n">
        <v>0.258433951482203</v>
      </c>
      <c r="J106" s="2" t="n">
        <v>0.262211889973169</v>
      </c>
      <c r="K106" s="2" t="n">
        <f aca="false">J106-I106</f>
        <v>0.00377793849096569</v>
      </c>
      <c r="L106" s="2" t="n">
        <v>0.741861628869437</v>
      </c>
    </row>
    <row r="107" customFormat="false" ht="15" hidden="false" customHeight="false" outlineLevel="0" collapsed="false">
      <c r="A107" s="1" t="s">
        <v>81</v>
      </c>
      <c r="B107" s="1" t="s">
        <v>82</v>
      </c>
      <c r="C107" s="1" t="s">
        <v>83</v>
      </c>
      <c r="D107" s="2" t="s">
        <v>20</v>
      </c>
      <c r="E107" s="2" t="s">
        <v>21</v>
      </c>
      <c r="F107" s="3" t="n">
        <v>37</v>
      </c>
      <c r="G107" s="2" t="s">
        <v>27</v>
      </c>
      <c r="H107" s="2" t="n">
        <v>0.1</v>
      </c>
      <c r="I107" s="2" t="n">
        <v>0.219160334117665</v>
      </c>
      <c r="J107" s="2" t="n">
        <v>0.192709200687135</v>
      </c>
      <c r="K107" s="2" t="n">
        <f aca="false">J107-I107</f>
        <v>-0.0264511334305308</v>
      </c>
      <c r="L107" s="2" t="n">
        <v>0.741861628869437</v>
      </c>
    </row>
    <row r="108" customFormat="false" ht="15" hidden="false" customHeight="false" outlineLevel="0" collapsed="false">
      <c r="A108" s="1" t="s">
        <v>84</v>
      </c>
      <c r="B108" s="1" t="s">
        <v>85</v>
      </c>
      <c r="C108" s="1" t="s">
        <v>86</v>
      </c>
      <c r="D108" s="2" t="s">
        <v>20</v>
      </c>
      <c r="E108" s="2" t="s">
        <v>21</v>
      </c>
      <c r="F108" s="3" t="n">
        <v>39</v>
      </c>
      <c r="G108" s="2" t="s">
        <v>22</v>
      </c>
      <c r="H108" s="2" t="n">
        <v>0.2664</v>
      </c>
      <c r="I108" s="2" t="n">
        <v>0.292061915232745</v>
      </c>
      <c r="J108" s="2" t="n">
        <v>0.356870927172602</v>
      </c>
      <c r="K108" s="2" t="n">
        <f aca="false">J108-I108</f>
        <v>0.0648090119398574</v>
      </c>
      <c r="L108" s="2" t="n">
        <v>0.861291025455911</v>
      </c>
      <c r="N108" s="2" t="n">
        <f aca="false">AVERAGE(K108:K112)</f>
        <v>0.05844646407865</v>
      </c>
    </row>
    <row r="109" customFormat="false" ht="15" hidden="false" customHeight="false" outlineLevel="0" collapsed="false">
      <c r="A109" s="1" t="s">
        <v>84</v>
      </c>
      <c r="B109" s="1" t="s">
        <v>85</v>
      </c>
      <c r="C109" s="1" t="s">
        <v>86</v>
      </c>
      <c r="D109" s="2" t="s">
        <v>20</v>
      </c>
      <c r="E109" s="2" t="s">
        <v>21</v>
      </c>
      <c r="F109" s="3" t="n">
        <v>39</v>
      </c>
      <c r="G109" s="2" t="s">
        <v>24</v>
      </c>
      <c r="H109" s="2" t="n">
        <v>0.2363</v>
      </c>
      <c r="I109" s="2" t="n">
        <v>0.259111046284269</v>
      </c>
      <c r="J109" s="2" t="n">
        <v>0.280021609575064</v>
      </c>
      <c r="K109" s="2" t="n">
        <f aca="false">J109-I109</f>
        <v>0.0209105632907946</v>
      </c>
      <c r="L109" s="2" t="n">
        <v>0.861291025455911</v>
      </c>
    </row>
    <row r="110" customFormat="false" ht="15" hidden="false" customHeight="false" outlineLevel="0" collapsed="false">
      <c r="A110" s="1" t="s">
        <v>84</v>
      </c>
      <c r="B110" s="1" t="s">
        <v>85</v>
      </c>
      <c r="C110" s="1" t="s">
        <v>86</v>
      </c>
      <c r="D110" s="2" t="s">
        <v>20</v>
      </c>
      <c r="E110" s="2" t="s">
        <v>21</v>
      </c>
      <c r="F110" s="3" t="n">
        <v>39</v>
      </c>
      <c r="G110" s="2" t="s">
        <v>23</v>
      </c>
      <c r="H110" s="2" t="n">
        <v>0.2137</v>
      </c>
      <c r="I110" s="2" t="n">
        <v>0.23433667777533</v>
      </c>
      <c r="J110" s="2" t="n">
        <v>0.310140871268868</v>
      </c>
      <c r="K110" s="2" t="n">
        <f aca="false">J110-I110</f>
        <v>0.0758041934935386</v>
      </c>
      <c r="L110" s="2" t="n">
        <v>0.861291025455911</v>
      </c>
    </row>
    <row r="111" customFormat="false" ht="15" hidden="false" customHeight="false" outlineLevel="0" collapsed="false">
      <c r="A111" s="1" t="s">
        <v>84</v>
      </c>
      <c r="B111" s="1" t="s">
        <v>85</v>
      </c>
      <c r="C111" s="1" t="s">
        <v>86</v>
      </c>
      <c r="D111" s="2" t="s">
        <v>20</v>
      </c>
      <c r="E111" s="2" t="s">
        <v>21</v>
      </c>
      <c r="F111" s="3" t="n">
        <v>39</v>
      </c>
      <c r="G111" s="2" t="s">
        <v>25</v>
      </c>
      <c r="H111" s="2" t="n">
        <v>0.1835</v>
      </c>
      <c r="I111" s="2" t="n">
        <v>0.201206866830432</v>
      </c>
      <c r="J111" s="2" t="n">
        <v>0.270283990085195</v>
      </c>
      <c r="K111" s="2" t="n">
        <f aca="false">J111-I111</f>
        <v>0.0690771232547633</v>
      </c>
      <c r="L111" s="2" t="n">
        <v>0.861291025455911</v>
      </c>
    </row>
    <row r="112" customFormat="false" ht="15" hidden="false" customHeight="false" outlineLevel="0" collapsed="false">
      <c r="A112" s="1" t="s">
        <v>84</v>
      </c>
      <c r="B112" s="1" t="s">
        <v>85</v>
      </c>
      <c r="C112" s="1" t="s">
        <v>86</v>
      </c>
      <c r="D112" s="2" t="s">
        <v>20</v>
      </c>
      <c r="E112" s="2" t="s">
        <v>21</v>
      </c>
      <c r="F112" s="3" t="n">
        <v>39</v>
      </c>
      <c r="G112" s="2" t="s">
        <v>27</v>
      </c>
      <c r="H112" s="2" t="n">
        <v>0.1</v>
      </c>
      <c r="I112" s="2" t="n">
        <v>0.110747778384149</v>
      </c>
      <c r="J112" s="2" t="n">
        <v>0.172379206798445</v>
      </c>
      <c r="K112" s="2" t="n">
        <f aca="false">J112-I112</f>
        <v>0.0616314284142961</v>
      </c>
      <c r="L112" s="2" t="n">
        <v>0.861291025455911</v>
      </c>
    </row>
    <row r="113" customFormat="false" ht="15" hidden="false" customHeight="false" outlineLevel="0" collapsed="false">
      <c r="A113" s="1" t="s">
        <v>87</v>
      </c>
      <c r="B113" s="1" t="s">
        <v>88</v>
      </c>
      <c r="C113" s="1" t="s">
        <v>89</v>
      </c>
      <c r="D113" s="2" t="s">
        <v>20</v>
      </c>
      <c r="E113" s="2" t="s">
        <v>21</v>
      </c>
      <c r="F113" s="3" t="n">
        <v>41</v>
      </c>
      <c r="G113" s="2" t="s">
        <v>22</v>
      </c>
      <c r="H113" s="2" t="n">
        <v>0.2172</v>
      </c>
      <c r="I113" s="2" t="n">
        <v>0.301977850554979</v>
      </c>
      <c r="J113" s="2" t="n">
        <v>0.374012784963439</v>
      </c>
      <c r="K113" s="2" t="n">
        <f aca="false">J113-I113</f>
        <v>0.0720349344084595</v>
      </c>
      <c r="L113" s="2" t="n">
        <v>0.726997779119958</v>
      </c>
      <c r="N113" s="2" t="n">
        <f aca="false">AVERAGE(K113:K118)</f>
        <v>0.0592788645229496</v>
      </c>
    </row>
    <row r="114" customFormat="false" ht="15" hidden="false" customHeight="false" outlineLevel="0" collapsed="false">
      <c r="A114" s="1" t="s">
        <v>87</v>
      </c>
      <c r="B114" s="1" t="s">
        <v>88</v>
      </c>
      <c r="C114" s="1" t="s">
        <v>89</v>
      </c>
      <c r="D114" s="2" t="s">
        <v>20</v>
      </c>
      <c r="E114" s="2" t="s">
        <v>21</v>
      </c>
      <c r="F114" s="3" t="n">
        <v>41</v>
      </c>
      <c r="G114" s="2" t="s">
        <v>24</v>
      </c>
      <c r="H114" s="2" t="n">
        <v>0.1946</v>
      </c>
      <c r="I114" s="2" t="n">
        <v>0.270638356244481</v>
      </c>
      <c r="J114" s="2" t="n">
        <v>0.315208073162164</v>
      </c>
      <c r="K114" s="2" t="n">
        <f aca="false">J114-I114</f>
        <v>0.0445697169176839</v>
      </c>
      <c r="L114" s="2" t="n">
        <v>0.726997779119958</v>
      </c>
    </row>
    <row r="115" customFormat="false" ht="15" hidden="false" customHeight="false" outlineLevel="0" collapsed="false">
      <c r="A115" s="1" t="s">
        <v>87</v>
      </c>
      <c r="B115" s="1" t="s">
        <v>88</v>
      </c>
      <c r="C115" s="1" t="s">
        <v>89</v>
      </c>
      <c r="D115" s="2" t="s">
        <v>20</v>
      </c>
      <c r="E115" s="2" t="s">
        <v>21</v>
      </c>
      <c r="F115" s="3" t="n">
        <v>41</v>
      </c>
      <c r="G115" s="2" t="s">
        <v>25</v>
      </c>
      <c r="H115" s="2" t="n">
        <v>0.1726</v>
      </c>
      <c r="I115" s="2" t="n">
        <v>0.239968118700569</v>
      </c>
      <c r="J115" s="2" t="n">
        <v>0.250163645013618</v>
      </c>
      <c r="K115" s="2" t="n">
        <f aca="false">J115-I115</f>
        <v>0.0101955263130489</v>
      </c>
      <c r="L115" s="2" t="n">
        <v>0.726997779119958</v>
      </c>
    </row>
    <row r="116" customFormat="false" ht="15" hidden="false" customHeight="false" outlineLevel="0" collapsed="false">
      <c r="A116" s="1" t="s">
        <v>87</v>
      </c>
      <c r="B116" s="1" t="s">
        <v>88</v>
      </c>
      <c r="C116" s="1" t="s">
        <v>89</v>
      </c>
      <c r="D116" s="2" t="s">
        <v>20</v>
      </c>
      <c r="E116" s="2" t="s">
        <v>21</v>
      </c>
      <c r="F116" s="3" t="n">
        <v>41</v>
      </c>
      <c r="G116" s="2" t="s">
        <v>23</v>
      </c>
      <c r="H116" s="2" t="n">
        <v>0.1595</v>
      </c>
      <c r="I116" s="2" t="n">
        <v>0.221783795684907</v>
      </c>
      <c r="J116" s="2" t="n">
        <v>0.288944470087115</v>
      </c>
      <c r="K116" s="2" t="n">
        <f aca="false">J116-I116</f>
        <v>0.0671606744022082</v>
      </c>
      <c r="L116" s="2" t="n">
        <v>0.726997779119958</v>
      </c>
    </row>
    <row r="117" customFormat="false" ht="15" hidden="false" customHeight="false" outlineLevel="0" collapsed="false">
      <c r="A117" s="1" t="s">
        <v>87</v>
      </c>
      <c r="B117" s="1" t="s">
        <v>88</v>
      </c>
      <c r="C117" s="1" t="s">
        <v>89</v>
      </c>
      <c r="D117" s="2" t="s">
        <v>20</v>
      </c>
      <c r="E117" s="2" t="s">
        <v>21</v>
      </c>
      <c r="F117" s="3" t="n">
        <v>41</v>
      </c>
      <c r="G117" s="2" t="s">
        <v>26</v>
      </c>
      <c r="H117" s="2" t="n">
        <v>0.1562</v>
      </c>
      <c r="I117" s="2" t="n">
        <v>0.217144635633595</v>
      </c>
      <c r="J117" s="2" t="n">
        <v>0.289905542215812</v>
      </c>
      <c r="K117" s="2" t="n">
        <f aca="false">J117-I117</f>
        <v>0.0727609065822164</v>
      </c>
      <c r="L117" s="2" t="n">
        <v>0.726997779119958</v>
      </c>
    </row>
    <row r="118" customFormat="false" ht="15" hidden="false" customHeight="false" outlineLevel="0" collapsed="false">
      <c r="A118" s="1" t="s">
        <v>87</v>
      </c>
      <c r="B118" s="1" t="s">
        <v>88</v>
      </c>
      <c r="C118" s="1" t="s">
        <v>89</v>
      </c>
      <c r="D118" s="2" t="s">
        <v>20</v>
      </c>
      <c r="E118" s="2" t="s">
        <v>21</v>
      </c>
      <c r="F118" s="3" t="n">
        <v>41</v>
      </c>
      <c r="G118" s="2" t="s">
        <v>27</v>
      </c>
      <c r="H118" s="2" t="n">
        <v>0.1</v>
      </c>
      <c r="I118" s="2" t="n">
        <v>0.126359013874521</v>
      </c>
      <c r="J118" s="2" t="n">
        <v>0.215310442388602</v>
      </c>
      <c r="K118" s="2" t="n">
        <f aca="false">J118-I118</f>
        <v>0.0889514285140808</v>
      </c>
      <c r="L118" s="2" t="n">
        <v>0.726997779119958</v>
      </c>
    </row>
    <row r="119" customFormat="false" ht="15" hidden="false" customHeight="false" outlineLevel="0" collapsed="false">
      <c r="A119" s="1" t="s">
        <v>90</v>
      </c>
      <c r="B119" s="1" t="s">
        <v>91</v>
      </c>
      <c r="C119" s="1" t="s">
        <v>92</v>
      </c>
      <c r="D119" s="2" t="s">
        <v>20</v>
      </c>
      <c r="E119" s="2" t="s">
        <v>21</v>
      </c>
      <c r="F119" s="3" t="n">
        <v>43</v>
      </c>
      <c r="G119" s="2" t="s">
        <v>22</v>
      </c>
      <c r="H119" s="2" t="n">
        <v>0.2295</v>
      </c>
      <c r="I119" s="2" t="n">
        <v>0.345310856624713</v>
      </c>
      <c r="J119" s="2" t="n">
        <v>0.411876430795405</v>
      </c>
      <c r="K119" s="2" t="n">
        <f aca="false">J119-I119</f>
        <v>0.0665655741706915</v>
      </c>
      <c r="L119" s="2" t="n">
        <v>0.665221956623617</v>
      </c>
      <c r="N119" s="2" t="n">
        <f aca="false">AVERAGE(K119:K124)</f>
        <v>0.074540940141418</v>
      </c>
    </row>
    <row r="120" customFormat="false" ht="15" hidden="false" customHeight="false" outlineLevel="0" collapsed="false">
      <c r="A120" s="1" t="s">
        <v>90</v>
      </c>
      <c r="B120" s="1" t="s">
        <v>91</v>
      </c>
      <c r="C120" s="1" t="s">
        <v>92</v>
      </c>
      <c r="D120" s="2" t="s">
        <v>20</v>
      </c>
      <c r="E120" s="2" t="s">
        <v>21</v>
      </c>
      <c r="F120" s="3" t="n">
        <v>43</v>
      </c>
      <c r="G120" s="2" t="s">
        <v>24</v>
      </c>
      <c r="H120" s="2" t="n">
        <v>0.1988</v>
      </c>
      <c r="I120" s="2" t="n">
        <v>0.299025101153362</v>
      </c>
      <c r="J120" s="2" t="n">
        <v>0.403917932028105</v>
      </c>
      <c r="K120" s="2" t="n">
        <f aca="false">J120-I120</f>
        <v>0.104892830874743</v>
      </c>
      <c r="L120" s="2" t="n">
        <v>0.665221956623617</v>
      </c>
    </row>
    <row r="121" customFormat="false" ht="15" hidden="false" customHeight="false" outlineLevel="0" collapsed="false">
      <c r="A121" s="1" t="s">
        <v>90</v>
      </c>
      <c r="B121" s="1" t="s">
        <v>91</v>
      </c>
      <c r="C121" s="1" t="s">
        <v>92</v>
      </c>
      <c r="D121" s="2" t="s">
        <v>20</v>
      </c>
      <c r="E121" s="2" t="s">
        <v>21</v>
      </c>
      <c r="F121" s="3" t="n">
        <v>43</v>
      </c>
      <c r="G121" s="2" t="s">
        <v>26</v>
      </c>
      <c r="H121" s="2" t="n">
        <v>0.1667</v>
      </c>
      <c r="I121" s="2" t="n">
        <v>0.250861740455997</v>
      </c>
      <c r="J121" s="2" t="n">
        <v>0.301095916273117</v>
      </c>
      <c r="K121" s="2" t="n">
        <f aca="false">J121-I121</f>
        <v>0.0502341758171198</v>
      </c>
      <c r="L121" s="2" t="n">
        <v>0.665221956623617</v>
      </c>
    </row>
    <row r="122" customFormat="false" ht="15" hidden="false" customHeight="false" outlineLevel="0" collapsed="false">
      <c r="A122" s="1" t="s">
        <v>90</v>
      </c>
      <c r="B122" s="1" t="s">
        <v>91</v>
      </c>
      <c r="C122" s="1" t="s">
        <v>92</v>
      </c>
      <c r="D122" s="2" t="s">
        <v>20</v>
      </c>
      <c r="E122" s="2" t="s">
        <v>21</v>
      </c>
      <c r="F122" s="3" t="n">
        <v>43</v>
      </c>
      <c r="G122" s="2" t="s">
        <v>23</v>
      </c>
      <c r="H122" s="2" t="n">
        <v>0.1566</v>
      </c>
      <c r="I122" s="2" t="n">
        <v>0.235626914871516</v>
      </c>
      <c r="J122" s="2" t="n">
        <v>0.34229346479578</v>
      </c>
      <c r="K122" s="2" t="n">
        <f aca="false">J122-I122</f>
        <v>0.106666549924264</v>
      </c>
      <c r="L122" s="2" t="n">
        <v>0.665221956623617</v>
      </c>
    </row>
    <row r="123" customFormat="false" ht="15" hidden="false" customHeight="false" outlineLevel="0" collapsed="false">
      <c r="A123" s="1" t="s">
        <v>90</v>
      </c>
      <c r="B123" s="1" t="s">
        <v>91</v>
      </c>
      <c r="C123" s="1" t="s">
        <v>92</v>
      </c>
      <c r="D123" s="2" t="s">
        <v>20</v>
      </c>
      <c r="E123" s="2" t="s">
        <v>21</v>
      </c>
      <c r="F123" s="3" t="n">
        <v>43</v>
      </c>
      <c r="G123" s="2" t="s">
        <v>93</v>
      </c>
      <c r="H123" s="2" t="n">
        <v>0.1484</v>
      </c>
      <c r="I123" s="2" t="n">
        <v>0.223226577352416</v>
      </c>
      <c r="J123" s="2" t="n">
        <v>0.266597644977634</v>
      </c>
      <c r="K123" s="2" t="n">
        <f aca="false">J123-I123</f>
        <v>0.0433710676252172</v>
      </c>
      <c r="L123" s="2" t="n">
        <v>0.665221956623617</v>
      </c>
    </row>
    <row r="124" customFormat="false" ht="15" hidden="false" customHeight="false" outlineLevel="0" collapsed="false">
      <c r="A124" s="1" t="s">
        <v>90</v>
      </c>
      <c r="B124" s="1" t="s">
        <v>91</v>
      </c>
      <c r="C124" s="1" t="s">
        <v>92</v>
      </c>
      <c r="D124" s="2" t="s">
        <v>20</v>
      </c>
      <c r="E124" s="2" t="s">
        <v>21</v>
      </c>
      <c r="F124" s="3" t="n">
        <v>43</v>
      </c>
      <c r="G124" s="2" t="s">
        <v>27</v>
      </c>
      <c r="H124" s="2" t="n">
        <v>0.1</v>
      </c>
      <c r="I124" s="2" t="n">
        <v>0.166404709996488</v>
      </c>
      <c r="J124" s="2" t="n">
        <v>0.241920152432961</v>
      </c>
      <c r="K124" s="2" t="n">
        <f aca="false">J124-I124</f>
        <v>0.075515442436473</v>
      </c>
      <c r="L124" s="2" t="n">
        <v>0.665221956623617</v>
      </c>
    </row>
    <row r="125" customFormat="false" ht="15" hidden="false" customHeight="false" outlineLevel="0" collapsed="false">
      <c r="A125" s="1" t="s">
        <v>94</v>
      </c>
      <c r="B125" s="1" t="s">
        <v>95</v>
      </c>
      <c r="C125" s="1" t="s">
        <v>96</v>
      </c>
      <c r="D125" s="2" t="s">
        <v>20</v>
      </c>
      <c r="E125" s="2" t="s">
        <v>21</v>
      </c>
      <c r="F125" s="3" t="n">
        <v>45</v>
      </c>
      <c r="G125" s="2" t="s">
        <v>22</v>
      </c>
      <c r="H125" s="2" t="n">
        <v>0.2075</v>
      </c>
      <c r="I125" s="2" t="n">
        <v>0.381492294236999</v>
      </c>
      <c r="J125" s="2" t="n">
        <v>0.366589615078745</v>
      </c>
      <c r="K125" s="2" t="n">
        <f aca="false">J125-I125</f>
        <v>-0.0149026791582541</v>
      </c>
      <c r="L125" s="2" t="n">
        <v>0.761746926827647</v>
      </c>
      <c r="N125" s="2" t="n">
        <f aca="false">-AVERAGE(K125:K130)</f>
        <v>0.0380877741300602</v>
      </c>
    </row>
    <row r="126" customFormat="false" ht="15" hidden="false" customHeight="false" outlineLevel="0" collapsed="false">
      <c r="A126" s="1" t="s">
        <v>94</v>
      </c>
      <c r="B126" s="1" t="s">
        <v>95</v>
      </c>
      <c r="C126" s="1" t="s">
        <v>96</v>
      </c>
      <c r="D126" s="2" t="s">
        <v>20</v>
      </c>
      <c r="E126" s="2" t="s">
        <v>21</v>
      </c>
      <c r="F126" s="3" t="n">
        <v>45</v>
      </c>
      <c r="G126" s="2" t="s">
        <v>24</v>
      </c>
      <c r="H126" s="2" t="n">
        <v>0.1992</v>
      </c>
      <c r="I126" s="2" t="n">
        <v>0.366111579893434</v>
      </c>
      <c r="J126" s="2" t="n">
        <v>0.295480626409844</v>
      </c>
      <c r="K126" s="2" t="n">
        <f aca="false">J126-I126</f>
        <v>-0.0706309534835905</v>
      </c>
      <c r="L126" s="2" t="n">
        <v>0.761746926827647</v>
      </c>
    </row>
    <row r="127" customFormat="false" ht="15" hidden="false" customHeight="false" outlineLevel="0" collapsed="false">
      <c r="A127" s="1" t="s">
        <v>94</v>
      </c>
      <c r="B127" s="1" t="s">
        <v>95</v>
      </c>
      <c r="C127" s="1" t="s">
        <v>96</v>
      </c>
      <c r="D127" s="2" t="s">
        <v>20</v>
      </c>
      <c r="E127" s="2" t="s">
        <v>21</v>
      </c>
      <c r="F127" s="3" t="n">
        <v>45</v>
      </c>
      <c r="G127" s="2" t="s">
        <v>25</v>
      </c>
      <c r="H127" s="2" t="n">
        <v>0.1692</v>
      </c>
      <c r="I127" s="2" t="n">
        <v>0.310974346538997</v>
      </c>
      <c r="J127" s="2" t="n">
        <v>0.276794774419449</v>
      </c>
      <c r="K127" s="2" t="n">
        <f aca="false">J127-I127</f>
        <v>-0.034179572119548</v>
      </c>
      <c r="L127" s="2" t="n">
        <v>0.761746926827647</v>
      </c>
    </row>
    <row r="128" customFormat="false" ht="15" hidden="false" customHeight="false" outlineLevel="0" collapsed="false">
      <c r="A128" s="1" t="s">
        <v>94</v>
      </c>
      <c r="B128" s="1" t="s">
        <v>95</v>
      </c>
      <c r="C128" s="1" t="s">
        <v>96</v>
      </c>
      <c r="D128" s="2" t="s">
        <v>20</v>
      </c>
      <c r="E128" s="2" t="s">
        <v>21</v>
      </c>
      <c r="F128" s="3" t="n">
        <v>45</v>
      </c>
      <c r="G128" s="2" t="s">
        <v>97</v>
      </c>
      <c r="H128" s="2" t="n">
        <v>0.1625</v>
      </c>
      <c r="I128" s="2" t="n">
        <v>0.29864923140988</v>
      </c>
      <c r="J128" s="2" t="n">
        <v>0.238212095869614</v>
      </c>
      <c r="K128" s="2" t="n">
        <f aca="false">J128-I128</f>
        <v>-0.0604371355402669</v>
      </c>
      <c r="L128" s="2" t="n">
        <v>0.761746926827647</v>
      </c>
    </row>
    <row r="129" customFormat="false" ht="15" hidden="false" customHeight="false" outlineLevel="0" collapsed="false">
      <c r="A129" s="1" t="s">
        <v>94</v>
      </c>
      <c r="B129" s="1" t="s">
        <v>95</v>
      </c>
      <c r="C129" s="1" t="s">
        <v>96</v>
      </c>
      <c r="D129" s="2" t="s">
        <v>20</v>
      </c>
      <c r="E129" s="2" t="s">
        <v>21</v>
      </c>
      <c r="F129" s="3" t="n">
        <v>45</v>
      </c>
      <c r="G129" s="2" t="s">
        <v>26</v>
      </c>
      <c r="H129" s="2" t="n">
        <v>0.1617</v>
      </c>
      <c r="I129" s="2" t="n">
        <v>0.297275729302252</v>
      </c>
      <c r="J129" s="2" t="n">
        <v>0.269471341362381</v>
      </c>
      <c r="K129" s="2" t="n">
        <f aca="false">J129-I129</f>
        <v>-0.0278043879398713</v>
      </c>
      <c r="L129" s="2" t="n">
        <v>0.761746926827647</v>
      </c>
    </row>
    <row r="130" customFormat="false" ht="15" hidden="false" customHeight="false" outlineLevel="0" collapsed="false">
      <c r="A130" s="1" t="s">
        <v>94</v>
      </c>
      <c r="B130" s="1" t="s">
        <v>95</v>
      </c>
      <c r="C130" s="1" t="s">
        <v>96</v>
      </c>
      <c r="D130" s="2" t="s">
        <v>20</v>
      </c>
      <c r="E130" s="2" t="s">
        <v>21</v>
      </c>
      <c r="F130" s="3" t="n">
        <v>45</v>
      </c>
      <c r="G130" s="2" t="s">
        <v>27</v>
      </c>
      <c r="H130" s="2" t="n">
        <v>0.1</v>
      </c>
      <c r="I130" s="2" t="n">
        <v>0.197180646790752</v>
      </c>
      <c r="J130" s="2" t="n">
        <v>0.176608730251922</v>
      </c>
      <c r="K130" s="2" t="n">
        <f aca="false">J130-I130</f>
        <v>-0.0205719165388302</v>
      </c>
      <c r="L130" s="2" t="n">
        <v>0.761746926827647</v>
      </c>
    </row>
    <row r="131" customFormat="false" ht="15" hidden="false" customHeight="false" outlineLevel="0" collapsed="false">
      <c r="A131" s="1" t="s">
        <v>98</v>
      </c>
      <c r="B131" s="1" t="s">
        <v>99</v>
      </c>
      <c r="C131" s="1" t="s">
        <v>100</v>
      </c>
      <c r="D131" s="2" t="s">
        <v>20</v>
      </c>
      <c r="E131" s="2" t="s">
        <v>21</v>
      </c>
      <c r="F131" s="3" t="n">
        <v>47</v>
      </c>
      <c r="G131" s="2" t="s">
        <v>22</v>
      </c>
      <c r="H131" s="2" t="n">
        <v>0.2442</v>
      </c>
      <c r="I131" s="2" t="n">
        <v>0.25390360330674</v>
      </c>
      <c r="J131" s="2" t="n">
        <v>0.346702859519584</v>
      </c>
      <c r="K131" s="2" t="n">
        <f aca="false">J131-I131</f>
        <v>0.0927992562128435</v>
      </c>
      <c r="L131" s="2" t="n">
        <v>0.746216792553118</v>
      </c>
      <c r="N131" s="2" t="n">
        <f aca="false">AVERAGE(K131:K135)</f>
        <v>0.0835027028081704</v>
      </c>
    </row>
    <row r="132" customFormat="false" ht="15" hidden="false" customHeight="false" outlineLevel="0" collapsed="false">
      <c r="A132" s="1" t="s">
        <v>98</v>
      </c>
      <c r="B132" s="1" t="s">
        <v>99</v>
      </c>
      <c r="C132" s="1" t="s">
        <v>100</v>
      </c>
      <c r="D132" s="2" t="s">
        <v>20</v>
      </c>
      <c r="E132" s="2" t="s">
        <v>21</v>
      </c>
      <c r="F132" s="3" t="n">
        <v>47</v>
      </c>
      <c r="G132" s="2" t="s">
        <v>24</v>
      </c>
      <c r="H132" s="2" t="n">
        <v>0.2241</v>
      </c>
      <c r="I132" s="2" t="n">
        <v>0.233035843229402</v>
      </c>
      <c r="J132" s="2" t="n">
        <v>0.310234327527616</v>
      </c>
      <c r="K132" s="2" t="n">
        <f aca="false">J132-I132</f>
        <v>0.0771984842982134</v>
      </c>
      <c r="L132" s="2" t="n">
        <v>0.746216792553118</v>
      </c>
    </row>
    <row r="133" customFormat="false" ht="15" hidden="false" customHeight="false" outlineLevel="0" collapsed="false">
      <c r="A133" s="1" t="s">
        <v>98</v>
      </c>
      <c r="B133" s="1" t="s">
        <v>99</v>
      </c>
      <c r="C133" s="1" t="s">
        <v>100</v>
      </c>
      <c r="D133" s="2" t="s">
        <v>20</v>
      </c>
      <c r="E133" s="2" t="s">
        <v>21</v>
      </c>
      <c r="F133" s="3" t="n">
        <v>47</v>
      </c>
      <c r="G133" s="2" t="s">
        <v>23</v>
      </c>
      <c r="H133" s="2" t="n">
        <v>0.2184</v>
      </c>
      <c r="I133" s="2" t="n">
        <v>0.227139565473332</v>
      </c>
      <c r="J133" s="2" t="n">
        <v>0.303624529119181</v>
      </c>
      <c r="K133" s="2" t="n">
        <f aca="false">J133-I133</f>
        <v>0.076484963645849</v>
      </c>
      <c r="L133" s="2" t="n">
        <v>0.746216792553118</v>
      </c>
    </row>
    <row r="134" customFormat="false" ht="15" hidden="false" customHeight="false" outlineLevel="0" collapsed="false">
      <c r="A134" s="1" t="s">
        <v>98</v>
      </c>
      <c r="B134" s="1" t="s">
        <v>99</v>
      </c>
      <c r="C134" s="1" t="s">
        <v>100</v>
      </c>
      <c r="D134" s="2" t="s">
        <v>20</v>
      </c>
      <c r="E134" s="2" t="s">
        <v>21</v>
      </c>
      <c r="F134" s="3" t="n">
        <v>47</v>
      </c>
      <c r="G134" s="2" t="s">
        <v>25</v>
      </c>
      <c r="H134" s="2" t="n">
        <v>0.2133</v>
      </c>
      <c r="I134" s="2" t="n">
        <v>0.22174942190529</v>
      </c>
      <c r="J134" s="2" t="n">
        <v>0.293619651043151</v>
      </c>
      <c r="K134" s="2" t="n">
        <f aca="false">J134-I134</f>
        <v>0.0718702291378614</v>
      </c>
      <c r="L134" s="2" t="n">
        <v>0.746216792553118</v>
      </c>
    </row>
    <row r="135" customFormat="false" ht="15" hidden="false" customHeight="false" outlineLevel="0" collapsed="false">
      <c r="A135" s="1" t="s">
        <v>98</v>
      </c>
      <c r="B135" s="1" t="s">
        <v>99</v>
      </c>
      <c r="C135" s="1" t="s">
        <v>100</v>
      </c>
      <c r="D135" s="2" t="s">
        <v>20</v>
      </c>
      <c r="E135" s="2" t="s">
        <v>21</v>
      </c>
      <c r="F135" s="3" t="n">
        <v>47</v>
      </c>
      <c r="G135" s="2" t="s">
        <v>27</v>
      </c>
      <c r="H135" s="2" t="n">
        <v>0.1</v>
      </c>
      <c r="I135" s="2" t="n">
        <v>0.100205152106785</v>
      </c>
      <c r="J135" s="2" t="n">
        <v>0.19936573285287</v>
      </c>
      <c r="K135" s="2" t="n">
        <f aca="false">J135-I135</f>
        <v>0.0991605807460846</v>
      </c>
      <c r="L135" s="2" t="n">
        <v>0.746216792553118</v>
      </c>
    </row>
    <row r="136" customFormat="false" ht="15" hidden="false" customHeight="false" outlineLevel="0" collapsed="false">
      <c r="A136" s="1" t="s">
        <v>101</v>
      </c>
      <c r="B136" s="1" t="s">
        <v>102</v>
      </c>
      <c r="C136" s="1" t="s">
        <v>103</v>
      </c>
      <c r="D136" s="2" t="s">
        <v>20</v>
      </c>
      <c r="E136" s="2" t="s">
        <v>21</v>
      </c>
      <c r="F136" s="3" t="n">
        <v>53</v>
      </c>
      <c r="G136" s="2" t="s">
        <v>22</v>
      </c>
      <c r="H136" s="2" t="n">
        <v>0.2088</v>
      </c>
      <c r="I136" s="2" t="n">
        <v>0.285620258603443</v>
      </c>
      <c r="J136" s="2" t="n">
        <v>0.367691125247623</v>
      </c>
      <c r="K136" s="2" t="n">
        <f aca="false">J136-I136</f>
        <v>0.0820708666441797</v>
      </c>
      <c r="L136" s="2" t="n">
        <v>0.725032419587978</v>
      </c>
      <c r="N136" s="2" t="n">
        <f aca="false">AVERAGE(K136:K141)</f>
        <v>0.057386921654911</v>
      </c>
    </row>
    <row r="137" customFormat="false" ht="15" hidden="false" customHeight="false" outlineLevel="0" collapsed="false">
      <c r="A137" s="1" t="s">
        <v>101</v>
      </c>
      <c r="B137" s="1" t="s">
        <v>102</v>
      </c>
      <c r="C137" s="1" t="s">
        <v>103</v>
      </c>
      <c r="D137" s="2" t="s">
        <v>20</v>
      </c>
      <c r="E137" s="2" t="s">
        <v>21</v>
      </c>
      <c r="F137" s="3" t="n">
        <v>53</v>
      </c>
      <c r="G137" s="2" t="s">
        <v>24</v>
      </c>
      <c r="H137" s="2" t="n">
        <v>0.1809</v>
      </c>
      <c r="I137" s="2" t="n">
        <v>0.247449332708373</v>
      </c>
      <c r="J137" s="2" t="n">
        <v>0.283137102466987</v>
      </c>
      <c r="K137" s="2" t="n">
        <f aca="false">J137-I137</f>
        <v>0.0356877697586142</v>
      </c>
      <c r="L137" s="2" t="n">
        <v>0.725032419587978</v>
      </c>
    </row>
    <row r="138" customFormat="false" ht="15" hidden="false" customHeight="false" outlineLevel="0" collapsed="false">
      <c r="A138" s="1" t="s">
        <v>101</v>
      </c>
      <c r="B138" s="1" t="s">
        <v>102</v>
      </c>
      <c r="C138" s="1" t="s">
        <v>103</v>
      </c>
      <c r="D138" s="2" t="s">
        <v>20</v>
      </c>
      <c r="E138" s="2" t="s">
        <v>21</v>
      </c>
      <c r="F138" s="3" t="n">
        <v>53</v>
      </c>
      <c r="G138" s="2" t="s">
        <v>23</v>
      </c>
      <c r="H138" s="2" t="n">
        <v>0.1725</v>
      </c>
      <c r="I138" s="2" t="n">
        <v>0.235934613533424</v>
      </c>
      <c r="J138" s="2" t="n">
        <v>0.324874836385318</v>
      </c>
      <c r="K138" s="2" t="n">
        <f aca="false">J138-I138</f>
        <v>0.0889402228518938</v>
      </c>
      <c r="L138" s="2" t="n">
        <v>0.725032419587978</v>
      </c>
    </row>
    <row r="139" customFormat="false" ht="15" hidden="false" customHeight="false" outlineLevel="0" collapsed="false">
      <c r="A139" s="1" t="s">
        <v>101</v>
      </c>
      <c r="B139" s="1" t="s">
        <v>102</v>
      </c>
      <c r="C139" s="1" t="s">
        <v>103</v>
      </c>
      <c r="D139" s="2" t="s">
        <v>20</v>
      </c>
      <c r="E139" s="2" t="s">
        <v>21</v>
      </c>
      <c r="F139" s="3" t="n">
        <v>53</v>
      </c>
      <c r="G139" s="2" t="s">
        <v>71</v>
      </c>
      <c r="H139" s="2" t="n">
        <v>0.1714</v>
      </c>
      <c r="I139" s="2" t="n">
        <v>0.234355437259986</v>
      </c>
      <c r="J139" s="2" t="n">
        <v>0.250436321977477</v>
      </c>
      <c r="K139" s="2" t="n">
        <f aca="false">J139-I139</f>
        <v>0.0160808847174907</v>
      </c>
      <c r="L139" s="2" t="n">
        <v>0.725032419587978</v>
      </c>
    </row>
    <row r="140" customFormat="false" ht="15" hidden="false" customHeight="false" outlineLevel="0" collapsed="false">
      <c r="A140" s="1" t="s">
        <v>101</v>
      </c>
      <c r="B140" s="1" t="s">
        <v>102</v>
      </c>
      <c r="C140" s="1" t="s">
        <v>103</v>
      </c>
      <c r="D140" s="2" t="s">
        <v>20</v>
      </c>
      <c r="E140" s="2" t="s">
        <v>21</v>
      </c>
      <c r="F140" s="3" t="n">
        <v>53</v>
      </c>
      <c r="G140" s="2" t="s">
        <v>25</v>
      </c>
      <c r="H140" s="2" t="n">
        <v>0.1663</v>
      </c>
      <c r="I140" s="2" t="n">
        <v>0.227484462339961</v>
      </c>
      <c r="J140" s="2" t="n">
        <v>0.267423656558824</v>
      </c>
      <c r="K140" s="2" t="n">
        <f aca="false">J140-I140</f>
        <v>0.0399391942188631</v>
      </c>
      <c r="L140" s="2" t="n">
        <v>0.725032419587978</v>
      </c>
    </row>
    <row r="141" customFormat="false" ht="15" hidden="false" customHeight="false" outlineLevel="0" collapsed="false">
      <c r="A141" s="1" t="s">
        <v>101</v>
      </c>
      <c r="B141" s="1" t="s">
        <v>102</v>
      </c>
      <c r="C141" s="1" t="s">
        <v>103</v>
      </c>
      <c r="D141" s="2" t="s">
        <v>20</v>
      </c>
      <c r="E141" s="2" t="s">
        <v>21</v>
      </c>
      <c r="F141" s="3" t="n">
        <v>53</v>
      </c>
      <c r="G141" s="2" t="s">
        <v>27</v>
      </c>
      <c r="H141" s="2" t="n">
        <v>0.1</v>
      </c>
      <c r="I141" s="2" t="n">
        <v>0.109000757768407</v>
      </c>
      <c r="J141" s="2" t="n">
        <v>0.190603349506831</v>
      </c>
      <c r="K141" s="2" t="n">
        <f aca="false">J141-I141</f>
        <v>0.0816025917384246</v>
      </c>
      <c r="L141" s="2" t="n">
        <v>0.725032419587978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0" activeCellId="1" sqref="F11:G11 B10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4" width="20.4"/>
  </cols>
  <sheetData>
    <row r="1" customFormat="false" ht="12.8" hidden="false" customHeight="false" outlineLevel="0" collapsed="false">
      <c r="A1" s="9" t="s">
        <v>104</v>
      </c>
      <c r="B1" s="9"/>
    </row>
    <row r="2" customFormat="false" ht="12.8" hidden="false" customHeight="false" outlineLevel="0" collapsed="false">
      <c r="A2" s="9"/>
      <c r="B2" s="9"/>
    </row>
    <row r="3" customFormat="false" ht="12.8" hidden="false" customHeight="false" outlineLevel="0" collapsed="false">
      <c r="A3" s="9" t="s">
        <v>105</v>
      </c>
      <c r="B3" s="5" t="n">
        <f aca="false">scen2_hybsem!P3</f>
        <v>139</v>
      </c>
    </row>
    <row r="4" customFormat="false" ht="12.8" hidden="false" customHeight="false" outlineLevel="0" collapsed="false">
      <c r="A4" s="9" t="s">
        <v>106</v>
      </c>
      <c r="B4" s="9" t="n">
        <f aca="false">B10*SQRT((B3-2)/(1-B10^2))</f>
        <v>1.49689434382442</v>
      </c>
    </row>
    <row r="5" customFormat="false" ht="12.8" hidden="false" customHeight="false" outlineLevel="0" collapsed="false">
      <c r="A5" s="9" t="s">
        <v>107</v>
      </c>
      <c r="B5" s="9" t="n">
        <f aca="false">_xlfn.T.DIST.2T(ABS(B4),B3-2)</f>
        <v>0.136721070727339</v>
      </c>
    </row>
    <row r="6" customFormat="false" ht="12.8" hidden="false" customHeight="false" outlineLevel="0" collapsed="false">
      <c r="B6" s="10"/>
    </row>
    <row r="7" customFormat="false" ht="12.8" hidden="false" customHeight="false" outlineLevel="0" collapsed="false">
      <c r="B7" s="10"/>
    </row>
    <row r="8" customFormat="false" ht="12.8" hidden="false" customHeight="false" outlineLevel="0" collapsed="false">
      <c r="B8" s="10"/>
    </row>
    <row r="9" customFormat="false" ht="19.4" hidden="false" customHeight="false" outlineLevel="0" collapsed="false">
      <c r="A9" s="8" t="s">
        <v>14</v>
      </c>
      <c r="B9" s="8" t="s">
        <v>15</v>
      </c>
    </row>
    <row r="10" customFormat="false" ht="12.8" hidden="false" customHeight="false" outlineLevel="0" collapsed="false">
      <c r="A10" s="11" t="n">
        <f aca="false">B3</f>
        <v>139</v>
      </c>
      <c r="B10" s="11" t="n">
        <f aca="false">scen2_hybsem!Q3</f>
        <v>0.126855137334041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5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D28" activeCellId="1" sqref="F11:G11 D28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4" width="27.22"/>
    <col collapsed="false" customWidth="true" hidden="false" outlineLevel="0" max="3" min="3" style="4" width="22.07"/>
    <col collapsed="false" customWidth="true" hidden="false" outlineLevel="0" max="8" min="8" style="4" width="21"/>
    <col collapsed="false" customWidth="true" hidden="false" outlineLevel="0" max="10" min="10" style="4" width="19.94"/>
    <col collapsed="false" customWidth="true" hidden="false" outlineLevel="0" max="11" min="11" style="4" width="19.32"/>
  </cols>
  <sheetData>
    <row r="1" customFormat="false" ht="12.8" hidden="false" customHeight="false" outlineLevel="0" collapsed="false">
      <c r="B1" s="8" t="s">
        <v>11</v>
      </c>
      <c r="C1" s="8" t="s">
        <v>12</v>
      </c>
      <c r="H1" s="12" t="s">
        <v>108</v>
      </c>
      <c r="I1" s="12" t="s">
        <v>14</v>
      </c>
      <c r="J1" s="12" t="s">
        <v>109</v>
      </c>
      <c r="K1" s="12" t="s">
        <v>16</v>
      </c>
    </row>
    <row r="2" customFormat="false" ht="12.8" hidden="false" customHeight="false" outlineLevel="0" collapsed="false">
      <c r="A2" s="4" t="s">
        <v>110</v>
      </c>
    </row>
    <row r="3" customFormat="false" ht="12.8" hidden="false" customHeight="false" outlineLevel="0" collapsed="false">
      <c r="A3" s="10" t="n">
        <v>1</v>
      </c>
      <c r="B3" s="2" t="n">
        <v>0.826465743120003</v>
      </c>
      <c r="C3" s="2" t="n">
        <v>0.0546431263787856</v>
      </c>
      <c r="H3" s="12" t="n">
        <f aca="false">CORREL(B3:B27,C3:C27)</f>
        <v>-0.0225687689331823</v>
      </c>
      <c r="I3" s="12" t="n">
        <f aca="false">COUNT(C3:C27)</f>
        <v>25</v>
      </c>
      <c r="J3" s="12" t="n">
        <f aca="false">H3*SQRT((I3-2)/(1-H3^2))</f>
        <v>-0.108263588997277</v>
      </c>
      <c r="K3" s="12" t="n">
        <f aca="false">_xlfn.T.DIST.2T(ABS(J3),I3-2)</f>
        <v>0.914725545773503</v>
      </c>
    </row>
    <row r="4" customFormat="false" ht="12.8" hidden="false" customHeight="false" outlineLevel="0" collapsed="false">
      <c r="A4" s="10" t="n">
        <v>2</v>
      </c>
      <c r="B4" s="2" t="n">
        <v>0.760295791016544</v>
      </c>
      <c r="C4" s="2" t="n">
        <v>0.0820029024969715</v>
      </c>
    </row>
    <row r="5" customFormat="false" ht="12.8" hidden="false" customHeight="false" outlineLevel="0" collapsed="false">
      <c r="A5" s="10" t="n">
        <v>3</v>
      </c>
      <c r="B5" s="2" t="n">
        <v>0.745513104503565</v>
      </c>
      <c r="C5" s="2" t="n">
        <v>0.050709208905384</v>
      </c>
    </row>
    <row r="6" customFormat="false" ht="12.8" hidden="false" customHeight="false" outlineLevel="0" collapsed="false">
      <c r="A6" s="10" t="n">
        <v>4</v>
      </c>
      <c r="B6" s="2" t="n">
        <v>0.740237977344109</v>
      </c>
      <c r="C6" s="2" t="n">
        <v>0.0418903465636048</v>
      </c>
    </row>
    <row r="7" customFormat="false" ht="12.8" hidden="false" customHeight="false" outlineLevel="0" collapsed="false">
      <c r="A7" s="10" t="n">
        <v>5</v>
      </c>
      <c r="B7" s="2" t="n">
        <v>0.701417807349544</v>
      </c>
      <c r="C7" s="2" t="n">
        <v>0.0728990321327978</v>
      </c>
    </row>
    <row r="8" customFormat="false" ht="12.8" hidden="false" customHeight="false" outlineLevel="0" collapsed="false">
      <c r="A8" s="10" t="n">
        <v>6</v>
      </c>
      <c r="B8" s="2" t="n">
        <v>0.764412269319662</v>
      </c>
      <c r="C8" s="2" t="n">
        <v>0.0468020487194692</v>
      </c>
    </row>
    <row r="9" customFormat="false" ht="12.8" hidden="false" customHeight="false" outlineLevel="0" collapsed="false">
      <c r="A9" s="10" t="n">
        <v>7</v>
      </c>
      <c r="B9" s="2" t="n">
        <v>0.704629188099325</v>
      </c>
      <c r="C9" s="2" t="n">
        <v>0.0797668556171888</v>
      </c>
    </row>
    <row r="10" customFormat="false" ht="12.8" hidden="false" customHeight="false" outlineLevel="0" collapsed="false">
      <c r="A10" s="10" t="n">
        <v>8</v>
      </c>
      <c r="B10" s="2" t="n">
        <v>0.77201186291984</v>
      </c>
      <c r="C10" s="2" t="n">
        <v>0.0280785181260192</v>
      </c>
    </row>
    <row r="11" customFormat="false" ht="12.8" hidden="false" customHeight="false" outlineLevel="0" collapsed="false">
      <c r="A11" s="10" t="n">
        <v>9</v>
      </c>
      <c r="B11" s="2" t="n">
        <v>0.72188407789367</v>
      </c>
      <c r="C11" s="2" t="n">
        <v>0.0400530288015456</v>
      </c>
    </row>
    <row r="12" customFormat="false" ht="12.8" hidden="false" customHeight="false" outlineLevel="0" collapsed="false">
      <c r="A12" s="10" t="n">
        <v>10</v>
      </c>
      <c r="B12" s="2" t="n">
        <v>0.801799093845666</v>
      </c>
      <c r="C12" s="2" t="n">
        <v>0.0646048026306338</v>
      </c>
    </row>
    <row r="13" customFormat="false" ht="12.8" hidden="false" customHeight="false" outlineLevel="0" collapsed="false">
      <c r="A13" s="10" t="n">
        <v>11</v>
      </c>
      <c r="B13" s="2" t="n">
        <v>0.82639186986707</v>
      </c>
      <c r="C13" s="2" t="n">
        <v>0.101387983507805</v>
      </c>
    </row>
    <row r="14" customFormat="false" ht="12.8" hidden="false" customHeight="false" outlineLevel="0" collapsed="false">
      <c r="A14" s="10" t="n">
        <v>12</v>
      </c>
      <c r="B14" s="2" t="n">
        <v>0.74557662237038</v>
      </c>
      <c r="C14" s="2" t="n">
        <v>0.109119790952213</v>
      </c>
    </row>
    <row r="15" customFormat="false" ht="12.8" hidden="false" customHeight="false" outlineLevel="0" collapsed="false">
      <c r="A15" s="10" t="n">
        <v>13</v>
      </c>
      <c r="B15" s="2" t="n">
        <v>0.739304791041697</v>
      </c>
      <c r="C15" s="2" t="n">
        <v>-0.0965100176414137</v>
      </c>
    </row>
    <row r="16" customFormat="false" ht="12.8" hidden="false" customHeight="false" outlineLevel="0" collapsed="false">
      <c r="A16" s="10" t="n">
        <v>14</v>
      </c>
      <c r="B16" s="2" t="n">
        <v>0.716775890381091</v>
      </c>
      <c r="C16" s="2" t="n">
        <v>0.0676365161449058</v>
      </c>
    </row>
    <row r="17" customFormat="false" ht="12.8" hidden="false" customHeight="false" outlineLevel="0" collapsed="false">
      <c r="A17" s="10" t="n">
        <v>15</v>
      </c>
      <c r="B17" s="2" t="n">
        <v>0.72335469896996</v>
      </c>
      <c r="C17" s="2" t="n">
        <v>0.0440129852638783</v>
      </c>
    </row>
    <row r="18" customFormat="false" ht="12.8" hidden="false" customHeight="false" outlineLevel="0" collapsed="false">
      <c r="A18" s="10" t="n">
        <v>16</v>
      </c>
      <c r="B18" s="2" t="n">
        <v>0.74148150305735</v>
      </c>
      <c r="C18" s="2" t="n">
        <v>0.0772497703754088</v>
      </c>
    </row>
    <row r="19" customFormat="false" ht="12.8" hidden="false" customHeight="false" outlineLevel="0" collapsed="false">
      <c r="A19" s="10" t="n">
        <v>17</v>
      </c>
      <c r="B19" s="2" t="n">
        <v>0.782813226803677</v>
      </c>
      <c r="C19" s="2" t="n">
        <v>0.0449656255489569</v>
      </c>
    </row>
    <row r="20" customFormat="false" ht="12.8" hidden="false" customHeight="false" outlineLevel="0" collapsed="false">
      <c r="A20" s="10" t="n">
        <v>18</v>
      </c>
      <c r="B20" s="2" t="n">
        <v>0.683924726356955</v>
      </c>
      <c r="C20" s="2" t="n">
        <v>0.0941935732296858</v>
      </c>
    </row>
    <row r="21" customFormat="false" ht="12.8" hidden="false" customHeight="false" outlineLevel="0" collapsed="false">
      <c r="A21" s="10" t="n">
        <v>19</v>
      </c>
      <c r="B21" s="2" t="n">
        <v>0.741861628869437</v>
      </c>
      <c r="C21" s="2" t="n">
        <v>-0.0020187610161787</v>
      </c>
    </row>
    <row r="22" customFormat="false" ht="12.8" hidden="false" customHeight="false" outlineLevel="0" collapsed="false">
      <c r="A22" s="10" t="n">
        <v>20</v>
      </c>
      <c r="B22" s="2" t="n">
        <v>0.861291025455911</v>
      </c>
      <c r="C22" s="2" t="n">
        <v>0.05844646407865</v>
      </c>
    </row>
    <row r="23" customFormat="false" ht="12.8" hidden="false" customHeight="false" outlineLevel="0" collapsed="false">
      <c r="A23" s="10" t="n">
        <v>21</v>
      </c>
      <c r="B23" s="2" t="n">
        <v>0.726997779119958</v>
      </c>
      <c r="C23" s="2" t="n">
        <v>0.0592788645229496</v>
      </c>
    </row>
    <row r="24" customFormat="false" ht="12.8" hidden="false" customHeight="false" outlineLevel="0" collapsed="false">
      <c r="A24" s="10" t="n">
        <v>22</v>
      </c>
      <c r="B24" s="2" t="n">
        <v>0.665221956623617</v>
      </c>
      <c r="C24" s="2" t="n">
        <v>0.074540940141418</v>
      </c>
    </row>
    <row r="25" customFormat="false" ht="12.8" hidden="false" customHeight="false" outlineLevel="0" collapsed="false">
      <c r="A25" s="10" t="n">
        <v>23</v>
      </c>
      <c r="B25" s="2" t="n">
        <v>0.761746926827647</v>
      </c>
      <c r="C25" s="2" t="n">
        <v>0.0380877741300602</v>
      </c>
    </row>
    <row r="26" customFormat="false" ht="12.8" hidden="false" customHeight="false" outlineLevel="0" collapsed="false">
      <c r="A26" s="10" t="n">
        <v>24</v>
      </c>
      <c r="B26" s="2" t="n">
        <v>0.746216792553118</v>
      </c>
      <c r="C26" s="2" t="n">
        <v>0.0835027028081704</v>
      </c>
    </row>
    <row r="27" customFormat="false" ht="12.8" hidden="false" customHeight="false" outlineLevel="0" collapsed="false">
      <c r="A27" s="10" t="n">
        <v>25</v>
      </c>
      <c r="B27" s="2" t="n">
        <v>0.725032419587978</v>
      </c>
      <c r="C27" s="2" t="n">
        <v>0.057386921654911</v>
      </c>
    </row>
    <row r="28" customFormat="false" ht="12.8" hidden="false" customHeight="false" outlineLevel="0" collapsed="false">
      <c r="B28" s="2"/>
      <c r="C28" s="2"/>
    </row>
    <row r="31" customFormat="false" ht="12.8" hidden="false" customHeight="false" outlineLevel="0" collapsed="false">
      <c r="B31" s="2"/>
    </row>
    <row r="32" customFormat="false" ht="12.8" hidden="false" customHeight="false" outlineLevel="0" collapsed="false">
      <c r="B32" s="2"/>
    </row>
    <row r="33" customFormat="false" ht="12.8" hidden="false" customHeight="false" outlineLevel="0" collapsed="false">
      <c r="B33" s="2"/>
    </row>
    <row r="34" customFormat="false" ht="12.8" hidden="false" customHeight="false" outlineLevel="0" collapsed="false">
      <c r="B34" s="2"/>
    </row>
    <row r="35" customFormat="false" ht="12.8" hidden="false" customHeight="false" outlineLevel="0" collapsed="false">
      <c r="B35" s="2"/>
    </row>
    <row r="36" customFormat="false" ht="12.8" hidden="false" customHeight="false" outlineLevel="0" collapsed="false">
      <c r="B36" s="2"/>
    </row>
    <row r="37" customFormat="false" ht="12.8" hidden="false" customHeight="false" outlineLevel="0" collapsed="false">
      <c r="B37" s="2"/>
    </row>
    <row r="38" customFormat="false" ht="12.8" hidden="false" customHeight="false" outlineLevel="0" collapsed="false">
      <c r="B38" s="2"/>
    </row>
    <row r="39" customFormat="false" ht="12.8" hidden="false" customHeight="false" outlineLevel="0" collapsed="false">
      <c r="B39" s="2"/>
    </row>
    <row r="40" customFormat="false" ht="12.8" hidden="false" customHeight="false" outlineLevel="0" collapsed="false">
      <c r="B40" s="2"/>
    </row>
    <row r="41" customFormat="false" ht="12.8" hidden="false" customHeight="false" outlineLevel="0" collapsed="false">
      <c r="B41" s="2"/>
    </row>
    <row r="42" customFormat="false" ht="12.8" hidden="false" customHeight="false" outlineLevel="0" collapsed="false">
      <c r="B42" s="2"/>
    </row>
    <row r="43" customFormat="false" ht="12.8" hidden="false" customHeight="false" outlineLevel="0" collapsed="false">
      <c r="B43" s="2"/>
    </row>
    <row r="44" customFormat="false" ht="12.8" hidden="false" customHeight="false" outlineLevel="0" collapsed="false">
      <c r="B44" s="2"/>
    </row>
    <row r="45" customFormat="false" ht="12.8" hidden="false" customHeight="false" outlineLevel="0" collapsed="false">
      <c r="B45" s="2"/>
    </row>
    <row r="46" customFormat="false" ht="12.8" hidden="false" customHeight="false" outlineLevel="0" collapsed="false">
      <c r="B46" s="2"/>
    </row>
    <row r="47" customFormat="false" ht="12.8" hidden="false" customHeight="false" outlineLevel="0" collapsed="false">
      <c r="B47" s="2"/>
    </row>
    <row r="48" customFormat="false" ht="12.8" hidden="false" customHeight="false" outlineLevel="0" collapsed="false">
      <c r="B48" s="2"/>
    </row>
    <row r="49" customFormat="false" ht="12.8" hidden="false" customHeight="false" outlineLevel="0" collapsed="false">
      <c r="B49" s="2"/>
    </row>
    <row r="50" customFormat="false" ht="12.8" hidden="false" customHeight="false" outlineLevel="0" collapsed="false">
      <c r="B50" s="2"/>
    </row>
    <row r="51" customFormat="false" ht="12.8" hidden="false" customHeight="false" outlineLevel="0" collapsed="false">
      <c r="B51" s="2"/>
    </row>
    <row r="52" customFormat="false" ht="12.8" hidden="false" customHeight="false" outlineLevel="0" collapsed="false">
      <c r="B52" s="2"/>
    </row>
    <row r="53" customFormat="false" ht="12.8" hidden="false" customHeight="false" outlineLevel="0" collapsed="false">
      <c r="B53" s="2"/>
    </row>
    <row r="54" customFormat="false" ht="12.8" hidden="false" customHeight="false" outlineLevel="0" collapsed="false">
      <c r="B54" s="2"/>
    </row>
    <row r="55" customFormat="false" ht="12.8" hidden="false" customHeight="false" outlineLevel="0" collapsed="false">
      <c r="B55" s="2"/>
    </row>
    <row r="56" customFormat="false" ht="12.8" hidden="false" customHeight="false" outlineLevel="0" collapsed="false">
      <c r="B56" s="2"/>
    </row>
    <row r="57" customFormat="false" ht="12.8" hidden="false" customHeight="false" outlineLevel="0" collapsed="false">
      <c r="B57" s="2"/>
    </row>
    <row r="58" customFormat="false" ht="12.8" hidden="false" customHeight="false" outlineLevel="0" collapsed="false">
      <c r="B58" s="2"/>
    </row>
    <row r="59" customFormat="false" ht="12.8" hidden="false" customHeight="false" outlineLevel="0" collapsed="false">
      <c r="B59" s="2"/>
    </row>
    <row r="60" customFormat="false" ht="12.8" hidden="false" customHeight="false" outlineLevel="0" collapsed="false">
      <c r="B60" s="2"/>
    </row>
    <row r="61" customFormat="false" ht="12.8" hidden="false" customHeight="false" outlineLevel="0" collapsed="false">
      <c r="B61" s="2"/>
    </row>
    <row r="62" customFormat="false" ht="12.8" hidden="false" customHeight="false" outlineLevel="0" collapsed="false">
      <c r="B62" s="2"/>
    </row>
    <row r="63" customFormat="false" ht="12.8" hidden="false" customHeight="false" outlineLevel="0" collapsed="false">
      <c r="B63" s="2"/>
    </row>
    <row r="64" customFormat="false" ht="12.8" hidden="false" customHeight="false" outlineLevel="0" collapsed="false">
      <c r="B64" s="2"/>
    </row>
    <row r="65" customFormat="false" ht="12.8" hidden="false" customHeight="false" outlineLevel="0" collapsed="false">
      <c r="B65" s="2"/>
    </row>
    <row r="66" customFormat="false" ht="12.8" hidden="false" customHeight="false" outlineLevel="0" collapsed="false">
      <c r="B66" s="2"/>
    </row>
    <row r="67" customFormat="false" ht="12.8" hidden="false" customHeight="false" outlineLevel="0" collapsed="false">
      <c r="B67" s="2"/>
    </row>
    <row r="68" customFormat="false" ht="12.8" hidden="false" customHeight="false" outlineLevel="0" collapsed="false">
      <c r="B68" s="2"/>
    </row>
    <row r="69" customFormat="false" ht="12.8" hidden="false" customHeight="false" outlineLevel="0" collapsed="false">
      <c r="B69" s="2"/>
    </row>
    <row r="70" customFormat="false" ht="12.8" hidden="false" customHeight="false" outlineLevel="0" collapsed="false">
      <c r="B70" s="2"/>
    </row>
    <row r="71" customFormat="false" ht="12.8" hidden="false" customHeight="false" outlineLevel="0" collapsed="false">
      <c r="B71" s="2"/>
    </row>
    <row r="72" customFormat="false" ht="12.8" hidden="false" customHeight="false" outlineLevel="0" collapsed="false">
      <c r="B72" s="2"/>
    </row>
    <row r="73" customFormat="false" ht="12.8" hidden="false" customHeight="false" outlineLevel="0" collapsed="false">
      <c r="B73" s="2"/>
    </row>
    <row r="74" customFormat="false" ht="12.8" hidden="false" customHeight="false" outlineLevel="0" collapsed="false">
      <c r="B74" s="2"/>
    </row>
    <row r="75" customFormat="false" ht="12.8" hidden="false" customHeight="false" outlineLevel="0" collapsed="false">
      <c r="B75" s="2"/>
    </row>
    <row r="76" customFormat="false" ht="12.8" hidden="false" customHeight="false" outlineLevel="0" collapsed="false">
      <c r="B76" s="2"/>
    </row>
    <row r="77" customFormat="false" ht="12.8" hidden="false" customHeight="false" outlineLevel="0" collapsed="false">
      <c r="B77" s="2"/>
    </row>
    <row r="78" customFormat="false" ht="12.8" hidden="false" customHeight="false" outlineLevel="0" collapsed="false">
      <c r="B78" s="2"/>
    </row>
    <row r="79" customFormat="false" ht="12.8" hidden="false" customHeight="false" outlineLevel="0" collapsed="false">
      <c r="B79" s="2"/>
    </row>
    <row r="80" customFormat="false" ht="12.8" hidden="false" customHeight="false" outlineLevel="0" collapsed="false">
      <c r="B80" s="2"/>
    </row>
    <row r="81" customFormat="false" ht="12.8" hidden="false" customHeight="false" outlineLevel="0" collapsed="false">
      <c r="B81" s="2"/>
    </row>
    <row r="82" customFormat="false" ht="12.8" hidden="false" customHeight="false" outlineLevel="0" collapsed="false">
      <c r="B82" s="2"/>
    </row>
    <row r="83" customFormat="false" ht="12.8" hidden="false" customHeight="false" outlineLevel="0" collapsed="false">
      <c r="B83" s="2"/>
    </row>
    <row r="84" customFormat="false" ht="12.8" hidden="false" customHeight="false" outlineLevel="0" collapsed="false">
      <c r="B84" s="2"/>
    </row>
    <row r="85" customFormat="false" ht="12.8" hidden="false" customHeight="false" outlineLevel="0" collapsed="false">
      <c r="B85" s="2"/>
    </row>
    <row r="86" customFormat="false" ht="12.8" hidden="false" customHeight="false" outlineLevel="0" collapsed="false">
      <c r="B86" s="2"/>
    </row>
    <row r="87" customFormat="false" ht="12.8" hidden="false" customHeight="false" outlineLevel="0" collapsed="false">
      <c r="B87" s="2"/>
    </row>
    <row r="88" customFormat="false" ht="12.8" hidden="false" customHeight="false" outlineLevel="0" collapsed="false">
      <c r="B88" s="2"/>
    </row>
    <row r="89" customFormat="false" ht="12.8" hidden="false" customHeight="false" outlineLevel="0" collapsed="false">
      <c r="B89" s="2"/>
    </row>
    <row r="90" customFormat="false" ht="12.8" hidden="false" customHeight="false" outlineLevel="0" collapsed="false">
      <c r="B90" s="2"/>
    </row>
    <row r="91" customFormat="false" ht="12.8" hidden="false" customHeight="false" outlineLevel="0" collapsed="false">
      <c r="B91" s="2"/>
    </row>
    <row r="92" customFormat="false" ht="12.8" hidden="false" customHeight="false" outlineLevel="0" collapsed="false">
      <c r="B92" s="2"/>
    </row>
    <row r="93" customFormat="false" ht="12.8" hidden="false" customHeight="false" outlineLevel="0" collapsed="false">
      <c r="B93" s="2"/>
    </row>
    <row r="94" customFormat="false" ht="12.8" hidden="false" customHeight="false" outlineLevel="0" collapsed="false">
      <c r="B94" s="2"/>
    </row>
    <row r="95" customFormat="false" ht="12.8" hidden="false" customHeight="false" outlineLevel="0" collapsed="false">
      <c r="B95" s="2"/>
    </row>
    <row r="96" customFormat="false" ht="12.8" hidden="false" customHeight="false" outlineLevel="0" collapsed="false">
      <c r="B96" s="2"/>
    </row>
    <row r="97" customFormat="false" ht="12.8" hidden="false" customHeight="false" outlineLevel="0" collapsed="false">
      <c r="B97" s="2"/>
    </row>
    <row r="98" customFormat="false" ht="12.8" hidden="false" customHeight="false" outlineLevel="0" collapsed="false">
      <c r="B98" s="2"/>
    </row>
    <row r="99" customFormat="false" ht="12.8" hidden="false" customHeight="false" outlineLevel="0" collapsed="false">
      <c r="B99" s="2"/>
    </row>
    <row r="100" customFormat="false" ht="12.8" hidden="false" customHeight="false" outlineLevel="0" collapsed="false">
      <c r="B100" s="2"/>
    </row>
    <row r="101" customFormat="false" ht="12.8" hidden="false" customHeight="false" outlineLevel="0" collapsed="false">
      <c r="B101" s="2"/>
    </row>
    <row r="102" customFormat="false" ht="12.8" hidden="false" customHeight="false" outlineLevel="0" collapsed="false">
      <c r="B102" s="2"/>
    </row>
    <row r="103" customFormat="false" ht="12.8" hidden="false" customHeight="false" outlineLevel="0" collapsed="false">
      <c r="B103" s="2"/>
    </row>
    <row r="104" customFormat="false" ht="12.8" hidden="false" customHeight="false" outlineLevel="0" collapsed="false">
      <c r="B104" s="2"/>
    </row>
    <row r="105" customFormat="false" ht="12.8" hidden="false" customHeight="false" outlineLevel="0" collapsed="false">
      <c r="B105" s="2"/>
    </row>
    <row r="106" customFormat="false" ht="12.8" hidden="false" customHeight="false" outlineLevel="0" collapsed="false">
      <c r="B106" s="2"/>
    </row>
    <row r="107" customFormat="false" ht="12.8" hidden="false" customHeight="false" outlineLevel="0" collapsed="false">
      <c r="B107" s="2"/>
    </row>
    <row r="108" customFormat="false" ht="12.8" hidden="false" customHeight="false" outlineLevel="0" collapsed="false">
      <c r="B108" s="2"/>
    </row>
    <row r="109" customFormat="false" ht="12.8" hidden="false" customHeight="false" outlineLevel="0" collapsed="false">
      <c r="B109" s="2"/>
    </row>
    <row r="110" customFormat="false" ht="12.8" hidden="false" customHeight="false" outlineLevel="0" collapsed="false">
      <c r="B110" s="2"/>
    </row>
    <row r="111" customFormat="false" ht="12.8" hidden="false" customHeight="false" outlineLevel="0" collapsed="false">
      <c r="B111" s="2"/>
    </row>
    <row r="112" customFormat="false" ht="12.8" hidden="false" customHeight="false" outlineLevel="0" collapsed="false">
      <c r="B112" s="2"/>
    </row>
    <row r="113" customFormat="false" ht="12.8" hidden="false" customHeight="false" outlineLevel="0" collapsed="false">
      <c r="B113" s="2"/>
    </row>
    <row r="114" customFormat="false" ht="12.8" hidden="false" customHeight="false" outlineLevel="0" collapsed="false">
      <c r="B114" s="2"/>
    </row>
    <row r="115" customFormat="false" ht="12.8" hidden="false" customHeight="false" outlineLevel="0" collapsed="false">
      <c r="B115" s="2"/>
    </row>
    <row r="116" customFormat="false" ht="12.8" hidden="false" customHeight="false" outlineLevel="0" collapsed="false">
      <c r="B116" s="2"/>
    </row>
    <row r="117" customFormat="false" ht="12.8" hidden="false" customHeight="false" outlineLevel="0" collapsed="false">
      <c r="B117" s="2"/>
    </row>
    <row r="118" customFormat="false" ht="12.8" hidden="false" customHeight="false" outlineLevel="0" collapsed="false">
      <c r="B118" s="2"/>
    </row>
    <row r="119" customFormat="false" ht="12.8" hidden="false" customHeight="false" outlineLevel="0" collapsed="false">
      <c r="B119" s="2"/>
    </row>
    <row r="120" customFormat="false" ht="12.8" hidden="false" customHeight="false" outlineLevel="0" collapsed="false">
      <c r="B120" s="2"/>
    </row>
    <row r="121" customFormat="false" ht="12.8" hidden="false" customHeight="false" outlineLevel="0" collapsed="false">
      <c r="B121" s="2"/>
    </row>
    <row r="122" customFormat="false" ht="12.8" hidden="false" customHeight="false" outlineLevel="0" collapsed="false">
      <c r="B122" s="2"/>
    </row>
    <row r="123" customFormat="false" ht="12.8" hidden="false" customHeight="false" outlineLevel="0" collapsed="false">
      <c r="B123" s="2"/>
    </row>
    <row r="124" customFormat="false" ht="12.8" hidden="false" customHeight="false" outlineLevel="0" collapsed="false">
      <c r="B124" s="2"/>
    </row>
    <row r="125" customFormat="false" ht="12.8" hidden="false" customHeight="false" outlineLevel="0" collapsed="false">
      <c r="B125" s="2"/>
    </row>
    <row r="126" customFormat="false" ht="12.8" hidden="false" customHeight="false" outlineLevel="0" collapsed="false">
      <c r="B126" s="2"/>
    </row>
    <row r="127" customFormat="false" ht="12.8" hidden="false" customHeight="false" outlineLevel="0" collapsed="false">
      <c r="B127" s="2"/>
    </row>
    <row r="128" customFormat="false" ht="12.8" hidden="false" customHeight="false" outlineLevel="0" collapsed="false">
      <c r="B128" s="2"/>
    </row>
    <row r="129" customFormat="false" ht="12.8" hidden="false" customHeight="false" outlineLevel="0" collapsed="false">
      <c r="B129" s="2"/>
    </row>
    <row r="130" customFormat="false" ht="12.8" hidden="false" customHeight="false" outlineLevel="0" collapsed="false">
      <c r="B130" s="2"/>
    </row>
    <row r="131" customFormat="false" ht="12.8" hidden="false" customHeight="false" outlineLevel="0" collapsed="false">
      <c r="B131" s="2"/>
    </row>
    <row r="132" customFormat="false" ht="12.8" hidden="false" customHeight="false" outlineLevel="0" collapsed="false">
      <c r="B132" s="2"/>
    </row>
    <row r="133" customFormat="false" ht="12.8" hidden="false" customHeight="false" outlineLevel="0" collapsed="false">
      <c r="B133" s="2"/>
    </row>
    <row r="134" customFormat="false" ht="12.8" hidden="false" customHeight="false" outlineLevel="0" collapsed="false">
      <c r="B134" s="2"/>
    </row>
    <row r="135" customFormat="false" ht="12.8" hidden="false" customHeight="false" outlineLevel="0" collapsed="false">
      <c r="B135" s="2"/>
    </row>
    <row r="136" customFormat="false" ht="12.8" hidden="false" customHeight="false" outlineLevel="0" collapsed="false">
      <c r="B136" s="2"/>
    </row>
    <row r="137" customFormat="false" ht="12.8" hidden="false" customHeight="false" outlineLevel="0" collapsed="false">
      <c r="B137" s="2"/>
    </row>
    <row r="138" customFormat="false" ht="12.8" hidden="false" customHeight="false" outlineLevel="0" collapsed="false">
      <c r="B138" s="2"/>
    </row>
    <row r="139" customFormat="false" ht="12.8" hidden="false" customHeight="false" outlineLevel="0" collapsed="false">
      <c r="B139" s="2"/>
    </row>
    <row r="140" customFormat="false" ht="12.8" hidden="false" customHeight="false" outlineLevel="0" collapsed="false">
      <c r="B140" s="2"/>
    </row>
    <row r="141" customFormat="false" ht="12.8" hidden="false" customHeight="false" outlineLevel="0" collapsed="false">
      <c r="B141" s="2"/>
    </row>
    <row r="142" customFormat="false" ht="12.8" hidden="false" customHeight="false" outlineLevel="0" collapsed="false">
      <c r="B142" s="2"/>
    </row>
    <row r="143" customFormat="false" ht="12.8" hidden="false" customHeight="false" outlineLevel="0" collapsed="false">
      <c r="B143" s="2"/>
    </row>
    <row r="144" customFormat="false" ht="12.8" hidden="false" customHeight="false" outlineLevel="0" collapsed="false">
      <c r="B144" s="2"/>
    </row>
    <row r="145" customFormat="false" ht="12.8" hidden="false" customHeight="false" outlineLevel="0" collapsed="false">
      <c r="B145" s="2"/>
    </row>
    <row r="146" customFormat="false" ht="12.8" hidden="false" customHeight="false" outlineLevel="0" collapsed="false">
      <c r="B146" s="2"/>
    </row>
    <row r="147" customFormat="false" ht="12.8" hidden="false" customHeight="false" outlineLevel="0" collapsed="false">
      <c r="B147" s="2"/>
    </row>
    <row r="148" customFormat="false" ht="12.8" hidden="false" customHeight="false" outlineLevel="0" collapsed="false">
      <c r="B148" s="2"/>
    </row>
    <row r="149" customFormat="false" ht="12.8" hidden="false" customHeight="false" outlineLevel="0" collapsed="false">
      <c r="B149" s="2"/>
    </row>
    <row r="150" customFormat="false" ht="12.8" hidden="false" customHeight="false" outlineLevel="0" collapsed="false">
      <c r="B150" s="2"/>
    </row>
    <row r="151" customFormat="false" ht="12.8" hidden="false" customHeight="false" outlineLevel="0" collapsed="false">
      <c r="B151" s="2"/>
    </row>
    <row r="152" customFormat="false" ht="12.8" hidden="false" customHeight="false" outlineLevel="0" collapsed="false">
      <c r="B152" s="2"/>
    </row>
    <row r="153" customFormat="false" ht="12.8" hidden="false" customHeight="false" outlineLevel="0" collapsed="false">
      <c r="B153" s="2"/>
    </row>
    <row r="154" customFormat="false" ht="12.8" hidden="false" customHeight="false" outlineLevel="0" collapsed="false">
      <c r="B154" s="2"/>
    </row>
    <row r="155" customFormat="false" ht="12.8" hidden="false" customHeight="false" outlineLevel="0" collapsed="false">
      <c r="B155" s="2"/>
    </row>
    <row r="156" customFormat="false" ht="12.8" hidden="false" customHeight="false" outlineLevel="0" collapsed="false">
      <c r="B156" s="2"/>
    </row>
    <row r="157" customFormat="false" ht="12.8" hidden="false" customHeight="false" outlineLevel="0" collapsed="false">
      <c r="B157" s="2"/>
    </row>
    <row r="158" customFormat="false" ht="12.8" hidden="false" customHeight="false" outlineLevel="0" collapsed="false">
      <c r="B158" s="2"/>
    </row>
    <row r="159" customFormat="false" ht="12.8" hidden="false" customHeight="false" outlineLevel="0" collapsed="false">
      <c r="B159" s="2"/>
    </row>
    <row r="160" customFormat="false" ht="12.8" hidden="false" customHeight="false" outlineLevel="0" collapsed="false">
      <c r="B160" s="2"/>
    </row>
    <row r="161" customFormat="false" ht="12.8" hidden="false" customHeight="false" outlineLevel="0" collapsed="false">
      <c r="B161" s="2"/>
    </row>
    <row r="162" customFormat="false" ht="12.8" hidden="false" customHeight="false" outlineLevel="0" collapsed="false">
      <c r="B162" s="2"/>
    </row>
    <row r="163" customFormat="false" ht="12.8" hidden="false" customHeight="false" outlineLevel="0" collapsed="false">
      <c r="B163" s="2"/>
    </row>
    <row r="164" customFormat="false" ht="12.8" hidden="false" customHeight="false" outlineLevel="0" collapsed="false">
      <c r="B164" s="2"/>
    </row>
    <row r="165" customFormat="false" ht="12.8" hidden="false" customHeight="false" outlineLevel="0" collapsed="false">
      <c r="B165" s="2"/>
    </row>
    <row r="166" customFormat="false" ht="12.8" hidden="false" customHeight="false" outlineLevel="0" collapsed="false">
      <c r="B166" s="2"/>
    </row>
    <row r="167" customFormat="false" ht="12.8" hidden="false" customHeight="false" outlineLevel="0" collapsed="false">
      <c r="B167" s="2"/>
    </row>
    <row r="168" customFormat="false" ht="12.8" hidden="false" customHeight="false" outlineLevel="0" collapsed="false">
      <c r="B168" s="2"/>
    </row>
    <row r="169" customFormat="false" ht="12.8" hidden="false" customHeight="false" outlineLevel="0" collapsed="false">
      <c r="B169" s="2"/>
    </row>
    <row r="170" customFormat="false" ht="12.8" hidden="false" customHeight="false" outlineLevel="0" collapsed="false">
      <c r="B170" s="2"/>
    </row>
    <row r="171" customFormat="false" ht="12.8" hidden="false" customHeight="false" outlineLevel="0" collapsed="false">
      <c r="B171" s="2"/>
    </row>
    <row r="172" customFormat="false" ht="12.8" hidden="false" customHeight="false" outlineLevel="0" collapsed="false">
      <c r="B172" s="2"/>
    </row>
    <row r="173" customFormat="false" ht="12.8" hidden="false" customHeight="false" outlineLevel="0" collapsed="false">
      <c r="B173" s="2"/>
    </row>
    <row r="174" customFormat="false" ht="12.8" hidden="false" customHeight="false" outlineLevel="0" collapsed="false">
      <c r="B174" s="2"/>
    </row>
    <row r="175" customFormat="false" ht="12.8" hidden="false" customHeight="false" outlineLevel="0" collapsed="false">
      <c r="B17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F11" activeCellId="0" sqref="F11:G1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3" min="3" style="4" width="19.32"/>
    <col collapsed="false" customWidth="true" hidden="false" outlineLevel="0" max="5" min="5" style="4" width="20.4"/>
    <col collapsed="false" customWidth="true" hidden="false" outlineLevel="0" max="6" min="6" style="4" width="19.32"/>
    <col collapsed="false" customWidth="true" hidden="false" outlineLevel="0" max="9" min="8" style="4" width="21.95"/>
    <col collapsed="false" customWidth="true" hidden="false" outlineLevel="0" max="10" min="10" style="4" width="19.32"/>
  </cols>
  <sheetData>
    <row r="2" customFormat="false" ht="12.8" hidden="false" customHeight="true" outlineLevel="0" collapsed="false">
      <c r="B2" s="13" t="s">
        <v>111</v>
      </c>
      <c r="C2" s="13"/>
    </row>
    <row r="3" customFormat="false" ht="12.8" hidden="false" customHeight="false" outlineLevel="0" collapsed="false">
      <c r="B3" s="12" t="s">
        <v>112</v>
      </c>
      <c r="C3" s="12" t="s">
        <v>113</v>
      </c>
      <c r="E3" s="12" t="s">
        <v>114</v>
      </c>
      <c r="F3" s="12" t="s">
        <v>115</v>
      </c>
      <c r="G3" s="12" t="s">
        <v>116</v>
      </c>
      <c r="H3" s="12" t="s">
        <v>117</v>
      </c>
      <c r="I3" s="12" t="s">
        <v>118</v>
      </c>
      <c r="J3" s="12" t="s">
        <v>119</v>
      </c>
    </row>
    <row r="4" customFormat="false" ht="12.8" hidden="false" customHeight="false" outlineLevel="0" collapsed="false">
      <c r="A4" s="12" t="n">
        <v>1</v>
      </c>
      <c r="B4" s="2" t="n">
        <v>0.826465743120003</v>
      </c>
      <c r="C4" s="10" t="n">
        <v>0.814239110206597</v>
      </c>
      <c r="E4" s="12" t="n">
        <f aca="false">_xlfn.STDEV.S(B4:B28)</f>
        <v>0.0451266752119654</v>
      </c>
      <c r="F4" s="12" t="n">
        <f aca="false">_xlfn.STDEV.S(C4:C28)</f>
        <v>0.115777622594574</v>
      </c>
      <c r="G4" s="12" t="n">
        <f aca="false">_xlfn.F.TEST(B4:B28,C4:C28)</f>
        <v>1.80757993000776E-005</v>
      </c>
      <c r="H4" s="12" t="n">
        <f aca="false">_xlfn.T.TEST(B4:B28, C4:C28, 2,2)</f>
        <v>3.49397515390277E-011</v>
      </c>
      <c r="I4" s="12" t="n">
        <f aca="false">_xlfn.T.TEST(B4:B28,C4:C28, 2,3)</f>
        <v>1.18712518621984E-009</v>
      </c>
      <c r="J4" s="12" t="n">
        <f aca="false">AVERAGE(B4:B28)-AVERAGE(C4:C28)</f>
        <v>0.212052290864327</v>
      </c>
    </row>
    <row r="5" customFormat="false" ht="12.8" hidden="false" customHeight="false" outlineLevel="0" collapsed="false">
      <c r="A5" s="12" t="n">
        <v>2</v>
      </c>
      <c r="B5" s="2" t="n">
        <v>0.760295791016544</v>
      </c>
      <c r="C5" s="10" t="n">
        <v>0.490374312148473</v>
      </c>
    </row>
    <row r="6" customFormat="false" ht="12.8" hidden="false" customHeight="false" outlineLevel="0" collapsed="false">
      <c r="A6" s="12" t="n">
        <v>3</v>
      </c>
      <c r="B6" s="2" t="n">
        <v>0.745513104503565</v>
      </c>
      <c r="C6" s="10" t="n">
        <v>0.511020333673144</v>
      </c>
    </row>
    <row r="7" customFormat="false" ht="12.8" hidden="false" customHeight="false" outlineLevel="0" collapsed="false">
      <c r="A7" s="12" t="n">
        <v>4</v>
      </c>
      <c r="B7" s="2" t="n">
        <v>0.740237977344109</v>
      </c>
      <c r="C7" s="10" t="n">
        <v>0.732127465170909</v>
      </c>
      <c r="E7" s="14" t="s">
        <v>120</v>
      </c>
    </row>
    <row r="8" customFormat="false" ht="12.8" hidden="false" customHeight="false" outlineLevel="0" collapsed="false">
      <c r="A8" s="12" t="n">
        <v>5</v>
      </c>
      <c r="B8" s="2" t="n">
        <v>0.701417807349544</v>
      </c>
      <c r="C8" s="10" t="n">
        <v>0.504587895177563</v>
      </c>
      <c r="E8" s="4" t="s">
        <v>121</v>
      </c>
      <c r="F8" s="4" t="n">
        <v>0.05</v>
      </c>
    </row>
    <row r="9" customFormat="false" ht="19.4" hidden="false" customHeight="false" outlineLevel="0" collapsed="false">
      <c r="A9" s="12" t="n">
        <v>6</v>
      </c>
      <c r="B9" s="2" t="n">
        <v>0.764412269319662</v>
      </c>
      <c r="C9" s="10" t="n">
        <v>0.622216951394874</v>
      </c>
      <c r="E9" s="4" t="s">
        <v>122</v>
      </c>
      <c r="F9" s="4" t="n">
        <v>0</v>
      </c>
    </row>
    <row r="10" customFormat="false" ht="12.8" hidden="false" customHeight="false" outlineLevel="0" collapsed="false">
      <c r="A10" s="12" t="n">
        <v>7</v>
      </c>
      <c r="B10" s="2" t="n">
        <v>0.704629188099325</v>
      </c>
      <c r="C10" s="10" t="n">
        <v>0.568213401724064</v>
      </c>
      <c r="F10" s="14" t="s">
        <v>123</v>
      </c>
      <c r="G10" s="15" t="s">
        <v>124</v>
      </c>
    </row>
    <row r="11" customFormat="false" ht="12.8" hidden="false" customHeight="false" outlineLevel="0" collapsed="false">
      <c r="A11" s="12" t="n">
        <v>8</v>
      </c>
      <c r="B11" s="2" t="n">
        <v>0.77201186291984</v>
      </c>
      <c r="C11" s="10" t="n">
        <v>0.41336820596451</v>
      </c>
      <c r="E11" s="4" t="s">
        <v>125</v>
      </c>
      <c r="F11" s="4" t="n">
        <f aca="false">AVERAGE(inter_system_stats!$B$3:$B$28)</f>
        <v>0.749066350931911</v>
      </c>
      <c r="G11" s="0" t="n">
        <f aca="false">AVERAGE(inter_system_stats!$C$3:$C$28)</f>
        <v>0.537014060067584</v>
      </c>
    </row>
    <row r="12" customFormat="false" ht="12.8" hidden="false" customHeight="false" outlineLevel="0" collapsed="false">
      <c r="A12" s="12" t="n">
        <v>9</v>
      </c>
      <c r="B12" s="2" t="n">
        <v>0.72188407789367</v>
      </c>
      <c r="C12" s="10" t="n">
        <v>0.469619098748715</v>
      </c>
      <c r="E12" s="4" t="s">
        <v>126</v>
      </c>
      <c r="F12" s="4" t="n">
        <f aca="false">VAR(inter_system_stats!$B$3:$B$28)</f>
        <v>0.00203641681568622</v>
      </c>
      <c r="G12" s="0" t="n">
        <f aca="false">VAR(inter_system_stats!$C$3:$C$28)</f>
        <v>0.0134044578936517</v>
      </c>
    </row>
    <row r="13" customFormat="false" ht="12.8" hidden="false" customHeight="false" outlineLevel="0" collapsed="false">
      <c r="A13" s="12" t="n">
        <v>10</v>
      </c>
      <c r="B13" s="2" t="n">
        <v>0.801799093845666</v>
      </c>
      <c r="C13" s="10" t="n">
        <v>0.702597542452374</v>
      </c>
      <c r="E13" s="4" t="s">
        <v>127</v>
      </c>
      <c r="F13" s="4" t="n">
        <f aca="false">COUNT(inter_system_stats!$B$3:$B$28)</f>
        <v>25</v>
      </c>
      <c r="G13" s="0" t="n">
        <f aca="false">COUNT(inter_system_stats!$C$3:$C$28)</f>
        <v>25</v>
      </c>
    </row>
    <row r="14" customFormat="false" ht="12.8" hidden="false" customHeight="false" outlineLevel="0" collapsed="false">
      <c r="A14" s="12" t="n">
        <v>11</v>
      </c>
      <c r="B14" s="2" t="n">
        <v>0.82639186986707</v>
      </c>
      <c r="C14" s="10" t="n">
        <v>0.535746887825282</v>
      </c>
      <c r="E14" s="4" t="s">
        <v>128</v>
      </c>
      <c r="F14" s="4" t="n">
        <f aca="false">CORREL(inter_system_stats!$B$3:$B$28,inter_system_stats!$C$3:$C$28)</f>
        <v>0.302818494182782</v>
      </c>
    </row>
    <row r="15" customFormat="false" ht="19.4" hidden="false" customHeight="false" outlineLevel="0" collapsed="false">
      <c r="A15" s="12" t="n">
        <v>12</v>
      </c>
      <c r="B15" s="2" t="n">
        <v>0.74557662237038</v>
      </c>
      <c r="C15" s="10" t="n">
        <v>0.616806330672693</v>
      </c>
      <c r="E15" s="4" t="s">
        <v>129</v>
      </c>
      <c r="F15" s="4" t="n">
        <f aca="false" t="array" ref="F15:F15">AVERAGE(IF(ISODD(IF(ISNUMBER(inter_system_stats!$B$3:$B$28), 1, 0) * IF(ISNUMBER(inter_system_stats!$C$3:$C$28), 1, 0)), inter_system_stats!$B$3:$B$28 - inter_system_stats!$C$3:$C$28, "NA"))</f>
        <v>0.212052290864328</v>
      </c>
    </row>
    <row r="16" customFormat="false" ht="19.4" hidden="false" customHeight="false" outlineLevel="0" collapsed="false">
      <c r="A16" s="12" t="n">
        <v>13</v>
      </c>
      <c r="B16" s="2" t="n">
        <v>0.739304791041697</v>
      </c>
      <c r="C16" s="10" t="n">
        <v>0.526308913298082</v>
      </c>
      <c r="E16" s="4" t="s">
        <v>130</v>
      </c>
      <c r="F16" s="4" t="n">
        <f aca="false" t="array" ref="F16:F16">VAR(IF(ISODD(IF(ISNUMBER(inter_system_stats!$B$3:$B$28), 1, 0) * IF(ISNUMBER(inter_system_stats!$C$3:$C$28), 1, 0)), inter_system_stats!$B$3:$B$28 - inter_system_stats!$C$3:$C$28, "NA"))</f>
        <v>0.01227662786339</v>
      </c>
    </row>
    <row r="17" customFormat="false" ht="12.8" hidden="false" customHeight="false" outlineLevel="0" collapsed="false">
      <c r="A17" s="12" t="n">
        <v>14</v>
      </c>
      <c r="B17" s="2" t="n">
        <v>0.716775890381091</v>
      </c>
      <c r="C17" s="10" t="n">
        <v>0.427683818632696</v>
      </c>
      <c r="E17" s="4" t="s">
        <v>131</v>
      </c>
      <c r="F17" s="4" t="n">
        <f aca="false" t="array" ref="F17:F17">SUM(IF(ISNUMBER(inter_system_stats!$B$3:$B$28), 1, 0) * IF(ISNUMBER(inter_system_stats!$C$3:$C$28), 1, 0)) - 1</f>
        <v>24</v>
      </c>
    </row>
    <row r="18" customFormat="false" ht="12.8" hidden="false" customHeight="false" outlineLevel="0" collapsed="false">
      <c r="A18" s="12" t="n">
        <v>15</v>
      </c>
      <c r="B18" s="2" t="n">
        <v>0.72335469896996</v>
      </c>
      <c r="C18" s="10" t="n">
        <v>0.575658160345531</v>
      </c>
      <c r="E18" s="4" t="s">
        <v>132</v>
      </c>
      <c r="F18" s="4" t="n">
        <f aca="false">(inter_system_stats!$F$15 - inter_system_stats!$F$9) / (inter_system_stats!$F$16 / ( inter_system_stats!$F$17 + 1)) ^ 0.5</f>
        <v>9.56915142965674</v>
      </c>
    </row>
    <row r="19" customFormat="false" ht="12.8" hidden="false" customHeight="false" outlineLevel="0" collapsed="false">
      <c r="A19" s="12" t="n">
        <v>16</v>
      </c>
      <c r="B19" s="2" t="n">
        <v>0.74148150305735</v>
      </c>
      <c r="C19" s="10" t="n">
        <v>0.577045877569951</v>
      </c>
      <c r="E19" s="4" t="s">
        <v>133</v>
      </c>
      <c r="F19" s="4" t="n">
        <f aca="false">TDIST(ABS(inter_system_stats!$F$18), inter_system_stats!$F$17, 1)</f>
        <v>5.76768192067342E-010</v>
      </c>
    </row>
    <row r="20" customFormat="false" ht="12.8" hidden="false" customHeight="false" outlineLevel="0" collapsed="false">
      <c r="A20" s="12" t="n">
        <v>17</v>
      </c>
      <c r="B20" s="2" t="n">
        <v>0.782813226803677</v>
      </c>
      <c r="C20" s="10" t="n">
        <v>0.651295774227774</v>
      </c>
      <c r="E20" s="4" t="s">
        <v>134</v>
      </c>
      <c r="F20" s="4" t="n">
        <f aca="false">TINV(2*inter_system_stats!$F$8, inter_system_stats!$F$17)</f>
        <v>1.71088207990943</v>
      </c>
    </row>
    <row r="21" customFormat="false" ht="12.8" hidden="false" customHeight="false" outlineLevel="0" collapsed="false">
      <c r="A21" s="12" t="n">
        <v>18</v>
      </c>
      <c r="B21" s="2" t="n">
        <v>0.683924726356955</v>
      </c>
      <c r="C21" s="10" t="n">
        <v>0.599275891539331</v>
      </c>
      <c r="E21" s="4" t="s">
        <v>135</v>
      </c>
      <c r="F21" s="4" t="n">
        <f aca="false">TDIST(ABS(inter_system_stats!$F$18), inter_system_stats!$F$17, 2)</f>
        <v>1.15353638413468E-009</v>
      </c>
    </row>
    <row r="22" customFormat="false" ht="12.8" hidden="false" customHeight="false" outlineLevel="0" collapsed="false">
      <c r="A22" s="12" t="n">
        <v>19</v>
      </c>
      <c r="B22" s="2" t="n">
        <v>0.741861628869437</v>
      </c>
      <c r="C22" s="10" t="n">
        <v>0.50621471844151</v>
      </c>
      <c r="E22" s="4" t="s">
        <v>136</v>
      </c>
      <c r="F22" s="4" t="n">
        <f aca="false">TINV(inter_system_stats!$F$8, inter_system_stats!$F$17)</f>
        <v>2.06389856162803</v>
      </c>
    </row>
    <row r="23" customFormat="false" ht="12.8" hidden="false" customHeight="false" outlineLevel="0" collapsed="false">
      <c r="A23" s="12" t="n">
        <v>20</v>
      </c>
      <c r="B23" s="2" t="n">
        <v>0.861291025455911</v>
      </c>
      <c r="C23" s="10" t="n">
        <v>0.478099594542392</v>
      </c>
    </row>
    <row r="24" customFormat="false" ht="12.8" hidden="false" customHeight="false" outlineLevel="0" collapsed="false">
      <c r="A24" s="12" t="n">
        <v>21</v>
      </c>
      <c r="B24" s="2" t="n">
        <v>0.726997779119958</v>
      </c>
      <c r="C24" s="10" t="n">
        <v>0.382151937725075</v>
      </c>
    </row>
    <row r="25" customFormat="false" ht="12.8" hidden="false" customHeight="false" outlineLevel="0" collapsed="false">
      <c r="A25" s="12" t="n">
        <v>22</v>
      </c>
      <c r="B25" s="2" t="n">
        <v>0.665221956623617</v>
      </c>
      <c r="C25" s="10" t="n">
        <v>0.428068760639408</v>
      </c>
    </row>
    <row r="26" customFormat="false" ht="12.8" hidden="false" customHeight="false" outlineLevel="0" collapsed="false">
      <c r="A26" s="12" t="n">
        <v>23</v>
      </c>
      <c r="B26" s="2" t="n">
        <v>0.761746926827647</v>
      </c>
      <c r="C26" s="10" t="n">
        <v>0.344371087443739</v>
      </c>
    </row>
    <row r="27" customFormat="false" ht="12.8" hidden="false" customHeight="false" outlineLevel="0" collapsed="false">
      <c r="A27" s="12" t="n">
        <v>24</v>
      </c>
      <c r="B27" s="2" t="n">
        <v>0.746216792553118</v>
      </c>
      <c r="C27" s="10" t="n">
        <v>0.582850658814915</v>
      </c>
    </row>
    <row r="28" customFormat="false" ht="12.8" hidden="false" customHeight="false" outlineLevel="0" collapsed="false">
      <c r="A28" s="12" t="n">
        <v>25</v>
      </c>
      <c r="B28" s="2" t="n">
        <v>0.725032419587978</v>
      </c>
      <c r="C28" s="10" t="n">
        <v>0.365408773309983</v>
      </c>
    </row>
    <row r="33" customFormat="false" ht="26.85" hidden="false" customHeight="true" outlineLevel="0" collapsed="false">
      <c r="B33" s="13" t="s">
        <v>111</v>
      </c>
      <c r="C33" s="13"/>
      <c r="D33" s="13"/>
    </row>
    <row r="34" customFormat="false" ht="19.4" hidden="false" customHeight="false" outlineLevel="0" collapsed="false">
      <c r="B34" s="12" t="s">
        <v>137</v>
      </c>
      <c r="C34" s="12" t="s">
        <v>138</v>
      </c>
      <c r="D34" s="12" t="s">
        <v>112</v>
      </c>
      <c r="F34" s="14" t="s">
        <v>139</v>
      </c>
    </row>
    <row r="35" customFormat="false" ht="12.8" hidden="false" customHeight="false" outlineLevel="0" collapsed="false">
      <c r="B35" s="4" t="n">
        <v>0.825587383221469</v>
      </c>
      <c r="C35" s="12" t="n">
        <v>0.842837131615738</v>
      </c>
      <c r="D35" s="2" t="n">
        <v>0.826465743120003</v>
      </c>
      <c r="F35" s="4" t="s">
        <v>121</v>
      </c>
      <c r="G35" s="4" t="n">
        <v>0.05</v>
      </c>
    </row>
    <row r="36" customFormat="false" ht="12.8" hidden="false" customHeight="false" outlineLevel="0" collapsed="false">
      <c r="B36" s="4" t="n">
        <v>0.784325401049142</v>
      </c>
      <c r="C36" s="12" t="n">
        <v>0.75574434703051</v>
      </c>
      <c r="D36" s="2" t="n">
        <v>0.760295791016544</v>
      </c>
    </row>
    <row r="37" customFormat="false" ht="12.8" hidden="false" customHeight="false" outlineLevel="0" collapsed="false">
      <c r="B37" s="4" t="n">
        <v>0.74701543366489</v>
      </c>
      <c r="C37" s="12" t="n">
        <v>0.75246138552499</v>
      </c>
      <c r="D37" s="2" t="n">
        <v>0.745513104503565</v>
      </c>
      <c r="F37" s="4" t="s">
        <v>140</v>
      </c>
      <c r="G37" s="4" t="s">
        <v>141</v>
      </c>
      <c r="H37" s="4" t="s">
        <v>142</v>
      </c>
      <c r="I37" s="4" t="s">
        <v>125</v>
      </c>
      <c r="J37" s="4" t="s">
        <v>126</v>
      </c>
    </row>
    <row r="38" customFormat="false" ht="12.8" hidden="false" customHeight="false" outlineLevel="0" collapsed="false">
      <c r="B38" s="4" t="n">
        <v>0.742572987280356</v>
      </c>
      <c r="C38" s="12" t="n">
        <v>0.755239937675953</v>
      </c>
      <c r="D38" s="2" t="n">
        <v>0.740237977344109</v>
      </c>
      <c r="F38" s="4" t="s">
        <v>143</v>
      </c>
      <c r="G38" s="4" t="n">
        <f aca="false">COUNT(inter_system_stats!$B$34:$B$59)</f>
        <v>25</v>
      </c>
      <c r="H38" s="4" t="n">
        <f aca="false">SUM(inter_system_stats!$B$34:$B$59)</f>
        <v>18.8111044590845</v>
      </c>
      <c r="I38" s="4" t="n">
        <f aca="false">AVERAGE(inter_system_stats!$B$34:$B$59)</f>
        <v>0.752444178363381</v>
      </c>
      <c r="J38" s="4" t="n">
        <f aca="false">VAR(inter_system_stats!$B$34:$B$59)</f>
        <v>0.00231810364606429</v>
      </c>
    </row>
    <row r="39" customFormat="false" ht="12.8" hidden="false" customHeight="false" outlineLevel="0" collapsed="false">
      <c r="B39" s="4" t="n">
        <v>0.638291604257815</v>
      </c>
      <c r="C39" s="12" t="n">
        <v>0.68196906691827</v>
      </c>
      <c r="D39" s="2" t="n">
        <v>0.701417807349544</v>
      </c>
      <c r="F39" s="4" t="s">
        <v>144</v>
      </c>
      <c r="G39" s="4" t="n">
        <f aca="false">COUNT(inter_system_stats!$C$34:$C$59)</f>
        <v>25</v>
      </c>
      <c r="H39" s="4" t="n">
        <f aca="false">SUM(inter_system_stats!$C$34:$C$59)</f>
        <v>18.8051590677053</v>
      </c>
      <c r="I39" s="4" t="n">
        <f aca="false">AVERAGE(inter_system_stats!$C$34:$C$59)</f>
        <v>0.752206362708213</v>
      </c>
      <c r="J39" s="4" t="n">
        <f aca="false">VAR(inter_system_stats!$C$34:$C$59)</f>
        <v>0.00202400865138334</v>
      </c>
    </row>
    <row r="40" customFormat="false" ht="12.8" hidden="false" customHeight="false" outlineLevel="0" collapsed="false">
      <c r="B40" s="4" t="n">
        <v>0.770021861028678</v>
      </c>
      <c r="C40" s="12" t="n">
        <v>0.805094582904182</v>
      </c>
      <c r="D40" s="2" t="n">
        <v>0.764412269319662</v>
      </c>
      <c r="F40" s="4" t="s">
        <v>145</v>
      </c>
      <c r="G40" s="4" t="n">
        <f aca="false">COUNT(inter_system_stats!$D$34:$D$59)</f>
        <v>25</v>
      </c>
      <c r="H40" s="4" t="n">
        <f aca="false">SUM(inter_system_stats!$D$34:$D$59)</f>
        <v>18.7266587732978</v>
      </c>
      <c r="I40" s="4" t="n">
        <f aca="false">AVERAGE(inter_system_stats!$D$34:$D$59)</f>
        <v>0.749066350931911</v>
      </c>
      <c r="J40" s="4" t="n">
        <f aca="false">VAR(inter_system_stats!$D$34:$D$59)</f>
        <v>0.00203641681568621</v>
      </c>
    </row>
    <row r="41" customFormat="false" ht="12.8" hidden="false" customHeight="false" outlineLevel="0" collapsed="false">
      <c r="B41" s="4" t="n">
        <v>0.776708177030339</v>
      </c>
      <c r="C41" s="12" t="n">
        <v>0.731449097356676</v>
      </c>
      <c r="D41" s="2" t="n">
        <v>0.704629188099325</v>
      </c>
    </row>
    <row r="42" customFormat="false" ht="12.8" hidden="false" customHeight="false" outlineLevel="0" collapsed="false">
      <c r="B42" s="4" t="n">
        <v>0.766895136055456</v>
      </c>
      <c r="C42" s="12" t="n">
        <v>0.798699397007465</v>
      </c>
      <c r="D42" s="2" t="n">
        <v>0.77201186291984</v>
      </c>
      <c r="F42" s="4" t="s">
        <v>146</v>
      </c>
      <c r="G42" s="4" t="s">
        <v>147</v>
      </c>
      <c r="H42" s="4" t="s">
        <v>131</v>
      </c>
      <c r="I42" s="4" t="s">
        <v>148</v>
      </c>
      <c r="J42" s="4" t="s">
        <v>149</v>
      </c>
      <c r="K42" s="4" t="s">
        <v>150</v>
      </c>
      <c r="L42" s="4" t="s">
        <v>151</v>
      </c>
    </row>
    <row r="43" customFormat="false" ht="12.8" hidden="false" customHeight="false" outlineLevel="0" collapsed="false">
      <c r="B43" s="4" t="n">
        <v>0.726865282761305</v>
      </c>
      <c r="C43" s="12" t="n">
        <v>0.751181065835833</v>
      </c>
      <c r="D43" s="2" t="n">
        <v>0.72188407789367</v>
      </c>
      <c r="F43" s="4" t="s">
        <v>152</v>
      </c>
      <c r="G43" s="4" t="n">
        <f aca="false">SUMPRODUCT(inter_system_stats!$H$38:$H$40,inter_system_stats!$I$38:$I$40)-SUM(inter_system_stats!$H$38:$H$40)^2/SUM(inter_system_stats!$G$38:$G$40)</f>
        <v>0.000177716236642311</v>
      </c>
      <c r="H43" s="4" t="n">
        <f aca="false">COUNT(inter_system_stats!$H$38:$H$40)-1</f>
        <v>2</v>
      </c>
      <c r="I43" s="4" t="n">
        <f aca="false">inter_system_stats!$G$43 / inter_system_stats!$H$43</f>
        <v>8.88581183211556E-005</v>
      </c>
      <c r="J43" s="4" t="n">
        <f aca="false">inter_system_stats!$I$43 / inter_system_stats!$I$44</f>
        <v>0.0417924493618084</v>
      </c>
      <c r="K43" s="4" t="n">
        <f aca="false">FDIST(inter_system_stats!$J$43, inter_system_stats!$H$43, inter_system_stats!$H$44)</f>
        <v>0.959092063081538</v>
      </c>
      <c r="L43" s="4" t="n">
        <f aca="false">FINV(inter_system_stats!$G$35, inter_system_stats!$H$43, inter_system_stats!$H$44)</f>
        <v>3.12390744854578</v>
      </c>
    </row>
    <row r="44" customFormat="false" ht="12.8" hidden="false" customHeight="false" outlineLevel="0" collapsed="false">
      <c r="B44" s="4" t="n">
        <v>0.76670385944117</v>
      </c>
      <c r="C44" s="12" t="n">
        <v>0.780317010541866</v>
      </c>
      <c r="D44" s="2" t="n">
        <v>0.801799093845666</v>
      </c>
      <c r="F44" s="4" t="s">
        <v>153</v>
      </c>
      <c r="G44" s="4" t="n">
        <f aca="false">SUM(DEVSQ(inter_system_stats!$B$34:$B$59),DEVSQ(inter_system_stats!$C$34:$C$59),DEVSQ(inter_system_stats!$D$34:$D$59))</f>
        <v>0.153084698715212</v>
      </c>
      <c r="H44" s="4" t="n">
        <f aca="false">SUM(inter_system_stats!$G$38:$G$40)-COUNT(inter_system_stats!$G$38:$G$40)</f>
        <v>72</v>
      </c>
      <c r="I44" s="4" t="n">
        <f aca="false">inter_system_stats!$G$44 / inter_system_stats!$H$44</f>
        <v>0.00212617637104461</v>
      </c>
    </row>
    <row r="45" customFormat="false" ht="12.8" hidden="false" customHeight="false" outlineLevel="0" collapsed="false">
      <c r="B45" s="4" t="n">
        <v>0.826512142391129</v>
      </c>
      <c r="C45" s="12" t="n">
        <v>0.788964918757002</v>
      </c>
      <c r="D45" s="2" t="n">
        <v>0.82639186986707</v>
      </c>
      <c r="F45" s="4" t="s">
        <v>154</v>
      </c>
      <c r="G45" s="4" t="n">
        <f aca="false">DEVSQ(inter_system_stats!$B$34:$B$59,inter_system_stats!$C$34:$C$59,inter_system_stats!$D$34:$D$59)</f>
        <v>0.153262414951862</v>
      </c>
      <c r="H45" s="4" t="n">
        <f aca="false">SUM(inter_system_stats!$G$38:$G$40) - 1</f>
        <v>74</v>
      </c>
    </row>
    <row r="46" customFormat="false" ht="12.8" hidden="false" customHeight="false" outlineLevel="0" collapsed="false">
      <c r="B46" s="4" t="n">
        <v>0.762736139690589</v>
      </c>
      <c r="C46" s="12" t="n">
        <v>0.744429655439828</v>
      </c>
      <c r="D46" s="2" t="n">
        <v>0.74557662237038</v>
      </c>
    </row>
    <row r="47" customFormat="false" ht="12.8" hidden="false" customHeight="false" outlineLevel="0" collapsed="false">
      <c r="B47" s="4" t="n">
        <v>0.710160103406143</v>
      </c>
      <c r="C47" s="12" t="n">
        <v>0.764347939487069</v>
      </c>
      <c r="D47" s="2" t="n">
        <v>0.739304791041697</v>
      </c>
    </row>
    <row r="48" customFormat="false" ht="12.8" hidden="false" customHeight="false" outlineLevel="0" collapsed="false">
      <c r="B48" s="4" t="n">
        <v>0.734376384357835</v>
      </c>
      <c r="C48" s="12" t="n">
        <v>0.716647920997565</v>
      </c>
      <c r="D48" s="2" t="n">
        <v>0.716775890381091</v>
      </c>
    </row>
    <row r="49" customFormat="false" ht="12.8" hidden="false" customHeight="false" outlineLevel="0" collapsed="false">
      <c r="B49" s="4" t="n">
        <v>0.756542240061655</v>
      </c>
      <c r="C49" s="12" t="n">
        <v>0.761929247616581</v>
      </c>
      <c r="D49" s="2" t="n">
        <v>0.72335469896996</v>
      </c>
    </row>
    <row r="50" customFormat="false" ht="12.8" hidden="false" customHeight="false" outlineLevel="0" collapsed="false">
      <c r="B50" s="4" t="n">
        <v>0.773732018127407</v>
      </c>
      <c r="C50" s="12" t="n">
        <v>0.742748731630287</v>
      </c>
      <c r="D50" s="2" t="n">
        <v>0.74148150305735</v>
      </c>
    </row>
    <row r="51" customFormat="false" ht="12.8" hidden="false" customHeight="false" outlineLevel="0" collapsed="false">
      <c r="B51" s="4" t="n">
        <v>0.812690613075421</v>
      </c>
      <c r="C51" s="12" t="n">
        <v>0.764209873398772</v>
      </c>
      <c r="D51" s="2" t="n">
        <v>0.782813226803677</v>
      </c>
    </row>
    <row r="52" customFormat="false" ht="12.8" hidden="false" customHeight="false" outlineLevel="0" collapsed="false">
      <c r="B52" s="4" t="n">
        <v>0.726488853152379</v>
      </c>
      <c r="C52" s="12" t="n">
        <v>0.700796274261234</v>
      </c>
      <c r="D52" s="2" t="n">
        <v>0.683924726356955</v>
      </c>
    </row>
    <row r="53" customFormat="false" ht="12.8" hidden="false" customHeight="false" outlineLevel="0" collapsed="false">
      <c r="B53" s="4" t="n">
        <v>0.763300559740396</v>
      </c>
      <c r="C53" s="12" t="n">
        <v>0.716284059047156</v>
      </c>
      <c r="D53" s="2" t="n">
        <v>0.741861628869437</v>
      </c>
    </row>
    <row r="54" customFormat="false" ht="12.8" hidden="false" customHeight="false" outlineLevel="0" collapsed="false">
      <c r="B54" s="4" t="n">
        <v>0.816538134208694</v>
      </c>
      <c r="C54" s="12" t="n">
        <v>0.839023541568098</v>
      </c>
      <c r="D54" s="2" t="n">
        <v>0.861291025455911</v>
      </c>
    </row>
    <row r="55" customFormat="false" ht="12.8" hidden="false" customHeight="false" outlineLevel="0" collapsed="false">
      <c r="B55" s="4" t="n">
        <v>0.643391428768254</v>
      </c>
      <c r="C55" s="12" t="n">
        <v>0.704024831920364</v>
      </c>
      <c r="D55" s="2" t="n">
        <v>0.726997779119958</v>
      </c>
    </row>
    <row r="56" customFormat="false" ht="12.8" hidden="false" customHeight="false" outlineLevel="0" collapsed="false">
      <c r="B56" s="4" t="n">
        <v>0.769255872522075</v>
      </c>
      <c r="C56" s="12" t="n">
        <v>0.684998594155911</v>
      </c>
      <c r="D56" s="2" t="n">
        <v>0.665221956623617</v>
      </c>
    </row>
    <row r="57" customFormat="false" ht="12.8" hidden="false" customHeight="false" outlineLevel="0" collapsed="false">
      <c r="B57" s="4" t="n">
        <v>0.684670543211604</v>
      </c>
      <c r="C57" s="12" t="n">
        <v>0.69681187759039</v>
      </c>
      <c r="D57" s="2" t="n">
        <v>0.761746926827647</v>
      </c>
    </row>
    <row r="58" customFormat="false" ht="12.8" hidden="false" customHeight="false" outlineLevel="0" collapsed="false">
      <c r="B58" s="4" t="n">
        <v>0.758491886581855</v>
      </c>
      <c r="C58" s="12" t="n">
        <v>0.809836609324266</v>
      </c>
      <c r="D58" s="2" t="n">
        <v>0.746216792553118</v>
      </c>
    </row>
    <row r="59" customFormat="false" ht="12.8" hidden="false" customHeight="false" outlineLevel="0" collapsed="false">
      <c r="B59" s="4" t="n">
        <v>0.727230413998473</v>
      </c>
      <c r="C59" s="12" t="n">
        <v>0.715111970099327</v>
      </c>
      <c r="D59" s="2" t="n">
        <v>0.725032419587978</v>
      </c>
    </row>
  </sheetData>
  <mergeCells count="2">
    <mergeCell ref="B2:C2"/>
    <mergeCell ref="B33:D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263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2026-02-20T14:20:05Z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
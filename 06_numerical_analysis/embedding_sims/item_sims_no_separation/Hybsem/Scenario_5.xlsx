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cen5_hybsem" sheetId="1" state="visible" r:id="rId3"/>
    <sheet name="notes" sheetId="2" state="visible" r:id="rId4"/>
    <sheet name="actdel_prompt_response" sheetId="3" state="visible" r:id="rId5"/>
    <sheet name="inter_system_sta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<sst xmlns="http://schemas.openxmlformats.org/spreadsheetml/2006/main" count="962" uniqueCount="144">
  <si>
    <t xml:space="preserve">turnId</t>
  </si>
  <si>
    <t xml:space="preserve">user_id</t>
  </si>
  <si>
    <t xml:space="preserve">assistant_id</t>
  </si>
  <si>
    <t xml:space="preserve">projectName</t>
  </si>
  <si>
    <t xml:space="preserve">sessionName</t>
  </si>
  <si>
    <t xml:space="preserve">seq</t>
  </si>
  <si>
    <t xml:space="preserve">anchorName</t>
  </si>
  <si>
    <t xml:space="preserve">weight</t>
  </si>
  <si>
    <t xml:space="preserve">promptSim</t>
  </si>
  <si>
    <t xml:space="preserve">responseSim</t>
  </si>
  <si>
    <t xml:space="preserve">activation delta</t>
  </si>
  <si>
    <t xml:space="preserve">prompt_to_response</t>
  </si>
  <si>
    <t xml:space="preserve">count</t>
  </si>
  <si>
    <t xml:space="preserve">Activation delta average</t>
  </si>
  <si>
    <t xml:space="preserve">correlation weights / activation delta</t>
  </si>
  <si>
    <t xml:space="preserve">p</t>
  </si>
  <si>
    <t xml:space="preserve">64406fd5-e206-4f2b-acf7-3e994206acc8</t>
  </si>
  <si>
    <t xml:space="preserve">cmjfcc7rc001yzca63q4fhtkq</t>
  </si>
  <si>
    <t xml:space="preserve">cmjfcdhfg002fzca6yotpk8ei</t>
  </si>
  <si>
    <t xml:space="preserve">hybrid_v3_5_semantic</t>
  </si>
  <si>
    <t xml:space="preserve">Scenario_5</t>
  </si>
  <si>
    <t xml:space="preserve">identity</t>
  </si>
  <si>
    <t xml:space="preserve">temporal_dynamics</t>
  </si>
  <si>
    <t xml:space="preserve">imagination_and_possibility</t>
  </si>
  <si>
    <t xml:space="preserve">affective_interface</t>
  </si>
  <si>
    <t xml:space="preserve">practicality_and_feasibility</t>
  </si>
  <si>
    <t xml:space="preserve">truth_and_fact</t>
  </si>
  <si>
    <t xml:space="preserve">7455051a-3913-4596-b455-5c27f289434c</t>
  </si>
  <si>
    <t xml:space="preserve">cmjfcept9002jzca66hlawohe</t>
  </si>
  <si>
    <t xml:space="preserve">cmjfcfcu80030zca6oecz16z7</t>
  </si>
  <si>
    <t xml:space="preserve">mathematics_computer_science_engineering</t>
  </si>
  <si>
    <t xml:space="preserve">metaphorical_scaffolding</t>
  </si>
  <si>
    <t xml:space="preserve">3c129ef6-6a10-48b9-b0b2-79827baa3a78</t>
  </si>
  <si>
    <t xml:space="preserve">cmjfchffy0034zca69jrba7ui</t>
  </si>
  <si>
    <t xml:space="preserve">cmjfchvsz003lzca6hdsp9n4y</t>
  </si>
  <si>
    <t xml:space="preserve">2f8d9a01-be85-4f1b-934d-74b6e205934e</t>
  </si>
  <si>
    <t xml:space="preserve">cmjfcjryl003pzca6mk5fq20i</t>
  </si>
  <si>
    <t xml:space="preserve">cmjfckije0046zca6fcfwt6ec</t>
  </si>
  <si>
    <t xml:space="preserve">freedom_and_limitations</t>
  </si>
  <si>
    <t xml:space="preserve">0bfb94fa-9cff-43ed-a1bc-9139e6875bd0</t>
  </si>
  <si>
    <t xml:space="preserve">cmjfcljiq004azca64yt4w713</t>
  </si>
  <si>
    <t xml:space="preserve">cmjfclwpl004rzca6ekgbuwbs</t>
  </si>
  <si>
    <t xml:space="preserve">18d8d1d5-c504-45a8-b904-ccdf6d14fec3</t>
  </si>
  <si>
    <t xml:space="preserve">cmjfcmb0d004vzca6cwl95lhj</t>
  </si>
  <si>
    <t xml:space="preserve">cmjfcn1ci005czca6emvgykx7</t>
  </si>
  <si>
    <t xml:space="preserve">context_dependent_expression</t>
  </si>
  <si>
    <t xml:space="preserve">8dc336e7-af7d-42c5-bccc-8ce2285ce586</t>
  </si>
  <si>
    <t xml:space="preserve">cmjfcnlpj005gzca6ncia27lx</t>
  </si>
  <si>
    <t xml:space="preserve">cmjfco2hy005xzca6e99ra8l9</t>
  </si>
  <si>
    <t xml:space="preserve">e95cb23d-ff6a-4f04-8465-9cc1cf7b7715</t>
  </si>
  <si>
    <t xml:space="preserve">cmjfcoft20061zca6jwufb03l</t>
  </si>
  <si>
    <t xml:space="preserve">cmjfcoss8006izca6u36pdcgu</t>
  </si>
  <si>
    <t xml:space="preserve">f1e153d6-e841-4146-a855-bb11a16eb695</t>
  </si>
  <si>
    <t xml:space="preserve">cmjfcp5ep006mzca6ed3g3y9q</t>
  </si>
  <si>
    <t xml:space="preserve">cmjfcplue0073zca6e8klaja3</t>
  </si>
  <si>
    <t xml:space="preserve">sovereignty</t>
  </si>
  <si>
    <t xml:space="preserve">55b3a143-09ea-4090-b670-db6c6516dd47</t>
  </si>
  <si>
    <t xml:space="preserve">cmjfcpwzs0077zca6s5z5hbqy</t>
  </si>
  <si>
    <t xml:space="preserve">cmjfcqbjc007ozca6exf61gca</t>
  </si>
  <si>
    <t xml:space="preserve">f59c15fa-0781-46be-94b5-d69020af5d9e</t>
  </si>
  <si>
    <t xml:space="preserve">cmjfcrmfr007szca6f7x193z5</t>
  </si>
  <si>
    <t xml:space="preserve">cmjfcrz070089zca64zp5jod8</t>
  </si>
  <si>
    <t xml:space="preserve">cfe6e1ae-bcbb-4127-8036-49d2ff871584</t>
  </si>
  <si>
    <t xml:space="preserve">cmjfcsobc008dzca6he102k8w</t>
  </si>
  <si>
    <t xml:space="preserve">cmjfcszgb008uzca6b5xn1334</t>
  </si>
  <si>
    <t xml:space="preserve">ed9c2a5a-c5aa-4f4d-a787-a1ab36c9d34a</t>
  </si>
  <si>
    <t xml:space="preserve">cmjfcvcsg008yzca6bviq46er</t>
  </si>
  <si>
    <t xml:space="preserve">cmjfcvy71009fzca66lz0de61</t>
  </si>
  <si>
    <t xml:space="preserve">9c710b46-5884-4be6-a84b-e279cde7e94b</t>
  </si>
  <si>
    <t xml:space="preserve">cmjfcyrm4009jzca63iktxb4r</t>
  </si>
  <si>
    <t xml:space="preserve">cmjfcz3n700a0zca6kisbdknk</t>
  </si>
  <si>
    <t xml:space="preserve">3734769a-1e2a-4a87-9ebc-2a58923cb5c3</t>
  </si>
  <si>
    <t xml:space="preserve">cmjfd1oiu00a4zca610nj00ea</t>
  </si>
  <si>
    <t xml:space="preserve">cmjfd2gse00alzca6ikweilht</t>
  </si>
  <si>
    <t xml:space="preserve">86e953c5-65c9-43d0-ab15-5dc6797aefd6</t>
  </si>
  <si>
    <t xml:space="preserve">cmjfd3je400apzca6lg711o9c</t>
  </si>
  <si>
    <t xml:space="preserve">cmjfd43hk00b6zca6mgajzzf0</t>
  </si>
  <si>
    <t xml:space="preserve">science</t>
  </si>
  <si>
    <t xml:space="preserve">d3bf8127-538d-4adb-b31a-e900a37fc8bf</t>
  </si>
  <si>
    <t xml:space="preserve">cmjfd5p3300bazca6ks1dow6f</t>
  </si>
  <si>
    <t xml:space="preserve">cmjfd60pt00brzca6pz8j1rae</t>
  </si>
  <si>
    <t xml:space="preserve">2778ab00-246b-49ae-ac67-de093703b91a</t>
  </si>
  <si>
    <t xml:space="preserve">cmjfd75qw00bvzca6c6a46uai</t>
  </si>
  <si>
    <t xml:space="preserve">cmjfd7hps00cczca62b2z552s</t>
  </si>
  <si>
    <t xml:space="preserve">5220d29f-4b38-4042-b748-bafc457e13ba</t>
  </si>
  <si>
    <t xml:space="preserve">cmjfd8atk00cgzca6xa6ylrk5</t>
  </si>
  <si>
    <t xml:space="preserve">cmjfd8qww00cxzca6afhgio6e</t>
  </si>
  <si>
    <t xml:space="preserve">92eaa5cc-f983-4c26-9182-689f44d7813d</t>
  </si>
  <si>
    <t xml:space="preserve">cmjfd9pi800d1zca68kfdz2gs</t>
  </si>
  <si>
    <t xml:space="preserve">cmjfda1xp00dizca6sg3eth1q</t>
  </si>
  <si>
    <t xml:space="preserve">5635165d-b8de-401d-ad0e-c64ff7852760</t>
  </si>
  <si>
    <t xml:space="preserve">cmjfdbcy900dmzca69jbermfx</t>
  </si>
  <si>
    <t xml:space="preserve">cmjfdbpev00e3zca6qtmtn3cq</t>
  </si>
  <si>
    <t xml:space="preserve">3464641e-9227-4c9c-b005-8248df4f94eb</t>
  </si>
  <si>
    <t xml:space="preserve">cmjfdfyym00e7zca66olzf8ez</t>
  </si>
  <si>
    <t xml:space="preserve">cmjfdgdev00eozca63rlcjvas</t>
  </si>
  <si>
    <t xml:space="preserve">23e1d0d0-adf5-4d1e-97d2-0058a5252529</t>
  </si>
  <si>
    <t xml:space="preserve">cmjfdhm4r00eszca6ls4zku77</t>
  </si>
  <si>
    <t xml:space="preserve">cmjfdi5yo00f9zca6z3mr5l9d</t>
  </si>
  <si>
    <t xml:space="preserve">10baecb3-6c74-472a-9906-760834c69f5b</t>
  </si>
  <si>
    <t xml:space="preserve">cmjfdj9fn00fdzca6inzdkkcm</t>
  </si>
  <si>
    <t xml:space="preserve">cmjfdjwvj00fuzca6mfhmjg8p</t>
  </si>
  <si>
    <t xml:space="preserve">42978fac-a1a4-4b68-b28a-4786480797c5</t>
  </si>
  <si>
    <t xml:space="preserve">cmjfdkjo000fyzca6jcbgnt1w</t>
  </si>
  <si>
    <t xml:space="preserve">cmjfdkz3i00gfzca6xstfy63b</t>
  </si>
  <si>
    <t xml:space="preserve">p calculation</t>
  </si>
  <si>
    <t xml:space="preserve">1. count</t>
  </si>
  <si>
    <t xml:space="preserve">2.  t statistic</t>
  </si>
  <si>
    <t xml:space="preserve">3. p</t>
  </si>
  <si>
    <t xml:space="preserve">Prompt-response</t>
  </si>
  <si>
    <t xml:space="preserve">Turn</t>
  </si>
  <si>
    <t xml:space="preserve">hybsem</t>
  </si>
  <si>
    <t xml:space="preserve">control</t>
  </si>
  <si>
    <t xml:space="preserve">std.hybsem</t>
  </si>
  <si>
    <t xml:space="preserve">std. Control</t>
  </si>
  <si>
    <t xml:space="preserve">F. test</t>
  </si>
  <si>
    <t xml:space="preserve">T. Test equal variances</t>
  </si>
  <si>
    <t xml:space="preserve">T.Test unequal</t>
  </si>
  <si>
    <t xml:space="preserve">Mean difference</t>
  </si>
  <si>
    <t xml:space="preserve">Average scen</t>
  </si>
  <si>
    <t xml:space="preserve">Average Control</t>
  </si>
  <si>
    <t xml:space="preserve">General</t>
  </si>
  <si>
    <t xml:space="preserve">ac15p</t>
  </si>
  <si>
    <t xml:space="preserve">hybrid</t>
  </si>
  <si>
    <t xml:space="preserve">ANOVA - Single Factor</t>
  </si>
  <si>
    <t xml:space="preserve">Alpha</t>
  </si>
  <si>
    <t xml:space="preserve">Groups</t>
  </si>
  <si>
    <t xml:space="preserve">Count</t>
  </si>
  <si>
    <t xml:space="preserve">Sum</t>
  </si>
  <si>
    <t xml:space="preserve">Mean</t>
  </si>
  <si>
    <t xml:space="preserve">Variance</t>
  </si>
  <si>
    <t xml:space="preserve">Column 1</t>
  </si>
  <si>
    <t xml:space="preserve">Column 2</t>
  </si>
  <si>
    <t xml:space="preserve">Column 3</t>
  </si>
  <si>
    <t xml:space="preserve">Source of Variation</t>
  </si>
  <si>
    <t xml:space="preserve">SS</t>
  </si>
  <si>
    <t xml:space="preserve">df</t>
  </si>
  <si>
    <t xml:space="preserve">MS</t>
  </si>
  <si>
    <t xml:space="preserve">F</t>
  </si>
  <si>
    <t xml:space="preserve">P-value</t>
  </si>
  <si>
    <t xml:space="preserve">F critical</t>
  </si>
  <si>
    <t xml:space="preserve">Between Groups</t>
  </si>
  <si>
    <t xml:space="preserve">Within Groups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</si>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</sst>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;[RED]\-0.000000"/>
  </numFmts>
  <fonts count="7">
    <font>
      <sz val="9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color rgb="FF000000"/>
      <name val="Arial"/>
      <family val="2"/>
    </font>
    <font>
      <b val="true"/>
      <sz val="9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center" vertical="center" textRotation="0" wrapText="true" indent="0" shrinkToFit="false"/>
    </xf>
  </cellStyleXfs>
  <cellXfs count="15">
    <xf numFmtId="164" fontId="0" fillId="0" borderId="0" xfId="0" applyFont="false" applyBorder="fals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dam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actdel_prompt_response!$B$3</c:f>
              <c:strCache>
                <c:ptCount val="1"/>
                <c:pt idx="0">
                  <c:v>hybsem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actdel_prompt_response!$A$4:$A$28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actdel_prompt_response!$B$4:$B$28</c:f>
              <c:numCache>
                <c:formatCode>General</c:formatCode>
                <c:ptCount val="25"/>
                <c:pt idx="0">
                  <c:v>0.760680693780003</c:v>
                </c:pt>
                <c:pt idx="1">
                  <c:v>0.715154495370581</c:v>
                </c:pt>
                <c:pt idx="2">
                  <c:v>0.727347354660159</c:v>
                </c:pt>
                <c:pt idx="3">
                  <c:v>0.733055203580666</c:v>
                </c:pt>
                <c:pt idx="4">
                  <c:v>0.800065574864508</c:v>
                </c:pt>
                <c:pt idx="5">
                  <c:v>0.709071195454084</c:v>
                </c:pt>
                <c:pt idx="6">
                  <c:v>0.774946902661732</c:v>
                </c:pt>
                <c:pt idx="7">
                  <c:v>0.751587734037397</c:v>
                </c:pt>
                <c:pt idx="8">
                  <c:v>0.715465626904882</c:v>
                </c:pt>
                <c:pt idx="9">
                  <c:v>0.793443263941369</c:v>
                </c:pt>
                <c:pt idx="10">
                  <c:v>0.730863596114826</c:v>
                </c:pt>
                <c:pt idx="11">
                  <c:v>0.78662472765132</c:v>
                </c:pt>
                <c:pt idx="12">
                  <c:v>0.686816342783247</c:v>
                </c:pt>
                <c:pt idx="13">
                  <c:v>0.718410360602762</c:v>
                </c:pt>
                <c:pt idx="14">
                  <c:v>0.744433669330252</c:v>
                </c:pt>
                <c:pt idx="15">
                  <c:v>0.717764656873297</c:v>
                </c:pt>
                <c:pt idx="16">
                  <c:v>0.737447565963683</c:v>
                </c:pt>
                <c:pt idx="17">
                  <c:v>0.700591538533063</c:v>
                </c:pt>
                <c:pt idx="18">
                  <c:v>0.678930245127542</c:v>
                </c:pt>
                <c:pt idx="19">
                  <c:v>0.696243121106112</c:v>
                </c:pt>
                <c:pt idx="20">
                  <c:v>0.751495467345464</c:v>
                </c:pt>
                <c:pt idx="21">
                  <c:v>0.66012396246485</c:v>
                </c:pt>
                <c:pt idx="22">
                  <c:v>0.738555955351407</c:v>
                </c:pt>
                <c:pt idx="23">
                  <c:v>0.74726844232579</c:v>
                </c:pt>
                <c:pt idx="24">
                  <c:v>0.70142641264434</c:v>
                </c:pt>
              </c:numCache>
            </c:numRef>
          </c:yVal>
          <c:smooth val="0"/>
        </c:ser>
        <c:axId val="87032082"/>
        <c:axId val="34471785"/>
      </c:scatterChart>
      <c:valAx>
        <c:axId val="8703208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4471785"/>
        <c:crosses val="autoZero"/>
        <c:crossBetween val="midCat"/>
      </c:valAx>
      <c:valAx>
        <c:axId val="3447178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7032082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inter_system_stats!$B$3</c:f>
              <c:strCache>
                <c:ptCount val="1"/>
                <c:pt idx="0">
                  <c:v>hybsem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inter_system_stats!$A$4:$A$28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inter_system_stats!$B$4:$B$28</c:f>
              <c:numCache>
                <c:formatCode>General</c:formatCode>
                <c:ptCount val="25"/>
                <c:pt idx="0">
                  <c:v>0.760680693780003</c:v>
                </c:pt>
                <c:pt idx="1">
                  <c:v>0.715154495370581</c:v>
                </c:pt>
                <c:pt idx="2">
                  <c:v>0.727347354660159</c:v>
                </c:pt>
                <c:pt idx="3">
                  <c:v>0.733055203580666</c:v>
                </c:pt>
                <c:pt idx="4">
                  <c:v>0.800065574864508</c:v>
                </c:pt>
                <c:pt idx="5">
                  <c:v>0.709071195454084</c:v>
                </c:pt>
                <c:pt idx="6">
                  <c:v>0.774946902661732</c:v>
                </c:pt>
                <c:pt idx="7">
                  <c:v>0.751587734037397</c:v>
                </c:pt>
                <c:pt idx="8">
                  <c:v>0.715465626904882</c:v>
                </c:pt>
                <c:pt idx="9">
                  <c:v>0.793443263941369</c:v>
                </c:pt>
                <c:pt idx="10">
                  <c:v>0.730863596114826</c:v>
                </c:pt>
                <c:pt idx="11">
                  <c:v>0.78662472765132</c:v>
                </c:pt>
                <c:pt idx="12">
                  <c:v>0.686816342783247</c:v>
                </c:pt>
                <c:pt idx="13">
                  <c:v>0.718410360602762</c:v>
                </c:pt>
                <c:pt idx="14">
                  <c:v>0.744433669330252</c:v>
                </c:pt>
                <c:pt idx="15">
                  <c:v>0.717764656873297</c:v>
                </c:pt>
                <c:pt idx="16">
                  <c:v>0.737447565963683</c:v>
                </c:pt>
                <c:pt idx="17">
                  <c:v>0.700591538533063</c:v>
                </c:pt>
                <c:pt idx="18">
                  <c:v>0.678930245127542</c:v>
                </c:pt>
                <c:pt idx="19">
                  <c:v>0.696243121106112</c:v>
                </c:pt>
                <c:pt idx="20">
                  <c:v>0.751495467345464</c:v>
                </c:pt>
                <c:pt idx="21">
                  <c:v>0.66012396246485</c:v>
                </c:pt>
                <c:pt idx="22">
                  <c:v>0.738555955351407</c:v>
                </c:pt>
                <c:pt idx="23">
                  <c:v>0.74726844232579</c:v>
                </c:pt>
                <c:pt idx="24">
                  <c:v>0.70142641264434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inter_system_stats!$C$3</c:f>
              <c:strCache>
                <c:ptCount val="1"/>
                <c:pt idx="0">
                  <c:v>control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inter_system_stats!$A$4:$A$28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inter_system_stats!$C$4:$C$28</c:f>
              <c:numCache>
                <c:formatCode>General</c:formatCode>
                <c:ptCount val="25"/>
                <c:pt idx="0">
                  <c:v>0.75451956501659</c:v>
                </c:pt>
                <c:pt idx="1">
                  <c:v>0.583157820853806</c:v>
                </c:pt>
                <c:pt idx="2">
                  <c:v>0.618904917761491</c:v>
                </c:pt>
                <c:pt idx="3">
                  <c:v>0.74737712465141</c:v>
                </c:pt>
                <c:pt idx="4">
                  <c:v>0.548980230623881</c:v>
                </c:pt>
                <c:pt idx="5">
                  <c:v>0.632690227255637</c:v>
                </c:pt>
                <c:pt idx="6">
                  <c:v>0.701786769943752</c:v>
                </c:pt>
                <c:pt idx="7">
                  <c:v>0.584562320768019</c:v>
                </c:pt>
                <c:pt idx="8">
                  <c:v>0.635530236435515</c:v>
                </c:pt>
                <c:pt idx="9">
                  <c:v>0.69186077854627</c:v>
                </c:pt>
                <c:pt idx="10">
                  <c:v>0.746874410758284</c:v>
                </c:pt>
                <c:pt idx="11">
                  <c:v>0.646103343046236</c:v>
                </c:pt>
                <c:pt idx="12">
                  <c:v>0.714267452106315</c:v>
                </c:pt>
                <c:pt idx="13">
                  <c:v>0.64598849418726</c:v>
                </c:pt>
                <c:pt idx="14">
                  <c:v>0.559125581602383</c:v>
                </c:pt>
                <c:pt idx="15">
                  <c:v>0.664444142276853</c:v>
                </c:pt>
                <c:pt idx="16">
                  <c:v>0.682928718328554</c:v>
                </c:pt>
                <c:pt idx="17">
                  <c:v>0.609029777075647</c:v>
                </c:pt>
                <c:pt idx="18">
                  <c:v>0.625136354501309</c:v>
                </c:pt>
                <c:pt idx="19">
                  <c:v>0.628896991007055</c:v>
                </c:pt>
                <c:pt idx="20">
                  <c:v>0.49049501481858</c:v>
                </c:pt>
                <c:pt idx="21">
                  <c:v>0.551218385467124</c:v>
                </c:pt>
                <c:pt idx="22">
                  <c:v>0.644659585583856</c:v>
                </c:pt>
                <c:pt idx="23">
                  <c:v>0.654980886002206</c:v>
                </c:pt>
                <c:pt idx="24">
                  <c:v>0.512869586028254</c:v>
                </c:pt>
              </c:numCache>
            </c:numRef>
          </c:yVal>
          <c:smooth val="0"/>
        </c:ser>
        <c:axId val="45146261"/>
        <c:axId val="79937234"/>
      </c:scatterChart>
      <c:valAx>
        <c:axId val="4514626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9937234"/>
        <c:crosses val="autoZero"/>
        <c:crossBetween val="midCat"/>
      </c:valAx>
      <c:valAx>
        <c:axId val="7993723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4514626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5400</xdr:colOff>
      <xdr:row>3</xdr:row>
      <xdr:rowOff>25200</xdr:rowOff>
    </xdr:from>
    <xdr:to>
      <xdr:col>10</xdr:col>
      <xdr:colOff>73080</xdr:colOff>
      <xdr:row>23</xdr:row>
      <xdr:rowOff>9360</xdr:rowOff>
    </xdr:to>
    <xdr:graphicFrame>
      <xdr:nvGraphicFramePr>
        <xdr:cNvPr id="1" name=""/>
        <xdr:cNvGraphicFramePr/>
      </xdr:nvGraphicFramePr>
      <xdr:xfrm>
        <a:off x="2558160" y="513000"/>
        <a:ext cx="5095080" cy="3235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37800</xdr:colOff>
      <xdr:row>5</xdr:row>
      <xdr:rowOff>159480</xdr:rowOff>
    </xdr:from>
    <xdr:to>
      <xdr:col>8</xdr:col>
      <xdr:colOff>285480</xdr:colOff>
      <xdr:row>25</xdr:row>
      <xdr:rowOff>150840</xdr:rowOff>
    </xdr:to>
    <xdr:graphicFrame>
      <xdr:nvGraphicFramePr>
        <xdr:cNvPr id="2" name=""/>
        <xdr:cNvGraphicFramePr/>
      </xdr:nvGraphicFramePr>
      <xdr:xfrm>
        <a:off x="4105080" y="972360"/>
        <a:ext cx="5114160" cy="3242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52"/>
  <sheetViews>
    <sheetView showFormulas="false" showGridLines="true" showRowColHeaders="true" showZeros="true" rightToLeft="false" tabSelected="false" showOutlineSymbols="true" defaultGridColor="true" view="normal" topLeftCell="F1" colorId="64" zoomScale="100" zoomScaleNormal="100" zoomScalePageLayoutView="100" workbookViewId="0">
      <pane xSplit="0" ySplit="1" topLeftCell="A2" activePane="bottomLeft" state="frozen"/>
      <selection pane="topLeft" activeCell="F1" activeCellId="0" sqref="F1"/>
      <selection pane="bottomLeft" activeCell="Q2" activeCellId="1" sqref="E4:L4 Q2"/>
    </sheetView>
  </sheetViews>
  <sheetFormatPr defaultColWidth="10.51953125" defaultRowHeight="15" customHeight="false" zeroHeight="false" outlineLevelRow="0" outlineLevelCol="0"/>
  <cols>
    <col collapsed="false" customWidth="true" hidden="false" outlineLevel="0" max="4" min="4" style="1" width="24.77"/>
    <col collapsed="false" customWidth="true" hidden="false" outlineLevel="0" max="5" min="5" style="1" width="15.48"/>
    <col collapsed="false" customWidth="false" hidden="false" outlineLevel="0" max="6" min="6" style="1" width="10.5"/>
    <col collapsed="false" customWidth="true" hidden="false" outlineLevel="0" max="7" min="7" style="2" width="48.16"/>
    <col collapsed="false" customWidth="true" hidden="false" outlineLevel="0" max="8" min="8" style="1" width="9.05"/>
    <col collapsed="false" customWidth="true" hidden="false" outlineLevel="0" max="10" min="9" style="1" width="23.88"/>
    <col collapsed="false" customWidth="true" hidden="false" outlineLevel="0" max="11" min="11" style="1" width="28.68"/>
    <col collapsed="false" customWidth="true" hidden="false" outlineLevel="0" max="12" min="12" style="1" width="23.88"/>
    <col collapsed="false" customWidth="true" hidden="false" outlineLevel="0" max="17" min="17" style="0" width="24.63"/>
    <col collapsed="false" customWidth="true" hidden="false" outlineLevel="0" max="18" min="18" style="1" width="24.63"/>
    <col collapsed="false" customWidth="true" hidden="false" outlineLevel="0" max="19" min="19" style="1" width="27.16"/>
  </cols>
  <sheetData>
    <row r="1" customFormat="false" ht="19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P1" s="3" t="s">
        <v>12</v>
      </c>
      <c r="Q1" s="3" t="s">
        <v>13</v>
      </c>
      <c r="R1" s="3" t="s">
        <v>14</v>
      </c>
      <c r="S1" s="4" t="s">
        <v>15</v>
      </c>
    </row>
    <row r="2" customFormat="false" ht="15" hidden="false" customHeight="false" outlineLevel="0" collapsed="false">
      <c r="P2" s="5" t="n">
        <f aca="false">COUNT(K3:K152)</f>
        <v>150</v>
      </c>
      <c r="Q2" s="5" t="n">
        <f aca="false">AVERAGE(K3:K152)</f>
        <v>0.0300452829512712</v>
      </c>
      <c r="R2" s="5" t="n">
        <f aca="false">CORREL(H3:H152,K3:K152)</f>
        <v>-0.340780163992808</v>
      </c>
      <c r="S2" s="5" t="n">
        <f aca="false">notes!B5</f>
        <v>1.97930235413867E-005</v>
      </c>
    </row>
    <row r="3" customFormat="false" ht="15" hidden="false" customHeight="false" outlineLevel="0" collapsed="false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n">
        <v>0</v>
      </c>
      <c r="G3" s="2" t="s">
        <v>21</v>
      </c>
      <c r="H3" s="1" t="n">
        <v>0.1985</v>
      </c>
      <c r="I3" s="1" t="n">
        <v>0.382690719361427</v>
      </c>
      <c r="J3" s="1" t="n">
        <v>0.359525581652051</v>
      </c>
      <c r="K3" s="1" t="n">
        <f aca="false">J3-I3</f>
        <v>-0.0231651377093767</v>
      </c>
      <c r="L3" s="1" t="n">
        <v>0.760680693780003</v>
      </c>
    </row>
    <row r="4" customFormat="false" ht="15" hidden="false" customHeight="false" outlineLevel="0" collapsed="false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n">
        <v>0</v>
      </c>
      <c r="G4" s="2" t="s">
        <v>22</v>
      </c>
      <c r="H4" s="1" t="n">
        <v>0.1791</v>
      </c>
      <c r="I4" s="1" t="n">
        <v>0.345436462805206</v>
      </c>
      <c r="J4" s="1" t="n">
        <v>0.36867692770316</v>
      </c>
      <c r="K4" s="1" t="n">
        <f aca="false">J4-I4</f>
        <v>0.0232404648979545</v>
      </c>
      <c r="L4" s="1" t="n">
        <v>0.760680693780003</v>
      </c>
    </row>
    <row r="5" customFormat="false" ht="15" hidden="false" customHeight="false" outlineLevel="0" collapsed="false">
      <c r="A5" s="1" t="s">
        <v>16</v>
      </c>
      <c r="B5" s="1" t="s">
        <v>17</v>
      </c>
      <c r="C5" s="1" t="s">
        <v>18</v>
      </c>
      <c r="D5" s="1" t="s">
        <v>19</v>
      </c>
      <c r="E5" s="1" t="s">
        <v>20</v>
      </c>
      <c r="F5" s="1" t="n">
        <v>0</v>
      </c>
      <c r="G5" s="2" t="s">
        <v>23</v>
      </c>
      <c r="H5" s="1" t="n">
        <v>0.1776</v>
      </c>
      <c r="I5" s="1" t="n">
        <v>0.342488896999769</v>
      </c>
      <c r="J5" s="1" t="n">
        <v>0.389888573728816</v>
      </c>
      <c r="K5" s="1" t="n">
        <f aca="false">J5-I5</f>
        <v>0.0473996767290478</v>
      </c>
      <c r="L5" s="1" t="n">
        <v>0.760680693780003</v>
      </c>
    </row>
    <row r="6" customFormat="false" ht="15" hidden="false" customHeight="false" outlineLevel="0" collapsed="false">
      <c r="A6" s="1" t="s">
        <v>16</v>
      </c>
      <c r="B6" s="1" t="s">
        <v>17</v>
      </c>
      <c r="C6" s="1" t="s">
        <v>18</v>
      </c>
      <c r="D6" s="1" t="s">
        <v>19</v>
      </c>
      <c r="E6" s="1" t="s">
        <v>20</v>
      </c>
      <c r="F6" s="1" t="n">
        <v>0</v>
      </c>
      <c r="G6" s="2" t="s">
        <v>24</v>
      </c>
      <c r="H6" s="1" t="n">
        <v>0.1744</v>
      </c>
      <c r="I6" s="1" t="n">
        <v>0.336329719702615</v>
      </c>
      <c r="J6" s="1" t="n">
        <v>0.393496335273726</v>
      </c>
      <c r="K6" s="1" t="n">
        <f aca="false">J6-I6</f>
        <v>0.0571666155711107</v>
      </c>
      <c r="L6" s="1" t="n">
        <v>0.760680693780003</v>
      </c>
    </row>
    <row r="7" customFormat="false" ht="15" hidden="false" customHeight="false" outlineLevel="0" collapsed="false">
      <c r="A7" s="1" t="s">
        <v>16</v>
      </c>
      <c r="B7" s="1" t="s">
        <v>17</v>
      </c>
      <c r="C7" s="1" t="s">
        <v>18</v>
      </c>
      <c r="D7" s="1" t="s">
        <v>19</v>
      </c>
      <c r="E7" s="1" t="s">
        <v>20</v>
      </c>
      <c r="F7" s="1" t="n">
        <v>0</v>
      </c>
      <c r="G7" s="2" t="s">
        <v>25</v>
      </c>
      <c r="H7" s="1" t="n">
        <v>0.1704</v>
      </c>
      <c r="I7" s="1" t="n">
        <v>0.328547203234149</v>
      </c>
      <c r="J7" s="1" t="n">
        <v>0.396060631726286</v>
      </c>
      <c r="K7" s="1" t="n">
        <f aca="false">J7-I7</f>
        <v>0.0675134284921367</v>
      </c>
      <c r="L7" s="1" t="n">
        <v>0.760680693780003</v>
      </c>
    </row>
    <row r="8" customFormat="false" ht="15" hidden="false" customHeight="false" outlineLevel="0" collapsed="false">
      <c r="A8" s="1" t="s">
        <v>16</v>
      </c>
      <c r="B8" s="1" t="s">
        <v>17</v>
      </c>
      <c r="C8" s="1" t="s">
        <v>18</v>
      </c>
      <c r="D8" s="1" t="s">
        <v>19</v>
      </c>
      <c r="E8" s="1" t="s">
        <v>20</v>
      </c>
      <c r="F8" s="1" t="n">
        <v>0</v>
      </c>
      <c r="G8" s="2" t="s">
        <v>26</v>
      </c>
      <c r="H8" s="1" t="n">
        <v>0.1</v>
      </c>
      <c r="I8" s="1" t="n">
        <v>0.215376332356875</v>
      </c>
      <c r="J8" s="1" t="n">
        <v>0.304631289588707</v>
      </c>
      <c r="K8" s="1" t="n">
        <f aca="false">J8-I8</f>
        <v>0.0892549572318321</v>
      </c>
      <c r="L8" s="1" t="n">
        <v>0.760680693780003</v>
      </c>
    </row>
    <row r="9" customFormat="false" ht="15" hidden="false" customHeight="false" outlineLevel="0" collapsed="false">
      <c r="A9" s="1" t="s">
        <v>27</v>
      </c>
      <c r="B9" s="1" t="s">
        <v>28</v>
      </c>
      <c r="C9" s="1" t="s">
        <v>29</v>
      </c>
      <c r="D9" s="1" t="s">
        <v>19</v>
      </c>
      <c r="E9" s="1" t="s">
        <v>20</v>
      </c>
      <c r="F9" s="1" t="n">
        <v>2</v>
      </c>
      <c r="G9" s="2" t="s">
        <v>21</v>
      </c>
      <c r="H9" s="1" t="n">
        <v>0.1913</v>
      </c>
      <c r="I9" s="1" t="n">
        <v>0.35280545057099</v>
      </c>
      <c r="J9" s="1" t="n">
        <v>0.406227326637282</v>
      </c>
      <c r="K9" s="1" t="n">
        <f aca="false">J9-I9</f>
        <v>0.0534218760662929</v>
      </c>
      <c r="L9" s="1" t="n">
        <v>0.715154495370581</v>
      </c>
    </row>
    <row r="10" customFormat="false" ht="15" hidden="false" customHeight="false" outlineLevel="0" collapsed="false">
      <c r="A10" s="1" t="s">
        <v>27</v>
      </c>
      <c r="B10" s="1" t="s">
        <v>28</v>
      </c>
      <c r="C10" s="1" t="s">
        <v>29</v>
      </c>
      <c r="D10" s="1" t="s">
        <v>19</v>
      </c>
      <c r="E10" s="1" t="s">
        <v>20</v>
      </c>
      <c r="F10" s="1" t="n">
        <v>2</v>
      </c>
      <c r="G10" s="2" t="s">
        <v>22</v>
      </c>
      <c r="H10" s="1" t="n">
        <v>0.1852</v>
      </c>
      <c r="I10" s="1" t="n">
        <v>0.341478644829111</v>
      </c>
      <c r="J10" s="1" t="n">
        <v>0.393951941506558</v>
      </c>
      <c r="K10" s="1" t="n">
        <f aca="false">J10-I10</f>
        <v>0.0524732966774466</v>
      </c>
      <c r="L10" s="1" t="n">
        <v>0.715154495370581</v>
      </c>
    </row>
    <row r="11" customFormat="false" ht="15" hidden="false" customHeight="false" outlineLevel="0" collapsed="false">
      <c r="A11" s="1" t="s">
        <v>27</v>
      </c>
      <c r="B11" s="1" t="s">
        <v>28</v>
      </c>
      <c r="C11" s="1" t="s">
        <v>29</v>
      </c>
      <c r="D11" s="1" t="s">
        <v>19</v>
      </c>
      <c r="E11" s="1" t="s">
        <v>20</v>
      </c>
      <c r="F11" s="1" t="n">
        <v>2</v>
      </c>
      <c r="G11" s="2" t="s">
        <v>30</v>
      </c>
      <c r="H11" s="1" t="n">
        <v>0.1839</v>
      </c>
      <c r="I11" s="1" t="n">
        <v>0.339080780488564</v>
      </c>
      <c r="J11" s="1" t="n">
        <v>0.375585495029219</v>
      </c>
      <c r="K11" s="1" t="n">
        <f aca="false">J11-I11</f>
        <v>0.0365047145406556</v>
      </c>
      <c r="L11" s="1" t="n">
        <v>0.715154495370581</v>
      </c>
    </row>
    <row r="12" customFormat="false" ht="15" hidden="false" customHeight="false" outlineLevel="0" collapsed="false">
      <c r="A12" s="1" t="s">
        <v>27</v>
      </c>
      <c r="B12" s="1" t="s">
        <v>28</v>
      </c>
      <c r="C12" s="1" t="s">
        <v>29</v>
      </c>
      <c r="D12" s="1" t="s">
        <v>19</v>
      </c>
      <c r="E12" s="1" t="s">
        <v>20</v>
      </c>
      <c r="F12" s="1" t="n">
        <v>2</v>
      </c>
      <c r="G12" s="2" t="s">
        <v>25</v>
      </c>
      <c r="H12" s="1" t="n">
        <v>0.1709</v>
      </c>
      <c r="I12" s="1" t="n">
        <v>0.31513320381246</v>
      </c>
      <c r="J12" s="1" t="n">
        <v>0.39486946883904</v>
      </c>
      <c r="K12" s="1" t="n">
        <f aca="false">J12-I12</f>
        <v>0.0797362650265802</v>
      </c>
      <c r="L12" s="1" t="n">
        <v>0.715154495370581</v>
      </c>
    </row>
    <row r="13" customFormat="false" ht="15" hidden="false" customHeight="false" outlineLevel="0" collapsed="false">
      <c r="A13" s="1" t="s">
        <v>27</v>
      </c>
      <c r="B13" s="1" t="s">
        <v>28</v>
      </c>
      <c r="C13" s="1" t="s">
        <v>29</v>
      </c>
      <c r="D13" s="1" t="s">
        <v>19</v>
      </c>
      <c r="E13" s="1" t="s">
        <v>20</v>
      </c>
      <c r="F13" s="1" t="n">
        <v>2</v>
      </c>
      <c r="G13" s="2" t="s">
        <v>31</v>
      </c>
      <c r="H13" s="1" t="n">
        <v>0.1688</v>
      </c>
      <c r="I13" s="1" t="n">
        <v>0.311218670341435</v>
      </c>
      <c r="J13" s="1" t="n">
        <v>0.377991850885528</v>
      </c>
      <c r="K13" s="1" t="n">
        <f aca="false">J13-I13</f>
        <v>0.0667731805440921</v>
      </c>
      <c r="L13" s="1" t="n">
        <v>0.715154495370581</v>
      </c>
    </row>
    <row r="14" customFormat="false" ht="15" hidden="false" customHeight="false" outlineLevel="0" collapsed="false">
      <c r="A14" s="1" t="s">
        <v>27</v>
      </c>
      <c r="B14" s="1" t="s">
        <v>28</v>
      </c>
      <c r="C14" s="1" t="s">
        <v>29</v>
      </c>
      <c r="D14" s="1" t="s">
        <v>19</v>
      </c>
      <c r="E14" s="1" t="s">
        <v>20</v>
      </c>
      <c r="F14" s="1" t="n">
        <v>2</v>
      </c>
      <c r="G14" s="2" t="s">
        <v>26</v>
      </c>
      <c r="H14" s="1" t="n">
        <v>0.1</v>
      </c>
      <c r="I14" s="1" t="n">
        <v>0.227605196490506</v>
      </c>
      <c r="J14" s="1" t="n">
        <v>0.334998587656574</v>
      </c>
      <c r="K14" s="1" t="n">
        <f aca="false">J14-I14</f>
        <v>0.107393391166068</v>
      </c>
      <c r="L14" s="1" t="n">
        <v>0.715154495370581</v>
      </c>
    </row>
    <row r="15" customFormat="false" ht="15" hidden="false" customHeight="false" outlineLevel="0" collapsed="false">
      <c r="A15" s="1" t="s">
        <v>32</v>
      </c>
      <c r="B15" s="1" t="s">
        <v>33</v>
      </c>
      <c r="C15" s="1" t="s">
        <v>34</v>
      </c>
      <c r="D15" s="1" t="s">
        <v>19</v>
      </c>
      <c r="E15" s="1" t="s">
        <v>20</v>
      </c>
      <c r="F15" s="1" t="n">
        <v>4</v>
      </c>
      <c r="G15" s="2" t="s">
        <v>21</v>
      </c>
      <c r="H15" s="1" t="n">
        <v>0.1936</v>
      </c>
      <c r="I15" s="1" t="n">
        <v>0.349726444662257</v>
      </c>
      <c r="J15" s="1" t="n">
        <v>0.32021451339199</v>
      </c>
      <c r="K15" s="1" t="n">
        <f aca="false">J15-I15</f>
        <v>-0.0295119312702665</v>
      </c>
      <c r="L15" s="1" t="n">
        <v>0.727347354660159</v>
      </c>
    </row>
    <row r="16" customFormat="false" ht="15" hidden="false" customHeight="false" outlineLevel="0" collapsed="false">
      <c r="A16" s="1" t="s">
        <v>32</v>
      </c>
      <c r="B16" s="1" t="s">
        <v>33</v>
      </c>
      <c r="C16" s="1" t="s">
        <v>34</v>
      </c>
      <c r="D16" s="1" t="s">
        <v>19</v>
      </c>
      <c r="E16" s="1" t="s">
        <v>20</v>
      </c>
      <c r="F16" s="1" t="n">
        <v>4</v>
      </c>
      <c r="G16" s="2" t="s">
        <v>22</v>
      </c>
      <c r="H16" s="1" t="n">
        <v>0.1923</v>
      </c>
      <c r="I16" s="1" t="n">
        <v>0.347508025126256</v>
      </c>
      <c r="J16" s="1" t="n">
        <v>0.290111081997797</v>
      </c>
      <c r="K16" s="1" t="n">
        <f aca="false">J16-I16</f>
        <v>-0.0573969431284593</v>
      </c>
      <c r="L16" s="1" t="n">
        <v>0.727347354660159</v>
      </c>
    </row>
    <row r="17" customFormat="false" ht="15" hidden="false" customHeight="false" outlineLevel="0" collapsed="false">
      <c r="A17" s="1" t="s">
        <v>32</v>
      </c>
      <c r="B17" s="1" t="s">
        <v>33</v>
      </c>
      <c r="C17" s="1" t="s">
        <v>34</v>
      </c>
      <c r="D17" s="1" t="s">
        <v>19</v>
      </c>
      <c r="E17" s="1" t="s">
        <v>20</v>
      </c>
      <c r="F17" s="1" t="n">
        <v>4</v>
      </c>
      <c r="G17" s="2" t="s">
        <v>25</v>
      </c>
      <c r="H17" s="1" t="n">
        <v>0.1794</v>
      </c>
      <c r="I17" s="1" t="n">
        <v>0.324119653463917</v>
      </c>
      <c r="J17" s="1" t="n">
        <v>0.361250868889869</v>
      </c>
      <c r="K17" s="1" t="n">
        <f aca="false">J17-I17</f>
        <v>0.0371312154259516</v>
      </c>
      <c r="L17" s="1" t="n">
        <v>0.727347354660159</v>
      </c>
    </row>
    <row r="18" customFormat="false" ht="15" hidden="false" customHeight="false" outlineLevel="0" collapsed="false">
      <c r="A18" s="1" t="s">
        <v>32</v>
      </c>
      <c r="B18" s="1" t="s">
        <v>33</v>
      </c>
      <c r="C18" s="1" t="s">
        <v>34</v>
      </c>
      <c r="D18" s="1" t="s">
        <v>19</v>
      </c>
      <c r="E18" s="1" t="s">
        <v>20</v>
      </c>
      <c r="F18" s="1" t="n">
        <v>4</v>
      </c>
      <c r="G18" s="2" t="s">
        <v>23</v>
      </c>
      <c r="H18" s="1" t="n">
        <v>0.1704</v>
      </c>
      <c r="I18" s="1" t="n">
        <v>0.307777467749163</v>
      </c>
      <c r="J18" s="1" t="n">
        <v>0.313199364303094</v>
      </c>
      <c r="K18" s="1" t="n">
        <f aca="false">J18-I18</f>
        <v>0.00542189655393038</v>
      </c>
      <c r="L18" s="1" t="n">
        <v>0.727347354660159</v>
      </c>
    </row>
    <row r="19" customFormat="false" ht="15" hidden="false" customHeight="false" outlineLevel="0" collapsed="false">
      <c r="A19" s="1" t="s">
        <v>32</v>
      </c>
      <c r="B19" s="1" t="s">
        <v>33</v>
      </c>
      <c r="C19" s="1" t="s">
        <v>34</v>
      </c>
      <c r="D19" s="1" t="s">
        <v>19</v>
      </c>
      <c r="E19" s="1" t="s">
        <v>20</v>
      </c>
      <c r="F19" s="1" t="n">
        <v>4</v>
      </c>
      <c r="G19" s="2" t="s">
        <v>30</v>
      </c>
      <c r="H19" s="1" t="n">
        <v>0.1643</v>
      </c>
      <c r="I19" s="1" t="n">
        <v>0.296881283467416</v>
      </c>
      <c r="J19" s="1" t="n">
        <v>0.321590265986169</v>
      </c>
      <c r="K19" s="1" t="n">
        <f aca="false">J19-I19</f>
        <v>0.0247089825187529</v>
      </c>
      <c r="L19" s="1" t="n">
        <v>0.727347354660159</v>
      </c>
    </row>
    <row r="20" customFormat="false" ht="15" hidden="false" customHeight="false" outlineLevel="0" collapsed="false">
      <c r="A20" s="1" t="s">
        <v>32</v>
      </c>
      <c r="B20" s="1" t="s">
        <v>33</v>
      </c>
      <c r="C20" s="1" t="s">
        <v>34</v>
      </c>
      <c r="D20" s="1" t="s">
        <v>19</v>
      </c>
      <c r="E20" s="1" t="s">
        <v>20</v>
      </c>
      <c r="F20" s="1" t="n">
        <v>4</v>
      </c>
      <c r="G20" s="2" t="s">
        <v>26</v>
      </c>
      <c r="H20" s="1" t="n">
        <v>0.1</v>
      </c>
      <c r="I20" s="1" t="n">
        <v>0.266911391474679</v>
      </c>
      <c r="J20" s="1" t="n">
        <v>0.270311158558675</v>
      </c>
      <c r="K20" s="1" t="n">
        <f aca="false">J20-I20</f>
        <v>0.00339976708399642</v>
      </c>
      <c r="L20" s="1" t="n">
        <v>0.727347354660159</v>
      </c>
    </row>
    <row r="21" customFormat="false" ht="15" hidden="false" customHeight="false" outlineLevel="0" collapsed="false">
      <c r="A21" s="1" t="s">
        <v>35</v>
      </c>
      <c r="B21" s="1" t="s">
        <v>36</v>
      </c>
      <c r="C21" s="1" t="s">
        <v>37</v>
      </c>
      <c r="D21" s="1" t="s">
        <v>19</v>
      </c>
      <c r="E21" s="1" t="s">
        <v>20</v>
      </c>
      <c r="F21" s="1" t="n">
        <v>6</v>
      </c>
      <c r="G21" s="2" t="s">
        <v>25</v>
      </c>
      <c r="H21" s="1" t="n">
        <v>0.1973</v>
      </c>
      <c r="I21" s="1" t="n">
        <v>0.363398655917419</v>
      </c>
      <c r="J21" s="1" t="n">
        <v>0.348083553799322</v>
      </c>
      <c r="K21" s="1" t="n">
        <f aca="false">J21-I21</f>
        <v>-0.0153151021180968</v>
      </c>
      <c r="L21" s="1" t="n">
        <v>0.733055203580666</v>
      </c>
    </row>
    <row r="22" customFormat="false" ht="15" hidden="false" customHeight="false" outlineLevel="0" collapsed="false">
      <c r="A22" s="1" t="s">
        <v>35</v>
      </c>
      <c r="B22" s="1" t="s">
        <v>36</v>
      </c>
      <c r="C22" s="1" t="s">
        <v>37</v>
      </c>
      <c r="D22" s="1" t="s">
        <v>19</v>
      </c>
      <c r="E22" s="1" t="s">
        <v>20</v>
      </c>
      <c r="F22" s="1" t="n">
        <v>6</v>
      </c>
      <c r="G22" s="2" t="s">
        <v>23</v>
      </c>
      <c r="H22" s="1" t="n">
        <v>0.1826</v>
      </c>
      <c r="I22" s="1" t="n">
        <v>0.336311075633289</v>
      </c>
      <c r="J22" s="1" t="n">
        <v>0.376097820681766</v>
      </c>
      <c r="K22" s="1" t="n">
        <f aca="false">J22-I22</f>
        <v>0.0397867450484768</v>
      </c>
      <c r="L22" s="1" t="n">
        <v>0.733055203580666</v>
      </c>
    </row>
    <row r="23" customFormat="false" ht="15" hidden="false" customHeight="false" outlineLevel="0" collapsed="false">
      <c r="A23" s="1" t="s">
        <v>35</v>
      </c>
      <c r="B23" s="1" t="s">
        <v>36</v>
      </c>
      <c r="C23" s="1" t="s">
        <v>37</v>
      </c>
      <c r="D23" s="1" t="s">
        <v>19</v>
      </c>
      <c r="E23" s="1" t="s">
        <v>20</v>
      </c>
      <c r="F23" s="1" t="n">
        <v>6</v>
      </c>
      <c r="G23" s="2" t="s">
        <v>22</v>
      </c>
      <c r="H23" s="1" t="n">
        <v>0.1808</v>
      </c>
      <c r="I23" s="1" t="n">
        <v>0.333016570066445</v>
      </c>
      <c r="J23" s="1" t="n">
        <v>0.384626599283738</v>
      </c>
      <c r="K23" s="1" t="n">
        <f aca="false">J23-I23</f>
        <v>0.0516100292172934</v>
      </c>
      <c r="L23" s="1" t="n">
        <v>0.733055203580666</v>
      </c>
    </row>
    <row r="24" customFormat="false" ht="15" hidden="false" customHeight="false" outlineLevel="0" collapsed="false">
      <c r="A24" s="1" t="s">
        <v>35</v>
      </c>
      <c r="B24" s="1" t="s">
        <v>36</v>
      </c>
      <c r="C24" s="1" t="s">
        <v>37</v>
      </c>
      <c r="D24" s="1" t="s">
        <v>19</v>
      </c>
      <c r="E24" s="1" t="s">
        <v>20</v>
      </c>
      <c r="F24" s="1" t="n">
        <v>6</v>
      </c>
      <c r="G24" s="2" t="s">
        <v>31</v>
      </c>
      <c r="H24" s="1" t="n">
        <v>0.1713</v>
      </c>
      <c r="I24" s="1" t="n">
        <v>0.315507101588475</v>
      </c>
      <c r="J24" s="1" t="n">
        <v>0.333736117802048</v>
      </c>
      <c r="K24" s="1" t="n">
        <f aca="false">J24-I24</f>
        <v>0.0182290162135724</v>
      </c>
      <c r="L24" s="1" t="n">
        <v>0.733055203580666</v>
      </c>
    </row>
    <row r="25" customFormat="false" ht="15" hidden="false" customHeight="false" outlineLevel="0" collapsed="false">
      <c r="A25" s="1" t="s">
        <v>35</v>
      </c>
      <c r="B25" s="1" t="s">
        <v>36</v>
      </c>
      <c r="C25" s="1" t="s">
        <v>37</v>
      </c>
      <c r="D25" s="1" t="s">
        <v>19</v>
      </c>
      <c r="E25" s="1" t="s">
        <v>20</v>
      </c>
      <c r="F25" s="1" t="n">
        <v>6</v>
      </c>
      <c r="G25" s="2" t="s">
        <v>38</v>
      </c>
      <c r="H25" s="1" t="n">
        <v>0.1678</v>
      </c>
      <c r="I25" s="1" t="n">
        <v>0.309064816245656</v>
      </c>
      <c r="J25" s="1" t="n">
        <v>0.350480605025357</v>
      </c>
      <c r="K25" s="1" t="n">
        <f aca="false">J25-I25</f>
        <v>0.0414157887797016</v>
      </c>
      <c r="L25" s="1" t="n">
        <v>0.733055203580666</v>
      </c>
    </row>
    <row r="26" customFormat="false" ht="15" hidden="false" customHeight="false" outlineLevel="0" collapsed="false">
      <c r="A26" s="1" t="s">
        <v>35</v>
      </c>
      <c r="B26" s="1" t="s">
        <v>36</v>
      </c>
      <c r="C26" s="1" t="s">
        <v>37</v>
      </c>
      <c r="D26" s="1" t="s">
        <v>19</v>
      </c>
      <c r="E26" s="1" t="s">
        <v>20</v>
      </c>
      <c r="F26" s="1" t="n">
        <v>6</v>
      </c>
      <c r="G26" s="2" t="s">
        <v>26</v>
      </c>
      <c r="H26" s="1" t="n">
        <v>0.1</v>
      </c>
      <c r="I26" s="1" t="n">
        <v>0.260236423770486</v>
      </c>
      <c r="J26" s="1" t="n">
        <v>0.315677776963427</v>
      </c>
      <c r="K26" s="1" t="n">
        <f aca="false">J26-I26</f>
        <v>0.0554413531929414</v>
      </c>
      <c r="L26" s="1" t="n">
        <v>0.733055203580666</v>
      </c>
    </row>
    <row r="27" customFormat="false" ht="15" hidden="false" customHeight="false" outlineLevel="0" collapsed="false">
      <c r="A27" s="1" t="s">
        <v>39</v>
      </c>
      <c r="B27" s="1" t="s">
        <v>40</v>
      </c>
      <c r="C27" s="1" t="s">
        <v>41</v>
      </c>
      <c r="D27" s="1" t="s">
        <v>19</v>
      </c>
      <c r="E27" s="1" t="s">
        <v>20</v>
      </c>
      <c r="F27" s="1" t="n">
        <v>8</v>
      </c>
      <c r="G27" s="2" t="s">
        <v>22</v>
      </c>
      <c r="H27" s="1" t="n">
        <v>0.1892</v>
      </c>
      <c r="I27" s="1" t="n">
        <v>0.40507922894599</v>
      </c>
      <c r="J27" s="1" t="n">
        <v>0.423778393939787</v>
      </c>
      <c r="K27" s="1" t="n">
        <f aca="false">J27-I27</f>
        <v>0.0186991649937971</v>
      </c>
      <c r="L27" s="1" t="n">
        <v>0.800065574864508</v>
      </c>
    </row>
    <row r="28" customFormat="false" ht="15" hidden="false" customHeight="false" outlineLevel="0" collapsed="false">
      <c r="A28" s="1" t="s">
        <v>39</v>
      </c>
      <c r="B28" s="1" t="s">
        <v>40</v>
      </c>
      <c r="C28" s="1" t="s">
        <v>41</v>
      </c>
      <c r="D28" s="1" t="s">
        <v>19</v>
      </c>
      <c r="E28" s="1" t="s">
        <v>20</v>
      </c>
      <c r="F28" s="1" t="n">
        <v>8</v>
      </c>
      <c r="G28" s="2" t="s">
        <v>30</v>
      </c>
      <c r="H28" s="1" t="n">
        <v>0.1793</v>
      </c>
      <c r="I28" s="1" t="n">
        <v>0.383859686226327</v>
      </c>
      <c r="J28" s="1" t="n">
        <v>0.404695785309168</v>
      </c>
      <c r="K28" s="1" t="n">
        <f aca="false">J28-I28</f>
        <v>0.0208360990828414</v>
      </c>
      <c r="L28" s="1" t="n">
        <v>0.800065574864508</v>
      </c>
    </row>
    <row r="29" customFormat="false" ht="15" hidden="false" customHeight="false" outlineLevel="0" collapsed="false">
      <c r="A29" s="1" t="s">
        <v>39</v>
      </c>
      <c r="B29" s="1" t="s">
        <v>40</v>
      </c>
      <c r="C29" s="1" t="s">
        <v>41</v>
      </c>
      <c r="D29" s="1" t="s">
        <v>19</v>
      </c>
      <c r="E29" s="1" t="s">
        <v>20</v>
      </c>
      <c r="F29" s="1" t="n">
        <v>8</v>
      </c>
      <c r="G29" s="2" t="s">
        <v>23</v>
      </c>
      <c r="H29" s="1" t="n">
        <v>0.1785</v>
      </c>
      <c r="I29" s="1" t="n">
        <v>0.382280075331037</v>
      </c>
      <c r="J29" s="1" t="n">
        <v>0.417113283709759</v>
      </c>
      <c r="K29" s="1" t="n">
        <f aca="false">J29-I29</f>
        <v>0.0348332083787215</v>
      </c>
      <c r="L29" s="1" t="n">
        <v>0.800065574864508</v>
      </c>
    </row>
    <row r="30" customFormat="false" ht="15" hidden="false" customHeight="false" outlineLevel="0" collapsed="false">
      <c r="A30" s="1" t="s">
        <v>39</v>
      </c>
      <c r="B30" s="1" t="s">
        <v>40</v>
      </c>
      <c r="C30" s="1" t="s">
        <v>41</v>
      </c>
      <c r="D30" s="1" t="s">
        <v>19</v>
      </c>
      <c r="E30" s="1" t="s">
        <v>20</v>
      </c>
      <c r="F30" s="1" t="n">
        <v>8</v>
      </c>
      <c r="G30" s="2" t="s">
        <v>25</v>
      </c>
      <c r="H30" s="1" t="n">
        <v>0.1766</v>
      </c>
      <c r="I30" s="1" t="n">
        <v>0.378042387400562</v>
      </c>
      <c r="J30" s="1" t="n">
        <v>0.420424991820694</v>
      </c>
      <c r="K30" s="1" t="n">
        <f aca="false">J30-I30</f>
        <v>0.0423826044201318</v>
      </c>
      <c r="L30" s="1" t="n">
        <v>0.800065574864508</v>
      </c>
    </row>
    <row r="31" customFormat="false" ht="15" hidden="false" customHeight="false" outlineLevel="0" collapsed="false">
      <c r="A31" s="1" t="s">
        <v>39</v>
      </c>
      <c r="B31" s="1" t="s">
        <v>40</v>
      </c>
      <c r="C31" s="1" t="s">
        <v>41</v>
      </c>
      <c r="D31" s="1" t="s">
        <v>19</v>
      </c>
      <c r="E31" s="1" t="s">
        <v>20</v>
      </c>
      <c r="F31" s="1" t="n">
        <v>8</v>
      </c>
      <c r="G31" s="2" t="s">
        <v>24</v>
      </c>
      <c r="H31" s="1" t="n">
        <v>0.1764</v>
      </c>
      <c r="I31" s="1" t="n">
        <v>0.377803593386109</v>
      </c>
      <c r="J31" s="1" t="n">
        <v>0.412610417060237</v>
      </c>
      <c r="K31" s="1" t="n">
        <f aca="false">J31-I31</f>
        <v>0.0348068236741285</v>
      </c>
      <c r="L31" s="1" t="n">
        <v>0.800065574864508</v>
      </c>
    </row>
    <row r="32" customFormat="false" ht="15" hidden="false" customHeight="false" outlineLevel="0" collapsed="false">
      <c r="A32" s="1" t="s">
        <v>39</v>
      </c>
      <c r="B32" s="1" t="s">
        <v>40</v>
      </c>
      <c r="C32" s="1" t="s">
        <v>41</v>
      </c>
      <c r="D32" s="1" t="s">
        <v>19</v>
      </c>
      <c r="E32" s="1" t="s">
        <v>20</v>
      </c>
      <c r="F32" s="1" t="n">
        <v>8</v>
      </c>
      <c r="G32" s="2" t="s">
        <v>26</v>
      </c>
      <c r="H32" s="1" t="n">
        <v>0.1</v>
      </c>
      <c r="I32" s="1" t="n">
        <v>0.296709081896596</v>
      </c>
      <c r="J32" s="1" t="n">
        <v>0.338156190144318</v>
      </c>
      <c r="K32" s="1" t="n">
        <f aca="false">J32-I32</f>
        <v>0.0414471082477217</v>
      </c>
      <c r="L32" s="1" t="n">
        <v>0.800065574864508</v>
      </c>
    </row>
    <row r="33" customFormat="false" ht="15" hidden="false" customHeight="false" outlineLevel="0" collapsed="false">
      <c r="A33" s="1" t="s">
        <v>42</v>
      </c>
      <c r="B33" s="1" t="s">
        <v>43</v>
      </c>
      <c r="C33" s="1" t="s">
        <v>44</v>
      </c>
      <c r="D33" s="1" t="s">
        <v>19</v>
      </c>
      <c r="E33" s="1" t="s">
        <v>20</v>
      </c>
      <c r="F33" s="1" t="n">
        <v>10</v>
      </c>
      <c r="G33" s="2" t="s">
        <v>22</v>
      </c>
      <c r="H33" s="1" t="n">
        <v>0.2137</v>
      </c>
      <c r="I33" s="1" t="n">
        <v>0.444275646344073</v>
      </c>
      <c r="J33" s="1" t="n">
        <v>0.424549537932117</v>
      </c>
      <c r="K33" s="1" t="n">
        <f aca="false">J33-I33</f>
        <v>-0.0197261084119556</v>
      </c>
      <c r="L33" s="1" t="n">
        <v>0.709071195454084</v>
      </c>
    </row>
    <row r="34" customFormat="false" ht="15" hidden="false" customHeight="false" outlineLevel="0" collapsed="false">
      <c r="A34" s="1" t="s">
        <v>42</v>
      </c>
      <c r="B34" s="1" t="s">
        <v>43</v>
      </c>
      <c r="C34" s="1" t="s">
        <v>44</v>
      </c>
      <c r="D34" s="1" t="s">
        <v>19</v>
      </c>
      <c r="E34" s="1" t="s">
        <v>20</v>
      </c>
      <c r="F34" s="1" t="n">
        <v>10</v>
      </c>
      <c r="G34" s="2" t="s">
        <v>23</v>
      </c>
      <c r="H34" s="1" t="n">
        <v>0.1802</v>
      </c>
      <c r="I34" s="1" t="n">
        <v>0.374645344295953</v>
      </c>
      <c r="J34" s="1" t="n">
        <v>0.365753012026303</v>
      </c>
      <c r="K34" s="1" t="n">
        <f aca="false">J34-I34</f>
        <v>-0.00889233226964992</v>
      </c>
      <c r="L34" s="1" t="n">
        <v>0.709071195454084</v>
      </c>
    </row>
    <row r="35" customFormat="false" ht="15" hidden="false" customHeight="false" outlineLevel="0" collapsed="false">
      <c r="A35" s="1" t="s">
        <v>42</v>
      </c>
      <c r="B35" s="1" t="s">
        <v>43</v>
      </c>
      <c r="C35" s="1" t="s">
        <v>44</v>
      </c>
      <c r="D35" s="1" t="s">
        <v>19</v>
      </c>
      <c r="E35" s="1" t="s">
        <v>20</v>
      </c>
      <c r="F35" s="1" t="n">
        <v>10</v>
      </c>
      <c r="G35" s="2" t="s">
        <v>24</v>
      </c>
      <c r="H35" s="1" t="n">
        <v>0.1704</v>
      </c>
      <c r="I35" s="1" t="n">
        <v>0.354279422769123</v>
      </c>
      <c r="J35" s="1" t="n">
        <v>0.38846518970574</v>
      </c>
      <c r="K35" s="1" t="n">
        <f aca="false">J35-I35</f>
        <v>0.0341857669366169</v>
      </c>
      <c r="L35" s="1" t="n">
        <v>0.709071195454084</v>
      </c>
    </row>
    <row r="36" customFormat="false" ht="15" hidden="false" customHeight="false" outlineLevel="0" collapsed="false">
      <c r="A36" s="1" t="s">
        <v>42</v>
      </c>
      <c r="B36" s="1" t="s">
        <v>43</v>
      </c>
      <c r="C36" s="1" t="s">
        <v>44</v>
      </c>
      <c r="D36" s="1" t="s">
        <v>19</v>
      </c>
      <c r="E36" s="1" t="s">
        <v>20</v>
      </c>
      <c r="F36" s="1" t="n">
        <v>10</v>
      </c>
      <c r="G36" s="2" t="s">
        <v>45</v>
      </c>
      <c r="H36" s="1" t="n">
        <v>0.1685</v>
      </c>
      <c r="I36" s="1" t="n">
        <v>0.350432778310061</v>
      </c>
      <c r="J36" s="1" t="n">
        <v>0.338080736000062</v>
      </c>
      <c r="K36" s="1" t="n">
        <f aca="false">J36-I36</f>
        <v>-0.0123520423099998</v>
      </c>
      <c r="L36" s="1" t="n">
        <v>0.709071195454084</v>
      </c>
    </row>
    <row r="37" customFormat="false" ht="15" hidden="false" customHeight="false" outlineLevel="0" collapsed="false">
      <c r="A37" s="1" t="s">
        <v>42</v>
      </c>
      <c r="B37" s="1" t="s">
        <v>43</v>
      </c>
      <c r="C37" s="1" t="s">
        <v>44</v>
      </c>
      <c r="D37" s="1" t="s">
        <v>19</v>
      </c>
      <c r="E37" s="1" t="s">
        <v>20</v>
      </c>
      <c r="F37" s="1" t="n">
        <v>10</v>
      </c>
      <c r="G37" s="2" t="s">
        <v>25</v>
      </c>
      <c r="H37" s="1" t="n">
        <v>0.1672</v>
      </c>
      <c r="I37" s="1" t="n">
        <v>0.347716379625989</v>
      </c>
      <c r="J37" s="1" t="n">
        <v>0.365303142592468</v>
      </c>
      <c r="K37" s="1" t="n">
        <f aca="false">J37-I37</f>
        <v>0.0175867629664781</v>
      </c>
      <c r="L37" s="1" t="n">
        <v>0.709071195454084</v>
      </c>
    </row>
    <row r="38" customFormat="false" ht="15" hidden="false" customHeight="false" outlineLevel="0" collapsed="false">
      <c r="A38" s="1" t="s">
        <v>42</v>
      </c>
      <c r="B38" s="1" t="s">
        <v>43</v>
      </c>
      <c r="C38" s="1" t="s">
        <v>44</v>
      </c>
      <c r="D38" s="1" t="s">
        <v>19</v>
      </c>
      <c r="E38" s="1" t="s">
        <v>20</v>
      </c>
      <c r="F38" s="1" t="n">
        <v>10</v>
      </c>
      <c r="G38" s="2" t="s">
        <v>26</v>
      </c>
      <c r="H38" s="1" t="n">
        <v>0.1</v>
      </c>
      <c r="I38" s="1" t="n">
        <v>0.273254812887206</v>
      </c>
      <c r="J38" s="1" t="n">
        <v>0.33517802256196</v>
      </c>
      <c r="K38" s="1" t="n">
        <f aca="false">J38-I38</f>
        <v>0.0619232096747541</v>
      </c>
      <c r="L38" s="1" t="n">
        <v>0.709071195454084</v>
      </c>
    </row>
    <row r="39" customFormat="false" ht="15" hidden="false" customHeight="false" outlineLevel="0" collapsed="false">
      <c r="A39" s="1" t="s">
        <v>46</v>
      </c>
      <c r="B39" s="1" t="s">
        <v>47</v>
      </c>
      <c r="C39" s="1" t="s">
        <v>48</v>
      </c>
      <c r="D39" s="1" t="s">
        <v>19</v>
      </c>
      <c r="E39" s="1" t="s">
        <v>20</v>
      </c>
      <c r="F39" s="1" t="n">
        <v>12</v>
      </c>
      <c r="G39" s="2" t="s">
        <v>22</v>
      </c>
      <c r="H39" s="1" t="n">
        <v>0.2077</v>
      </c>
      <c r="I39" s="1" t="n">
        <v>0.395015535870878</v>
      </c>
      <c r="J39" s="1" t="n">
        <v>0.360649341709927</v>
      </c>
      <c r="K39" s="1" t="n">
        <f aca="false">J39-I39</f>
        <v>-0.0343661941609511</v>
      </c>
      <c r="L39" s="1" t="n">
        <v>0.774946902661732</v>
      </c>
    </row>
    <row r="40" customFormat="false" ht="15" hidden="false" customHeight="false" outlineLevel="0" collapsed="false">
      <c r="A40" s="1" t="s">
        <v>46</v>
      </c>
      <c r="B40" s="1" t="s">
        <v>47</v>
      </c>
      <c r="C40" s="1" t="s">
        <v>48</v>
      </c>
      <c r="D40" s="1" t="s">
        <v>19</v>
      </c>
      <c r="E40" s="1" t="s">
        <v>20</v>
      </c>
      <c r="F40" s="1" t="n">
        <v>12</v>
      </c>
      <c r="G40" s="2" t="s">
        <v>30</v>
      </c>
      <c r="H40" s="1" t="n">
        <v>0.1875</v>
      </c>
      <c r="I40" s="1" t="n">
        <v>0.356539895193888</v>
      </c>
      <c r="J40" s="1" t="n">
        <v>0.401312103282129</v>
      </c>
      <c r="K40" s="1" t="n">
        <f aca="false">J40-I40</f>
        <v>0.0447722080882408</v>
      </c>
      <c r="L40" s="1" t="n">
        <v>0.774946902661732</v>
      </c>
    </row>
    <row r="41" customFormat="false" ht="15" hidden="false" customHeight="false" outlineLevel="0" collapsed="false">
      <c r="A41" s="1" t="s">
        <v>46</v>
      </c>
      <c r="B41" s="1" t="s">
        <v>47</v>
      </c>
      <c r="C41" s="1" t="s">
        <v>48</v>
      </c>
      <c r="D41" s="1" t="s">
        <v>19</v>
      </c>
      <c r="E41" s="1" t="s">
        <v>20</v>
      </c>
      <c r="F41" s="1" t="n">
        <v>12</v>
      </c>
      <c r="G41" s="2" t="s">
        <v>23</v>
      </c>
      <c r="H41" s="1" t="n">
        <v>0.1737</v>
      </c>
      <c r="I41" s="1" t="n">
        <v>0.330322554566942</v>
      </c>
      <c r="J41" s="1" t="n">
        <v>0.346980012985224</v>
      </c>
      <c r="K41" s="1" t="n">
        <f aca="false">J41-I41</f>
        <v>0.0166574584182821</v>
      </c>
      <c r="L41" s="1" t="n">
        <v>0.774946902661732</v>
      </c>
    </row>
    <row r="42" customFormat="false" ht="15" hidden="false" customHeight="false" outlineLevel="0" collapsed="false">
      <c r="A42" s="1" t="s">
        <v>46</v>
      </c>
      <c r="B42" s="1" t="s">
        <v>47</v>
      </c>
      <c r="C42" s="1" t="s">
        <v>48</v>
      </c>
      <c r="D42" s="1" t="s">
        <v>19</v>
      </c>
      <c r="E42" s="1" t="s">
        <v>20</v>
      </c>
      <c r="F42" s="1" t="n">
        <v>12</v>
      </c>
      <c r="G42" s="2" t="s">
        <v>21</v>
      </c>
      <c r="H42" s="1" t="n">
        <v>0.1668</v>
      </c>
      <c r="I42" s="1" t="n">
        <v>0.317139964051869</v>
      </c>
      <c r="J42" s="1" t="n">
        <v>0.367961248297502</v>
      </c>
      <c r="K42" s="1" t="n">
        <f aca="false">J42-I42</f>
        <v>0.0508212842456328</v>
      </c>
      <c r="L42" s="1" t="n">
        <v>0.774946902661732</v>
      </c>
    </row>
    <row r="43" customFormat="false" ht="15" hidden="false" customHeight="false" outlineLevel="0" collapsed="false">
      <c r="A43" s="1" t="s">
        <v>46</v>
      </c>
      <c r="B43" s="1" t="s">
        <v>47</v>
      </c>
      <c r="C43" s="1" t="s">
        <v>48</v>
      </c>
      <c r="D43" s="1" t="s">
        <v>19</v>
      </c>
      <c r="E43" s="1" t="s">
        <v>20</v>
      </c>
      <c r="F43" s="1" t="n">
        <v>12</v>
      </c>
      <c r="G43" s="2" t="s">
        <v>31</v>
      </c>
      <c r="H43" s="1" t="n">
        <v>0.1644</v>
      </c>
      <c r="I43" s="1" t="n">
        <v>0.312581666096687</v>
      </c>
      <c r="J43" s="1" t="n">
        <v>0.376106224587894</v>
      </c>
      <c r="K43" s="1" t="n">
        <f aca="false">J43-I43</f>
        <v>0.0635245584912069</v>
      </c>
      <c r="L43" s="1" t="n">
        <v>0.774946902661732</v>
      </c>
    </row>
    <row r="44" customFormat="false" ht="15" hidden="false" customHeight="false" outlineLevel="0" collapsed="false">
      <c r="A44" s="1" t="s">
        <v>46</v>
      </c>
      <c r="B44" s="1" t="s">
        <v>47</v>
      </c>
      <c r="C44" s="1" t="s">
        <v>48</v>
      </c>
      <c r="D44" s="1" t="s">
        <v>19</v>
      </c>
      <c r="E44" s="1" t="s">
        <v>20</v>
      </c>
      <c r="F44" s="1" t="n">
        <v>12</v>
      </c>
      <c r="G44" s="2" t="s">
        <v>26</v>
      </c>
      <c r="H44" s="1" t="n">
        <v>0.1</v>
      </c>
      <c r="I44" s="1" t="n">
        <v>0.279535177801013</v>
      </c>
      <c r="J44" s="1" t="n">
        <v>0.327115791857927</v>
      </c>
      <c r="K44" s="1" t="n">
        <f aca="false">J44-I44</f>
        <v>0.0475806140569139</v>
      </c>
      <c r="L44" s="1" t="n">
        <v>0.774946902661732</v>
      </c>
    </row>
    <row r="45" customFormat="false" ht="15" hidden="false" customHeight="false" outlineLevel="0" collapsed="false">
      <c r="A45" s="1" t="s">
        <v>49</v>
      </c>
      <c r="B45" s="1" t="s">
        <v>50</v>
      </c>
      <c r="C45" s="1" t="s">
        <v>51</v>
      </c>
      <c r="D45" s="1" t="s">
        <v>19</v>
      </c>
      <c r="E45" s="1" t="s">
        <v>20</v>
      </c>
      <c r="F45" s="1" t="n">
        <v>14</v>
      </c>
      <c r="G45" s="2" t="s">
        <v>30</v>
      </c>
      <c r="H45" s="1" t="n">
        <v>0.1868</v>
      </c>
      <c r="I45" s="1" t="n">
        <v>0.362584847344206</v>
      </c>
      <c r="J45" s="1" t="n">
        <v>0.403195718721626</v>
      </c>
      <c r="K45" s="1" t="n">
        <f aca="false">J45-I45</f>
        <v>0.0406108713774199</v>
      </c>
      <c r="L45" s="1" t="n">
        <v>0.751587734037397</v>
      </c>
    </row>
    <row r="46" customFormat="false" ht="15" hidden="false" customHeight="false" outlineLevel="0" collapsed="false">
      <c r="A46" s="1" t="s">
        <v>49</v>
      </c>
      <c r="B46" s="1" t="s">
        <v>50</v>
      </c>
      <c r="C46" s="1" t="s">
        <v>51</v>
      </c>
      <c r="D46" s="1" t="s">
        <v>19</v>
      </c>
      <c r="E46" s="1" t="s">
        <v>20</v>
      </c>
      <c r="F46" s="1" t="n">
        <v>14</v>
      </c>
      <c r="G46" s="2" t="s">
        <v>21</v>
      </c>
      <c r="H46" s="1" t="n">
        <v>0.1845</v>
      </c>
      <c r="I46" s="1" t="n">
        <v>0.358000196653657</v>
      </c>
      <c r="J46" s="1" t="n">
        <v>0.411103081451145</v>
      </c>
      <c r="K46" s="1" t="n">
        <f aca="false">J46-I46</f>
        <v>0.0531028847974881</v>
      </c>
      <c r="L46" s="1" t="n">
        <v>0.751587734037397</v>
      </c>
    </row>
    <row r="47" customFormat="false" ht="15" hidden="false" customHeight="false" outlineLevel="0" collapsed="false">
      <c r="A47" s="1" t="s">
        <v>49</v>
      </c>
      <c r="B47" s="1" t="s">
        <v>50</v>
      </c>
      <c r="C47" s="1" t="s">
        <v>51</v>
      </c>
      <c r="D47" s="1" t="s">
        <v>19</v>
      </c>
      <c r="E47" s="1" t="s">
        <v>20</v>
      </c>
      <c r="F47" s="1" t="n">
        <v>14</v>
      </c>
      <c r="G47" s="2" t="s">
        <v>22</v>
      </c>
      <c r="H47" s="1" t="n">
        <v>0.1845</v>
      </c>
      <c r="I47" s="1" t="n">
        <v>0.358098357148375</v>
      </c>
      <c r="J47" s="1" t="n">
        <v>0.402591049268566</v>
      </c>
      <c r="K47" s="1" t="n">
        <f aca="false">J47-I47</f>
        <v>0.0444926921201915</v>
      </c>
      <c r="L47" s="1" t="n">
        <v>0.751587734037397</v>
      </c>
    </row>
    <row r="48" customFormat="false" ht="15" hidden="false" customHeight="false" outlineLevel="0" collapsed="false">
      <c r="A48" s="1" t="s">
        <v>49</v>
      </c>
      <c r="B48" s="1" t="s">
        <v>50</v>
      </c>
      <c r="C48" s="1" t="s">
        <v>51</v>
      </c>
      <c r="D48" s="1" t="s">
        <v>19</v>
      </c>
      <c r="E48" s="1" t="s">
        <v>20</v>
      </c>
      <c r="F48" s="1" t="n">
        <v>14</v>
      </c>
      <c r="G48" s="2" t="s">
        <v>24</v>
      </c>
      <c r="H48" s="1" t="n">
        <v>0.1762</v>
      </c>
      <c r="I48" s="1" t="n">
        <v>0.341956586858084</v>
      </c>
      <c r="J48" s="1" t="n">
        <v>0.425696799213552</v>
      </c>
      <c r="K48" s="1" t="n">
        <f aca="false">J48-I48</f>
        <v>0.0837402123554678</v>
      </c>
      <c r="L48" s="1" t="n">
        <v>0.751587734037397</v>
      </c>
    </row>
    <row r="49" customFormat="false" ht="15" hidden="false" customHeight="false" outlineLevel="0" collapsed="false">
      <c r="A49" s="1" t="s">
        <v>49</v>
      </c>
      <c r="B49" s="1" t="s">
        <v>50</v>
      </c>
      <c r="C49" s="1" t="s">
        <v>51</v>
      </c>
      <c r="D49" s="1" t="s">
        <v>19</v>
      </c>
      <c r="E49" s="1" t="s">
        <v>20</v>
      </c>
      <c r="F49" s="1" t="n">
        <v>14</v>
      </c>
      <c r="G49" s="2" t="s">
        <v>23</v>
      </c>
      <c r="H49" s="1" t="n">
        <v>0.168</v>
      </c>
      <c r="I49" s="1" t="n">
        <v>0.326138225412436</v>
      </c>
      <c r="J49" s="1" t="n">
        <v>0.381822907056559</v>
      </c>
      <c r="K49" s="1" t="n">
        <f aca="false">J49-I49</f>
        <v>0.0556846816441235</v>
      </c>
      <c r="L49" s="1" t="n">
        <v>0.751587734037397</v>
      </c>
    </row>
    <row r="50" customFormat="false" ht="15" hidden="false" customHeight="false" outlineLevel="0" collapsed="false">
      <c r="A50" s="1" t="s">
        <v>49</v>
      </c>
      <c r="B50" s="1" t="s">
        <v>50</v>
      </c>
      <c r="C50" s="1" t="s">
        <v>51</v>
      </c>
      <c r="D50" s="1" t="s">
        <v>19</v>
      </c>
      <c r="E50" s="1" t="s">
        <v>20</v>
      </c>
      <c r="F50" s="1" t="n">
        <v>14</v>
      </c>
      <c r="G50" s="2" t="s">
        <v>26</v>
      </c>
      <c r="H50" s="1" t="n">
        <v>0.1</v>
      </c>
      <c r="I50" s="1" t="n">
        <v>0.299138756285227</v>
      </c>
      <c r="J50" s="1" t="n">
        <v>0.394065639585951</v>
      </c>
      <c r="K50" s="1" t="n">
        <f aca="false">J50-I50</f>
        <v>0.0949268833007244</v>
      </c>
      <c r="L50" s="1" t="n">
        <v>0.751587734037397</v>
      </c>
    </row>
    <row r="51" customFormat="false" ht="15" hidden="false" customHeight="false" outlineLevel="0" collapsed="false">
      <c r="A51" s="1" t="s">
        <v>52</v>
      </c>
      <c r="B51" s="1" t="s">
        <v>53</v>
      </c>
      <c r="C51" s="1" t="s">
        <v>54</v>
      </c>
      <c r="D51" s="1" t="s">
        <v>19</v>
      </c>
      <c r="E51" s="1" t="s">
        <v>20</v>
      </c>
      <c r="F51" s="1" t="n">
        <v>16</v>
      </c>
      <c r="G51" s="2" t="s">
        <v>21</v>
      </c>
      <c r="H51" s="1" t="n">
        <v>0.1785</v>
      </c>
      <c r="I51" s="1" t="n">
        <v>0.376443940425722</v>
      </c>
      <c r="J51" s="1" t="n">
        <v>0.363606815554244</v>
      </c>
      <c r="K51" s="1" t="n">
        <f aca="false">J51-I51</f>
        <v>-0.0128371248714789</v>
      </c>
      <c r="L51" s="1" t="n">
        <v>0.715465626904882</v>
      </c>
    </row>
    <row r="52" customFormat="false" ht="15" hidden="false" customHeight="false" outlineLevel="0" collapsed="false">
      <c r="A52" s="1" t="s">
        <v>52</v>
      </c>
      <c r="B52" s="1" t="s">
        <v>53</v>
      </c>
      <c r="C52" s="1" t="s">
        <v>54</v>
      </c>
      <c r="D52" s="1" t="s">
        <v>19</v>
      </c>
      <c r="E52" s="1" t="s">
        <v>20</v>
      </c>
      <c r="F52" s="1" t="n">
        <v>16</v>
      </c>
      <c r="G52" s="2" t="s">
        <v>22</v>
      </c>
      <c r="H52" s="1" t="n">
        <v>0.1701</v>
      </c>
      <c r="I52" s="1" t="n">
        <v>0.358846791206823</v>
      </c>
      <c r="J52" s="1" t="n">
        <v>0.369298158964308</v>
      </c>
      <c r="K52" s="1" t="n">
        <f aca="false">J52-I52</f>
        <v>0.010451367757485</v>
      </c>
      <c r="L52" s="1" t="n">
        <v>0.715465626904882</v>
      </c>
    </row>
    <row r="53" customFormat="false" ht="15" hidden="false" customHeight="false" outlineLevel="0" collapsed="false">
      <c r="A53" s="1" t="s">
        <v>52</v>
      </c>
      <c r="B53" s="1" t="s">
        <v>53</v>
      </c>
      <c r="C53" s="1" t="s">
        <v>54</v>
      </c>
      <c r="D53" s="1" t="s">
        <v>19</v>
      </c>
      <c r="E53" s="1" t="s">
        <v>20</v>
      </c>
      <c r="F53" s="1" t="n">
        <v>16</v>
      </c>
      <c r="G53" s="2" t="s">
        <v>30</v>
      </c>
      <c r="H53" s="1" t="n">
        <v>0.1673</v>
      </c>
      <c r="I53" s="1" t="n">
        <v>0.352751380296065</v>
      </c>
      <c r="J53" s="1" t="n">
        <v>0.344816305979734</v>
      </c>
      <c r="K53" s="1" t="n">
        <f aca="false">J53-I53</f>
        <v>-0.00793507431633084</v>
      </c>
      <c r="L53" s="1" t="n">
        <v>0.715465626904882</v>
      </c>
    </row>
    <row r="54" customFormat="false" ht="15" hidden="false" customHeight="false" outlineLevel="0" collapsed="false">
      <c r="A54" s="1" t="s">
        <v>52</v>
      </c>
      <c r="B54" s="1" t="s">
        <v>53</v>
      </c>
      <c r="C54" s="1" t="s">
        <v>54</v>
      </c>
      <c r="D54" s="1" t="s">
        <v>19</v>
      </c>
      <c r="E54" s="1" t="s">
        <v>20</v>
      </c>
      <c r="F54" s="1" t="n">
        <v>16</v>
      </c>
      <c r="G54" s="2" t="s">
        <v>26</v>
      </c>
      <c r="H54" s="1" t="n">
        <v>0.1653</v>
      </c>
      <c r="I54" s="1" t="n">
        <v>0.348700465080287</v>
      </c>
      <c r="J54" s="1" t="n">
        <v>0.308586995966907</v>
      </c>
      <c r="K54" s="1" t="n">
        <f aca="false">J54-I54</f>
        <v>-0.0401134691133805</v>
      </c>
      <c r="L54" s="1" t="n">
        <v>0.715465626904882</v>
      </c>
    </row>
    <row r="55" customFormat="false" ht="15" hidden="false" customHeight="false" outlineLevel="0" collapsed="false">
      <c r="A55" s="1" t="s">
        <v>52</v>
      </c>
      <c r="B55" s="1" t="s">
        <v>53</v>
      </c>
      <c r="C55" s="1" t="s">
        <v>54</v>
      </c>
      <c r="D55" s="1" t="s">
        <v>19</v>
      </c>
      <c r="E55" s="1" t="s">
        <v>20</v>
      </c>
      <c r="F55" s="1" t="n">
        <v>16</v>
      </c>
      <c r="G55" s="2" t="s">
        <v>24</v>
      </c>
      <c r="H55" s="1" t="n">
        <v>0.1623</v>
      </c>
      <c r="I55" s="1" t="n">
        <v>0.342267054565838</v>
      </c>
      <c r="J55" s="1" t="n">
        <v>0.380035911363517</v>
      </c>
      <c r="K55" s="1" t="n">
        <f aca="false">J55-I55</f>
        <v>0.0377688567976782</v>
      </c>
      <c r="L55" s="1" t="n">
        <v>0.715465626904882</v>
      </c>
    </row>
    <row r="56" customFormat="false" ht="15" hidden="false" customHeight="false" outlineLevel="0" collapsed="false">
      <c r="A56" s="1" t="s">
        <v>52</v>
      </c>
      <c r="B56" s="1" t="s">
        <v>53</v>
      </c>
      <c r="C56" s="1" t="s">
        <v>54</v>
      </c>
      <c r="D56" s="1" t="s">
        <v>19</v>
      </c>
      <c r="E56" s="1" t="s">
        <v>20</v>
      </c>
      <c r="F56" s="1" t="n">
        <v>16</v>
      </c>
      <c r="G56" s="2" t="s">
        <v>55</v>
      </c>
      <c r="H56" s="1" t="n">
        <v>0.1565</v>
      </c>
      <c r="I56" s="1" t="n">
        <v>0.330100481542364</v>
      </c>
      <c r="J56" s="1" t="n">
        <v>0.325675120428391</v>
      </c>
      <c r="K56" s="1" t="n">
        <f aca="false">J56-I56</f>
        <v>-0.00442536111397285</v>
      </c>
      <c r="L56" s="1" t="n">
        <v>0.715465626904882</v>
      </c>
    </row>
    <row r="57" customFormat="false" ht="15" hidden="false" customHeight="false" outlineLevel="0" collapsed="false">
      <c r="A57" s="1" t="s">
        <v>56</v>
      </c>
      <c r="B57" s="1" t="s">
        <v>57</v>
      </c>
      <c r="C57" s="1" t="s">
        <v>58</v>
      </c>
      <c r="D57" s="1" t="s">
        <v>19</v>
      </c>
      <c r="E57" s="1" t="s">
        <v>20</v>
      </c>
      <c r="F57" s="1" t="n">
        <v>18</v>
      </c>
      <c r="G57" s="2" t="s">
        <v>22</v>
      </c>
      <c r="H57" s="1" t="n">
        <v>0.192</v>
      </c>
      <c r="I57" s="1" t="n">
        <v>0.374768000381061</v>
      </c>
      <c r="J57" s="1" t="n">
        <v>0.436672203191438</v>
      </c>
      <c r="K57" s="1" t="n">
        <f aca="false">J57-I57</f>
        <v>0.0619042028103765</v>
      </c>
      <c r="L57" s="1" t="n">
        <v>0.793443263941369</v>
      </c>
    </row>
    <row r="58" customFormat="false" ht="15" hidden="false" customHeight="false" outlineLevel="0" collapsed="false">
      <c r="A58" s="1" t="s">
        <v>56</v>
      </c>
      <c r="B58" s="1" t="s">
        <v>57</v>
      </c>
      <c r="C58" s="1" t="s">
        <v>58</v>
      </c>
      <c r="D58" s="1" t="s">
        <v>19</v>
      </c>
      <c r="E58" s="1" t="s">
        <v>20</v>
      </c>
      <c r="F58" s="1" t="n">
        <v>18</v>
      </c>
      <c r="G58" s="2" t="s">
        <v>23</v>
      </c>
      <c r="H58" s="1" t="n">
        <v>0.1804</v>
      </c>
      <c r="I58" s="1" t="n">
        <v>0.352054822781832</v>
      </c>
      <c r="J58" s="1" t="n">
        <v>0.428485933399694</v>
      </c>
      <c r="K58" s="1" t="n">
        <f aca="false">J58-I58</f>
        <v>0.0764311106178613</v>
      </c>
      <c r="L58" s="1" t="n">
        <v>0.793443263941369</v>
      </c>
    </row>
    <row r="59" customFormat="false" ht="15" hidden="false" customHeight="false" outlineLevel="0" collapsed="false">
      <c r="A59" s="1" t="s">
        <v>56</v>
      </c>
      <c r="B59" s="1" t="s">
        <v>57</v>
      </c>
      <c r="C59" s="1" t="s">
        <v>58</v>
      </c>
      <c r="D59" s="1" t="s">
        <v>19</v>
      </c>
      <c r="E59" s="1" t="s">
        <v>20</v>
      </c>
      <c r="F59" s="1" t="n">
        <v>18</v>
      </c>
      <c r="G59" s="2" t="s">
        <v>30</v>
      </c>
      <c r="H59" s="1" t="n">
        <v>0.1781</v>
      </c>
      <c r="I59" s="1" t="n">
        <v>0.347656468065862</v>
      </c>
      <c r="J59" s="1" t="n">
        <v>0.396992232413425</v>
      </c>
      <c r="K59" s="1" t="n">
        <f aca="false">J59-I59</f>
        <v>0.0493357643475635</v>
      </c>
      <c r="L59" s="1" t="n">
        <v>0.793443263941369</v>
      </c>
    </row>
    <row r="60" customFormat="false" ht="15" hidden="false" customHeight="false" outlineLevel="0" collapsed="false">
      <c r="A60" s="1" t="s">
        <v>56</v>
      </c>
      <c r="B60" s="1" t="s">
        <v>57</v>
      </c>
      <c r="C60" s="1" t="s">
        <v>58</v>
      </c>
      <c r="D60" s="1" t="s">
        <v>19</v>
      </c>
      <c r="E60" s="1" t="s">
        <v>20</v>
      </c>
      <c r="F60" s="1" t="n">
        <v>18</v>
      </c>
      <c r="G60" s="2" t="s">
        <v>25</v>
      </c>
      <c r="H60" s="1" t="n">
        <v>0.1768</v>
      </c>
      <c r="I60" s="1" t="n">
        <v>0.34507705506151</v>
      </c>
      <c r="J60" s="1" t="n">
        <v>0.392885106841348</v>
      </c>
      <c r="K60" s="1" t="n">
        <f aca="false">J60-I60</f>
        <v>0.047808051779838</v>
      </c>
      <c r="L60" s="1" t="n">
        <v>0.793443263941369</v>
      </c>
    </row>
    <row r="61" customFormat="false" ht="15" hidden="false" customHeight="false" outlineLevel="0" collapsed="false">
      <c r="A61" s="1" t="s">
        <v>56</v>
      </c>
      <c r="B61" s="1" t="s">
        <v>57</v>
      </c>
      <c r="C61" s="1" t="s">
        <v>58</v>
      </c>
      <c r="D61" s="1" t="s">
        <v>19</v>
      </c>
      <c r="E61" s="1" t="s">
        <v>20</v>
      </c>
      <c r="F61" s="1" t="n">
        <v>18</v>
      </c>
      <c r="G61" s="2" t="s">
        <v>21</v>
      </c>
      <c r="H61" s="1" t="n">
        <v>0.1728</v>
      </c>
      <c r="I61" s="1" t="n">
        <v>0.337300327885748</v>
      </c>
      <c r="J61" s="1" t="n">
        <v>0.427162947498221</v>
      </c>
      <c r="K61" s="1" t="n">
        <f aca="false">J61-I61</f>
        <v>0.0898626196124733</v>
      </c>
      <c r="L61" s="1" t="n">
        <v>0.793443263941369</v>
      </c>
    </row>
    <row r="62" customFormat="false" ht="15" hidden="false" customHeight="false" outlineLevel="0" collapsed="false">
      <c r="A62" s="1" t="s">
        <v>56</v>
      </c>
      <c r="B62" s="1" t="s">
        <v>57</v>
      </c>
      <c r="C62" s="1" t="s">
        <v>58</v>
      </c>
      <c r="D62" s="1" t="s">
        <v>19</v>
      </c>
      <c r="E62" s="1" t="s">
        <v>20</v>
      </c>
      <c r="F62" s="1" t="n">
        <v>18</v>
      </c>
      <c r="G62" s="2" t="s">
        <v>26</v>
      </c>
      <c r="H62" s="1" t="n">
        <v>0.1</v>
      </c>
      <c r="I62" s="1" t="n">
        <v>0.282168822647446</v>
      </c>
      <c r="J62" s="1" t="n">
        <v>0.327142876975452</v>
      </c>
      <c r="K62" s="1" t="n">
        <f aca="false">J62-I62</f>
        <v>0.0449740543280058</v>
      </c>
      <c r="L62" s="1" t="n">
        <v>0.793443263941369</v>
      </c>
    </row>
    <row r="63" customFormat="false" ht="15" hidden="false" customHeight="false" outlineLevel="0" collapsed="false">
      <c r="A63" s="1" t="s">
        <v>59</v>
      </c>
      <c r="B63" s="1" t="s">
        <v>60</v>
      </c>
      <c r="C63" s="1" t="s">
        <v>61</v>
      </c>
      <c r="D63" s="1" t="s">
        <v>19</v>
      </c>
      <c r="E63" s="1" t="s">
        <v>20</v>
      </c>
      <c r="F63" s="1" t="n">
        <v>20</v>
      </c>
      <c r="G63" s="2" t="s">
        <v>22</v>
      </c>
      <c r="H63" s="1" t="n">
        <v>0.1934</v>
      </c>
      <c r="I63" s="1" t="n">
        <v>0.403645227419842</v>
      </c>
      <c r="J63" s="1" t="n">
        <v>0.393460010842023</v>
      </c>
      <c r="K63" s="1" t="n">
        <f aca="false">J63-I63</f>
        <v>-0.0101852165778184</v>
      </c>
      <c r="L63" s="1" t="n">
        <v>0.730863596114826</v>
      </c>
    </row>
    <row r="64" customFormat="false" ht="15" hidden="false" customHeight="false" outlineLevel="0" collapsed="false">
      <c r="A64" s="1" t="s">
        <v>59</v>
      </c>
      <c r="B64" s="1" t="s">
        <v>60</v>
      </c>
      <c r="C64" s="1" t="s">
        <v>61</v>
      </c>
      <c r="D64" s="1" t="s">
        <v>19</v>
      </c>
      <c r="E64" s="1" t="s">
        <v>20</v>
      </c>
      <c r="F64" s="1" t="n">
        <v>20</v>
      </c>
      <c r="G64" s="2" t="s">
        <v>23</v>
      </c>
      <c r="H64" s="1" t="n">
        <v>0.1895</v>
      </c>
      <c r="I64" s="1" t="n">
        <v>0.395537472944321</v>
      </c>
      <c r="J64" s="1" t="n">
        <v>0.41536609807017</v>
      </c>
      <c r="K64" s="1" t="n">
        <f aca="false">J64-I64</f>
        <v>0.0198286251258484</v>
      </c>
      <c r="L64" s="1" t="n">
        <v>0.730863596114826</v>
      </c>
    </row>
    <row r="65" customFormat="false" ht="15" hidden="false" customHeight="false" outlineLevel="0" collapsed="false">
      <c r="A65" s="1" t="s">
        <v>59</v>
      </c>
      <c r="B65" s="1" t="s">
        <v>60</v>
      </c>
      <c r="C65" s="1" t="s">
        <v>61</v>
      </c>
      <c r="D65" s="1" t="s">
        <v>19</v>
      </c>
      <c r="E65" s="1" t="s">
        <v>20</v>
      </c>
      <c r="F65" s="1" t="n">
        <v>20</v>
      </c>
      <c r="G65" s="2" t="s">
        <v>21</v>
      </c>
      <c r="H65" s="1" t="n">
        <v>0.1755</v>
      </c>
      <c r="I65" s="1" t="n">
        <v>0.366356178138192</v>
      </c>
      <c r="J65" s="1" t="n">
        <v>0.413007049749699</v>
      </c>
      <c r="K65" s="1" t="n">
        <f aca="false">J65-I65</f>
        <v>0.0466508716115067</v>
      </c>
      <c r="L65" s="1" t="n">
        <v>0.730863596114826</v>
      </c>
    </row>
    <row r="66" customFormat="false" ht="15" hidden="false" customHeight="false" outlineLevel="0" collapsed="false">
      <c r="A66" s="1" t="s">
        <v>59</v>
      </c>
      <c r="B66" s="1" t="s">
        <v>60</v>
      </c>
      <c r="C66" s="1" t="s">
        <v>61</v>
      </c>
      <c r="D66" s="1" t="s">
        <v>19</v>
      </c>
      <c r="E66" s="1" t="s">
        <v>20</v>
      </c>
      <c r="F66" s="1" t="n">
        <v>20</v>
      </c>
      <c r="G66" s="2" t="s">
        <v>45</v>
      </c>
      <c r="H66" s="1" t="n">
        <v>0.1743</v>
      </c>
      <c r="I66" s="1" t="n">
        <v>0.363672928477546</v>
      </c>
      <c r="J66" s="1" t="n">
        <v>0.350915770915959</v>
      </c>
      <c r="K66" s="1" t="n">
        <f aca="false">J66-I66</f>
        <v>-0.0127571575615877</v>
      </c>
      <c r="L66" s="1" t="n">
        <v>0.730863596114826</v>
      </c>
    </row>
    <row r="67" customFormat="false" ht="15" hidden="false" customHeight="false" outlineLevel="0" collapsed="false">
      <c r="A67" s="1" t="s">
        <v>59</v>
      </c>
      <c r="B67" s="1" t="s">
        <v>60</v>
      </c>
      <c r="C67" s="1" t="s">
        <v>61</v>
      </c>
      <c r="D67" s="1" t="s">
        <v>19</v>
      </c>
      <c r="E67" s="1" t="s">
        <v>20</v>
      </c>
      <c r="F67" s="1" t="n">
        <v>20</v>
      </c>
      <c r="G67" s="2" t="s">
        <v>24</v>
      </c>
      <c r="H67" s="1" t="n">
        <v>0.1673</v>
      </c>
      <c r="I67" s="1" t="n">
        <v>0.349060531503667</v>
      </c>
      <c r="J67" s="1" t="n">
        <v>0.452007655691363</v>
      </c>
      <c r="K67" s="1" t="n">
        <f aca="false">J67-I67</f>
        <v>0.102947124187696</v>
      </c>
      <c r="L67" s="1" t="n">
        <v>0.730863596114826</v>
      </c>
    </row>
    <row r="68" customFormat="false" ht="15" hidden="false" customHeight="false" outlineLevel="0" collapsed="false">
      <c r="A68" s="1" t="s">
        <v>59</v>
      </c>
      <c r="B68" s="1" t="s">
        <v>60</v>
      </c>
      <c r="C68" s="1" t="s">
        <v>61</v>
      </c>
      <c r="D68" s="1" t="s">
        <v>19</v>
      </c>
      <c r="E68" s="1" t="s">
        <v>20</v>
      </c>
      <c r="F68" s="1" t="n">
        <v>20</v>
      </c>
      <c r="G68" s="2" t="s">
        <v>26</v>
      </c>
      <c r="H68" s="1" t="n">
        <v>0.1</v>
      </c>
      <c r="I68" s="1" t="n">
        <v>0.286187322245964</v>
      </c>
      <c r="J68" s="1" t="n">
        <v>0.411555952208174</v>
      </c>
      <c r="K68" s="1" t="n">
        <f aca="false">J68-I68</f>
        <v>0.12536862996221</v>
      </c>
      <c r="L68" s="1" t="n">
        <v>0.730863596114826</v>
      </c>
    </row>
    <row r="69" customFormat="false" ht="15" hidden="false" customHeight="false" outlineLevel="0" collapsed="false">
      <c r="A69" s="1" t="s">
        <v>62</v>
      </c>
      <c r="B69" s="1" t="s">
        <v>63</v>
      </c>
      <c r="C69" s="1" t="s">
        <v>64</v>
      </c>
      <c r="D69" s="1" t="s">
        <v>19</v>
      </c>
      <c r="E69" s="1" t="s">
        <v>20</v>
      </c>
      <c r="F69" s="1" t="n">
        <v>22</v>
      </c>
      <c r="G69" s="2" t="s">
        <v>21</v>
      </c>
      <c r="H69" s="1" t="n">
        <v>0.1802</v>
      </c>
      <c r="I69" s="1" t="n">
        <v>0.365852953253599</v>
      </c>
      <c r="J69" s="1" t="n">
        <v>0.451242078470394</v>
      </c>
      <c r="K69" s="1" t="n">
        <f aca="false">J69-I69</f>
        <v>0.0853891252167947</v>
      </c>
      <c r="L69" s="1" t="n">
        <v>0.78662472765132</v>
      </c>
    </row>
    <row r="70" customFormat="false" ht="15" hidden="false" customHeight="false" outlineLevel="0" collapsed="false">
      <c r="A70" s="1" t="s">
        <v>62</v>
      </c>
      <c r="B70" s="1" t="s">
        <v>63</v>
      </c>
      <c r="C70" s="1" t="s">
        <v>64</v>
      </c>
      <c r="D70" s="1" t="s">
        <v>19</v>
      </c>
      <c r="E70" s="1" t="s">
        <v>20</v>
      </c>
      <c r="F70" s="1" t="n">
        <v>22</v>
      </c>
      <c r="G70" s="2" t="s">
        <v>24</v>
      </c>
      <c r="H70" s="1" t="n">
        <v>0.1799</v>
      </c>
      <c r="I70" s="1" t="n">
        <v>0.365146833884998</v>
      </c>
      <c r="J70" s="1" t="n">
        <v>0.426770648934086</v>
      </c>
      <c r="K70" s="1" t="n">
        <f aca="false">J70-I70</f>
        <v>0.0616238150490882</v>
      </c>
      <c r="L70" s="1" t="n">
        <v>0.78662472765132</v>
      </c>
    </row>
    <row r="71" customFormat="false" ht="15" hidden="false" customHeight="false" outlineLevel="0" collapsed="false">
      <c r="A71" s="1" t="s">
        <v>62</v>
      </c>
      <c r="B71" s="1" t="s">
        <v>63</v>
      </c>
      <c r="C71" s="1" t="s">
        <v>64</v>
      </c>
      <c r="D71" s="1" t="s">
        <v>19</v>
      </c>
      <c r="E71" s="1" t="s">
        <v>20</v>
      </c>
      <c r="F71" s="1" t="n">
        <v>22</v>
      </c>
      <c r="G71" s="2" t="s">
        <v>55</v>
      </c>
      <c r="H71" s="1" t="n">
        <v>0.1682</v>
      </c>
      <c r="I71" s="1" t="n">
        <v>0.341417623044036</v>
      </c>
      <c r="J71" s="1" t="n">
        <v>0.413151835485866</v>
      </c>
      <c r="K71" s="1" t="n">
        <f aca="false">J71-I71</f>
        <v>0.0717342124418297</v>
      </c>
      <c r="L71" s="1" t="n">
        <v>0.78662472765132</v>
      </c>
    </row>
    <row r="72" customFormat="false" ht="15" hidden="false" customHeight="false" outlineLevel="0" collapsed="false">
      <c r="A72" s="1" t="s">
        <v>62</v>
      </c>
      <c r="B72" s="1" t="s">
        <v>63</v>
      </c>
      <c r="C72" s="1" t="s">
        <v>64</v>
      </c>
      <c r="D72" s="1" t="s">
        <v>19</v>
      </c>
      <c r="E72" s="1" t="s">
        <v>20</v>
      </c>
      <c r="F72" s="1" t="n">
        <v>22</v>
      </c>
      <c r="G72" s="2" t="s">
        <v>26</v>
      </c>
      <c r="H72" s="1" t="n">
        <v>0.1682</v>
      </c>
      <c r="I72" s="1" t="n">
        <v>0.341394272905879</v>
      </c>
      <c r="J72" s="1" t="n">
        <v>0.391939667849161</v>
      </c>
      <c r="K72" s="1" t="n">
        <f aca="false">J72-I72</f>
        <v>0.050545394943282</v>
      </c>
      <c r="L72" s="1" t="n">
        <v>0.78662472765132</v>
      </c>
    </row>
    <row r="73" customFormat="false" ht="15" hidden="false" customHeight="false" outlineLevel="0" collapsed="false">
      <c r="A73" s="1" t="s">
        <v>62</v>
      </c>
      <c r="B73" s="1" t="s">
        <v>63</v>
      </c>
      <c r="C73" s="1" t="s">
        <v>64</v>
      </c>
      <c r="D73" s="1" t="s">
        <v>19</v>
      </c>
      <c r="E73" s="1" t="s">
        <v>20</v>
      </c>
      <c r="F73" s="1" t="n">
        <v>22</v>
      </c>
      <c r="G73" s="2" t="s">
        <v>23</v>
      </c>
      <c r="H73" s="1" t="n">
        <v>0.1535</v>
      </c>
      <c r="I73" s="1" t="n">
        <v>0.311617960010536</v>
      </c>
      <c r="J73" s="1" t="n">
        <v>0.385012322601299</v>
      </c>
      <c r="K73" s="1" t="n">
        <f aca="false">J73-I73</f>
        <v>0.0733943625907639</v>
      </c>
      <c r="L73" s="1" t="n">
        <v>0.78662472765132</v>
      </c>
    </row>
    <row r="74" customFormat="false" ht="15" hidden="false" customHeight="false" outlineLevel="0" collapsed="false">
      <c r="A74" s="1" t="s">
        <v>62</v>
      </c>
      <c r="B74" s="1" t="s">
        <v>63</v>
      </c>
      <c r="C74" s="1" t="s">
        <v>64</v>
      </c>
      <c r="D74" s="1" t="s">
        <v>19</v>
      </c>
      <c r="E74" s="1" t="s">
        <v>20</v>
      </c>
      <c r="F74" s="1" t="n">
        <v>22</v>
      </c>
      <c r="G74" s="2" t="s">
        <v>31</v>
      </c>
      <c r="H74" s="1" t="n">
        <v>0.15</v>
      </c>
      <c r="I74" s="1" t="n">
        <v>0.304430699520721</v>
      </c>
      <c r="J74" s="1" t="n">
        <v>0.369397289350368</v>
      </c>
      <c r="K74" s="1" t="n">
        <f aca="false">J74-I74</f>
        <v>0.0649665898296473</v>
      </c>
      <c r="L74" s="1" t="n">
        <v>0.78662472765132</v>
      </c>
    </row>
    <row r="75" customFormat="false" ht="15" hidden="false" customHeight="false" outlineLevel="0" collapsed="false">
      <c r="A75" s="1" t="s">
        <v>65</v>
      </c>
      <c r="B75" s="1" t="s">
        <v>66</v>
      </c>
      <c r="C75" s="1" t="s">
        <v>67</v>
      </c>
      <c r="D75" s="1" t="s">
        <v>19</v>
      </c>
      <c r="E75" s="1" t="s">
        <v>20</v>
      </c>
      <c r="F75" s="1" t="n">
        <v>24</v>
      </c>
      <c r="G75" s="2" t="s">
        <v>21</v>
      </c>
      <c r="H75" s="1" t="n">
        <v>0.1915</v>
      </c>
      <c r="I75" s="1" t="n">
        <v>0.420040172473018</v>
      </c>
      <c r="J75" s="1" t="n">
        <v>0.373219308072553</v>
      </c>
      <c r="K75" s="1" t="n">
        <f aca="false">J75-I75</f>
        <v>-0.0468208644004651</v>
      </c>
      <c r="L75" s="1" t="n">
        <v>0.686816342783247</v>
      </c>
    </row>
    <row r="76" customFormat="false" ht="15" hidden="false" customHeight="false" outlineLevel="0" collapsed="false">
      <c r="A76" s="1" t="s">
        <v>65</v>
      </c>
      <c r="B76" s="1" t="s">
        <v>66</v>
      </c>
      <c r="C76" s="1" t="s">
        <v>67</v>
      </c>
      <c r="D76" s="1" t="s">
        <v>19</v>
      </c>
      <c r="E76" s="1" t="s">
        <v>20</v>
      </c>
      <c r="F76" s="1" t="n">
        <v>24</v>
      </c>
      <c r="G76" s="2" t="s">
        <v>55</v>
      </c>
      <c r="H76" s="1" t="n">
        <v>0.1738</v>
      </c>
      <c r="I76" s="1" t="n">
        <v>0.381197017564289</v>
      </c>
      <c r="J76" s="1" t="n">
        <v>0.34798890751011</v>
      </c>
      <c r="K76" s="1" t="n">
        <f aca="false">J76-I76</f>
        <v>-0.033208110054179</v>
      </c>
      <c r="L76" s="1" t="n">
        <v>0.686816342783247</v>
      </c>
    </row>
    <row r="77" customFormat="false" ht="15" hidden="false" customHeight="false" outlineLevel="0" collapsed="false">
      <c r="A77" s="1" t="s">
        <v>65</v>
      </c>
      <c r="B77" s="1" t="s">
        <v>66</v>
      </c>
      <c r="C77" s="1" t="s">
        <v>67</v>
      </c>
      <c r="D77" s="1" t="s">
        <v>19</v>
      </c>
      <c r="E77" s="1" t="s">
        <v>20</v>
      </c>
      <c r="F77" s="1" t="n">
        <v>24</v>
      </c>
      <c r="G77" s="2" t="s">
        <v>24</v>
      </c>
      <c r="H77" s="1" t="n">
        <v>0.1695</v>
      </c>
      <c r="I77" s="1" t="n">
        <v>0.371773523635638</v>
      </c>
      <c r="J77" s="1" t="n">
        <v>0.398371059257253</v>
      </c>
      <c r="K77" s="1" t="n">
        <f aca="false">J77-I77</f>
        <v>0.0265975356216157</v>
      </c>
      <c r="L77" s="1" t="n">
        <v>0.686816342783247</v>
      </c>
    </row>
    <row r="78" customFormat="false" ht="15" hidden="false" customHeight="false" outlineLevel="0" collapsed="false">
      <c r="A78" s="1" t="s">
        <v>65</v>
      </c>
      <c r="B78" s="1" t="s">
        <v>66</v>
      </c>
      <c r="C78" s="1" t="s">
        <v>67</v>
      </c>
      <c r="D78" s="1" t="s">
        <v>19</v>
      </c>
      <c r="E78" s="1" t="s">
        <v>20</v>
      </c>
      <c r="F78" s="1" t="n">
        <v>24</v>
      </c>
      <c r="G78" s="2" t="s">
        <v>23</v>
      </c>
      <c r="H78" s="1" t="n">
        <v>0.1597</v>
      </c>
      <c r="I78" s="1" t="n">
        <v>0.350299219683322</v>
      </c>
      <c r="J78" s="1" t="n">
        <v>0.382791138498344</v>
      </c>
      <c r="K78" s="1" t="n">
        <f aca="false">J78-I78</f>
        <v>0.0324919188150222</v>
      </c>
      <c r="L78" s="1" t="n">
        <v>0.686816342783247</v>
      </c>
    </row>
    <row r="79" customFormat="false" ht="15" hidden="false" customHeight="false" outlineLevel="0" collapsed="false">
      <c r="A79" s="1" t="s">
        <v>65</v>
      </c>
      <c r="B79" s="1" t="s">
        <v>66</v>
      </c>
      <c r="C79" s="1" t="s">
        <v>67</v>
      </c>
      <c r="D79" s="1" t="s">
        <v>19</v>
      </c>
      <c r="E79" s="1" t="s">
        <v>20</v>
      </c>
      <c r="F79" s="1" t="n">
        <v>24</v>
      </c>
      <c r="G79" s="2" t="s">
        <v>26</v>
      </c>
      <c r="H79" s="1" t="n">
        <v>0.1575</v>
      </c>
      <c r="I79" s="1" t="n">
        <v>0.345524253317953</v>
      </c>
      <c r="J79" s="1" t="n">
        <v>0.337481899127202</v>
      </c>
      <c r="K79" s="1" t="n">
        <f aca="false">J79-I79</f>
        <v>-0.00804235419075133</v>
      </c>
      <c r="L79" s="1" t="n">
        <v>0.686816342783247</v>
      </c>
    </row>
    <row r="80" customFormat="false" ht="15" hidden="false" customHeight="false" outlineLevel="0" collapsed="false">
      <c r="A80" s="1" t="s">
        <v>65</v>
      </c>
      <c r="B80" s="1" t="s">
        <v>66</v>
      </c>
      <c r="C80" s="1" t="s">
        <v>67</v>
      </c>
      <c r="D80" s="1" t="s">
        <v>19</v>
      </c>
      <c r="E80" s="1" t="s">
        <v>20</v>
      </c>
      <c r="F80" s="1" t="n">
        <v>24</v>
      </c>
      <c r="G80" s="2" t="s">
        <v>31</v>
      </c>
      <c r="H80" s="1" t="n">
        <v>0.1479</v>
      </c>
      <c r="I80" s="1" t="n">
        <v>0.324437098614014</v>
      </c>
      <c r="J80" s="1" t="n">
        <v>0.377932565173357</v>
      </c>
      <c r="K80" s="1" t="n">
        <f aca="false">J80-I80</f>
        <v>0.0534954665593439</v>
      </c>
      <c r="L80" s="1" t="n">
        <v>0.686816342783247</v>
      </c>
    </row>
    <row r="81" customFormat="false" ht="15" hidden="false" customHeight="false" outlineLevel="0" collapsed="false">
      <c r="A81" s="1" t="s">
        <v>68</v>
      </c>
      <c r="B81" s="1" t="s">
        <v>69</v>
      </c>
      <c r="C81" s="1" t="s">
        <v>70</v>
      </c>
      <c r="D81" s="1" t="s">
        <v>19</v>
      </c>
      <c r="E81" s="1" t="s">
        <v>20</v>
      </c>
      <c r="F81" s="1" t="n">
        <v>26</v>
      </c>
      <c r="G81" s="2" t="s">
        <v>23</v>
      </c>
      <c r="H81" s="1" t="n">
        <v>0.1954</v>
      </c>
      <c r="I81" s="1" t="n">
        <v>0.407511829211466</v>
      </c>
      <c r="J81" s="1" t="n">
        <v>0.388142589845523</v>
      </c>
      <c r="K81" s="1" t="n">
        <f aca="false">J81-I81</f>
        <v>-0.0193692393659436</v>
      </c>
      <c r="L81" s="1" t="n">
        <v>0.718410360602762</v>
      </c>
    </row>
    <row r="82" customFormat="false" ht="15" hidden="false" customHeight="false" outlineLevel="0" collapsed="false">
      <c r="A82" s="1" t="s">
        <v>68</v>
      </c>
      <c r="B82" s="1" t="s">
        <v>69</v>
      </c>
      <c r="C82" s="1" t="s">
        <v>70</v>
      </c>
      <c r="D82" s="1" t="s">
        <v>19</v>
      </c>
      <c r="E82" s="1" t="s">
        <v>20</v>
      </c>
      <c r="F82" s="1" t="n">
        <v>26</v>
      </c>
      <c r="G82" s="2" t="s">
        <v>31</v>
      </c>
      <c r="H82" s="1" t="n">
        <v>0.1781</v>
      </c>
      <c r="I82" s="1" t="n">
        <v>0.371438131162769</v>
      </c>
      <c r="J82" s="1" t="n">
        <v>0.393707410889478</v>
      </c>
      <c r="K82" s="1" t="n">
        <f aca="false">J82-I82</f>
        <v>0.022269279726709</v>
      </c>
      <c r="L82" s="1" t="n">
        <v>0.718410360602762</v>
      </c>
    </row>
    <row r="83" customFormat="false" ht="15" hidden="false" customHeight="false" outlineLevel="0" collapsed="false">
      <c r="A83" s="1" t="s">
        <v>68</v>
      </c>
      <c r="B83" s="1" t="s">
        <v>69</v>
      </c>
      <c r="C83" s="1" t="s">
        <v>70</v>
      </c>
      <c r="D83" s="1" t="s">
        <v>19</v>
      </c>
      <c r="E83" s="1" t="s">
        <v>20</v>
      </c>
      <c r="F83" s="1" t="n">
        <v>26</v>
      </c>
      <c r="G83" s="2" t="s">
        <v>25</v>
      </c>
      <c r="H83" s="1" t="n">
        <v>0.1779</v>
      </c>
      <c r="I83" s="1" t="n">
        <v>0.370960073080911</v>
      </c>
      <c r="J83" s="1" t="n">
        <v>0.376022416776284</v>
      </c>
      <c r="K83" s="1" t="n">
        <f aca="false">J83-I83</f>
        <v>0.00506234369537251</v>
      </c>
      <c r="L83" s="1" t="n">
        <v>0.718410360602762</v>
      </c>
    </row>
    <row r="84" customFormat="false" ht="15" hidden="false" customHeight="false" outlineLevel="0" collapsed="false">
      <c r="A84" s="1" t="s">
        <v>68</v>
      </c>
      <c r="B84" s="1" t="s">
        <v>69</v>
      </c>
      <c r="C84" s="1" t="s">
        <v>70</v>
      </c>
      <c r="D84" s="1" t="s">
        <v>19</v>
      </c>
      <c r="E84" s="1" t="s">
        <v>20</v>
      </c>
      <c r="F84" s="1" t="n">
        <v>26</v>
      </c>
      <c r="G84" s="2" t="s">
        <v>22</v>
      </c>
      <c r="H84" s="1" t="n">
        <v>0.1756</v>
      </c>
      <c r="I84" s="1" t="n">
        <v>0.366326806980935</v>
      </c>
      <c r="J84" s="1" t="n">
        <v>0.341591760131306</v>
      </c>
      <c r="K84" s="1" t="n">
        <f aca="false">J84-I84</f>
        <v>-0.0247350468496294</v>
      </c>
      <c r="L84" s="1" t="n">
        <v>0.718410360602762</v>
      </c>
    </row>
    <row r="85" customFormat="false" ht="15" hidden="false" customHeight="false" outlineLevel="0" collapsed="false">
      <c r="A85" s="1" t="s">
        <v>68</v>
      </c>
      <c r="B85" s="1" t="s">
        <v>69</v>
      </c>
      <c r="C85" s="1" t="s">
        <v>70</v>
      </c>
      <c r="D85" s="1" t="s">
        <v>19</v>
      </c>
      <c r="E85" s="1" t="s">
        <v>20</v>
      </c>
      <c r="F85" s="1" t="n">
        <v>26</v>
      </c>
      <c r="G85" s="2" t="s">
        <v>21</v>
      </c>
      <c r="H85" s="1" t="n">
        <v>0.173</v>
      </c>
      <c r="I85" s="1" t="n">
        <v>0.360824237875551</v>
      </c>
      <c r="J85" s="1" t="n">
        <v>0.330320732891377</v>
      </c>
      <c r="K85" s="1" t="n">
        <f aca="false">J85-I85</f>
        <v>-0.0305035049841739</v>
      </c>
      <c r="L85" s="1" t="n">
        <v>0.718410360602762</v>
      </c>
    </row>
    <row r="86" customFormat="false" ht="15" hidden="false" customHeight="false" outlineLevel="0" collapsed="false">
      <c r="A86" s="1" t="s">
        <v>68</v>
      </c>
      <c r="B86" s="1" t="s">
        <v>69</v>
      </c>
      <c r="C86" s="1" t="s">
        <v>70</v>
      </c>
      <c r="D86" s="1" t="s">
        <v>19</v>
      </c>
      <c r="E86" s="1" t="s">
        <v>20</v>
      </c>
      <c r="F86" s="1" t="n">
        <v>26</v>
      </c>
      <c r="G86" s="2" t="s">
        <v>26</v>
      </c>
      <c r="H86" s="1" t="n">
        <v>0.1</v>
      </c>
      <c r="I86" s="1" t="n">
        <v>0.329808566559098</v>
      </c>
      <c r="J86" s="1" t="n">
        <v>0.31406739580755</v>
      </c>
      <c r="K86" s="1" t="n">
        <f aca="false">J86-I86</f>
        <v>-0.0157411707515471</v>
      </c>
      <c r="L86" s="1" t="n">
        <v>0.718410360602762</v>
      </c>
    </row>
    <row r="87" customFormat="false" ht="15" hidden="false" customHeight="false" outlineLevel="0" collapsed="false">
      <c r="A87" s="1" t="s">
        <v>71</v>
      </c>
      <c r="B87" s="1" t="s">
        <v>72</v>
      </c>
      <c r="C87" s="1" t="s">
        <v>73</v>
      </c>
      <c r="D87" s="1" t="s">
        <v>19</v>
      </c>
      <c r="E87" s="1" t="s">
        <v>20</v>
      </c>
      <c r="F87" s="1" t="n">
        <v>28</v>
      </c>
      <c r="G87" s="2" t="s">
        <v>25</v>
      </c>
      <c r="H87" s="1" t="n">
        <v>0.1859</v>
      </c>
      <c r="I87" s="1" t="n">
        <v>0.370997327775571</v>
      </c>
      <c r="J87" s="1" t="n">
        <v>0.394338636106731</v>
      </c>
      <c r="K87" s="1" t="n">
        <f aca="false">J87-I87</f>
        <v>0.0233413083311602</v>
      </c>
      <c r="L87" s="1" t="n">
        <v>0.744433669330252</v>
      </c>
    </row>
    <row r="88" customFormat="false" ht="15" hidden="false" customHeight="false" outlineLevel="0" collapsed="false">
      <c r="A88" s="1" t="s">
        <v>71</v>
      </c>
      <c r="B88" s="1" t="s">
        <v>72</v>
      </c>
      <c r="C88" s="1" t="s">
        <v>73</v>
      </c>
      <c r="D88" s="1" t="s">
        <v>19</v>
      </c>
      <c r="E88" s="1" t="s">
        <v>20</v>
      </c>
      <c r="F88" s="1" t="n">
        <v>28</v>
      </c>
      <c r="G88" s="2" t="s">
        <v>23</v>
      </c>
      <c r="H88" s="1" t="n">
        <v>0.1858</v>
      </c>
      <c r="I88" s="1" t="n">
        <v>0.370777804538509</v>
      </c>
      <c r="J88" s="1" t="n">
        <v>0.411984010424333</v>
      </c>
      <c r="K88" s="1" t="n">
        <f aca="false">J88-I88</f>
        <v>0.0412062058858239</v>
      </c>
      <c r="L88" s="1" t="n">
        <v>0.744433669330252</v>
      </c>
    </row>
    <row r="89" customFormat="false" ht="15" hidden="false" customHeight="false" outlineLevel="0" collapsed="false">
      <c r="A89" s="1" t="s">
        <v>71</v>
      </c>
      <c r="B89" s="1" t="s">
        <v>72</v>
      </c>
      <c r="C89" s="1" t="s">
        <v>73</v>
      </c>
      <c r="D89" s="1" t="s">
        <v>19</v>
      </c>
      <c r="E89" s="1" t="s">
        <v>20</v>
      </c>
      <c r="F89" s="1" t="n">
        <v>28</v>
      </c>
      <c r="G89" s="2" t="s">
        <v>30</v>
      </c>
      <c r="H89" s="1" t="n">
        <v>0.1811</v>
      </c>
      <c r="I89" s="1" t="n">
        <v>0.361451967213293</v>
      </c>
      <c r="J89" s="1" t="n">
        <v>0.372554997105742</v>
      </c>
      <c r="K89" s="1" t="n">
        <f aca="false">J89-I89</f>
        <v>0.0111030298924492</v>
      </c>
      <c r="L89" s="1" t="n">
        <v>0.744433669330252</v>
      </c>
    </row>
    <row r="90" customFormat="false" ht="15" hidden="false" customHeight="false" outlineLevel="0" collapsed="false">
      <c r="A90" s="1" t="s">
        <v>71</v>
      </c>
      <c r="B90" s="1" t="s">
        <v>72</v>
      </c>
      <c r="C90" s="1" t="s">
        <v>73</v>
      </c>
      <c r="D90" s="1" t="s">
        <v>19</v>
      </c>
      <c r="E90" s="1" t="s">
        <v>20</v>
      </c>
      <c r="F90" s="1" t="n">
        <v>28</v>
      </c>
      <c r="G90" s="2" t="s">
        <v>22</v>
      </c>
      <c r="H90" s="1" t="n">
        <v>0.1777</v>
      </c>
      <c r="I90" s="1" t="n">
        <v>0.354612084694718</v>
      </c>
      <c r="J90" s="1" t="n">
        <v>0.391726334971565</v>
      </c>
      <c r="K90" s="1" t="n">
        <f aca="false">J90-I90</f>
        <v>0.0371142502768475</v>
      </c>
      <c r="L90" s="1" t="n">
        <v>0.744433669330252</v>
      </c>
    </row>
    <row r="91" customFormat="false" ht="15" hidden="false" customHeight="false" outlineLevel="0" collapsed="false">
      <c r="A91" s="1" t="s">
        <v>71</v>
      </c>
      <c r="B91" s="1" t="s">
        <v>72</v>
      </c>
      <c r="C91" s="1" t="s">
        <v>73</v>
      </c>
      <c r="D91" s="1" t="s">
        <v>19</v>
      </c>
      <c r="E91" s="1" t="s">
        <v>20</v>
      </c>
      <c r="F91" s="1" t="n">
        <v>28</v>
      </c>
      <c r="G91" s="2" t="s">
        <v>45</v>
      </c>
      <c r="H91" s="1" t="n">
        <v>0.1694</v>
      </c>
      <c r="I91" s="1" t="n">
        <v>0.338020572646188</v>
      </c>
      <c r="J91" s="1" t="n">
        <v>0.345311017923728</v>
      </c>
      <c r="K91" s="1" t="n">
        <f aca="false">J91-I91</f>
        <v>0.00729044527754041</v>
      </c>
      <c r="L91" s="1" t="n">
        <v>0.744433669330252</v>
      </c>
    </row>
    <row r="92" customFormat="false" ht="15" hidden="false" customHeight="false" outlineLevel="0" collapsed="false">
      <c r="A92" s="1" t="s">
        <v>71</v>
      </c>
      <c r="B92" s="1" t="s">
        <v>72</v>
      </c>
      <c r="C92" s="1" t="s">
        <v>73</v>
      </c>
      <c r="D92" s="1" t="s">
        <v>19</v>
      </c>
      <c r="E92" s="1" t="s">
        <v>20</v>
      </c>
      <c r="F92" s="1" t="n">
        <v>28</v>
      </c>
      <c r="G92" s="2" t="s">
        <v>26</v>
      </c>
      <c r="H92" s="1" t="n">
        <v>0.1</v>
      </c>
      <c r="I92" s="1" t="n">
        <v>0.268611782478273</v>
      </c>
      <c r="J92" s="1" t="n">
        <v>0.313727785994663</v>
      </c>
      <c r="K92" s="1" t="n">
        <f aca="false">J92-I92</f>
        <v>0.0451160035163903</v>
      </c>
      <c r="L92" s="1" t="n">
        <v>0.744433669330252</v>
      </c>
    </row>
    <row r="93" customFormat="false" ht="15" hidden="false" customHeight="false" outlineLevel="0" collapsed="false">
      <c r="A93" s="1" t="s">
        <v>74</v>
      </c>
      <c r="B93" s="1" t="s">
        <v>75</v>
      </c>
      <c r="C93" s="1" t="s">
        <v>76</v>
      </c>
      <c r="D93" s="1" t="s">
        <v>19</v>
      </c>
      <c r="E93" s="1" t="s">
        <v>20</v>
      </c>
      <c r="F93" s="1" t="n">
        <v>30</v>
      </c>
      <c r="G93" s="2" t="s">
        <v>22</v>
      </c>
      <c r="H93" s="1" t="n">
        <v>0.202</v>
      </c>
      <c r="I93" s="1" t="n">
        <v>0.393257825037072</v>
      </c>
      <c r="J93" s="1" t="n">
        <v>0.356742256996659</v>
      </c>
      <c r="K93" s="1" t="n">
        <f aca="false">J93-I93</f>
        <v>-0.0365155680404136</v>
      </c>
      <c r="L93" s="1" t="n">
        <v>0.717764656873297</v>
      </c>
    </row>
    <row r="94" customFormat="false" ht="15" hidden="false" customHeight="false" outlineLevel="0" collapsed="false">
      <c r="A94" s="1" t="s">
        <v>74</v>
      </c>
      <c r="B94" s="1" t="s">
        <v>75</v>
      </c>
      <c r="C94" s="1" t="s">
        <v>76</v>
      </c>
      <c r="D94" s="1" t="s">
        <v>19</v>
      </c>
      <c r="E94" s="1" t="s">
        <v>20</v>
      </c>
      <c r="F94" s="1" t="n">
        <v>30</v>
      </c>
      <c r="G94" s="2" t="s">
        <v>25</v>
      </c>
      <c r="H94" s="1" t="n">
        <v>0.1853</v>
      </c>
      <c r="I94" s="1" t="n">
        <v>0.360845613930752</v>
      </c>
      <c r="J94" s="1" t="n">
        <v>0.330375207195135</v>
      </c>
      <c r="K94" s="1" t="n">
        <f aca="false">J94-I94</f>
        <v>-0.0304704067356166</v>
      </c>
      <c r="L94" s="1" t="n">
        <v>0.717764656873297</v>
      </c>
    </row>
    <row r="95" customFormat="false" ht="15" hidden="false" customHeight="false" outlineLevel="0" collapsed="false">
      <c r="A95" s="1" t="s">
        <v>74</v>
      </c>
      <c r="B95" s="1" t="s">
        <v>75</v>
      </c>
      <c r="C95" s="1" t="s">
        <v>76</v>
      </c>
      <c r="D95" s="1" t="s">
        <v>19</v>
      </c>
      <c r="E95" s="1" t="s">
        <v>20</v>
      </c>
      <c r="F95" s="1" t="n">
        <v>30</v>
      </c>
      <c r="G95" s="2" t="s">
        <v>23</v>
      </c>
      <c r="H95" s="1" t="n">
        <v>0.1769</v>
      </c>
      <c r="I95" s="1" t="n">
        <v>0.344466841357414</v>
      </c>
      <c r="J95" s="1" t="n">
        <v>0.316287763355263</v>
      </c>
      <c r="K95" s="1" t="n">
        <f aca="false">J95-I95</f>
        <v>-0.0281790780021509</v>
      </c>
      <c r="L95" s="1" t="n">
        <v>0.717764656873297</v>
      </c>
    </row>
    <row r="96" customFormat="false" ht="15" hidden="false" customHeight="false" outlineLevel="0" collapsed="false">
      <c r="A96" s="1" t="s">
        <v>74</v>
      </c>
      <c r="B96" s="1" t="s">
        <v>75</v>
      </c>
      <c r="C96" s="1" t="s">
        <v>76</v>
      </c>
      <c r="D96" s="1" t="s">
        <v>19</v>
      </c>
      <c r="E96" s="1" t="s">
        <v>20</v>
      </c>
      <c r="F96" s="1" t="n">
        <v>30</v>
      </c>
      <c r="G96" s="2" t="s">
        <v>30</v>
      </c>
      <c r="H96" s="1" t="n">
        <v>0.1741</v>
      </c>
      <c r="I96" s="1" t="n">
        <v>0.339017273137439</v>
      </c>
      <c r="J96" s="1" t="n">
        <v>0.34045274005012</v>
      </c>
      <c r="K96" s="1" t="n">
        <f aca="false">J96-I96</f>
        <v>0.00143546691268137</v>
      </c>
      <c r="L96" s="1" t="n">
        <v>0.717764656873297</v>
      </c>
    </row>
    <row r="97" customFormat="false" ht="15" hidden="false" customHeight="false" outlineLevel="0" collapsed="false">
      <c r="A97" s="1" t="s">
        <v>74</v>
      </c>
      <c r="B97" s="1" t="s">
        <v>75</v>
      </c>
      <c r="C97" s="1" t="s">
        <v>76</v>
      </c>
      <c r="D97" s="1" t="s">
        <v>19</v>
      </c>
      <c r="E97" s="1" t="s">
        <v>20</v>
      </c>
      <c r="F97" s="1" t="n">
        <v>30</v>
      </c>
      <c r="G97" s="2" t="s">
        <v>77</v>
      </c>
      <c r="H97" s="1" t="n">
        <v>0.1617</v>
      </c>
      <c r="I97" s="1" t="n">
        <v>0.314933578141624</v>
      </c>
      <c r="J97" s="1" t="n">
        <v>0.300606154813251</v>
      </c>
      <c r="K97" s="1" t="n">
        <f aca="false">J97-I97</f>
        <v>-0.014327423328373</v>
      </c>
      <c r="L97" s="1" t="n">
        <v>0.717764656873297</v>
      </c>
    </row>
    <row r="98" customFormat="false" ht="15" hidden="false" customHeight="false" outlineLevel="0" collapsed="false">
      <c r="A98" s="1" t="s">
        <v>74</v>
      </c>
      <c r="B98" s="1" t="s">
        <v>75</v>
      </c>
      <c r="C98" s="1" t="s">
        <v>76</v>
      </c>
      <c r="D98" s="1" t="s">
        <v>19</v>
      </c>
      <c r="E98" s="1" t="s">
        <v>20</v>
      </c>
      <c r="F98" s="1" t="n">
        <v>30</v>
      </c>
      <c r="G98" s="2" t="s">
        <v>26</v>
      </c>
      <c r="H98" s="1" t="n">
        <v>0.1</v>
      </c>
      <c r="I98" s="1" t="n">
        <v>0.283995619889337</v>
      </c>
      <c r="J98" s="1" t="n">
        <v>0.283638035737155</v>
      </c>
      <c r="K98" s="1" t="n">
        <f aca="false">J98-I98</f>
        <v>-0.000357584152181401</v>
      </c>
      <c r="L98" s="1" t="n">
        <v>0.717764656873297</v>
      </c>
    </row>
    <row r="99" customFormat="false" ht="15" hidden="false" customHeight="false" outlineLevel="0" collapsed="false">
      <c r="A99" s="1" t="s">
        <v>78</v>
      </c>
      <c r="B99" s="1" t="s">
        <v>79</v>
      </c>
      <c r="C99" s="1" t="s">
        <v>80</v>
      </c>
      <c r="D99" s="1" t="s">
        <v>19</v>
      </c>
      <c r="E99" s="1" t="s">
        <v>20</v>
      </c>
      <c r="F99" s="1" t="n">
        <v>32</v>
      </c>
      <c r="G99" s="2" t="s">
        <v>22</v>
      </c>
      <c r="H99" s="1" t="n">
        <v>0.1933</v>
      </c>
      <c r="I99" s="1" t="n">
        <v>0.341112223579613</v>
      </c>
      <c r="J99" s="1" t="n">
        <v>0.411614398529555</v>
      </c>
      <c r="K99" s="1" t="n">
        <f aca="false">J99-I99</f>
        <v>0.0705021749499421</v>
      </c>
      <c r="L99" s="1" t="n">
        <v>0.737447565963683</v>
      </c>
    </row>
    <row r="100" customFormat="false" ht="15" hidden="false" customHeight="false" outlineLevel="0" collapsed="false">
      <c r="A100" s="1" t="s">
        <v>78</v>
      </c>
      <c r="B100" s="1" t="s">
        <v>79</v>
      </c>
      <c r="C100" s="1" t="s">
        <v>80</v>
      </c>
      <c r="D100" s="1" t="s">
        <v>19</v>
      </c>
      <c r="E100" s="1" t="s">
        <v>20</v>
      </c>
      <c r="F100" s="1" t="n">
        <v>32</v>
      </c>
      <c r="G100" s="2" t="s">
        <v>30</v>
      </c>
      <c r="H100" s="1" t="n">
        <v>0.1735</v>
      </c>
      <c r="I100" s="1" t="n">
        <v>0.306232892945573</v>
      </c>
      <c r="J100" s="1" t="n">
        <v>0.383949568048165</v>
      </c>
      <c r="K100" s="1" t="n">
        <f aca="false">J100-I100</f>
        <v>0.0777166751025926</v>
      </c>
      <c r="L100" s="1" t="n">
        <v>0.737447565963683</v>
      </c>
    </row>
    <row r="101" customFormat="false" ht="15" hidden="false" customHeight="false" outlineLevel="0" collapsed="false">
      <c r="A101" s="1" t="s">
        <v>78</v>
      </c>
      <c r="B101" s="1" t="s">
        <v>79</v>
      </c>
      <c r="C101" s="1" t="s">
        <v>80</v>
      </c>
      <c r="D101" s="1" t="s">
        <v>19</v>
      </c>
      <c r="E101" s="1" t="s">
        <v>20</v>
      </c>
      <c r="F101" s="1" t="n">
        <v>32</v>
      </c>
      <c r="G101" s="2" t="s">
        <v>38</v>
      </c>
      <c r="H101" s="1" t="n">
        <v>0.1625</v>
      </c>
      <c r="I101" s="1" t="n">
        <v>0.286794975280571</v>
      </c>
      <c r="J101" s="1" t="n">
        <v>0.393329216036779</v>
      </c>
      <c r="K101" s="1" t="n">
        <f aca="false">J101-I101</f>
        <v>0.106534240756209</v>
      </c>
      <c r="L101" s="1" t="n">
        <v>0.737447565963683</v>
      </c>
    </row>
    <row r="102" customFormat="false" ht="15" hidden="false" customHeight="false" outlineLevel="0" collapsed="false">
      <c r="A102" s="1" t="s">
        <v>78</v>
      </c>
      <c r="B102" s="1" t="s">
        <v>79</v>
      </c>
      <c r="C102" s="1" t="s">
        <v>80</v>
      </c>
      <c r="D102" s="1" t="s">
        <v>19</v>
      </c>
      <c r="E102" s="1" t="s">
        <v>20</v>
      </c>
      <c r="F102" s="1" t="n">
        <v>32</v>
      </c>
      <c r="G102" s="2" t="s">
        <v>23</v>
      </c>
      <c r="H102" s="1" t="n">
        <v>0.1594</v>
      </c>
      <c r="I102" s="1" t="n">
        <v>0.281266080053503</v>
      </c>
      <c r="J102" s="1" t="n">
        <v>0.386798640784511</v>
      </c>
      <c r="K102" s="1" t="n">
        <f aca="false">J102-I102</f>
        <v>0.105532560731008</v>
      </c>
      <c r="L102" s="1" t="n">
        <v>0.737447565963683</v>
      </c>
    </row>
    <row r="103" customFormat="false" ht="15" hidden="false" customHeight="false" outlineLevel="0" collapsed="false">
      <c r="A103" s="1" t="s">
        <v>78</v>
      </c>
      <c r="B103" s="1" t="s">
        <v>79</v>
      </c>
      <c r="C103" s="1" t="s">
        <v>80</v>
      </c>
      <c r="D103" s="1" t="s">
        <v>19</v>
      </c>
      <c r="E103" s="1" t="s">
        <v>20</v>
      </c>
      <c r="F103" s="1" t="n">
        <v>32</v>
      </c>
      <c r="G103" s="2" t="s">
        <v>25</v>
      </c>
      <c r="H103" s="1" t="n">
        <v>0.1581</v>
      </c>
      <c r="I103" s="1" t="n">
        <v>0.278992898961349</v>
      </c>
      <c r="J103" s="1" t="n">
        <v>0.399483930223545</v>
      </c>
      <c r="K103" s="1" t="n">
        <f aca="false">J103-I103</f>
        <v>0.120491031262196</v>
      </c>
      <c r="L103" s="1" t="n">
        <v>0.737447565963683</v>
      </c>
    </row>
    <row r="104" customFormat="false" ht="15" hidden="false" customHeight="false" outlineLevel="0" collapsed="false">
      <c r="A104" s="1" t="s">
        <v>78</v>
      </c>
      <c r="B104" s="1" t="s">
        <v>79</v>
      </c>
      <c r="C104" s="1" t="s">
        <v>80</v>
      </c>
      <c r="D104" s="1" t="s">
        <v>19</v>
      </c>
      <c r="E104" s="1" t="s">
        <v>20</v>
      </c>
      <c r="F104" s="1" t="n">
        <v>32</v>
      </c>
      <c r="G104" s="2" t="s">
        <v>26</v>
      </c>
      <c r="H104" s="1" t="n">
        <v>0.1533</v>
      </c>
      <c r="I104" s="1" t="n">
        <v>0.27046596807736</v>
      </c>
      <c r="J104" s="1" t="n">
        <v>0.306767011220616</v>
      </c>
      <c r="K104" s="1" t="n">
        <f aca="false">J104-I104</f>
        <v>0.0363010431432558</v>
      </c>
      <c r="L104" s="1" t="n">
        <v>0.737447565963683</v>
      </c>
    </row>
    <row r="105" customFormat="false" ht="15" hidden="false" customHeight="false" outlineLevel="0" collapsed="false">
      <c r="A105" s="1" t="s">
        <v>81</v>
      </c>
      <c r="B105" s="1" t="s">
        <v>82</v>
      </c>
      <c r="C105" s="1" t="s">
        <v>83</v>
      </c>
      <c r="D105" s="1" t="s">
        <v>19</v>
      </c>
      <c r="E105" s="1" t="s">
        <v>20</v>
      </c>
      <c r="F105" s="1" t="n">
        <v>34</v>
      </c>
      <c r="G105" s="2" t="s">
        <v>25</v>
      </c>
      <c r="H105" s="1" t="n">
        <v>0.1962</v>
      </c>
      <c r="I105" s="1" t="n">
        <v>0.418072586933422</v>
      </c>
      <c r="J105" s="1" t="n">
        <v>0.430228825321365</v>
      </c>
      <c r="K105" s="1" t="n">
        <f aca="false">J105-I105</f>
        <v>0.0121562383879429</v>
      </c>
      <c r="L105" s="1" t="n">
        <v>0.700591538533063</v>
      </c>
    </row>
    <row r="106" customFormat="false" ht="15" hidden="false" customHeight="false" outlineLevel="0" collapsed="false">
      <c r="A106" s="1" t="s">
        <v>81</v>
      </c>
      <c r="B106" s="1" t="s">
        <v>82</v>
      </c>
      <c r="C106" s="1" t="s">
        <v>83</v>
      </c>
      <c r="D106" s="1" t="s">
        <v>19</v>
      </c>
      <c r="E106" s="1" t="s">
        <v>20</v>
      </c>
      <c r="F106" s="1" t="n">
        <v>34</v>
      </c>
      <c r="G106" s="2" t="s">
        <v>22</v>
      </c>
      <c r="H106" s="1" t="n">
        <v>0.1893</v>
      </c>
      <c r="I106" s="1" t="n">
        <v>0.403388383927929</v>
      </c>
      <c r="J106" s="1" t="n">
        <v>0.389781405580806</v>
      </c>
      <c r="K106" s="1" t="n">
        <f aca="false">J106-I106</f>
        <v>-0.0136069783471238</v>
      </c>
      <c r="L106" s="1" t="n">
        <v>0.700591538533063</v>
      </c>
    </row>
    <row r="107" customFormat="false" ht="15" hidden="false" customHeight="false" outlineLevel="0" collapsed="false">
      <c r="A107" s="1" t="s">
        <v>81</v>
      </c>
      <c r="B107" s="1" t="s">
        <v>82</v>
      </c>
      <c r="C107" s="1" t="s">
        <v>83</v>
      </c>
      <c r="D107" s="1" t="s">
        <v>19</v>
      </c>
      <c r="E107" s="1" t="s">
        <v>20</v>
      </c>
      <c r="F107" s="1" t="n">
        <v>34</v>
      </c>
      <c r="G107" s="2" t="s">
        <v>30</v>
      </c>
      <c r="H107" s="1" t="n">
        <v>0.1884</v>
      </c>
      <c r="I107" s="1" t="n">
        <v>0.401495313585979</v>
      </c>
      <c r="J107" s="1" t="n">
        <v>0.36738235298396</v>
      </c>
      <c r="K107" s="1" t="n">
        <f aca="false">J107-I107</f>
        <v>-0.0341129606020197</v>
      </c>
      <c r="L107" s="1" t="n">
        <v>0.700591538533063</v>
      </c>
    </row>
    <row r="108" customFormat="false" ht="15" hidden="false" customHeight="false" outlineLevel="0" collapsed="false">
      <c r="A108" s="1" t="s">
        <v>81</v>
      </c>
      <c r="B108" s="1" t="s">
        <v>82</v>
      </c>
      <c r="C108" s="1" t="s">
        <v>83</v>
      </c>
      <c r="D108" s="1" t="s">
        <v>19</v>
      </c>
      <c r="E108" s="1" t="s">
        <v>20</v>
      </c>
      <c r="F108" s="1" t="n">
        <v>34</v>
      </c>
      <c r="G108" s="2" t="s">
        <v>23</v>
      </c>
      <c r="H108" s="1" t="n">
        <v>0.1631</v>
      </c>
      <c r="I108" s="1" t="n">
        <v>0.347677393506023</v>
      </c>
      <c r="J108" s="1" t="n">
        <v>0.363344721492421</v>
      </c>
      <c r="K108" s="1" t="n">
        <f aca="false">J108-I108</f>
        <v>0.0156673279863977</v>
      </c>
      <c r="L108" s="1" t="n">
        <v>0.700591538533063</v>
      </c>
    </row>
    <row r="109" customFormat="false" ht="15" hidden="false" customHeight="false" outlineLevel="0" collapsed="false">
      <c r="A109" s="1" t="s">
        <v>81</v>
      </c>
      <c r="B109" s="1" t="s">
        <v>82</v>
      </c>
      <c r="C109" s="1" t="s">
        <v>83</v>
      </c>
      <c r="D109" s="1" t="s">
        <v>19</v>
      </c>
      <c r="E109" s="1" t="s">
        <v>20</v>
      </c>
      <c r="F109" s="1" t="n">
        <v>34</v>
      </c>
      <c r="G109" s="2" t="s">
        <v>38</v>
      </c>
      <c r="H109" s="1" t="n">
        <v>0.163</v>
      </c>
      <c r="I109" s="1" t="n">
        <v>0.347426455790535</v>
      </c>
      <c r="J109" s="1" t="n">
        <v>0.39001303903959</v>
      </c>
      <c r="K109" s="1" t="n">
        <f aca="false">J109-I109</f>
        <v>0.0425865832490554</v>
      </c>
      <c r="L109" s="1" t="n">
        <v>0.700591538533063</v>
      </c>
    </row>
    <row r="110" customFormat="false" ht="15" hidden="false" customHeight="false" outlineLevel="0" collapsed="false">
      <c r="A110" s="1" t="s">
        <v>81</v>
      </c>
      <c r="B110" s="1" t="s">
        <v>82</v>
      </c>
      <c r="C110" s="1" t="s">
        <v>83</v>
      </c>
      <c r="D110" s="1" t="s">
        <v>19</v>
      </c>
      <c r="E110" s="1" t="s">
        <v>20</v>
      </c>
      <c r="F110" s="1" t="n">
        <v>34</v>
      </c>
      <c r="G110" s="2" t="s">
        <v>26</v>
      </c>
      <c r="H110" s="1" t="n">
        <v>0.1</v>
      </c>
      <c r="I110" s="1" t="n">
        <v>0.286927955019784</v>
      </c>
      <c r="J110" s="1" t="n">
        <v>0.317536210880584</v>
      </c>
      <c r="K110" s="1" t="n">
        <f aca="false">J110-I110</f>
        <v>0.0306082558608</v>
      </c>
      <c r="L110" s="1" t="n">
        <v>0.700591538533063</v>
      </c>
    </row>
    <row r="111" customFormat="false" ht="15" hidden="false" customHeight="false" outlineLevel="0" collapsed="false">
      <c r="A111" s="1" t="s">
        <v>84</v>
      </c>
      <c r="B111" s="1" t="s">
        <v>85</v>
      </c>
      <c r="C111" s="1" t="s">
        <v>86</v>
      </c>
      <c r="D111" s="1" t="s">
        <v>19</v>
      </c>
      <c r="E111" s="1" t="s">
        <v>20</v>
      </c>
      <c r="F111" s="1" t="n">
        <v>36</v>
      </c>
      <c r="G111" s="2" t="s">
        <v>21</v>
      </c>
      <c r="H111" s="1" t="n">
        <v>0.1996</v>
      </c>
      <c r="I111" s="1" t="n">
        <v>0.402910770491006</v>
      </c>
      <c r="J111" s="1" t="n">
        <v>0.446972000714276</v>
      </c>
      <c r="K111" s="1" t="n">
        <f aca="false">J111-I111</f>
        <v>0.0440612302232709</v>
      </c>
      <c r="L111" s="1" t="n">
        <v>0.678930245127542</v>
      </c>
    </row>
    <row r="112" customFormat="false" ht="15" hidden="false" customHeight="false" outlineLevel="0" collapsed="false">
      <c r="A112" s="1" t="s">
        <v>84</v>
      </c>
      <c r="B112" s="1" t="s">
        <v>85</v>
      </c>
      <c r="C112" s="1" t="s">
        <v>86</v>
      </c>
      <c r="D112" s="1" t="s">
        <v>19</v>
      </c>
      <c r="E112" s="1" t="s">
        <v>20</v>
      </c>
      <c r="F112" s="1" t="n">
        <v>36</v>
      </c>
      <c r="G112" s="2" t="s">
        <v>55</v>
      </c>
      <c r="H112" s="1" t="n">
        <v>0.1869</v>
      </c>
      <c r="I112" s="1" t="n">
        <v>0.377175701344684</v>
      </c>
      <c r="J112" s="1" t="n">
        <v>0.46915449118113</v>
      </c>
      <c r="K112" s="1" t="n">
        <f aca="false">J112-I112</f>
        <v>0.0919787898364459</v>
      </c>
      <c r="L112" s="1" t="n">
        <v>0.678930245127542</v>
      </c>
    </row>
    <row r="113" customFormat="false" ht="15" hidden="false" customHeight="false" outlineLevel="0" collapsed="false">
      <c r="A113" s="1" t="s">
        <v>84</v>
      </c>
      <c r="B113" s="1" t="s">
        <v>85</v>
      </c>
      <c r="C113" s="1" t="s">
        <v>86</v>
      </c>
      <c r="D113" s="1" t="s">
        <v>19</v>
      </c>
      <c r="E113" s="1" t="s">
        <v>20</v>
      </c>
      <c r="F113" s="1" t="n">
        <v>36</v>
      </c>
      <c r="G113" s="2" t="s">
        <v>22</v>
      </c>
      <c r="H113" s="1" t="n">
        <v>0.1734</v>
      </c>
      <c r="I113" s="1" t="n">
        <v>0.349944144298442</v>
      </c>
      <c r="J113" s="1" t="n">
        <v>0.379339191146858</v>
      </c>
      <c r="K113" s="1" t="n">
        <f aca="false">J113-I113</f>
        <v>0.0293950468484158</v>
      </c>
      <c r="L113" s="1" t="n">
        <v>0.678930245127542</v>
      </c>
    </row>
    <row r="114" customFormat="false" ht="15" hidden="false" customHeight="false" outlineLevel="0" collapsed="false">
      <c r="A114" s="1" t="s">
        <v>84</v>
      </c>
      <c r="B114" s="1" t="s">
        <v>85</v>
      </c>
      <c r="C114" s="1" t="s">
        <v>86</v>
      </c>
      <c r="D114" s="1" t="s">
        <v>19</v>
      </c>
      <c r="E114" s="1" t="s">
        <v>20</v>
      </c>
      <c r="F114" s="1" t="n">
        <v>36</v>
      </c>
      <c r="G114" s="2" t="s">
        <v>45</v>
      </c>
      <c r="H114" s="1" t="n">
        <v>0.1714</v>
      </c>
      <c r="I114" s="1" t="n">
        <v>0.345938912828691</v>
      </c>
      <c r="J114" s="1" t="n">
        <v>0.332876191874629</v>
      </c>
      <c r="K114" s="1" t="n">
        <f aca="false">J114-I114</f>
        <v>-0.013062720954062</v>
      </c>
      <c r="L114" s="1" t="n">
        <v>0.678930245127542</v>
      </c>
    </row>
    <row r="115" customFormat="false" ht="15" hidden="false" customHeight="false" outlineLevel="0" collapsed="false">
      <c r="A115" s="1" t="s">
        <v>84</v>
      </c>
      <c r="B115" s="1" t="s">
        <v>85</v>
      </c>
      <c r="C115" s="1" t="s">
        <v>86</v>
      </c>
      <c r="D115" s="1" t="s">
        <v>19</v>
      </c>
      <c r="E115" s="1" t="s">
        <v>20</v>
      </c>
      <c r="F115" s="1" t="n">
        <v>36</v>
      </c>
      <c r="G115" s="2" t="s">
        <v>25</v>
      </c>
      <c r="H115" s="1" t="n">
        <v>0.1687</v>
      </c>
      <c r="I115" s="1" t="n">
        <v>0.340586008816914</v>
      </c>
      <c r="J115" s="1" t="n">
        <v>0.407317268022177</v>
      </c>
      <c r="K115" s="1" t="n">
        <f aca="false">J115-I115</f>
        <v>0.0667312592052632</v>
      </c>
      <c r="L115" s="1" t="n">
        <v>0.678930245127542</v>
      </c>
    </row>
    <row r="116" customFormat="false" ht="15" hidden="false" customHeight="false" outlineLevel="0" collapsed="false">
      <c r="A116" s="1" t="s">
        <v>84</v>
      </c>
      <c r="B116" s="1" t="s">
        <v>85</v>
      </c>
      <c r="C116" s="1" t="s">
        <v>86</v>
      </c>
      <c r="D116" s="1" t="s">
        <v>19</v>
      </c>
      <c r="E116" s="1" t="s">
        <v>20</v>
      </c>
      <c r="F116" s="1" t="n">
        <v>36</v>
      </c>
      <c r="G116" s="2" t="s">
        <v>26</v>
      </c>
      <c r="H116" s="1" t="n">
        <v>0.1</v>
      </c>
      <c r="I116" s="1" t="n">
        <v>0.273931749355432</v>
      </c>
      <c r="J116" s="1" t="n">
        <v>0.382576025098729</v>
      </c>
      <c r="K116" s="1" t="n">
        <f aca="false">J116-I116</f>
        <v>0.108644275743297</v>
      </c>
      <c r="L116" s="1" t="n">
        <v>0.678930245127542</v>
      </c>
    </row>
    <row r="117" customFormat="false" ht="15" hidden="false" customHeight="false" outlineLevel="0" collapsed="false">
      <c r="A117" s="1" t="s">
        <v>87</v>
      </c>
      <c r="B117" s="1" t="s">
        <v>88</v>
      </c>
      <c r="C117" s="1" t="s">
        <v>89</v>
      </c>
      <c r="D117" s="1" t="s">
        <v>19</v>
      </c>
      <c r="E117" s="1" t="s">
        <v>20</v>
      </c>
      <c r="F117" s="1" t="n">
        <v>38</v>
      </c>
      <c r="G117" s="2" t="s">
        <v>55</v>
      </c>
      <c r="H117" s="1" t="n">
        <v>0.1942</v>
      </c>
      <c r="I117" s="1" t="n">
        <v>0.415411703826461</v>
      </c>
      <c r="J117" s="1" t="n">
        <v>0.318521540699433</v>
      </c>
      <c r="K117" s="1" t="n">
        <f aca="false">J117-I117</f>
        <v>-0.0968901631270284</v>
      </c>
      <c r="L117" s="1" t="n">
        <v>0.696243121106112</v>
      </c>
    </row>
    <row r="118" customFormat="false" ht="15" hidden="false" customHeight="false" outlineLevel="0" collapsed="false">
      <c r="A118" s="1" t="s">
        <v>87</v>
      </c>
      <c r="B118" s="1" t="s">
        <v>88</v>
      </c>
      <c r="C118" s="1" t="s">
        <v>89</v>
      </c>
      <c r="D118" s="1" t="s">
        <v>19</v>
      </c>
      <c r="E118" s="1" t="s">
        <v>20</v>
      </c>
      <c r="F118" s="1" t="n">
        <v>38</v>
      </c>
      <c r="G118" s="2" t="s">
        <v>21</v>
      </c>
      <c r="H118" s="1" t="n">
        <v>0.1837</v>
      </c>
      <c r="I118" s="1" t="n">
        <v>0.392994715735855</v>
      </c>
      <c r="J118" s="1" t="n">
        <v>0.346168143732279</v>
      </c>
      <c r="K118" s="1" t="n">
        <f aca="false">J118-I118</f>
        <v>-0.046826572003576</v>
      </c>
      <c r="L118" s="1" t="n">
        <v>0.696243121106112</v>
      </c>
    </row>
    <row r="119" customFormat="false" ht="15" hidden="false" customHeight="false" outlineLevel="0" collapsed="false">
      <c r="A119" s="1" t="s">
        <v>87</v>
      </c>
      <c r="B119" s="1" t="s">
        <v>88</v>
      </c>
      <c r="C119" s="1" t="s">
        <v>89</v>
      </c>
      <c r="D119" s="1" t="s">
        <v>19</v>
      </c>
      <c r="E119" s="1" t="s">
        <v>20</v>
      </c>
      <c r="F119" s="1" t="n">
        <v>38</v>
      </c>
      <c r="G119" s="2" t="s">
        <v>25</v>
      </c>
      <c r="H119" s="1" t="n">
        <v>0.1789</v>
      </c>
      <c r="I119" s="1" t="n">
        <v>0.382765559270146</v>
      </c>
      <c r="J119" s="1" t="n">
        <v>0.416085857889275</v>
      </c>
      <c r="K119" s="1" t="n">
        <f aca="false">J119-I119</f>
        <v>0.0333202986191297</v>
      </c>
      <c r="L119" s="1" t="n">
        <v>0.696243121106112</v>
      </c>
    </row>
    <row r="120" customFormat="false" ht="15" hidden="false" customHeight="false" outlineLevel="0" collapsed="false">
      <c r="A120" s="1" t="s">
        <v>87</v>
      </c>
      <c r="B120" s="1" t="s">
        <v>88</v>
      </c>
      <c r="C120" s="1" t="s">
        <v>89</v>
      </c>
      <c r="D120" s="1" t="s">
        <v>19</v>
      </c>
      <c r="E120" s="1" t="s">
        <v>20</v>
      </c>
      <c r="F120" s="1" t="n">
        <v>38</v>
      </c>
      <c r="G120" s="2" t="s">
        <v>24</v>
      </c>
      <c r="H120" s="1" t="n">
        <v>0.1762</v>
      </c>
      <c r="I120" s="1" t="n">
        <v>0.376934589450219</v>
      </c>
      <c r="J120" s="1" t="n">
        <v>0.378438342079417</v>
      </c>
      <c r="K120" s="1" t="n">
        <f aca="false">J120-I120</f>
        <v>0.00150375262919866</v>
      </c>
      <c r="L120" s="1" t="n">
        <v>0.696243121106112</v>
      </c>
    </row>
    <row r="121" customFormat="false" ht="15" hidden="false" customHeight="false" outlineLevel="0" collapsed="false">
      <c r="A121" s="1" t="s">
        <v>87</v>
      </c>
      <c r="B121" s="1" t="s">
        <v>88</v>
      </c>
      <c r="C121" s="1" t="s">
        <v>89</v>
      </c>
      <c r="D121" s="1" t="s">
        <v>19</v>
      </c>
      <c r="E121" s="1" t="s">
        <v>20</v>
      </c>
      <c r="F121" s="1" t="n">
        <v>38</v>
      </c>
      <c r="G121" s="2" t="s">
        <v>23</v>
      </c>
      <c r="H121" s="1" t="n">
        <v>0.1669</v>
      </c>
      <c r="I121" s="1" t="n">
        <v>0.356954078632514</v>
      </c>
      <c r="J121" s="1" t="n">
        <v>0.359519372122149</v>
      </c>
      <c r="K121" s="1" t="n">
        <f aca="false">J121-I121</f>
        <v>0.00256529348963558</v>
      </c>
      <c r="L121" s="1" t="n">
        <v>0.696243121106112</v>
      </c>
    </row>
    <row r="122" customFormat="false" ht="15" hidden="false" customHeight="false" outlineLevel="0" collapsed="false">
      <c r="A122" s="1" t="s">
        <v>87</v>
      </c>
      <c r="B122" s="1" t="s">
        <v>88</v>
      </c>
      <c r="C122" s="1" t="s">
        <v>89</v>
      </c>
      <c r="D122" s="1" t="s">
        <v>19</v>
      </c>
      <c r="E122" s="1" t="s">
        <v>20</v>
      </c>
      <c r="F122" s="1" t="n">
        <v>38</v>
      </c>
      <c r="G122" s="2" t="s">
        <v>26</v>
      </c>
      <c r="H122" s="1" t="n">
        <v>0.1</v>
      </c>
      <c r="I122" s="1" t="n">
        <v>0.270040026953895</v>
      </c>
      <c r="J122" s="1" t="n">
        <v>0.291480848951173</v>
      </c>
      <c r="K122" s="1" t="n">
        <f aca="false">J122-I122</f>
        <v>0.0214408219972787</v>
      </c>
      <c r="L122" s="1" t="n">
        <v>0.696243121106112</v>
      </c>
    </row>
    <row r="123" customFormat="false" ht="15" hidden="false" customHeight="false" outlineLevel="0" collapsed="false">
      <c r="A123" s="1" t="s">
        <v>90</v>
      </c>
      <c r="B123" s="1" t="s">
        <v>91</v>
      </c>
      <c r="C123" s="1" t="s">
        <v>92</v>
      </c>
      <c r="D123" s="1" t="s">
        <v>19</v>
      </c>
      <c r="E123" s="1" t="s">
        <v>20</v>
      </c>
      <c r="F123" s="1" t="n">
        <v>40</v>
      </c>
      <c r="G123" s="2" t="s">
        <v>25</v>
      </c>
      <c r="H123" s="1" t="n">
        <v>0.1983</v>
      </c>
      <c r="I123" s="1" t="n">
        <v>0.395972240691598</v>
      </c>
      <c r="J123" s="1" t="n">
        <v>0.404123018640216</v>
      </c>
      <c r="K123" s="1" t="n">
        <f aca="false">J123-I123</f>
        <v>0.00815077794861852</v>
      </c>
      <c r="L123" s="1" t="n">
        <v>0.751495467345464</v>
      </c>
    </row>
    <row r="124" customFormat="false" ht="15" hidden="false" customHeight="false" outlineLevel="0" collapsed="false">
      <c r="A124" s="1" t="s">
        <v>90</v>
      </c>
      <c r="B124" s="1" t="s">
        <v>91</v>
      </c>
      <c r="C124" s="1" t="s">
        <v>92</v>
      </c>
      <c r="D124" s="1" t="s">
        <v>19</v>
      </c>
      <c r="E124" s="1" t="s">
        <v>20</v>
      </c>
      <c r="F124" s="1" t="n">
        <v>40</v>
      </c>
      <c r="G124" s="2" t="s">
        <v>23</v>
      </c>
      <c r="H124" s="1" t="n">
        <v>0.1843</v>
      </c>
      <c r="I124" s="1" t="n">
        <v>0.368102586019897</v>
      </c>
      <c r="J124" s="1" t="n">
        <v>0.387169423979366</v>
      </c>
      <c r="K124" s="1" t="n">
        <f aca="false">J124-I124</f>
        <v>0.0190668379594685</v>
      </c>
      <c r="L124" s="1" t="n">
        <v>0.751495467345464</v>
      </c>
    </row>
    <row r="125" customFormat="false" ht="15" hidden="false" customHeight="false" outlineLevel="0" collapsed="false">
      <c r="A125" s="1" t="s">
        <v>90</v>
      </c>
      <c r="B125" s="1" t="s">
        <v>91</v>
      </c>
      <c r="C125" s="1" t="s">
        <v>92</v>
      </c>
      <c r="D125" s="1" t="s">
        <v>19</v>
      </c>
      <c r="E125" s="1" t="s">
        <v>20</v>
      </c>
      <c r="F125" s="1" t="n">
        <v>40</v>
      </c>
      <c r="G125" s="2" t="s">
        <v>24</v>
      </c>
      <c r="H125" s="1" t="n">
        <v>0.176</v>
      </c>
      <c r="I125" s="1" t="n">
        <v>0.35150374010813</v>
      </c>
      <c r="J125" s="1" t="n">
        <v>0.415373002800603</v>
      </c>
      <c r="K125" s="1" t="n">
        <f aca="false">J125-I125</f>
        <v>0.0638692626924726</v>
      </c>
      <c r="L125" s="1" t="n">
        <v>0.751495467345464</v>
      </c>
    </row>
    <row r="126" customFormat="false" ht="15" hidden="false" customHeight="false" outlineLevel="0" collapsed="false">
      <c r="A126" s="1" t="s">
        <v>90</v>
      </c>
      <c r="B126" s="1" t="s">
        <v>91</v>
      </c>
      <c r="C126" s="1" t="s">
        <v>92</v>
      </c>
      <c r="D126" s="1" t="s">
        <v>19</v>
      </c>
      <c r="E126" s="1" t="s">
        <v>20</v>
      </c>
      <c r="F126" s="1" t="n">
        <v>40</v>
      </c>
      <c r="G126" s="2" t="s">
        <v>22</v>
      </c>
      <c r="H126" s="1" t="n">
        <v>0.1751</v>
      </c>
      <c r="I126" s="1" t="n">
        <v>0.349636581614591</v>
      </c>
      <c r="J126" s="1" t="n">
        <v>0.397666136617113</v>
      </c>
      <c r="K126" s="1" t="n">
        <f aca="false">J126-I126</f>
        <v>0.0480295550025223</v>
      </c>
      <c r="L126" s="1" t="n">
        <v>0.751495467345464</v>
      </c>
    </row>
    <row r="127" customFormat="false" ht="15" hidden="false" customHeight="false" outlineLevel="0" collapsed="false">
      <c r="A127" s="1" t="s">
        <v>90</v>
      </c>
      <c r="B127" s="1" t="s">
        <v>91</v>
      </c>
      <c r="C127" s="1" t="s">
        <v>92</v>
      </c>
      <c r="D127" s="1" t="s">
        <v>19</v>
      </c>
      <c r="E127" s="1" t="s">
        <v>20</v>
      </c>
      <c r="F127" s="1" t="n">
        <v>40</v>
      </c>
      <c r="G127" s="2" t="s">
        <v>21</v>
      </c>
      <c r="H127" s="1" t="n">
        <v>0.1663</v>
      </c>
      <c r="I127" s="1" t="n">
        <v>0.332087629228499</v>
      </c>
      <c r="J127" s="1" t="n">
        <v>0.403519988174226</v>
      </c>
      <c r="K127" s="1" t="n">
        <f aca="false">J127-I127</f>
        <v>0.0714323589457274</v>
      </c>
      <c r="L127" s="1" t="n">
        <v>0.751495467345464</v>
      </c>
    </row>
    <row r="128" customFormat="false" ht="15" hidden="false" customHeight="false" outlineLevel="0" collapsed="false">
      <c r="A128" s="1" t="s">
        <v>90</v>
      </c>
      <c r="B128" s="1" t="s">
        <v>91</v>
      </c>
      <c r="C128" s="1" t="s">
        <v>92</v>
      </c>
      <c r="D128" s="1" t="s">
        <v>19</v>
      </c>
      <c r="E128" s="1" t="s">
        <v>20</v>
      </c>
      <c r="F128" s="1" t="n">
        <v>40</v>
      </c>
      <c r="G128" s="2" t="s">
        <v>26</v>
      </c>
      <c r="H128" s="1" t="n">
        <v>0.1</v>
      </c>
      <c r="I128" s="1" t="n">
        <v>0.250888176954562</v>
      </c>
      <c r="J128" s="1" t="n">
        <v>0.344624632323813</v>
      </c>
      <c r="K128" s="1" t="n">
        <f aca="false">J128-I128</f>
        <v>0.093736455369251</v>
      </c>
      <c r="L128" s="1" t="n">
        <v>0.751495467345464</v>
      </c>
    </row>
    <row r="129" customFormat="false" ht="15" hidden="false" customHeight="false" outlineLevel="0" collapsed="false">
      <c r="A129" s="1" t="s">
        <v>93</v>
      </c>
      <c r="B129" s="1" t="s">
        <v>94</v>
      </c>
      <c r="C129" s="1" t="s">
        <v>95</v>
      </c>
      <c r="D129" s="1" t="s">
        <v>19</v>
      </c>
      <c r="E129" s="1" t="s">
        <v>20</v>
      </c>
      <c r="F129" s="1" t="n">
        <v>42</v>
      </c>
      <c r="G129" s="2" t="s">
        <v>22</v>
      </c>
      <c r="H129" s="1" t="n">
        <v>0.1963</v>
      </c>
      <c r="I129" s="1" t="n">
        <v>0.396501412921791</v>
      </c>
      <c r="J129" s="1" t="n">
        <v>0.396698858279566</v>
      </c>
      <c r="K129" s="1" t="n">
        <f aca="false">J129-I129</f>
        <v>0.00019744535777505</v>
      </c>
      <c r="L129" s="1" t="n">
        <v>0.66012396246485</v>
      </c>
    </row>
    <row r="130" customFormat="false" ht="15" hidden="false" customHeight="false" outlineLevel="0" collapsed="false">
      <c r="A130" s="1" t="s">
        <v>93</v>
      </c>
      <c r="B130" s="1" t="s">
        <v>94</v>
      </c>
      <c r="C130" s="1" t="s">
        <v>95</v>
      </c>
      <c r="D130" s="1" t="s">
        <v>19</v>
      </c>
      <c r="E130" s="1" t="s">
        <v>20</v>
      </c>
      <c r="F130" s="1" t="n">
        <v>42</v>
      </c>
      <c r="G130" s="2" t="s">
        <v>25</v>
      </c>
      <c r="H130" s="1" t="n">
        <v>0.1868</v>
      </c>
      <c r="I130" s="1" t="n">
        <v>0.377347889827882</v>
      </c>
      <c r="J130" s="1" t="n">
        <v>0.376757337285544</v>
      </c>
      <c r="K130" s="1" t="n">
        <f aca="false">J130-I130</f>
        <v>-0.000590552542337086</v>
      </c>
      <c r="L130" s="1" t="n">
        <v>0.66012396246485</v>
      </c>
    </row>
    <row r="131" customFormat="false" ht="15" hidden="false" customHeight="false" outlineLevel="0" collapsed="false">
      <c r="A131" s="1" t="s">
        <v>93</v>
      </c>
      <c r="B131" s="1" t="s">
        <v>94</v>
      </c>
      <c r="C131" s="1" t="s">
        <v>95</v>
      </c>
      <c r="D131" s="1" t="s">
        <v>19</v>
      </c>
      <c r="E131" s="1" t="s">
        <v>20</v>
      </c>
      <c r="F131" s="1" t="n">
        <v>42</v>
      </c>
      <c r="G131" s="2" t="s">
        <v>23</v>
      </c>
      <c r="H131" s="1" t="n">
        <v>0.1759</v>
      </c>
      <c r="I131" s="1" t="n">
        <v>0.355363708877302</v>
      </c>
      <c r="J131" s="1" t="n">
        <v>0.350936759786757</v>
      </c>
      <c r="K131" s="1" t="n">
        <f aca="false">J131-I131</f>
        <v>-0.0044269490905452</v>
      </c>
      <c r="L131" s="1" t="n">
        <v>0.66012396246485</v>
      </c>
    </row>
    <row r="132" customFormat="false" ht="15" hidden="false" customHeight="false" outlineLevel="0" collapsed="false">
      <c r="A132" s="1" t="s">
        <v>93</v>
      </c>
      <c r="B132" s="1" t="s">
        <v>94</v>
      </c>
      <c r="C132" s="1" t="s">
        <v>95</v>
      </c>
      <c r="D132" s="1" t="s">
        <v>19</v>
      </c>
      <c r="E132" s="1" t="s">
        <v>20</v>
      </c>
      <c r="F132" s="1" t="n">
        <v>42</v>
      </c>
      <c r="G132" s="2" t="s">
        <v>31</v>
      </c>
      <c r="H132" s="1" t="n">
        <v>0.172</v>
      </c>
      <c r="I132" s="1" t="n">
        <v>0.347310069754348</v>
      </c>
      <c r="J132" s="1" t="n">
        <v>0.38155211040507</v>
      </c>
      <c r="K132" s="1" t="n">
        <f aca="false">J132-I132</f>
        <v>0.0342420406507214</v>
      </c>
      <c r="L132" s="1" t="n">
        <v>0.66012396246485</v>
      </c>
    </row>
    <row r="133" customFormat="false" ht="15" hidden="false" customHeight="false" outlineLevel="0" collapsed="false">
      <c r="A133" s="1" t="s">
        <v>93</v>
      </c>
      <c r="B133" s="1" t="s">
        <v>94</v>
      </c>
      <c r="C133" s="1" t="s">
        <v>95</v>
      </c>
      <c r="D133" s="1" t="s">
        <v>19</v>
      </c>
      <c r="E133" s="1" t="s">
        <v>20</v>
      </c>
      <c r="F133" s="1" t="n">
        <v>42</v>
      </c>
      <c r="G133" s="2" t="s">
        <v>24</v>
      </c>
      <c r="H133" s="1" t="n">
        <v>0.169</v>
      </c>
      <c r="I133" s="1" t="n">
        <v>0.341261484108947</v>
      </c>
      <c r="J133" s="1" t="n">
        <v>0.35960023216341</v>
      </c>
      <c r="K133" s="1" t="n">
        <f aca="false">J133-I133</f>
        <v>0.0183387480544621</v>
      </c>
      <c r="L133" s="1" t="n">
        <v>0.66012396246485</v>
      </c>
    </row>
    <row r="134" customFormat="false" ht="15" hidden="false" customHeight="false" outlineLevel="0" collapsed="false">
      <c r="A134" s="1" t="s">
        <v>93</v>
      </c>
      <c r="B134" s="1" t="s">
        <v>94</v>
      </c>
      <c r="C134" s="1" t="s">
        <v>95</v>
      </c>
      <c r="D134" s="1" t="s">
        <v>19</v>
      </c>
      <c r="E134" s="1" t="s">
        <v>20</v>
      </c>
      <c r="F134" s="1" t="n">
        <v>42</v>
      </c>
      <c r="G134" s="2" t="s">
        <v>26</v>
      </c>
      <c r="H134" s="1" t="n">
        <v>0.1</v>
      </c>
      <c r="I134" s="1" t="n">
        <v>0.29631097344327</v>
      </c>
      <c r="J134" s="1" t="n">
        <v>0.319406683965738</v>
      </c>
      <c r="K134" s="1" t="n">
        <f aca="false">J134-I134</f>
        <v>0.023095710522468</v>
      </c>
      <c r="L134" s="1" t="n">
        <v>0.66012396246485</v>
      </c>
    </row>
    <row r="135" customFormat="false" ht="15" hidden="false" customHeight="false" outlineLevel="0" collapsed="false">
      <c r="A135" s="1" t="s">
        <v>96</v>
      </c>
      <c r="B135" s="1" t="s">
        <v>97</v>
      </c>
      <c r="C135" s="1" t="s">
        <v>98</v>
      </c>
      <c r="D135" s="1" t="s">
        <v>19</v>
      </c>
      <c r="E135" s="1" t="s">
        <v>20</v>
      </c>
      <c r="F135" s="1" t="n">
        <v>44</v>
      </c>
      <c r="G135" s="2" t="s">
        <v>22</v>
      </c>
      <c r="H135" s="1" t="n">
        <v>0.198</v>
      </c>
      <c r="I135" s="1" t="n">
        <v>0.374391564150875</v>
      </c>
      <c r="J135" s="1" t="n">
        <v>0.398648613841836</v>
      </c>
      <c r="K135" s="1" t="n">
        <f aca="false">J135-I135</f>
        <v>0.0242570496909619</v>
      </c>
      <c r="L135" s="1" t="n">
        <v>0.738555955351407</v>
      </c>
    </row>
    <row r="136" customFormat="false" ht="15" hidden="false" customHeight="false" outlineLevel="0" collapsed="false">
      <c r="A136" s="1" t="s">
        <v>96</v>
      </c>
      <c r="B136" s="1" t="s">
        <v>97</v>
      </c>
      <c r="C136" s="1" t="s">
        <v>98</v>
      </c>
      <c r="D136" s="1" t="s">
        <v>19</v>
      </c>
      <c r="E136" s="1" t="s">
        <v>20</v>
      </c>
      <c r="F136" s="1" t="n">
        <v>44</v>
      </c>
      <c r="G136" s="2" t="s">
        <v>25</v>
      </c>
      <c r="H136" s="1" t="n">
        <v>0.1849</v>
      </c>
      <c r="I136" s="1" t="n">
        <v>0.349486649577251</v>
      </c>
      <c r="J136" s="1" t="n">
        <v>0.423931717605572</v>
      </c>
      <c r="K136" s="1" t="n">
        <f aca="false">J136-I136</f>
        <v>0.0744450680283212</v>
      </c>
      <c r="L136" s="1" t="n">
        <v>0.738555955351407</v>
      </c>
    </row>
    <row r="137" customFormat="false" ht="15" hidden="false" customHeight="false" outlineLevel="0" collapsed="false">
      <c r="A137" s="1" t="s">
        <v>96</v>
      </c>
      <c r="B137" s="1" t="s">
        <v>97</v>
      </c>
      <c r="C137" s="1" t="s">
        <v>98</v>
      </c>
      <c r="D137" s="1" t="s">
        <v>19</v>
      </c>
      <c r="E137" s="1" t="s">
        <v>20</v>
      </c>
      <c r="F137" s="1" t="n">
        <v>44</v>
      </c>
      <c r="G137" s="2" t="s">
        <v>30</v>
      </c>
      <c r="H137" s="1" t="n">
        <v>0.1775</v>
      </c>
      <c r="I137" s="1" t="n">
        <v>0.33559196600242</v>
      </c>
      <c r="J137" s="1" t="n">
        <v>0.399657134005637</v>
      </c>
      <c r="K137" s="1" t="n">
        <f aca="false">J137-I137</f>
        <v>0.0640651680032171</v>
      </c>
      <c r="L137" s="1" t="n">
        <v>0.738555955351407</v>
      </c>
    </row>
    <row r="138" customFormat="false" ht="15" hidden="false" customHeight="false" outlineLevel="0" collapsed="false">
      <c r="A138" s="1" t="s">
        <v>96</v>
      </c>
      <c r="B138" s="1" t="s">
        <v>97</v>
      </c>
      <c r="C138" s="1" t="s">
        <v>98</v>
      </c>
      <c r="D138" s="1" t="s">
        <v>19</v>
      </c>
      <c r="E138" s="1" t="s">
        <v>20</v>
      </c>
      <c r="F138" s="1" t="n">
        <v>44</v>
      </c>
      <c r="G138" s="2" t="s">
        <v>21</v>
      </c>
      <c r="H138" s="1" t="n">
        <v>0.1699</v>
      </c>
      <c r="I138" s="1" t="n">
        <v>0.321287118920762</v>
      </c>
      <c r="J138" s="1" t="n">
        <v>0.386718577303371</v>
      </c>
      <c r="K138" s="1" t="n">
        <f aca="false">J138-I138</f>
        <v>0.065431458382609</v>
      </c>
      <c r="L138" s="1" t="n">
        <v>0.738555955351407</v>
      </c>
    </row>
    <row r="139" customFormat="false" ht="15" hidden="false" customHeight="false" outlineLevel="0" collapsed="false">
      <c r="A139" s="1" t="s">
        <v>96</v>
      </c>
      <c r="B139" s="1" t="s">
        <v>97</v>
      </c>
      <c r="C139" s="1" t="s">
        <v>98</v>
      </c>
      <c r="D139" s="1" t="s">
        <v>19</v>
      </c>
      <c r="E139" s="1" t="s">
        <v>20</v>
      </c>
      <c r="F139" s="1" t="n">
        <v>44</v>
      </c>
      <c r="G139" s="2" t="s">
        <v>23</v>
      </c>
      <c r="H139" s="1" t="n">
        <v>0.1697</v>
      </c>
      <c r="I139" s="1" t="n">
        <v>0.32078446517608</v>
      </c>
      <c r="J139" s="1" t="n">
        <v>0.415377369275628</v>
      </c>
      <c r="K139" s="1" t="n">
        <f aca="false">J139-I139</f>
        <v>0.0945929040995484</v>
      </c>
      <c r="L139" s="1" t="n">
        <v>0.738555955351407</v>
      </c>
    </row>
    <row r="140" customFormat="false" ht="15" hidden="false" customHeight="false" outlineLevel="0" collapsed="false">
      <c r="A140" s="1" t="s">
        <v>96</v>
      </c>
      <c r="B140" s="1" t="s">
        <v>97</v>
      </c>
      <c r="C140" s="1" t="s">
        <v>98</v>
      </c>
      <c r="D140" s="1" t="s">
        <v>19</v>
      </c>
      <c r="E140" s="1" t="s">
        <v>20</v>
      </c>
      <c r="F140" s="1" t="n">
        <v>44</v>
      </c>
      <c r="G140" s="2" t="s">
        <v>26</v>
      </c>
      <c r="H140" s="1" t="n">
        <v>0.1</v>
      </c>
      <c r="I140" s="1" t="n">
        <v>0.256933120891258</v>
      </c>
      <c r="J140" s="1" t="n">
        <v>0.323872219465133</v>
      </c>
      <c r="K140" s="1" t="n">
        <f aca="false">J140-I140</f>
        <v>0.0669390985738748</v>
      </c>
      <c r="L140" s="1" t="n">
        <v>0.738555955351407</v>
      </c>
    </row>
    <row r="141" customFormat="false" ht="15" hidden="false" customHeight="false" outlineLevel="0" collapsed="false">
      <c r="A141" s="1" t="s">
        <v>99</v>
      </c>
      <c r="B141" s="1" t="s">
        <v>100</v>
      </c>
      <c r="C141" s="1" t="s">
        <v>101</v>
      </c>
      <c r="D141" s="1" t="s">
        <v>19</v>
      </c>
      <c r="E141" s="1" t="s">
        <v>20</v>
      </c>
      <c r="F141" s="1" t="n">
        <v>46</v>
      </c>
      <c r="G141" s="2" t="s">
        <v>22</v>
      </c>
      <c r="H141" s="1" t="n">
        <v>0.1993</v>
      </c>
      <c r="I141" s="1" t="n">
        <v>0.406624787554576</v>
      </c>
      <c r="J141" s="1" t="n">
        <v>0.386295715574646</v>
      </c>
      <c r="K141" s="1" t="n">
        <f aca="false">J141-I141</f>
        <v>-0.0203290719799304</v>
      </c>
      <c r="L141" s="1" t="n">
        <v>0.74726844232579</v>
      </c>
    </row>
    <row r="142" customFormat="false" ht="15" hidden="false" customHeight="false" outlineLevel="0" collapsed="false">
      <c r="A142" s="1" t="s">
        <v>99</v>
      </c>
      <c r="B142" s="1" t="s">
        <v>100</v>
      </c>
      <c r="C142" s="1" t="s">
        <v>101</v>
      </c>
      <c r="D142" s="1" t="s">
        <v>19</v>
      </c>
      <c r="E142" s="1" t="s">
        <v>20</v>
      </c>
      <c r="F142" s="1" t="n">
        <v>46</v>
      </c>
      <c r="G142" s="2" t="s">
        <v>25</v>
      </c>
      <c r="H142" s="1" t="n">
        <v>0.1794</v>
      </c>
      <c r="I142" s="1" t="n">
        <v>0.365973856798598</v>
      </c>
      <c r="J142" s="1" t="n">
        <v>0.369817982295525</v>
      </c>
      <c r="K142" s="1" t="n">
        <f aca="false">J142-I142</f>
        <v>0.00384412549692709</v>
      </c>
      <c r="L142" s="1" t="n">
        <v>0.74726844232579</v>
      </c>
    </row>
    <row r="143" customFormat="false" ht="15" hidden="false" customHeight="false" outlineLevel="0" collapsed="false">
      <c r="A143" s="1" t="s">
        <v>99</v>
      </c>
      <c r="B143" s="1" t="s">
        <v>100</v>
      </c>
      <c r="C143" s="1" t="s">
        <v>101</v>
      </c>
      <c r="D143" s="1" t="s">
        <v>19</v>
      </c>
      <c r="E143" s="1" t="s">
        <v>20</v>
      </c>
      <c r="F143" s="1" t="n">
        <v>46</v>
      </c>
      <c r="G143" s="2" t="s">
        <v>30</v>
      </c>
      <c r="H143" s="1" t="n">
        <v>0.1791</v>
      </c>
      <c r="I143" s="1" t="n">
        <v>0.365468557405896</v>
      </c>
      <c r="J143" s="1" t="n">
        <v>0.365575931874126</v>
      </c>
      <c r="K143" s="1" t="n">
        <f aca="false">J143-I143</f>
        <v>0.00010737446823067</v>
      </c>
      <c r="L143" s="1" t="n">
        <v>0.74726844232579</v>
      </c>
    </row>
    <row r="144" customFormat="false" ht="15" hidden="false" customHeight="false" outlineLevel="0" collapsed="false">
      <c r="A144" s="1" t="s">
        <v>99</v>
      </c>
      <c r="B144" s="1" t="s">
        <v>100</v>
      </c>
      <c r="C144" s="1" t="s">
        <v>101</v>
      </c>
      <c r="D144" s="1" t="s">
        <v>19</v>
      </c>
      <c r="E144" s="1" t="s">
        <v>20</v>
      </c>
      <c r="F144" s="1" t="n">
        <v>46</v>
      </c>
      <c r="G144" s="2" t="s">
        <v>23</v>
      </c>
      <c r="H144" s="1" t="n">
        <v>0.1747</v>
      </c>
      <c r="I144" s="1" t="n">
        <v>0.356404304346592</v>
      </c>
      <c r="J144" s="1" t="n">
        <v>0.358480573973153</v>
      </c>
      <c r="K144" s="1" t="n">
        <f aca="false">J144-I144</f>
        <v>0.00207626962656082</v>
      </c>
      <c r="L144" s="1" t="n">
        <v>0.74726844232579</v>
      </c>
    </row>
    <row r="145" customFormat="false" ht="15" hidden="false" customHeight="false" outlineLevel="0" collapsed="false">
      <c r="A145" s="1" t="s">
        <v>99</v>
      </c>
      <c r="B145" s="1" t="s">
        <v>100</v>
      </c>
      <c r="C145" s="1" t="s">
        <v>101</v>
      </c>
      <c r="D145" s="1" t="s">
        <v>19</v>
      </c>
      <c r="E145" s="1" t="s">
        <v>20</v>
      </c>
      <c r="F145" s="1" t="n">
        <v>46</v>
      </c>
      <c r="G145" s="2" t="s">
        <v>24</v>
      </c>
      <c r="H145" s="1" t="n">
        <v>0.1675</v>
      </c>
      <c r="I145" s="1" t="n">
        <v>0.341813785171238</v>
      </c>
      <c r="J145" s="1" t="n">
        <v>0.388295291180882</v>
      </c>
      <c r="K145" s="1" t="n">
        <f aca="false">J145-I145</f>
        <v>0.0464815060096445</v>
      </c>
      <c r="L145" s="1" t="n">
        <v>0.74726844232579</v>
      </c>
    </row>
    <row r="146" customFormat="false" ht="15" hidden="false" customHeight="false" outlineLevel="0" collapsed="false">
      <c r="A146" s="1" t="s">
        <v>99</v>
      </c>
      <c r="B146" s="1" t="s">
        <v>100</v>
      </c>
      <c r="C146" s="1" t="s">
        <v>101</v>
      </c>
      <c r="D146" s="1" t="s">
        <v>19</v>
      </c>
      <c r="E146" s="1" t="s">
        <v>20</v>
      </c>
      <c r="F146" s="1" t="n">
        <v>46</v>
      </c>
      <c r="G146" s="2" t="s">
        <v>26</v>
      </c>
      <c r="H146" s="1" t="n">
        <v>0.1</v>
      </c>
      <c r="I146" s="1" t="n">
        <v>0.328975996112386</v>
      </c>
      <c r="J146" s="1" t="n">
        <v>0.34316258877655</v>
      </c>
      <c r="K146" s="1" t="n">
        <f aca="false">J146-I146</f>
        <v>0.0141865926641642</v>
      </c>
      <c r="L146" s="1" t="n">
        <v>0.74726844232579</v>
      </c>
    </row>
    <row r="147" customFormat="false" ht="15" hidden="false" customHeight="false" outlineLevel="0" collapsed="false">
      <c r="A147" s="1" t="s">
        <v>102</v>
      </c>
      <c r="B147" s="1" t="s">
        <v>103</v>
      </c>
      <c r="C147" s="1" t="s">
        <v>104</v>
      </c>
      <c r="D147" s="1" t="s">
        <v>19</v>
      </c>
      <c r="E147" s="1" t="s">
        <v>20</v>
      </c>
      <c r="F147" s="1" t="n">
        <v>48</v>
      </c>
      <c r="G147" s="2" t="s">
        <v>22</v>
      </c>
      <c r="H147" s="1" t="n">
        <v>0.194</v>
      </c>
      <c r="I147" s="1" t="n">
        <v>0.425792531011288</v>
      </c>
      <c r="J147" s="1" t="n">
        <v>0.416287621533489</v>
      </c>
      <c r="K147" s="1" t="n">
        <f aca="false">J147-I147</f>
        <v>-0.0095049094777987</v>
      </c>
      <c r="L147" s="1" t="n">
        <v>0.70142641264434</v>
      </c>
    </row>
    <row r="148" customFormat="false" ht="15" hidden="false" customHeight="false" outlineLevel="0" collapsed="false">
      <c r="A148" s="1" t="s">
        <v>102</v>
      </c>
      <c r="B148" s="1" t="s">
        <v>103</v>
      </c>
      <c r="C148" s="1" t="s">
        <v>104</v>
      </c>
      <c r="D148" s="1" t="s">
        <v>19</v>
      </c>
      <c r="E148" s="1" t="s">
        <v>20</v>
      </c>
      <c r="F148" s="1" t="n">
        <v>48</v>
      </c>
      <c r="G148" s="2" t="s">
        <v>25</v>
      </c>
      <c r="H148" s="1" t="n">
        <v>0.1683</v>
      </c>
      <c r="I148" s="1" t="n">
        <v>0.369396271872838</v>
      </c>
      <c r="J148" s="1" t="n">
        <v>0.462515442825524</v>
      </c>
      <c r="K148" s="1" t="n">
        <f aca="false">J148-I148</f>
        <v>0.0931191709526862</v>
      </c>
      <c r="L148" s="1" t="n">
        <v>0.70142641264434</v>
      </c>
    </row>
    <row r="149" customFormat="false" ht="15" hidden="false" customHeight="false" outlineLevel="0" collapsed="false">
      <c r="A149" s="1" t="s">
        <v>102</v>
      </c>
      <c r="B149" s="1" t="s">
        <v>103</v>
      </c>
      <c r="C149" s="1" t="s">
        <v>104</v>
      </c>
      <c r="D149" s="1" t="s">
        <v>19</v>
      </c>
      <c r="E149" s="1" t="s">
        <v>20</v>
      </c>
      <c r="F149" s="1" t="n">
        <v>48</v>
      </c>
      <c r="G149" s="2" t="s">
        <v>30</v>
      </c>
      <c r="H149" s="1" t="n">
        <v>0.1669</v>
      </c>
      <c r="I149" s="1" t="n">
        <v>0.366364699405155</v>
      </c>
      <c r="J149" s="1" t="n">
        <v>0.378348018227299</v>
      </c>
      <c r="K149" s="1" t="n">
        <f aca="false">J149-I149</f>
        <v>0.0119833188221444</v>
      </c>
      <c r="L149" s="1" t="n">
        <v>0.70142641264434</v>
      </c>
    </row>
    <row r="150" customFormat="false" ht="15" hidden="false" customHeight="false" outlineLevel="0" collapsed="false">
      <c r="A150" s="1" t="s">
        <v>102</v>
      </c>
      <c r="B150" s="1" t="s">
        <v>103</v>
      </c>
      <c r="C150" s="1" t="s">
        <v>104</v>
      </c>
      <c r="D150" s="1" t="s">
        <v>19</v>
      </c>
      <c r="E150" s="1" t="s">
        <v>20</v>
      </c>
      <c r="F150" s="1" t="n">
        <v>48</v>
      </c>
      <c r="G150" s="2" t="s">
        <v>26</v>
      </c>
      <c r="H150" s="1" t="n">
        <v>0.1611</v>
      </c>
      <c r="I150" s="1" t="n">
        <v>0.3535327944649</v>
      </c>
      <c r="J150" s="1" t="n">
        <v>0.329587323345845</v>
      </c>
      <c r="K150" s="1" t="n">
        <f aca="false">J150-I150</f>
        <v>-0.0239454711190557</v>
      </c>
      <c r="L150" s="1" t="n">
        <v>0.70142641264434</v>
      </c>
    </row>
    <row r="151" customFormat="false" ht="15" hidden="false" customHeight="false" outlineLevel="0" collapsed="false">
      <c r="A151" s="1" t="s">
        <v>102</v>
      </c>
      <c r="B151" s="1" t="s">
        <v>103</v>
      </c>
      <c r="C151" s="1" t="s">
        <v>104</v>
      </c>
      <c r="D151" s="1" t="s">
        <v>19</v>
      </c>
      <c r="E151" s="1" t="s">
        <v>20</v>
      </c>
      <c r="F151" s="1" t="n">
        <v>48</v>
      </c>
      <c r="G151" s="2" t="s">
        <v>24</v>
      </c>
      <c r="H151" s="1" t="n">
        <v>0.1557</v>
      </c>
      <c r="I151" s="1" t="n">
        <v>0.34161221997787</v>
      </c>
      <c r="J151" s="1" t="n">
        <v>0.406544730234088</v>
      </c>
      <c r="K151" s="1" t="n">
        <f aca="false">J151-I151</f>
        <v>0.0649325102562176</v>
      </c>
      <c r="L151" s="1" t="n">
        <v>0.70142641264434</v>
      </c>
    </row>
    <row r="152" customFormat="false" ht="15" hidden="false" customHeight="false" outlineLevel="0" collapsed="false">
      <c r="A152" s="1" t="s">
        <v>102</v>
      </c>
      <c r="B152" s="1" t="s">
        <v>103</v>
      </c>
      <c r="C152" s="1" t="s">
        <v>104</v>
      </c>
      <c r="D152" s="1" t="s">
        <v>19</v>
      </c>
      <c r="E152" s="1" t="s">
        <v>20</v>
      </c>
      <c r="F152" s="1" t="n">
        <v>48</v>
      </c>
      <c r="G152" s="2" t="s">
        <v>31</v>
      </c>
      <c r="H152" s="1" t="n">
        <v>0.154</v>
      </c>
      <c r="I152" s="1" t="n">
        <v>0.337913484117823</v>
      </c>
      <c r="J152" s="1" t="n">
        <v>0.372748322471178</v>
      </c>
      <c r="K152" s="1" t="n">
        <f aca="false">J152-I152</f>
        <v>0.0348348383533547</v>
      </c>
      <c r="L152" s="1" t="n">
        <v>0.70142641264434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A1" activeCellId="1" sqref="E4:L4 A1"/>
    </sheetView>
  </sheetViews>
  <sheetFormatPr defaultColWidth="12.43359375" defaultRowHeight="12.8" customHeight="false" zeroHeight="false" outlineLevelRow="0" outlineLevelCol="0"/>
  <cols>
    <col collapsed="false" customWidth="true" hidden="false" outlineLevel="0" max="2" min="2" style="1" width="21.48"/>
  </cols>
  <sheetData>
    <row r="1" customFormat="false" ht="12.8" hidden="false" customHeight="false" outlineLevel="0" collapsed="false">
      <c r="A1" s="6" t="s">
        <v>105</v>
      </c>
      <c r="B1" s="6"/>
    </row>
    <row r="2" customFormat="false" ht="12.8" hidden="false" customHeight="false" outlineLevel="0" collapsed="false">
      <c r="A2" s="6"/>
      <c r="B2" s="6"/>
    </row>
    <row r="3" customFormat="false" ht="12.8" hidden="false" customHeight="false" outlineLevel="0" collapsed="false">
      <c r="A3" s="6" t="s">
        <v>106</v>
      </c>
      <c r="B3" s="7" t="n">
        <f aca="false">scen5_hybsem!P2</f>
        <v>150</v>
      </c>
    </row>
    <row r="4" customFormat="false" ht="12.8" hidden="false" customHeight="false" outlineLevel="0" collapsed="false">
      <c r="A4" s="6" t="s">
        <v>107</v>
      </c>
      <c r="B4" s="6" t="n">
        <f aca="false">B10*SQRT((B3-2)/(1-B10^2))</f>
        <v>-4.40972232921782</v>
      </c>
    </row>
    <row r="5" customFormat="false" ht="12.8" hidden="false" customHeight="false" outlineLevel="0" collapsed="false">
      <c r="A5" s="6" t="s">
        <v>108</v>
      </c>
      <c r="B5" s="6" t="n">
        <f aca="false">_xlfn.T.DIST.2T(ABS(B4),B3-2)</f>
        <v>1.97930235413867E-005</v>
      </c>
    </row>
    <row r="6" customFormat="false" ht="12.8" hidden="false" customHeight="false" outlineLevel="0" collapsed="false">
      <c r="A6" s="6"/>
      <c r="B6" s="8"/>
    </row>
    <row r="7" customFormat="false" ht="12.8" hidden="false" customHeight="false" outlineLevel="0" collapsed="false">
      <c r="A7" s="6"/>
      <c r="B7" s="8"/>
    </row>
    <row r="8" customFormat="false" ht="12.8" hidden="false" customHeight="false" outlineLevel="0" collapsed="false">
      <c r="A8" s="6"/>
      <c r="B8" s="8"/>
    </row>
    <row r="9" customFormat="false" ht="19.4" hidden="false" customHeight="false" outlineLevel="0" collapsed="false">
      <c r="A9" s="3" t="s">
        <v>12</v>
      </c>
      <c r="B9" s="3" t="s">
        <v>14</v>
      </c>
    </row>
    <row r="10" customFormat="false" ht="12.8" hidden="false" customHeight="false" outlineLevel="0" collapsed="false">
      <c r="A10" s="9" t="n">
        <f aca="false">B3</f>
        <v>150</v>
      </c>
      <c r="B10" s="9" t="n">
        <f aca="false">scen5_hybsem!R2</f>
        <v>-0.340780163992808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28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B3" activeCellId="1" sqref="E4:L4 B3"/>
    </sheetView>
  </sheetViews>
  <sheetFormatPr defaultColWidth="12.43359375" defaultRowHeight="12.8" customHeight="false" zeroHeight="false" outlineLevelRow="0" outlineLevelCol="0"/>
  <cols>
    <col collapsed="false" customWidth="true" hidden="false" outlineLevel="0" max="2" min="2" style="1" width="19.32"/>
  </cols>
  <sheetData>
    <row r="2" customFormat="false" ht="12.8" hidden="false" customHeight="false" outlineLevel="0" collapsed="false">
      <c r="A2" s="10" t="s">
        <v>109</v>
      </c>
      <c r="B2" s="10"/>
    </row>
    <row r="3" customFormat="false" ht="12.8" hidden="false" customHeight="false" outlineLevel="0" collapsed="false">
      <c r="A3" s="11" t="s">
        <v>110</v>
      </c>
      <c r="B3" s="5" t="s">
        <v>111</v>
      </c>
    </row>
    <row r="4" customFormat="false" ht="12.8" hidden="false" customHeight="false" outlineLevel="0" collapsed="false">
      <c r="A4" s="8" t="n">
        <v>1</v>
      </c>
      <c r="B4" s="1" t="n">
        <v>0.760680693780003</v>
      </c>
    </row>
    <row r="5" customFormat="false" ht="12.8" hidden="false" customHeight="false" outlineLevel="0" collapsed="false">
      <c r="A5" s="8" t="n">
        <v>2</v>
      </c>
      <c r="B5" s="1" t="n">
        <v>0.715154495370581</v>
      </c>
    </row>
    <row r="6" customFormat="false" ht="12.8" hidden="false" customHeight="false" outlineLevel="0" collapsed="false">
      <c r="A6" s="8" t="n">
        <v>3</v>
      </c>
      <c r="B6" s="1" t="n">
        <v>0.727347354660159</v>
      </c>
    </row>
    <row r="7" customFormat="false" ht="12.8" hidden="false" customHeight="false" outlineLevel="0" collapsed="false">
      <c r="A7" s="8" t="n">
        <v>4</v>
      </c>
      <c r="B7" s="1" t="n">
        <v>0.733055203580666</v>
      </c>
    </row>
    <row r="8" customFormat="false" ht="12.8" hidden="false" customHeight="false" outlineLevel="0" collapsed="false">
      <c r="A8" s="8" t="n">
        <v>5</v>
      </c>
      <c r="B8" s="1" t="n">
        <v>0.800065574864508</v>
      </c>
    </row>
    <row r="9" customFormat="false" ht="12.8" hidden="false" customHeight="false" outlineLevel="0" collapsed="false">
      <c r="A9" s="8" t="n">
        <v>6</v>
      </c>
      <c r="B9" s="1" t="n">
        <v>0.709071195454084</v>
      </c>
    </row>
    <row r="10" customFormat="false" ht="12.8" hidden="false" customHeight="false" outlineLevel="0" collapsed="false">
      <c r="A10" s="8" t="n">
        <v>7</v>
      </c>
      <c r="B10" s="1" t="n">
        <v>0.774946902661732</v>
      </c>
    </row>
    <row r="11" customFormat="false" ht="12.8" hidden="false" customHeight="false" outlineLevel="0" collapsed="false">
      <c r="A11" s="8" t="n">
        <v>8</v>
      </c>
      <c r="B11" s="1" t="n">
        <v>0.751587734037397</v>
      </c>
    </row>
    <row r="12" customFormat="false" ht="12.8" hidden="false" customHeight="false" outlineLevel="0" collapsed="false">
      <c r="A12" s="8" t="n">
        <v>9</v>
      </c>
      <c r="B12" s="1" t="n">
        <v>0.715465626904882</v>
      </c>
    </row>
    <row r="13" customFormat="false" ht="12.8" hidden="false" customHeight="false" outlineLevel="0" collapsed="false">
      <c r="A13" s="8" t="n">
        <v>10</v>
      </c>
      <c r="B13" s="1" t="n">
        <v>0.793443263941369</v>
      </c>
    </row>
    <row r="14" customFormat="false" ht="12.8" hidden="false" customHeight="false" outlineLevel="0" collapsed="false">
      <c r="A14" s="8" t="n">
        <v>11</v>
      </c>
      <c r="B14" s="1" t="n">
        <v>0.730863596114826</v>
      </c>
    </row>
    <row r="15" customFormat="false" ht="12.8" hidden="false" customHeight="false" outlineLevel="0" collapsed="false">
      <c r="A15" s="8" t="n">
        <v>12</v>
      </c>
      <c r="B15" s="1" t="n">
        <v>0.78662472765132</v>
      </c>
    </row>
    <row r="16" customFormat="false" ht="12.8" hidden="false" customHeight="false" outlineLevel="0" collapsed="false">
      <c r="A16" s="8" t="n">
        <v>13</v>
      </c>
      <c r="B16" s="1" t="n">
        <v>0.686816342783247</v>
      </c>
    </row>
    <row r="17" customFormat="false" ht="12.8" hidden="false" customHeight="false" outlineLevel="0" collapsed="false">
      <c r="A17" s="8" t="n">
        <v>14</v>
      </c>
      <c r="B17" s="1" t="n">
        <v>0.718410360602762</v>
      </c>
    </row>
    <row r="18" customFormat="false" ht="12.8" hidden="false" customHeight="false" outlineLevel="0" collapsed="false">
      <c r="A18" s="8" t="n">
        <v>15</v>
      </c>
      <c r="B18" s="1" t="n">
        <v>0.744433669330252</v>
      </c>
    </row>
    <row r="19" customFormat="false" ht="12.8" hidden="false" customHeight="false" outlineLevel="0" collapsed="false">
      <c r="A19" s="8" t="n">
        <v>16</v>
      </c>
      <c r="B19" s="1" t="n">
        <v>0.717764656873297</v>
      </c>
    </row>
    <row r="20" customFormat="false" ht="12.8" hidden="false" customHeight="false" outlineLevel="0" collapsed="false">
      <c r="A20" s="8" t="n">
        <v>17</v>
      </c>
      <c r="B20" s="1" t="n">
        <v>0.737447565963683</v>
      </c>
    </row>
    <row r="21" customFormat="false" ht="12.8" hidden="false" customHeight="false" outlineLevel="0" collapsed="false">
      <c r="A21" s="8" t="n">
        <v>18</v>
      </c>
      <c r="B21" s="1" t="n">
        <v>0.700591538533063</v>
      </c>
    </row>
    <row r="22" customFormat="false" ht="12.8" hidden="false" customHeight="false" outlineLevel="0" collapsed="false">
      <c r="A22" s="8" t="n">
        <v>19</v>
      </c>
      <c r="B22" s="1" t="n">
        <v>0.678930245127542</v>
      </c>
    </row>
    <row r="23" customFormat="false" ht="12.8" hidden="false" customHeight="false" outlineLevel="0" collapsed="false">
      <c r="A23" s="8" t="n">
        <v>20</v>
      </c>
      <c r="B23" s="1" t="n">
        <v>0.696243121106112</v>
      </c>
    </row>
    <row r="24" customFormat="false" ht="12.8" hidden="false" customHeight="false" outlineLevel="0" collapsed="false">
      <c r="A24" s="8" t="n">
        <v>21</v>
      </c>
      <c r="B24" s="1" t="n">
        <v>0.751495467345464</v>
      </c>
    </row>
    <row r="25" customFormat="false" ht="12.8" hidden="false" customHeight="false" outlineLevel="0" collapsed="false">
      <c r="A25" s="8" t="n">
        <v>22</v>
      </c>
      <c r="B25" s="1" t="n">
        <v>0.66012396246485</v>
      </c>
    </row>
    <row r="26" customFormat="false" ht="12.8" hidden="false" customHeight="false" outlineLevel="0" collapsed="false">
      <c r="A26" s="8" t="n">
        <v>23</v>
      </c>
      <c r="B26" s="1" t="n">
        <v>0.738555955351407</v>
      </c>
    </row>
    <row r="27" customFormat="false" ht="12.8" hidden="false" customHeight="false" outlineLevel="0" collapsed="false">
      <c r="A27" s="8" t="n">
        <v>24</v>
      </c>
      <c r="B27" s="1" t="n">
        <v>0.74726844232579</v>
      </c>
    </row>
    <row r="28" customFormat="false" ht="12.8" hidden="false" customHeight="false" outlineLevel="0" collapsed="false">
      <c r="A28" s="12" t="n">
        <v>25</v>
      </c>
      <c r="B28" s="1" t="n">
        <v>0.70142641264434</v>
      </c>
    </row>
  </sheetData>
  <mergeCells count="1">
    <mergeCell ref="A2:B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59"/>
  <sheetViews>
    <sheetView showFormulas="false" showGridLines="true" showRowColHeaders="true" showZeros="true" rightToLeft="false" tabSelected="true" showOutlineSymbols="true" defaultGridColor="true" view="normal" topLeftCell="A1" colorId="64" zoomScale="125" zoomScaleNormal="125" zoomScalePageLayoutView="100" workbookViewId="0">
      <selection pane="topLeft" activeCell="E4" activeCellId="0" sqref="E4:L4"/>
    </sheetView>
  </sheetViews>
  <sheetFormatPr defaultColWidth="12.43359375" defaultRowHeight="12.8" customHeight="false" zeroHeight="false" outlineLevelRow="0" outlineLevelCol="0"/>
  <cols>
    <col collapsed="false" customWidth="true" hidden="false" outlineLevel="0" max="4" min="2" style="1" width="19.32"/>
    <col collapsed="false" customWidth="true" hidden="false" outlineLevel="0" max="6" min="5" style="1" width="20.4"/>
    <col collapsed="false" customWidth="true" hidden="false" outlineLevel="0" max="7" min="7" style="1" width="21.48"/>
    <col collapsed="false" customWidth="true" hidden="false" outlineLevel="0" max="9" min="8" style="1" width="21.94"/>
    <col collapsed="false" customWidth="true" hidden="false" outlineLevel="0" max="10" min="10" style="1" width="20.4"/>
    <col collapsed="false" customWidth="true" hidden="false" outlineLevel="0" max="11" min="11" style="1" width="19.32"/>
    <col collapsed="false" customWidth="true" hidden="false" outlineLevel="0" max="12" min="12" style="1" width="18.24"/>
  </cols>
  <sheetData>
    <row r="2" customFormat="false" ht="12.8" hidden="false" customHeight="true" outlineLevel="0" collapsed="false">
      <c r="A2" s="1"/>
      <c r="B2" s="13" t="s">
        <v>11</v>
      </c>
      <c r="C2" s="13"/>
    </row>
    <row r="3" customFormat="false" ht="12.8" hidden="false" customHeight="false" outlineLevel="0" collapsed="false">
      <c r="A3" s="11" t="s">
        <v>110</v>
      </c>
      <c r="B3" s="1" t="s">
        <v>111</v>
      </c>
      <c r="C3" s="12" t="s">
        <v>112</v>
      </c>
      <c r="E3" s="12" t="s">
        <v>113</v>
      </c>
      <c r="F3" s="12" t="s">
        <v>114</v>
      </c>
      <c r="G3" s="12" t="s">
        <v>115</v>
      </c>
      <c r="H3" s="12" t="s">
        <v>116</v>
      </c>
      <c r="I3" s="12" t="s">
        <v>117</v>
      </c>
      <c r="J3" s="12" t="s">
        <v>118</v>
      </c>
      <c r="K3" s="1" t="s">
        <v>119</v>
      </c>
      <c r="L3" s="1" t="s">
        <v>120</v>
      </c>
    </row>
    <row r="4" customFormat="false" ht="12.8" hidden="false" customHeight="false" outlineLevel="0" collapsed="false">
      <c r="A4" s="8" t="n">
        <v>1</v>
      </c>
      <c r="B4" s="1" t="n">
        <v>0.760680693780003</v>
      </c>
      <c r="C4" s="1" t="n">
        <v>0.75451956501659</v>
      </c>
      <c r="E4" s="12" t="n">
        <f aca="false">_xlfn.STDEV.S(B4:B28)</f>
        <v>0.0353445523719691</v>
      </c>
      <c r="F4" s="12" t="n">
        <f aca="false">_xlfn.STDEV.S(C4:C28)</f>
        <v>0.0705884316876649</v>
      </c>
      <c r="G4" s="12" t="n">
        <f aca="false">_xlfn.F.TEST(B4:B28,C4:C28)</f>
        <v>0.00122109099153736</v>
      </c>
      <c r="H4" s="12" t="n">
        <f aca="false">_xlfn.T.TEST(B4:B28, C4:C28, 2,2)</f>
        <v>1.86605077902679E-007</v>
      </c>
      <c r="I4" s="12" t="n">
        <f aca="false">_xlfn.T.TEST(B4:B28,C4:C28, 2,3)</f>
        <v>5.77710370256951E-007</v>
      </c>
      <c r="J4" s="12" t="n">
        <f aca="false">AVERAGE(B4:B28)-AVERAGE(C4:C28)</f>
        <v>0.0960570157930821</v>
      </c>
      <c r="K4" s="1" t="n">
        <f aca="false">AVERAGE(B4:B28)</f>
        <v>0.731112564378934</v>
      </c>
      <c r="L4" s="1" t="n">
        <f aca="false">AVERAGE(C4:C28)</f>
        <v>0.635055548585851</v>
      </c>
    </row>
    <row r="5" customFormat="false" ht="12.8" hidden="false" customHeight="false" outlineLevel="0" collapsed="false">
      <c r="A5" s="8" t="n">
        <v>2</v>
      </c>
      <c r="B5" s="1" t="n">
        <v>0.715154495370581</v>
      </c>
      <c r="C5" s="1" t="n">
        <v>0.583157820853806</v>
      </c>
    </row>
    <row r="6" customFormat="false" ht="12.8" hidden="false" customHeight="false" outlineLevel="0" collapsed="false">
      <c r="A6" s="8" t="n">
        <v>3</v>
      </c>
      <c r="B6" s="1" t="n">
        <v>0.727347354660159</v>
      </c>
      <c r="C6" s="1" t="n">
        <v>0.618904917761491</v>
      </c>
    </row>
    <row r="7" customFormat="false" ht="12.8" hidden="false" customHeight="false" outlineLevel="0" collapsed="false">
      <c r="A7" s="8" t="n">
        <v>4</v>
      </c>
      <c r="B7" s="1" t="n">
        <v>0.733055203580666</v>
      </c>
      <c r="C7" s="1" t="n">
        <v>0.74737712465141</v>
      </c>
    </row>
    <row r="8" customFormat="false" ht="12.8" hidden="false" customHeight="false" outlineLevel="0" collapsed="false">
      <c r="A8" s="8" t="n">
        <v>5</v>
      </c>
      <c r="B8" s="1" t="n">
        <v>0.800065574864508</v>
      </c>
      <c r="C8" s="1" t="n">
        <v>0.548980230623881</v>
      </c>
    </row>
    <row r="9" customFormat="false" ht="12.8" hidden="false" customHeight="false" outlineLevel="0" collapsed="false">
      <c r="A9" s="8" t="n">
        <v>6</v>
      </c>
      <c r="B9" s="1" t="n">
        <v>0.709071195454084</v>
      </c>
      <c r="C9" s="1" t="n">
        <v>0.632690227255637</v>
      </c>
    </row>
    <row r="10" customFormat="false" ht="12.8" hidden="false" customHeight="false" outlineLevel="0" collapsed="false">
      <c r="A10" s="8" t="n">
        <v>7</v>
      </c>
      <c r="B10" s="1" t="n">
        <v>0.774946902661732</v>
      </c>
      <c r="C10" s="1" t="n">
        <v>0.701786769943752</v>
      </c>
    </row>
    <row r="11" customFormat="false" ht="12.8" hidden="false" customHeight="false" outlineLevel="0" collapsed="false">
      <c r="A11" s="8" t="n">
        <v>8</v>
      </c>
      <c r="B11" s="1" t="n">
        <v>0.751587734037397</v>
      </c>
      <c r="C11" s="1" t="n">
        <v>0.584562320768019</v>
      </c>
    </row>
    <row r="12" customFormat="false" ht="12.8" hidden="false" customHeight="false" outlineLevel="0" collapsed="false">
      <c r="A12" s="8" t="n">
        <v>9</v>
      </c>
      <c r="B12" s="1" t="n">
        <v>0.715465626904882</v>
      </c>
      <c r="C12" s="1" t="n">
        <v>0.635530236435515</v>
      </c>
    </row>
    <row r="13" customFormat="false" ht="12.8" hidden="false" customHeight="false" outlineLevel="0" collapsed="false">
      <c r="A13" s="8" t="n">
        <v>10</v>
      </c>
      <c r="B13" s="1" t="n">
        <v>0.793443263941369</v>
      </c>
      <c r="C13" s="1" t="n">
        <v>0.69186077854627</v>
      </c>
    </row>
    <row r="14" customFormat="false" ht="12.8" hidden="false" customHeight="false" outlineLevel="0" collapsed="false">
      <c r="A14" s="8" t="n">
        <v>11</v>
      </c>
      <c r="B14" s="1" t="n">
        <v>0.730863596114826</v>
      </c>
      <c r="C14" s="1" t="n">
        <v>0.746874410758284</v>
      </c>
    </row>
    <row r="15" customFormat="false" ht="12.8" hidden="false" customHeight="false" outlineLevel="0" collapsed="false">
      <c r="A15" s="8" t="n">
        <v>12</v>
      </c>
      <c r="B15" s="1" t="n">
        <v>0.78662472765132</v>
      </c>
      <c r="C15" s="1" t="n">
        <v>0.646103343046236</v>
      </c>
    </row>
    <row r="16" customFormat="false" ht="12.8" hidden="false" customHeight="false" outlineLevel="0" collapsed="false">
      <c r="A16" s="8" t="n">
        <v>13</v>
      </c>
      <c r="B16" s="1" t="n">
        <v>0.686816342783247</v>
      </c>
      <c r="C16" s="1" t="n">
        <v>0.714267452106315</v>
      </c>
    </row>
    <row r="17" customFormat="false" ht="12.8" hidden="false" customHeight="false" outlineLevel="0" collapsed="false">
      <c r="A17" s="8" t="n">
        <v>14</v>
      </c>
      <c r="B17" s="1" t="n">
        <v>0.718410360602762</v>
      </c>
      <c r="C17" s="1" t="n">
        <v>0.64598849418726</v>
      </c>
    </row>
    <row r="18" customFormat="false" ht="12.8" hidden="false" customHeight="false" outlineLevel="0" collapsed="false">
      <c r="A18" s="8" t="n">
        <v>15</v>
      </c>
      <c r="B18" s="1" t="n">
        <v>0.744433669330252</v>
      </c>
      <c r="C18" s="1" t="n">
        <v>0.559125581602383</v>
      </c>
    </row>
    <row r="19" customFormat="false" ht="12.8" hidden="false" customHeight="false" outlineLevel="0" collapsed="false">
      <c r="A19" s="8" t="n">
        <v>16</v>
      </c>
      <c r="B19" s="1" t="n">
        <v>0.717764656873297</v>
      </c>
      <c r="C19" s="1" t="n">
        <v>0.664444142276853</v>
      </c>
    </row>
    <row r="20" customFormat="false" ht="12.8" hidden="false" customHeight="false" outlineLevel="0" collapsed="false">
      <c r="A20" s="8" t="n">
        <v>17</v>
      </c>
      <c r="B20" s="1" t="n">
        <v>0.737447565963683</v>
      </c>
      <c r="C20" s="1" t="n">
        <v>0.682928718328554</v>
      </c>
    </row>
    <row r="21" customFormat="false" ht="12.8" hidden="false" customHeight="false" outlineLevel="0" collapsed="false">
      <c r="A21" s="8" t="n">
        <v>18</v>
      </c>
      <c r="B21" s="1" t="n">
        <v>0.700591538533063</v>
      </c>
      <c r="C21" s="1" t="n">
        <v>0.609029777075647</v>
      </c>
    </row>
    <row r="22" customFormat="false" ht="12.8" hidden="false" customHeight="false" outlineLevel="0" collapsed="false">
      <c r="A22" s="8" t="n">
        <v>19</v>
      </c>
      <c r="B22" s="1" t="n">
        <v>0.678930245127542</v>
      </c>
      <c r="C22" s="1" t="n">
        <v>0.625136354501309</v>
      </c>
    </row>
    <row r="23" customFormat="false" ht="12.8" hidden="false" customHeight="false" outlineLevel="0" collapsed="false">
      <c r="A23" s="8" t="n">
        <v>20</v>
      </c>
      <c r="B23" s="1" t="n">
        <v>0.696243121106112</v>
      </c>
      <c r="C23" s="1" t="n">
        <v>0.628896991007055</v>
      </c>
    </row>
    <row r="24" customFormat="false" ht="12.8" hidden="false" customHeight="false" outlineLevel="0" collapsed="false">
      <c r="A24" s="8" t="n">
        <v>21</v>
      </c>
      <c r="B24" s="1" t="n">
        <v>0.751495467345464</v>
      </c>
      <c r="C24" s="1" t="n">
        <v>0.49049501481858</v>
      </c>
    </row>
    <row r="25" customFormat="false" ht="12.8" hidden="false" customHeight="false" outlineLevel="0" collapsed="false">
      <c r="A25" s="8" t="n">
        <v>22</v>
      </c>
      <c r="B25" s="1" t="n">
        <v>0.66012396246485</v>
      </c>
      <c r="C25" s="1" t="n">
        <v>0.551218385467124</v>
      </c>
    </row>
    <row r="26" customFormat="false" ht="12.8" hidden="false" customHeight="false" outlineLevel="0" collapsed="false">
      <c r="A26" s="8" t="n">
        <v>23</v>
      </c>
      <c r="B26" s="1" t="n">
        <v>0.738555955351407</v>
      </c>
      <c r="C26" s="1" t="n">
        <v>0.644659585583856</v>
      </c>
    </row>
    <row r="27" customFormat="false" ht="12.8" hidden="false" customHeight="false" outlineLevel="0" collapsed="false">
      <c r="A27" s="8" t="n">
        <v>24</v>
      </c>
      <c r="B27" s="1" t="n">
        <v>0.74726844232579</v>
      </c>
      <c r="C27" s="1" t="n">
        <v>0.654980886002206</v>
      </c>
    </row>
    <row r="28" customFormat="false" ht="12.8" hidden="false" customHeight="false" outlineLevel="0" collapsed="false">
      <c r="A28" s="12" t="n">
        <v>25</v>
      </c>
      <c r="B28" s="1" t="n">
        <v>0.70142641264434</v>
      </c>
      <c r="C28" s="1" t="n">
        <v>0.512869586028254</v>
      </c>
    </row>
    <row r="32" customFormat="false" ht="12.8" hidden="false" customHeight="false" outlineLevel="0" collapsed="false">
      <c r="A32" s="1" t="s">
        <v>121</v>
      </c>
    </row>
    <row r="34" customFormat="false" ht="12.8" hidden="false" customHeight="false" outlineLevel="0" collapsed="false">
      <c r="A34" s="11" t="s">
        <v>110</v>
      </c>
      <c r="B34" s="5" t="s">
        <v>122</v>
      </c>
      <c r="C34" s="1" t="s">
        <v>123</v>
      </c>
      <c r="D34" s="1" t="s">
        <v>111</v>
      </c>
      <c r="F34" s="14" t="s">
        <v>124</v>
      </c>
    </row>
    <row r="35" customFormat="false" ht="12.8" hidden="false" customHeight="false" outlineLevel="0" collapsed="false">
      <c r="A35" s="8" t="n">
        <v>1</v>
      </c>
      <c r="B35" s="1" t="n">
        <v>0.775953672739373</v>
      </c>
      <c r="C35" s="1" t="n">
        <v>0.748858285036974</v>
      </c>
      <c r="D35" s="1" t="n">
        <v>0.760680693780003</v>
      </c>
      <c r="F35" s="1" t="s">
        <v>125</v>
      </c>
      <c r="G35" s="1" t="n">
        <v>0.05</v>
      </c>
    </row>
    <row r="36" customFormat="false" ht="12.8" hidden="false" customHeight="false" outlineLevel="0" collapsed="false">
      <c r="A36" s="8" t="n">
        <v>2</v>
      </c>
      <c r="B36" s="1" t="n">
        <v>0.742381155272784</v>
      </c>
      <c r="C36" s="1" t="n">
        <v>0.759506316896281</v>
      </c>
      <c r="D36" s="1" t="n">
        <v>0.715154495370581</v>
      </c>
    </row>
    <row r="37" customFormat="false" ht="12.8" hidden="false" customHeight="false" outlineLevel="0" collapsed="false">
      <c r="A37" s="8" t="n">
        <v>3</v>
      </c>
      <c r="B37" s="1" t="n">
        <v>0.71959451369822</v>
      </c>
      <c r="C37" s="1" t="n">
        <v>0.715413876782416</v>
      </c>
      <c r="D37" s="1" t="n">
        <v>0.727347354660159</v>
      </c>
      <c r="F37" s="1" t="s">
        <v>126</v>
      </c>
      <c r="G37" s="1" t="s">
        <v>127</v>
      </c>
      <c r="H37" s="1" t="s">
        <v>128</v>
      </c>
      <c r="I37" s="1" t="s">
        <v>129</v>
      </c>
      <c r="J37" s="1" t="s">
        <v>130</v>
      </c>
    </row>
    <row r="38" customFormat="false" ht="12.8" hidden="false" customHeight="false" outlineLevel="0" collapsed="false">
      <c r="A38" s="8" t="n">
        <v>4</v>
      </c>
      <c r="B38" s="1" t="n">
        <v>0.744685778636444</v>
      </c>
      <c r="C38" s="1" t="n">
        <v>0.758348390419844</v>
      </c>
      <c r="D38" s="1" t="n">
        <v>0.733055203580666</v>
      </c>
      <c r="F38" s="1" t="s">
        <v>131</v>
      </c>
      <c r="G38" s="1" t="n">
        <f aca="false">COUNT(inter_system_stats!$B$34:$B$59)</f>
        <v>25</v>
      </c>
      <c r="H38" s="1" t="n">
        <f aca="false">SUM(inter_system_stats!$B$34:$B$59)</f>
        <v>18.3092761299935</v>
      </c>
      <c r="I38" s="1" t="n">
        <f aca="false">AVERAGE(inter_system_stats!$B$34:$B$59)</f>
        <v>0.732371045199738</v>
      </c>
      <c r="J38" s="1" t="n">
        <f aca="false">VAR(inter_system_stats!$B$34:$B$59)</f>
        <v>0.0021075812038888</v>
      </c>
    </row>
    <row r="39" customFormat="false" ht="12.8" hidden="false" customHeight="false" outlineLevel="0" collapsed="false">
      <c r="A39" s="8" t="n">
        <v>5</v>
      </c>
      <c r="B39" s="1" t="n">
        <v>0.810472087374711</v>
      </c>
      <c r="C39" s="1" t="n">
        <v>0.810565062673861</v>
      </c>
      <c r="D39" s="1" t="n">
        <v>0.800065574864508</v>
      </c>
      <c r="F39" s="1" t="s">
        <v>132</v>
      </c>
      <c r="G39" s="1" t="n">
        <f aca="false">COUNT(inter_system_stats!$C$34:$C$59)</f>
        <v>25</v>
      </c>
      <c r="H39" s="1" t="n">
        <f aca="false">SUM(inter_system_stats!$C$34:$C$59)</f>
        <v>18.3094311357992</v>
      </c>
      <c r="I39" s="1" t="n">
        <f aca="false">AVERAGE(inter_system_stats!$C$34:$C$59)</f>
        <v>0.732377245431969</v>
      </c>
      <c r="J39" s="1" t="n">
        <f aca="false">VAR(inter_system_stats!$C$34:$C$59)</f>
        <v>0.00157418875222028</v>
      </c>
    </row>
    <row r="40" customFormat="false" ht="12.8" hidden="false" customHeight="false" outlineLevel="0" collapsed="false">
      <c r="A40" s="8" t="n">
        <v>6</v>
      </c>
      <c r="B40" s="1" t="n">
        <v>0.726316259765409</v>
      </c>
      <c r="C40" s="1" t="n">
        <v>0.742289112695254</v>
      </c>
      <c r="D40" s="1" t="n">
        <v>0.709071195454084</v>
      </c>
      <c r="F40" s="1" t="s">
        <v>133</v>
      </c>
      <c r="G40" s="1" t="n">
        <f aca="false">COUNT(inter_system_stats!$D$34:$D$59)</f>
        <v>25</v>
      </c>
      <c r="H40" s="1" t="n">
        <f aca="false">SUM(inter_system_stats!$D$34:$D$59)</f>
        <v>18.2778141094733</v>
      </c>
      <c r="I40" s="1" t="n">
        <f aca="false">AVERAGE(inter_system_stats!$D$34:$D$59)</f>
        <v>0.731112564378934</v>
      </c>
      <c r="J40" s="1" t="n">
        <f aca="false">VAR(inter_system_stats!$D$34:$D$59)</f>
        <v>0.00124923738237487</v>
      </c>
    </row>
    <row r="41" customFormat="false" ht="12.8" hidden="false" customHeight="false" outlineLevel="0" collapsed="false">
      <c r="A41" s="8" t="n">
        <v>7</v>
      </c>
      <c r="B41" s="1" t="n">
        <v>0.793215439015998</v>
      </c>
      <c r="C41" s="1" t="n">
        <v>0.764250642039974</v>
      </c>
      <c r="D41" s="1" t="n">
        <v>0.774946902661732</v>
      </c>
    </row>
    <row r="42" customFormat="false" ht="12.8" hidden="false" customHeight="false" outlineLevel="0" collapsed="false">
      <c r="A42" s="8" t="n">
        <v>8</v>
      </c>
      <c r="B42" s="1" t="n">
        <v>0.704599278382629</v>
      </c>
      <c r="C42" s="1" t="n">
        <v>0.698577720903755</v>
      </c>
      <c r="D42" s="1" t="n">
        <v>0.751587734037397</v>
      </c>
      <c r="F42" s="1" t="s">
        <v>134</v>
      </c>
      <c r="G42" s="1" t="s">
        <v>135</v>
      </c>
      <c r="H42" s="1" t="s">
        <v>136</v>
      </c>
      <c r="I42" s="1" t="s">
        <v>137</v>
      </c>
      <c r="J42" s="1" t="s">
        <v>138</v>
      </c>
      <c r="K42" s="1" t="s">
        <v>139</v>
      </c>
      <c r="L42" s="1" t="s">
        <v>140</v>
      </c>
    </row>
    <row r="43" customFormat="false" ht="12.8" hidden="false" customHeight="false" outlineLevel="0" collapsed="false">
      <c r="A43" s="8" t="n">
        <v>9</v>
      </c>
      <c r="B43" s="1" t="n">
        <v>0.753231887262209</v>
      </c>
      <c r="C43" s="1" t="n">
        <v>0.766115238968207</v>
      </c>
      <c r="D43" s="1" t="n">
        <v>0.715465626904882</v>
      </c>
      <c r="F43" s="1" t="s">
        <v>141</v>
      </c>
      <c r="G43" s="1" t="n">
        <f aca="false">SUMPRODUCT(inter_system_stats!$H$38:$H$40,inter_system_stats!$I$38:$I$40)-SUM(inter_system_stats!$H$38:$H$40)^2/SUM(inter_system_stats!$G$38:$G$40)</f>
        <v>2.6526921551806E-005</v>
      </c>
      <c r="H43" s="1" t="n">
        <f aca="false">COUNT(inter_system_stats!$H$38:$H$40)-1</f>
        <v>2</v>
      </c>
      <c r="I43" s="1" t="n">
        <f aca="false">inter_system_stats!$G$43 / inter_system_stats!$H$43</f>
        <v>1.3263460775903E-005</v>
      </c>
      <c r="J43" s="1" t="n">
        <f aca="false">inter_system_stats!$I$43 / inter_system_stats!$I$44</f>
        <v>0.00806942265471111</v>
      </c>
      <c r="K43" s="1" t="n">
        <f aca="false">FDIST(inter_system_stats!$J$43, inter_system_stats!$H$43, inter_system_stats!$H$44)</f>
        <v>0.991963944719437</v>
      </c>
      <c r="L43" s="1" t="n">
        <f aca="false">FINV(inter_system_stats!$G$35, inter_system_stats!$H$43, inter_system_stats!$H$44)</f>
        <v>3.12390744854578</v>
      </c>
    </row>
    <row r="44" customFormat="false" ht="12.8" hidden="false" customHeight="false" outlineLevel="0" collapsed="false">
      <c r="A44" s="8" t="n">
        <v>10</v>
      </c>
      <c r="B44" s="1" t="n">
        <v>0.786918063323164</v>
      </c>
      <c r="C44" s="1" t="n">
        <v>0.777924199556208</v>
      </c>
      <c r="D44" s="1" t="n">
        <v>0.793443263941369</v>
      </c>
      <c r="F44" s="1" t="s">
        <v>142</v>
      </c>
      <c r="G44" s="1" t="n">
        <f aca="false">SUM(DEVSQ(inter_system_stats!$B$34:$B$59),DEVSQ(inter_system_stats!$C$34:$C$59),DEVSQ(inter_system_stats!$D$34:$D$59))</f>
        <v>0.118344176123615</v>
      </c>
      <c r="H44" s="1" t="n">
        <f aca="false">SUM(inter_system_stats!$G$38:$G$40)-COUNT(inter_system_stats!$G$38:$G$40)</f>
        <v>72</v>
      </c>
      <c r="I44" s="1" t="n">
        <f aca="false">inter_system_stats!$G$44 / inter_system_stats!$H$44</f>
        <v>0.00164366911282798</v>
      </c>
    </row>
    <row r="45" customFormat="false" ht="12.8" hidden="false" customHeight="false" outlineLevel="0" collapsed="false">
      <c r="A45" s="8" t="n">
        <v>11</v>
      </c>
      <c r="B45" s="1" t="n">
        <v>0.757737648671806</v>
      </c>
      <c r="C45" s="1" t="n">
        <v>0.73133786448165</v>
      </c>
      <c r="D45" s="1" t="n">
        <v>0.730863596114826</v>
      </c>
      <c r="F45" s="1" t="s">
        <v>143</v>
      </c>
      <c r="G45" s="1" t="n">
        <f aca="false">DEVSQ(inter_system_stats!$B$34:$B$59,inter_system_stats!$C$34:$C$59,inter_system_stats!$D$34:$D$59)</f>
        <v>0.118370703045157</v>
      </c>
      <c r="H45" s="1" t="n">
        <f aca="false">SUM(inter_system_stats!$G$38:$G$40) - 1</f>
        <v>74</v>
      </c>
    </row>
    <row r="46" customFormat="false" ht="12.8" hidden="false" customHeight="false" outlineLevel="0" collapsed="false">
      <c r="A46" s="8" t="n">
        <v>12</v>
      </c>
      <c r="B46" s="1" t="n">
        <v>0.790488784330214</v>
      </c>
      <c r="C46" s="1" t="n">
        <v>0.761644594705368</v>
      </c>
      <c r="D46" s="1" t="n">
        <v>0.78662472765132</v>
      </c>
    </row>
    <row r="47" customFormat="false" ht="12.8" hidden="false" customHeight="false" outlineLevel="0" collapsed="false">
      <c r="A47" s="8" t="n">
        <v>13</v>
      </c>
      <c r="B47" s="1" t="n">
        <v>0.692187737762497</v>
      </c>
      <c r="C47" s="1" t="n">
        <v>0.719429365683328</v>
      </c>
      <c r="D47" s="1" t="n">
        <v>0.686816342783247</v>
      </c>
    </row>
    <row r="48" customFormat="false" ht="12.8" hidden="false" customHeight="false" outlineLevel="0" collapsed="false">
      <c r="A48" s="8" t="n">
        <v>14</v>
      </c>
      <c r="B48" s="1" t="n">
        <v>0.689379869171306</v>
      </c>
      <c r="C48" s="1" t="n">
        <v>0.678645514763614</v>
      </c>
      <c r="D48" s="1" t="n">
        <v>0.718410360602762</v>
      </c>
    </row>
    <row r="49" customFormat="false" ht="12.8" hidden="false" customHeight="false" outlineLevel="0" collapsed="false">
      <c r="A49" s="8" t="n">
        <v>15</v>
      </c>
      <c r="B49" s="1" t="n">
        <v>0.769786735181106</v>
      </c>
      <c r="C49" s="1" t="n">
        <v>0.704961007003307</v>
      </c>
      <c r="D49" s="1" t="n">
        <v>0.744433669330252</v>
      </c>
    </row>
    <row r="50" customFormat="false" ht="12.8" hidden="false" customHeight="false" outlineLevel="0" collapsed="false">
      <c r="A50" s="8" t="n">
        <v>16</v>
      </c>
      <c r="B50" s="1" t="n">
        <v>0.784212018718249</v>
      </c>
      <c r="C50" s="1" t="n">
        <v>0.701208294690294</v>
      </c>
      <c r="D50" s="1" t="n">
        <v>0.717764656873297</v>
      </c>
    </row>
    <row r="51" customFormat="false" ht="12.8" hidden="false" customHeight="false" outlineLevel="0" collapsed="false">
      <c r="A51" s="8" t="n">
        <v>17</v>
      </c>
      <c r="B51" s="1" t="n">
        <v>0.741725308103978</v>
      </c>
      <c r="C51" s="1" t="n">
        <v>0.790013915764348</v>
      </c>
      <c r="D51" s="1" t="n">
        <v>0.737447565963683</v>
      </c>
    </row>
    <row r="52" customFormat="false" ht="12.8" hidden="false" customHeight="false" outlineLevel="0" collapsed="false">
      <c r="A52" s="8" t="n">
        <v>18</v>
      </c>
      <c r="B52" s="1" t="n">
        <v>0.71842174917648</v>
      </c>
      <c r="C52" s="1" t="n">
        <v>0.717785998437983</v>
      </c>
      <c r="D52" s="1" t="n">
        <v>0.700591538533063</v>
      </c>
    </row>
    <row r="53" customFormat="false" ht="12.8" hidden="false" customHeight="false" outlineLevel="0" collapsed="false">
      <c r="A53" s="8" t="n">
        <v>19</v>
      </c>
      <c r="B53" s="1" t="n">
        <v>0.676598731860284</v>
      </c>
      <c r="C53" s="1" t="n">
        <v>0.704767716501297</v>
      </c>
      <c r="D53" s="1" t="n">
        <v>0.678930245127542</v>
      </c>
    </row>
    <row r="54" customFormat="false" ht="12.8" hidden="false" customHeight="false" outlineLevel="0" collapsed="false">
      <c r="A54" s="8" t="n">
        <v>20</v>
      </c>
      <c r="B54" s="1" t="n">
        <v>0.629078814128947</v>
      </c>
      <c r="C54" s="1" t="n">
        <v>0.731804893130237</v>
      </c>
      <c r="D54" s="1" t="n">
        <v>0.696243121106112</v>
      </c>
    </row>
    <row r="55" customFormat="false" ht="12.8" hidden="false" customHeight="false" outlineLevel="0" collapsed="false">
      <c r="A55" s="8" t="n">
        <v>21</v>
      </c>
      <c r="B55" s="1" t="n">
        <v>0.716426666679795</v>
      </c>
      <c r="C55" s="1" t="n">
        <v>0.766896688339251</v>
      </c>
      <c r="D55" s="1" t="n">
        <v>0.751495467345464</v>
      </c>
    </row>
    <row r="56" customFormat="false" ht="12.8" hidden="false" customHeight="false" outlineLevel="0" collapsed="false">
      <c r="A56" s="8" t="n">
        <v>22</v>
      </c>
      <c r="B56" s="1" t="n">
        <v>0.671030917852718</v>
      </c>
      <c r="C56" s="1" t="n">
        <v>0.628025866777813</v>
      </c>
      <c r="D56" s="1" t="n">
        <v>0.66012396246485</v>
      </c>
    </row>
    <row r="57" customFormat="false" ht="12.8" hidden="false" customHeight="false" outlineLevel="0" collapsed="false">
      <c r="A57" s="8" t="n">
        <v>23</v>
      </c>
      <c r="B57" s="1" t="n">
        <v>0.727473528774715</v>
      </c>
      <c r="C57" s="1" t="n">
        <v>0.720769368294172</v>
      </c>
      <c r="D57" s="1" t="n">
        <v>0.738555955351407</v>
      </c>
    </row>
    <row r="58" customFormat="false" ht="12.8" hidden="false" customHeight="false" outlineLevel="0" collapsed="false">
      <c r="A58" s="8" t="n">
        <v>24</v>
      </c>
      <c r="B58" s="1" t="n">
        <v>0.721776373024424</v>
      </c>
      <c r="C58" s="1" t="n">
        <v>0.722411929605002</v>
      </c>
      <c r="D58" s="1" t="n">
        <v>0.74726844232579</v>
      </c>
    </row>
    <row r="59" customFormat="false" ht="12.8" hidden="false" customHeight="false" outlineLevel="0" collapsed="false">
      <c r="A59" s="12" t="n">
        <v>25</v>
      </c>
      <c r="B59" s="1" t="n">
        <v>0.665583111085999</v>
      </c>
      <c r="C59" s="1" t="n">
        <v>0.687879271648785</v>
      </c>
      <c r="D59" s="1" t="n">
        <v>0.70142641264434</v>
      </c>
    </row>
  </sheetData>
  <mergeCells count="1">
    <mergeCell ref="B2:C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</TotalTime>
  <Application>LibreOffice/26.2.0.3$Linux_X86_64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2026-02-11T16:41:07Z</dcterms:created>
  <dc:creator>openpyxl</dc:creator>
  <dc:description/>
  <dc:language>en-US</dc:language>
  <cp:lastModifiedBy/>
  <dcterms:modified xsi:type="dcterms:W3CDTF">2026-02-20T16:20:09Z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
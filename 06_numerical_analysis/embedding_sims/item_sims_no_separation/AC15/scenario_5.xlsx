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5_ac15" sheetId="1" state="visible" r:id="rId3"/>
    <sheet name="Notes" sheetId="2" state="visible" r:id="rId4"/>
    <sheet name="actdel_prompt_response" sheetId="3" state="visible" r:id="rId5"/>
    <sheet name="inter_system_stats" sheetId="4" state="visible" r:id="rId6"/>
    <sheet name="si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<sst xmlns="http://schemas.openxmlformats.org/spreadsheetml/2006/main" count="1011" uniqueCount="158">
  <si>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</si>
  <si>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</si>
  <si>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</si>
  <si>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</si>
  <si>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</si>
  <si>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</si>
  <si>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</si>
  <si>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</si>
  <si>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</si>
  <si>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</si>
  <si>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</si>
  <si>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</si>
  <si>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</si>
  <si>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</si>
  <si>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</si>
  <si>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</si>
  <si>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ba2aab4f-3cf5-4c85-b248-dd8b6e05b5d2</t>
  </si>
  <si>
    <t xml:space="preserve">cmjfe08pa00h2zca6bnu9qeal</t>
  </si>
  <si>
    <t xml:space="preserve">cmjfe15o200hjzca6fagnpsd7</t>
  </si>
  <si>
    <t xml:space="preserve">test_ac15</t>
  </si>
  <si>
    <t xml:space="preserve">scenario_5</t>
  </si>
  <si>
    <t xml:space="preserve">temporal_dynamics</t>
  </si>
  <si>
    <t xml:space="preserve">practicality_and_feasibility</t>
  </si>
  <si>
    <t xml:space="preserve">mathematics_computer_science_engineering</t>
  </si>
  <si>
    <t xml:space="preserve">affective_interface</t>
  </si>
  <si>
    <t xml:space="preserve">imagination_and_possibility</t>
  </si>
  <si>
    <t xml:space="preserve">truth_and_fact</t>
  </si>
  <si>
    <t xml:space="preserve">a96bd5ea-0e56-4596-b4d2-2549e7ae1afc</t>
  </si>
  <si>
    <t xml:space="preserve">cmjfe26z800hnzca6wcmb4lmr</t>
  </si>
  <si>
    <t xml:space="preserve">cmjfe2pj700i4zca6tdewdpzs</t>
  </si>
  <si>
    <t xml:space="preserve">freedom_and_limitations</t>
  </si>
  <si>
    <t xml:space="preserve">0db331d2-6e40-4dc7-8044-ebe3d13eae60</t>
  </si>
  <si>
    <t xml:space="preserve">cmjfe5c5k00i8zca6wlp88e9i</t>
  </si>
  <si>
    <t xml:space="preserve">cmjfe5p7l00ipzca6s6x1qifp</t>
  </si>
  <si>
    <t xml:space="preserve">f1f3097d-b4c1-4cf1-8ce8-3c80e9be8ff0</t>
  </si>
  <si>
    <t xml:space="preserve">cmjfe60vp00itzca6ka2qtoy0</t>
  </si>
  <si>
    <t xml:space="preserve">cmjfe6p2400jazca6hykomwv8</t>
  </si>
  <si>
    <t xml:space="preserve">0879e8dc-76a7-4a16-88e3-2097902eef1c</t>
  </si>
  <si>
    <t xml:space="preserve">cmjfe7zrz00jezca6iofnua6l</t>
  </si>
  <si>
    <t xml:space="preserve">cmjfe8c0j00jvzca6hsphn9b9</t>
  </si>
  <si>
    <t xml:space="preserve">context_dependent_expression</t>
  </si>
  <si>
    <t xml:space="preserve">faab5917-6582-4f3c-be23-666f66d13075</t>
  </si>
  <si>
    <t xml:space="preserve">cmjfe8n1m00jzzca6zl7yemth</t>
  </si>
  <si>
    <t xml:space="preserve">cmjfe994u00kgzca60inndchd</t>
  </si>
  <si>
    <t xml:space="preserve">bd955082-da73-46ce-8eec-f014a4eff951</t>
  </si>
  <si>
    <t xml:space="preserve">cmjfeb0cu00kkzca6oyjnypom</t>
  </si>
  <si>
    <t xml:space="preserve">cmjfebhe000l1zca64sz7g8kj</t>
  </si>
  <si>
    <t xml:space="preserve">identity</t>
  </si>
  <si>
    <t xml:space="preserve">electricity</t>
  </si>
  <si>
    <t xml:space="preserve">science</t>
  </si>
  <si>
    <t xml:space="preserve">85863d2b-fa6d-44fb-a25d-cf1ed9aa9ed1</t>
  </si>
  <si>
    <t xml:space="preserve">cmjfedk1u00l5zca6i95ssuzn</t>
  </si>
  <si>
    <t xml:space="preserve">cmjfee0cc00lmzca6aqipooan</t>
  </si>
  <si>
    <t xml:space="preserve">sovereignty</t>
  </si>
  <si>
    <t xml:space="preserve">e3cc31e8-ec77-4a48-96ea-817c331df814</t>
  </si>
  <si>
    <t xml:space="preserve">cmjfeew7v00lqzca6shplal06</t>
  </si>
  <si>
    <t xml:space="preserve">cmjfefe3m00m7zca6jmgqw3rn</t>
  </si>
  <si>
    <t xml:space="preserve">b150c8f5-72c9-4cbf-b19c-9da26ea03149</t>
  </si>
  <si>
    <t xml:space="preserve">cmjfegr6g00mbzca6zxumbjh7</t>
  </si>
  <si>
    <t xml:space="preserve">cmjfeh1tc00mszca6woazum7w</t>
  </si>
  <si>
    <t xml:space="preserve">9d941925-94e7-47c6-8131-3f599ba9f0b9</t>
  </si>
  <si>
    <t xml:space="preserve">cmjfeij8q00mwzca6bgb7rlez</t>
  </si>
  <si>
    <t xml:space="preserve">cmjfej4ji00ndzca69l6rdisb</t>
  </si>
  <si>
    <t xml:space="preserve">1357746d-0f7c-4827-9887-5dc3e39b204e</t>
  </si>
  <si>
    <t xml:space="preserve">cmjfekbhi00nhzca63lwgqus1</t>
  </si>
  <si>
    <t xml:space="preserve">cmjfeknqp00nyzca6sve3rayz</t>
  </si>
  <si>
    <t xml:space="preserve">f4995ee1-b7ef-4e23-aff2-538a4d7a5542</t>
  </si>
  <si>
    <t xml:space="preserve">cmjfem8gu00o2zca6bjy23w8y</t>
  </si>
  <si>
    <t xml:space="preserve">cmjfemuhn00ojzca63tbz5bfz</t>
  </si>
  <si>
    <t xml:space="preserve">f2b23e58-1861-4e17-84a1-d2e323add739</t>
  </si>
  <si>
    <t xml:space="preserve">cmjfenuy500onzca6qg3mq5lv</t>
  </si>
  <si>
    <t xml:space="preserve">cmjfeo87k00p4zca6yw1v0nv9</t>
  </si>
  <si>
    <t xml:space="preserve">729f49d6-db5b-4e72-aae7-dfec472eb9be</t>
  </si>
  <si>
    <t xml:space="preserve">cmjfes4kh00p8zca6lx5yo6j8</t>
  </si>
  <si>
    <t xml:space="preserve">cmjfesshu00ppzca68xzhlxm9</t>
  </si>
  <si>
    <t xml:space="preserve">metaphorical_scaffolding</t>
  </si>
  <si>
    <t xml:space="preserve">6a2e4213-baa6-48a2-9145-eef470bc8c03</t>
  </si>
  <si>
    <t xml:space="preserve">cmjfetaxt00ptzca6cmyq5a07</t>
  </si>
  <si>
    <t xml:space="preserve">cmjfetmfc00qazca6v9s8qvm5</t>
  </si>
  <si>
    <t xml:space="preserve">d0d54f94-de06-4ec5-a741-609db18f3896</t>
  </si>
  <si>
    <t xml:space="preserve">cmjfeuyxq00qezca6r4b7xcac</t>
  </si>
  <si>
    <t xml:space="preserve">cmjfevb9u00qvzca60n24px7h</t>
  </si>
  <si>
    <t xml:space="preserve">5b401fa6-ee11-4d5a-b536-b5e147a18930</t>
  </si>
  <si>
    <t xml:space="preserve">cmjfeyvkn00qzzca6sd7qzu3w</t>
  </si>
  <si>
    <t xml:space="preserve">cmjfez71w00rgzca64um46z2h</t>
  </si>
  <si>
    <t xml:space="preserve">e8145b4f-c427-4e03-b7bc-4843ee56bb76</t>
  </si>
  <si>
    <t xml:space="preserve">cmjff0dsf00rkzca67aog0eu1</t>
  </si>
  <si>
    <t xml:space="preserve">cmjff0s1p00s1zca62q68boor</t>
  </si>
  <si>
    <t xml:space="preserve">b7386137-7aa6-4a6c-824b-820c4eba92d2</t>
  </si>
  <si>
    <t xml:space="preserve">cmjff38vi00s5zca6ox8zbm7x</t>
  </si>
  <si>
    <t xml:space="preserve">cmjff3ms800smzca6xiyyzian</t>
  </si>
  <si>
    <t xml:space="preserve">34cb2f6d-48a7-4fb5-a570-ce0f58d3de06</t>
  </si>
  <si>
    <t xml:space="preserve">cmjff4jew00sqzca6lmvgeip8</t>
  </si>
  <si>
    <t xml:space="preserve">cmjff4x4b00t7zca65umu4zof</t>
  </si>
  <si>
    <t xml:space="preserve">e9a7f631-d2fa-4e3d-be0d-dd07c663442a</t>
  </si>
  <si>
    <t xml:space="preserve">cmjff6akj00tbzca6shsvwt4n</t>
  </si>
  <si>
    <t xml:space="preserve">cmjff6p4f00tszca6do1vlq0c</t>
  </si>
  <si>
    <t xml:space="preserve">cda862fa-c4f3-4342-b330-4d5561fbf2ad</t>
  </si>
  <si>
    <t xml:space="preserve">cmjff8upz00twzca6jdubfg5d</t>
  </si>
  <si>
    <t xml:space="preserve">cmjff97kb00udzca60y4m8j9z</t>
  </si>
  <si>
    <t xml:space="preserve">a70e0fb2-6f3d-41bd-944c-dcfd0deb4a02</t>
  </si>
  <si>
    <t xml:space="preserve">cmjffaksc00uhzca6zz0qe59w</t>
  </si>
  <si>
    <t xml:space="preserve">cmjffaz3700uyzca6fhv9l5e7</t>
  </si>
  <si>
    <t xml:space="preserve">78e66274-d201-49f0-9f1c-b639e0d402fb</t>
  </si>
  <si>
    <t xml:space="preserve">cmjffcazh00v2zca6scrlkp3g</t>
  </si>
  <si>
    <t xml:space="preserve">cmjffcnpa00vjzca6dkgmvadp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</si>
  <si>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</si>
  <si>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</si>
  <si>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</si>
  <si>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</si>
  <si>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</si>
  <si>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</si>
  <si>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ac15</t>
  </si>
  <si>
    <t xml:space="preserve">control</t>
  </si>
  <si>
    <t xml:space="preserve">delta</t>
  </si>
  <si>
    <t xml:space="preserve">choose</t>
  </si>
  <si>
    <t xml:space="preserve">std. 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</si>
  <si>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</si>
  <si>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</si>
  <si>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</si>
  <si>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</si>
  <si>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</si>
  <si>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scen</t>
  </si>
  <si>
    <t xml:space="preserve">Average control</t>
  </si>
  <si>
    <t xml:space="preserve">x</t>
  </si>
  <si>
    <t xml:space="preserve">x ok</t>
  </si>
  <si>
    <t xml:space="preserve">X – no</t>
  </si>
  <si>
    <t xml:space="preserve">x  ok</t>
  </si>
  <si>
    <t xml:space="preserve">General</t>
  </si>
  <si>
    <t xml:space="preserve">ac15p</t>
  </si>
  <si>
    <t xml:space="preserve">hybrid</t>
  </si>
  <si>
    <t xml:space="preserve">hybsem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</si>
  <si>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</si>
  <si>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</si>
  <si>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</si>
  <si>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</si>
  <si>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</si>
  <si>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</si>
  <si>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</si>
  <si>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</si>
  <si>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</si>
  <si>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</si>
  <si>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Column 4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</si>
  <si>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</si>
  <si>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</si>
  <si>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</si>
  <si>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</si>
  <si>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</si>
  <si>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</si>
  <si>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</si>
  <si>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</si>
  <si>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</si>
  <si>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</si>
  <si>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---------------------------</t>
  </si>
  <si>
    <t xml:space="preserve">Including control</t>
  </si>
  <si>
    <t xml:space="preserve">Column 5</t>
  </si>
  <si>
    <t xml:space="preserve">deltas</t>
  </si>
  <si>
    <t xml:space="preserve">stdev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</si>
</sst>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7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6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actdel_prompt_response!$B$2:$B$3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0.754089393330518</c:v>
                </c:pt>
                <c:pt idx="1">
                  <c:v>0.776695707387166</c:v>
                </c:pt>
                <c:pt idx="2">
                  <c:v>0.739989879595545</c:v>
                </c:pt>
                <c:pt idx="3">
                  <c:v>0.742245918124278</c:v>
                </c:pt>
                <c:pt idx="4">
                  <c:v>0.807638556331572</c:v>
                </c:pt>
                <c:pt idx="5">
                  <c:v>0.740162804506617</c:v>
                </c:pt>
                <c:pt idx="6">
                  <c:v>0.781037553501202</c:v>
                </c:pt>
                <c:pt idx="7">
                  <c:v>0.696417484151069</c:v>
                </c:pt>
                <c:pt idx="8">
                  <c:v>0.742251700755494</c:v>
                </c:pt>
                <c:pt idx="9">
                  <c:v>0.824221753429923</c:v>
                </c:pt>
                <c:pt idx="10">
                  <c:v>0.706116491876793</c:v>
                </c:pt>
                <c:pt idx="11">
                  <c:v>0.779947067179795</c:v>
                </c:pt>
                <c:pt idx="12">
                  <c:v>0.707370269465281</c:v>
                </c:pt>
                <c:pt idx="13">
                  <c:v>0.682205004410646</c:v>
                </c:pt>
                <c:pt idx="14">
                  <c:v>0.666685272176504</c:v>
                </c:pt>
                <c:pt idx="15">
                  <c:v>0.748853205345462</c:v>
                </c:pt>
                <c:pt idx="16">
                  <c:v>0.742965313065697</c:v>
                </c:pt>
                <c:pt idx="17">
                  <c:v>0.728588697645091</c:v>
                </c:pt>
                <c:pt idx="18">
                  <c:v>0.741250956289799</c:v>
                </c:pt>
                <c:pt idx="19">
                  <c:v>0.722251425300955</c:v>
                </c:pt>
                <c:pt idx="20">
                  <c:v>0.803210697319553</c:v>
                </c:pt>
                <c:pt idx="21">
                  <c:v>0.673214279680313</c:v>
                </c:pt>
                <c:pt idx="22">
                  <c:v>0.723840879104647</c:v>
                </c:pt>
                <c:pt idx="23">
                  <c:v>0.727564777752726</c:v>
                </c:pt>
                <c:pt idx="24">
                  <c:v>0.66737838952569</c:v>
                </c:pt>
              </c:numCache>
            </c:numRef>
          </c:yVal>
          <c:smooth val="0"/>
        </c:ser>
        <c:axId val="88376454"/>
        <c:axId val="39867201"/>
      </c:scatterChart>
      <c:valAx>
        <c:axId val="8837645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867201"/>
        <c:crosses val="autoZero"/>
        <c:crossBetween val="midCat"/>
      </c:valAx>
      <c:valAx>
        <c:axId val="398672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837645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69000875328248"/>
          <c:y val="0.0349471341124096"/>
          <c:w val="0.743028635738402"/>
          <c:h val="0.865553700612131"/>
        </c:manualLayout>
      </c:layout>
      <c:scatterChart>
        <c:scatterStyle val="lineMarker"/>
        <c:varyColors val="0"/>
        <c:ser>
          <c:idx val="0"/>
          <c:order val="0"/>
          <c:tx>
            <c:strRef>
              <c:f>inter_system_stats!$B$34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inter_system_stats!$B$35:$B$59</c:f>
              <c:numCache>
                <c:formatCode>General</c:formatCode>
                <c:ptCount val="25"/>
                <c:pt idx="0">
                  <c:v>0.775953672739373</c:v>
                </c:pt>
                <c:pt idx="1">
                  <c:v>0.742381155272784</c:v>
                </c:pt>
                <c:pt idx="2">
                  <c:v>0.71959451369822</c:v>
                </c:pt>
                <c:pt idx="3">
                  <c:v>0.744685778636444</c:v>
                </c:pt>
                <c:pt idx="4">
                  <c:v>0.810472087374711</c:v>
                </c:pt>
                <c:pt idx="5">
                  <c:v>0.726316259765409</c:v>
                </c:pt>
                <c:pt idx="6">
                  <c:v>0.793215439015998</c:v>
                </c:pt>
                <c:pt idx="7">
                  <c:v>0.704599278382629</c:v>
                </c:pt>
                <c:pt idx="8">
                  <c:v>0.753231887262209</c:v>
                </c:pt>
                <c:pt idx="9">
                  <c:v>0.786918063323164</c:v>
                </c:pt>
                <c:pt idx="10">
                  <c:v>0.757737648671806</c:v>
                </c:pt>
                <c:pt idx="11">
                  <c:v>0.790488784330214</c:v>
                </c:pt>
                <c:pt idx="12">
                  <c:v>0.692187737762497</c:v>
                </c:pt>
                <c:pt idx="13">
                  <c:v>0.689379869171306</c:v>
                </c:pt>
                <c:pt idx="14">
                  <c:v>0.769786735181106</c:v>
                </c:pt>
                <c:pt idx="15">
                  <c:v>0.784212018718249</c:v>
                </c:pt>
                <c:pt idx="16">
                  <c:v>0.741725308103978</c:v>
                </c:pt>
                <c:pt idx="17">
                  <c:v>0.71842174917648</c:v>
                </c:pt>
                <c:pt idx="18">
                  <c:v>0.676598731860284</c:v>
                </c:pt>
                <c:pt idx="19">
                  <c:v>0.629078814128947</c:v>
                </c:pt>
                <c:pt idx="20">
                  <c:v>0.716426666679795</c:v>
                </c:pt>
                <c:pt idx="21">
                  <c:v>0.671030917852718</c:v>
                </c:pt>
                <c:pt idx="22">
                  <c:v>0.727473528774715</c:v>
                </c:pt>
                <c:pt idx="23">
                  <c:v>0.721776373024424</c:v>
                </c:pt>
                <c:pt idx="24">
                  <c:v>0.665583111085999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inter_system_stats!$C$34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inter_system_stats!$C$35:$C$59</c:f>
              <c:numCache>
                <c:formatCode>General</c:formatCode>
                <c:ptCount val="25"/>
                <c:pt idx="0">
                  <c:v>0.748858285036974</c:v>
                </c:pt>
                <c:pt idx="1">
                  <c:v>0.759506316896281</c:v>
                </c:pt>
                <c:pt idx="2">
                  <c:v>0.715413876782416</c:v>
                </c:pt>
                <c:pt idx="3">
                  <c:v>0.758348390419844</c:v>
                </c:pt>
                <c:pt idx="4">
                  <c:v>0.810565062673861</c:v>
                </c:pt>
                <c:pt idx="5">
                  <c:v>0.742289112695254</c:v>
                </c:pt>
                <c:pt idx="6">
                  <c:v>0.764250642039974</c:v>
                </c:pt>
                <c:pt idx="7">
                  <c:v>0.698577720903755</c:v>
                </c:pt>
                <c:pt idx="8">
                  <c:v>0.766115238968207</c:v>
                </c:pt>
                <c:pt idx="9">
                  <c:v>0.777924199556208</c:v>
                </c:pt>
                <c:pt idx="10">
                  <c:v>0.73133786448165</c:v>
                </c:pt>
                <c:pt idx="11">
                  <c:v>0.761644594705368</c:v>
                </c:pt>
                <c:pt idx="12">
                  <c:v>0.719429365683328</c:v>
                </c:pt>
                <c:pt idx="13">
                  <c:v>0.678645514763614</c:v>
                </c:pt>
                <c:pt idx="14">
                  <c:v>0.704961007003307</c:v>
                </c:pt>
                <c:pt idx="15">
                  <c:v>0.701208294690294</c:v>
                </c:pt>
                <c:pt idx="16">
                  <c:v>0.790013915764348</c:v>
                </c:pt>
                <c:pt idx="17">
                  <c:v>0.717785998437983</c:v>
                </c:pt>
                <c:pt idx="18">
                  <c:v>0.704767716501297</c:v>
                </c:pt>
                <c:pt idx="19">
                  <c:v>0.731804893130237</c:v>
                </c:pt>
                <c:pt idx="20">
                  <c:v>0.766896688339251</c:v>
                </c:pt>
                <c:pt idx="21">
                  <c:v>0.628025866777813</c:v>
                </c:pt>
                <c:pt idx="22">
                  <c:v>0.720769368294172</c:v>
                </c:pt>
                <c:pt idx="23">
                  <c:v>0.722411929605002</c:v>
                </c:pt>
                <c:pt idx="24">
                  <c:v>0.687879271648785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inter_system_stats!$D$34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inter_system_stats!$D$35:$D$59</c:f>
              <c:numCache>
                <c:formatCode>General</c:formatCode>
                <c:ptCount val="25"/>
                <c:pt idx="0">
                  <c:v>0.760680693780003</c:v>
                </c:pt>
                <c:pt idx="1">
                  <c:v>0.715154495370581</c:v>
                </c:pt>
                <c:pt idx="2">
                  <c:v>0.727347354660159</c:v>
                </c:pt>
                <c:pt idx="3">
                  <c:v>0.733055203580666</c:v>
                </c:pt>
                <c:pt idx="4">
                  <c:v>0.800065574864508</c:v>
                </c:pt>
                <c:pt idx="5">
                  <c:v>0.709071195454084</c:v>
                </c:pt>
                <c:pt idx="6">
                  <c:v>0.774946902661732</c:v>
                </c:pt>
                <c:pt idx="7">
                  <c:v>0.751587734037397</c:v>
                </c:pt>
                <c:pt idx="8">
                  <c:v>0.715465626904882</c:v>
                </c:pt>
                <c:pt idx="9">
                  <c:v>0.793443263941369</c:v>
                </c:pt>
                <c:pt idx="10">
                  <c:v>0.730863596114826</c:v>
                </c:pt>
                <c:pt idx="11">
                  <c:v>0.78662472765132</c:v>
                </c:pt>
                <c:pt idx="12">
                  <c:v>0.686816342783247</c:v>
                </c:pt>
                <c:pt idx="13">
                  <c:v>0.718410360602762</c:v>
                </c:pt>
                <c:pt idx="14">
                  <c:v>0.744433669330252</c:v>
                </c:pt>
                <c:pt idx="15">
                  <c:v>0.717764656873297</c:v>
                </c:pt>
                <c:pt idx="16">
                  <c:v>0.737447565963683</c:v>
                </c:pt>
                <c:pt idx="17">
                  <c:v>0.700591538533063</c:v>
                </c:pt>
                <c:pt idx="18">
                  <c:v>0.678930245127542</c:v>
                </c:pt>
                <c:pt idx="19">
                  <c:v>0.696243121106112</c:v>
                </c:pt>
                <c:pt idx="20">
                  <c:v>0.751495467345464</c:v>
                </c:pt>
                <c:pt idx="21">
                  <c:v>0.66012396246485</c:v>
                </c:pt>
                <c:pt idx="22">
                  <c:v>0.738555955351407</c:v>
                </c:pt>
                <c:pt idx="23">
                  <c:v>0.74726844232579</c:v>
                </c:pt>
                <c:pt idx="24">
                  <c:v>0.70142641264434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inter_system_stats!$E$34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inter_system_stats!$E$35:$E$59</c:f>
              <c:numCache>
                <c:formatCode>General</c:formatCode>
                <c:ptCount val="25"/>
                <c:pt idx="0">
                  <c:v>0.754089393330518</c:v>
                </c:pt>
                <c:pt idx="1">
                  <c:v>0.776695707387166</c:v>
                </c:pt>
                <c:pt idx="2">
                  <c:v>0.739989879595545</c:v>
                </c:pt>
                <c:pt idx="3">
                  <c:v>0.742245918124278</c:v>
                </c:pt>
                <c:pt idx="4">
                  <c:v>0.807638556331572</c:v>
                </c:pt>
                <c:pt idx="5">
                  <c:v>0.740162804506617</c:v>
                </c:pt>
                <c:pt idx="6">
                  <c:v>0.781037553501202</c:v>
                </c:pt>
                <c:pt idx="7">
                  <c:v>0.696417484151069</c:v>
                </c:pt>
                <c:pt idx="8">
                  <c:v>0.742251700755494</c:v>
                </c:pt>
                <c:pt idx="9">
                  <c:v>0.824221753429923</c:v>
                </c:pt>
                <c:pt idx="10">
                  <c:v>0.706116491876793</c:v>
                </c:pt>
                <c:pt idx="11">
                  <c:v>0.779947067179795</c:v>
                </c:pt>
                <c:pt idx="12">
                  <c:v>0.707370269465281</c:v>
                </c:pt>
                <c:pt idx="13">
                  <c:v>0.682205004410646</c:v>
                </c:pt>
                <c:pt idx="14">
                  <c:v>0.666685272176504</c:v>
                </c:pt>
                <c:pt idx="15">
                  <c:v>0.748853205345462</c:v>
                </c:pt>
                <c:pt idx="16">
                  <c:v>0.742965313065697</c:v>
                </c:pt>
                <c:pt idx="17">
                  <c:v>0.728588697645091</c:v>
                </c:pt>
                <c:pt idx="18">
                  <c:v>0.741250956289799</c:v>
                </c:pt>
                <c:pt idx="19">
                  <c:v>0.722251425300955</c:v>
                </c:pt>
                <c:pt idx="20">
                  <c:v>0.803210697319553</c:v>
                </c:pt>
                <c:pt idx="21">
                  <c:v>0.673214279680313</c:v>
                </c:pt>
                <c:pt idx="22">
                  <c:v>0.723840879104647</c:v>
                </c:pt>
                <c:pt idx="23">
                  <c:v>0.727564777752726</c:v>
                </c:pt>
                <c:pt idx="24">
                  <c:v>0.66737838952569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inter_system_stats!$F$34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inter_system_stats!$F$35:$F$59</c:f>
              <c:numCache>
                <c:formatCode>General</c:formatCode>
                <c:ptCount val="25"/>
                <c:pt idx="0">
                  <c:v>0.75451956501659</c:v>
                </c:pt>
                <c:pt idx="1">
                  <c:v>0.583157820853806</c:v>
                </c:pt>
                <c:pt idx="2">
                  <c:v>0.618904917761491</c:v>
                </c:pt>
                <c:pt idx="3">
                  <c:v>0.74737712465141</c:v>
                </c:pt>
                <c:pt idx="4">
                  <c:v>0.548980230623881</c:v>
                </c:pt>
                <c:pt idx="5">
                  <c:v>0.632690227255637</c:v>
                </c:pt>
                <c:pt idx="6">
                  <c:v>0.701786769943752</c:v>
                </c:pt>
                <c:pt idx="7">
                  <c:v>0.584562320768019</c:v>
                </c:pt>
                <c:pt idx="8">
                  <c:v>0.635530236435515</c:v>
                </c:pt>
                <c:pt idx="9">
                  <c:v>0.69186077854627</c:v>
                </c:pt>
                <c:pt idx="10">
                  <c:v>0.746874410758284</c:v>
                </c:pt>
                <c:pt idx="11">
                  <c:v>0.646103343046236</c:v>
                </c:pt>
                <c:pt idx="12">
                  <c:v>0.714267452106315</c:v>
                </c:pt>
                <c:pt idx="13">
                  <c:v>0.64598849418726</c:v>
                </c:pt>
                <c:pt idx="14">
                  <c:v>0.559125581602383</c:v>
                </c:pt>
                <c:pt idx="15">
                  <c:v>0.664444142276853</c:v>
                </c:pt>
                <c:pt idx="16">
                  <c:v>0.682928718328554</c:v>
                </c:pt>
                <c:pt idx="17">
                  <c:v>0.609029777075647</c:v>
                </c:pt>
                <c:pt idx="18">
                  <c:v>0.625136354501309</c:v>
                </c:pt>
                <c:pt idx="19">
                  <c:v>0.628896991007055</c:v>
                </c:pt>
                <c:pt idx="20">
                  <c:v>0.49049501481858</c:v>
                </c:pt>
                <c:pt idx="21">
                  <c:v>0.551218385467124</c:v>
                </c:pt>
                <c:pt idx="22">
                  <c:v>0.644659585583856</c:v>
                </c:pt>
                <c:pt idx="23">
                  <c:v>0.654980886002206</c:v>
                </c:pt>
                <c:pt idx="24">
                  <c:v>0.512869586028254</c:v>
                </c:pt>
              </c:numCache>
            </c:numRef>
          </c:yVal>
          <c:smooth val="0"/>
        </c:ser>
        <c:axId val="93739951"/>
        <c:axId val="1364222"/>
      </c:scatterChart>
      <c:valAx>
        <c:axId val="937399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364222"/>
        <c:crosses val="autoZero"/>
        <c:crossBetween val="midCat"/>
      </c:valAx>
      <c:valAx>
        <c:axId val="13642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37399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31680</xdr:colOff>
      <xdr:row>3</xdr:row>
      <xdr:rowOff>30960</xdr:rowOff>
    </xdr:from>
    <xdr:to>
      <xdr:col>10</xdr:col>
      <xdr:colOff>93240</xdr:colOff>
      <xdr:row>23</xdr:row>
      <xdr:rowOff>13680</xdr:rowOff>
    </xdr:to>
    <xdr:graphicFrame>
      <xdr:nvGraphicFramePr>
        <xdr:cNvPr id="1" name=""/>
        <xdr:cNvGraphicFramePr/>
      </xdr:nvGraphicFramePr>
      <xdr:xfrm>
        <a:off x="2469960" y="518760"/>
        <a:ext cx="5751360" cy="323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258480</xdr:colOff>
      <xdr:row>63</xdr:row>
      <xdr:rowOff>23400</xdr:rowOff>
    </xdr:from>
    <xdr:to>
      <xdr:col>6</xdr:col>
      <xdr:colOff>1174680</xdr:colOff>
      <xdr:row>83</xdr:row>
      <xdr:rowOff>6480</xdr:rowOff>
    </xdr:to>
    <xdr:graphicFrame>
      <xdr:nvGraphicFramePr>
        <xdr:cNvPr id="2" name=""/>
        <xdr:cNvGraphicFramePr/>
      </xdr:nvGraphicFramePr>
      <xdr:xfrm>
        <a:off x="1071360" y="10264680"/>
        <a:ext cx="575748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" activeCellId="0" sqref="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15.32"/>
    <col collapsed="false" customWidth="true" hidden="false" outlineLevel="0" max="5" min="5" style="1" width="15.49"/>
    <col collapsed="false" customWidth="true" hidden="false" outlineLevel="0" max="7" min="7" style="2" width="39.93"/>
    <col collapsed="false" customWidth="true" hidden="false" outlineLevel="0" max="8" min="8" style="1" width="7.68"/>
    <col collapsed="false" customWidth="true" hidden="false" outlineLevel="0" max="10" min="9" style="1" width="18.71"/>
    <col collapsed="false" customWidth="true" hidden="false" outlineLevel="0" max="12" min="11" style="1" width="19.22"/>
    <col collapsed="false" customWidth="true" hidden="false" outlineLevel="0" max="16" min="16" style="1" width="4.97"/>
    <col collapsed="false" customWidth="true" hidden="false" outlineLevel="0" max="18" min="17" style="1" width="19.39"/>
    <col collapsed="false" customWidth="true" hidden="false" outlineLevel="0" max="19" min="19" style="1" width="19.74"/>
  </cols>
  <sheetData>
    <row r="1" customFormat="false" ht="22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3" t="s">
        <v>12</v>
      </c>
      <c r="Q1" s="3" t="s">
        <v>13</v>
      </c>
      <c r="R1" s="3" t="s">
        <v>14</v>
      </c>
      <c r="S1" s="4" t="s">
        <v>15</v>
      </c>
    </row>
    <row r="2" customFormat="false" ht="15" hidden="false" customHeight="false" outlineLevel="0" collapsed="false">
      <c r="P2" s="5" t="n">
        <f aca="false">COUNT(K3:K152)</f>
        <v>150</v>
      </c>
      <c r="Q2" s="5" t="n">
        <f aca="false">AVERAGE(K3:K152)</f>
        <v>0.0324796576961667</v>
      </c>
      <c r="R2" s="5" t="n">
        <f aca="false">CORREL(H3:H152,K3:K152)</f>
        <v>-0.200830685944449</v>
      </c>
      <c r="S2" s="5" t="n">
        <f aca="false">Notes!B5</f>
        <v>0.0137301155038851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1</v>
      </c>
      <c r="G3" s="2" t="s">
        <v>21</v>
      </c>
      <c r="H3" s="1" t="n">
        <v>0.1911</v>
      </c>
      <c r="I3" s="1" t="n">
        <v>0.398435800434365</v>
      </c>
      <c r="J3" s="1" t="n">
        <v>0.450966228997252</v>
      </c>
      <c r="K3" s="1" t="n">
        <f aca="false">J3-I3</f>
        <v>0.052530428562887</v>
      </c>
      <c r="L3" s="1" t="n">
        <v>0.754089393330518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1</v>
      </c>
      <c r="G4" s="2" t="s">
        <v>22</v>
      </c>
      <c r="H4" s="1" t="n">
        <v>0.1811</v>
      </c>
      <c r="I4" s="1" t="n">
        <v>0.377633198841969</v>
      </c>
      <c r="J4" s="1" t="n">
        <v>0.424325834839216</v>
      </c>
      <c r="K4" s="1" t="n">
        <f aca="false">J4-I4</f>
        <v>0.046692635997247</v>
      </c>
      <c r="L4" s="1" t="n">
        <v>0.754089393330518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n">
        <v>1</v>
      </c>
      <c r="G5" s="2" t="s">
        <v>23</v>
      </c>
      <c r="H5" s="1" t="n">
        <v>0.1801</v>
      </c>
      <c r="I5" s="1" t="n">
        <v>0.375525637164938</v>
      </c>
      <c r="J5" s="1" t="n">
        <v>0.415876378127188</v>
      </c>
      <c r="K5" s="1" t="n">
        <f aca="false">J5-I5</f>
        <v>0.04035074096225</v>
      </c>
      <c r="L5" s="1" t="n">
        <v>0.754089393330518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n">
        <v>1</v>
      </c>
      <c r="G6" s="2" t="s">
        <v>24</v>
      </c>
      <c r="H6" s="1" t="n">
        <v>0.1745</v>
      </c>
      <c r="I6" s="1" t="n">
        <v>0.363895088976543</v>
      </c>
      <c r="J6" s="1" t="n">
        <v>0.404720937192572</v>
      </c>
      <c r="K6" s="1" t="n">
        <f aca="false">J6-I6</f>
        <v>0.040825848216029</v>
      </c>
      <c r="L6" s="1" t="n">
        <v>0.754089393330518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n">
        <v>1</v>
      </c>
      <c r="G7" s="2" t="s">
        <v>25</v>
      </c>
      <c r="H7" s="1" t="n">
        <v>0.1731</v>
      </c>
      <c r="I7" s="1" t="n">
        <v>0.36099453490325</v>
      </c>
      <c r="J7" s="1" t="n">
        <v>0.412083667972795</v>
      </c>
      <c r="K7" s="1" t="n">
        <f aca="false">J7-I7</f>
        <v>0.051089133069545</v>
      </c>
      <c r="L7" s="1" t="n">
        <v>0.754089393330518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n">
        <v>1</v>
      </c>
      <c r="G8" s="2" t="s">
        <v>26</v>
      </c>
      <c r="H8" s="1" t="n">
        <v>0.1</v>
      </c>
      <c r="I8" s="1" t="n">
        <v>0.23857066472782</v>
      </c>
      <c r="J8" s="1" t="n">
        <v>0.313465760745155</v>
      </c>
      <c r="K8" s="1" t="n">
        <f aca="false">J8-I8</f>
        <v>0.074895096017335</v>
      </c>
      <c r="L8" s="1" t="n">
        <v>0.754089393330518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19</v>
      </c>
      <c r="E9" s="1" t="s">
        <v>20</v>
      </c>
      <c r="F9" s="1" t="n">
        <v>3</v>
      </c>
      <c r="G9" s="2" t="s">
        <v>21</v>
      </c>
      <c r="H9" s="1" t="n">
        <v>0.2161</v>
      </c>
      <c r="I9" s="1" t="n">
        <v>0.457784328095621</v>
      </c>
      <c r="J9" s="1" t="n">
        <v>0.484114104367366</v>
      </c>
      <c r="K9" s="1" t="n">
        <f aca="false">J9-I9</f>
        <v>0.026329776271745</v>
      </c>
      <c r="L9" s="1" t="n">
        <v>0.776695707387166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19</v>
      </c>
      <c r="E10" s="1" t="s">
        <v>20</v>
      </c>
      <c r="F10" s="1" t="n">
        <v>3</v>
      </c>
      <c r="G10" s="2" t="s">
        <v>25</v>
      </c>
      <c r="H10" s="1" t="n">
        <v>0.173</v>
      </c>
      <c r="I10" s="1" t="n">
        <v>0.366474953375517</v>
      </c>
      <c r="J10" s="1" t="n">
        <v>0.414481034311887</v>
      </c>
      <c r="K10" s="1" t="n">
        <f aca="false">J10-I10</f>
        <v>0.04800608093637</v>
      </c>
      <c r="L10" s="1" t="n">
        <v>0.776695707387166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19</v>
      </c>
      <c r="E11" s="1" t="s">
        <v>20</v>
      </c>
      <c r="F11" s="1" t="n">
        <v>3</v>
      </c>
      <c r="G11" s="2" t="s">
        <v>23</v>
      </c>
      <c r="H11" s="1" t="n">
        <v>0.1723</v>
      </c>
      <c r="I11" s="1" t="n">
        <v>0.365093457239234</v>
      </c>
      <c r="J11" s="1" t="n">
        <v>0.434050000746362</v>
      </c>
      <c r="K11" s="1" t="n">
        <f aca="false">J11-I11</f>
        <v>0.068956543507128</v>
      </c>
      <c r="L11" s="1" t="n">
        <v>0.776695707387166</v>
      </c>
    </row>
    <row r="12" customFormat="false" ht="15" hidden="false" customHeight="false" outlineLevel="0" collapsed="false">
      <c r="A12" s="1" t="s">
        <v>27</v>
      </c>
      <c r="B12" s="1" t="s">
        <v>28</v>
      </c>
      <c r="C12" s="1" t="s">
        <v>29</v>
      </c>
      <c r="D12" s="1" t="s">
        <v>19</v>
      </c>
      <c r="E12" s="1" t="s">
        <v>20</v>
      </c>
      <c r="F12" s="1" t="n">
        <v>3</v>
      </c>
      <c r="G12" s="2" t="s">
        <v>30</v>
      </c>
      <c r="H12" s="1" t="n">
        <v>0.1703</v>
      </c>
      <c r="I12" s="1" t="n">
        <v>0.36070714144594</v>
      </c>
      <c r="J12" s="1" t="n">
        <v>0.396075819044324</v>
      </c>
      <c r="K12" s="1" t="n">
        <f aca="false">J12-I12</f>
        <v>0.035368677598384</v>
      </c>
      <c r="L12" s="1" t="n">
        <v>0.776695707387166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29</v>
      </c>
      <c r="D13" s="1" t="s">
        <v>19</v>
      </c>
      <c r="E13" s="1" t="s">
        <v>20</v>
      </c>
      <c r="F13" s="1" t="n">
        <v>3</v>
      </c>
      <c r="G13" s="2" t="s">
        <v>22</v>
      </c>
      <c r="H13" s="1" t="n">
        <v>0.1684</v>
      </c>
      <c r="I13" s="1" t="n">
        <v>0.3566767780321</v>
      </c>
      <c r="J13" s="1" t="n">
        <v>0.409531621607013</v>
      </c>
      <c r="K13" s="1" t="n">
        <f aca="false">J13-I13</f>
        <v>0.052854843574913</v>
      </c>
      <c r="L13" s="1" t="n">
        <v>0.776695707387166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s">
        <v>29</v>
      </c>
      <c r="D14" s="1" t="s">
        <v>19</v>
      </c>
      <c r="E14" s="1" t="s">
        <v>20</v>
      </c>
      <c r="F14" s="1" t="n">
        <v>3</v>
      </c>
      <c r="G14" s="2" t="s">
        <v>26</v>
      </c>
      <c r="H14" s="1" t="n">
        <v>0.1</v>
      </c>
      <c r="I14" s="1" t="n">
        <v>0.289377892213133</v>
      </c>
      <c r="J14" s="1" t="n">
        <v>0.38750407202441</v>
      </c>
      <c r="K14" s="1" t="n">
        <f aca="false">J14-I14</f>
        <v>0.098126179811277</v>
      </c>
      <c r="L14" s="1" t="n">
        <v>0.776695707387166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1" t="s">
        <v>19</v>
      </c>
      <c r="E15" s="1" t="s">
        <v>20</v>
      </c>
      <c r="F15" s="1" t="n">
        <v>5</v>
      </c>
      <c r="G15" s="2" t="s">
        <v>21</v>
      </c>
      <c r="H15" s="1" t="n">
        <v>0.2208</v>
      </c>
      <c r="I15" s="1" t="n">
        <v>0.431808858903877</v>
      </c>
      <c r="J15" s="1" t="n">
        <v>0.407663834443531</v>
      </c>
      <c r="K15" s="1" t="n">
        <f aca="false">J15-I15</f>
        <v>-0.024145024460346</v>
      </c>
      <c r="L15" s="1" t="n">
        <v>0.739989879595545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s">
        <v>33</v>
      </c>
      <c r="D16" s="1" t="s">
        <v>19</v>
      </c>
      <c r="E16" s="1" t="s">
        <v>20</v>
      </c>
      <c r="F16" s="1" t="n">
        <v>5</v>
      </c>
      <c r="G16" s="2" t="s">
        <v>30</v>
      </c>
      <c r="H16" s="1" t="n">
        <v>0.1758</v>
      </c>
      <c r="I16" s="1" t="n">
        <v>0.3439104487924</v>
      </c>
      <c r="J16" s="1" t="n">
        <v>0.361898257869837</v>
      </c>
      <c r="K16" s="1" t="n">
        <f aca="false">J16-I16</f>
        <v>0.017987809077437</v>
      </c>
      <c r="L16" s="1" t="n">
        <v>0.739989879595545</v>
      </c>
    </row>
    <row r="17" customFormat="false" ht="15" hidden="false" customHeight="false" outlineLevel="0" collapsed="false">
      <c r="A17" s="1" t="s">
        <v>31</v>
      </c>
      <c r="B17" s="1" t="s">
        <v>32</v>
      </c>
      <c r="C17" s="1" t="s">
        <v>33</v>
      </c>
      <c r="D17" s="1" t="s">
        <v>19</v>
      </c>
      <c r="E17" s="1" t="s">
        <v>20</v>
      </c>
      <c r="F17" s="1" t="n">
        <v>5</v>
      </c>
      <c r="G17" s="2" t="s">
        <v>25</v>
      </c>
      <c r="H17" s="1" t="n">
        <v>0.1693</v>
      </c>
      <c r="I17" s="1" t="n">
        <v>0.331065234209532</v>
      </c>
      <c r="J17" s="1" t="n">
        <v>0.343300309021805</v>
      </c>
      <c r="K17" s="1" t="n">
        <f aca="false">J17-I17</f>
        <v>0.012235074812273</v>
      </c>
      <c r="L17" s="1" t="n">
        <v>0.739989879595545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19</v>
      </c>
      <c r="E18" s="1" t="s">
        <v>20</v>
      </c>
      <c r="F18" s="1" t="n">
        <v>5</v>
      </c>
      <c r="G18" s="2" t="s">
        <v>23</v>
      </c>
      <c r="H18" s="1" t="n">
        <v>0.1692</v>
      </c>
      <c r="I18" s="1" t="n">
        <v>0.330903452144389</v>
      </c>
      <c r="J18" s="1" t="n">
        <v>0.355155792878145</v>
      </c>
      <c r="K18" s="1" t="n">
        <f aca="false">J18-I18</f>
        <v>0.024252340733756</v>
      </c>
      <c r="L18" s="1" t="n">
        <v>0.739989879595545</v>
      </c>
    </row>
    <row r="19" customFormat="false" ht="15" hidden="false" customHeight="false" outlineLevel="0" collapsed="false">
      <c r="A19" s="1" t="s">
        <v>31</v>
      </c>
      <c r="B19" s="1" t="s">
        <v>32</v>
      </c>
      <c r="C19" s="1" t="s">
        <v>33</v>
      </c>
      <c r="D19" s="1" t="s">
        <v>19</v>
      </c>
      <c r="E19" s="1" t="s">
        <v>20</v>
      </c>
      <c r="F19" s="1" t="n">
        <v>5</v>
      </c>
      <c r="G19" s="2" t="s">
        <v>22</v>
      </c>
      <c r="H19" s="1" t="n">
        <v>0.1649</v>
      </c>
      <c r="I19" s="1" t="n">
        <v>0.322485412715296</v>
      </c>
      <c r="J19" s="1" t="n">
        <v>0.379767782414519</v>
      </c>
      <c r="K19" s="1" t="n">
        <f aca="false">J19-I19</f>
        <v>0.057282369699223</v>
      </c>
      <c r="L19" s="1" t="n">
        <v>0.739989879595545</v>
      </c>
    </row>
    <row r="20" customFormat="false" ht="15" hidden="false" customHeight="false" outlineLevel="0" collapsed="false">
      <c r="A20" s="1" t="s">
        <v>31</v>
      </c>
      <c r="B20" s="1" t="s">
        <v>32</v>
      </c>
      <c r="C20" s="1" t="s">
        <v>33</v>
      </c>
      <c r="D20" s="1" t="s">
        <v>19</v>
      </c>
      <c r="E20" s="1" t="s">
        <v>20</v>
      </c>
      <c r="F20" s="1" t="n">
        <v>5</v>
      </c>
      <c r="G20" s="2" t="s">
        <v>26</v>
      </c>
      <c r="H20" s="1" t="n">
        <v>0.1</v>
      </c>
      <c r="I20" s="1" t="n">
        <v>0.300421432362691</v>
      </c>
      <c r="J20" s="1" t="n">
        <v>0.309570684495375</v>
      </c>
      <c r="K20" s="1" t="n">
        <f aca="false">J20-I20</f>
        <v>0.00914925213268403</v>
      </c>
      <c r="L20" s="1" t="n">
        <v>0.739989879595545</v>
      </c>
    </row>
    <row r="21" customFormat="false" ht="15" hidden="false" customHeight="false" outlineLevel="0" collapsed="false">
      <c r="A21" s="1" t="s">
        <v>34</v>
      </c>
      <c r="B21" s="1" t="s">
        <v>35</v>
      </c>
      <c r="C21" s="1" t="s">
        <v>36</v>
      </c>
      <c r="D21" s="1" t="s">
        <v>19</v>
      </c>
      <c r="E21" s="1" t="s">
        <v>20</v>
      </c>
      <c r="F21" s="1" t="n">
        <v>7</v>
      </c>
      <c r="G21" s="2" t="s">
        <v>21</v>
      </c>
      <c r="H21" s="1" t="n">
        <v>0.2073</v>
      </c>
      <c r="I21" s="1" t="n">
        <v>0.398244293477534</v>
      </c>
      <c r="J21" s="1" t="n">
        <v>0.450889547366527</v>
      </c>
      <c r="K21" s="1" t="n">
        <f aca="false">J21-I21</f>
        <v>0.052645253888993</v>
      </c>
      <c r="L21" s="1" t="n">
        <v>0.742245918124278</v>
      </c>
    </row>
    <row r="22" customFormat="false" ht="15" hidden="false" customHeight="false" outlineLevel="0" collapsed="false">
      <c r="A22" s="1" t="s">
        <v>34</v>
      </c>
      <c r="B22" s="1" t="s">
        <v>35</v>
      </c>
      <c r="C22" s="1" t="s">
        <v>36</v>
      </c>
      <c r="D22" s="1" t="s">
        <v>19</v>
      </c>
      <c r="E22" s="1" t="s">
        <v>20</v>
      </c>
      <c r="F22" s="1" t="n">
        <v>7</v>
      </c>
      <c r="G22" s="2" t="s">
        <v>22</v>
      </c>
      <c r="H22" s="1" t="n">
        <v>0.1825</v>
      </c>
      <c r="I22" s="1" t="n">
        <v>0.350709546655576</v>
      </c>
      <c r="J22" s="1" t="n">
        <v>0.386532669841562</v>
      </c>
      <c r="K22" s="1" t="n">
        <f aca="false">J22-I22</f>
        <v>0.035823123185986</v>
      </c>
      <c r="L22" s="1" t="n">
        <v>0.742245918124278</v>
      </c>
    </row>
    <row r="23" customFormat="false" ht="15" hidden="false" customHeight="false" outlineLevel="0" collapsed="false">
      <c r="A23" s="1" t="s">
        <v>34</v>
      </c>
      <c r="B23" s="1" t="s">
        <v>35</v>
      </c>
      <c r="C23" s="1" t="s">
        <v>36</v>
      </c>
      <c r="D23" s="1" t="s">
        <v>19</v>
      </c>
      <c r="E23" s="1" t="s">
        <v>20</v>
      </c>
      <c r="F23" s="1" t="n">
        <v>7</v>
      </c>
      <c r="G23" s="2" t="s">
        <v>23</v>
      </c>
      <c r="H23" s="1" t="n">
        <v>0.1753</v>
      </c>
      <c r="I23" s="1" t="n">
        <v>0.336829317190169</v>
      </c>
      <c r="J23" s="1" t="n">
        <v>0.417911869533959</v>
      </c>
      <c r="K23" s="1" t="n">
        <f aca="false">J23-I23</f>
        <v>0.08108255234379</v>
      </c>
      <c r="L23" s="1" t="n">
        <v>0.742245918124278</v>
      </c>
    </row>
    <row r="24" customFormat="false" ht="15" hidden="false" customHeight="false" outlineLevel="0" collapsed="false">
      <c r="A24" s="1" t="s">
        <v>34</v>
      </c>
      <c r="B24" s="1" t="s">
        <v>35</v>
      </c>
      <c r="C24" s="1" t="s">
        <v>36</v>
      </c>
      <c r="D24" s="1" t="s">
        <v>19</v>
      </c>
      <c r="E24" s="1" t="s">
        <v>20</v>
      </c>
      <c r="F24" s="1" t="n">
        <v>7</v>
      </c>
      <c r="G24" s="2" t="s">
        <v>30</v>
      </c>
      <c r="H24" s="1" t="n">
        <v>0.1735</v>
      </c>
      <c r="I24" s="1" t="n">
        <v>0.333339419940383</v>
      </c>
      <c r="J24" s="1" t="n">
        <v>0.403401248408292</v>
      </c>
      <c r="K24" s="1" t="n">
        <f aca="false">J24-I24</f>
        <v>0.070061828467909</v>
      </c>
      <c r="L24" s="1" t="n">
        <v>0.742245918124278</v>
      </c>
    </row>
    <row r="25" customFormat="false" ht="15" hidden="false" customHeight="false" outlineLevel="0" collapsed="false">
      <c r="A25" s="1" t="s">
        <v>34</v>
      </c>
      <c r="B25" s="1" t="s">
        <v>35</v>
      </c>
      <c r="C25" s="1" t="s">
        <v>36</v>
      </c>
      <c r="D25" s="1" t="s">
        <v>19</v>
      </c>
      <c r="E25" s="1" t="s">
        <v>20</v>
      </c>
      <c r="F25" s="1" t="n">
        <v>7</v>
      </c>
      <c r="G25" s="2" t="s">
        <v>25</v>
      </c>
      <c r="H25" s="1" t="n">
        <v>0.1615</v>
      </c>
      <c r="I25" s="1" t="n">
        <v>0.310281229747604</v>
      </c>
      <c r="J25" s="1" t="n">
        <v>0.414699522687636</v>
      </c>
      <c r="K25" s="1" t="n">
        <f aca="false">J25-I25</f>
        <v>0.104418292940032</v>
      </c>
      <c r="L25" s="1" t="n">
        <v>0.742245918124278</v>
      </c>
    </row>
    <row r="26" customFormat="false" ht="15" hidden="false" customHeight="false" outlineLevel="0" collapsed="false">
      <c r="A26" s="1" t="s">
        <v>34</v>
      </c>
      <c r="B26" s="1" t="s">
        <v>35</v>
      </c>
      <c r="C26" s="1" t="s">
        <v>36</v>
      </c>
      <c r="D26" s="1" t="s">
        <v>19</v>
      </c>
      <c r="E26" s="1" t="s">
        <v>20</v>
      </c>
      <c r="F26" s="1" t="n">
        <v>7</v>
      </c>
      <c r="G26" s="2" t="s">
        <v>26</v>
      </c>
      <c r="H26" s="1" t="n">
        <v>0.1</v>
      </c>
      <c r="I26" s="1" t="n">
        <v>0.283716157922791</v>
      </c>
      <c r="J26" s="1" t="n">
        <v>0.333361433161376</v>
      </c>
      <c r="K26" s="1" t="n">
        <f aca="false">J26-I26</f>
        <v>0.049645275238585</v>
      </c>
      <c r="L26" s="1" t="n">
        <v>0.742245918124278</v>
      </c>
    </row>
    <row r="27" customFormat="false" ht="15" hidden="false" customHeight="false" outlineLevel="0" collapsed="false">
      <c r="A27" s="1" t="s">
        <v>37</v>
      </c>
      <c r="B27" s="1" t="s">
        <v>38</v>
      </c>
      <c r="C27" s="1" t="s">
        <v>39</v>
      </c>
      <c r="D27" s="1" t="s">
        <v>19</v>
      </c>
      <c r="E27" s="1" t="s">
        <v>20</v>
      </c>
      <c r="F27" s="1" t="n">
        <v>9</v>
      </c>
      <c r="G27" s="2" t="s">
        <v>21</v>
      </c>
      <c r="H27" s="1" t="n">
        <v>0.2083</v>
      </c>
      <c r="I27" s="1" t="n">
        <v>0.450761061936909</v>
      </c>
      <c r="J27" s="1" t="n">
        <v>0.480241310610014</v>
      </c>
      <c r="K27" s="1" t="n">
        <f aca="false">J27-I27</f>
        <v>0.029480248673105</v>
      </c>
      <c r="L27" s="1" t="n">
        <v>0.807638556331572</v>
      </c>
    </row>
    <row r="28" customFormat="false" ht="15" hidden="false" customHeight="false" outlineLevel="0" collapsed="false">
      <c r="A28" s="1" t="s">
        <v>37</v>
      </c>
      <c r="B28" s="1" t="s">
        <v>38</v>
      </c>
      <c r="C28" s="1" t="s">
        <v>39</v>
      </c>
      <c r="D28" s="1" t="s">
        <v>19</v>
      </c>
      <c r="E28" s="1" t="s">
        <v>20</v>
      </c>
      <c r="F28" s="1" t="n">
        <v>9</v>
      </c>
      <c r="G28" s="2" t="s">
        <v>23</v>
      </c>
      <c r="H28" s="1" t="n">
        <v>0.1797</v>
      </c>
      <c r="I28" s="1" t="n">
        <v>0.38885629430956</v>
      </c>
      <c r="J28" s="1" t="n">
        <v>0.42789842950115</v>
      </c>
      <c r="K28" s="1" t="n">
        <f aca="false">J28-I28</f>
        <v>0.03904213519159</v>
      </c>
      <c r="L28" s="1" t="n">
        <v>0.807638556331572</v>
      </c>
    </row>
    <row r="29" customFormat="false" ht="15" hidden="false" customHeight="false" outlineLevel="0" collapsed="false">
      <c r="A29" s="1" t="s">
        <v>37</v>
      </c>
      <c r="B29" s="1" t="s">
        <v>38</v>
      </c>
      <c r="C29" s="1" t="s">
        <v>39</v>
      </c>
      <c r="D29" s="1" t="s">
        <v>19</v>
      </c>
      <c r="E29" s="1" t="s">
        <v>20</v>
      </c>
      <c r="F29" s="1" t="n">
        <v>9</v>
      </c>
      <c r="G29" s="2" t="s">
        <v>24</v>
      </c>
      <c r="H29" s="1" t="n">
        <v>0.1755</v>
      </c>
      <c r="I29" s="1" t="n">
        <v>0.379860897099701</v>
      </c>
      <c r="J29" s="1" t="n">
        <v>0.413402070181885</v>
      </c>
      <c r="K29" s="1" t="n">
        <f aca="false">J29-I29</f>
        <v>0.033541173082184</v>
      </c>
      <c r="L29" s="1" t="n">
        <v>0.807638556331572</v>
      </c>
    </row>
    <row r="30" customFormat="false" ht="15" hidden="false" customHeight="false" outlineLevel="0" collapsed="false">
      <c r="A30" s="1" t="s">
        <v>37</v>
      </c>
      <c r="B30" s="1" t="s">
        <v>38</v>
      </c>
      <c r="C30" s="1" t="s">
        <v>39</v>
      </c>
      <c r="D30" s="1" t="s">
        <v>19</v>
      </c>
      <c r="E30" s="1" t="s">
        <v>20</v>
      </c>
      <c r="F30" s="1" t="n">
        <v>9</v>
      </c>
      <c r="G30" s="2" t="s">
        <v>40</v>
      </c>
      <c r="H30" s="1" t="n">
        <v>0.1701</v>
      </c>
      <c r="I30" s="1" t="n">
        <v>0.368217695481391</v>
      </c>
      <c r="J30" s="1" t="n">
        <v>0.370009427242405</v>
      </c>
      <c r="K30" s="1" t="n">
        <f aca="false">J30-I30</f>
        <v>0.00179173176101399</v>
      </c>
      <c r="L30" s="1" t="n">
        <v>0.807638556331572</v>
      </c>
    </row>
    <row r="31" customFormat="false" ht="15" hidden="false" customHeight="false" outlineLevel="0" collapsed="false">
      <c r="A31" s="1" t="s">
        <v>37</v>
      </c>
      <c r="B31" s="1" t="s">
        <v>38</v>
      </c>
      <c r="C31" s="1" t="s">
        <v>39</v>
      </c>
      <c r="D31" s="1" t="s">
        <v>19</v>
      </c>
      <c r="E31" s="1" t="s">
        <v>20</v>
      </c>
      <c r="F31" s="1" t="n">
        <v>9</v>
      </c>
      <c r="G31" s="2" t="s">
        <v>25</v>
      </c>
      <c r="H31" s="1" t="n">
        <v>0.1664</v>
      </c>
      <c r="I31" s="1" t="n">
        <v>0.360244518986078</v>
      </c>
      <c r="J31" s="1" t="n">
        <v>0.420418459239718</v>
      </c>
      <c r="K31" s="1" t="n">
        <f aca="false">J31-I31</f>
        <v>0.06017394025364</v>
      </c>
      <c r="L31" s="1" t="n">
        <v>0.807638556331572</v>
      </c>
    </row>
    <row r="32" customFormat="false" ht="15" hidden="false" customHeight="false" outlineLevel="0" collapsed="false">
      <c r="A32" s="1" t="s">
        <v>37</v>
      </c>
      <c r="B32" s="1" t="s">
        <v>38</v>
      </c>
      <c r="C32" s="1" t="s">
        <v>39</v>
      </c>
      <c r="D32" s="1" t="s">
        <v>19</v>
      </c>
      <c r="E32" s="1" t="s">
        <v>20</v>
      </c>
      <c r="F32" s="1" t="n">
        <v>9</v>
      </c>
      <c r="G32" s="2" t="s">
        <v>26</v>
      </c>
      <c r="H32" s="1" t="n">
        <v>0.1</v>
      </c>
      <c r="I32" s="1" t="n">
        <v>0.305171806429199</v>
      </c>
      <c r="J32" s="1" t="n">
        <v>0.359308878952961</v>
      </c>
      <c r="K32" s="1" t="n">
        <f aca="false">J32-I32</f>
        <v>0.054137072523762</v>
      </c>
      <c r="L32" s="1" t="n">
        <v>0.807638556331572</v>
      </c>
    </row>
    <row r="33" customFormat="false" ht="15" hidden="false" customHeight="false" outlineLevel="0" collapsed="false">
      <c r="A33" s="1" t="s">
        <v>41</v>
      </c>
      <c r="B33" s="1" t="s">
        <v>42</v>
      </c>
      <c r="C33" s="1" t="s">
        <v>43</v>
      </c>
      <c r="D33" s="1" t="s">
        <v>19</v>
      </c>
      <c r="E33" s="1" t="s">
        <v>20</v>
      </c>
      <c r="F33" s="1" t="n">
        <v>11</v>
      </c>
      <c r="G33" s="2" t="s">
        <v>21</v>
      </c>
      <c r="H33" s="1" t="n">
        <v>0.2208</v>
      </c>
      <c r="I33" s="1" t="n">
        <v>0.481170166139832</v>
      </c>
      <c r="J33" s="1" t="n">
        <v>0.482400270609866</v>
      </c>
      <c r="K33" s="1" t="n">
        <f aca="false">J33-I33</f>
        <v>0.00123010447003402</v>
      </c>
      <c r="L33" s="1" t="n">
        <v>0.740162804506617</v>
      </c>
    </row>
    <row r="34" customFormat="false" ht="15" hidden="false" customHeight="false" outlineLevel="0" collapsed="false">
      <c r="A34" s="1" t="s">
        <v>41</v>
      </c>
      <c r="B34" s="1" t="s">
        <v>42</v>
      </c>
      <c r="C34" s="1" t="s">
        <v>43</v>
      </c>
      <c r="D34" s="1" t="s">
        <v>19</v>
      </c>
      <c r="E34" s="1" t="s">
        <v>20</v>
      </c>
      <c r="F34" s="1" t="n">
        <v>11</v>
      </c>
      <c r="G34" s="2" t="s">
        <v>22</v>
      </c>
      <c r="H34" s="1" t="n">
        <v>0.1773</v>
      </c>
      <c r="I34" s="1" t="n">
        <v>0.386505929544324</v>
      </c>
      <c r="J34" s="1" t="n">
        <v>0.406116711279915</v>
      </c>
      <c r="K34" s="1" t="n">
        <f aca="false">J34-I34</f>
        <v>0.019610781735591</v>
      </c>
      <c r="L34" s="1" t="n">
        <v>0.740162804506617</v>
      </c>
    </row>
    <row r="35" customFormat="false" ht="15" hidden="false" customHeight="false" outlineLevel="0" collapsed="false">
      <c r="A35" s="1" t="s">
        <v>41</v>
      </c>
      <c r="B35" s="1" t="s">
        <v>42</v>
      </c>
      <c r="C35" s="1" t="s">
        <v>43</v>
      </c>
      <c r="D35" s="1" t="s">
        <v>19</v>
      </c>
      <c r="E35" s="1" t="s">
        <v>20</v>
      </c>
      <c r="F35" s="1" t="n">
        <v>11</v>
      </c>
      <c r="G35" s="2" t="s">
        <v>24</v>
      </c>
      <c r="H35" s="1" t="n">
        <v>0.1709</v>
      </c>
      <c r="I35" s="1" t="n">
        <v>0.372384677684915</v>
      </c>
      <c r="J35" s="1" t="n">
        <v>0.418339691390259</v>
      </c>
      <c r="K35" s="1" t="n">
        <f aca="false">J35-I35</f>
        <v>0.045955013705344</v>
      </c>
      <c r="L35" s="1" t="n">
        <v>0.740162804506617</v>
      </c>
    </row>
    <row r="36" customFormat="false" ht="15" hidden="false" customHeight="false" outlineLevel="0" collapsed="false">
      <c r="A36" s="1" t="s">
        <v>41</v>
      </c>
      <c r="B36" s="1" t="s">
        <v>42</v>
      </c>
      <c r="C36" s="1" t="s">
        <v>43</v>
      </c>
      <c r="D36" s="1" t="s">
        <v>19</v>
      </c>
      <c r="E36" s="1" t="s">
        <v>20</v>
      </c>
      <c r="F36" s="1" t="n">
        <v>11</v>
      </c>
      <c r="G36" s="2" t="s">
        <v>40</v>
      </c>
      <c r="H36" s="1" t="n">
        <v>0.1655</v>
      </c>
      <c r="I36" s="1" t="n">
        <v>0.360701064483055</v>
      </c>
      <c r="J36" s="1" t="n">
        <v>0.338757318445596</v>
      </c>
      <c r="K36" s="1" t="n">
        <f aca="false">J36-I36</f>
        <v>-0.021943746037459</v>
      </c>
      <c r="L36" s="1" t="n">
        <v>0.740162804506617</v>
      </c>
    </row>
    <row r="37" customFormat="false" ht="15" hidden="false" customHeight="false" outlineLevel="0" collapsed="false">
      <c r="A37" s="1" t="s">
        <v>41</v>
      </c>
      <c r="B37" s="1" t="s">
        <v>42</v>
      </c>
      <c r="C37" s="1" t="s">
        <v>43</v>
      </c>
      <c r="D37" s="1" t="s">
        <v>19</v>
      </c>
      <c r="E37" s="1" t="s">
        <v>20</v>
      </c>
      <c r="F37" s="1" t="n">
        <v>11</v>
      </c>
      <c r="G37" s="2" t="s">
        <v>25</v>
      </c>
      <c r="H37" s="1" t="n">
        <v>0.1655</v>
      </c>
      <c r="I37" s="1" t="n">
        <v>0.360672716498885</v>
      </c>
      <c r="J37" s="1" t="n">
        <v>0.402798511272223</v>
      </c>
      <c r="K37" s="1" t="n">
        <f aca="false">J37-I37</f>
        <v>0.042125794773338</v>
      </c>
      <c r="L37" s="1" t="n">
        <v>0.740162804506617</v>
      </c>
    </row>
    <row r="38" customFormat="false" ht="15" hidden="false" customHeight="false" outlineLevel="0" collapsed="false">
      <c r="A38" s="1" t="s">
        <v>41</v>
      </c>
      <c r="B38" s="1" t="s">
        <v>42</v>
      </c>
      <c r="C38" s="1" t="s">
        <v>43</v>
      </c>
      <c r="D38" s="1" t="s">
        <v>19</v>
      </c>
      <c r="E38" s="1" t="s">
        <v>20</v>
      </c>
      <c r="F38" s="1" t="n">
        <v>11</v>
      </c>
      <c r="G38" s="2" t="s">
        <v>26</v>
      </c>
      <c r="H38" s="1" t="n">
        <v>0.1</v>
      </c>
      <c r="I38" s="1" t="n">
        <v>0.284250968852525</v>
      </c>
      <c r="J38" s="1" t="n">
        <v>0.341591536062395</v>
      </c>
      <c r="K38" s="1" t="n">
        <f aca="false">J38-I38</f>
        <v>0.05734056720987</v>
      </c>
      <c r="L38" s="1" t="n">
        <v>0.740162804506617</v>
      </c>
    </row>
    <row r="39" customFormat="false" ht="15" hidden="false" customHeight="false" outlineLevel="0" collapsed="false">
      <c r="A39" s="1" t="s">
        <v>44</v>
      </c>
      <c r="B39" s="1" t="s">
        <v>45</v>
      </c>
      <c r="C39" s="1" t="s">
        <v>46</v>
      </c>
      <c r="D39" s="1" t="s">
        <v>19</v>
      </c>
      <c r="E39" s="1" t="s">
        <v>20</v>
      </c>
      <c r="F39" s="1" t="n">
        <v>13</v>
      </c>
      <c r="G39" s="2" t="s">
        <v>21</v>
      </c>
      <c r="H39" s="1" t="n">
        <v>0.2264</v>
      </c>
      <c r="I39" s="1" t="n">
        <v>0.449524289013648</v>
      </c>
      <c r="J39" s="1" t="n">
        <v>0.423299548399247</v>
      </c>
      <c r="K39" s="1" t="n">
        <f aca="false">J39-I39</f>
        <v>-0.026224740614401</v>
      </c>
      <c r="L39" s="1" t="n">
        <v>0.781037553501202</v>
      </c>
    </row>
    <row r="40" customFormat="false" ht="15" hidden="false" customHeight="false" outlineLevel="0" collapsed="false">
      <c r="A40" s="1" t="s">
        <v>44</v>
      </c>
      <c r="B40" s="1" t="s">
        <v>45</v>
      </c>
      <c r="C40" s="1" t="s">
        <v>46</v>
      </c>
      <c r="D40" s="1" t="s">
        <v>19</v>
      </c>
      <c r="E40" s="1" t="s">
        <v>20</v>
      </c>
      <c r="F40" s="1" t="n">
        <v>13</v>
      </c>
      <c r="G40" s="2" t="s">
        <v>23</v>
      </c>
      <c r="H40" s="1" t="n">
        <v>0.174</v>
      </c>
      <c r="I40" s="1" t="n">
        <v>0.345430666966025</v>
      </c>
      <c r="J40" s="1" t="n">
        <v>0.37045456826023</v>
      </c>
      <c r="K40" s="1" t="n">
        <f aca="false">J40-I40</f>
        <v>0.025023901294205</v>
      </c>
      <c r="L40" s="1" t="n">
        <v>0.781037553501202</v>
      </c>
    </row>
    <row r="41" customFormat="false" ht="15" hidden="false" customHeight="false" outlineLevel="0" collapsed="false">
      <c r="A41" s="1" t="s">
        <v>44</v>
      </c>
      <c r="B41" s="1" t="s">
        <v>45</v>
      </c>
      <c r="C41" s="1" t="s">
        <v>46</v>
      </c>
      <c r="D41" s="1" t="s">
        <v>19</v>
      </c>
      <c r="E41" s="1" t="s">
        <v>20</v>
      </c>
      <c r="F41" s="1" t="n">
        <v>13</v>
      </c>
      <c r="G41" s="2" t="s">
        <v>47</v>
      </c>
      <c r="H41" s="1" t="n">
        <v>0.1705</v>
      </c>
      <c r="I41" s="1" t="n">
        <v>0.338618562643461</v>
      </c>
      <c r="J41" s="1" t="n">
        <v>0.34613387847457</v>
      </c>
      <c r="K41" s="1" t="n">
        <f aca="false">J41-I41</f>
        <v>0.00751531583110898</v>
      </c>
      <c r="L41" s="1" t="n">
        <v>0.781037553501202</v>
      </c>
    </row>
    <row r="42" customFormat="false" ht="15" hidden="false" customHeight="false" outlineLevel="0" collapsed="false">
      <c r="A42" s="1" t="s">
        <v>44</v>
      </c>
      <c r="B42" s="1" t="s">
        <v>45</v>
      </c>
      <c r="C42" s="1" t="s">
        <v>46</v>
      </c>
      <c r="D42" s="1" t="s">
        <v>19</v>
      </c>
      <c r="E42" s="1" t="s">
        <v>20</v>
      </c>
      <c r="F42" s="1" t="n">
        <v>13</v>
      </c>
      <c r="G42" s="2" t="s">
        <v>48</v>
      </c>
      <c r="H42" s="1" t="n">
        <v>0.1655</v>
      </c>
      <c r="I42" s="1" t="n">
        <v>0.328729597476127</v>
      </c>
      <c r="J42" s="1" t="n">
        <v>0.313312488250826</v>
      </c>
      <c r="K42" s="1" t="n">
        <f aca="false">J42-I42</f>
        <v>-0.015417109225301</v>
      </c>
      <c r="L42" s="1" t="n">
        <v>0.781037553501202</v>
      </c>
    </row>
    <row r="43" customFormat="false" ht="15" hidden="false" customHeight="false" outlineLevel="0" collapsed="false">
      <c r="A43" s="1" t="s">
        <v>44</v>
      </c>
      <c r="B43" s="1" t="s">
        <v>45</v>
      </c>
      <c r="C43" s="1" t="s">
        <v>46</v>
      </c>
      <c r="D43" s="1" t="s">
        <v>19</v>
      </c>
      <c r="E43" s="1" t="s">
        <v>20</v>
      </c>
      <c r="F43" s="1" t="n">
        <v>13</v>
      </c>
      <c r="G43" s="2" t="s">
        <v>49</v>
      </c>
      <c r="H43" s="1" t="n">
        <v>0.1636</v>
      </c>
      <c r="I43" s="1" t="n">
        <v>0.324871015059339</v>
      </c>
      <c r="J43" s="1" t="n">
        <v>0.348646527781491</v>
      </c>
      <c r="K43" s="1" t="n">
        <f aca="false">J43-I43</f>
        <v>0.023775512722152</v>
      </c>
      <c r="L43" s="1" t="n">
        <v>0.781037553501202</v>
      </c>
    </row>
    <row r="44" customFormat="false" ht="15" hidden="false" customHeight="false" outlineLevel="0" collapsed="false">
      <c r="A44" s="1" t="s">
        <v>44</v>
      </c>
      <c r="B44" s="1" t="s">
        <v>45</v>
      </c>
      <c r="C44" s="1" t="s">
        <v>46</v>
      </c>
      <c r="D44" s="1" t="s">
        <v>19</v>
      </c>
      <c r="E44" s="1" t="s">
        <v>20</v>
      </c>
      <c r="F44" s="1" t="n">
        <v>13</v>
      </c>
      <c r="G44" s="2" t="s">
        <v>26</v>
      </c>
      <c r="H44" s="1" t="n">
        <v>0.1</v>
      </c>
      <c r="I44" s="1" t="n">
        <v>0.317511787212983</v>
      </c>
      <c r="J44" s="1" t="n">
        <v>0.319042446901559</v>
      </c>
      <c r="K44" s="1" t="n">
        <f aca="false">J44-I44</f>
        <v>0.00153065968857596</v>
      </c>
      <c r="L44" s="1" t="n">
        <v>0.781037553501202</v>
      </c>
    </row>
    <row r="45" customFormat="false" ht="15" hidden="false" customHeight="false" outlineLevel="0" collapsed="false">
      <c r="A45" s="1" t="s">
        <v>50</v>
      </c>
      <c r="B45" s="1" t="s">
        <v>51</v>
      </c>
      <c r="C45" s="1" t="s">
        <v>52</v>
      </c>
      <c r="D45" s="1" t="s">
        <v>19</v>
      </c>
      <c r="E45" s="1" t="s">
        <v>20</v>
      </c>
      <c r="F45" s="1" t="n">
        <v>15</v>
      </c>
      <c r="G45" s="2" t="s">
        <v>21</v>
      </c>
      <c r="H45" s="1" t="n">
        <v>0.2007</v>
      </c>
      <c r="I45" s="1" t="n">
        <v>0.374623490418403</v>
      </c>
      <c r="J45" s="1" t="n">
        <v>0.433975137739032</v>
      </c>
      <c r="K45" s="1" t="n">
        <f aca="false">J45-I45</f>
        <v>0.059351647320629</v>
      </c>
      <c r="L45" s="1" t="n">
        <v>0.696417484151069</v>
      </c>
    </row>
    <row r="46" customFormat="false" ht="15" hidden="false" customHeight="false" outlineLevel="0" collapsed="false">
      <c r="A46" s="1" t="s">
        <v>50</v>
      </c>
      <c r="B46" s="1" t="s">
        <v>51</v>
      </c>
      <c r="C46" s="1" t="s">
        <v>52</v>
      </c>
      <c r="D46" s="1" t="s">
        <v>19</v>
      </c>
      <c r="E46" s="1" t="s">
        <v>20</v>
      </c>
      <c r="F46" s="1" t="n">
        <v>15</v>
      </c>
      <c r="G46" s="2" t="s">
        <v>23</v>
      </c>
      <c r="H46" s="1" t="n">
        <v>0.1793</v>
      </c>
      <c r="I46" s="1" t="n">
        <v>0.334706568455812</v>
      </c>
      <c r="J46" s="1" t="n">
        <v>0.39957263938119</v>
      </c>
      <c r="K46" s="1" t="n">
        <f aca="false">J46-I46</f>
        <v>0.064866070925378</v>
      </c>
      <c r="L46" s="1" t="n">
        <v>0.696417484151069</v>
      </c>
    </row>
    <row r="47" customFormat="false" ht="15" hidden="false" customHeight="false" outlineLevel="0" collapsed="false">
      <c r="A47" s="1" t="s">
        <v>50</v>
      </c>
      <c r="B47" s="1" t="s">
        <v>51</v>
      </c>
      <c r="C47" s="1" t="s">
        <v>52</v>
      </c>
      <c r="D47" s="1" t="s">
        <v>19</v>
      </c>
      <c r="E47" s="1" t="s">
        <v>20</v>
      </c>
      <c r="F47" s="1" t="n">
        <v>15</v>
      </c>
      <c r="G47" s="2" t="s">
        <v>24</v>
      </c>
      <c r="H47" s="1" t="n">
        <v>0.1774</v>
      </c>
      <c r="I47" s="1" t="n">
        <v>0.331142970933113</v>
      </c>
      <c r="J47" s="1" t="n">
        <v>0.414660397572909</v>
      </c>
      <c r="K47" s="1" t="n">
        <f aca="false">J47-I47</f>
        <v>0.083517426639796</v>
      </c>
      <c r="L47" s="1" t="n">
        <v>0.696417484151069</v>
      </c>
    </row>
    <row r="48" customFormat="false" ht="15" hidden="false" customHeight="false" outlineLevel="0" collapsed="false">
      <c r="A48" s="1" t="s">
        <v>50</v>
      </c>
      <c r="B48" s="1" t="s">
        <v>51</v>
      </c>
      <c r="C48" s="1" t="s">
        <v>52</v>
      </c>
      <c r="D48" s="1" t="s">
        <v>19</v>
      </c>
      <c r="E48" s="1" t="s">
        <v>20</v>
      </c>
      <c r="F48" s="1" t="n">
        <v>15</v>
      </c>
      <c r="G48" s="2" t="s">
        <v>30</v>
      </c>
      <c r="H48" s="1" t="n">
        <v>0.1734</v>
      </c>
      <c r="I48" s="1" t="n">
        <v>0.323635189143093</v>
      </c>
      <c r="J48" s="1" t="n">
        <v>0.364710012625737</v>
      </c>
      <c r="K48" s="1" t="n">
        <f aca="false">J48-I48</f>
        <v>0.041074823482644</v>
      </c>
      <c r="L48" s="1" t="n">
        <v>0.696417484151069</v>
      </c>
    </row>
    <row r="49" customFormat="false" ht="15" hidden="false" customHeight="false" outlineLevel="0" collapsed="false">
      <c r="A49" s="1" t="s">
        <v>50</v>
      </c>
      <c r="B49" s="1" t="s">
        <v>51</v>
      </c>
      <c r="C49" s="1" t="s">
        <v>52</v>
      </c>
      <c r="D49" s="1" t="s">
        <v>19</v>
      </c>
      <c r="E49" s="1" t="s">
        <v>20</v>
      </c>
      <c r="F49" s="1" t="n">
        <v>15</v>
      </c>
      <c r="G49" s="2" t="s">
        <v>53</v>
      </c>
      <c r="H49" s="1" t="n">
        <v>0.1693</v>
      </c>
      <c r="I49" s="1" t="n">
        <v>0.316010122189808</v>
      </c>
      <c r="J49" s="1" t="n">
        <v>0.391920974949485</v>
      </c>
      <c r="K49" s="1" t="n">
        <f aca="false">J49-I49</f>
        <v>0.075910852759677</v>
      </c>
      <c r="L49" s="1" t="n">
        <v>0.696417484151069</v>
      </c>
    </row>
    <row r="50" customFormat="false" ht="15" hidden="false" customHeight="false" outlineLevel="0" collapsed="false">
      <c r="A50" s="1" t="s">
        <v>50</v>
      </c>
      <c r="B50" s="1" t="s">
        <v>51</v>
      </c>
      <c r="C50" s="1" t="s">
        <v>52</v>
      </c>
      <c r="D50" s="1" t="s">
        <v>19</v>
      </c>
      <c r="E50" s="1" t="s">
        <v>20</v>
      </c>
      <c r="F50" s="1" t="n">
        <v>15</v>
      </c>
      <c r="G50" s="2" t="s">
        <v>26</v>
      </c>
      <c r="H50" s="1" t="n">
        <v>0.1</v>
      </c>
      <c r="I50" s="1" t="n">
        <v>0.298435909653672</v>
      </c>
      <c r="J50" s="1" t="n">
        <v>0.38004648090211</v>
      </c>
      <c r="K50" s="1" t="n">
        <f aca="false">J50-I50</f>
        <v>0.081610571248438</v>
      </c>
      <c r="L50" s="1" t="n">
        <v>0.696417484151069</v>
      </c>
    </row>
    <row r="51" customFormat="false" ht="15" hidden="false" customHeight="false" outlineLevel="0" collapsed="false">
      <c r="A51" s="1" t="s">
        <v>54</v>
      </c>
      <c r="B51" s="1" t="s">
        <v>55</v>
      </c>
      <c r="C51" s="1" t="s">
        <v>56</v>
      </c>
      <c r="D51" s="1" t="s">
        <v>19</v>
      </c>
      <c r="E51" s="1" t="s">
        <v>20</v>
      </c>
      <c r="F51" s="1" t="n">
        <v>17</v>
      </c>
      <c r="G51" s="2" t="s">
        <v>21</v>
      </c>
      <c r="H51" s="1" t="n">
        <v>0.1849</v>
      </c>
      <c r="I51" s="1" t="n">
        <v>0.388610519029309</v>
      </c>
      <c r="J51" s="1" t="n">
        <v>0.454963463926725</v>
      </c>
      <c r="K51" s="1" t="n">
        <f aca="false">J51-I51</f>
        <v>0.066352944897416</v>
      </c>
      <c r="L51" s="1" t="n">
        <v>0.742251700755494</v>
      </c>
    </row>
    <row r="52" customFormat="false" ht="15" hidden="false" customHeight="false" outlineLevel="0" collapsed="false">
      <c r="A52" s="1" t="s">
        <v>54</v>
      </c>
      <c r="B52" s="1" t="s">
        <v>55</v>
      </c>
      <c r="C52" s="1" t="s">
        <v>56</v>
      </c>
      <c r="D52" s="1" t="s">
        <v>19</v>
      </c>
      <c r="E52" s="1" t="s">
        <v>20</v>
      </c>
      <c r="F52" s="1" t="n">
        <v>17</v>
      </c>
      <c r="G52" s="2" t="s">
        <v>24</v>
      </c>
      <c r="H52" s="1" t="n">
        <v>0.1703</v>
      </c>
      <c r="I52" s="1" t="n">
        <v>0.357979820083601</v>
      </c>
      <c r="J52" s="1" t="n">
        <v>0.408872876658659</v>
      </c>
      <c r="K52" s="1" t="n">
        <f aca="false">J52-I52</f>
        <v>0.050893056575058</v>
      </c>
      <c r="L52" s="1" t="n">
        <v>0.742251700755494</v>
      </c>
    </row>
    <row r="53" customFormat="false" ht="15" hidden="false" customHeight="false" outlineLevel="0" collapsed="false">
      <c r="A53" s="1" t="s">
        <v>54</v>
      </c>
      <c r="B53" s="1" t="s">
        <v>55</v>
      </c>
      <c r="C53" s="1" t="s">
        <v>56</v>
      </c>
      <c r="D53" s="1" t="s">
        <v>19</v>
      </c>
      <c r="E53" s="1" t="s">
        <v>20</v>
      </c>
      <c r="F53" s="1" t="n">
        <v>17</v>
      </c>
      <c r="G53" s="2" t="s">
        <v>26</v>
      </c>
      <c r="H53" s="1" t="n">
        <v>0.1669</v>
      </c>
      <c r="I53" s="1" t="n">
        <v>0.350876273062425</v>
      </c>
      <c r="J53" s="1" t="n">
        <v>0.329397822716122</v>
      </c>
      <c r="K53" s="1" t="n">
        <f aca="false">J53-I53</f>
        <v>-0.021478450346303</v>
      </c>
      <c r="L53" s="1" t="n">
        <v>0.742251700755494</v>
      </c>
    </row>
    <row r="54" customFormat="false" ht="15" hidden="false" customHeight="false" outlineLevel="0" collapsed="false">
      <c r="A54" s="1" t="s">
        <v>54</v>
      </c>
      <c r="B54" s="1" t="s">
        <v>55</v>
      </c>
      <c r="C54" s="1" t="s">
        <v>56</v>
      </c>
      <c r="D54" s="1" t="s">
        <v>19</v>
      </c>
      <c r="E54" s="1" t="s">
        <v>20</v>
      </c>
      <c r="F54" s="1" t="n">
        <v>17</v>
      </c>
      <c r="G54" s="2" t="s">
        <v>53</v>
      </c>
      <c r="H54" s="1" t="n">
        <v>0.1619</v>
      </c>
      <c r="I54" s="1" t="n">
        <v>0.340313884698389</v>
      </c>
      <c r="J54" s="1" t="n">
        <v>0.389648836416073</v>
      </c>
      <c r="K54" s="1" t="n">
        <f aca="false">J54-I54</f>
        <v>0.049334951717684</v>
      </c>
      <c r="L54" s="1" t="n">
        <v>0.742251700755494</v>
      </c>
    </row>
    <row r="55" customFormat="false" ht="15" hidden="false" customHeight="false" outlineLevel="0" collapsed="false">
      <c r="A55" s="1" t="s">
        <v>54</v>
      </c>
      <c r="B55" s="1" t="s">
        <v>55</v>
      </c>
      <c r="C55" s="1" t="s">
        <v>56</v>
      </c>
      <c r="D55" s="1" t="s">
        <v>19</v>
      </c>
      <c r="E55" s="1" t="s">
        <v>20</v>
      </c>
      <c r="F55" s="1" t="n">
        <v>17</v>
      </c>
      <c r="G55" s="2" t="s">
        <v>47</v>
      </c>
      <c r="H55" s="1" t="n">
        <v>0.1582</v>
      </c>
      <c r="I55" s="1" t="n">
        <v>0.332531462416889</v>
      </c>
      <c r="J55" s="1" t="n">
        <v>0.391663244193842</v>
      </c>
      <c r="K55" s="1" t="n">
        <f aca="false">J55-I55</f>
        <v>0.059131781776953</v>
      </c>
      <c r="L55" s="1" t="n">
        <v>0.742251700755494</v>
      </c>
    </row>
    <row r="56" customFormat="false" ht="15" hidden="false" customHeight="false" outlineLevel="0" collapsed="false">
      <c r="A56" s="1" t="s">
        <v>54</v>
      </c>
      <c r="B56" s="1" t="s">
        <v>55</v>
      </c>
      <c r="C56" s="1" t="s">
        <v>56</v>
      </c>
      <c r="D56" s="1" t="s">
        <v>19</v>
      </c>
      <c r="E56" s="1" t="s">
        <v>20</v>
      </c>
      <c r="F56" s="1" t="n">
        <v>17</v>
      </c>
      <c r="G56" s="2" t="s">
        <v>23</v>
      </c>
      <c r="H56" s="1" t="n">
        <v>0.1579</v>
      </c>
      <c r="I56" s="1" t="n">
        <v>0.331943848262833</v>
      </c>
      <c r="J56" s="1" t="n">
        <v>0.403279330280908</v>
      </c>
      <c r="K56" s="1" t="n">
        <f aca="false">J56-I56</f>
        <v>0.071335482018075</v>
      </c>
      <c r="L56" s="1" t="n">
        <v>0.742251700755494</v>
      </c>
    </row>
    <row r="57" customFormat="false" ht="15" hidden="false" customHeight="false" outlineLevel="0" collapsed="false">
      <c r="A57" s="1" t="s">
        <v>57</v>
      </c>
      <c r="B57" s="1" t="s">
        <v>58</v>
      </c>
      <c r="C57" s="1" t="s">
        <v>59</v>
      </c>
      <c r="D57" s="1" t="s">
        <v>19</v>
      </c>
      <c r="E57" s="1" t="s">
        <v>20</v>
      </c>
      <c r="F57" s="1" t="n">
        <v>19</v>
      </c>
      <c r="G57" s="2" t="s">
        <v>21</v>
      </c>
      <c r="H57" s="1" t="n">
        <v>0.1948</v>
      </c>
      <c r="I57" s="1" t="n">
        <v>0.413841275518337</v>
      </c>
      <c r="J57" s="1" t="n">
        <v>0.448632074190916</v>
      </c>
      <c r="K57" s="1" t="n">
        <f aca="false">J57-I57</f>
        <v>0.034790798672579</v>
      </c>
      <c r="L57" s="1" t="n">
        <v>0.824221753429923</v>
      </c>
    </row>
    <row r="58" customFormat="false" ht="15" hidden="false" customHeight="false" outlineLevel="0" collapsed="false">
      <c r="A58" s="1" t="s">
        <v>57</v>
      </c>
      <c r="B58" s="1" t="s">
        <v>58</v>
      </c>
      <c r="C58" s="1" t="s">
        <v>59</v>
      </c>
      <c r="D58" s="1" t="s">
        <v>19</v>
      </c>
      <c r="E58" s="1" t="s">
        <v>20</v>
      </c>
      <c r="F58" s="1" t="n">
        <v>19</v>
      </c>
      <c r="G58" s="2" t="s">
        <v>23</v>
      </c>
      <c r="H58" s="1" t="n">
        <v>0.1813</v>
      </c>
      <c r="I58" s="1" t="n">
        <v>0.385134959085286</v>
      </c>
      <c r="J58" s="1" t="n">
        <v>0.399179414901049</v>
      </c>
      <c r="K58" s="1" t="n">
        <f aca="false">J58-I58</f>
        <v>0.014044455815763</v>
      </c>
      <c r="L58" s="1" t="n">
        <v>0.824221753429923</v>
      </c>
    </row>
    <row r="59" customFormat="false" ht="15" hidden="false" customHeight="false" outlineLevel="0" collapsed="false">
      <c r="A59" s="1" t="s">
        <v>57</v>
      </c>
      <c r="B59" s="1" t="s">
        <v>58</v>
      </c>
      <c r="C59" s="1" t="s">
        <v>59</v>
      </c>
      <c r="D59" s="1" t="s">
        <v>19</v>
      </c>
      <c r="E59" s="1" t="s">
        <v>20</v>
      </c>
      <c r="F59" s="1" t="n">
        <v>19</v>
      </c>
      <c r="G59" s="2" t="s">
        <v>24</v>
      </c>
      <c r="H59" s="1" t="n">
        <v>0.1769</v>
      </c>
      <c r="I59" s="1" t="n">
        <v>0.375818955631781</v>
      </c>
      <c r="J59" s="1" t="n">
        <v>0.414090700048228</v>
      </c>
      <c r="K59" s="1" t="n">
        <f aca="false">J59-I59</f>
        <v>0.038271744416447</v>
      </c>
      <c r="L59" s="1" t="n">
        <v>0.824221753429923</v>
      </c>
    </row>
    <row r="60" customFormat="false" ht="15" hidden="false" customHeight="false" outlineLevel="0" collapsed="false">
      <c r="A60" s="1" t="s">
        <v>57</v>
      </c>
      <c r="B60" s="1" t="s">
        <v>58</v>
      </c>
      <c r="C60" s="1" t="s">
        <v>59</v>
      </c>
      <c r="D60" s="1" t="s">
        <v>19</v>
      </c>
      <c r="E60" s="1" t="s">
        <v>20</v>
      </c>
      <c r="F60" s="1" t="n">
        <v>19</v>
      </c>
      <c r="G60" s="2" t="s">
        <v>22</v>
      </c>
      <c r="H60" s="1" t="n">
        <v>0.174</v>
      </c>
      <c r="I60" s="1" t="n">
        <v>0.369509209449381</v>
      </c>
      <c r="J60" s="1" t="n">
        <v>0.407740152988766</v>
      </c>
      <c r="K60" s="1" t="n">
        <f aca="false">J60-I60</f>
        <v>0.038230943539385</v>
      </c>
      <c r="L60" s="1" t="n">
        <v>0.824221753429923</v>
      </c>
    </row>
    <row r="61" customFormat="false" ht="15" hidden="false" customHeight="false" outlineLevel="0" collapsed="false">
      <c r="A61" s="1" t="s">
        <v>57</v>
      </c>
      <c r="B61" s="1" t="s">
        <v>58</v>
      </c>
      <c r="C61" s="1" t="s">
        <v>59</v>
      </c>
      <c r="D61" s="1" t="s">
        <v>19</v>
      </c>
      <c r="E61" s="1" t="s">
        <v>20</v>
      </c>
      <c r="F61" s="1" t="n">
        <v>19</v>
      </c>
      <c r="G61" s="2" t="s">
        <v>47</v>
      </c>
      <c r="H61" s="1" t="n">
        <v>0.1729</v>
      </c>
      <c r="I61" s="1" t="n">
        <v>0.367323527297506</v>
      </c>
      <c r="J61" s="1" t="n">
        <v>0.392616440001074</v>
      </c>
      <c r="K61" s="1" t="n">
        <f aca="false">J61-I61</f>
        <v>0.025292912703568</v>
      </c>
      <c r="L61" s="1" t="n">
        <v>0.824221753429923</v>
      </c>
    </row>
    <row r="62" customFormat="false" ht="15" hidden="false" customHeight="false" outlineLevel="0" collapsed="false">
      <c r="A62" s="1" t="s">
        <v>57</v>
      </c>
      <c r="B62" s="1" t="s">
        <v>58</v>
      </c>
      <c r="C62" s="1" t="s">
        <v>59</v>
      </c>
      <c r="D62" s="1" t="s">
        <v>19</v>
      </c>
      <c r="E62" s="1" t="s">
        <v>20</v>
      </c>
      <c r="F62" s="1" t="n">
        <v>19</v>
      </c>
      <c r="G62" s="2" t="s">
        <v>26</v>
      </c>
      <c r="H62" s="1" t="n">
        <v>0.1</v>
      </c>
      <c r="I62" s="1" t="n">
        <v>0.317409145478128</v>
      </c>
      <c r="J62" s="1" t="n">
        <v>0.335951776730586</v>
      </c>
      <c r="K62" s="1" t="n">
        <f aca="false">J62-I62</f>
        <v>0.018542631252458</v>
      </c>
      <c r="L62" s="1" t="n">
        <v>0.824221753429923</v>
      </c>
    </row>
    <row r="63" customFormat="false" ht="15" hidden="false" customHeight="false" outlineLevel="0" collapsed="false">
      <c r="A63" s="1" t="s">
        <v>60</v>
      </c>
      <c r="B63" s="1" t="s">
        <v>61</v>
      </c>
      <c r="C63" s="1" t="s">
        <v>62</v>
      </c>
      <c r="D63" s="1" t="s">
        <v>19</v>
      </c>
      <c r="E63" s="1" t="s">
        <v>20</v>
      </c>
      <c r="F63" s="1" t="n">
        <v>21</v>
      </c>
      <c r="G63" s="2" t="s">
        <v>21</v>
      </c>
      <c r="H63" s="1" t="n">
        <v>0.1976</v>
      </c>
      <c r="I63" s="1" t="n">
        <v>0.431624956850924</v>
      </c>
      <c r="J63" s="1" t="n">
        <v>0.408843933184552</v>
      </c>
      <c r="K63" s="1" t="n">
        <f aca="false">J63-I63</f>
        <v>-0.022781023666372</v>
      </c>
      <c r="L63" s="1" t="n">
        <v>0.706116491876793</v>
      </c>
    </row>
    <row r="64" customFormat="false" ht="15" hidden="false" customHeight="false" outlineLevel="0" collapsed="false">
      <c r="A64" s="1" t="s">
        <v>60</v>
      </c>
      <c r="B64" s="1" t="s">
        <v>61</v>
      </c>
      <c r="C64" s="1" t="s">
        <v>62</v>
      </c>
      <c r="D64" s="1" t="s">
        <v>19</v>
      </c>
      <c r="E64" s="1" t="s">
        <v>20</v>
      </c>
      <c r="F64" s="1" t="n">
        <v>21</v>
      </c>
      <c r="G64" s="2" t="s">
        <v>22</v>
      </c>
      <c r="H64" s="1" t="n">
        <v>0.1815</v>
      </c>
      <c r="I64" s="1" t="n">
        <v>0.396379053917955</v>
      </c>
      <c r="J64" s="1" t="n">
        <v>0.416474835684216</v>
      </c>
      <c r="K64" s="1" t="n">
        <f aca="false">J64-I64</f>
        <v>0.020095781766261</v>
      </c>
      <c r="L64" s="1" t="n">
        <v>0.706116491876793</v>
      </c>
    </row>
    <row r="65" customFormat="false" ht="15" hidden="false" customHeight="false" outlineLevel="0" collapsed="false">
      <c r="A65" s="1" t="s">
        <v>60</v>
      </c>
      <c r="B65" s="1" t="s">
        <v>61</v>
      </c>
      <c r="C65" s="1" t="s">
        <v>62</v>
      </c>
      <c r="D65" s="1" t="s">
        <v>19</v>
      </c>
      <c r="E65" s="1" t="s">
        <v>20</v>
      </c>
      <c r="F65" s="1" t="n">
        <v>21</v>
      </c>
      <c r="G65" s="2" t="s">
        <v>25</v>
      </c>
      <c r="H65" s="1" t="n">
        <v>0.175</v>
      </c>
      <c r="I65" s="1" t="n">
        <v>0.382235876801172</v>
      </c>
      <c r="J65" s="1" t="n">
        <v>0.431357171660373</v>
      </c>
      <c r="K65" s="1" t="n">
        <f aca="false">J65-I65</f>
        <v>0.049121294859201</v>
      </c>
      <c r="L65" s="1" t="n">
        <v>0.706116491876793</v>
      </c>
    </row>
    <row r="66" customFormat="false" ht="15" hidden="false" customHeight="false" outlineLevel="0" collapsed="false">
      <c r="A66" s="1" t="s">
        <v>60</v>
      </c>
      <c r="B66" s="1" t="s">
        <v>61</v>
      </c>
      <c r="C66" s="1" t="s">
        <v>62</v>
      </c>
      <c r="D66" s="1" t="s">
        <v>19</v>
      </c>
      <c r="E66" s="1" t="s">
        <v>20</v>
      </c>
      <c r="F66" s="1" t="n">
        <v>21</v>
      </c>
      <c r="G66" s="2" t="s">
        <v>24</v>
      </c>
      <c r="H66" s="1" t="n">
        <v>0.1744</v>
      </c>
      <c r="I66" s="1" t="n">
        <v>0.380929379565148</v>
      </c>
      <c r="J66" s="1" t="n">
        <v>0.447725367158884</v>
      </c>
      <c r="K66" s="1" t="n">
        <f aca="false">J66-I66</f>
        <v>0.066795987593736</v>
      </c>
      <c r="L66" s="1" t="n">
        <v>0.706116491876793</v>
      </c>
    </row>
    <row r="67" customFormat="false" ht="15" hidden="false" customHeight="false" outlineLevel="0" collapsed="false">
      <c r="A67" s="1" t="s">
        <v>60</v>
      </c>
      <c r="B67" s="1" t="s">
        <v>61</v>
      </c>
      <c r="C67" s="1" t="s">
        <v>62</v>
      </c>
      <c r="D67" s="1" t="s">
        <v>19</v>
      </c>
      <c r="E67" s="1" t="s">
        <v>20</v>
      </c>
      <c r="F67" s="1" t="n">
        <v>21</v>
      </c>
      <c r="G67" s="2" t="s">
        <v>30</v>
      </c>
      <c r="H67" s="1" t="n">
        <v>0.1715</v>
      </c>
      <c r="I67" s="1" t="n">
        <v>0.374499003372131</v>
      </c>
      <c r="J67" s="1" t="n">
        <v>0.396852203872623</v>
      </c>
      <c r="K67" s="1" t="n">
        <f aca="false">J67-I67</f>
        <v>0.022353200500492</v>
      </c>
      <c r="L67" s="1" t="n">
        <v>0.706116491876793</v>
      </c>
    </row>
    <row r="68" customFormat="false" ht="15" hidden="false" customHeight="false" outlineLevel="0" collapsed="false">
      <c r="A68" s="1" t="s">
        <v>60</v>
      </c>
      <c r="B68" s="1" t="s">
        <v>61</v>
      </c>
      <c r="C68" s="1" t="s">
        <v>62</v>
      </c>
      <c r="D68" s="1" t="s">
        <v>19</v>
      </c>
      <c r="E68" s="1" t="s">
        <v>20</v>
      </c>
      <c r="F68" s="1" t="n">
        <v>21</v>
      </c>
      <c r="G68" s="2" t="s">
        <v>26</v>
      </c>
      <c r="H68" s="1" t="n">
        <v>0.1</v>
      </c>
      <c r="I68" s="1" t="n">
        <v>0.345301098578507</v>
      </c>
      <c r="J68" s="1" t="n">
        <v>0.430193830201899</v>
      </c>
      <c r="K68" s="1" t="n">
        <f aca="false">J68-I68</f>
        <v>0.084892731623392</v>
      </c>
      <c r="L68" s="1" t="n">
        <v>0.706116491876793</v>
      </c>
    </row>
    <row r="69" customFormat="false" ht="15" hidden="false" customHeight="false" outlineLevel="0" collapsed="false">
      <c r="A69" s="1" t="s">
        <v>63</v>
      </c>
      <c r="B69" s="1" t="s">
        <v>64</v>
      </c>
      <c r="C69" s="1" t="s">
        <v>65</v>
      </c>
      <c r="D69" s="1" t="s">
        <v>19</v>
      </c>
      <c r="E69" s="1" t="s">
        <v>20</v>
      </c>
      <c r="F69" s="1" t="n">
        <v>23</v>
      </c>
      <c r="G69" s="2" t="s">
        <v>24</v>
      </c>
      <c r="H69" s="1" t="n">
        <v>0.1756</v>
      </c>
      <c r="I69" s="1" t="n">
        <v>0.381589440509736</v>
      </c>
      <c r="J69" s="1" t="n">
        <v>0.478599988223165</v>
      </c>
      <c r="K69" s="1" t="n">
        <f aca="false">J69-I69</f>
        <v>0.097010547713429</v>
      </c>
      <c r="L69" s="1" t="n">
        <v>0.779947067179795</v>
      </c>
    </row>
    <row r="70" customFormat="false" ht="15" hidden="false" customHeight="false" outlineLevel="0" collapsed="false">
      <c r="A70" s="1" t="s">
        <v>63</v>
      </c>
      <c r="B70" s="1" t="s">
        <v>64</v>
      </c>
      <c r="C70" s="1" t="s">
        <v>65</v>
      </c>
      <c r="D70" s="1" t="s">
        <v>19</v>
      </c>
      <c r="E70" s="1" t="s">
        <v>20</v>
      </c>
      <c r="F70" s="1" t="n">
        <v>23</v>
      </c>
      <c r="G70" s="2" t="s">
        <v>25</v>
      </c>
      <c r="H70" s="1" t="n">
        <v>0.1672</v>
      </c>
      <c r="I70" s="1" t="n">
        <v>0.363268952115809</v>
      </c>
      <c r="J70" s="1" t="n">
        <v>0.445579225010204</v>
      </c>
      <c r="K70" s="1" t="n">
        <f aca="false">J70-I70</f>
        <v>0.082310272894395</v>
      </c>
      <c r="L70" s="1" t="n">
        <v>0.779947067179795</v>
      </c>
    </row>
    <row r="71" customFormat="false" ht="15" hidden="false" customHeight="false" outlineLevel="0" collapsed="false">
      <c r="A71" s="1" t="s">
        <v>63</v>
      </c>
      <c r="B71" s="1" t="s">
        <v>64</v>
      </c>
      <c r="C71" s="1" t="s">
        <v>65</v>
      </c>
      <c r="D71" s="1" t="s">
        <v>19</v>
      </c>
      <c r="E71" s="1" t="s">
        <v>20</v>
      </c>
      <c r="F71" s="1" t="n">
        <v>23</v>
      </c>
      <c r="G71" s="2" t="s">
        <v>49</v>
      </c>
      <c r="H71" s="1" t="n">
        <v>0.1661</v>
      </c>
      <c r="I71" s="1" t="n">
        <v>0.360766564561558</v>
      </c>
      <c r="J71" s="1" t="n">
        <v>0.435702445863994</v>
      </c>
      <c r="K71" s="1" t="n">
        <f aca="false">J71-I71</f>
        <v>0.074935881302436</v>
      </c>
      <c r="L71" s="1" t="n">
        <v>0.779947067179795</v>
      </c>
    </row>
    <row r="72" customFormat="false" ht="15" hidden="false" customHeight="false" outlineLevel="0" collapsed="false">
      <c r="A72" s="1" t="s">
        <v>63</v>
      </c>
      <c r="B72" s="1" t="s">
        <v>64</v>
      </c>
      <c r="C72" s="1" t="s">
        <v>65</v>
      </c>
      <c r="D72" s="1" t="s">
        <v>19</v>
      </c>
      <c r="E72" s="1" t="s">
        <v>20</v>
      </c>
      <c r="F72" s="1" t="n">
        <v>23</v>
      </c>
      <c r="G72" s="2" t="s">
        <v>26</v>
      </c>
      <c r="H72" s="1" t="n">
        <v>0.1646</v>
      </c>
      <c r="I72" s="1" t="n">
        <v>0.357674026050863</v>
      </c>
      <c r="J72" s="1" t="n">
        <v>0.381363987817672</v>
      </c>
      <c r="K72" s="1" t="n">
        <f aca="false">J72-I72</f>
        <v>0.023689961766809</v>
      </c>
      <c r="L72" s="1" t="n">
        <v>0.779947067179795</v>
      </c>
    </row>
    <row r="73" customFormat="false" ht="15" hidden="false" customHeight="false" outlineLevel="0" collapsed="false">
      <c r="A73" s="1" t="s">
        <v>63</v>
      </c>
      <c r="B73" s="1" t="s">
        <v>64</v>
      </c>
      <c r="C73" s="1" t="s">
        <v>65</v>
      </c>
      <c r="D73" s="1" t="s">
        <v>19</v>
      </c>
      <c r="E73" s="1" t="s">
        <v>20</v>
      </c>
      <c r="F73" s="1" t="n">
        <v>23</v>
      </c>
      <c r="G73" s="2" t="s">
        <v>53</v>
      </c>
      <c r="H73" s="1" t="n">
        <v>0.1636</v>
      </c>
      <c r="I73" s="1" t="n">
        <v>0.355359896714796</v>
      </c>
      <c r="J73" s="1" t="n">
        <v>0.477987728082167</v>
      </c>
      <c r="K73" s="1" t="n">
        <f aca="false">J73-I73</f>
        <v>0.122627831367371</v>
      </c>
      <c r="L73" s="1" t="n">
        <v>0.779947067179795</v>
      </c>
    </row>
    <row r="74" customFormat="false" ht="15" hidden="false" customHeight="false" outlineLevel="0" collapsed="false">
      <c r="A74" s="1" t="s">
        <v>63</v>
      </c>
      <c r="B74" s="1" t="s">
        <v>64</v>
      </c>
      <c r="C74" s="1" t="s">
        <v>65</v>
      </c>
      <c r="D74" s="1" t="s">
        <v>19</v>
      </c>
      <c r="E74" s="1" t="s">
        <v>20</v>
      </c>
      <c r="F74" s="1" t="n">
        <v>23</v>
      </c>
      <c r="G74" s="2" t="s">
        <v>21</v>
      </c>
      <c r="H74" s="1" t="n">
        <v>0.1629</v>
      </c>
      <c r="I74" s="1" t="n">
        <v>0.353953943035175</v>
      </c>
      <c r="J74" s="1" t="n">
        <v>0.439579277621475</v>
      </c>
      <c r="K74" s="1" t="n">
        <f aca="false">J74-I74</f>
        <v>0.0856253345863</v>
      </c>
      <c r="L74" s="1" t="n">
        <v>0.779947067179795</v>
      </c>
    </row>
    <row r="75" customFormat="false" ht="15" hidden="false" customHeight="false" outlineLevel="0" collapsed="false">
      <c r="A75" s="1" t="s">
        <v>66</v>
      </c>
      <c r="B75" s="1" t="s">
        <v>67</v>
      </c>
      <c r="C75" s="1" t="s">
        <v>68</v>
      </c>
      <c r="D75" s="1" t="s">
        <v>19</v>
      </c>
      <c r="E75" s="1" t="s">
        <v>20</v>
      </c>
      <c r="F75" s="1" t="n">
        <v>25</v>
      </c>
      <c r="G75" s="2" t="s">
        <v>53</v>
      </c>
      <c r="H75" s="1" t="n">
        <v>0.1948</v>
      </c>
      <c r="I75" s="1" t="n">
        <v>0.445705934086145</v>
      </c>
      <c r="J75" s="1" t="n">
        <v>0.371297305100432</v>
      </c>
      <c r="K75" s="1" t="n">
        <f aca="false">J75-I75</f>
        <v>-0.074408628985713</v>
      </c>
      <c r="L75" s="1" t="n">
        <v>0.707370269465281</v>
      </c>
    </row>
    <row r="76" customFormat="false" ht="15" hidden="false" customHeight="false" outlineLevel="0" collapsed="false">
      <c r="A76" s="1" t="s">
        <v>66</v>
      </c>
      <c r="B76" s="1" t="s">
        <v>67</v>
      </c>
      <c r="C76" s="1" t="s">
        <v>68</v>
      </c>
      <c r="D76" s="1" t="s">
        <v>19</v>
      </c>
      <c r="E76" s="1" t="s">
        <v>20</v>
      </c>
      <c r="F76" s="1" t="n">
        <v>25</v>
      </c>
      <c r="G76" s="2" t="s">
        <v>21</v>
      </c>
      <c r="H76" s="1" t="n">
        <v>0.1831</v>
      </c>
      <c r="I76" s="1" t="n">
        <v>0.418923039909085</v>
      </c>
      <c r="J76" s="1" t="n">
        <v>0.445516818776596</v>
      </c>
      <c r="K76" s="1" t="n">
        <f aca="false">J76-I76</f>
        <v>0.026593778867511</v>
      </c>
      <c r="L76" s="1" t="n">
        <v>0.707370269465281</v>
      </c>
    </row>
    <row r="77" customFormat="false" ht="15" hidden="false" customHeight="false" outlineLevel="0" collapsed="false">
      <c r="A77" s="1" t="s">
        <v>66</v>
      </c>
      <c r="B77" s="1" t="s">
        <v>67</v>
      </c>
      <c r="C77" s="1" t="s">
        <v>68</v>
      </c>
      <c r="D77" s="1" t="s">
        <v>19</v>
      </c>
      <c r="E77" s="1" t="s">
        <v>20</v>
      </c>
      <c r="F77" s="1" t="n">
        <v>25</v>
      </c>
      <c r="G77" s="2" t="s">
        <v>24</v>
      </c>
      <c r="H77" s="1" t="n">
        <v>0.1826</v>
      </c>
      <c r="I77" s="1" t="n">
        <v>0.417755184672882</v>
      </c>
      <c r="J77" s="1" t="n">
        <v>0.425445714810637</v>
      </c>
      <c r="K77" s="1" t="n">
        <f aca="false">J77-I77</f>
        <v>0.007690530137755</v>
      </c>
      <c r="L77" s="1" t="n">
        <v>0.707370269465281</v>
      </c>
    </row>
    <row r="78" customFormat="false" ht="15" hidden="false" customHeight="false" outlineLevel="0" collapsed="false">
      <c r="A78" s="1" t="s">
        <v>66</v>
      </c>
      <c r="B78" s="1" t="s">
        <v>67</v>
      </c>
      <c r="C78" s="1" t="s">
        <v>68</v>
      </c>
      <c r="D78" s="1" t="s">
        <v>19</v>
      </c>
      <c r="E78" s="1" t="s">
        <v>20</v>
      </c>
      <c r="F78" s="1" t="n">
        <v>25</v>
      </c>
      <c r="G78" s="2" t="s">
        <v>47</v>
      </c>
      <c r="H78" s="1" t="n">
        <v>0.1727</v>
      </c>
      <c r="I78" s="1" t="n">
        <v>0.395221553440335</v>
      </c>
      <c r="J78" s="1" t="n">
        <v>0.379422291269825</v>
      </c>
      <c r="K78" s="1" t="n">
        <f aca="false">J78-I78</f>
        <v>-0.01579926217051</v>
      </c>
      <c r="L78" s="1" t="n">
        <v>0.707370269465281</v>
      </c>
    </row>
    <row r="79" customFormat="false" ht="15" hidden="false" customHeight="false" outlineLevel="0" collapsed="false">
      <c r="A79" s="1" t="s">
        <v>66</v>
      </c>
      <c r="B79" s="1" t="s">
        <v>67</v>
      </c>
      <c r="C79" s="1" t="s">
        <v>68</v>
      </c>
      <c r="D79" s="1" t="s">
        <v>19</v>
      </c>
      <c r="E79" s="1" t="s">
        <v>20</v>
      </c>
      <c r="F79" s="1" t="n">
        <v>25</v>
      </c>
      <c r="G79" s="2" t="s">
        <v>25</v>
      </c>
      <c r="H79" s="1" t="n">
        <v>0.1669</v>
      </c>
      <c r="I79" s="1" t="n">
        <v>0.381896724016197</v>
      </c>
      <c r="J79" s="1" t="n">
        <v>0.417117648847158</v>
      </c>
      <c r="K79" s="1" t="n">
        <f aca="false">J79-I79</f>
        <v>0.035220924830961</v>
      </c>
      <c r="L79" s="1" t="n">
        <v>0.707370269465281</v>
      </c>
    </row>
    <row r="80" customFormat="false" ht="15" hidden="false" customHeight="false" outlineLevel="0" collapsed="false">
      <c r="A80" s="1" t="s">
        <v>66</v>
      </c>
      <c r="B80" s="1" t="s">
        <v>67</v>
      </c>
      <c r="C80" s="1" t="s">
        <v>68</v>
      </c>
      <c r="D80" s="1" t="s">
        <v>19</v>
      </c>
      <c r="E80" s="1" t="s">
        <v>20</v>
      </c>
      <c r="F80" s="1" t="n">
        <v>25</v>
      </c>
      <c r="G80" s="2" t="s">
        <v>26</v>
      </c>
      <c r="H80" s="1" t="n">
        <v>0.1</v>
      </c>
      <c r="I80" s="1" t="n">
        <v>0.324587550823485</v>
      </c>
      <c r="J80" s="1" t="n">
        <v>0.330989270877095</v>
      </c>
      <c r="K80" s="1" t="n">
        <f aca="false">J80-I80</f>
        <v>0.00640172005361001</v>
      </c>
      <c r="L80" s="1" t="n">
        <v>0.707370269465281</v>
      </c>
    </row>
    <row r="81" customFormat="false" ht="15" hidden="false" customHeight="false" outlineLevel="0" collapsed="false">
      <c r="A81" s="1" t="s">
        <v>69</v>
      </c>
      <c r="B81" s="1" t="s">
        <v>70</v>
      </c>
      <c r="C81" s="1" t="s">
        <v>71</v>
      </c>
      <c r="D81" s="1" t="s">
        <v>19</v>
      </c>
      <c r="E81" s="1" t="s">
        <v>20</v>
      </c>
      <c r="F81" s="1" t="n">
        <v>27</v>
      </c>
      <c r="G81" s="2" t="s">
        <v>21</v>
      </c>
      <c r="H81" s="1" t="n">
        <v>0.2001</v>
      </c>
      <c r="I81" s="1" t="n">
        <v>0.410976427040684</v>
      </c>
      <c r="J81" s="1" t="n">
        <v>0.381517381866481</v>
      </c>
      <c r="K81" s="1" t="n">
        <f aca="false">J81-I81</f>
        <v>-0.029459045174203</v>
      </c>
      <c r="L81" s="1" t="n">
        <v>0.682205004410646</v>
      </c>
    </row>
    <row r="82" customFormat="false" ht="15" hidden="false" customHeight="false" outlineLevel="0" collapsed="false">
      <c r="A82" s="1" t="s">
        <v>69</v>
      </c>
      <c r="B82" s="1" t="s">
        <v>70</v>
      </c>
      <c r="C82" s="1" t="s">
        <v>71</v>
      </c>
      <c r="D82" s="1" t="s">
        <v>19</v>
      </c>
      <c r="E82" s="1" t="s">
        <v>20</v>
      </c>
      <c r="F82" s="1" t="n">
        <v>27</v>
      </c>
      <c r="G82" s="2" t="s">
        <v>25</v>
      </c>
      <c r="H82" s="1" t="n">
        <v>0.1798</v>
      </c>
      <c r="I82" s="1" t="n">
        <v>0.36943739588861</v>
      </c>
      <c r="J82" s="1" t="n">
        <v>0.355250640695914</v>
      </c>
      <c r="K82" s="1" t="n">
        <f aca="false">J82-I82</f>
        <v>-0.014186755192696</v>
      </c>
      <c r="L82" s="1" t="n">
        <v>0.682205004410646</v>
      </c>
    </row>
    <row r="83" customFormat="false" ht="15" hidden="false" customHeight="false" outlineLevel="0" collapsed="false">
      <c r="A83" s="1" t="s">
        <v>69</v>
      </c>
      <c r="B83" s="1" t="s">
        <v>70</v>
      </c>
      <c r="C83" s="1" t="s">
        <v>71</v>
      </c>
      <c r="D83" s="1" t="s">
        <v>19</v>
      </c>
      <c r="E83" s="1" t="s">
        <v>20</v>
      </c>
      <c r="F83" s="1" t="n">
        <v>27</v>
      </c>
      <c r="G83" s="2" t="s">
        <v>24</v>
      </c>
      <c r="H83" s="1" t="n">
        <v>0.177</v>
      </c>
      <c r="I83" s="1" t="n">
        <v>0.363522355927402</v>
      </c>
      <c r="J83" s="1" t="n">
        <v>0.367172988737614</v>
      </c>
      <c r="K83" s="1" t="n">
        <f aca="false">J83-I83</f>
        <v>0.003650632810212</v>
      </c>
      <c r="L83" s="1" t="n">
        <v>0.682205004410646</v>
      </c>
    </row>
    <row r="84" customFormat="false" ht="15" hidden="false" customHeight="false" outlineLevel="0" collapsed="false">
      <c r="A84" s="1" t="s">
        <v>69</v>
      </c>
      <c r="B84" s="1" t="s">
        <v>70</v>
      </c>
      <c r="C84" s="1" t="s">
        <v>71</v>
      </c>
      <c r="D84" s="1" t="s">
        <v>19</v>
      </c>
      <c r="E84" s="1" t="s">
        <v>20</v>
      </c>
      <c r="F84" s="1" t="n">
        <v>27</v>
      </c>
      <c r="G84" s="2" t="s">
        <v>30</v>
      </c>
      <c r="H84" s="1" t="n">
        <v>0.1726</v>
      </c>
      <c r="I84" s="1" t="n">
        <v>0.354615603755824</v>
      </c>
      <c r="J84" s="1" t="n">
        <v>0.348311032883816</v>
      </c>
      <c r="K84" s="1" t="n">
        <f aca="false">J84-I84</f>
        <v>-0.00630457087200803</v>
      </c>
      <c r="L84" s="1" t="n">
        <v>0.682205004410646</v>
      </c>
    </row>
    <row r="85" customFormat="false" ht="15" hidden="false" customHeight="false" outlineLevel="0" collapsed="false">
      <c r="A85" s="1" t="s">
        <v>69</v>
      </c>
      <c r="B85" s="1" t="s">
        <v>70</v>
      </c>
      <c r="C85" s="1" t="s">
        <v>71</v>
      </c>
      <c r="D85" s="1" t="s">
        <v>19</v>
      </c>
      <c r="E85" s="1" t="s">
        <v>20</v>
      </c>
      <c r="F85" s="1" t="n">
        <v>27</v>
      </c>
      <c r="G85" s="2" t="s">
        <v>40</v>
      </c>
      <c r="H85" s="1" t="n">
        <v>0.1705</v>
      </c>
      <c r="I85" s="1" t="n">
        <v>0.3502423796738</v>
      </c>
      <c r="J85" s="1" t="n">
        <v>0.347528365837282</v>
      </c>
      <c r="K85" s="1" t="n">
        <f aca="false">J85-I85</f>
        <v>-0.00271401383651798</v>
      </c>
      <c r="L85" s="1" t="n">
        <v>0.682205004410646</v>
      </c>
    </row>
    <row r="86" customFormat="false" ht="15" hidden="false" customHeight="false" outlineLevel="0" collapsed="false">
      <c r="A86" s="1" t="s">
        <v>69</v>
      </c>
      <c r="B86" s="1" t="s">
        <v>70</v>
      </c>
      <c r="C86" s="1" t="s">
        <v>71</v>
      </c>
      <c r="D86" s="1" t="s">
        <v>19</v>
      </c>
      <c r="E86" s="1" t="s">
        <v>20</v>
      </c>
      <c r="F86" s="1" t="n">
        <v>27</v>
      </c>
      <c r="G86" s="2" t="s">
        <v>26</v>
      </c>
      <c r="H86" s="1" t="n">
        <v>0.1</v>
      </c>
      <c r="I86" s="1" t="n">
        <v>0.285194179894844</v>
      </c>
      <c r="J86" s="1" t="n">
        <v>0.329200083057603</v>
      </c>
      <c r="K86" s="1" t="n">
        <f aca="false">J86-I86</f>
        <v>0.044005903162759</v>
      </c>
      <c r="L86" s="1" t="n">
        <v>0.682205004410646</v>
      </c>
    </row>
    <row r="87" customFormat="false" ht="15" hidden="false" customHeight="false" outlineLevel="0" collapsed="false">
      <c r="A87" s="1" t="s">
        <v>72</v>
      </c>
      <c r="B87" s="1" t="s">
        <v>73</v>
      </c>
      <c r="C87" s="1" t="s">
        <v>74</v>
      </c>
      <c r="D87" s="1" t="s">
        <v>19</v>
      </c>
      <c r="E87" s="1" t="s">
        <v>20</v>
      </c>
      <c r="F87" s="1" t="n">
        <v>29</v>
      </c>
      <c r="G87" s="2" t="s">
        <v>21</v>
      </c>
      <c r="H87" s="1" t="n">
        <v>0.1929</v>
      </c>
      <c r="I87" s="1" t="n">
        <v>0.410351315847223</v>
      </c>
      <c r="J87" s="1" t="n">
        <v>0.434368754574151</v>
      </c>
      <c r="K87" s="1" t="n">
        <f aca="false">J87-I87</f>
        <v>0.024017438726928</v>
      </c>
      <c r="L87" s="1" t="n">
        <v>0.666685272176504</v>
      </c>
    </row>
    <row r="88" customFormat="false" ht="15" hidden="false" customHeight="false" outlineLevel="0" collapsed="false">
      <c r="A88" s="1" t="s">
        <v>72</v>
      </c>
      <c r="B88" s="1" t="s">
        <v>73</v>
      </c>
      <c r="C88" s="1" t="s">
        <v>74</v>
      </c>
      <c r="D88" s="1" t="s">
        <v>19</v>
      </c>
      <c r="E88" s="1" t="s">
        <v>20</v>
      </c>
      <c r="F88" s="1" t="n">
        <v>29</v>
      </c>
      <c r="G88" s="2" t="s">
        <v>23</v>
      </c>
      <c r="H88" s="1" t="n">
        <v>0.1858</v>
      </c>
      <c r="I88" s="1" t="n">
        <v>0.395244941000673</v>
      </c>
      <c r="J88" s="1" t="n">
        <v>0.403224227985696</v>
      </c>
      <c r="K88" s="1" t="n">
        <f aca="false">J88-I88</f>
        <v>0.00797928698502304</v>
      </c>
      <c r="L88" s="1" t="n">
        <v>0.666685272176504</v>
      </c>
    </row>
    <row r="89" customFormat="false" ht="15" hidden="false" customHeight="false" outlineLevel="0" collapsed="false">
      <c r="A89" s="1" t="s">
        <v>72</v>
      </c>
      <c r="B89" s="1" t="s">
        <v>73</v>
      </c>
      <c r="C89" s="1" t="s">
        <v>74</v>
      </c>
      <c r="D89" s="1" t="s">
        <v>19</v>
      </c>
      <c r="E89" s="1" t="s">
        <v>20</v>
      </c>
      <c r="F89" s="1" t="n">
        <v>29</v>
      </c>
      <c r="G89" s="2" t="s">
        <v>22</v>
      </c>
      <c r="H89" s="1" t="n">
        <v>0.1786</v>
      </c>
      <c r="I89" s="1" t="n">
        <v>0.379863284472581</v>
      </c>
      <c r="J89" s="1" t="n">
        <v>0.431155866357805</v>
      </c>
      <c r="K89" s="1" t="n">
        <f aca="false">J89-I89</f>
        <v>0.051292581885224</v>
      </c>
      <c r="L89" s="1" t="n">
        <v>0.666685272176504</v>
      </c>
    </row>
    <row r="90" customFormat="false" ht="15" hidden="false" customHeight="false" outlineLevel="0" collapsed="false">
      <c r="A90" s="1" t="s">
        <v>72</v>
      </c>
      <c r="B90" s="1" t="s">
        <v>73</v>
      </c>
      <c r="C90" s="1" t="s">
        <v>74</v>
      </c>
      <c r="D90" s="1" t="s">
        <v>19</v>
      </c>
      <c r="E90" s="1" t="s">
        <v>20</v>
      </c>
      <c r="F90" s="1" t="n">
        <v>29</v>
      </c>
      <c r="G90" s="2" t="s">
        <v>49</v>
      </c>
      <c r="H90" s="1" t="n">
        <v>0.1737</v>
      </c>
      <c r="I90" s="1" t="n">
        <v>0.369381977523168</v>
      </c>
      <c r="J90" s="1" t="n">
        <v>0.407342869622957</v>
      </c>
      <c r="K90" s="1" t="n">
        <f aca="false">J90-I90</f>
        <v>0.037960892099789</v>
      </c>
      <c r="L90" s="1" t="n">
        <v>0.666685272176504</v>
      </c>
    </row>
    <row r="91" customFormat="false" ht="15" hidden="false" customHeight="false" outlineLevel="0" collapsed="false">
      <c r="A91" s="1" t="s">
        <v>72</v>
      </c>
      <c r="B91" s="1" t="s">
        <v>73</v>
      </c>
      <c r="C91" s="1" t="s">
        <v>74</v>
      </c>
      <c r="D91" s="1" t="s">
        <v>19</v>
      </c>
      <c r="E91" s="1" t="s">
        <v>20</v>
      </c>
      <c r="F91" s="1" t="n">
        <v>29</v>
      </c>
      <c r="G91" s="2" t="s">
        <v>75</v>
      </c>
      <c r="H91" s="1" t="n">
        <v>0.169</v>
      </c>
      <c r="I91" s="1" t="n">
        <v>0.3594293483652</v>
      </c>
      <c r="J91" s="1" t="n">
        <v>0.360286919832846</v>
      </c>
      <c r="K91" s="1" t="n">
        <f aca="false">J91-I91</f>
        <v>0.000857571467645979</v>
      </c>
      <c r="L91" s="1" t="n">
        <v>0.666685272176504</v>
      </c>
    </row>
    <row r="92" customFormat="false" ht="15" hidden="false" customHeight="false" outlineLevel="0" collapsed="false">
      <c r="A92" s="1" t="s">
        <v>72</v>
      </c>
      <c r="B92" s="1" t="s">
        <v>73</v>
      </c>
      <c r="C92" s="1" t="s">
        <v>74</v>
      </c>
      <c r="D92" s="1" t="s">
        <v>19</v>
      </c>
      <c r="E92" s="1" t="s">
        <v>20</v>
      </c>
      <c r="F92" s="1" t="n">
        <v>29</v>
      </c>
      <c r="G92" s="2" t="s">
        <v>26</v>
      </c>
      <c r="H92" s="1" t="n">
        <v>0.1</v>
      </c>
      <c r="I92" s="1" t="n">
        <v>0.321590297516668</v>
      </c>
      <c r="J92" s="1" t="n">
        <v>0.328903665381106</v>
      </c>
      <c r="K92" s="1" t="n">
        <f aca="false">J92-I92</f>
        <v>0.00731336786443798</v>
      </c>
      <c r="L92" s="1" t="n">
        <v>0.666685272176504</v>
      </c>
    </row>
    <row r="93" customFormat="false" ht="15" hidden="false" customHeight="false" outlineLevel="0" collapsed="false">
      <c r="A93" s="1" t="s">
        <v>76</v>
      </c>
      <c r="B93" s="1" t="s">
        <v>77</v>
      </c>
      <c r="C93" s="1" t="s">
        <v>78</v>
      </c>
      <c r="D93" s="1" t="s">
        <v>19</v>
      </c>
      <c r="E93" s="1" t="s">
        <v>20</v>
      </c>
      <c r="F93" s="1" t="n">
        <v>31</v>
      </c>
      <c r="G93" s="2" t="s">
        <v>21</v>
      </c>
      <c r="H93" s="1" t="n">
        <v>0.1993</v>
      </c>
      <c r="I93" s="1" t="n">
        <v>0.442616796295752</v>
      </c>
      <c r="J93" s="1" t="n">
        <v>0.389253413656165</v>
      </c>
      <c r="K93" s="1" t="n">
        <f aca="false">J93-I93</f>
        <v>-0.053363382639587</v>
      </c>
      <c r="L93" s="1" t="n">
        <v>0.748853205345462</v>
      </c>
    </row>
    <row r="94" customFormat="false" ht="15" hidden="false" customHeight="false" outlineLevel="0" collapsed="false">
      <c r="A94" s="1" t="s">
        <v>76</v>
      </c>
      <c r="B94" s="1" t="s">
        <v>77</v>
      </c>
      <c r="C94" s="1" t="s">
        <v>78</v>
      </c>
      <c r="D94" s="1" t="s">
        <v>19</v>
      </c>
      <c r="E94" s="1" t="s">
        <v>20</v>
      </c>
      <c r="F94" s="1" t="n">
        <v>31</v>
      </c>
      <c r="G94" s="2" t="s">
        <v>22</v>
      </c>
      <c r="H94" s="1" t="n">
        <v>0.1676</v>
      </c>
      <c r="I94" s="1" t="n">
        <v>0.37234240163555</v>
      </c>
      <c r="J94" s="1" t="n">
        <v>0.340674301447058</v>
      </c>
      <c r="K94" s="1" t="n">
        <f aca="false">J94-I94</f>
        <v>-0.031668100188492</v>
      </c>
      <c r="L94" s="1" t="n">
        <v>0.748853205345462</v>
      </c>
    </row>
    <row r="95" customFormat="false" ht="15" hidden="false" customHeight="false" outlineLevel="0" collapsed="false">
      <c r="A95" s="1" t="s">
        <v>76</v>
      </c>
      <c r="B95" s="1" t="s">
        <v>77</v>
      </c>
      <c r="C95" s="1" t="s">
        <v>78</v>
      </c>
      <c r="D95" s="1" t="s">
        <v>19</v>
      </c>
      <c r="E95" s="1" t="s">
        <v>20</v>
      </c>
      <c r="F95" s="1" t="n">
        <v>31</v>
      </c>
      <c r="G95" s="2" t="s">
        <v>23</v>
      </c>
      <c r="H95" s="1" t="n">
        <v>0.1666</v>
      </c>
      <c r="I95" s="1" t="n">
        <v>0.370056390468434</v>
      </c>
      <c r="J95" s="1" t="n">
        <v>0.339725338969959</v>
      </c>
      <c r="K95" s="1" t="n">
        <f aca="false">J95-I95</f>
        <v>-0.030331051498475</v>
      </c>
      <c r="L95" s="1" t="n">
        <v>0.748853205345462</v>
      </c>
    </row>
    <row r="96" customFormat="false" ht="15" hidden="false" customHeight="false" outlineLevel="0" collapsed="false">
      <c r="A96" s="1" t="s">
        <v>76</v>
      </c>
      <c r="B96" s="1" t="s">
        <v>77</v>
      </c>
      <c r="C96" s="1" t="s">
        <v>78</v>
      </c>
      <c r="D96" s="1" t="s">
        <v>19</v>
      </c>
      <c r="E96" s="1" t="s">
        <v>20</v>
      </c>
      <c r="F96" s="1" t="n">
        <v>31</v>
      </c>
      <c r="G96" s="2" t="s">
        <v>49</v>
      </c>
      <c r="H96" s="1" t="n">
        <v>0.1659</v>
      </c>
      <c r="I96" s="1" t="n">
        <v>0.368487450340732</v>
      </c>
      <c r="J96" s="1" t="n">
        <v>0.336985910040139</v>
      </c>
      <c r="K96" s="1" t="n">
        <f aca="false">J96-I96</f>
        <v>-0.031501540300593</v>
      </c>
      <c r="L96" s="1" t="n">
        <v>0.748853205345462</v>
      </c>
    </row>
    <row r="97" customFormat="false" ht="15" hidden="false" customHeight="false" outlineLevel="0" collapsed="false">
      <c r="A97" s="1" t="s">
        <v>76</v>
      </c>
      <c r="B97" s="1" t="s">
        <v>77</v>
      </c>
      <c r="C97" s="1" t="s">
        <v>78</v>
      </c>
      <c r="D97" s="1" t="s">
        <v>19</v>
      </c>
      <c r="E97" s="1" t="s">
        <v>20</v>
      </c>
      <c r="F97" s="1" t="n">
        <v>31</v>
      </c>
      <c r="G97" s="2" t="s">
        <v>53</v>
      </c>
      <c r="H97" s="1" t="n">
        <v>0.1517</v>
      </c>
      <c r="I97" s="1" t="n">
        <v>0.336912419340473</v>
      </c>
      <c r="J97" s="1" t="n">
        <v>0.282086569341606</v>
      </c>
      <c r="K97" s="1" t="n">
        <f aca="false">J97-I97</f>
        <v>-0.054825849998867</v>
      </c>
      <c r="L97" s="1" t="n">
        <v>0.748853205345462</v>
      </c>
    </row>
    <row r="98" customFormat="false" ht="15" hidden="false" customHeight="false" outlineLevel="0" collapsed="false">
      <c r="A98" s="1" t="s">
        <v>76</v>
      </c>
      <c r="B98" s="1" t="s">
        <v>77</v>
      </c>
      <c r="C98" s="1" t="s">
        <v>78</v>
      </c>
      <c r="D98" s="1" t="s">
        <v>19</v>
      </c>
      <c r="E98" s="1" t="s">
        <v>20</v>
      </c>
      <c r="F98" s="1" t="n">
        <v>31</v>
      </c>
      <c r="G98" s="2" t="s">
        <v>26</v>
      </c>
      <c r="H98" s="1" t="n">
        <v>0.149</v>
      </c>
      <c r="I98" s="1" t="n">
        <v>0.330998478224329</v>
      </c>
      <c r="J98" s="1" t="n">
        <v>0.288800302435398</v>
      </c>
      <c r="K98" s="1" t="n">
        <f aca="false">J98-I98</f>
        <v>-0.042198175788931</v>
      </c>
      <c r="L98" s="1" t="n">
        <v>0.748853205345462</v>
      </c>
    </row>
    <row r="99" customFormat="false" ht="15" hidden="false" customHeight="false" outlineLevel="0" collapsed="false">
      <c r="A99" s="1" t="s">
        <v>79</v>
      </c>
      <c r="B99" s="1" t="s">
        <v>80</v>
      </c>
      <c r="C99" s="1" t="s">
        <v>81</v>
      </c>
      <c r="D99" s="1" t="s">
        <v>19</v>
      </c>
      <c r="E99" s="1" t="s">
        <v>20</v>
      </c>
      <c r="F99" s="1" t="n">
        <v>33</v>
      </c>
      <c r="G99" s="2" t="s">
        <v>21</v>
      </c>
      <c r="H99" s="1" t="n">
        <v>0.2227</v>
      </c>
      <c r="I99" s="1" t="n">
        <v>0.350614058240238</v>
      </c>
      <c r="J99" s="1" t="n">
        <v>0.455750207609481</v>
      </c>
      <c r="K99" s="1" t="n">
        <f aca="false">J99-I99</f>
        <v>0.105136149369243</v>
      </c>
      <c r="L99" s="1" t="n">
        <v>0.742965313065697</v>
      </c>
    </row>
    <row r="100" customFormat="false" ht="15" hidden="false" customHeight="false" outlineLevel="0" collapsed="false">
      <c r="A100" s="1" t="s">
        <v>79</v>
      </c>
      <c r="B100" s="1" t="s">
        <v>80</v>
      </c>
      <c r="C100" s="1" t="s">
        <v>81</v>
      </c>
      <c r="D100" s="1" t="s">
        <v>19</v>
      </c>
      <c r="E100" s="1" t="s">
        <v>20</v>
      </c>
      <c r="F100" s="1" t="n">
        <v>33</v>
      </c>
      <c r="G100" s="2" t="s">
        <v>25</v>
      </c>
      <c r="H100" s="1" t="n">
        <v>0.179</v>
      </c>
      <c r="I100" s="1" t="n">
        <v>0.281832279345519</v>
      </c>
      <c r="J100" s="1" t="n">
        <v>0.410918250554694</v>
      </c>
      <c r="K100" s="1" t="n">
        <f aca="false">J100-I100</f>
        <v>0.129085971209175</v>
      </c>
      <c r="L100" s="1" t="n">
        <v>0.742965313065697</v>
      </c>
    </row>
    <row r="101" customFormat="false" ht="15" hidden="false" customHeight="false" outlineLevel="0" collapsed="false">
      <c r="A101" s="1" t="s">
        <v>79</v>
      </c>
      <c r="B101" s="1" t="s">
        <v>80</v>
      </c>
      <c r="C101" s="1" t="s">
        <v>81</v>
      </c>
      <c r="D101" s="1" t="s">
        <v>19</v>
      </c>
      <c r="E101" s="1" t="s">
        <v>20</v>
      </c>
      <c r="F101" s="1" t="n">
        <v>33</v>
      </c>
      <c r="G101" s="2" t="s">
        <v>24</v>
      </c>
      <c r="H101" s="1" t="n">
        <v>0.1703</v>
      </c>
      <c r="I101" s="1" t="n">
        <v>0.268077527284858</v>
      </c>
      <c r="J101" s="1" t="n">
        <v>0.384016820863359</v>
      </c>
      <c r="K101" s="1" t="n">
        <f aca="false">J101-I101</f>
        <v>0.115939293578501</v>
      </c>
      <c r="L101" s="1" t="n">
        <v>0.742965313065697</v>
      </c>
    </row>
    <row r="102" customFormat="false" ht="15" hidden="false" customHeight="false" outlineLevel="0" collapsed="false">
      <c r="A102" s="1" t="s">
        <v>79</v>
      </c>
      <c r="B102" s="1" t="s">
        <v>80</v>
      </c>
      <c r="C102" s="1" t="s">
        <v>81</v>
      </c>
      <c r="D102" s="1" t="s">
        <v>19</v>
      </c>
      <c r="E102" s="1" t="s">
        <v>20</v>
      </c>
      <c r="F102" s="1" t="n">
        <v>33</v>
      </c>
      <c r="G102" s="2" t="s">
        <v>30</v>
      </c>
      <c r="H102" s="1" t="n">
        <v>0.1664</v>
      </c>
      <c r="I102" s="1" t="n">
        <v>0.261918648631726</v>
      </c>
      <c r="J102" s="1" t="n">
        <v>0.377131311902569</v>
      </c>
      <c r="K102" s="1" t="n">
        <f aca="false">J102-I102</f>
        <v>0.115212663270843</v>
      </c>
      <c r="L102" s="1" t="n">
        <v>0.742965313065697</v>
      </c>
    </row>
    <row r="103" customFormat="false" ht="15" hidden="false" customHeight="false" outlineLevel="0" collapsed="false">
      <c r="A103" s="1" t="s">
        <v>79</v>
      </c>
      <c r="B103" s="1" t="s">
        <v>80</v>
      </c>
      <c r="C103" s="1" t="s">
        <v>81</v>
      </c>
      <c r="D103" s="1" t="s">
        <v>19</v>
      </c>
      <c r="E103" s="1" t="s">
        <v>20</v>
      </c>
      <c r="F103" s="1" t="n">
        <v>33</v>
      </c>
      <c r="G103" s="2" t="s">
        <v>23</v>
      </c>
      <c r="H103" s="1" t="n">
        <v>0.1615</v>
      </c>
      <c r="I103" s="1" t="n">
        <v>0.254199541349396</v>
      </c>
      <c r="J103" s="1" t="n">
        <v>0.393005223091704</v>
      </c>
      <c r="K103" s="1" t="n">
        <f aca="false">J103-I103</f>
        <v>0.138805681742308</v>
      </c>
      <c r="L103" s="1" t="n">
        <v>0.742965313065697</v>
      </c>
    </row>
    <row r="104" customFormat="false" ht="15" hidden="false" customHeight="false" outlineLevel="0" collapsed="false">
      <c r="A104" s="1" t="s">
        <v>79</v>
      </c>
      <c r="B104" s="1" t="s">
        <v>80</v>
      </c>
      <c r="C104" s="1" t="s">
        <v>81</v>
      </c>
      <c r="D104" s="1" t="s">
        <v>19</v>
      </c>
      <c r="E104" s="1" t="s">
        <v>20</v>
      </c>
      <c r="F104" s="1" t="n">
        <v>33</v>
      </c>
      <c r="G104" s="2" t="s">
        <v>26</v>
      </c>
      <c r="H104" s="1" t="n">
        <v>0.1</v>
      </c>
      <c r="I104" s="1" t="n">
        <v>0.234825638401148</v>
      </c>
      <c r="J104" s="1" t="n">
        <v>0.354395585300964</v>
      </c>
      <c r="K104" s="1" t="n">
        <f aca="false">J104-I104</f>
        <v>0.119569946899816</v>
      </c>
      <c r="L104" s="1" t="n">
        <v>0.742965313065697</v>
      </c>
    </row>
    <row r="105" customFormat="false" ht="15" hidden="false" customHeight="false" outlineLevel="0" collapsed="false">
      <c r="A105" s="1" t="s">
        <v>82</v>
      </c>
      <c r="B105" s="1" t="s">
        <v>83</v>
      </c>
      <c r="C105" s="1" t="s">
        <v>84</v>
      </c>
      <c r="D105" s="1" t="s">
        <v>19</v>
      </c>
      <c r="E105" s="1" t="s">
        <v>20</v>
      </c>
      <c r="F105" s="1" t="n">
        <v>35</v>
      </c>
      <c r="G105" s="2" t="s">
        <v>21</v>
      </c>
      <c r="H105" s="1" t="n">
        <v>0.2055</v>
      </c>
      <c r="I105" s="1" t="n">
        <v>0.455577728126862</v>
      </c>
      <c r="J105" s="1" t="n">
        <v>0.441301156900601</v>
      </c>
      <c r="K105" s="1" t="n">
        <f aca="false">J105-I105</f>
        <v>-0.014276571226261</v>
      </c>
      <c r="L105" s="1" t="n">
        <v>0.728588697645091</v>
      </c>
    </row>
    <row r="106" customFormat="false" ht="15" hidden="false" customHeight="false" outlineLevel="0" collapsed="false">
      <c r="A106" s="1" t="s">
        <v>82</v>
      </c>
      <c r="B106" s="1" t="s">
        <v>83</v>
      </c>
      <c r="C106" s="1" t="s">
        <v>84</v>
      </c>
      <c r="D106" s="1" t="s">
        <v>19</v>
      </c>
      <c r="E106" s="1" t="s">
        <v>20</v>
      </c>
      <c r="F106" s="1" t="n">
        <v>35</v>
      </c>
      <c r="G106" s="2" t="s">
        <v>22</v>
      </c>
      <c r="H106" s="1" t="n">
        <v>0.1897</v>
      </c>
      <c r="I106" s="1" t="n">
        <v>0.420464509486586</v>
      </c>
      <c r="J106" s="1" t="n">
        <v>0.436282999272846</v>
      </c>
      <c r="K106" s="1" t="n">
        <f aca="false">J106-I106</f>
        <v>0.01581848978626</v>
      </c>
      <c r="L106" s="1" t="n">
        <v>0.728588697645091</v>
      </c>
    </row>
    <row r="107" customFormat="false" ht="15" hidden="false" customHeight="false" outlineLevel="0" collapsed="false">
      <c r="A107" s="1" t="s">
        <v>82</v>
      </c>
      <c r="B107" s="1" t="s">
        <v>83</v>
      </c>
      <c r="C107" s="1" t="s">
        <v>84</v>
      </c>
      <c r="D107" s="1" t="s">
        <v>19</v>
      </c>
      <c r="E107" s="1" t="s">
        <v>20</v>
      </c>
      <c r="F107" s="1" t="n">
        <v>35</v>
      </c>
      <c r="G107" s="2" t="s">
        <v>23</v>
      </c>
      <c r="H107" s="1" t="n">
        <v>0.1729</v>
      </c>
      <c r="I107" s="1" t="n">
        <v>0.383227909134276</v>
      </c>
      <c r="J107" s="1" t="n">
        <v>0.339386686121999</v>
      </c>
      <c r="K107" s="1" t="n">
        <f aca="false">J107-I107</f>
        <v>-0.043841223012277</v>
      </c>
      <c r="L107" s="1" t="n">
        <v>0.728588697645091</v>
      </c>
    </row>
    <row r="108" customFormat="false" ht="15" hidden="false" customHeight="false" outlineLevel="0" collapsed="false">
      <c r="A108" s="1" t="s">
        <v>82</v>
      </c>
      <c r="B108" s="1" t="s">
        <v>83</v>
      </c>
      <c r="C108" s="1" t="s">
        <v>84</v>
      </c>
      <c r="D108" s="1" t="s">
        <v>19</v>
      </c>
      <c r="E108" s="1" t="s">
        <v>20</v>
      </c>
      <c r="F108" s="1" t="n">
        <v>35</v>
      </c>
      <c r="G108" s="2" t="s">
        <v>25</v>
      </c>
      <c r="H108" s="1" t="n">
        <v>0.1677</v>
      </c>
      <c r="I108" s="1" t="n">
        <v>0.371689343680944</v>
      </c>
      <c r="J108" s="1" t="n">
        <v>0.372098174916201</v>
      </c>
      <c r="K108" s="1" t="n">
        <f aca="false">J108-I108</f>
        <v>0.000408831235257034</v>
      </c>
      <c r="L108" s="1" t="n">
        <v>0.728588697645091</v>
      </c>
    </row>
    <row r="109" customFormat="false" ht="15" hidden="false" customHeight="false" outlineLevel="0" collapsed="false">
      <c r="A109" s="1" t="s">
        <v>82</v>
      </c>
      <c r="B109" s="1" t="s">
        <v>83</v>
      </c>
      <c r="C109" s="1" t="s">
        <v>84</v>
      </c>
      <c r="D109" s="1" t="s">
        <v>19</v>
      </c>
      <c r="E109" s="1" t="s">
        <v>20</v>
      </c>
      <c r="F109" s="1" t="n">
        <v>35</v>
      </c>
      <c r="G109" s="2" t="s">
        <v>49</v>
      </c>
      <c r="H109" s="1" t="n">
        <v>0.1642</v>
      </c>
      <c r="I109" s="1" t="n">
        <v>0.364041016366329</v>
      </c>
      <c r="J109" s="1" t="n">
        <v>0.328570635705692</v>
      </c>
      <c r="K109" s="1" t="n">
        <f aca="false">J109-I109</f>
        <v>-0.035470380660637</v>
      </c>
      <c r="L109" s="1" t="n">
        <v>0.728588697645091</v>
      </c>
    </row>
    <row r="110" customFormat="false" ht="15" hidden="false" customHeight="false" outlineLevel="0" collapsed="false">
      <c r="A110" s="1" t="s">
        <v>82</v>
      </c>
      <c r="B110" s="1" t="s">
        <v>83</v>
      </c>
      <c r="C110" s="1" t="s">
        <v>84</v>
      </c>
      <c r="D110" s="1" t="s">
        <v>19</v>
      </c>
      <c r="E110" s="1" t="s">
        <v>20</v>
      </c>
      <c r="F110" s="1" t="n">
        <v>35</v>
      </c>
      <c r="G110" s="2" t="s">
        <v>26</v>
      </c>
      <c r="H110" s="1" t="n">
        <v>0.1</v>
      </c>
      <c r="I110" s="1" t="n">
        <v>0.338277017056452</v>
      </c>
      <c r="J110" s="1" t="n">
        <v>0.279590073395215</v>
      </c>
      <c r="K110" s="1" t="n">
        <f aca="false">J110-I110</f>
        <v>-0.058686943661237</v>
      </c>
      <c r="L110" s="1" t="n">
        <v>0.728588697645091</v>
      </c>
    </row>
    <row r="111" customFormat="false" ht="15" hidden="false" customHeight="false" outlineLevel="0" collapsed="false">
      <c r="A111" s="1" t="s">
        <v>85</v>
      </c>
      <c r="B111" s="1" t="s">
        <v>86</v>
      </c>
      <c r="C111" s="1" t="s">
        <v>87</v>
      </c>
      <c r="D111" s="1" t="s">
        <v>19</v>
      </c>
      <c r="E111" s="1" t="s">
        <v>20</v>
      </c>
      <c r="F111" s="1" t="n">
        <v>37</v>
      </c>
      <c r="G111" s="2" t="s">
        <v>21</v>
      </c>
      <c r="H111" s="1" t="n">
        <v>0.2029</v>
      </c>
      <c r="I111" s="1" t="n">
        <v>0.419441642140162</v>
      </c>
      <c r="J111" s="1" t="n">
        <v>0.449216616672118</v>
      </c>
      <c r="K111" s="1" t="n">
        <f aca="false">J111-I111</f>
        <v>0.029774974531956</v>
      </c>
      <c r="L111" s="1" t="n">
        <v>0.741250956289799</v>
      </c>
    </row>
    <row r="112" customFormat="false" ht="15" hidden="false" customHeight="false" outlineLevel="0" collapsed="false">
      <c r="A112" s="1" t="s">
        <v>85</v>
      </c>
      <c r="B112" s="1" t="s">
        <v>86</v>
      </c>
      <c r="C112" s="1" t="s">
        <v>87</v>
      </c>
      <c r="D112" s="1" t="s">
        <v>19</v>
      </c>
      <c r="E112" s="1" t="s">
        <v>20</v>
      </c>
      <c r="F112" s="1" t="n">
        <v>37</v>
      </c>
      <c r="G112" s="2" t="s">
        <v>53</v>
      </c>
      <c r="H112" s="1" t="n">
        <v>0.1888</v>
      </c>
      <c r="I112" s="1" t="n">
        <v>0.390169400834082</v>
      </c>
      <c r="J112" s="1" t="n">
        <v>0.500941859148647</v>
      </c>
      <c r="K112" s="1" t="n">
        <f aca="false">J112-I112</f>
        <v>0.110772458314565</v>
      </c>
      <c r="L112" s="1" t="n">
        <v>0.741250956289799</v>
      </c>
    </row>
    <row r="113" customFormat="false" ht="15" hidden="false" customHeight="false" outlineLevel="0" collapsed="false">
      <c r="A113" s="1" t="s">
        <v>85</v>
      </c>
      <c r="B113" s="1" t="s">
        <v>86</v>
      </c>
      <c r="C113" s="1" t="s">
        <v>87</v>
      </c>
      <c r="D113" s="1" t="s">
        <v>19</v>
      </c>
      <c r="E113" s="1" t="s">
        <v>20</v>
      </c>
      <c r="F113" s="1" t="n">
        <v>37</v>
      </c>
      <c r="G113" s="2" t="s">
        <v>24</v>
      </c>
      <c r="H113" s="1" t="n">
        <v>0.1787</v>
      </c>
      <c r="I113" s="1" t="n">
        <v>0.369296188688379</v>
      </c>
      <c r="J113" s="1" t="n">
        <v>0.466248947482417</v>
      </c>
      <c r="K113" s="1" t="n">
        <f aca="false">J113-I113</f>
        <v>0.096952758794038</v>
      </c>
      <c r="L113" s="1" t="n">
        <v>0.741250956289799</v>
      </c>
    </row>
    <row r="114" customFormat="false" ht="15" hidden="false" customHeight="false" outlineLevel="0" collapsed="false">
      <c r="A114" s="1" t="s">
        <v>85</v>
      </c>
      <c r="B114" s="1" t="s">
        <v>86</v>
      </c>
      <c r="C114" s="1" t="s">
        <v>87</v>
      </c>
      <c r="D114" s="1" t="s">
        <v>19</v>
      </c>
      <c r="E114" s="1" t="s">
        <v>20</v>
      </c>
      <c r="F114" s="1" t="n">
        <v>37</v>
      </c>
      <c r="G114" s="2" t="s">
        <v>22</v>
      </c>
      <c r="H114" s="1" t="n">
        <v>0.1708</v>
      </c>
      <c r="I114" s="1" t="n">
        <v>0.352907886051731</v>
      </c>
      <c r="J114" s="1" t="n">
        <v>0.414179471266399</v>
      </c>
      <c r="K114" s="1" t="n">
        <f aca="false">J114-I114</f>
        <v>0.061271585214668</v>
      </c>
      <c r="L114" s="1" t="n">
        <v>0.741250956289799</v>
      </c>
    </row>
    <row r="115" customFormat="false" ht="15" hidden="false" customHeight="false" outlineLevel="0" collapsed="false">
      <c r="A115" s="1" t="s">
        <v>85</v>
      </c>
      <c r="B115" s="1" t="s">
        <v>86</v>
      </c>
      <c r="C115" s="1" t="s">
        <v>87</v>
      </c>
      <c r="D115" s="1" t="s">
        <v>19</v>
      </c>
      <c r="E115" s="1" t="s">
        <v>20</v>
      </c>
      <c r="F115" s="1" t="n">
        <v>37</v>
      </c>
      <c r="G115" s="2" t="s">
        <v>25</v>
      </c>
      <c r="H115" s="1" t="n">
        <v>0.1588</v>
      </c>
      <c r="I115" s="1" t="n">
        <v>0.328252060912928</v>
      </c>
      <c r="J115" s="1" t="n">
        <v>0.423046266966276</v>
      </c>
      <c r="K115" s="1" t="n">
        <f aca="false">J115-I115</f>
        <v>0.094794206053348</v>
      </c>
      <c r="L115" s="1" t="n">
        <v>0.741250956289799</v>
      </c>
    </row>
    <row r="116" customFormat="false" ht="15" hidden="false" customHeight="false" outlineLevel="0" collapsed="false">
      <c r="A116" s="1" t="s">
        <v>85</v>
      </c>
      <c r="B116" s="1" t="s">
        <v>86</v>
      </c>
      <c r="C116" s="1" t="s">
        <v>87</v>
      </c>
      <c r="D116" s="1" t="s">
        <v>19</v>
      </c>
      <c r="E116" s="1" t="s">
        <v>20</v>
      </c>
      <c r="F116" s="1" t="n">
        <v>37</v>
      </c>
      <c r="G116" s="2" t="s">
        <v>26</v>
      </c>
      <c r="H116" s="1" t="n">
        <v>0.1</v>
      </c>
      <c r="I116" s="1" t="n">
        <v>0.236042779696305</v>
      </c>
      <c r="J116" s="1" t="n">
        <v>0.353372860270344</v>
      </c>
      <c r="K116" s="1" t="n">
        <f aca="false">J116-I116</f>
        <v>0.117330080574039</v>
      </c>
      <c r="L116" s="1" t="n">
        <v>0.741250956289799</v>
      </c>
    </row>
    <row r="117" customFormat="false" ht="15" hidden="false" customHeight="false" outlineLevel="0" collapsed="false">
      <c r="A117" s="1" t="s">
        <v>88</v>
      </c>
      <c r="B117" s="1" t="s">
        <v>89</v>
      </c>
      <c r="C117" s="1" t="s">
        <v>90</v>
      </c>
      <c r="D117" s="1" t="s">
        <v>19</v>
      </c>
      <c r="E117" s="1" t="s">
        <v>20</v>
      </c>
      <c r="F117" s="1" t="n">
        <v>39</v>
      </c>
      <c r="G117" s="2" t="s">
        <v>53</v>
      </c>
      <c r="H117" s="1" t="n">
        <v>0.1925</v>
      </c>
      <c r="I117" s="1" t="n">
        <v>0.427614927151428</v>
      </c>
      <c r="J117" s="1" t="n">
        <v>0.367186525023885</v>
      </c>
      <c r="K117" s="1" t="n">
        <f aca="false">J117-I117</f>
        <v>-0.060428402127543</v>
      </c>
      <c r="L117" s="1" t="n">
        <v>0.722251425300955</v>
      </c>
    </row>
    <row r="118" customFormat="false" ht="15" hidden="false" customHeight="false" outlineLevel="0" collapsed="false">
      <c r="A118" s="1" t="s">
        <v>88</v>
      </c>
      <c r="B118" s="1" t="s">
        <v>89</v>
      </c>
      <c r="C118" s="1" t="s">
        <v>90</v>
      </c>
      <c r="D118" s="1" t="s">
        <v>19</v>
      </c>
      <c r="E118" s="1" t="s">
        <v>20</v>
      </c>
      <c r="F118" s="1" t="n">
        <v>39</v>
      </c>
      <c r="G118" s="2" t="s">
        <v>21</v>
      </c>
      <c r="H118" s="1" t="n">
        <v>0.1836</v>
      </c>
      <c r="I118" s="1" t="n">
        <v>0.407946777505155</v>
      </c>
      <c r="J118" s="1" t="n">
        <v>0.400777350721185</v>
      </c>
      <c r="K118" s="1" t="n">
        <f aca="false">J118-I118</f>
        <v>-0.00716942678397003</v>
      </c>
      <c r="L118" s="1" t="n">
        <v>0.722251425300955</v>
      </c>
    </row>
    <row r="119" customFormat="false" ht="15" hidden="false" customHeight="false" outlineLevel="0" collapsed="false">
      <c r="A119" s="1" t="s">
        <v>88</v>
      </c>
      <c r="B119" s="1" t="s">
        <v>89</v>
      </c>
      <c r="C119" s="1" t="s">
        <v>90</v>
      </c>
      <c r="D119" s="1" t="s">
        <v>19</v>
      </c>
      <c r="E119" s="1" t="s">
        <v>20</v>
      </c>
      <c r="F119" s="1" t="n">
        <v>39</v>
      </c>
      <c r="G119" s="2" t="s">
        <v>24</v>
      </c>
      <c r="H119" s="1" t="n">
        <v>0.1769</v>
      </c>
      <c r="I119" s="1" t="n">
        <v>0.392909294372623</v>
      </c>
      <c r="J119" s="1" t="n">
        <v>0.364118315140823</v>
      </c>
      <c r="K119" s="1" t="n">
        <f aca="false">J119-I119</f>
        <v>-0.0287909792318</v>
      </c>
      <c r="L119" s="1" t="n">
        <v>0.722251425300955</v>
      </c>
    </row>
    <row r="120" customFormat="false" ht="15" hidden="false" customHeight="false" outlineLevel="0" collapsed="false">
      <c r="A120" s="1" t="s">
        <v>88</v>
      </c>
      <c r="B120" s="1" t="s">
        <v>89</v>
      </c>
      <c r="C120" s="1" t="s">
        <v>90</v>
      </c>
      <c r="D120" s="1" t="s">
        <v>19</v>
      </c>
      <c r="E120" s="1" t="s">
        <v>20</v>
      </c>
      <c r="F120" s="1" t="n">
        <v>39</v>
      </c>
      <c r="G120" s="2" t="s">
        <v>22</v>
      </c>
      <c r="H120" s="1" t="n">
        <v>0.1747</v>
      </c>
      <c r="I120" s="1" t="n">
        <v>0.388106465172022</v>
      </c>
      <c r="J120" s="1" t="n">
        <v>0.430190850672152</v>
      </c>
      <c r="K120" s="1" t="n">
        <f aca="false">J120-I120</f>
        <v>0.04208438550013</v>
      </c>
      <c r="L120" s="1" t="n">
        <v>0.722251425300955</v>
      </c>
    </row>
    <row r="121" customFormat="false" ht="15" hidden="false" customHeight="false" outlineLevel="0" collapsed="false">
      <c r="A121" s="1" t="s">
        <v>88</v>
      </c>
      <c r="B121" s="1" t="s">
        <v>89</v>
      </c>
      <c r="C121" s="1" t="s">
        <v>90</v>
      </c>
      <c r="D121" s="1" t="s">
        <v>19</v>
      </c>
      <c r="E121" s="1" t="s">
        <v>20</v>
      </c>
      <c r="F121" s="1" t="n">
        <v>39</v>
      </c>
      <c r="G121" s="2" t="s">
        <v>25</v>
      </c>
      <c r="H121" s="1" t="n">
        <v>0.1723</v>
      </c>
      <c r="I121" s="1" t="n">
        <v>0.382864511934476</v>
      </c>
      <c r="J121" s="1" t="n">
        <v>0.356322835280854</v>
      </c>
      <c r="K121" s="1" t="n">
        <f aca="false">J121-I121</f>
        <v>-0.026541676653622</v>
      </c>
      <c r="L121" s="1" t="n">
        <v>0.722251425300955</v>
      </c>
    </row>
    <row r="122" customFormat="false" ht="15" hidden="false" customHeight="false" outlineLevel="0" collapsed="false">
      <c r="A122" s="1" t="s">
        <v>88</v>
      </c>
      <c r="B122" s="1" t="s">
        <v>89</v>
      </c>
      <c r="C122" s="1" t="s">
        <v>90</v>
      </c>
      <c r="D122" s="1" t="s">
        <v>19</v>
      </c>
      <c r="E122" s="1" t="s">
        <v>20</v>
      </c>
      <c r="F122" s="1" t="n">
        <v>39</v>
      </c>
      <c r="G122" s="2" t="s">
        <v>26</v>
      </c>
      <c r="H122" s="1" t="n">
        <v>0.1</v>
      </c>
      <c r="I122" s="1" t="n">
        <v>0.269019304722759</v>
      </c>
      <c r="J122" s="1" t="n">
        <v>0.286062737554363</v>
      </c>
      <c r="K122" s="1" t="n">
        <f aca="false">J122-I122</f>
        <v>0.017043432831604</v>
      </c>
      <c r="L122" s="1" t="n">
        <v>0.722251425300955</v>
      </c>
    </row>
    <row r="123" customFormat="false" ht="15" hidden="false" customHeight="false" outlineLevel="0" collapsed="false">
      <c r="A123" s="1" t="s">
        <v>91</v>
      </c>
      <c r="B123" s="1" t="s">
        <v>92</v>
      </c>
      <c r="C123" s="1" t="s">
        <v>93</v>
      </c>
      <c r="D123" s="1" t="s">
        <v>19</v>
      </c>
      <c r="E123" s="1" t="s">
        <v>20</v>
      </c>
      <c r="F123" s="1" t="n">
        <v>41</v>
      </c>
      <c r="G123" s="2" t="s">
        <v>22</v>
      </c>
      <c r="H123" s="1" t="n">
        <v>0.2028</v>
      </c>
      <c r="I123" s="1" t="n">
        <v>0.431889608946846</v>
      </c>
      <c r="J123" s="1" t="n">
        <v>0.435175837141784</v>
      </c>
      <c r="K123" s="1" t="n">
        <f aca="false">J123-I123</f>
        <v>0.00328622819493796</v>
      </c>
      <c r="L123" s="1" t="n">
        <v>0.803210697319553</v>
      </c>
    </row>
    <row r="124" customFormat="false" ht="15" hidden="false" customHeight="false" outlineLevel="0" collapsed="false">
      <c r="A124" s="1" t="s">
        <v>91</v>
      </c>
      <c r="B124" s="1" t="s">
        <v>92</v>
      </c>
      <c r="C124" s="1" t="s">
        <v>93</v>
      </c>
      <c r="D124" s="1" t="s">
        <v>19</v>
      </c>
      <c r="E124" s="1" t="s">
        <v>20</v>
      </c>
      <c r="F124" s="1" t="n">
        <v>41</v>
      </c>
      <c r="G124" s="2" t="s">
        <v>21</v>
      </c>
      <c r="H124" s="1" t="n">
        <v>0.2001</v>
      </c>
      <c r="I124" s="1" t="n">
        <v>0.426094268504174</v>
      </c>
      <c r="J124" s="1" t="n">
        <v>0.462954702041917</v>
      </c>
      <c r="K124" s="1" t="n">
        <f aca="false">J124-I124</f>
        <v>0.036860433537743</v>
      </c>
      <c r="L124" s="1" t="n">
        <v>0.803210697319553</v>
      </c>
    </row>
    <row r="125" customFormat="false" ht="15" hidden="false" customHeight="false" outlineLevel="0" collapsed="false">
      <c r="A125" s="1" t="s">
        <v>91</v>
      </c>
      <c r="B125" s="1" t="s">
        <v>92</v>
      </c>
      <c r="C125" s="1" t="s">
        <v>93</v>
      </c>
      <c r="D125" s="1" t="s">
        <v>19</v>
      </c>
      <c r="E125" s="1" t="s">
        <v>20</v>
      </c>
      <c r="F125" s="1" t="n">
        <v>41</v>
      </c>
      <c r="G125" s="2" t="s">
        <v>53</v>
      </c>
      <c r="H125" s="1" t="n">
        <v>0.172</v>
      </c>
      <c r="I125" s="1" t="n">
        <v>0.366179868130412</v>
      </c>
      <c r="J125" s="1" t="n">
        <v>0.386776029995062</v>
      </c>
      <c r="K125" s="1" t="n">
        <f aca="false">J125-I125</f>
        <v>0.02059616186465</v>
      </c>
      <c r="L125" s="1" t="n">
        <v>0.803210697319553</v>
      </c>
    </row>
    <row r="126" customFormat="false" ht="15" hidden="false" customHeight="false" outlineLevel="0" collapsed="false">
      <c r="A126" s="1" t="s">
        <v>91</v>
      </c>
      <c r="B126" s="1" t="s">
        <v>92</v>
      </c>
      <c r="C126" s="1" t="s">
        <v>93</v>
      </c>
      <c r="D126" s="1" t="s">
        <v>19</v>
      </c>
      <c r="E126" s="1" t="s">
        <v>20</v>
      </c>
      <c r="F126" s="1" t="n">
        <v>41</v>
      </c>
      <c r="G126" s="2" t="s">
        <v>23</v>
      </c>
      <c r="H126" s="1" t="n">
        <v>0.1634</v>
      </c>
      <c r="I126" s="1" t="n">
        <v>0.347870850771201</v>
      </c>
      <c r="J126" s="1" t="n">
        <v>0.377661430828555</v>
      </c>
      <c r="K126" s="1" t="n">
        <f aca="false">J126-I126</f>
        <v>0.029790580057354</v>
      </c>
      <c r="L126" s="1" t="n">
        <v>0.803210697319553</v>
      </c>
    </row>
    <row r="127" customFormat="false" ht="15" hidden="false" customHeight="false" outlineLevel="0" collapsed="false">
      <c r="A127" s="1" t="s">
        <v>91</v>
      </c>
      <c r="B127" s="1" t="s">
        <v>92</v>
      </c>
      <c r="C127" s="1" t="s">
        <v>93</v>
      </c>
      <c r="D127" s="1" t="s">
        <v>19</v>
      </c>
      <c r="E127" s="1" t="s">
        <v>20</v>
      </c>
      <c r="F127" s="1" t="n">
        <v>41</v>
      </c>
      <c r="G127" s="2" t="s">
        <v>49</v>
      </c>
      <c r="H127" s="1" t="n">
        <v>0.1618</v>
      </c>
      <c r="I127" s="1" t="n">
        <v>0.34444951898826</v>
      </c>
      <c r="J127" s="1" t="n">
        <v>0.368813977555717</v>
      </c>
      <c r="K127" s="1" t="n">
        <f aca="false">J127-I127</f>
        <v>0.024364458567457</v>
      </c>
      <c r="L127" s="1" t="n">
        <v>0.803210697319553</v>
      </c>
    </row>
    <row r="128" customFormat="false" ht="15" hidden="false" customHeight="false" outlineLevel="0" collapsed="false">
      <c r="A128" s="1" t="s">
        <v>91</v>
      </c>
      <c r="B128" s="1" t="s">
        <v>92</v>
      </c>
      <c r="C128" s="1" t="s">
        <v>93</v>
      </c>
      <c r="D128" s="1" t="s">
        <v>19</v>
      </c>
      <c r="E128" s="1" t="s">
        <v>20</v>
      </c>
      <c r="F128" s="1" t="n">
        <v>41</v>
      </c>
      <c r="G128" s="2" t="s">
        <v>26</v>
      </c>
      <c r="H128" s="1" t="n">
        <v>0.1</v>
      </c>
      <c r="I128" s="1" t="n">
        <v>0.293693296038618</v>
      </c>
      <c r="J128" s="1" t="n">
        <v>0.322587307799279</v>
      </c>
      <c r="K128" s="1" t="n">
        <f aca="false">J128-I128</f>
        <v>0.028894011760661</v>
      </c>
      <c r="L128" s="1" t="n">
        <v>0.803210697319553</v>
      </c>
    </row>
    <row r="129" customFormat="false" ht="15" hidden="false" customHeight="false" outlineLevel="0" collapsed="false">
      <c r="A129" s="1" t="s">
        <v>94</v>
      </c>
      <c r="B129" s="1" t="s">
        <v>95</v>
      </c>
      <c r="C129" s="1" t="s">
        <v>96</v>
      </c>
      <c r="D129" s="1" t="s">
        <v>19</v>
      </c>
      <c r="E129" s="1" t="s">
        <v>20</v>
      </c>
      <c r="F129" s="1" t="n">
        <v>43</v>
      </c>
      <c r="G129" s="2" t="s">
        <v>21</v>
      </c>
      <c r="H129" s="1" t="n">
        <v>0.2031</v>
      </c>
      <c r="I129" s="1" t="n">
        <v>0.427971368260699</v>
      </c>
      <c r="J129" s="1" t="n">
        <v>0.421307329940415</v>
      </c>
      <c r="K129" s="1" t="n">
        <f aca="false">J129-I129</f>
        <v>-0.00666403832028401</v>
      </c>
      <c r="L129" s="1" t="n">
        <v>0.673214279680313</v>
      </c>
    </row>
    <row r="130" customFormat="false" ht="15" hidden="false" customHeight="false" outlineLevel="0" collapsed="false">
      <c r="A130" s="1" t="s">
        <v>94</v>
      </c>
      <c r="B130" s="1" t="s">
        <v>95</v>
      </c>
      <c r="C130" s="1" t="s">
        <v>96</v>
      </c>
      <c r="D130" s="1" t="s">
        <v>19</v>
      </c>
      <c r="E130" s="1" t="s">
        <v>20</v>
      </c>
      <c r="F130" s="1" t="n">
        <v>43</v>
      </c>
      <c r="G130" s="2" t="s">
        <v>22</v>
      </c>
      <c r="H130" s="1" t="n">
        <v>0.1945</v>
      </c>
      <c r="I130" s="1" t="n">
        <v>0.409815122961669</v>
      </c>
      <c r="J130" s="1" t="n">
        <v>0.383379317100183</v>
      </c>
      <c r="K130" s="1" t="n">
        <f aca="false">J130-I130</f>
        <v>-0.026435805861486</v>
      </c>
      <c r="L130" s="1" t="n">
        <v>0.673214279680313</v>
      </c>
    </row>
    <row r="131" customFormat="false" ht="15" hidden="false" customHeight="false" outlineLevel="0" collapsed="false">
      <c r="A131" s="1" t="s">
        <v>94</v>
      </c>
      <c r="B131" s="1" t="s">
        <v>95</v>
      </c>
      <c r="C131" s="1" t="s">
        <v>96</v>
      </c>
      <c r="D131" s="1" t="s">
        <v>19</v>
      </c>
      <c r="E131" s="1" t="s">
        <v>20</v>
      </c>
      <c r="F131" s="1" t="n">
        <v>43</v>
      </c>
      <c r="G131" s="2" t="s">
        <v>23</v>
      </c>
      <c r="H131" s="1" t="n">
        <v>0.1799</v>
      </c>
      <c r="I131" s="1" t="n">
        <v>0.379161336770488</v>
      </c>
      <c r="J131" s="1" t="n">
        <v>0.393533302828159</v>
      </c>
      <c r="K131" s="1" t="n">
        <f aca="false">J131-I131</f>
        <v>0.014371966057671</v>
      </c>
      <c r="L131" s="1" t="n">
        <v>0.673214279680313</v>
      </c>
    </row>
    <row r="132" customFormat="false" ht="15" hidden="false" customHeight="false" outlineLevel="0" collapsed="false">
      <c r="A132" s="1" t="s">
        <v>94</v>
      </c>
      <c r="B132" s="1" t="s">
        <v>95</v>
      </c>
      <c r="C132" s="1" t="s">
        <v>96</v>
      </c>
      <c r="D132" s="1" t="s">
        <v>19</v>
      </c>
      <c r="E132" s="1" t="s">
        <v>20</v>
      </c>
      <c r="F132" s="1" t="n">
        <v>43</v>
      </c>
      <c r="G132" s="2" t="s">
        <v>53</v>
      </c>
      <c r="H132" s="1" t="n">
        <v>0.1644</v>
      </c>
      <c r="I132" s="1" t="n">
        <v>0.346449869463429</v>
      </c>
      <c r="J132" s="1" t="n">
        <v>0.322058092786412</v>
      </c>
      <c r="K132" s="1" t="n">
        <f aca="false">J132-I132</f>
        <v>-0.024391776677017</v>
      </c>
      <c r="L132" s="1" t="n">
        <v>0.673214279680313</v>
      </c>
    </row>
    <row r="133" customFormat="false" ht="15" hidden="false" customHeight="false" outlineLevel="0" collapsed="false">
      <c r="A133" s="1" t="s">
        <v>94</v>
      </c>
      <c r="B133" s="1" t="s">
        <v>95</v>
      </c>
      <c r="C133" s="1" t="s">
        <v>96</v>
      </c>
      <c r="D133" s="1" t="s">
        <v>19</v>
      </c>
      <c r="E133" s="1" t="s">
        <v>20</v>
      </c>
      <c r="F133" s="1" t="n">
        <v>43</v>
      </c>
      <c r="G133" s="2" t="s">
        <v>25</v>
      </c>
      <c r="H133" s="1" t="n">
        <v>0.158</v>
      </c>
      <c r="I133" s="1" t="n">
        <v>0.332945738720614</v>
      </c>
      <c r="J133" s="1" t="n">
        <v>0.392008952019486</v>
      </c>
      <c r="K133" s="1" t="n">
        <f aca="false">J133-I133</f>
        <v>0.059063213298872</v>
      </c>
      <c r="L133" s="1" t="n">
        <v>0.673214279680313</v>
      </c>
    </row>
    <row r="134" customFormat="false" ht="15" hidden="false" customHeight="false" outlineLevel="0" collapsed="false">
      <c r="A134" s="1" t="s">
        <v>94</v>
      </c>
      <c r="B134" s="1" t="s">
        <v>95</v>
      </c>
      <c r="C134" s="1" t="s">
        <v>96</v>
      </c>
      <c r="D134" s="1" t="s">
        <v>19</v>
      </c>
      <c r="E134" s="1" t="s">
        <v>20</v>
      </c>
      <c r="F134" s="1" t="n">
        <v>43</v>
      </c>
      <c r="G134" s="2" t="s">
        <v>26</v>
      </c>
      <c r="H134" s="1" t="n">
        <v>0.1</v>
      </c>
      <c r="I134" s="1" t="n">
        <v>0.285565610468307</v>
      </c>
      <c r="J134" s="1" t="n">
        <v>0.321049671620161</v>
      </c>
      <c r="K134" s="1" t="n">
        <f aca="false">J134-I134</f>
        <v>0.035484061151854</v>
      </c>
      <c r="L134" s="1" t="n">
        <v>0.673214279680313</v>
      </c>
    </row>
    <row r="135" customFormat="false" ht="15" hidden="false" customHeight="false" outlineLevel="0" collapsed="false">
      <c r="A135" s="1" t="s">
        <v>97</v>
      </c>
      <c r="B135" s="1" t="s">
        <v>98</v>
      </c>
      <c r="C135" s="1" t="s">
        <v>99</v>
      </c>
      <c r="D135" s="1" t="s">
        <v>19</v>
      </c>
      <c r="E135" s="1" t="s">
        <v>20</v>
      </c>
      <c r="F135" s="1" t="n">
        <v>45</v>
      </c>
      <c r="G135" s="2" t="s">
        <v>21</v>
      </c>
      <c r="H135" s="1" t="n">
        <v>0.1935</v>
      </c>
      <c r="I135" s="1" t="n">
        <v>0.387704150056248</v>
      </c>
      <c r="J135" s="1" t="n">
        <v>0.45332154003274</v>
      </c>
      <c r="K135" s="1" t="n">
        <f aca="false">J135-I135</f>
        <v>0.065617389976492</v>
      </c>
      <c r="L135" s="1" t="n">
        <v>0.723840879104647</v>
      </c>
    </row>
    <row r="136" customFormat="false" ht="15" hidden="false" customHeight="false" outlineLevel="0" collapsed="false">
      <c r="A136" s="1" t="s">
        <v>97</v>
      </c>
      <c r="B136" s="1" t="s">
        <v>98</v>
      </c>
      <c r="C136" s="1" t="s">
        <v>99</v>
      </c>
      <c r="D136" s="1" t="s">
        <v>19</v>
      </c>
      <c r="E136" s="1" t="s">
        <v>20</v>
      </c>
      <c r="F136" s="1" t="n">
        <v>45</v>
      </c>
      <c r="G136" s="2" t="s">
        <v>23</v>
      </c>
      <c r="H136" s="1" t="n">
        <v>0.1898</v>
      </c>
      <c r="I136" s="1" t="n">
        <v>0.380317292986571</v>
      </c>
      <c r="J136" s="1" t="n">
        <v>0.407943133273172</v>
      </c>
      <c r="K136" s="1" t="n">
        <f aca="false">J136-I136</f>
        <v>0.027625840286601</v>
      </c>
      <c r="L136" s="1" t="n">
        <v>0.723840879104647</v>
      </c>
    </row>
    <row r="137" customFormat="false" ht="15" hidden="false" customHeight="false" outlineLevel="0" collapsed="false">
      <c r="A137" s="1" t="s">
        <v>97</v>
      </c>
      <c r="B137" s="1" t="s">
        <v>98</v>
      </c>
      <c r="C137" s="1" t="s">
        <v>99</v>
      </c>
      <c r="D137" s="1" t="s">
        <v>19</v>
      </c>
      <c r="E137" s="1" t="s">
        <v>20</v>
      </c>
      <c r="F137" s="1" t="n">
        <v>45</v>
      </c>
      <c r="G137" s="2" t="s">
        <v>22</v>
      </c>
      <c r="H137" s="1" t="n">
        <v>0.1841</v>
      </c>
      <c r="I137" s="1" t="n">
        <v>0.368751061921173</v>
      </c>
      <c r="J137" s="1" t="n">
        <v>0.450826596376945</v>
      </c>
      <c r="K137" s="1" t="n">
        <f aca="false">J137-I137</f>
        <v>0.082075534455772</v>
      </c>
      <c r="L137" s="1" t="n">
        <v>0.723840879104647</v>
      </c>
    </row>
    <row r="138" customFormat="false" ht="15" hidden="false" customHeight="false" outlineLevel="0" collapsed="false">
      <c r="A138" s="1" t="s">
        <v>97</v>
      </c>
      <c r="B138" s="1" t="s">
        <v>98</v>
      </c>
      <c r="C138" s="1" t="s">
        <v>99</v>
      </c>
      <c r="D138" s="1" t="s">
        <v>19</v>
      </c>
      <c r="E138" s="1" t="s">
        <v>20</v>
      </c>
      <c r="F138" s="1" t="n">
        <v>45</v>
      </c>
      <c r="G138" s="2" t="s">
        <v>49</v>
      </c>
      <c r="H138" s="1" t="n">
        <v>0.173</v>
      </c>
      <c r="I138" s="1" t="n">
        <v>0.346680174797714</v>
      </c>
      <c r="J138" s="1" t="n">
        <v>0.410311846724618</v>
      </c>
      <c r="K138" s="1" t="n">
        <f aca="false">J138-I138</f>
        <v>0.063631671926904</v>
      </c>
      <c r="L138" s="1" t="n">
        <v>0.723840879104647</v>
      </c>
    </row>
    <row r="139" customFormat="false" ht="15" hidden="false" customHeight="false" outlineLevel="0" collapsed="false">
      <c r="A139" s="1" t="s">
        <v>97</v>
      </c>
      <c r="B139" s="1" t="s">
        <v>98</v>
      </c>
      <c r="C139" s="1" t="s">
        <v>99</v>
      </c>
      <c r="D139" s="1" t="s">
        <v>19</v>
      </c>
      <c r="E139" s="1" t="s">
        <v>20</v>
      </c>
      <c r="F139" s="1" t="n">
        <v>45</v>
      </c>
      <c r="G139" s="2" t="s">
        <v>75</v>
      </c>
      <c r="H139" s="1" t="n">
        <v>0.1596</v>
      </c>
      <c r="I139" s="1" t="n">
        <v>0.319710669648077</v>
      </c>
      <c r="J139" s="1" t="n">
        <v>0.366729575850207</v>
      </c>
      <c r="K139" s="1" t="n">
        <f aca="false">J139-I139</f>
        <v>0.04701890620213</v>
      </c>
      <c r="L139" s="1" t="n">
        <v>0.723840879104647</v>
      </c>
    </row>
    <row r="140" customFormat="false" ht="15" hidden="false" customHeight="false" outlineLevel="0" collapsed="false">
      <c r="A140" s="1" t="s">
        <v>97</v>
      </c>
      <c r="B140" s="1" t="s">
        <v>98</v>
      </c>
      <c r="C140" s="1" t="s">
        <v>99</v>
      </c>
      <c r="D140" s="1" t="s">
        <v>19</v>
      </c>
      <c r="E140" s="1" t="s">
        <v>20</v>
      </c>
      <c r="F140" s="1" t="n">
        <v>45</v>
      </c>
      <c r="G140" s="2" t="s">
        <v>26</v>
      </c>
      <c r="H140" s="1" t="n">
        <v>0.1</v>
      </c>
      <c r="I140" s="1" t="n">
        <v>0.277676439405413</v>
      </c>
      <c r="J140" s="1" t="n">
        <v>0.338231431373813</v>
      </c>
      <c r="K140" s="1" t="n">
        <f aca="false">J140-I140</f>
        <v>0.0605549919684</v>
      </c>
      <c r="L140" s="1" t="n">
        <v>0.723840879104647</v>
      </c>
    </row>
    <row r="141" customFormat="false" ht="15" hidden="false" customHeight="false" outlineLevel="0" collapsed="false">
      <c r="A141" s="1" t="s">
        <v>100</v>
      </c>
      <c r="B141" s="1" t="s">
        <v>101</v>
      </c>
      <c r="C141" s="1" t="s">
        <v>102</v>
      </c>
      <c r="D141" s="1" t="s">
        <v>19</v>
      </c>
      <c r="E141" s="1" t="s">
        <v>20</v>
      </c>
      <c r="F141" s="1" t="n">
        <v>47</v>
      </c>
      <c r="G141" s="2" t="s">
        <v>21</v>
      </c>
      <c r="H141" s="1" t="n">
        <v>0.214</v>
      </c>
      <c r="I141" s="1" t="n">
        <v>0.457881453979755</v>
      </c>
      <c r="J141" s="1" t="n">
        <v>0.448314225198995</v>
      </c>
      <c r="K141" s="1" t="n">
        <f aca="false">J141-I141</f>
        <v>-0.00956722878076</v>
      </c>
      <c r="L141" s="1" t="n">
        <v>0.727564777752726</v>
      </c>
    </row>
    <row r="142" customFormat="false" ht="15" hidden="false" customHeight="false" outlineLevel="0" collapsed="false">
      <c r="A142" s="1" t="s">
        <v>100</v>
      </c>
      <c r="B142" s="1" t="s">
        <v>101</v>
      </c>
      <c r="C142" s="1" t="s">
        <v>102</v>
      </c>
      <c r="D142" s="1" t="s">
        <v>19</v>
      </c>
      <c r="E142" s="1" t="s">
        <v>20</v>
      </c>
      <c r="F142" s="1" t="n">
        <v>47</v>
      </c>
      <c r="G142" s="2" t="s">
        <v>22</v>
      </c>
      <c r="H142" s="1" t="n">
        <v>0.1813</v>
      </c>
      <c r="I142" s="1" t="n">
        <v>0.388000876191446</v>
      </c>
      <c r="J142" s="1" t="n">
        <v>0.394077127164015</v>
      </c>
      <c r="K142" s="1" t="n">
        <f aca="false">J142-I142</f>
        <v>0.00607625097256898</v>
      </c>
      <c r="L142" s="1" t="n">
        <v>0.727564777752726</v>
      </c>
    </row>
    <row r="143" customFormat="false" ht="15" hidden="false" customHeight="false" outlineLevel="0" collapsed="false">
      <c r="A143" s="1" t="s">
        <v>100</v>
      </c>
      <c r="B143" s="1" t="s">
        <v>101</v>
      </c>
      <c r="C143" s="1" t="s">
        <v>102</v>
      </c>
      <c r="D143" s="1" t="s">
        <v>19</v>
      </c>
      <c r="E143" s="1" t="s">
        <v>20</v>
      </c>
      <c r="F143" s="1" t="n">
        <v>47</v>
      </c>
      <c r="G143" s="2" t="s">
        <v>23</v>
      </c>
      <c r="H143" s="1" t="n">
        <v>0.1699</v>
      </c>
      <c r="I143" s="1" t="n">
        <v>0.363657011759724</v>
      </c>
      <c r="J143" s="1" t="n">
        <v>0.394180599201983</v>
      </c>
      <c r="K143" s="1" t="n">
        <f aca="false">J143-I143</f>
        <v>0.030523587442259</v>
      </c>
      <c r="L143" s="1" t="n">
        <v>0.727564777752726</v>
      </c>
    </row>
    <row r="144" customFormat="false" ht="15" hidden="false" customHeight="false" outlineLevel="0" collapsed="false">
      <c r="A144" s="1" t="s">
        <v>100</v>
      </c>
      <c r="B144" s="1" t="s">
        <v>101</v>
      </c>
      <c r="C144" s="1" t="s">
        <v>102</v>
      </c>
      <c r="D144" s="1" t="s">
        <v>19</v>
      </c>
      <c r="E144" s="1" t="s">
        <v>20</v>
      </c>
      <c r="F144" s="1" t="n">
        <v>47</v>
      </c>
      <c r="G144" s="2" t="s">
        <v>53</v>
      </c>
      <c r="H144" s="1" t="n">
        <v>0.1676</v>
      </c>
      <c r="I144" s="1" t="n">
        <v>0.358611528763679</v>
      </c>
      <c r="J144" s="1" t="n">
        <v>0.364864223390777</v>
      </c>
      <c r="K144" s="1" t="n">
        <f aca="false">J144-I144</f>
        <v>0.00625269462709799</v>
      </c>
      <c r="L144" s="1" t="n">
        <v>0.727564777752726</v>
      </c>
    </row>
    <row r="145" customFormat="false" ht="15" hidden="false" customHeight="false" outlineLevel="0" collapsed="false">
      <c r="A145" s="1" t="s">
        <v>100</v>
      </c>
      <c r="B145" s="1" t="s">
        <v>101</v>
      </c>
      <c r="C145" s="1" t="s">
        <v>102</v>
      </c>
      <c r="D145" s="1" t="s">
        <v>19</v>
      </c>
      <c r="E145" s="1" t="s">
        <v>20</v>
      </c>
      <c r="F145" s="1" t="n">
        <v>47</v>
      </c>
      <c r="G145" s="2" t="s">
        <v>25</v>
      </c>
      <c r="H145" s="1" t="n">
        <v>0.1673</v>
      </c>
      <c r="I145" s="1" t="n">
        <v>0.357951871610649</v>
      </c>
      <c r="J145" s="1" t="n">
        <v>0.369786980412367</v>
      </c>
      <c r="K145" s="1" t="n">
        <f aca="false">J145-I145</f>
        <v>0.011835108801718</v>
      </c>
      <c r="L145" s="1" t="n">
        <v>0.727564777752726</v>
      </c>
    </row>
    <row r="146" customFormat="false" ht="15" hidden="false" customHeight="false" outlineLevel="0" collapsed="false">
      <c r="A146" s="1" t="s">
        <v>100</v>
      </c>
      <c r="B146" s="1" t="s">
        <v>101</v>
      </c>
      <c r="C146" s="1" t="s">
        <v>102</v>
      </c>
      <c r="D146" s="1" t="s">
        <v>19</v>
      </c>
      <c r="E146" s="1" t="s">
        <v>20</v>
      </c>
      <c r="F146" s="1" t="n">
        <v>47</v>
      </c>
      <c r="G146" s="2" t="s">
        <v>26</v>
      </c>
      <c r="H146" s="1" t="n">
        <v>0.1</v>
      </c>
      <c r="I146" s="1" t="n">
        <v>0.299169998423313</v>
      </c>
      <c r="J146" s="1" t="n">
        <v>0.374873215305024</v>
      </c>
      <c r="K146" s="1" t="n">
        <f aca="false">J146-I146</f>
        <v>0.075703216881711</v>
      </c>
      <c r="L146" s="1" t="n">
        <v>0.727564777752726</v>
      </c>
    </row>
    <row r="147" customFormat="false" ht="15" hidden="false" customHeight="false" outlineLevel="0" collapsed="false">
      <c r="A147" s="1" t="s">
        <v>103</v>
      </c>
      <c r="B147" s="1" t="s">
        <v>104</v>
      </c>
      <c r="C147" s="1" t="s">
        <v>105</v>
      </c>
      <c r="D147" s="1" t="s">
        <v>19</v>
      </c>
      <c r="E147" s="1" t="s">
        <v>20</v>
      </c>
      <c r="F147" s="1" t="n">
        <v>49</v>
      </c>
      <c r="G147" s="2" t="s">
        <v>21</v>
      </c>
      <c r="H147" s="1" t="n">
        <v>0.2012</v>
      </c>
      <c r="I147" s="1" t="n">
        <v>0.428821089634587</v>
      </c>
      <c r="J147" s="1" t="n">
        <v>0.444613513711475</v>
      </c>
      <c r="K147" s="1" t="n">
        <f aca="false">J147-I147</f>
        <v>0.015792424076888</v>
      </c>
      <c r="L147" s="1" t="n">
        <v>0.66737838952569</v>
      </c>
    </row>
    <row r="148" customFormat="false" ht="15" hidden="false" customHeight="false" outlineLevel="0" collapsed="false">
      <c r="A148" s="1" t="s">
        <v>103</v>
      </c>
      <c r="B148" s="1" t="s">
        <v>104</v>
      </c>
      <c r="C148" s="1" t="s">
        <v>105</v>
      </c>
      <c r="D148" s="1" t="s">
        <v>19</v>
      </c>
      <c r="E148" s="1" t="s">
        <v>20</v>
      </c>
      <c r="F148" s="1" t="n">
        <v>49</v>
      </c>
      <c r="G148" s="2" t="s">
        <v>23</v>
      </c>
      <c r="H148" s="1" t="n">
        <v>0.1745</v>
      </c>
      <c r="I148" s="1" t="n">
        <v>0.371876842519073</v>
      </c>
      <c r="J148" s="1" t="n">
        <v>0.396353323108742</v>
      </c>
      <c r="K148" s="1" t="n">
        <f aca="false">J148-I148</f>
        <v>0.024476480589669</v>
      </c>
      <c r="L148" s="1" t="n">
        <v>0.66737838952569</v>
      </c>
    </row>
    <row r="149" customFormat="false" ht="15" hidden="false" customHeight="false" outlineLevel="0" collapsed="false">
      <c r="A149" s="1" t="s">
        <v>103</v>
      </c>
      <c r="B149" s="1" t="s">
        <v>104</v>
      </c>
      <c r="C149" s="1" t="s">
        <v>105</v>
      </c>
      <c r="D149" s="1" t="s">
        <v>19</v>
      </c>
      <c r="E149" s="1" t="s">
        <v>20</v>
      </c>
      <c r="F149" s="1" t="n">
        <v>49</v>
      </c>
      <c r="G149" s="2" t="s">
        <v>22</v>
      </c>
      <c r="H149" s="1" t="n">
        <v>0.1653</v>
      </c>
      <c r="I149" s="1" t="n">
        <v>0.352337119517918</v>
      </c>
      <c r="J149" s="1" t="n">
        <v>0.423646817475553</v>
      </c>
      <c r="K149" s="1" t="n">
        <f aca="false">J149-I149</f>
        <v>0.071309697957635</v>
      </c>
      <c r="L149" s="1" t="n">
        <v>0.66737838952569</v>
      </c>
    </row>
    <row r="150" customFormat="false" ht="15" hidden="false" customHeight="false" outlineLevel="0" collapsed="false">
      <c r="A150" s="1" t="s">
        <v>103</v>
      </c>
      <c r="B150" s="1" t="s">
        <v>104</v>
      </c>
      <c r="C150" s="1" t="s">
        <v>105</v>
      </c>
      <c r="D150" s="1" t="s">
        <v>19</v>
      </c>
      <c r="E150" s="1" t="s">
        <v>20</v>
      </c>
      <c r="F150" s="1" t="n">
        <v>49</v>
      </c>
      <c r="G150" s="2" t="s">
        <v>53</v>
      </c>
      <c r="H150" s="1" t="n">
        <v>0.1541</v>
      </c>
      <c r="I150" s="1" t="n">
        <v>0.328476275402019</v>
      </c>
      <c r="J150" s="1" t="n">
        <v>0.365832514560428</v>
      </c>
      <c r="K150" s="1" t="n">
        <f aca="false">J150-I150</f>
        <v>0.037356239158409</v>
      </c>
      <c r="L150" s="1" t="n">
        <v>0.66737838952569</v>
      </c>
    </row>
    <row r="151" customFormat="false" ht="15" hidden="false" customHeight="false" outlineLevel="0" collapsed="false">
      <c r="A151" s="1" t="s">
        <v>103</v>
      </c>
      <c r="B151" s="1" t="s">
        <v>104</v>
      </c>
      <c r="C151" s="1" t="s">
        <v>105</v>
      </c>
      <c r="D151" s="1" t="s">
        <v>19</v>
      </c>
      <c r="E151" s="1" t="s">
        <v>20</v>
      </c>
      <c r="F151" s="1" t="n">
        <v>49</v>
      </c>
      <c r="G151" s="2" t="s">
        <v>49</v>
      </c>
      <c r="H151" s="1" t="n">
        <v>0.1529</v>
      </c>
      <c r="I151" s="1" t="n">
        <v>0.325955346366212</v>
      </c>
      <c r="J151" s="1" t="n">
        <v>0.402115734044636</v>
      </c>
      <c r="K151" s="1" t="n">
        <f aca="false">J151-I151</f>
        <v>0.076160387678424</v>
      </c>
      <c r="L151" s="1" t="n">
        <v>0.66737838952569</v>
      </c>
    </row>
    <row r="152" customFormat="false" ht="15" hidden="false" customHeight="false" outlineLevel="0" collapsed="false">
      <c r="A152" s="1" t="s">
        <v>103</v>
      </c>
      <c r="B152" s="1" t="s">
        <v>104</v>
      </c>
      <c r="C152" s="1" t="s">
        <v>105</v>
      </c>
      <c r="D152" s="1" t="s">
        <v>19</v>
      </c>
      <c r="E152" s="1" t="s">
        <v>20</v>
      </c>
      <c r="F152" s="1" t="n">
        <v>49</v>
      </c>
      <c r="G152" s="2" t="s">
        <v>26</v>
      </c>
      <c r="H152" s="1" t="n">
        <v>0.152</v>
      </c>
      <c r="I152" s="1" t="n">
        <v>0.323903682820257</v>
      </c>
      <c r="J152" s="1" t="n">
        <v>0.344265154250388</v>
      </c>
      <c r="K152" s="1" t="n">
        <f aca="false">J152-I152</f>
        <v>0.020361471430131</v>
      </c>
      <c r="L152" s="1" t="n">
        <v>0.66737838952569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C15" activeCellId="0" sqref="C15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22.42"/>
  </cols>
  <sheetData>
    <row r="1" customFormat="false" ht="12.8" hidden="false" customHeight="false" outlineLevel="0" collapsed="false">
      <c r="A1" s="6" t="s">
        <v>106</v>
      </c>
      <c r="B1" s="6"/>
    </row>
    <row r="2" customFormat="false" ht="12.8" hidden="false" customHeight="false" outlineLevel="0" collapsed="false">
      <c r="A2" s="6"/>
      <c r="B2" s="6"/>
    </row>
    <row r="3" customFormat="false" ht="12.8" hidden="false" customHeight="false" outlineLevel="0" collapsed="false">
      <c r="A3" s="6" t="s">
        <v>107</v>
      </c>
      <c r="B3" s="7" t="n">
        <f aca="false">scen5_ac15!P2</f>
        <v>150</v>
      </c>
    </row>
    <row r="4" customFormat="false" ht="12.8" hidden="false" customHeight="false" outlineLevel="0" collapsed="false">
      <c r="A4" s="6" t="s">
        <v>108</v>
      </c>
      <c r="B4" s="6" t="n">
        <f aca="false">B10*SQRT((B3-2)/(1-B10^2))</f>
        <v>-2.49402407105921</v>
      </c>
    </row>
    <row r="5" customFormat="false" ht="12.8" hidden="false" customHeight="false" outlineLevel="0" collapsed="false">
      <c r="A5" s="6" t="s">
        <v>109</v>
      </c>
      <c r="B5" s="6" t="n">
        <f aca="false">_xlfn.T.DIST.2T(ABS(B4),B3-2)</f>
        <v>0.0137301155038851</v>
      </c>
    </row>
    <row r="6" customFormat="false" ht="12.8" hidden="false" customHeight="false" outlineLevel="0" collapsed="false">
      <c r="A6" s="6"/>
      <c r="B6" s="8"/>
    </row>
    <row r="7" customFormat="false" ht="12.8" hidden="false" customHeight="false" outlineLevel="0" collapsed="false">
      <c r="A7" s="6"/>
      <c r="B7" s="8"/>
    </row>
    <row r="8" customFormat="false" ht="12.8" hidden="false" customHeight="false" outlineLevel="0" collapsed="false">
      <c r="A8" s="6"/>
      <c r="B8" s="8"/>
    </row>
    <row r="9" customFormat="false" ht="22.35" hidden="false" customHeight="false" outlineLevel="0" collapsed="false">
      <c r="A9" s="3" t="s">
        <v>12</v>
      </c>
      <c r="B9" s="3" t="s">
        <v>14</v>
      </c>
    </row>
    <row r="10" customFormat="false" ht="12.8" hidden="false" customHeight="false" outlineLevel="0" collapsed="false">
      <c r="A10" s="9" t="n">
        <f aca="false">B3</f>
        <v>150</v>
      </c>
      <c r="B10" s="9" t="n">
        <f aca="false">scen5_ac15!R2</f>
        <v>-0.200830685944449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2" activeCellId="0" sqref="A2"/>
    </sheetView>
  </sheetViews>
  <sheetFormatPr defaultColWidth="14.0703125" defaultRowHeight="12.8" customHeight="false" zeroHeight="false" outlineLevelRow="0" outlineLevelCol="0"/>
  <sheetData>
    <row r="2" customFormat="false" ht="12.8" hidden="false" customHeight="false" outlineLevel="0" collapsed="false">
      <c r="A2" s="10" t="s">
        <v>110</v>
      </c>
      <c r="B2" s="10"/>
    </row>
    <row r="3" customFormat="false" ht="12.8" hidden="false" customHeight="false" outlineLevel="0" collapsed="false">
      <c r="A3" s="11" t="s">
        <v>111</v>
      </c>
      <c r="B3" s="5" t="s">
        <v>112</v>
      </c>
    </row>
    <row r="4" customFormat="false" ht="12.8" hidden="false" customHeight="false" outlineLevel="0" collapsed="false">
      <c r="A4" s="8" t="n">
        <v>1</v>
      </c>
      <c r="B4" s="1" t="n">
        <v>0.754089393330518</v>
      </c>
    </row>
    <row r="5" customFormat="false" ht="12.8" hidden="false" customHeight="false" outlineLevel="0" collapsed="false">
      <c r="A5" s="8" t="n">
        <v>2</v>
      </c>
      <c r="B5" s="1" t="n">
        <v>0.776695707387166</v>
      </c>
    </row>
    <row r="6" customFormat="false" ht="12.8" hidden="false" customHeight="false" outlineLevel="0" collapsed="false">
      <c r="A6" s="8" t="n">
        <v>3</v>
      </c>
      <c r="B6" s="1" t="n">
        <v>0.739989879595545</v>
      </c>
    </row>
    <row r="7" customFormat="false" ht="12.8" hidden="false" customHeight="false" outlineLevel="0" collapsed="false">
      <c r="A7" s="8" t="n">
        <v>4</v>
      </c>
      <c r="B7" s="1" t="n">
        <v>0.742245918124278</v>
      </c>
    </row>
    <row r="8" customFormat="false" ht="12.8" hidden="false" customHeight="false" outlineLevel="0" collapsed="false">
      <c r="A8" s="8" t="n">
        <v>5</v>
      </c>
      <c r="B8" s="1" t="n">
        <v>0.807638556331572</v>
      </c>
    </row>
    <row r="9" customFormat="false" ht="12.8" hidden="false" customHeight="false" outlineLevel="0" collapsed="false">
      <c r="A9" s="8" t="n">
        <v>6</v>
      </c>
      <c r="B9" s="1" t="n">
        <v>0.740162804506617</v>
      </c>
    </row>
    <row r="10" customFormat="false" ht="12.8" hidden="false" customHeight="false" outlineLevel="0" collapsed="false">
      <c r="A10" s="8" t="n">
        <v>7</v>
      </c>
      <c r="B10" s="1" t="n">
        <v>0.781037553501202</v>
      </c>
    </row>
    <row r="11" customFormat="false" ht="12.8" hidden="false" customHeight="false" outlineLevel="0" collapsed="false">
      <c r="A11" s="8" t="n">
        <v>8</v>
      </c>
      <c r="B11" s="1" t="n">
        <v>0.696417484151069</v>
      </c>
    </row>
    <row r="12" customFormat="false" ht="12.8" hidden="false" customHeight="false" outlineLevel="0" collapsed="false">
      <c r="A12" s="8" t="n">
        <v>9</v>
      </c>
      <c r="B12" s="1" t="n">
        <v>0.742251700755494</v>
      </c>
    </row>
    <row r="13" customFormat="false" ht="12.8" hidden="false" customHeight="false" outlineLevel="0" collapsed="false">
      <c r="A13" s="8" t="n">
        <v>10</v>
      </c>
      <c r="B13" s="1" t="n">
        <v>0.824221753429923</v>
      </c>
    </row>
    <row r="14" customFormat="false" ht="12.8" hidden="false" customHeight="false" outlineLevel="0" collapsed="false">
      <c r="A14" s="8" t="n">
        <v>11</v>
      </c>
      <c r="B14" s="1" t="n">
        <v>0.706116491876793</v>
      </c>
    </row>
    <row r="15" customFormat="false" ht="12.8" hidden="false" customHeight="false" outlineLevel="0" collapsed="false">
      <c r="A15" s="8" t="n">
        <v>12</v>
      </c>
      <c r="B15" s="1" t="n">
        <v>0.779947067179795</v>
      </c>
    </row>
    <row r="16" customFormat="false" ht="12.8" hidden="false" customHeight="false" outlineLevel="0" collapsed="false">
      <c r="A16" s="8" t="n">
        <v>13</v>
      </c>
      <c r="B16" s="1" t="n">
        <v>0.707370269465281</v>
      </c>
    </row>
    <row r="17" customFormat="false" ht="12.8" hidden="false" customHeight="false" outlineLevel="0" collapsed="false">
      <c r="A17" s="8" t="n">
        <v>14</v>
      </c>
      <c r="B17" s="1" t="n">
        <v>0.682205004410646</v>
      </c>
    </row>
    <row r="18" customFormat="false" ht="12.8" hidden="false" customHeight="false" outlineLevel="0" collapsed="false">
      <c r="A18" s="8" t="n">
        <v>15</v>
      </c>
      <c r="B18" s="1" t="n">
        <v>0.666685272176504</v>
      </c>
    </row>
    <row r="19" customFormat="false" ht="12.8" hidden="false" customHeight="false" outlineLevel="0" collapsed="false">
      <c r="A19" s="8" t="n">
        <v>16</v>
      </c>
      <c r="B19" s="1" t="n">
        <v>0.748853205345462</v>
      </c>
    </row>
    <row r="20" customFormat="false" ht="12.8" hidden="false" customHeight="false" outlineLevel="0" collapsed="false">
      <c r="A20" s="8" t="n">
        <v>17</v>
      </c>
      <c r="B20" s="1" t="n">
        <v>0.742965313065697</v>
      </c>
    </row>
    <row r="21" customFormat="false" ht="12.8" hidden="false" customHeight="false" outlineLevel="0" collapsed="false">
      <c r="A21" s="8" t="n">
        <v>18</v>
      </c>
      <c r="B21" s="1" t="n">
        <v>0.728588697645091</v>
      </c>
    </row>
    <row r="22" customFormat="false" ht="12.8" hidden="false" customHeight="false" outlineLevel="0" collapsed="false">
      <c r="A22" s="8" t="n">
        <v>19</v>
      </c>
      <c r="B22" s="1" t="n">
        <v>0.741250956289799</v>
      </c>
    </row>
    <row r="23" customFormat="false" ht="12.8" hidden="false" customHeight="false" outlineLevel="0" collapsed="false">
      <c r="A23" s="8" t="n">
        <v>20</v>
      </c>
      <c r="B23" s="1" t="n">
        <v>0.722251425300955</v>
      </c>
    </row>
    <row r="24" customFormat="false" ht="12.8" hidden="false" customHeight="false" outlineLevel="0" collapsed="false">
      <c r="A24" s="8" t="n">
        <v>21</v>
      </c>
      <c r="B24" s="1" t="n">
        <v>0.803210697319553</v>
      </c>
    </row>
    <row r="25" customFormat="false" ht="12.8" hidden="false" customHeight="false" outlineLevel="0" collapsed="false">
      <c r="A25" s="8" t="n">
        <v>22</v>
      </c>
      <c r="B25" s="1" t="n">
        <v>0.673214279680313</v>
      </c>
    </row>
    <row r="26" customFormat="false" ht="12.8" hidden="false" customHeight="false" outlineLevel="0" collapsed="false">
      <c r="A26" s="8" t="n">
        <v>23</v>
      </c>
      <c r="B26" s="1" t="n">
        <v>0.723840879104647</v>
      </c>
    </row>
    <row r="27" customFormat="false" ht="12.8" hidden="false" customHeight="false" outlineLevel="0" collapsed="false">
      <c r="A27" s="8" t="n">
        <v>24</v>
      </c>
      <c r="B27" s="1" t="n">
        <v>0.727564777752726</v>
      </c>
    </row>
    <row r="28" customFormat="false" ht="12.8" hidden="false" customHeight="false" outlineLevel="0" collapsed="false">
      <c r="A28" s="12" t="n">
        <v>25</v>
      </c>
      <c r="B28" s="1" t="n">
        <v>0.66737838952569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62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E9" activeCellId="0" sqref="E9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7" min="5" style="1" width="20.79"/>
    <col collapsed="false" customWidth="true" hidden="false" outlineLevel="0" max="9" min="8" style="1" width="22.42"/>
  </cols>
  <sheetData>
    <row r="2" customFormat="false" ht="12.8" hidden="false" customHeight="false" outlineLevel="0" collapsed="false">
      <c r="A2" s="10" t="s">
        <v>110</v>
      </c>
      <c r="B2" s="10"/>
    </row>
    <row r="3" customFormat="false" ht="12.8" hidden="false" customHeight="false" outlineLevel="0" collapsed="false">
      <c r="A3" s="11" t="s">
        <v>111</v>
      </c>
      <c r="B3" s="5" t="s">
        <v>112</v>
      </c>
      <c r="C3" s="12" t="s">
        <v>113</v>
      </c>
      <c r="D3" s="1" t="s">
        <v>114</v>
      </c>
      <c r="E3" s="0" t="s">
        <v>115</v>
      </c>
      <c r="F3" s="12" t="s">
        <v>116</v>
      </c>
      <c r="G3" s="12" t="s">
        <v>117</v>
      </c>
      <c r="H3" s="12" t="s">
        <v>118</v>
      </c>
      <c r="I3" s="12" t="s">
        <v>119</v>
      </c>
      <c r="J3" s="12" t="s">
        <v>120</v>
      </c>
      <c r="K3" s="12" t="s">
        <v>121</v>
      </c>
      <c r="L3" s="1" t="s">
        <v>122</v>
      </c>
      <c r="M3" s="1" t="s">
        <v>123</v>
      </c>
    </row>
    <row r="4" customFormat="false" ht="12.8" hidden="false" customHeight="false" outlineLevel="0" collapsed="false">
      <c r="A4" s="8" t="n">
        <v>1</v>
      </c>
      <c r="B4" s="1" t="n">
        <v>0.754089393330518</v>
      </c>
      <c r="C4" s="1" t="n">
        <v>0.75451956501659</v>
      </c>
      <c r="D4" s="1" t="n">
        <f aca="false">B4-C4</f>
        <v>-0.000430171686071956</v>
      </c>
      <c r="E4" s="13"/>
      <c r="F4" s="12" t="n">
        <f aca="false">_xlfn.STDEV.S(B4:B28)</f>
        <v>0.0427163793792672</v>
      </c>
      <c r="G4" s="12" t="n">
        <f aca="false">_xlfn.STDEV.S(C4:C28)</f>
        <v>0.0705884316876649</v>
      </c>
      <c r="H4" s="12" t="n">
        <f aca="false">_xlfn.F.TEST(B4:B28,C4:C28)</f>
        <v>0.0169763977882064</v>
      </c>
      <c r="I4" s="12" t="n">
        <f aca="false">_xlfn.T.TEST(B4:B28, C4:C28, 2,2)</f>
        <v>1.32667033455463E-007</v>
      </c>
      <c r="J4" s="12" t="n">
        <f aca="false">_xlfn.T.TEST(B4:B28,C4:C28, 2,3)</f>
        <v>2.76411789189176E-007</v>
      </c>
      <c r="K4" s="12" t="n">
        <f aca="false">AVERAGE(B4:B28)-AVERAGE(C4:C28)</f>
        <v>0.101992190504242</v>
      </c>
      <c r="L4" s="1" t="n">
        <f aca="false">AVERAGE(B4:B28)</f>
        <v>0.737047739090094</v>
      </c>
      <c r="M4" s="1" t="n">
        <f aca="false">AVERAGE(C4:C28)</f>
        <v>0.635055548585851</v>
      </c>
    </row>
    <row r="5" customFormat="false" ht="12.8" hidden="false" customHeight="false" outlineLevel="0" collapsed="false">
      <c r="A5" s="8" t="n">
        <v>2</v>
      </c>
      <c r="B5" s="1" t="n">
        <v>0.776695707387166</v>
      </c>
      <c r="C5" s="1" t="n">
        <v>0.583157820853806</v>
      </c>
      <c r="D5" s="1" t="n">
        <f aca="false">B5-C5</f>
        <v>0.19353788653336</v>
      </c>
      <c r="E5" s="14" t="s">
        <v>124</v>
      </c>
    </row>
    <row r="6" customFormat="false" ht="12.8" hidden="false" customHeight="false" outlineLevel="0" collapsed="false">
      <c r="A6" s="8" t="n">
        <v>3</v>
      </c>
      <c r="B6" s="1" t="n">
        <v>0.739989879595545</v>
      </c>
      <c r="C6" s="1" t="n">
        <v>0.618904917761491</v>
      </c>
      <c r="D6" s="1" t="n">
        <f aca="false">B6-C6</f>
        <v>0.121084961834054</v>
      </c>
      <c r="E6" s="14"/>
    </row>
    <row r="7" customFormat="false" ht="12.8" hidden="false" customHeight="false" outlineLevel="0" collapsed="false">
      <c r="A7" s="8" t="n">
        <v>4</v>
      </c>
      <c r="B7" s="1" t="n">
        <v>0.742245918124278</v>
      </c>
      <c r="C7" s="1" t="n">
        <v>0.74737712465141</v>
      </c>
      <c r="D7" s="1" t="n">
        <f aca="false">B7-C7</f>
        <v>-0.00513120652713206</v>
      </c>
      <c r="E7" s="14"/>
    </row>
    <row r="8" customFormat="false" ht="12.8" hidden="false" customHeight="false" outlineLevel="0" collapsed="false">
      <c r="A8" s="8" t="n">
        <v>5</v>
      </c>
      <c r="B8" s="1" t="n">
        <v>0.807638556331572</v>
      </c>
      <c r="C8" s="1" t="n">
        <v>0.548980230623881</v>
      </c>
      <c r="D8" s="1" t="n">
        <f aca="false">B8-C8</f>
        <v>0.258658325707691</v>
      </c>
      <c r="E8" s="14" t="s">
        <v>125</v>
      </c>
    </row>
    <row r="9" customFormat="false" ht="12.8" hidden="false" customHeight="false" outlineLevel="0" collapsed="false">
      <c r="A9" s="8" t="n">
        <v>6</v>
      </c>
      <c r="B9" s="1" t="n">
        <v>0.740162804506617</v>
      </c>
      <c r="C9" s="1" t="n">
        <v>0.632690227255637</v>
      </c>
      <c r="D9" s="1" t="n">
        <f aca="false">B9-C9</f>
        <v>0.10747257725098</v>
      </c>
      <c r="E9" s="14"/>
    </row>
    <row r="10" customFormat="false" ht="12.8" hidden="false" customHeight="false" outlineLevel="0" collapsed="false">
      <c r="A10" s="8" t="n">
        <v>7</v>
      </c>
      <c r="B10" s="1" t="n">
        <v>0.781037553501202</v>
      </c>
      <c r="C10" s="1" t="n">
        <v>0.701786769943752</v>
      </c>
      <c r="D10" s="1" t="n">
        <f aca="false">B10-C10</f>
        <v>0.07925078355745</v>
      </c>
      <c r="E10" s="14"/>
    </row>
    <row r="11" customFormat="false" ht="12.8" hidden="false" customHeight="false" outlineLevel="0" collapsed="false">
      <c r="A11" s="8" t="n">
        <v>8</v>
      </c>
      <c r="B11" s="1" t="n">
        <v>0.696417484151069</v>
      </c>
      <c r="C11" s="1" t="n">
        <v>0.584562320768019</v>
      </c>
      <c r="D11" s="1" t="n">
        <f aca="false">B11-C11</f>
        <v>0.11185516338305</v>
      </c>
      <c r="E11" s="14"/>
    </row>
    <row r="12" customFormat="false" ht="12.8" hidden="false" customHeight="false" outlineLevel="0" collapsed="false">
      <c r="A12" s="8" t="n">
        <v>9</v>
      </c>
      <c r="B12" s="1" t="n">
        <v>0.742251700755494</v>
      </c>
      <c r="C12" s="1" t="n">
        <v>0.635530236435515</v>
      </c>
      <c r="D12" s="1" t="n">
        <f aca="false">B12-C12</f>
        <v>0.106721464319979</v>
      </c>
      <c r="E12" s="14"/>
    </row>
    <row r="13" customFormat="false" ht="12.8" hidden="false" customHeight="false" outlineLevel="0" collapsed="false">
      <c r="A13" s="8" t="n">
        <v>10</v>
      </c>
      <c r="B13" s="1" t="n">
        <v>0.824221753429923</v>
      </c>
      <c r="C13" s="1" t="n">
        <v>0.69186077854627</v>
      </c>
      <c r="D13" s="1" t="n">
        <f aca="false">B13-C13</f>
        <v>0.132360974883653</v>
      </c>
      <c r="E13" s="14" t="s">
        <v>126</v>
      </c>
    </row>
    <row r="14" customFormat="false" ht="12.8" hidden="false" customHeight="false" outlineLevel="0" collapsed="false">
      <c r="A14" s="8" t="n">
        <v>11</v>
      </c>
      <c r="B14" s="1" t="n">
        <v>0.706116491876793</v>
      </c>
      <c r="C14" s="1" t="n">
        <v>0.746874410758284</v>
      </c>
      <c r="D14" s="1" t="n">
        <f aca="false">B14-C14</f>
        <v>-0.0407579188814909</v>
      </c>
      <c r="E14" s="14"/>
    </row>
    <row r="15" customFormat="false" ht="12.8" hidden="false" customHeight="false" outlineLevel="0" collapsed="false">
      <c r="A15" s="8" t="n">
        <v>12</v>
      </c>
      <c r="B15" s="1" t="n">
        <v>0.779947067179795</v>
      </c>
      <c r="C15" s="1" t="n">
        <v>0.646103343046236</v>
      </c>
      <c r="D15" s="1" t="n">
        <f aca="false">B15-C15</f>
        <v>0.133843724133559</v>
      </c>
      <c r="E15" s="14" t="s">
        <v>124</v>
      </c>
    </row>
    <row r="16" customFormat="false" ht="12.8" hidden="false" customHeight="false" outlineLevel="0" collapsed="false">
      <c r="A16" s="8" t="n">
        <v>13</v>
      </c>
      <c r="B16" s="1" t="n">
        <v>0.707370269465281</v>
      </c>
      <c r="C16" s="1" t="n">
        <v>0.714267452106315</v>
      </c>
      <c r="D16" s="1" t="n">
        <f aca="false">B16-C16</f>
        <v>-0.00689718264103401</v>
      </c>
      <c r="E16" s="14"/>
    </row>
    <row r="17" customFormat="false" ht="12.8" hidden="false" customHeight="false" outlineLevel="0" collapsed="false">
      <c r="A17" s="8" t="n">
        <v>14</v>
      </c>
      <c r="B17" s="1" t="n">
        <v>0.682205004410646</v>
      </c>
      <c r="C17" s="1" t="n">
        <v>0.64598849418726</v>
      </c>
      <c r="D17" s="1" t="n">
        <f aca="false">B17-C17</f>
        <v>0.036216510223386</v>
      </c>
      <c r="E17" s="14"/>
    </row>
    <row r="18" customFormat="false" ht="12.8" hidden="false" customHeight="false" outlineLevel="0" collapsed="false">
      <c r="A18" s="8" t="n">
        <v>15</v>
      </c>
      <c r="B18" s="1" t="n">
        <v>0.666685272176504</v>
      </c>
      <c r="C18" s="1" t="n">
        <v>0.559125581602383</v>
      </c>
      <c r="D18" s="1" t="n">
        <f aca="false">B18-C18</f>
        <v>0.107559690574121</v>
      </c>
      <c r="E18" s="14"/>
    </row>
    <row r="19" customFormat="false" ht="12.8" hidden="false" customHeight="false" outlineLevel="0" collapsed="false">
      <c r="A19" s="8" t="n">
        <v>16</v>
      </c>
      <c r="B19" s="1" t="n">
        <v>0.748853205345462</v>
      </c>
      <c r="C19" s="1" t="n">
        <v>0.664444142276853</v>
      </c>
      <c r="D19" s="1" t="n">
        <f aca="false">B19-C19</f>
        <v>0.084409063068609</v>
      </c>
      <c r="E19" s="14"/>
    </row>
    <row r="20" customFormat="false" ht="12.8" hidden="false" customHeight="false" outlineLevel="0" collapsed="false">
      <c r="A20" s="8" t="n">
        <v>17</v>
      </c>
      <c r="B20" s="1" t="n">
        <v>0.742965313065697</v>
      </c>
      <c r="C20" s="1" t="n">
        <v>0.682928718328554</v>
      </c>
      <c r="D20" s="1" t="n">
        <f aca="false">B20-C20</f>
        <v>0.0600365947371431</v>
      </c>
      <c r="E20" s="14"/>
    </row>
    <row r="21" customFormat="false" ht="12.8" hidden="false" customHeight="false" outlineLevel="0" collapsed="false">
      <c r="A21" s="8" t="n">
        <v>18</v>
      </c>
      <c r="B21" s="1" t="n">
        <v>0.728588697645091</v>
      </c>
      <c r="C21" s="1" t="n">
        <v>0.609029777075647</v>
      </c>
      <c r="D21" s="1" t="n">
        <f aca="false">B21-C21</f>
        <v>0.119558920569444</v>
      </c>
      <c r="E21" s="14"/>
    </row>
    <row r="22" customFormat="false" ht="12.8" hidden="false" customHeight="false" outlineLevel="0" collapsed="false">
      <c r="A22" s="8" t="n">
        <v>19</v>
      </c>
      <c r="B22" s="1" t="n">
        <v>0.741250956289799</v>
      </c>
      <c r="C22" s="1" t="n">
        <v>0.625136354501309</v>
      </c>
      <c r="D22" s="1" t="n">
        <f aca="false">B22-C22</f>
        <v>0.11611460178849</v>
      </c>
      <c r="E22" s="14"/>
    </row>
    <row r="23" customFormat="false" ht="12.8" hidden="false" customHeight="false" outlineLevel="0" collapsed="false">
      <c r="A23" s="8" t="n">
        <v>20</v>
      </c>
      <c r="B23" s="1" t="n">
        <v>0.722251425300955</v>
      </c>
      <c r="C23" s="1" t="n">
        <v>0.628896991007055</v>
      </c>
      <c r="D23" s="1" t="n">
        <f aca="false">B23-C23</f>
        <v>0.0933544342939</v>
      </c>
      <c r="E23" s="14"/>
    </row>
    <row r="24" customFormat="false" ht="12.8" hidden="false" customHeight="false" outlineLevel="0" collapsed="false">
      <c r="A24" s="8" t="n">
        <v>21</v>
      </c>
      <c r="B24" s="1" t="n">
        <v>0.803210697319553</v>
      </c>
      <c r="C24" s="1" t="n">
        <v>0.49049501481858</v>
      </c>
      <c r="D24" s="1" t="n">
        <f aca="false">B24-C24</f>
        <v>0.312715682500973</v>
      </c>
      <c r="E24" s="14" t="s">
        <v>127</v>
      </c>
    </row>
    <row r="25" customFormat="false" ht="12.8" hidden="false" customHeight="false" outlineLevel="0" collapsed="false">
      <c r="A25" s="8" t="n">
        <v>22</v>
      </c>
      <c r="B25" s="1" t="n">
        <v>0.673214279680313</v>
      </c>
      <c r="C25" s="1" t="n">
        <v>0.551218385467124</v>
      </c>
      <c r="D25" s="1" t="n">
        <f aca="false">B25-C25</f>
        <v>0.121995894213189</v>
      </c>
      <c r="E25" s="14"/>
    </row>
    <row r="26" customFormat="false" ht="12.8" hidden="false" customHeight="false" outlineLevel="0" collapsed="false">
      <c r="A26" s="8" t="n">
        <v>23</v>
      </c>
      <c r="B26" s="1" t="n">
        <v>0.723840879104647</v>
      </c>
      <c r="C26" s="1" t="n">
        <v>0.644659585583856</v>
      </c>
      <c r="D26" s="1" t="n">
        <f aca="false">B26-C26</f>
        <v>0.079181293520791</v>
      </c>
      <c r="E26" s="14"/>
    </row>
    <row r="27" customFormat="false" ht="12.8" hidden="false" customHeight="false" outlineLevel="0" collapsed="false">
      <c r="A27" s="8" t="n">
        <v>24</v>
      </c>
      <c r="B27" s="1" t="n">
        <v>0.727564777752726</v>
      </c>
      <c r="C27" s="1" t="n">
        <v>0.654980886002206</v>
      </c>
      <c r="D27" s="1" t="n">
        <f aca="false">B27-C27</f>
        <v>0.0725838917505199</v>
      </c>
      <c r="E27" s="14"/>
    </row>
    <row r="28" customFormat="false" ht="12.8" hidden="false" customHeight="false" outlineLevel="0" collapsed="false">
      <c r="A28" s="12" t="n">
        <v>25</v>
      </c>
      <c r="B28" s="1" t="n">
        <v>0.66737838952569</v>
      </c>
      <c r="C28" s="1" t="n">
        <v>0.512869586028254</v>
      </c>
      <c r="D28" s="1" t="n">
        <f aca="false">B28-C28</f>
        <v>0.154508803497436</v>
      </c>
      <c r="E28" s="14" t="s">
        <v>125</v>
      </c>
    </row>
    <row r="32" customFormat="false" ht="12.8" hidden="false" customHeight="false" outlineLevel="0" collapsed="false">
      <c r="A32" s="1" t="s">
        <v>128</v>
      </c>
      <c r="B32" s="1"/>
      <c r="C32" s="1"/>
      <c r="D32" s="1"/>
    </row>
    <row r="33" customFormat="false" ht="12.8" hidden="false" customHeight="false" outlineLevel="0" collapsed="false">
      <c r="B33" s="1"/>
      <c r="C33" s="1"/>
      <c r="D33" s="1"/>
    </row>
    <row r="34" customFormat="false" ht="12.8" hidden="false" customHeight="false" outlineLevel="0" collapsed="false">
      <c r="A34" s="11" t="s">
        <v>111</v>
      </c>
      <c r="B34" s="5" t="s">
        <v>129</v>
      </c>
      <c r="C34" s="1" t="s">
        <v>130</v>
      </c>
      <c r="D34" s="1" t="s">
        <v>131</v>
      </c>
      <c r="E34" s="5" t="s">
        <v>112</v>
      </c>
      <c r="F34" s="12" t="s">
        <v>113</v>
      </c>
    </row>
    <row r="35" customFormat="false" ht="12.8" hidden="false" customHeight="false" outlineLevel="0" collapsed="false">
      <c r="A35" s="8" t="n">
        <v>1</v>
      </c>
      <c r="B35" s="1" t="n">
        <v>0.775953672739373</v>
      </c>
      <c r="C35" s="1" t="n">
        <v>0.748858285036974</v>
      </c>
      <c r="D35" s="1" t="n">
        <v>0.760680693780003</v>
      </c>
      <c r="E35" s="1" t="n">
        <v>0.754089393330518</v>
      </c>
      <c r="F35" s="1" t="n">
        <v>0.75451956501659</v>
      </c>
      <c r="H35" s="15" t="s">
        <v>132</v>
      </c>
    </row>
    <row r="36" customFormat="false" ht="12.8" hidden="false" customHeight="false" outlineLevel="0" collapsed="false">
      <c r="A36" s="8" t="n">
        <v>2</v>
      </c>
      <c r="B36" s="1" t="n">
        <v>0.742381155272784</v>
      </c>
      <c r="C36" s="1" t="n">
        <v>0.759506316896281</v>
      </c>
      <c r="D36" s="1" t="n">
        <v>0.715154495370581</v>
      </c>
      <c r="E36" s="1" t="n">
        <v>0.776695707387166</v>
      </c>
      <c r="F36" s="1" t="n">
        <v>0.583157820853806</v>
      </c>
      <c r="H36" s="1" t="s">
        <v>133</v>
      </c>
      <c r="I36" s="1" t="n">
        <v>0.05</v>
      </c>
    </row>
    <row r="37" customFormat="false" ht="12.8" hidden="false" customHeight="false" outlineLevel="0" collapsed="false">
      <c r="A37" s="8" t="n">
        <v>3</v>
      </c>
      <c r="B37" s="1" t="n">
        <v>0.71959451369822</v>
      </c>
      <c r="C37" s="1" t="n">
        <v>0.715413876782416</v>
      </c>
      <c r="D37" s="1" t="n">
        <v>0.727347354660159</v>
      </c>
      <c r="E37" s="1" t="n">
        <v>0.739989879595545</v>
      </c>
      <c r="F37" s="1" t="n">
        <v>0.618904917761491</v>
      </c>
    </row>
    <row r="38" customFormat="false" ht="12.8" hidden="false" customHeight="false" outlineLevel="0" collapsed="false">
      <c r="A38" s="8" t="n">
        <v>4</v>
      </c>
      <c r="B38" s="1" t="n">
        <v>0.744685778636444</v>
      </c>
      <c r="C38" s="1" t="n">
        <v>0.758348390419844</v>
      </c>
      <c r="D38" s="1" t="n">
        <v>0.733055203580666</v>
      </c>
      <c r="E38" s="1" t="n">
        <v>0.742245918124278</v>
      </c>
      <c r="F38" s="1" t="n">
        <v>0.74737712465141</v>
      </c>
      <c r="H38" s="1" t="s">
        <v>134</v>
      </c>
      <c r="I38" s="1" t="s">
        <v>135</v>
      </c>
      <c r="J38" s="1" t="s">
        <v>136</v>
      </c>
      <c r="K38" s="1" t="s">
        <v>137</v>
      </c>
      <c r="L38" s="1" t="s">
        <v>138</v>
      </c>
    </row>
    <row r="39" customFormat="false" ht="12.8" hidden="false" customHeight="false" outlineLevel="0" collapsed="false">
      <c r="A39" s="8" t="n">
        <v>5</v>
      </c>
      <c r="B39" s="1" t="n">
        <v>0.810472087374711</v>
      </c>
      <c r="C39" s="1" t="n">
        <v>0.810565062673861</v>
      </c>
      <c r="D39" s="1" t="n">
        <v>0.800065574864508</v>
      </c>
      <c r="E39" s="1" t="n">
        <v>0.807638556331572</v>
      </c>
      <c r="F39" s="1" t="n">
        <v>0.548980230623881</v>
      </c>
      <c r="H39" s="1" t="s">
        <v>139</v>
      </c>
      <c r="I39" s="1" t="n">
        <f aca="false">COUNT(inter_system_stats!$B$34:$B$59)</f>
        <v>25</v>
      </c>
      <c r="J39" s="1" t="n">
        <f aca="false">SUM(inter_system_stats!$B$34:$B$59)</f>
        <v>18.3092761299935</v>
      </c>
      <c r="K39" s="1" t="n">
        <f aca="false">AVERAGE(inter_system_stats!$B$34:$B$59)</f>
        <v>0.732371045199738</v>
      </c>
      <c r="L39" s="1" t="n">
        <f aca="false">VAR(inter_system_stats!$B$34:$B$59)</f>
        <v>0.0021075812038888</v>
      </c>
    </row>
    <row r="40" customFormat="false" ht="12.8" hidden="false" customHeight="false" outlineLevel="0" collapsed="false">
      <c r="A40" s="8" t="n">
        <v>6</v>
      </c>
      <c r="B40" s="1" t="n">
        <v>0.726316259765409</v>
      </c>
      <c r="C40" s="1" t="n">
        <v>0.742289112695254</v>
      </c>
      <c r="D40" s="1" t="n">
        <v>0.709071195454084</v>
      </c>
      <c r="E40" s="1" t="n">
        <v>0.740162804506617</v>
      </c>
      <c r="F40" s="1" t="n">
        <v>0.632690227255637</v>
      </c>
      <c r="H40" s="1" t="s">
        <v>140</v>
      </c>
      <c r="I40" s="1" t="n">
        <f aca="false">COUNT(inter_system_stats!$C$34:$C$59)</f>
        <v>25</v>
      </c>
      <c r="J40" s="1" t="n">
        <f aca="false">SUM(inter_system_stats!$C$34:$C$59)</f>
        <v>18.3094311357992</v>
      </c>
      <c r="K40" s="1" t="n">
        <f aca="false">AVERAGE(inter_system_stats!$C$34:$C$59)</f>
        <v>0.732377245431969</v>
      </c>
      <c r="L40" s="1" t="n">
        <f aca="false">VAR(inter_system_stats!$C$34:$C$59)</f>
        <v>0.00157418875222027</v>
      </c>
    </row>
    <row r="41" customFormat="false" ht="12.8" hidden="false" customHeight="false" outlineLevel="0" collapsed="false">
      <c r="A41" s="8" t="n">
        <v>7</v>
      </c>
      <c r="B41" s="1" t="n">
        <v>0.793215439015998</v>
      </c>
      <c r="C41" s="1" t="n">
        <v>0.764250642039974</v>
      </c>
      <c r="D41" s="1" t="n">
        <v>0.774946902661732</v>
      </c>
      <c r="E41" s="1" t="n">
        <v>0.781037553501202</v>
      </c>
      <c r="F41" s="1" t="n">
        <v>0.701786769943752</v>
      </c>
      <c r="H41" s="1" t="s">
        <v>141</v>
      </c>
      <c r="I41" s="1" t="n">
        <f aca="false">COUNT(inter_system_stats!$D$34:$D$59)</f>
        <v>25</v>
      </c>
      <c r="J41" s="1" t="n">
        <f aca="false">SUM(inter_system_stats!$D$34:$D$59)</f>
        <v>18.2778141094733</v>
      </c>
      <c r="K41" s="1" t="n">
        <f aca="false">AVERAGE(inter_system_stats!$D$34:$D$59)</f>
        <v>0.731112564378934</v>
      </c>
      <c r="L41" s="1" t="n">
        <f aca="false">VAR(inter_system_stats!$D$34:$D$59)</f>
        <v>0.00124923738237486</v>
      </c>
    </row>
    <row r="42" customFormat="false" ht="12.8" hidden="false" customHeight="false" outlineLevel="0" collapsed="false">
      <c r="A42" s="8" t="n">
        <v>8</v>
      </c>
      <c r="B42" s="1" t="n">
        <v>0.704599278382629</v>
      </c>
      <c r="C42" s="1" t="n">
        <v>0.698577720903755</v>
      </c>
      <c r="D42" s="1" t="n">
        <v>0.751587734037397</v>
      </c>
      <c r="E42" s="1" t="n">
        <v>0.696417484151069</v>
      </c>
      <c r="F42" s="1" t="n">
        <v>0.584562320768019</v>
      </c>
      <c r="H42" s="1" t="s">
        <v>142</v>
      </c>
      <c r="I42" s="1" t="n">
        <f aca="false">COUNT(inter_system_stats!$E$34:$E$59)</f>
        <v>25</v>
      </c>
      <c r="J42" s="1" t="n">
        <f aca="false">SUM(inter_system_stats!$E$34:$E$59)</f>
        <v>18.4261934772523</v>
      </c>
      <c r="K42" s="1" t="n">
        <f aca="false">AVERAGE(inter_system_stats!$E$34:$E$59)</f>
        <v>0.737047739090094</v>
      </c>
      <c r="L42" s="1" t="n">
        <f aca="false">VAR(inter_system_stats!$E$34:$E$59)</f>
        <v>0.00182468906727348</v>
      </c>
    </row>
    <row r="43" customFormat="false" ht="12.8" hidden="false" customHeight="false" outlineLevel="0" collapsed="false">
      <c r="A43" s="8" t="n">
        <v>9</v>
      </c>
      <c r="B43" s="1" t="n">
        <v>0.753231887262209</v>
      </c>
      <c r="C43" s="1" t="n">
        <v>0.766115238968207</v>
      </c>
      <c r="D43" s="1" t="n">
        <v>0.715465626904882</v>
      </c>
      <c r="E43" s="1" t="n">
        <v>0.742251700755494</v>
      </c>
      <c r="F43" s="1" t="n">
        <v>0.635530236435515</v>
      </c>
    </row>
    <row r="44" customFormat="false" ht="12.8" hidden="false" customHeight="false" outlineLevel="0" collapsed="false">
      <c r="A44" s="8" t="n">
        <v>10</v>
      </c>
      <c r="B44" s="1" t="n">
        <v>0.786918063323164</v>
      </c>
      <c r="C44" s="1" t="n">
        <v>0.777924199556208</v>
      </c>
      <c r="D44" s="1" t="n">
        <v>0.793443263941369</v>
      </c>
      <c r="E44" s="1" t="n">
        <v>0.824221753429923</v>
      </c>
      <c r="F44" s="1" t="n">
        <v>0.69186077854627</v>
      </c>
      <c r="H44" s="1" t="s">
        <v>143</v>
      </c>
      <c r="I44" s="1" t="s">
        <v>144</v>
      </c>
      <c r="J44" s="1" t="s">
        <v>145</v>
      </c>
      <c r="K44" s="1" t="s">
        <v>146</v>
      </c>
      <c r="L44" s="1" t="s">
        <v>147</v>
      </c>
      <c r="M44" s="1" t="s">
        <v>148</v>
      </c>
      <c r="N44" s="1" t="s">
        <v>149</v>
      </c>
    </row>
    <row r="45" customFormat="false" ht="12.8" hidden="false" customHeight="false" outlineLevel="0" collapsed="false">
      <c r="A45" s="8" t="n">
        <v>11</v>
      </c>
      <c r="B45" s="1" t="n">
        <v>0.757737648671806</v>
      </c>
      <c r="C45" s="1" t="n">
        <v>0.73133786448165</v>
      </c>
      <c r="D45" s="1" t="n">
        <v>0.730863596114826</v>
      </c>
      <c r="E45" s="1" t="n">
        <v>0.706116491876793</v>
      </c>
      <c r="F45" s="1" t="n">
        <v>0.746874410758284</v>
      </c>
      <c r="H45" s="1" t="s">
        <v>150</v>
      </c>
      <c r="I45" s="1" t="n">
        <f aca="false">SUMPRODUCT(inter_system_stats!$J$39:$J$42,inter_system_stats!$K$39:$K$42)-SUM(inter_system_stats!$J$39:$J$42)^2/SUM(inter_system_stats!$I$39:$I$42)</f>
        <v>0.000513090663694982</v>
      </c>
      <c r="J45" s="1" t="n">
        <f aca="false">COUNT(inter_system_stats!$J$39:$J$42)-1</f>
        <v>3</v>
      </c>
      <c r="K45" s="1" t="n">
        <f aca="false">inter_system_stats!$I$45 / inter_system_stats!$J$45</f>
        <v>0.000171030221231661</v>
      </c>
      <c r="L45" s="1" t="n">
        <f aca="false">inter_system_stats!$K$45 / inter_system_stats!$K$46</f>
        <v>0.101265782805695</v>
      </c>
      <c r="M45" s="1" t="n">
        <f aca="false">FDIST(inter_system_stats!$L$45, inter_system_stats!$J$45, inter_system_stats!$J$46)</f>
        <v>0.959106155222354</v>
      </c>
      <c r="N45" s="1" t="n">
        <f aca="false">FINV(inter_system_stats!$I$36, inter_system_stats!$J$45, inter_system_stats!$J$46)</f>
        <v>2.69939259755218</v>
      </c>
    </row>
    <row r="46" customFormat="false" ht="12.8" hidden="false" customHeight="false" outlineLevel="0" collapsed="false">
      <c r="A46" s="8" t="n">
        <v>12</v>
      </c>
      <c r="B46" s="1" t="n">
        <v>0.790488784330214</v>
      </c>
      <c r="C46" s="1" t="n">
        <v>0.761644594705368</v>
      </c>
      <c r="D46" s="1" t="n">
        <v>0.78662472765132</v>
      </c>
      <c r="E46" s="1" t="n">
        <v>0.779947067179795</v>
      </c>
      <c r="F46" s="1" t="n">
        <v>0.646103343046236</v>
      </c>
      <c r="H46" s="1" t="s">
        <v>151</v>
      </c>
      <c r="I46" s="1" t="n">
        <f aca="false">SUM(DEVSQ(inter_system_stats!$B$34:$B$59),DEVSQ(inter_system_stats!$C$34:$C$59),DEVSQ(inter_system_stats!$D$34:$D$59),DEVSQ(inter_system_stats!$E$34:$E$59))</f>
        <v>0.162136713738178</v>
      </c>
      <c r="J46" s="1" t="n">
        <f aca="false">SUM(inter_system_stats!$I$39:$I$42)-COUNT(inter_system_stats!$I$39:$I$42)</f>
        <v>96</v>
      </c>
      <c r="K46" s="1" t="n">
        <f aca="false">inter_system_stats!$I$46 / inter_system_stats!$J$46</f>
        <v>0.00168892410143935</v>
      </c>
    </row>
    <row r="47" customFormat="false" ht="12.8" hidden="false" customHeight="false" outlineLevel="0" collapsed="false">
      <c r="A47" s="8" t="n">
        <v>13</v>
      </c>
      <c r="B47" s="1" t="n">
        <v>0.692187737762497</v>
      </c>
      <c r="C47" s="1" t="n">
        <v>0.719429365683328</v>
      </c>
      <c r="D47" s="1" t="n">
        <v>0.686816342783247</v>
      </c>
      <c r="E47" s="1" t="n">
        <v>0.707370269465281</v>
      </c>
      <c r="F47" s="1" t="n">
        <v>0.714267452106315</v>
      </c>
      <c r="H47" s="1" t="s">
        <v>152</v>
      </c>
      <c r="I47" s="1" t="n">
        <f aca="false">DEVSQ(inter_system_stats!$B$34:$B$59,inter_system_stats!$C$34:$C$59,inter_system_stats!$D$34:$D$59,inter_system_stats!$E$34:$E$59)</f>
        <v>0.162649804401877</v>
      </c>
      <c r="J47" s="1" t="n">
        <f aca="false">SUM(inter_system_stats!$I$39:$I$42) - 1</f>
        <v>99</v>
      </c>
    </row>
    <row r="48" customFormat="false" ht="12.8" hidden="false" customHeight="false" outlineLevel="0" collapsed="false">
      <c r="A48" s="8" t="n">
        <v>14</v>
      </c>
      <c r="B48" s="1" t="n">
        <v>0.689379869171306</v>
      </c>
      <c r="C48" s="1" t="n">
        <v>0.678645514763614</v>
      </c>
      <c r="D48" s="1" t="n">
        <v>0.718410360602762</v>
      </c>
      <c r="E48" s="1" t="n">
        <v>0.682205004410646</v>
      </c>
      <c r="F48" s="1" t="n">
        <v>0.64598849418726</v>
      </c>
      <c r="H48" s="1" t="s">
        <v>153</v>
      </c>
    </row>
    <row r="49" customFormat="false" ht="12.8" hidden="false" customHeight="false" outlineLevel="0" collapsed="false">
      <c r="A49" s="8" t="n">
        <v>15</v>
      </c>
      <c r="B49" s="1" t="n">
        <v>0.769786735181106</v>
      </c>
      <c r="C49" s="1" t="n">
        <v>0.704961007003307</v>
      </c>
      <c r="D49" s="1" t="n">
        <v>0.744433669330252</v>
      </c>
      <c r="E49" s="1" t="n">
        <v>0.666685272176504</v>
      </c>
      <c r="F49" s="1" t="n">
        <v>0.559125581602383</v>
      </c>
      <c r="H49" s="15" t="s">
        <v>132</v>
      </c>
      <c r="I49" s="15" t="s">
        <v>154</v>
      </c>
    </row>
    <row r="50" customFormat="false" ht="12.8" hidden="false" customHeight="false" outlineLevel="0" collapsed="false">
      <c r="A50" s="8" t="n">
        <v>16</v>
      </c>
      <c r="B50" s="1" t="n">
        <v>0.784212018718249</v>
      </c>
      <c r="C50" s="1" t="n">
        <v>0.701208294690294</v>
      </c>
      <c r="D50" s="1" t="n">
        <v>0.717764656873297</v>
      </c>
      <c r="E50" s="1" t="n">
        <v>0.748853205345462</v>
      </c>
      <c r="F50" s="1" t="n">
        <v>0.664444142276853</v>
      </c>
      <c r="H50" s="1" t="s">
        <v>133</v>
      </c>
      <c r="I50" s="1" t="n">
        <v>0.05</v>
      </c>
    </row>
    <row r="51" customFormat="false" ht="12.8" hidden="false" customHeight="false" outlineLevel="0" collapsed="false">
      <c r="A51" s="8" t="n">
        <v>17</v>
      </c>
      <c r="B51" s="1" t="n">
        <v>0.741725308103978</v>
      </c>
      <c r="C51" s="1" t="n">
        <v>0.790013915764348</v>
      </c>
      <c r="D51" s="1" t="n">
        <v>0.737447565963683</v>
      </c>
      <c r="E51" s="1" t="n">
        <v>0.742965313065697</v>
      </c>
      <c r="F51" s="1" t="n">
        <v>0.682928718328554</v>
      </c>
    </row>
    <row r="52" customFormat="false" ht="12.8" hidden="false" customHeight="false" outlineLevel="0" collapsed="false">
      <c r="A52" s="8" t="n">
        <v>18</v>
      </c>
      <c r="B52" s="1" t="n">
        <v>0.71842174917648</v>
      </c>
      <c r="C52" s="1" t="n">
        <v>0.717785998437983</v>
      </c>
      <c r="D52" s="1" t="n">
        <v>0.700591538533063</v>
      </c>
      <c r="E52" s="1" t="n">
        <v>0.728588697645091</v>
      </c>
      <c r="F52" s="1" t="n">
        <v>0.609029777075647</v>
      </c>
      <c r="H52" s="1" t="s">
        <v>134</v>
      </c>
      <c r="I52" s="1" t="s">
        <v>135</v>
      </c>
      <c r="J52" s="1" t="s">
        <v>136</v>
      </c>
      <c r="K52" s="1" t="s">
        <v>137</v>
      </c>
      <c r="L52" s="1" t="s">
        <v>138</v>
      </c>
    </row>
    <row r="53" customFormat="false" ht="12.8" hidden="false" customHeight="false" outlineLevel="0" collapsed="false">
      <c r="A53" s="8" t="n">
        <v>19</v>
      </c>
      <c r="B53" s="1" t="n">
        <v>0.676598731860284</v>
      </c>
      <c r="C53" s="1" t="n">
        <v>0.704767716501297</v>
      </c>
      <c r="D53" s="1" t="n">
        <v>0.678930245127542</v>
      </c>
      <c r="E53" s="1" t="n">
        <v>0.741250956289799</v>
      </c>
      <c r="F53" s="1" t="n">
        <v>0.625136354501309</v>
      </c>
      <c r="H53" s="1" t="s">
        <v>139</v>
      </c>
      <c r="I53" s="1" t="n">
        <f aca="false">COUNT(inter_system_stats!$B$34:$B$59)</f>
        <v>25</v>
      </c>
      <c r="J53" s="1" t="n">
        <f aca="false">SUM(inter_system_stats!$B$34:$B$59)</f>
        <v>18.3092761299935</v>
      </c>
      <c r="K53" s="1" t="n">
        <f aca="false">AVERAGE(inter_system_stats!$B$34:$B$59)</f>
        <v>0.732371045199738</v>
      </c>
      <c r="L53" s="1" t="n">
        <f aca="false">VAR(inter_system_stats!$B$34:$B$59)</f>
        <v>0.0021075812038888</v>
      </c>
    </row>
    <row r="54" customFormat="false" ht="12.8" hidden="false" customHeight="false" outlineLevel="0" collapsed="false">
      <c r="A54" s="8" t="n">
        <v>20</v>
      </c>
      <c r="B54" s="1" t="n">
        <v>0.629078814128947</v>
      </c>
      <c r="C54" s="1" t="n">
        <v>0.731804893130237</v>
      </c>
      <c r="D54" s="1" t="n">
        <v>0.696243121106112</v>
      </c>
      <c r="E54" s="1" t="n">
        <v>0.722251425300955</v>
      </c>
      <c r="F54" s="1" t="n">
        <v>0.628896991007055</v>
      </c>
      <c r="H54" s="1" t="s">
        <v>140</v>
      </c>
      <c r="I54" s="1" t="n">
        <f aca="false">COUNT(inter_system_stats!$C$34:$C$59)</f>
        <v>25</v>
      </c>
      <c r="J54" s="1" t="n">
        <f aca="false">SUM(inter_system_stats!$C$34:$C$59)</f>
        <v>18.3094311357992</v>
      </c>
      <c r="K54" s="1" t="n">
        <f aca="false">AVERAGE(inter_system_stats!$C$34:$C$59)</f>
        <v>0.732377245431969</v>
      </c>
      <c r="L54" s="1" t="n">
        <f aca="false">VAR(inter_system_stats!$C$34:$C$59)</f>
        <v>0.00157418875222027</v>
      </c>
    </row>
    <row r="55" customFormat="false" ht="12.8" hidden="false" customHeight="false" outlineLevel="0" collapsed="false">
      <c r="A55" s="8" t="n">
        <v>21</v>
      </c>
      <c r="B55" s="1" t="n">
        <v>0.716426666679795</v>
      </c>
      <c r="C55" s="1" t="n">
        <v>0.766896688339251</v>
      </c>
      <c r="D55" s="1" t="n">
        <v>0.751495467345464</v>
      </c>
      <c r="E55" s="1" t="n">
        <v>0.803210697319553</v>
      </c>
      <c r="F55" s="1" t="n">
        <v>0.49049501481858</v>
      </c>
      <c r="H55" s="1" t="s">
        <v>141</v>
      </c>
      <c r="I55" s="1" t="n">
        <f aca="false">COUNT(inter_system_stats!$D$34:$D$59)</f>
        <v>25</v>
      </c>
      <c r="J55" s="1" t="n">
        <f aca="false">SUM(inter_system_stats!$D$34:$D$59)</f>
        <v>18.2778141094733</v>
      </c>
      <c r="K55" s="1" t="n">
        <f aca="false">AVERAGE(inter_system_stats!$D$34:$D$59)</f>
        <v>0.731112564378934</v>
      </c>
      <c r="L55" s="1" t="n">
        <f aca="false">VAR(inter_system_stats!$D$34:$D$59)</f>
        <v>0.00124923738237486</v>
      </c>
    </row>
    <row r="56" customFormat="false" ht="12.8" hidden="false" customHeight="false" outlineLevel="0" collapsed="false">
      <c r="A56" s="8" t="n">
        <v>22</v>
      </c>
      <c r="B56" s="1" t="n">
        <v>0.671030917852718</v>
      </c>
      <c r="C56" s="1" t="n">
        <v>0.628025866777813</v>
      </c>
      <c r="D56" s="1" t="n">
        <v>0.66012396246485</v>
      </c>
      <c r="E56" s="1" t="n">
        <v>0.673214279680313</v>
      </c>
      <c r="F56" s="1" t="n">
        <v>0.551218385467124</v>
      </c>
      <c r="H56" s="1" t="s">
        <v>142</v>
      </c>
      <c r="I56" s="1" t="n">
        <f aca="false">COUNT(inter_system_stats!$E$34:$E$59)</f>
        <v>25</v>
      </c>
      <c r="J56" s="1" t="n">
        <f aca="false">SUM(inter_system_stats!$E$34:$E$59)</f>
        <v>18.4261934772523</v>
      </c>
      <c r="K56" s="1" t="n">
        <f aca="false">AVERAGE(inter_system_stats!$E$34:$E$59)</f>
        <v>0.737047739090094</v>
      </c>
      <c r="L56" s="1" t="n">
        <f aca="false">VAR(inter_system_stats!$E$34:$E$59)</f>
        <v>0.00182468906727348</v>
      </c>
    </row>
    <row r="57" customFormat="false" ht="12.8" hidden="false" customHeight="false" outlineLevel="0" collapsed="false">
      <c r="A57" s="8" t="n">
        <v>23</v>
      </c>
      <c r="B57" s="1" t="n">
        <v>0.727473528774715</v>
      </c>
      <c r="C57" s="1" t="n">
        <v>0.720769368294172</v>
      </c>
      <c r="D57" s="1" t="n">
        <v>0.738555955351407</v>
      </c>
      <c r="E57" s="1" t="n">
        <v>0.723840879104647</v>
      </c>
      <c r="F57" s="1" t="n">
        <v>0.644659585583856</v>
      </c>
      <c r="H57" s="1" t="s">
        <v>155</v>
      </c>
      <c r="I57" s="1" t="n">
        <f aca="false">COUNT(inter_system_stats!$F$34:$F$59)</f>
        <v>25</v>
      </c>
      <c r="J57" s="1" t="n">
        <f aca="false">SUM(inter_system_stats!$F$34:$F$59)</f>
        <v>15.8763887146463</v>
      </c>
      <c r="K57" s="1" t="n">
        <f aca="false">AVERAGE(inter_system_stats!$F$34:$F$59)</f>
        <v>0.635055548585851</v>
      </c>
      <c r="L57" s="1" t="n">
        <f aca="false">VAR(inter_system_stats!$F$34:$F$59)</f>
        <v>0.00498272668812413</v>
      </c>
    </row>
    <row r="58" customFormat="false" ht="12.8" hidden="false" customHeight="false" outlineLevel="0" collapsed="false">
      <c r="A58" s="8" t="n">
        <v>24</v>
      </c>
      <c r="B58" s="1" t="n">
        <v>0.721776373024424</v>
      </c>
      <c r="C58" s="1" t="n">
        <v>0.722411929605002</v>
      </c>
      <c r="D58" s="1" t="n">
        <v>0.74726844232579</v>
      </c>
      <c r="E58" s="1" t="n">
        <v>0.727564777752726</v>
      </c>
      <c r="F58" s="1" t="n">
        <v>0.654980886002206</v>
      </c>
    </row>
    <row r="59" customFormat="false" ht="12.8" hidden="false" customHeight="false" outlineLevel="0" collapsed="false">
      <c r="A59" s="12" t="n">
        <v>25</v>
      </c>
      <c r="B59" s="1" t="n">
        <v>0.665583111085999</v>
      </c>
      <c r="C59" s="1" t="n">
        <v>0.687879271648785</v>
      </c>
      <c r="D59" s="1" t="n">
        <v>0.70142641264434</v>
      </c>
      <c r="E59" s="1" t="n">
        <v>0.66737838952569</v>
      </c>
      <c r="F59" s="1" t="n">
        <v>0.512869586028254</v>
      </c>
      <c r="H59" s="1" t="s">
        <v>143</v>
      </c>
      <c r="I59" s="1" t="s">
        <v>144</v>
      </c>
      <c r="J59" s="1" t="s">
        <v>145</v>
      </c>
      <c r="K59" s="1" t="s">
        <v>146</v>
      </c>
      <c r="L59" s="1" t="s">
        <v>147</v>
      </c>
      <c r="M59" s="1" t="s">
        <v>148</v>
      </c>
      <c r="N59" s="1" t="s">
        <v>149</v>
      </c>
    </row>
    <row r="60" customFormat="false" ht="12.8" hidden="false" customHeight="false" outlineLevel="0" collapsed="false">
      <c r="H60" s="1" t="s">
        <v>150</v>
      </c>
      <c r="I60" s="1" t="n">
        <f aca="false">SUMPRODUCT(inter_system_stats!$J$53:$J$57,inter_system_stats!$K$53:$K$57)-SUM(inter_system_stats!$J$53:$J$57)^2/SUM(inter_system_stats!$I$53:$I$57)</f>
        <v>0.193266351356669</v>
      </c>
      <c r="J60" s="1" t="n">
        <f aca="false">COUNT(inter_system_stats!$J$53:$J$57)-1</f>
        <v>4</v>
      </c>
      <c r="K60" s="1" t="n">
        <f aca="false">inter_system_stats!$I$60 / inter_system_stats!$J$60</f>
        <v>0.0483165878391674</v>
      </c>
      <c r="L60" s="1" t="n">
        <f aca="false">inter_system_stats!$K$60 / inter_system_stats!$K$61</f>
        <v>20.5805274919557</v>
      </c>
      <c r="M60" s="1" t="n">
        <f aca="false">FDIST(inter_system_stats!$L$60, inter_system_stats!$J$60, inter_system_stats!$J$61)</f>
        <v>6.21345400441278E-013</v>
      </c>
      <c r="N60" s="1" t="n">
        <f aca="false">FINV(inter_system_stats!$I$50, inter_system_stats!$J$60, inter_system_stats!$J$61)</f>
        <v>2.4472365114693</v>
      </c>
    </row>
    <row r="61" customFormat="false" ht="12.8" hidden="false" customHeight="false" outlineLevel="0" collapsed="false">
      <c r="H61" s="1" t="s">
        <v>151</v>
      </c>
      <c r="I61" s="1" t="n">
        <f aca="false">SUM(DEVSQ(inter_system_stats!$B$34:$B$59),DEVSQ(inter_system_stats!$C$34:$C$59),DEVSQ(inter_system_stats!$D$34:$D$59),DEVSQ(inter_system_stats!$E$34:$E$59),DEVSQ(inter_system_stats!$F$34:$F$59))</f>
        <v>0.281722154253157</v>
      </c>
      <c r="J61" s="1" t="n">
        <f aca="false">SUM(inter_system_stats!$I$53:$I$57)-COUNT(inter_system_stats!$I$53:$I$57)</f>
        <v>120</v>
      </c>
      <c r="K61" s="1" t="n">
        <f aca="false">inter_system_stats!$I$61 / inter_system_stats!$J$61</f>
        <v>0.00234768461877631</v>
      </c>
    </row>
    <row r="62" customFormat="false" ht="12.8" hidden="false" customHeight="false" outlineLevel="0" collapsed="false">
      <c r="H62" s="1" t="s">
        <v>152</v>
      </c>
      <c r="I62" s="1" t="n">
        <f aca="false">DEVSQ(inter_system_stats!$B$34:$B$59,inter_system_stats!$C$34:$C$59,inter_system_stats!$D$34:$D$59,inter_system_stats!$E$34:$E$59,inter_system_stats!$F$34:$F$59)</f>
        <v>0.474988505609821</v>
      </c>
      <c r="J62" s="1" t="n">
        <f aca="false">SUM(inter_system_stats!$I$53:$I$57) - 1</f>
        <v>124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4"/>
  <sheetViews>
    <sheetView showFormulas="false" showGridLines="true" showRowColHeaders="true" showZeros="true" rightToLeft="false" tabSelected="false" showOutlineSymbols="true" defaultGridColor="true" view="normal" topLeftCell="A16" colorId="64" zoomScale="125" zoomScaleNormal="125" zoomScalePageLayoutView="100" workbookViewId="0">
      <selection pane="topLeft" activeCell="C38" activeCellId="0" sqref="C38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22.55"/>
    <col collapsed="false" customWidth="true" hidden="false" outlineLevel="0" max="4" min="3" style="1" width="21.87"/>
    <col collapsed="false" customWidth="true" hidden="false" outlineLevel="0" max="5" min="5" style="1" width="22.55"/>
  </cols>
  <sheetData>
    <row r="2" customFormat="false" ht="12.8" hidden="false" customHeight="false" outlineLevel="0" collapsed="false">
      <c r="B2" s="5" t="s">
        <v>129</v>
      </c>
      <c r="C2" s="1" t="s">
        <v>130</v>
      </c>
      <c r="D2" s="1" t="s">
        <v>131</v>
      </c>
      <c r="E2" s="5" t="s">
        <v>112</v>
      </c>
    </row>
    <row r="3" customFormat="false" ht="12.8" hidden="false" customHeight="false" outlineLevel="0" collapsed="false">
      <c r="B3" s="1" t="n">
        <v>0.775953672739373</v>
      </c>
      <c r="C3" s="1" t="n">
        <v>0.748858285036974</v>
      </c>
      <c r="D3" s="1" t="n">
        <v>0.760680693780003</v>
      </c>
      <c r="E3" s="1" t="n">
        <v>0.754089393330518</v>
      </c>
    </row>
    <row r="4" customFormat="false" ht="12.8" hidden="false" customHeight="false" outlineLevel="0" collapsed="false">
      <c r="B4" s="1" t="n">
        <v>0.742381155272784</v>
      </c>
      <c r="C4" s="1" t="n">
        <v>0.759506316896281</v>
      </c>
      <c r="D4" s="1" t="n">
        <v>0.715154495370581</v>
      </c>
      <c r="E4" s="1" t="n">
        <v>0.776695707387166</v>
      </c>
    </row>
    <row r="5" customFormat="false" ht="12.8" hidden="false" customHeight="false" outlineLevel="0" collapsed="false">
      <c r="B5" s="1" t="n">
        <v>0.71959451369822</v>
      </c>
      <c r="C5" s="1" t="n">
        <v>0.715413876782416</v>
      </c>
      <c r="D5" s="1" t="n">
        <v>0.727347354660159</v>
      </c>
      <c r="E5" s="1" t="n">
        <v>0.739989879595545</v>
      </c>
    </row>
    <row r="6" customFormat="false" ht="12.8" hidden="false" customHeight="false" outlineLevel="0" collapsed="false">
      <c r="B6" s="1" t="n">
        <v>0.744685778636444</v>
      </c>
      <c r="C6" s="1" t="n">
        <v>0.758348390419844</v>
      </c>
      <c r="D6" s="1" t="n">
        <v>0.733055203580666</v>
      </c>
      <c r="E6" s="1" t="n">
        <v>0.742245918124278</v>
      </c>
    </row>
    <row r="7" customFormat="false" ht="12.8" hidden="false" customHeight="false" outlineLevel="0" collapsed="false">
      <c r="B7" s="1" t="n">
        <v>0.810472087374711</v>
      </c>
      <c r="C7" s="1" t="n">
        <v>0.810565062673861</v>
      </c>
      <c r="D7" s="1" t="n">
        <v>0.800065574864508</v>
      </c>
      <c r="E7" s="1" t="n">
        <v>0.807638556331572</v>
      </c>
    </row>
    <row r="8" customFormat="false" ht="12.8" hidden="false" customHeight="false" outlineLevel="0" collapsed="false">
      <c r="B8" s="1" t="n">
        <v>0.726316259765409</v>
      </c>
      <c r="C8" s="1" t="n">
        <v>0.742289112695254</v>
      </c>
      <c r="D8" s="1" t="n">
        <v>0.709071195454084</v>
      </c>
      <c r="E8" s="1" t="n">
        <v>0.740162804506617</v>
      </c>
    </row>
    <row r="9" customFormat="false" ht="12.8" hidden="false" customHeight="false" outlineLevel="0" collapsed="false">
      <c r="B9" s="1" t="n">
        <v>0.793215439015998</v>
      </c>
      <c r="C9" s="1" t="n">
        <v>0.764250642039974</v>
      </c>
      <c r="D9" s="1" t="n">
        <v>0.774946902661732</v>
      </c>
      <c r="E9" s="1" t="n">
        <v>0.781037553501202</v>
      </c>
    </row>
    <row r="10" customFormat="false" ht="12.8" hidden="false" customHeight="false" outlineLevel="0" collapsed="false">
      <c r="B10" s="1" t="n">
        <v>0.704599278382629</v>
      </c>
      <c r="C10" s="1" t="n">
        <v>0.698577720903755</v>
      </c>
      <c r="D10" s="1" t="n">
        <v>0.751587734037397</v>
      </c>
      <c r="E10" s="1" t="n">
        <v>0.696417484151069</v>
      </c>
    </row>
    <row r="11" customFormat="false" ht="12.8" hidden="false" customHeight="false" outlineLevel="0" collapsed="false">
      <c r="B11" s="1" t="n">
        <v>0.753231887262209</v>
      </c>
      <c r="C11" s="1" t="n">
        <v>0.766115238968207</v>
      </c>
      <c r="D11" s="1" t="n">
        <v>0.715465626904882</v>
      </c>
      <c r="E11" s="1" t="n">
        <v>0.742251700755494</v>
      </c>
    </row>
    <row r="12" customFormat="false" ht="12.8" hidden="false" customHeight="false" outlineLevel="0" collapsed="false">
      <c r="B12" s="1" t="n">
        <v>0.786918063323164</v>
      </c>
      <c r="C12" s="1" t="n">
        <v>0.777924199556208</v>
      </c>
      <c r="D12" s="1" t="n">
        <v>0.793443263941369</v>
      </c>
      <c r="E12" s="1" t="n">
        <v>0.824221753429923</v>
      </c>
    </row>
    <row r="13" customFormat="false" ht="12.8" hidden="false" customHeight="false" outlineLevel="0" collapsed="false">
      <c r="B13" s="1" t="n">
        <v>0.757737648671806</v>
      </c>
      <c r="C13" s="1" t="n">
        <v>0.73133786448165</v>
      </c>
      <c r="D13" s="1" t="n">
        <v>0.730863596114826</v>
      </c>
      <c r="E13" s="1" t="n">
        <v>0.706116491876793</v>
      </c>
    </row>
    <row r="14" customFormat="false" ht="12.8" hidden="false" customHeight="false" outlineLevel="0" collapsed="false">
      <c r="B14" s="1" t="n">
        <v>0.790488784330214</v>
      </c>
      <c r="C14" s="1" t="n">
        <v>0.761644594705368</v>
      </c>
      <c r="D14" s="1" t="n">
        <v>0.78662472765132</v>
      </c>
      <c r="E14" s="1" t="n">
        <v>0.779947067179795</v>
      </c>
    </row>
    <row r="15" customFormat="false" ht="12.8" hidden="false" customHeight="false" outlineLevel="0" collapsed="false">
      <c r="B15" s="1" t="n">
        <v>0.692187737762497</v>
      </c>
      <c r="C15" s="1" t="n">
        <v>0.719429365683328</v>
      </c>
      <c r="D15" s="1" t="n">
        <v>0.686816342783247</v>
      </c>
      <c r="E15" s="1" t="n">
        <v>0.707370269465281</v>
      </c>
    </row>
    <row r="16" customFormat="false" ht="12.8" hidden="false" customHeight="false" outlineLevel="0" collapsed="false">
      <c r="B16" s="1" t="n">
        <v>0.689379869171306</v>
      </c>
      <c r="C16" s="1" t="n">
        <v>0.678645514763614</v>
      </c>
      <c r="D16" s="1" t="n">
        <v>0.718410360602762</v>
      </c>
      <c r="E16" s="1" t="n">
        <v>0.682205004410646</v>
      </c>
    </row>
    <row r="17" customFormat="false" ht="12.8" hidden="false" customHeight="false" outlineLevel="0" collapsed="false">
      <c r="B17" s="1" t="n">
        <v>0.769786735181106</v>
      </c>
      <c r="C17" s="1" t="n">
        <v>0.704961007003307</v>
      </c>
      <c r="D17" s="1" t="n">
        <v>0.744433669330252</v>
      </c>
      <c r="E17" s="1" t="n">
        <v>0.666685272176504</v>
      </c>
    </row>
    <row r="18" customFormat="false" ht="12.8" hidden="false" customHeight="false" outlineLevel="0" collapsed="false">
      <c r="B18" s="1" t="n">
        <v>0.784212018718249</v>
      </c>
      <c r="C18" s="1" t="n">
        <v>0.701208294690294</v>
      </c>
      <c r="D18" s="1" t="n">
        <v>0.717764656873297</v>
      </c>
      <c r="E18" s="1" t="n">
        <v>0.748853205345462</v>
      </c>
    </row>
    <row r="19" customFormat="false" ht="12.8" hidden="false" customHeight="false" outlineLevel="0" collapsed="false">
      <c r="B19" s="1" t="n">
        <v>0.741725308103978</v>
      </c>
      <c r="C19" s="1" t="n">
        <v>0.790013915764348</v>
      </c>
      <c r="D19" s="1" t="n">
        <v>0.737447565963683</v>
      </c>
      <c r="E19" s="1" t="n">
        <v>0.742965313065697</v>
      </c>
    </row>
    <row r="20" customFormat="false" ht="12.8" hidden="false" customHeight="false" outlineLevel="0" collapsed="false">
      <c r="B20" s="1" t="n">
        <v>0.71842174917648</v>
      </c>
      <c r="C20" s="1" t="n">
        <v>0.717785998437983</v>
      </c>
      <c r="D20" s="1" t="n">
        <v>0.700591538533063</v>
      </c>
      <c r="E20" s="1" t="n">
        <v>0.728588697645091</v>
      </c>
    </row>
    <row r="21" customFormat="false" ht="12.8" hidden="false" customHeight="false" outlineLevel="0" collapsed="false">
      <c r="B21" s="1" t="n">
        <v>0.676598731860284</v>
      </c>
      <c r="C21" s="1" t="n">
        <v>0.704767716501297</v>
      </c>
      <c r="D21" s="1" t="n">
        <v>0.678930245127542</v>
      </c>
      <c r="E21" s="1" t="n">
        <v>0.741250956289799</v>
      </c>
    </row>
    <row r="22" customFormat="false" ht="12.8" hidden="false" customHeight="false" outlineLevel="0" collapsed="false">
      <c r="B22" s="1" t="n">
        <v>0.629078814128947</v>
      </c>
      <c r="C22" s="1" t="n">
        <v>0.731804893130237</v>
      </c>
      <c r="D22" s="1" t="n">
        <v>0.696243121106112</v>
      </c>
      <c r="E22" s="1" t="n">
        <v>0.722251425300955</v>
      </c>
    </row>
    <row r="23" customFormat="false" ht="12.8" hidden="false" customHeight="false" outlineLevel="0" collapsed="false">
      <c r="B23" s="1" t="n">
        <v>0.716426666679795</v>
      </c>
      <c r="C23" s="1" t="n">
        <v>0.766896688339251</v>
      </c>
      <c r="D23" s="1" t="n">
        <v>0.751495467345464</v>
      </c>
      <c r="E23" s="1" t="n">
        <v>0.803210697319553</v>
      </c>
    </row>
    <row r="24" customFormat="false" ht="12.8" hidden="false" customHeight="false" outlineLevel="0" collapsed="false">
      <c r="B24" s="1" t="n">
        <v>0.671030917852718</v>
      </c>
      <c r="C24" s="1" t="n">
        <v>0.628025866777813</v>
      </c>
      <c r="D24" s="1" t="n">
        <v>0.66012396246485</v>
      </c>
      <c r="E24" s="1" t="n">
        <v>0.673214279680313</v>
      </c>
    </row>
    <row r="25" customFormat="false" ht="12.8" hidden="false" customHeight="false" outlineLevel="0" collapsed="false">
      <c r="B25" s="1" t="n">
        <v>0.727473528774715</v>
      </c>
      <c r="C25" s="1" t="n">
        <v>0.720769368294172</v>
      </c>
      <c r="D25" s="1" t="n">
        <v>0.738555955351407</v>
      </c>
      <c r="E25" s="1" t="n">
        <v>0.723840879104647</v>
      </c>
    </row>
    <row r="26" customFormat="false" ht="12.8" hidden="false" customHeight="false" outlineLevel="0" collapsed="false">
      <c r="B26" s="1" t="n">
        <v>0.721776373024424</v>
      </c>
      <c r="C26" s="1" t="n">
        <v>0.722411929605002</v>
      </c>
      <c r="D26" s="1" t="n">
        <v>0.74726844232579</v>
      </c>
      <c r="E26" s="1" t="n">
        <v>0.727564777752726</v>
      </c>
    </row>
    <row r="27" customFormat="false" ht="12.8" hidden="false" customHeight="false" outlineLevel="0" collapsed="false">
      <c r="B27" s="1" t="n">
        <v>0.665583111085999</v>
      </c>
      <c r="C27" s="1" t="n">
        <v>0.687879271648785</v>
      </c>
      <c r="D27" s="1" t="n">
        <v>0.70142641264434</v>
      </c>
      <c r="E27" s="1" t="n">
        <v>0.66737838952569</v>
      </c>
    </row>
    <row r="29" customFormat="false" ht="12.8" hidden="false" customHeight="false" outlineLevel="0" collapsed="false">
      <c r="A29" s="1" t="s">
        <v>156</v>
      </c>
      <c r="G29" s="1" t="s">
        <v>157</v>
      </c>
    </row>
    <row r="30" customFormat="false" ht="12.8" hidden="false" customHeight="false" outlineLevel="0" collapsed="false">
      <c r="B30" s="5" t="s">
        <v>129</v>
      </c>
      <c r="C30" s="1" t="s">
        <v>130</v>
      </c>
      <c r="D30" s="1" t="s">
        <v>131</v>
      </c>
      <c r="E30" s="5" t="s">
        <v>112</v>
      </c>
      <c r="G30" s="5" t="s">
        <v>129</v>
      </c>
      <c r="H30" s="1" t="s">
        <v>130</v>
      </c>
      <c r="I30" s="1" t="s">
        <v>131</v>
      </c>
      <c r="J30" s="5" t="s">
        <v>112</v>
      </c>
    </row>
    <row r="31" customFormat="false" ht="12.8" hidden="false" customHeight="false" outlineLevel="0" collapsed="false">
      <c r="B31" s="1" t="n">
        <f aca="false">B4-B3</f>
        <v>-0.033572517466589</v>
      </c>
      <c r="C31" s="1" t="n">
        <f aca="false">C4-C3</f>
        <v>0.010648031859307</v>
      </c>
      <c r="D31" s="1" t="n">
        <f aca="false">D4-D3</f>
        <v>-0.0455261984094221</v>
      </c>
      <c r="E31" s="1" t="n">
        <f aca="false">E4-E3</f>
        <v>0.0226063140566479</v>
      </c>
      <c r="G31" s="1" t="n">
        <f aca="false">_xlfn.STDEV.S(B31:B54)</f>
        <v>0.0550481537481003</v>
      </c>
      <c r="H31" s="1" t="n">
        <f aca="false">_xlfn.STDEV.S(C31:C54)</f>
        <v>0.0560232370233672</v>
      </c>
      <c r="I31" s="1" t="n">
        <f aca="false">_xlfn.STDEV.S(D31:D54)</f>
        <v>0.054679968068455</v>
      </c>
      <c r="J31" s="1" t="n">
        <f aca="false">_xlfn.STDEV.S(E31:E54)</f>
        <v>0.0628105824529672</v>
      </c>
    </row>
    <row r="32" customFormat="false" ht="12.8" hidden="false" customHeight="false" outlineLevel="0" collapsed="false">
      <c r="B32" s="1" t="n">
        <f aca="false">B5-B4</f>
        <v>-0.022786641574564</v>
      </c>
      <c r="C32" s="1" t="n">
        <f aca="false">C5-C4</f>
        <v>-0.044092440113865</v>
      </c>
      <c r="D32" s="1" t="n">
        <f aca="false">D5-D4</f>
        <v>0.012192859289578</v>
      </c>
      <c r="E32" s="1" t="n">
        <f aca="false">E5-E4</f>
        <v>-0.036705827791621</v>
      </c>
    </row>
    <row r="33" customFormat="false" ht="12.8" hidden="false" customHeight="false" outlineLevel="0" collapsed="false">
      <c r="B33" s="1" t="n">
        <f aca="false">B6-B5</f>
        <v>0.025091264938224</v>
      </c>
      <c r="C33" s="1" t="n">
        <f aca="false">C6-C5</f>
        <v>0.0429345136374281</v>
      </c>
      <c r="D33" s="1" t="n">
        <f aca="false">D6-D5</f>
        <v>0.00570784892050702</v>
      </c>
      <c r="E33" s="1" t="n">
        <f aca="false">E6-E5</f>
        <v>0.00225603852873302</v>
      </c>
    </row>
    <row r="34" customFormat="false" ht="12.8" hidden="false" customHeight="false" outlineLevel="0" collapsed="false">
      <c r="B34" s="1" t="n">
        <f aca="false">B7-B6</f>
        <v>0.065786308738267</v>
      </c>
      <c r="C34" s="1" t="n">
        <f aca="false">C7-C6</f>
        <v>0.0522166722540169</v>
      </c>
      <c r="D34" s="1" t="n">
        <f aca="false">D7-D6</f>
        <v>0.067010371283842</v>
      </c>
      <c r="E34" s="1" t="n">
        <f aca="false">E7-E6</f>
        <v>0.065392638207294</v>
      </c>
    </row>
    <row r="35" customFormat="false" ht="12.8" hidden="false" customHeight="false" outlineLevel="0" collapsed="false">
      <c r="B35" s="1" t="n">
        <f aca="false">B8-B7</f>
        <v>-0.084155827609302</v>
      </c>
      <c r="C35" s="1" t="n">
        <f aca="false">C8-C7</f>
        <v>-0.068275949978607</v>
      </c>
      <c r="D35" s="1" t="n">
        <f aca="false">D8-D7</f>
        <v>-0.090994379410424</v>
      </c>
      <c r="E35" s="1" t="n">
        <f aca="false">E8-E7</f>
        <v>-0.067475751824955</v>
      </c>
    </row>
    <row r="36" customFormat="false" ht="12.8" hidden="false" customHeight="false" outlineLevel="0" collapsed="false">
      <c r="B36" s="1" t="n">
        <f aca="false">B9-B8</f>
        <v>0.066899179250589</v>
      </c>
      <c r="C36" s="1" t="n">
        <f aca="false">C9-C8</f>
        <v>0.02196152934472</v>
      </c>
      <c r="D36" s="1" t="n">
        <f aca="false">D9-D8</f>
        <v>0.065875707207648</v>
      </c>
      <c r="E36" s="1" t="n">
        <f aca="false">E9-E8</f>
        <v>0.040874748994585</v>
      </c>
    </row>
    <row r="37" customFormat="false" ht="12.8" hidden="false" customHeight="false" outlineLevel="0" collapsed="false">
      <c r="B37" s="1" t="n">
        <f aca="false">B10-B9</f>
        <v>-0.088616160633369</v>
      </c>
      <c r="C37" s="1" t="n">
        <f aca="false">C10-C9</f>
        <v>-0.0656729211362189</v>
      </c>
      <c r="D37" s="1" t="n">
        <f aca="false">D10-D9</f>
        <v>-0.0233591686243351</v>
      </c>
      <c r="E37" s="1" t="n">
        <f aca="false">E10-E9</f>
        <v>-0.084620069350133</v>
      </c>
    </row>
    <row r="38" customFormat="false" ht="12.8" hidden="false" customHeight="false" outlineLevel="0" collapsed="false">
      <c r="B38" s="1" t="n">
        <f aca="false">B11-B10</f>
        <v>0.04863260887958</v>
      </c>
      <c r="C38" s="1" t="n">
        <f aca="false">C11-C10</f>
        <v>0.067537518064452</v>
      </c>
      <c r="D38" s="1" t="n">
        <f aca="false">D11-D10</f>
        <v>-0.036122107132515</v>
      </c>
      <c r="E38" s="1" t="n">
        <f aca="false">E11-E10</f>
        <v>0.045834216604425</v>
      </c>
    </row>
    <row r="39" customFormat="false" ht="12.8" hidden="false" customHeight="false" outlineLevel="0" collapsed="false">
      <c r="B39" s="1" t="n">
        <f aca="false">B12-B11</f>
        <v>0.033686176060955</v>
      </c>
      <c r="C39" s="1" t="n">
        <f aca="false">C12-C11</f>
        <v>0.011808960588001</v>
      </c>
      <c r="D39" s="1" t="n">
        <f aca="false">D12-D11</f>
        <v>0.077977637036487</v>
      </c>
      <c r="E39" s="1" t="n">
        <f aca="false">E12-E11</f>
        <v>0.081970052674429</v>
      </c>
    </row>
    <row r="40" customFormat="false" ht="12.8" hidden="false" customHeight="false" outlineLevel="0" collapsed="false">
      <c r="B40" s="1" t="n">
        <f aca="false">B13-B12</f>
        <v>-0.029180414651358</v>
      </c>
      <c r="C40" s="1" t="n">
        <f aca="false">C13-C12</f>
        <v>-0.046586335074558</v>
      </c>
      <c r="D40" s="1" t="n">
        <f aca="false">D13-D12</f>
        <v>-0.062579667826543</v>
      </c>
      <c r="E40" s="1" t="n">
        <f aca="false">E13-E12</f>
        <v>-0.11810526155313</v>
      </c>
    </row>
    <row r="41" customFormat="false" ht="12.8" hidden="false" customHeight="false" outlineLevel="0" collapsed="false">
      <c r="B41" s="1" t="n">
        <f aca="false">B14-B13</f>
        <v>0.0327511356584079</v>
      </c>
      <c r="C41" s="1" t="n">
        <f aca="false">C14-C13</f>
        <v>0.0303067302237181</v>
      </c>
      <c r="D41" s="1" t="n">
        <f aca="false">D14-D13</f>
        <v>0.055761131536494</v>
      </c>
      <c r="E41" s="1" t="n">
        <f aca="false">E14-E13</f>
        <v>0.073830575303002</v>
      </c>
    </row>
    <row r="42" customFormat="false" ht="12.8" hidden="false" customHeight="false" outlineLevel="0" collapsed="false">
      <c r="B42" s="1" t="n">
        <f aca="false">B15-B14</f>
        <v>-0.098301046567717</v>
      </c>
      <c r="C42" s="1" t="n">
        <f aca="false">C15-C14</f>
        <v>-0.04221522902204</v>
      </c>
      <c r="D42" s="1" t="n">
        <f aca="false">D15-D14</f>
        <v>-0.099808384868073</v>
      </c>
      <c r="E42" s="1" t="n">
        <f aca="false">E15-E14</f>
        <v>-0.072576797714514</v>
      </c>
    </row>
    <row r="43" customFormat="false" ht="12.8" hidden="false" customHeight="false" outlineLevel="0" collapsed="false">
      <c r="B43" s="1" t="n">
        <f aca="false">B16-B15</f>
        <v>-0.00280786859119098</v>
      </c>
      <c r="C43" s="1" t="n">
        <f aca="false">C16-C15</f>
        <v>-0.040783850919714</v>
      </c>
      <c r="D43" s="1" t="n">
        <f aca="false">D16-D15</f>
        <v>0.031594017819515</v>
      </c>
      <c r="E43" s="1" t="n">
        <f aca="false">E16-E15</f>
        <v>-0.025165265054635</v>
      </c>
    </row>
    <row r="44" customFormat="false" ht="12.8" hidden="false" customHeight="false" outlineLevel="0" collapsed="false">
      <c r="B44" s="1" t="n">
        <f aca="false">B17-B16</f>
        <v>0.0804068660098</v>
      </c>
      <c r="C44" s="1" t="n">
        <f aca="false">C17-C16</f>
        <v>0.026315492239693</v>
      </c>
      <c r="D44" s="1" t="n">
        <f aca="false">D17-D16</f>
        <v>0.02602330872749</v>
      </c>
      <c r="E44" s="1" t="n">
        <f aca="false">E17-E16</f>
        <v>-0.015519732234142</v>
      </c>
    </row>
    <row r="45" customFormat="false" ht="12.8" hidden="false" customHeight="false" outlineLevel="0" collapsed="false">
      <c r="B45" s="1" t="n">
        <f aca="false">B18-B17</f>
        <v>0.014425283537143</v>
      </c>
      <c r="C45" s="1" t="n">
        <f aca="false">C18-C17</f>
        <v>-0.003752712313013</v>
      </c>
      <c r="D45" s="1" t="n">
        <f aca="false">D18-D17</f>
        <v>-0.026669012456955</v>
      </c>
      <c r="E45" s="1" t="n">
        <f aca="false">E18-E17</f>
        <v>0.082167933168958</v>
      </c>
    </row>
    <row r="46" customFormat="false" ht="12.8" hidden="false" customHeight="false" outlineLevel="0" collapsed="false">
      <c r="B46" s="1" t="n">
        <f aca="false">B19-B18</f>
        <v>-0.042486710614271</v>
      </c>
      <c r="C46" s="1" t="n">
        <f aca="false">C19-C18</f>
        <v>0.088805621074054</v>
      </c>
      <c r="D46" s="1" t="n">
        <f aca="false">D19-D18</f>
        <v>0.0196829090903859</v>
      </c>
      <c r="E46" s="1" t="n">
        <f aca="false">E19-E18</f>
        <v>-0.00588789227976494</v>
      </c>
    </row>
    <row r="47" customFormat="false" ht="12.8" hidden="false" customHeight="false" outlineLevel="0" collapsed="false">
      <c r="B47" s="1" t="n">
        <f aca="false">B20-B19</f>
        <v>-0.0233035589274979</v>
      </c>
      <c r="C47" s="1" t="n">
        <f aca="false">C20-C19</f>
        <v>-0.072227917326365</v>
      </c>
      <c r="D47" s="1" t="n">
        <f aca="false">D20-D19</f>
        <v>-0.03685602743062</v>
      </c>
      <c r="E47" s="1" t="n">
        <f aca="false">E20-E19</f>
        <v>-0.014376615420606</v>
      </c>
    </row>
    <row r="48" customFormat="false" ht="12.8" hidden="false" customHeight="false" outlineLevel="0" collapsed="false">
      <c r="B48" s="1" t="n">
        <f aca="false">B21-B20</f>
        <v>-0.0418230173161961</v>
      </c>
      <c r="C48" s="1" t="n">
        <f aca="false">C21-C20</f>
        <v>-0.013018281936686</v>
      </c>
      <c r="D48" s="1" t="n">
        <f aca="false">D21-D20</f>
        <v>-0.021661293405521</v>
      </c>
      <c r="E48" s="1" t="n">
        <f aca="false">E21-E20</f>
        <v>0.0126622586447079</v>
      </c>
    </row>
    <row r="49" customFormat="false" ht="12.8" hidden="false" customHeight="false" outlineLevel="0" collapsed="false">
      <c r="B49" s="1" t="n">
        <f aca="false">B22-B21</f>
        <v>-0.047519917731337</v>
      </c>
      <c r="C49" s="1" t="n">
        <f aca="false">C22-C21</f>
        <v>0.02703717662894</v>
      </c>
      <c r="D49" s="1" t="n">
        <f aca="false">D22-D21</f>
        <v>0.01731287597857</v>
      </c>
      <c r="E49" s="1" t="n">
        <f aca="false">E22-E21</f>
        <v>-0.018999530988844</v>
      </c>
    </row>
    <row r="50" customFormat="false" ht="12.8" hidden="false" customHeight="false" outlineLevel="0" collapsed="false">
      <c r="B50" s="1" t="n">
        <f aca="false">B23-B22</f>
        <v>0.0873478525508481</v>
      </c>
      <c r="C50" s="1" t="n">
        <f aca="false">C23-C22</f>
        <v>0.035091795209014</v>
      </c>
      <c r="D50" s="1" t="n">
        <f aca="false">D23-D22</f>
        <v>0.055252346239352</v>
      </c>
      <c r="E50" s="1" t="n">
        <f aca="false">E23-E22</f>
        <v>0.080959272018598</v>
      </c>
    </row>
    <row r="51" customFormat="false" ht="12.8" hidden="false" customHeight="false" outlineLevel="0" collapsed="false">
      <c r="B51" s="1" t="n">
        <f aca="false">B24-B23</f>
        <v>-0.0453957488270771</v>
      </c>
      <c r="C51" s="1" t="n">
        <f aca="false">C24-C23</f>
        <v>-0.138870821561438</v>
      </c>
      <c r="D51" s="1" t="n">
        <f aca="false">D24-D23</f>
        <v>-0.0913715048806141</v>
      </c>
      <c r="E51" s="1" t="n">
        <f aca="false">E24-E23</f>
        <v>-0.12999641763924</v>
      </c>
    </row>
    <row r="52" customFormat="false" ht="12.8" hidden="false" customHeight="false" outlineLevel="0" collapsed="false">
      <c r="B52" s="1" t="n">
        <f aca="false">B25-B24</f>
        <v>0.0564426109219971</v>
      </c>
      <c r="C52" s="1" t="n">
        <f aca="false">C25-C24</f>
        <v>0.092743501516359</v>
      </c>
      <c r="D52" s="1" t="n">
        <f aca="false">D25-D24</f>
        <v>0.078431992886557</v>
      </c>
      <c r="E52" s="1" t="n">
        <f aca="false">E25-E24</f>
        <v>0.050626599424334</v>
      </c>
    </row>
    <row r="53" customFormat="false" ht="12.8" hidden="false" customHeight="false" outlineLevel="0" collapsed="false">
      <c r="B53" s="1" t="n">
        <f aca="false">B26-B25</f>
        <v>-0.00569715575029106</v>
      </c>
      <c r="C53" s="1" t="n">
        <f aca="false">C26-C25</f>
        <v>0.00164256131082996</v>
      </c>
      <c r="D53" s="1" t="n">
        <f aca="false">D26-D25</f>
        <v>0.00871248697438309</v>
      </c>
      <c r="E53" s="1" t="n">
        <f aca="false">E26-E25</f>
        <v>0.00372389864807898</v>
      </c>
    </row>
    <row r="54" customFormat="false" ht="12.8" hidden="false" customHeight="false" outlineLevel="0" collapsed="false">
      <c r="B54" s="1" t="n">
        <f aca="false">B27-B26</f>
        <v>-0.056193261938425</v>
      </c>
      <c r="C54" s="1" t="n">
        <f aca="false">C27-C26</f>
        <v>-0.034532657956217</v>
      </c>
      <c r="D54" s="1" t="n">
        <f aca="false">D27-D26</f>
        <v>-0.04584202968145</v>
      </c>
      <c r="E54" s="1" t="n">
        <f aca="false">E27-E26</f>
        <v>-0.060186388227036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2026-02-11T16:41:08Z</dcterms:created>
  <dc:creator>openpyxl</dc:creator>
  <dc:description/>
  <dc:language>en-US</dc:language>
  <cp:lastModifiedBy/>
  <dcterms:modified xsi:type="dcterms:W3CDTF">2026-04-29T16:37:51Z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
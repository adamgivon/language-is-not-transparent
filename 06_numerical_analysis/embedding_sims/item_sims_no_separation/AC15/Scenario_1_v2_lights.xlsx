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cen1_ac15" sheetId="1" state="visible" r:id="rId3"/>
    <sheet name="notes" sheetId="2" state="visible" r:id="rId4"/>
    <sheet name="actdel_prompt_response" sheetId="3" state="visible" r:id="rId5"/>
    <sheet name="inter-system stats" sheetId="4" state="visible" r:id="rId6"/>
    <sheet name="std delta(sim)-delta(sim-1)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<sst xmlns="http://schemas.openxmlformats.org/spreadsheetml/2006/main" count="1021" uniqueCount="152">
  <si>
    <t xml:space="preserve">turnId</t>
  </si>
  <si>
    <t xml:space="preserve">user_id</t>
  </si>
  <si>
    <t xml:space="preserve">assistant_id</t>
  </si>
  <si>
    <t xml:space="preserve">projectName</t>
  </si>
  <si>
    <t xml:space="preserve">sessionName</t>
  </si>
  <si>
    <t xml:space="preserve">seq</t>
  </si>
  <si>
    <t xml:space="preserve">anchorName</t>
  </si>
  <si>
    <t xml:space="preserve">weight</t>
  </si>
  <si>
    <t xml:space="preserve">promptSim</t>
  </si>
  <si>
    <t xml:space="preserve">responseSim</t>
  </si>
  <si>
    <t xml:space="preserve">activation delta</t>
  </si>
  <si>
    <t xml:space="preserve">prompt_to_response</t>
  </si>
  <si>
    <t xml:space="preserve">Average activation/turn</t>
  </si>
  <si>
    <t xml:space="preserve">average conversation activation</t>
  </si>
  <si>
    <t xml:space="preserve">count</t>
  </si>
  <si>
    <t xml:space="preserve">correlation weights / activation delta</t>
  </si>
  <si>
    <t xml:space="preserve">p</t>
  </si>
  <si>
    <t xml:space="preserve">65bad581-5200-42d2-86f4-742e3d34452d</t>
  </si>
  <si>
    <t xml:space="preserve">cmj8h17rv0025zcr34r4o7q6h</t>
  </si>
  <si>
    <t xml:space="preserve">cmj8h2bsc002mzcr39vcv85cs</t>
  </si>
  <si>
    <t xml:space="preserve">test_ac15</t>
  </si>
  <si>
    <t xml:space="preserve">Scenario_1_v2_lights</t>
  </si>
  <si>
    <t xml:space="preserve">temporal_dynamics</t>
  </si>
  <si>
    <t xml:space="preserve">practicality_and_feasibility</t>
  </si>
  <si>
    <t xml:space="preserve">mathematics_computer_science_engineering</t>
  </si>
  <si>
    <t xml:space="preserve">sovereignty</t>
  </si>
  <si>
    <t xml:space="preserve">affective_interface</t>
  </si>
  <si>
    <t xml:space="preserve">truth_and_fact</t>
  </si>
  <si>
    <t xml:space="preserve">55e9b8cd-c347-48ea-9ccd-4993ba3051b2</t>
  </si>
  <si>
    <t xml:space="preserve">cmj8h3lsn002qzcr31179k8dp</t>
  </si>
  <si>
    <t xml:space="preserve">cmj8h4eeu0037zcr39em5jsjw</t>
  </si>
  <si>
    <t xml:space="preserve">electricity</t>
  </si>
  <si>
    <t xml:space="preserve">4bb4e535-4ab4-4e28-9f49-910520f84cb1</t>
  </si>
  <si>
    <t xml:space="preserve">cmj8h63ss003bzcr3qf6un6j2</t>
  </si>
  <si>
    <t xml:space="preserve">cmj8h6kyj003szcr3ab4p0og1</t>
  </si>
  <si>
    <t xml:space="preserve">metaphorical_scaffolding</t>
  </si>
  <si>
    <t xml:space="preserve">e5f31daf-8d1a-43f4-a640-d42a5ac4224c</t>
  </si>
  <si>
    <t xml:space="preserve">cmj8h7lrs003wzcr3k7vgx4j8</t>
  </si>
  <si>
    <t xml:space="preserve">cmj8h88bl004dzcr3ynwjng2i</t>
  </si>
  <si>
    <t xml:space="preserve">imagination_and_possibility</t>
  </si>
  <si>
    <t xml:space="preserve">e8159a62-8cd7-4176-a2c4-87698c1a592d</t>
  </si>
  <si>
    <t xml:space="preserve">cmj8h98aa004hzcr3xdn4mwvv</t>
  </si>
  <si>
    <t xml:space="preserve">cmj8h9wqh004yzcr3r5q75k6e</t>
  </si>
  <si>
    <t xml:space="preserve">0193987a-9522-4c92-a38b-8be38f11be07</t>
  </si>
  <si>
    <t xml:space="preserve">cmj8hazkj0052zcr3jml7f11a</t>
  </si>
  <si>
    <t xml:space="preserve">cmj8hc3c6005jzcr3vla9m4sb</t>
  </si>
  <si>
    <t xml:space="preserve">c7acf8b6-981f-4875-81d3-88079abc3e0b</t>
  </si>
  <si>
    <t xml:space="preserve">cmj8heq8u005nzcr3n2y7g0ly</t>
  </si>
  <si>
    <t xml:space="preserve">cmj8hfv630064zcr3x020wbm0</t>
  </si>
  <si>
    <t xml:space="preserve">06250489-a68c-4a78-96fe-a2c8cf34997b</t>
  </si>
  <si>
    <t xml:space="preserve">cmj8hhirb0068zcr3k6mybyl5</t>
  </si>
  <si>
    <t xml:space="preserve">cmj8hifwt006pzcr34hrfn0ke</t>
  </si>
  <si>
    <t xml:space="preserve">science</t>
  </si>
  <si>
    <t xml:space="preserve">f307e76e-f508-42a9-800d-f0c343cd4a88</t>
  </si>
  <si>
    <t xml:space="preserve">cmj8hj9y1006tzcr3su2t269i</t>
  </si>
  <si>
    <t xml:space="preserve">cmj8hjzfn007azcr355jaaltx</t>
  </si>
  <si>
    <t xml:space="preserve">c255cb12-1f32-4074-935d-ae8eae51d51a</t>
  </si>
  <si>
    <t xml:space="preserve">cmj8hlr00007ezcr3juehpzcx</t>
  </si>
  <si>
    <t xml:space="preserve">cmj8hmmzr007vzcr3ah7lk9q8</t>
  </si>
  <si>
    <t xml:space="preserve">29a061a6-43cc-43d6-97e6-40abf426d817</t>
  </si>
  <si>
    <t xml:space="preserve">cmj8ho8c1007zzcr3zqom49o0</t>
  </si>
  <si>
    <t xml:space="preserve">cmj8hp44b008gzcr3jwvn24ua</t>
  </si>
  <si>
    <t xml:space="preserve">4c3d7d18-2bb6-4d89-a8e9-eb19efc7e2ce</t>
  </si>
  <si>
    <t xml:space="preserve">cmj8hs91q008kzcr3up2an06b</t>
  </si>
  <si>
    <t xml:space="preserve">cmj8htdgm0091zcr3bfc6mihw</t>
  </si>
  <si>
    <t xml:space="preserve">f1e7377a-35ad-4280-bf6c-7c86b840540b</t>
  </si>
  <si>
    <t xml:space="preserve">cmj8hueee0095zcr3fc3kuwpn</t>
  </si>
  <si>
    <t xml:space="preserve">cmj8hvcwl009mzcr3iqq2h3rg</t>
  </si>
  <si>
    <t xml:space="preserve">9897d8e1-a94c-4328-a892-64ec11a1407a</t>
  </si>
  <si>
    <t xml:space="preserve">cmj8hxf01009qzcr3fq5j36ai</t>
  </si>
  <si>
    <t xml:space="preserve">cmj8hyc3900a7zcr3ecf46yzy</t>
  </si>
  <si>
    <t xml:space="preserve">ca84fc01-a55f-44e4-a7d1-876416ba24a1</t>
  </si>
  <si>
    <t xml:space="preserve">cmj8hznrj00abzcr3apzdvltx</t>
  </si>
  <si>
    <t xml:space="preserve">cmj8i0lkw00aszcr3shfj8jpp</t>
  </si>
  <si>
    <t xml:space="preserve">5ed12e06-24f7-4fc8-a326-f23f949a9e7d</t>
  </si>
  <si>
    <t xml:space="preserve">cmj8i2qc100awzcr34nxwd98z</t>
  </si>
  <si>
    <t xml:space="preserve">cmj8i3nlj00bdzcr3s45jkt01</t>
  </si>
  <si>
    <t xml:space="preserve">12df760c-3eba-46aa-9309-92a81f26aa51</t>
  </si>
  <si>
    <t xml:space="preserve">cmj8i5iov00bhzcr3f9fnau09</t>
  </si>
  <si>
    <t xml:space="preserve">cmj8i6m2l00byzcr360npwzpq</t>
  </si>
  <si>
    <t xml:space="preserve">b01e5420-4d6d-4669-8ea2-3c9c49523c67</t>
  </si>
  <si>
    <t xml:space="preserve">cmj8i7kwg00c2zcr3g6k6t2n5</t>
  </si>
  <si>
    <t xml:space="preserve">cmj8i8lhw00cjzcr3agikp5yb</t>
  </si>
  <si>
    <t xml:space="preserve">4c6152c0-287a-4129-aed4-aaba8bcd9c69</t>
  </si>
  <si>
    <t xml:space="preserve">cmj8ib7f700cnzcr3lx35u58m</t>
  </si>
  <si>
    <t xml:space="preserve">cmj8ibocg00d4zcr3l7j4y748</t>
  </si>
  <si>
    <t xml:space="preserve">0405e26d-3e04-4b6b-8dd2-785aa2e176b2</t>
  </si>
  <si>
    <t xml:space="preserve">cmj8idpwa00d8zcr3ob9xe5b8</t>
  </si>
  <si>
    <t xml:space="preserve">cmj8ie0k200dpzcr31xvq9xsn</t>
  </si>
  <si>
    <t xml:space="preserve">9697e2cf-83c0-4dee-a4cc-9c69219b44c3</t>
  </si>
  <si>
    <t xml:space="preserve">cmj8ifwzd00dtzcr373rszvgt</t>
  </si>
  <si>
    <t xml:space="preserve">cmj8ih13d00eazcr36wjes39b</t>
  </si>
  <si>
    <t xml:space="preserve">c47ef307-e645-45cb-b9c9-79cbf793908f</t>
  </si>
  <si>
    <t xml:space="preserve">cmj8iiwyi00eezcr3htfphzfu</t>
  </si>
  <si>
    <t xml:space="preserve">cmj8ij9eu00evzcr315qvkgda</t>
  </si>
  <si>
    <t xml:space="preserve">fc651a19-5e32-4bfd-95f0-846001f8dc47</t>
  </si>
  <si>
    <t xml:space="preserve">cmj8il2pq00ezzcr3she3n16h</t>
  </si>
  <si>
    <t xml:space="preserve">cmj8im8ow00fgzcr3oaw5lgz2</t>
  </si>
  <si>
    <t xml:space="preserve">d12b4194-2e2d-4ea3-b33e-e0f5789cf0eb</t>
  </si>
  <si>
    <t xml:space="preserve">cmj8invfi00fkzcr36px07ibq</t>
  </si>
  <si>
    <t xml:space="preserve">cmj8iokm700g1zcr3y96y8ck7</t>
  </si>
  <si>
    <t xml:space="preserve">31aba3c8-4419-4a73-95b0-e45566e958f6</t>
  </si>
  <si>
    <t xml:space="preserve">cmj8ism4j00g5zcr3hg0nt45o</t>
  </si>
  <si>
    <t xml:space="preserve">cmj8isxld00gmzcr3nm5mz2tw</t>
  </si>
  <si>
    <t xml:space="preserve">p calculation</t>
  </si>
  <si>
    <t xml:space="preserve">1. count</t>
  </si>
  <si>
    <t xml:space="preserve">2.  t statistic</t>
  </si>
  <si>
    <t xml:space="preserve">3. p</t>
  </si>
  <si>
    <t xml:space="preserve">turn</t>
  </si>
  <si>
    <t xml:space="preserve">Correlation</t>
  </si>
  <si>
    <t xml:space="preserve">T-statistic</t>
  </si>
  <si>
    <t xml:space="preserve">ac15</t>
  </si>
  <si>
    <t xml:space="preserve">control</t>
  </si>
  <si>
    <t xml:space="preserve">delta activation</t>
  </si>
  <si>
    <t xml:space="preserve">choose</t>
  </si>
  <si>
    <t xml:space="preserve">std. Ac15</t>
  </si>
  <si>
    <t xml:space="preserve">std. Control</t>
  </si>
  <si>
    <t xml:space="preserve">F. test</t>
  </si>
  <si>
    <t xml:space="preserve">T. Test equal variances</t>
  </si>
  <si>
    <t xml:space="preserve">T.Test unequal</t>
  </si>
  <si>
    <t xml:space="preserve">Mean difference</t>
  </si>
  <si>
    <t xml:space="preserve">x</t>
  </si>
  <si>
    <t xml:space="preserve">General</t>
  </si>
  <si>
    <t xml:space="preserve">Hybsem</t>
  </si>
  <si>
    <t xml:space="preserve">Hybrid</t>
  </si>
  <si>
    <t xml:space="preserve">ac15p</t>
  </si>
  <si>
    <t xml:space="preserve">ANOVA - Single Factor</t>
  </si>
  <si>
    <t xml:space="preserve">Alpha</t>
  </si>
  <si>
    <t xml:space="preserve">Groups</t>
  </si>
  <si>
    <t xml:space="preserve">Count</t>
  </si>
  <si>
    <t xml:space="preserve">Sum</t>
  </si>
  <si>
    <t xml:space="preserve">Mean</t>
  </si>
  <si>
    <t xml:space="preserve">Variance</t>
  </si>
  <si>
    <t xml:space="preserve">Column 1</t>
  </si>
  <si>
    <t xml:space="preserve">Column 2</t>
  </si>
  <si>
    <t xml:space="preserve">Column 3</t>
  </si>
  <si>
    <t xml:space="preserve">Column 4</t>
  </si>
  <si>
    <t xml:space="preserve">Source of Variation</t>
  </si>
  <si>
    <t xml:space="preserve">SS</t>
  </si>
  <si>
    <t xml:space="preserve">df</t>
  </si>
  <si>
    <t xml:space="preserve">MS</t>
  </si>
  <si>
    <t xml:space="preserve">F</t>
  </si>
  <si>
    <t xml:space="preserve">P-value</t>
  </si>
  <si>
    <t xml:space="preserve">F critical</t>
  </si>
  <si>
    <t xml:space="preserve">Between Groups</t>
  </si>
  <si>
    <t xml:space="preserve">Within Groups</t>
  </si>
  <si>
    <t xml:space="preserve">Total</t>
  </si>
  <si>
    <t xml:space="preserve">Graphs</t>
  </si>
  <si>
    <t xml:space="preserve">turns</t>
  </si>
  <si>
    <t xml:space="preserve">Column 5</t>
  </si>
  <si>
    <t xml:space="preserve">sim(t)-sim(t-1)</t>
  </si>
  <si>
    <t xml:space="preserve">STDEV: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</si>
</sst>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9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0"/>
      <color rgb="FF000000"/>
      <name val="Arial"/>
      <family val="2"/>
    </font>
    <font>
      <b val="true"/>
      <sz val="9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579D1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actdel_prompt_response!$A$4:$A$28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actdel_prompt_response!$B$4:$B$28</c:f>
              <c:numCache>
                <c:formatCode>General</c:formatCode>
                <c:ptCount val="25"/>
                <c:pt idx="0">
                  <c:v>0.829521350954824</c:v>
                </c:pt>
                <c:pt idx="1">
                  <c:v>0.735193711695633</c:v>
                </c:pt>
                <c:pt idx="2">
                  <c:v>0.73805452066822</c:v>
                </c:pt>
                <c:pt idx="3">
                  <c:v>0.639461451771152</c:v>
                </c:pt>
                <c:pt idx="4">
                  <c:v>0.601148402331265</c:v>
                </c:pt>
                <c:pt idx="5">
                  <c:v>0.773499226539065</c:v>
                </c:pt>
                <c:pt idx="6">
                  <c:v>0.65742523257328</c:v>
                </c:pt>
                <c:pt idx="7">
                  <c:v>0.712613137045905</c:v>
                </c:pt>
                <c:pt idx="8">
                  <c:v>0.695082856151577</c:v>
                </c:pt>
                <c:pt idx="9">
                  <c:v>0.70158644000236</c:v>
                </c:pt>
                <c:pt idx="10">
                  <c:v>0.697028043689582</c:v>
                </c:pt>
                <c:pt idx="11">
                  <c:v>0.780558840331467</c:v>
                </c:pt>
                <c:pt idx="12">
                  <c:v>0.720814394600414</c:v>
                </c:pt>
                <c:pt idx="13">
                  <c:v>0.740298991398541</c:v>
                </c:pt>
                <c:pt idx="14">
                  <c:v>0.70744158301379</c:v>
                </c:pt>
                <c:pt idx="15">
                  <c:v>0.719125866172455</c:v>
                </c:pt>
                <c:pt idx="16">
                  <c:v>0.718889384668267</c:v>
                </c:pt>
                <c:pt idx="17">
                  <c:v>0.735022492301164</c:v>
                </c:pt>
                <c:pt idx="18">
                  <c:v>0.581700376323851</c:v>
                </c:pt>
                <c:pt idx="19">
                  <c:v>0.849425390022398</c:v>
                </c:pt>
                <c:pt idx="20">
                  <c:v>0.782107085098168</c:v>
                </c:pt>
                <c:pt idx="21">
                  <c:v>0.677931474696056</c:v>
                </c:pt>
                <c:pt idx="22">
                  <c:v>0.722134922473597</c:v>
                </c:pt>
                <c:pt idx="23">
                  <c:v>0.727810414332614</c:v>
                </c:pt>
                <c:pt idx="24">
                  <c:v>0.68313653978705</c:v>
                </c:pt>
              </c:numCache>
            </c:numRef>
          </c:yVal>
          <c:smooth val="0"/>
        </c:ser>
        <c:axId val="5751116"/>
        <c:axId val="65433299"/>
      </c:scatterChart>
      <c:valAx>
        <c:axId val="57511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65433299"/>
        <c:crosses val="autoZero"/>
        <c:crossBetween val="midCat"/>
      </c:valAx>
      <c:valAx>
        <c:axId val="6543329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5751116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'inter-system stats'!$B$65</c:f>
              <c:strCache>
                <c:ptCount val="1"/>
                <c:pt idx="0">
                  <c:v>Hybsem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'inter-system stats'!$A$66:$A$90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'inter-system stats'!$B$66:$B$90</c:f>
              <c:numCache>
                <c:formatCode>General</c:formatCode>
                <c:ptCount val="25"/>
                <c:pt idx="0">
                  <c:v>0.829083516979224</c:v>
                </c:pt>
                <c:pt idx="1">
                  <c:v>0.766444903472076</c:v>
                </c:pt>
                <c:pt idx="2">
                  <c:v>0.820814927176212</c:v>
                </c:pt>
                <c:pt idx="3">
                  <c:v>0.589340681428011</c:v>
                </c:pt>
                <c:pt idx="4">
                  <c:v>0.549939911322228</c:v>
                </c:pt>
                <c:pt idx="5">
                  <c:v>0.806301302771949</c:v>
                </c:pt>
                <c:pt idx="6">
                  <c:v>0.654420747897195</c:v>
                </c:pt>
                <c:pt idx="7">
                  <c:v>0.747457006954611</c:v>
                </c:pt>
                <c:pt idx="8">
                  <c:v>0.763154436571465</c:v>
                </c:pt>
                <c:pt idx="9">
                  <c:v>0.745298826492448</c:v>
                </c:pt>
                <c:pt idx="10">
                  <c:v>0.703599427390625</c:v>
                </c:pt>
                <c:pt idx="11">
                  <c:v>0.792291119607581</c:v>
                </c:pt>
                <c:pt idx="12">
                  <c:v>0.742748844142451</c:v>
                </c:pt>
                <c:pt idx="13">
                  <c:v>0.730739032742495</c:v>
                </c:pt>
                <c:pt idx="14">
                  <c:v>0.727501533855859</c:v>
                </c:pt>
                <c:pt idx="15">
                  <c:v>0.69212024380659</c:v>
                </c:pt>
                <c:pt idx="16">
                  <c:v>0.719549537838803</c:v>
                </c:pt>
                <c:pt idx="17">
                  <c:v>0.708540087240829</c:v>
                </c:pt>
                <c:pt idx="18">
                  <c:v>0.706775862145744</c:v>
                </c:pt>
                <c:pt idx="19">
                  <c:v>0.810552775268533</c:v>
                </c:pt>
                <c:pt idx="20">
                  <c:v>0.779651511367528</c:v>
                </c:pt>
                <c:pt idx="21">
                  <c:v>0.707012650930307</c:v>
                </c:pt>
                <c:pt idx="22">
                  <c:v>0.759411204953021</c:v>
                </c:pt>
                <c:pt idx="23">
                  <c:v>0.754622185376853</c:v>
                </c:pt>
                <c:pt idx="24">
                  <c:v>0.718662412659959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'inter-system stats'!$C$65</c:f>
              <c:strCache>
                <c:ptCount val="1"/>
                <c:pt idx="0">
                  <c:v>Hybrid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'inter-system stats'!$A$66:$A$90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'inter-system stats'!$C$66:$C$90</c:f>
              <c:numCache>
                <c:formatCode>General</c:formatCode>
                <c:ptCount val="25"/>
                <c:pt idx="0">
                  <c:v>0.834308337570909</c:v>
                </c:pt>
                <c:pt idx="1">
                  <c:v>0.78737808939176</c:v>
                </c:pt>
                <c:pt idx="2">
                  <c:v>0.823470108869694</c:v>
                </c:pt>
                <c:pt idx="3">
                  <c:v>0.641382187119465</c:v>
                </c:pt>
                <c:pt idx="4">
                  <c:v>0.648560742045417</c:v>
                </c:pt>
                <c:pt idx="5">
                  <c:v>0.737540725804953</c:v>
                </c:pt>
                <c:pt idx="6">
                  <c:v>0.634968083396197</c:v>
                </c:pt>
                <c:pt idx="7">
                  <c:v>0.746400854814908</c:v>
                </c:pt>
                <c:pt idx="8">
                  <c:v>0.688805343346949</c:v>
                </c:pt>
                <c:pt idx="9">
                  <c:v>0.743639794674361</c:v>
                </c:pt>
                <c:pt idx="10">
                  <c:v>0.7131914659308</c:v>
                </c:pt>
                <c:pt idx="11">
                  <c:v>0.767138956921052</c:v>
                </c:pt>
                <c:pt idx="12">
                  <c:v>0.725689268577004</c:v>
                </c:pt>
                <c:pt idx="13">
                  <c:v>0.68375138396333</c:v>
                </c:pt>
                <c:pt idx="14">
                  <c:v>0.778810655140002</c:v>
                </c:pt>
                <c:pt idx="15">
                  <c:v>0.720712807955728</c:v>
                </c:pt>
                <c:pt idx="16">
                  <c:v>0.772536760552901</c:v>
                </c:pt>
                <c:pt idx="17">
                  <c:v>0.705400471101386</c:v>
                </c:pt>
                <c:pt idx="18">
                  <c:v>0.654030504893449</c:v>
                </c:pt>
                <c:pt idx="19">
                  <c:v>0.819935063298953</c:v>
                </c:pt>
                <c:pt idx="20">
                  <c:v>0.775935289730371</c:v>
                </c:pt>
                <c:pt idx="21">
                  <c:v>0.689306055979394</c:v>
                </c:pt>
                <c:pt idx="22">
                  <c:v>0.757862366672276</c:v>
                </c:pt>
                <c:pt idx="23">
                  <c:v>0.706727669319429</c:v>
                </c:pt>
                <c:pt idx="24">
                  <c:v>0.70629147268637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'inter-system stats'!$D$65</c:f>
              <c:strCache>
                <c:ptCount val="1"/>
                <c:pt idx="0">
                  <c:v>ac15p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'inter-system stats'!$A$66:$A$90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'inter-system stats'!$D$66:$D$90</c:f>
              <c:numCache>
                <c:formatCode>General</c:formatCode>
                <c:ptCount val="25"/>
                <c:pt idx="0">
                  <c:v>0.820329791398556</c:v>
                </c:pt>
                <c:pt idx="1">
                  <c:v>0.760208954092368</c:v>
                </c:pt>
                <c:pt idx="2">
                  <c:v>0.779358920094772</c:v>
                </c:pt>
                <c:pt idx="3">
                  <c:v>0.655474168574833</c:v>
                </c:pt>
                <c:pt idx="4">
                  <c:v>0.601488270812317</c:v>
                </c:pt>
                <c:pt idx="5">
                  <c:v>0.802605111539465</c:v>
                </c:pt>
                <c:pt idx="6">
                  <c:v>0.648878416428975</c:v>
                </c:pt>
                <c:pt idx="7">
                  <c:v>0.75255045120181</c:v>
                </c:pt>
                <c:pt idx="8">
                  <c:v>0.725998440426624</c:v>
                </c:pt>
                <c:pt idx="9">
                  <c:v>0.706819355320024</c:v>
                </c:pt>
                <c:pt idx="10">
                  <c:v>0.663884135279099</c:v>
                </c:pt>
                <c:pt idx="11">
                  <c:v>0.808680515695504</c:v>
                </c:pt>
                <c:pt idx="12">
                  <c:v>0.697789785928682</c:v>
                </c:pt>
                <c:pt idx="13">
                  <c:v>0.749649894113733</c:v>
                </c:pt>
                <c:pt idx="14">
                  <c:v>0.736967328412209</c:v>
                </c:pt>
                <c:pt idx="15">
                  <c:v>0.764104736117937</c:v>
                </c:pt>
                <c:pt idx="16">
                  <c:v>0.722501085513047</c:v>
                </c:pt>
                <c:pt idx="17">
                  <c:v>0.68518214731593</c:v>
                </c:pt>
                <c:pt idx="18">
                  <c:v>0.57422986602436</c:v>
                </c:pt>
                <c:pt idx="19">
                  <c:v>0.862814658531392</c:v>
                </c:pt>
                <c:pt idx="20">
                  <c:v>0.766443599036539</c:v>
                </c:pt>
                <c:pt idx="21">
                  <c:v>0.757219448945817</c:v>
                </c:pt>
                <c:pt idx="22">
                  <c:v>0.75138094509243</c:v>
                </c:pt>
                <c:pt idx="23">
                  <c:v>0.783578798476775</c:v>
                </c:pt>
                <c:pt idx="24">
                  <c:v>0.690023913451965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'inter-system stats'!$E$65</c:f>
              <c:strCache>
                <c:ptCount val="1"/>
                <c:pt idx="0">
                  <c:v>ac15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'inter-system stats'!$A$66:$A$90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'inter-system stats'!$E$66:$E$90</c:f>
              <c:numCache>
                <c:formatCode>General</c:formatCode>
                <c:ptCount val="25"/>
                <c:pt idx="0">
                  <c:v>0.829521350954824</c:v>
                </c:pt>
                <c:pt idx="1">
                  <c:v>0.735193711695633</c:v>
                </c:pt>
                <c:pt idx="2">
                  <c:v>0.73805452066822</c:v>
                </c:pt>
                <c:pt idx="3">
                  <c:v>0.639461451771152</c:v>
                </c:pt>
                <c:pt idx="4">
                  <c:v>0.601148402331265</c:v>
                </c:pt>
                <c:pt idx="5">
                  <c:v>0.773499226539065</c:v>
                </c:pt>
                <c:pt idx="6">
                  <c:v>0.65742523257328</c:v>
                </c:pt>
                <c:pt idx="7">
                  <c:v>0.712613137045905</c:v>
                </c:pt>
                <c:pt idx="8">
                  <c:v>0.695082856151577</c:v>
                </c:pt>
                <c:pt idx="9">
                  <c:v>0.70158644000236</c:v>
                </c:pt>
                <c:pt idx="10">
                  <c:v>0.697028043689582</c:v>
                </c:pt>
                <c:pt idx="11">
                  <c:v>0.780558840331467</c:v>
                </c:pt>
                <c:pt idx="12">
                  <c:v>0.720814394600414</c:v>
                </c:pt>
                <c:pt idx="13">
                  <c:v>0.740298991398541</c:v>
                </c:pt>
                <c:pt idx="14">
                  <c:v>0.70744158301379</c:v>
                </c:pt>
                <c:pt idx="15">
                  <c:v>0.719125866172455</c:v>
                </c:pt>
                <c:pt idx="16">
                  <c:v>0.718889384668267</c:v>
                </c:pt>
                <c:pt idx="17">
                  <c:v>0.735022492301164</c:v>
                </c:pt>
                <c:pt idx="18">
                  <c:v>0.581700376323851</c:v>
                </c:pt>
                <c:pt idx="19">
                  <c:v>0.849425390022398</c:v>
                </c:pt>
                <c:pt idx="20">
                  <c:v>0.782107085098168</c:v>
                </c:pt>
                <c:pt idx="21">
                  <c:v>0.677931474696056</c:v>
                </c:pt>
                <c:pt idx="22">
                  <c:v>0.722134922473597</c:v>
                </c:pt>
                <c:pt idx="23">
                  <c:v>0.727810414332614</c:v>
                </c:pt>
                <c:pt idx="24">
                  <c:v>0.68313653978705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'inter-system stats'!$F$65</c:f>
              <c:strCache>
                <c:ptCount val="1"/>
                <c:pt idx="0">
                  <c:v>control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'inter-system stats'!$A$66:$A$90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'inter-system stats'!$F$66:$F$90</c:f>
              <c:numCache>
                <c:formatCode>General</c:formatCode>
                <c:ptCount val="25"/>
                <c:pt idx="0">
                  <c:v>0.843168263254482</c:v>
                </c:pt>
                <c:pt idx="1">
                  <c:v>0.410481566775254</c:v>
                </c:pt>
                <c:pt idx="2">
                  <c:v>0.557975369920795</c:v>
                </c:pt>
                <c:pt idx="3">
                  <c:v>0.619158269088556</c:v>
                </c:pt>
                <c:pt idx="4">
                  <c:v>0.403963080119542</c:v>
                </c:pt>
                <c:pt idx="5">
                  <c:v>0.570743883878626</c:v>
                </c:pt>
                <c:pt idx="6">
                  <c:v>0.611608951562061</c:v>
                </c:pt>
                <c:pt idx="7">
                  <c:v>0.51665838871536</c:v>
                </c:pt>
                <c:pt idx="8">
                  <c:v>0.519107279370953</c:v>
                </c:pt>
                <c:pt idx="9">
                  <c:v>0.681242455451239</c:v>
                </c:pt>
                <c:pt idx="10">
                  <c:v>0.665099248057114</c:v>
                </c:pt>
                <c:pt idx="11">
                  <c:v>0.685595116342696</c:v>
                </c:pt>
                <c:pt idx="12">
                  <c:v>0.65114377143955</c:v>
                </c:pt>
                <c:pt idx="13">
                  <c:v>0.603486770235985</c:v>
                </c:pt>
                <c:pt idx="14">
                  <c:v>0.498068679989705</c:v>
                </c:pt>
                <c:pt idx="15">
                  <c:v>0.630377968860656</c:v>
                </c:pt>
                <c:pt idx="16">
                  <c:v>0.657927168337551</c:v>
                </c:pt>
                <c:pt idx="17">
                  <c:v>0.560860510322618</c:v>
                </c:pt>
                <c:pt idx="18">
                  <c:v>0.502077926373526</c:v>
                </c:pt>
                <c:pt idx="19">
                  <c:v>0.477168485158792</c:v>
                </c:pt>
                <c:pt idx="20">
                  <c:v>0.490712582964214</c:v>
                </c:pt>
                <c:pt idx="21">
                  <c:v>0.373647233999626</c:v>
                </c:pt>
                <c:pt idx="22">
                  <c:v>0.656354995088699</c:v>
                </c:pt>
                <c:pt idx="23">
                  <c:v>0.579731827188496</c:v>
                </c:pt>
                <c:pt idx="24">
                  <c:v>0.300277405978412</c:v>
                </c:pt>
              </c:numCache>
            </c:numRef>
          </c:yVal>
          <c:smooth val="0"/>
        </c:ser>
        <c:axId val="58956910"/>
        <c:axId val="57904603"/>
      </c:scatterChart>
      <c:valAx>
        <c:axId val="5895691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57904603"/>
        <c:crosses val="autoZero"/>
        <c:crossBetween val="midCat"/>
      </c:valAx>
      <c:valAx>
        <c:axId val="5790460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58956910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97200</xdr:colOff>
      <xdr:row>13</xdr:row>
      <xdr:rowOff>63720</xdr:rowOff>
    </xdr:from>
    <xdr:to>
      <xdr:col>11</xdr:col>
      <xdr:colOff>148320</xdr:colOff>
      <xdr:row>33</xdr:row>
      <xdr:rowOff>46800</xdr:rowOff>
    </xdr:to>
    <xdr:graphicFrame>
      <xdr:nvGraphicFramePr>
        <xdr:cNvPr id="1" name=""/>
        <xdr:cNvGraphicFramePr/>
      </xdr:nvGraphicFramePr>
      <xdr:xfrm>
        <a:off x="6108840" y="2176920"/>
        <a:ext cx="5080320" cy="3234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688680</xdr:colOff>
      <xdr:row>64</xdr:row>
      <xdr:rowOff>92880</xdr:rowOff>
    </xdr:from>
    <xdr:to>
      <xdr:col>10</xdr:col>
      <xdr:colOff>826560</xdr:colOff>
      <xdr:row>84</xdr:row>
      <xdr:rowOff>75960</xdr:rowOff>
    </xdr:to>
    <xdr:graphicFrame>
      <xdr:nvGraphicFramePr>
        <xdr:cNvPr id="2" name=""/>
        <xdr:cNvGraphicFramePr/>
      </xdr:nvGraphicFramePr>
      <xdr:xfrm>
        <a:off x="7032240" y="10496880"/>
        <a:ext cx="5087160" cy="3234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O3" activeCellId="0" sqref="O3"/>
    </sheetView>
  </sheetViews>
  <sheetFormatPr defaultColWidth="10.48828125" defaultRowHeight="15" customHeight="false" zeroHeight="false" outlineLevelRow="0" outlineLevelCol="0"/>
  <cols>
    <col collapsed="false" customWidth="true" hidden="false" outlineLevel="0" max="4" min="4" style="1" width="14.99"/>
    <col collapsed="false" customWidth="true" hidden="false" outlineLevel="0" max="5" min="5" style="1" width="23.21"/>
    <col collapsed="false" customWidth="false" hidden="false" outlineLevel="0" max="6" min="6" style="1" width="10.47"/>
    <col collapsed="false" customWidth="true" hidden="false" outlineLevel="0" max="7" min="7" style="2" width="50.22"/>
    <col collapsed="false" customWidth="true" hidden="false" outlineLevel="0" max="8" min="8" style="1" width="15.25"/>
    <col collapsed="false" customWidth="true" hidden="false" outlineLevel="0" max="9" min="9" style="1" width="24.96"/>
    <col collapsed="false" customWidth="true" hidden="false" outlineLevel="0" max="10" min="10" style="1" width="27.06"/>
    <col collapsed="false" customWidth="true" hidden="false" outlineLevel="0" max="12" min="11" style="1" width="25.41"/>
    <col collapsed="false" customWidth="true" hidden="false" outlineLevel="0" max="14" min="14" style="3" width="21.56"/>
    <col collapsed="false" customWidth="true" hidden="false" outlineLevel="0" max="15" min="15" style="3" width="18.98"/>
    <col collapsed="false" customWidth="true" hidden="false" outlineLevel="0" max="16" min="16" style="3" width="18.83"/>
    <col collapsed="false" customWidth="true" hidden="false" outlineLevel="0" max="18" min="18" style="3" width="18.22"/>
  </cols>
  <sheetData>
    <row r="1" customFormat="false" ht="43.25" hidden="false" customHeight="false" outlineLevel="0" collapsed="false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</row>
    <row r="3" customFormat="false" ht="15" hidden="false" customHeight="false" outlineLevel="0" collapsed="false">
      <c r="A3" s="3" t="s">
        <v>17</v>
      </c>
      <c r="B3" s="3" t="s">
        <v>18</v>
      </c>
      <c r="C3" s="3" t="s">
        <v>19</v>
      </c>
      <c r="D3" s="1" t="s">
        <v>20</v>
      </c>
      <c r="E3" s="1" t="s">
        <v>21</v>
      </c>
      <c r="F3" s="1" t="n">
        <v>1</v>
      </c>
      <c r="G3" s="2" t="s">
        <v>22</v>
      </c>
      <c r="H3" s="1" t="n">
        <v>0.1958</v>
      </c>
      <c r="I3" s="1" t="n">
        <v>0.314958537895163</v>
      </c>
      <c r="J3" s="1" t="n">
        <v>0.35236559003604</v>
      </c>
      <c r="K3" s="1" t="n">
        <f aca="false">J3-I3</f>
        <v>0.037407052140877</v>
      </c>
      <c r="L3" s="1" t="n">
        <v>0.829521350954824</v>
      </c>
      <c r="N3" s="8" t="n">
        <f aca="false">AVERAGE(K3:K8)</f>
        <v>0.066168011402756</v>
      </c>
      <c r="O3" s="3" t="n">
        <f aca="false">AVERAGE(K3:K152)</f>
        <v>0.0378037804537943</v>
      </c>
      <c r="P3" s="1" t="n">
        <f aca="false">COUNT(K3:K152)</f>
        <v>150</v>
      </c>
      <c r="Q3" s="3" t="n">
        <f aca="false">CORREL(H3:H152,K3:K152)</f>
        <v>-0.117971919502596</v>
      </c>
    </row>
    <row r="4" customFormat="false" ht="15" hidden="false" customHeight="false" outlineLevel="0" collapsed="false">
      <c r="A4" s="3" t="s">
        <v>17</v>
      </c>
      <c r="B4" s="3" t="s">
        <v>18</v>
      </c>
      <c r="C4" s="3" t="s">
        <v>19</v>
      </c>
      <c r="D4" s="1" t="s">
        <v>20</v>
      </c>
      <c r="E4" s="1" t="s">
        <v>21</v>
      </c>
      <c r="F4" s="1" t="n">
        <v>1</v>
      </c>
      <c r="G4" s="2" t="s">
        <v>23</v>
      </c>
      <c r="H4" s="1" t="n">
        <v>0.1952</v>
      </c>
      <c r="I4" s="1" t="n">
        <v>0.314022132594576</v>
      </c>
      <c r="J4" s="1" t="n">
        <v>0.387772571047657</v>
      </c>
      <c r="K4" s="1" t="n">
        <f aca="false">J4-I4</f>
        <v>0.073750438453081</v>
      </c>
      <c r="L4" s="1" t="n">
        <v>0.829521350954824</v>
      </c>
      <c r="N4" s="8"/>
    </row>
    <row r="5" customFormat="false" ht="15" hidden="false" customHeight="false" outlineLevel="0" collapsed="false">
      <c r="A5" s="3" t="s">
        <v>17</v>
      </c>
      <c r="B5" s="3" t="s">
        <v>18</v>
      </c>
      <c r="C5" s="3" t="s">
        <v>19</v>
      </c>
      <c r="D5" s="1" t="s">
        <v>20</v>
      </c>
      <c r="E5" s="1" t="s">
        <v>21</v>
      </c>
      <c r="F5" s="1" t="n">
        <v>1</v>
      </c>
      <c r="G5" s="2" t="s">
        <v>24</v>
      </c>
      <c r="H5" s="1" t="n">
        <v>0.1901</v>
      </c>
      <c r="I5" s="1" t="n">
        <v>0.305943070418496</v>
      </c>
      <c r="J5" s="1" t="n">
        <v>0.37459666998706</v>
      </c>
      <c r="K5" s="1" t="n">
        <f aca="false">J5-I5</f>
        <v>0.068653599568564</v>
      </c>
      <c r="L5" s="1" t="n">
        <v>0.829521350954824</v>
      </c>
      <c r="N5" s="8"/>
    </row>
    <row r="6" customFormat="false" ht="15" hidden="false" customHeight="false" outlineLevel="0" collapsed="false">
      <c r="A6" s="3" t="s">
        <v>17</v>
      </c>
      <c r="B6" s="3" t="s">
        <v>18</v>
      </c>
      <c r="C6" s="3" t="s">
        <v>19</v>
      </c>
      <c r="D6" s="1" t="s">
        <v>20</v>
      </c>
      <c r="E6" s="1" t="s">
        <v>21</v>
      </c>
      <c r="F6" s="1" t="n">
        <v>1</v>
      </c>
      <c r="G6" s="2" t="s">
        <v>25</v>
      </c>
      <c r="H6" s="1" t="n">
        <v>0.1611</v>
      </c>
      <c r="I6" s="1" t="n">
        <v>0.259239922571191</v>
      </c>
      <c r="J6" s="1" t="n">
        <v>0.341643579957411</v>
      </c>
      <c r="K6" s="1" t="n">
        <f aca="false">J6-I6</f>
        <v>0.08240365738622</v>
      </c>
      <c r="L6" s="1" t="n">
        <v>0.829521350954824</v>
      </c>
      <c r="N6" s="8"/>
    </row>
    <row r="7" customFormat="false" ht="15" hidden="false" customHeight="false" outlineLevel="0" collapsed="false">
      <c r="A7" s="3" t="s">
        <v>17</v>
      </c>
      <c r="B7" s="3" t="s">
        <v>18</v>
      </c>
      <c r="C7" s="3" t="s">
        <v>19</v>
      </c>
      <c r="D7" s="1" t="s">
        <v>20</v>
      </c>
      <c r="E7" s="1" t="s">
        <v>21</v>
      </c>
      <c r="F7" s="1" t="n">
        <v>1</v>
      </c>
      <c r="G7" s="2" t="s">
        <v>26</v>
      </c>
      <c r="H7" s="1" t="n">
        <v>0.1578</v>
      </c>
      <c r="I7" s="1" t="n">
        <v>0.253904680975005</v>
      </c>
      <c r="J7" s="1" t="n">
        <v>0.312056875219463</v>
      </c>
      <c r="K7" s="1" t="n">
        <f aca="false">J7-I7</f>
        <v>0.058152194244458</v>
      </c>
      <c r="L7" s="1" t="n">
        <v>0.829521350954824</v>
      </c>
      <c r="N7" s="8"/>
    </row>
    <row r="8" customFormat="false" ht="15" hidden="false" customHeight="false" outlineLevel="0" collapsed="false">
      <c r="A8" s="3" t="s">
        <v>17</v>
      </c>
      <c r="B8" s="3" t="s">
        <v>18</v>
      </c>
      <c r="C8" s="3" t="s">
        <v>19</v>
      </c>
      <c r="D8" s="1" t="s">
        <v>20</v>
      </c>
      <c r="E8" s="1" t="s">
        <v>21</v>
      </c>
      <c r="F8" s="1" t="n">
        <v>1</v>
      </c>
      <c r="G8" s="2" t="s">
        <v>27</v>
      </c>
      <c r="H8" s="1" t="n">
        <v>0.1</v>
      </c>
      <c r="I8" s="1" t="n">
        <v>0.176717374947244</v>
      </c>
      <c r="J8" s="1" t="n">
        <v>0.25335850157058</v>
      </c>
      <c r="K8" s="1" t="n">
        <f aca="false">J8-I8</f>
        <v>0.076641126623336</v>
      </c>
      <c r="L8" s="1" t="n">
        <v>0.829521350954824</v>
      </c>
      <c r="N8" s="8"/>
    </row>
    <row r="9" customFormat="false" ht="15" hidden="false" customHeight="false" outlineLevel="0" collapsed="false">
      <c r="A9" s="3" t="s">
        <v>28</v>
      </c>
      <c r="B9" s="3" t="s">
        <v>29</v>
      </c>
      <c r="C9" s="3" t="s">
        <v>30</v>
      </c>
      <c r="D9" s="1" t="s">
        <v>20</v>
      </c>
      <c r="E9" s="1" t="s">
        <v>21</v>
      </c>
      <c r="F9" s="1" t="n">
        <v>3</v>
      </c>
      <c r="G9" s="2" t="s">
        <v>23</v>
      </c>
      <c r="H9" s="1" t="n">
        <v>0.2047</v>
      </c>
      <c r="I9" s="1" t="n">
        <v>0.330137130069296</v>
      </c>
      <c r="J9" s="1" t="n">
        <v>0.385711092504857</v>
      </c>
      <c r="K9" s="1" t="n">
        <f aca="false">J9-I9</f>
        <v>0.055573962435561</v>
      </c>
      <c r="L9" s="1" t="n">
        <v>0.735193711695633</v>
      </c>
      <c r="N9" s="8" t="n">
        <f aca="false">AVERAGE(K9:K14)</f>
        <v>0.060061240769437</v>
      </c>
    </row>
    <row r="10" customFormat="false" ht="15" hidden="false" customHeight="false" outlineLevel="0" collapsed="false">
      <c r="A10" s="3" t="s">
        <v>28</v>
      </c>
      <c r="B10" s="3" t="s">
        <v>29</v>
      </c>
      <c r="C10" s="3" t="s">
        <v>30</v>
      </c>
      <c r="D10" s="1" t="s">
        <v>20</v>
      </c>
      <c r="E10" s="1" t="s">
        <v>21</v>
      </c>
      <c r="F10" s="1" t="n">
        <v>3</v>
      </c>
      <c r="G10" s="2" t="s">
        <v>22</v>
      </c>
      <c r="H10" s="1" t="n">
        <v>0.1852</v>
      </c>
      <c r="I10" s="1" t="n">
        <v>0.298650435208346</v>
      </c>
      <c r="J10" s="1" t="n">
        <v>0.371646305291327</v>
      </c>
      <c r="K10" s="1" t="n">
        <f aca="false">J10-I10</f>
        <v>0.072995870082981</v>
      </c>
      <c r="L10" s="1" t="n">
        <v>0.735193711695633</v>
      </c>
      <c r="N10" s="8"/>
    </row>
    <row r="11" customFormat="false" ht="15" hidden="false" customHeight="false" outlineLevel="0" collapsed="false">
      <c r="A11" s="3" t="s">
        <v>28</v>
      </c>
      <c r="B11" s="3" t="s">
        <v>29</v>
      </c>
      <c r="C11" s="3" t="s">
        <v>30</v>
      </c>
      <c r="D11" s="1" t="s">
        <v>20</v>
      </c>
      <c r="E11" s="1" t="s">
        <v>21</v>
      </c>
      <c r="F11" s="1" t="n">
        <v>3</v>
      </c>
      <c r="G11" s="2" t="s">
        <v>24</v>
      </c>
      <c r="H11" s="1" t="n">
        <v>0.1832</v>
      </c>
      <c r="I11" s="1" t="n">
        <v>0.295408620493475</v>
      </c>
      <c r="J11" s="1" t="n">
        <v>0.374602857947103</v>
      </c>
      <c r="K11" s="1" t="n">
        <f aca="false">J11-I11</f>
        <v>0.079194237453628</v>
      </c>
      <c r="L11" s="1" t="n">
        <v>0.735193711695633</v>
      </c>
      <c r="N11" s="8"/>
    </row>
    <row r="12" customFormat="false" ht="15" hidden="false" customHeight="false" outlineLevel="0" collapsed="false">
      <c r="A12" s="3" t="s">
        <v>28</v>
      </c>
      <c r="B12" s="3" t="s">
        <v>29</v>
      </c>
      <c r="C12" s="3" t="s">
        <v>30</v>
      </c>
      <c r="D12" s="1" t="s">
        <v>20</v>
      </c>
      <c r="E12" s="1" t="s">
        <v>21</v>
      </c>
      <c r="F12" s="1" t="n">
        <v>3</v>
      </c>
      <c r="G12" s="2" t="s">
        <v>25</v>
      </c>
      <c r="H12" s="1" t="n">
        <v>0.1775</v>
      </c>
      <c r="I12" s="1" t="n">
        <v>0.286248963131511</v>
      </c>
      <c r="J12" s="1" t="n">
        <v>0.334151328577218</v>
      </c>
      <c r="K12" s="1" t="n">
        <f aca="false">J12-I12</f>
        <v>0.047902365445707</v>
      </c>
      <c r="L12" s="1" t="n">
        <v>0.735193711695633</v>
      </c>
      <c r="N12" s="8"/>
    </row>
    <row r="13" customFormat="false" ht="15" hidden="false" customHeight="false" outlineLevel="0" collapsed="false">
      <c r="A13" s="3" t="s">
        <v>28</v>
      </c>
      <c r="B13" s="3" t="s">
        <v>29</v>
      </c>
      <c r="C13" s="3" t="s">
        <v>30</v>
      </c>
      <c r="D13" s="1" t="s">
        <v>20</v>
      </c>
      <c r="E13" s="1" t="s">
        <v>21</v>
      </c>
      <c r="F13" s="1" t="n">
        <v>3</v>
      </c>
      <c r="G13" s="2" t="s">
        <v>31</v>
      </c>
      <c r="H13" s="1" t="n">
        <v>0.1493</v>
      </c>
      <c r="I13" s="1" t="n">
        <v>0.240731708653591</v>
      </c>
      <c r="J13" s="1" t="n">
        <v>0.273593827550684</v>
      </c>
      <c r="K13" s="1" t="n">
        <f aca="false">J13-I13</f>
        <v>0.032862118897093</v>
      </c>
      <c r="L13" s="1" t="n">
        <v>0.735193711695633</v>
      </c>
      <c r="N13" s="8"/>
    </row>
    <row r="14" customFormat="false" ht="15" hidden="false" customHeight="false" outlineLevel="0" collapsed="false">
      <c r="A14" s="3" t="s">
        <v>28</v>
      </c>
      <c r="B14" s="3" t="s">
        <v>29</v>
      </c>
      <c r="C14" s="3" t="s">
        <v>30</v>
      </c>
      <c r="D14" s="1" t="s">
        <v>20</v>
      </c>
      <c r="E14" s="1" t="s">
        <v>21</v>
      </c>
      <c r="F14" s="1" t="n">
        <v>3</v>
      </c>
      <c r="G14" s="2" t="s">
        <v>27</v>
      </c>
      <c r="H14" s="1" t="n">
        <v>0.1</v>
      </c>
      <c r="I14" s="1" t="n">
        <v>0.197111591998932</v>
      </c>
      <c r="J14" s="1" t="n">
        <v>0.268950482300584</v>
      </c>
      <c r="K14" s="1" t="n">
        <f aca="false">J14-I14</f>
        <v>0.071838890301652</v>
      </c>
      <c r="L14" s="1" t="n">
        <v>0.735193711695633</v>
      </c>
      <c r="N14" s="8"/>
    </row>
    <row r="15" customFormat="false" ht="15" hidden="false" customHeight="false" outlineLevel="0" collapsed="false">
      <c r="A15" s="3" t="s">
        <v>32</v>
      </c>
      <c r="B15" s="3" t="s">
        <v>33</v>
      </c>
      <c r="C15" s="3" t="s">
        <v>34</v>
      </c>
      <c r="D15" s="1" t="s">
        <v>20</v>
      </c>
      <c r="E15" s="1" t="s">
        <v>21</v>
      </c>
      <c r="F15" s="1" t="n">
        <v>5</v>
      </c>
      <c r="G15" s="2" t="s">
        <v>22</v>
      </c>
      <c r="H15" s="1" t="n">
        <v>0.2024</v>
      </c>
      <c r="I15" s="1" t="n">
        <v>0.378258009389642</v>
      </c>
      <c r="J15" s="1" t="n">
        <v>0.377708345781054</v>
      </c>
      <c r="K15" s="1" t="n">
        <f aca="false">J15-I15</f>
        <v>-0.000549663608587991</v>
      </c>
      <c r="L15" s="1" t="n">
        <v>0.73805452066822</v>
      </c>
      <c r="N15" s="8" t="n">
        <f aca="false">AVERAGE(K15:K20)</f>
        <v>0.0356093043320682</v>
      </c>
    </row>
    <row r="16" customFormat="false" ht="15" hidden="false" customHeight="false" outlineLevel="0" collapsed="false">
      <c r="A16" s="3" t="s">
        <v>32</v>
      </c>
      <c r="B16" s="3" t="s">
        <v>33</v>
      </c>
      <c r="C16" s="3" t="s">
        <v>34</v>
      </c>
      <c r="D16" s="1" t="s">
        <v>20</v>
      </c>
      <c r="E16" s="1" t="s">
        <v>21</v>
      </c>
      <c r="F16" s="1" t="n">
        <v>5</v>
      </c>
      <c r="G16" s="2" t="s">
        <v>23</v>
      </c>
      <c r="H16" s="1" t="n">
        <v>0.2014</v>
      </c>
      <c r="I16" s="1" t="n">
        <v>0.376469477263046</v>
      </c>
      <c r="J16" s="1" t="n">
        <v>0.422811539270568</v>
      </c>
      <c r="K16" s="1" t="n">
        <f aca="false">J16-I16</f>
        <v>0.046342062007522</v>
      </c>
      <c r="L16" s="1" t="n">
        <v>0.73805452066822</v>
      </c>
      <c r="N16" s="8"/>
    </row>
    <row r="17" customFormat="false" ht="15" hidden="false" customHeight="false" outlineLevel="0" collapsed="false">
      <c r="A17" s="3" t="s">
        <v>32</v>
      </c>
      <c r="B17" s="3" t="s">
        <v>33</v>
      </c>
      <c r="C17" s="3" t="s">
        <v>34</v>
      </c>
      <c r="D17" s="1" t="s">
        <v>20</v>
      </c>
      <c r="E17" s="1" t="s">
        <v>21</v>
      </c>
      <c r="F17" s="1" t="n">
        <v>5</v>
      </c>
      <c r="G17" s="2" t="s">
        <v>24</v>
      </c>
      <c r="H17" s="1" t="n">
        <v>0.1805</v>
      </c>
      <c r="I17" s="1" t="n">
        <v>0.337457473162139</v>
      </c>
      <c r="J17" s="1" t="n">
        <v>0.399224968054381</v>
      </c>
      <c r="K17" s="1" t="n">
        <f aca="false">J17-I17</f>
        <v>0.061767494892242</v>
      </c>
      <c r="L17" s="1" t="n">
        <v>0.73805452066822</v>
      </c>
      <c r="N17" s="8"/>
    </row>
    <row r="18" customFormat="false" ht="15" hidden="false" customHeight="false" outlineLevel="0" collapsed="false">
      <c r="A18" s="3" t="s">
        <v>32</v>
      </c>
      <c r="B18" s="3" t="s">
        <v>33</v>
      </c>
      <c r="C18" s="3" t="s">
        <v>34</v>
      </c>
      <c r="D18" s="1" t="s">
        <v>20</v>
      </c>
      <c r="E18" s="1" t="s">
        <v>21</v>
      </c>
      <c r="F18" s="1" t="n">
        <v>5</v>
      </c>
      <c r="G18" s="2" t="s">
        <v>25</v>
      </c>
      <c r="H18" s="1" t="n">
        <v>0.1599</v>
      </c>
      <c r="I18" s="1" t="n">
        <v>0.298874943674866</v>
      </c>
      <c r="J18" s="1" t="n">
        <v>0.331942859469218</v>
      </c>
      <c r="K18" s="1" t="n">
        <f aca="false">J18-I18</f>
        <v>0.033067915794352</v>
      </c>
      <c r="L18" s="1" t="n">
        <v>0.73805452066822</v>
      </c>
      <c r="N18" s="8"/>
    </row>
    <row r="19" customFormat="false" ht="15" hidden="false" customHeight="false" outlineLevel="0" collapsed="false">
      <c r="A19" s="3" t="s">
        <v>32</v>
      </c>
      <c r="B19" s="3" t="s">
        <v>33</v>
      </c>
      <c r="C19" s="3" t="s">
        <v>34</v>
      </c>
      <c r="D19" s="1" t="s">
        <v>20</v>
      </c>
      <c r="E19" s="1" t="s">
        <v>21</v>
      </c>
      <c r="F19" s="1" t="n">
        <v>5</v>
      </c>
      <c r="G19" s="2" t="s">
        <v>35</v>
      </c>
      <c r="H19" s="1" t="n">
        <v>0.1558</v>
      </c>
      <c r="I19" s="1" t="n">
        <v>0.291127964484492</v>
      </c>
      <c r="J19" s="1" t="n">
        <v>0.324822703926225</v>
      </c>
      <c r="K19" s="1" t="n">
        <f aca="false">J19-I19</f>
        <v>0.033694739441733</v>
      </c>
      <c r="L19" s="1" t="n">
        <v>0.73805452066822</v>
      </c>
      <c r="N19" s="8"/>
    </row>
    <row r="20" customFormat="false" ht="15" hidden="false" customHeight="false" outlineLevel="0" collapsed="false">
      <c r="A20" s="3" t="s">
        <v>32</v>
      </c>
      <c r="B20" s="3" t="s">
        <v>33</v>
      </c>
      <c r="C20" s="3" t="s">
        <v>34</v>
      </c>
      <c r="D20" s="1" t="s">
        <v>20</v>
      </c>
      <c r="E20" s="1" t="s">
        <v>21</v>
      </c>
      <c r="F20" s="1" t="n">
        <v>5</v>
      </c>
      <c r="G20" s="2" t="s">
        <v>27</v>
      </c>
      <c r="H20" s="1" t="n">
        <v>0.1</v>
      </c>
      <c r="I20" s="1" t="n">
        <v>0.242639732161481</v>
      </c>
      <c r="J20" s="1" t="n">
        <v>0.281973009626629</v>
      </c>
      <c r="K20" s="1" t="n">
        <f aca="false">J20-I20</f>
        <v>0.039333277465148</v>
      </c>
      <c r="L20" s="1" t="n">
        <v>0.73805452066822</v>
      </c>
      <c r="N20" s="8"/>
    </row>
    <row r="21" customFormat="false" ht="15" hidden="false" customHeight="false" outlineLevel="0" collapsed="false">
      <c r="A21" s="3" t="s">
        <v>36</v>
      </c>
      <c r="B21" s="3" t="s">
        <v>37</v>
      </c>
      <c r="C21" s="3" t="s">
        <v>38</v>
      </c>
      <c r="D21" s="1" t="s">
        <v>20</v>
      </c>
      <c r="E21" s="1" t="s">
        <v>21</v>
      </c>
      <c r="F21" s="1" t="n">
        <v>7</v>
      </c>
      <c r="G21" s="2" t="s">
        <v>23</v>
      </c>
      <c r="H21" s="1" t="n">
        <v>0.214</v>
      </c>
      <c r="I21" s="1" t="n">
        <v>0.369146062084407</v>
      </c>
      <c r="J21" s="1" t="n">
        <v>0.424051759254373</v>
      </c>
      <c r="K21" s="1" t="n">
        <f aca="false">J21-I21</f>
        <v>0.054905697169966</v>
      </c>
      <c r="L21" s="1" t="n">
        <v>0.639461451771152</v>
      </c>
      <c r="N21" s="8" t="n">
        <f aca="false">AVERAGE(K21:K26)</f>
        <v>0.0468815917866287</v>
      </c>
    </row>
    <row r="22" customFormat="false" ht="15" hidden="false" customHeight="false" outlineLevel="0" collapsed="false">
      <c r="A22" s="3" t="s">
        <v>36</v>
      </c>
      <c r="B22" s="3" t="s">
        <v>37</v>
      </c>
      <c r="C22" s="3" t="s">
        <v>38</v>
      </c>
      <c r="D22" s="1" t="s">
        <v>20</v>
      </c>
      <c r="E22" s="1" t="s">
        <v>21</v>
      </c>
      <c r="F22" s="1" t="n">
        <v>7</v>
      </c>
      <c r="G22" s="2" t="s">
        <v>22</v>
      </c>
      <c r="H22" s="1" t="n">
        <v>0.198</v>
      </c>
      <c r="I22" s="1" t="n">
        <v>0.341559065000995</v>
      </c>
      <c r="J22" s="1" t="n">
        <v>0.364101045723423</v>
      </c>
      <c r="K22" s="1" t="n">
        <f aca="false">J22-I22</f>
        <v>0.022541980722428</v>
      </c>
      <c r="L22" s="1" t="n">
        <v>0.639461451771152</v>
      </c>
      <c r="N22" s="8"/>
    </row>
    <row r="23" customFormat="false" ht="15" hidden="false" customHeight="false" outlineLevel="0" collapsed="false">
      <c r="A23" s="3" t="s">
        <v>36</v>
      </c>
      <c r="B23" s="3" t="s">
        <v>37</v>
      </c>
      <c r="C23" s="3" t="s">
        <v>38</v>
      </c>
      <c r="D23" s="1" t="s">
        <v>20</v>
      </c>
      <c r="E23" s="1" t="s">
        <v>21</v>
      </c>
      <c r="F23" s="1" t="n">
        <v>7</v>
      </c>
      <c r="G23" s="2" t="s">
        <v>24</v>
      </c>
      <c r="H23" s="1" t="n">
        <v>0.1784</v>
      </c>
      <c r="I23" s="1" t="n">
        <v>0.30779553288687</v>
      </c>
      <c r="J23" s="1" t="n">
        <v>0.387848339552526</v>
      </c>
      <c r="K23" s="1" t="n">
        <f aca="false">J23-I23</f>
        <v>0.080052806665656</v>
      </c>
      <c r="L23" s="1" t="n">
        <v>0.639461451771152</v>
      </c>
      <c r="N23" s="8"/>
    </row>
    <row r="24" customFormat="false" ht="15" hidden="false" customHeight="false" outlineLevel="0" collapsed="false">
      <c r="A24" s="3" t="s">
        <v>36</v>
      </c>
      <c r="B24" s="3" t="s">
        <v>37</v>
      </c>
      <c r="C24" s="3" t="s">
        <v>38</v>
      </c>
      <c r="D24" s="1" t="s">
        <v>20</v>
      </c>
      <c r="E24" s="1" t="s">
        <v>21</v>
      </c>
      <c r="F24" s="1" t="n">
        <v>7</v>
      </c>
      <c r="G24" s="2" t="s">
        <v>25</v>
      </c>
      <c r="H24" s="1" t="n">
        <v>0.1675</v>
      </c>
      <c r="I24" s="1" t="n">
        <v>0.288994960168173</v>
      </c>
      <c r="J24" s="1" t="n">
        <v>0.31719836384485</v>
      </c>
      <c r="K24" s="1" t="n">
        <f aca="false">J24-I24</f>
        <v>0.028203403676677</v>
      </c>
      <c r="L24" s="1" t="n">
        <v>0.639461451771152</v>
      </c>
      <c r="N24" s="8"/>
    </row>
    <row r="25" customFormat="false" ht="15" hidden="false" customHeight="false" outlineLevel="0" collapsed="false">
      <c r="A25" s="3" t="s">
        <v>36</v>
      </c>
      <c r="B25" s="3" t="s">
        <v>37</v>
      </c>
      <c r="C25" s="3" t="s">
        <v>38</v>
      </c>
      <c r="D25" s="1" t="s">
        <v>20</v>
      </c>
      <c r="E25" s="1" t="s">
        <v>21</v>
      </c>
      <c r="F25" s="1" t="n">
        <v>7</v>
      </c>
      <c r="G25" s="2" t="s">
        <v>39</v>
      </c>
      <c r="H25" s="1" t="n">
        <v>0.142</v>
      </c>
      <c r="I25" s="1" t="n">
        <v>0.244855879912429</v>
      </c>
      <c r="J25" s="1" t="n">
        <v>0.274422206538014</v>
      </c>
      <c r="K25" s="1" t="n">
        <f aca="false">J25-I25</f>
        <v>0.029566326625585</v>
      </c>
      <c r="L25" s="1" t="n">
        <v>0.639461451771152</v>
      </c>
      <c r="N25" s="8"/>
    </row>
    <row r="26" customFormat="false" ht="15" hidden="false" customHeight="false" outlineLevel="0" collapsed="false">
      <c r="A26" s="3" t="s">
        <v>36</v>
      </c>
      <c r="B26" s="3" t="s">
        <v>37</v>
      </c>
      <c r="C26" s="3" t="s">
        <v>38</v>
      </c>
      <c r="D26" s="1" t="s">
        <v>20</v>
      </c>
      <c r="E26" s="1" t="s">
        <v>21</v>
      </c>
      <c r="F26" s="1" t="n">
        <v>7</v>
      </c>
      <c r="G26" s="2" t="s">
        <v>27</v>
      </c>
      <c r="H26" s="1" t="n">
        <v>0.1</v>
      </c>
      <c r="I26" s="1" t="n">
        <v>0.208028829617255</v>
      </c>
      <c r="J26" s="1" t="n">
        <v>0.274048165476715</v>
      </c>
      <c r="K26" s="1" t="n">
        <f aca="false">J26-I26</f>
        <v>0.06601933585946</v>
      </c>
      <c r="L26" s="1" t="n">
        <v>0.639461451771152</v>
      </c>
      <c r="N26" s="8"/>
    </row>
    <row r="27" customFormat="false" ht="15" hidden="false" customHeight="false" outlineLevel="0" collapsed="false">
      <c r="A27" s="3" t="s">
        <v>40</v>
      </c>
      <c r="B27" s="3" t="s">
        <v>41</v>
      </c>
      <c r="C27" s="3" t="s">
        <v>42</v>
      </c>
      <c r="D27" s="1" t="s">
        <v>20</v>
      </c>
      <c r="E27" s="1" t="s">
        <v>21</v>
      </c>
      <c r="F27" s="1" t="n">
        <v>9</v>
      </c>
      <c r="G27" s="2" t="s">
        <v>23</v>
      </c>
      <c r="H27" s="1" t="n">
        <v>0.2171</v>
      </c>
      <c r="I27" s="1" t="n">
        <v>0.420315744192456</v>
      </c>
      <c r="J27" s="1" t="n">
        <v>0.393173069762383</v>
      </c>
      <c r="K27" s="1" t="n">
        <f aca="false">J27-I27</f>
        <v>-0.027142674430073</v>
      </c>
      <c r="L27" s="1" t="n">
        <v>0.601148402331265</v>
      </c>
      <c r="N27" s="8" t="n">
        <f aca="false">AVERAGE(K27:K32)</f>
        <v>0.005428341783817</v>
      </c>
    </row>
    <row r="28" customFormat="false" ht="15" hidden="false" customHeight="false" outlineLevel="0" collapsed="false">
      <c r="A28" s="3" t="s">
        <v>40</v>
      </c>
      <c r="B28" s="3" t="s">
        <v>41</v>
      </c>
      <c r="C28" s="3" t="s">
        <v>42</v>
      </c>
      <c r="D28" s="1" t="s">
        <v>20</v>
      </c>
      <c r="E28" s="1" t="s">
        <v>21</v>
      </c>
      <c r="F28" s="1" t="n">
        <v>9</v>
      </c>
      <c r="G28" s="2" t="s">
        <v>24</v>
      </c>
      <c r="H28" s="1" t="n">
        <v>0.1836</v>
      </c>
      <c r="I28" s="1" t="n">
        <v>0.355414352424984</v>
      </c>
      <c r="J28" s="1" t="n">
        <v>0.369810481327871</v>
      </c>
      <c r="K28" s="1" t="n">
        <f aca="false">J28-I28</f>
        <v>0.014396128902887</v>
      </c>
      <c r="L28" s="1" t="n">
        <v>0.601148402331265</v>
      </c>
      <c r="N28" s="8"/>
    </row>
    <row r="29" customFormat="false" ht="15" hidden="false" customHeight="false" outlineLevel="0" collapsed="false">
      <c r="A29" s="3" t="s">
        <v>40</v>
      </c>
      <c r="B29" s="3" t="s">
        <v>41</v>
      </c>
      <c r="C29" s="3" t="s">
        <v>42</v>
      </c>
      <c r="D29" s="1" t="s">
        <v>20</v>
      </c>
      <c r="E29" s="1" t="s">
        <v>21</v>
      </c>
      <c r="F29" s="1" t="n">
        <v>9</v>
      </c>
      <c r="G29" s="2" t="s">
        <v>22</v>
      </c>
      <c r="H29" s="1" t="n">
        <v>0.1759</v>
      </c>
      <c r="I29" s="1" t="n">
        <v>0.340613554949168</v>
      </c>
      <c r="J29" s="1" t="n">
        <v>0.357315612484532</v>
      </c>
      <c r="K29" s="1" t="n">
        <f aca="false">J29-I29</f>
        <v>0.016702057535364</v>
      </c>
      <c r="L29" s="1" t="n">
        <v>0.601148402331265</v>
      </c>
      <c r="N29" s="8"/>
    </row>
    <row r="30" customFormat="false" ht="15" hidden="false" customHeight="false" outlineLevel="0" collapsed="false">
      <c r="A30" s="3" t="s">
        <v>40</v>
      </c>
      <c r="B30" s="3" t="s">
        <v>41</v>
      </c>
      <c r="C30" s="3" t="s">
        <v>42</v>
      </c>
      <c r="D30" s="1" t="s">
        <v>20</v>
      </c>
      <c r="E30" s="1" t="s">
        <v>21</v>
      </c>
      <c r="F30" s="1" t="n">
        <v>9</v>
      </c>
      <c r="G30" s="2" t="s">
        <v>26</v>
      </c>
      <c r="H30" s="1" t="n">
        <v>0.1646</v>
      </c>
      <c r="I30" s="1" t="n">
        <v>0.318718731227181</v>
      </c>
      <c r="J30" s="1" t="n">
        <v>0.29542059488929</v>
      </c>
      <c r="K30" s="1" t="n">
        <f aca="false">J30-I30</f>
        <v>-0.023298136337891</v>
      </c>
      <c r="L30" s="1" t="n">
        <v>0.601148402331265</v>
      </c>
      <c r="N30" s="8"/>
    </row>
    <row r="31" customFormat="false" ht="15" hidden="false" customHeight="false" outlineLevel="0" collapsed="false">
      <c r="A31" s="3" t="s">
        <v>40</v>
      </c>
      <c r="B31" s="3" t="s">
        <v>41</v>
      </c>
      <c r="C31" s="3" t="s">
        <v>42</v>
      </c>
      <c r="D31" s="1" t="s">
        <v>20</v>
      </c>
      <c r="E31" s="1" t="s">
        <v>21</v>
      </c>
      <c r="F31" s="1" t="n">
        <v>9</v>
      </c>
      <c r="G31" s="2" t="s">
        <v>25</v>
      </c>
      <c r="H31" s="1" t="n">
        <v>0.1587</v>
      </c>
      <c r="I31" s="1" t="n">
        <v>0.307263386989912</v>
      </c>
      <c r="J31" s="1" t="n">
        <v>0.341621066086357</v>
      </c>
      <c r="K31" s="1" t="n">
        <f aca="false">J31-I31</f>
        <v>0.034357679096445</v>
      </c>
      <c r="L31" s="1" t="n">
        <v>0.601148402331265</v>
      </c>
      <c r="N31" s="8"/>
    </row>
    <row r="32" customFormat="false" ht="15" hidden="false" customHeight="false" outlineLevel="0" collapsed="false">
      <c r="A32" s="3" t="s">
        <v>40</v>
      </c>
      <c r="B32" s="3" t="s">
        <v>41</v>
      </c>
      <c r="C32" s="3" t="s">
        <v>42</v>
      </c>
      <c r="D32" s="1" t="s">
        <v>20</v>
      </c>
      <c r="E32" s="1" t="s">
        <v>21</v>
      </c>
      <c r="F32" s="1" t="n">
        <v>9</v>
      </c>
      <c r="G32" s="2" t="s">
        <v>27</v>
      </c>
      <c r="H32" s="1" t="n">
        <v>0.1</v>
      </c>
      <c r="I32" s="1" t="n">
        <v>0.254240748632039</v>
      </c>
      <c r="J32" s="1" t="n">
        <v>0.271795744568209</v>
      </c>
      <c r="K32" s="1" t="n">
        <f aca="false">J32-I32</f>
        <v>0.01755499593617</v>
      </c>
      <c r="L32" s="1" t="n">
        <v>0.601148402331265</v>
      </c>
      <c r="N32" s="8"/>
    </row>
    <row r="33" customFormat="false" ht="15" hidden="false" customHeight="false" outlineLevel="0" collapsed="false">
      <c r="A33" s="3" t="s">
        <v>43</v>
      </c>
      <c r="B33" s="3" t="s">
        <v>44</v>
      </c>
      <c r="C33" s="3" t="s">
        <v>45</v>
      </c>
      <c r="D33" s="1" t="s">
        <v>20</v>
      </c>
      <c r="E33" s="1" t="s">
        <v>21</v>
      </c>
      <c r="F33" s="1" t="n">
        <v>11</v>
      </c>
      <c r="G33" s="2" t="s">
        <v>23</v>
      </c>
      <c r="H33" s="1" t="n">
        <v>0.218</v>
      </c>
      <c r="I33" s="1" t="n">
        <v>0.364714020203643</v>
      </c>
      <c r="J33" s="1" t="n">
        <v>0.365408351737943</v>
      </c>
      <c r="K33" s="1" t="n">
        <f aca="false">J33-I33</f>
        <v>0.000694331534299986</v>
      </c>
      <c r="L33" s="1" t="n">
        <v>0.773499226539065</v>
      </c>
      <c r="N33" s="8" t="n">
        <f aca="false">AVERAGE(K33:K38)</f>
        <v>0.01469726294179</v>
      </c>
    </row>
    <row r="34" customFormat="false" ht="15" hidden="false" customHeight="false" outlineLevel="0" collapsed="false">
      <c r="A34" s="3" t="s">
        <v>43</v>
      </c>
      <c r="B34" s="3" t="s">
        <v>44</v>
      </c>
      <c r="C34" s="3" t="s">
        <v>45</v>
      </c>
      <c r="D34" s="1" t="s">
        <v>20</v>
      </c>
      <c r="E34" s="1" t="s">
        <v>21</v>
      </c>
      <c r="F34" s="1" t="n">
        <v>11</v>
      </c>
      <c r="G34" s="2" t="s">
        <v>24</v>
      </c>
      <c r="H34" s="1" t="n">
        <v>0.1915</v>
      </c>
      <c r="I34" s="1" t="n">
        <v>0.320443453988624</v>
      </c>
      <c r="J34" s="1" t="n">
        <v>0.325038986200068</v>
      </c>
      <c r="K34" s="1" t="n">
        <f aca="false">J34-I34</f>
        <v>0.00459553221144399</v>
      </c>
      <c r="L34" s="1" t="n">
        <v>0.773499226539065</v>
      </c>
      <c r="N34" s="8"/>
    </row>
    <row r="35" customFormat="false" ht="15" hidden="false" customHeight="false" outlineLevel="0" collapsed="false">
      <c r="A35" s="3" t="s">
        <v>43</v>
      </c>
      <c r="B35" s="3" t="s">
        <v>44</v>
      </c>
      <c r="C35" s="3" t="s">
        <v>45</v>
      </c>
      <c r="D35" s="1" t="s">
        <v>20</v>
      </c>
      <c r="E35" s="1" t="s">
        <v>21</v>
      </c>
      <c r="F35" s="1" t="n">
        <v>11</v>
      </c>
      <c r="G35" s="2" t="s">
        <v>22</v>
      </c>
      <c r="H35" s="1" t="n">
        <v>0.1837</v>
      </c>
      <c r="I35" s="1" t="n">
        <v>0.307429162715186</v>
      </c>
      <c r="J35" s="1" t="n">
        <v>0.343385224285674</v>
      </c>
      <c r="K35" s="1" t="n">
        <f aca="false">J35-I35</f>
        <v>0.035956061570488</v>
      </c>
      <c r="L35" s="1" t="n">
        <v>0.773499226539065</v>
      </c>
      <c r="N35" s="8"/>
    </row>
    <row r="36" customFormat="false" ht="15" hidden="false" customHeight="false" outlineLevel="0" collapsed="false">
      <c r="A36" s="3" t="s">
        <v>43</v>
      </c>
      <c r="B36" s="3" t="s">
        <v>44</v>
      </c>
      <c r="C36" s="3" t="s">
        <v>45</v>
      </c>
      <c r="D36" s="1" t="s">
        <v>20</v>
      </c>
      <c r="E36" s="1" t="s">
        <v>21</v>
      </c>
      <c r="F36" s="1" t="n">
        <v>11</v>
      </c>
      <c r="G36" s="2" t="s">
        <v>25</v>
      </c>
      <c r="H36" s="1" t="n">
        <v>0.1605</v>
      </c>
      <c r="I36" s="1" t="n">
        <v>0.268554926270315</v>
      </c>
      <c r="J36" s="1" t="n">
        <v>0.269546647358691</v>
      </c>
      <c r="K36" s="1" t="n">
        <f aca="false">J36-I36</f>
        <v>0.000991721088375974</v>
      </c>
      <c r="L36" s="1" t="n">
        <v>0.773499226539065</v>
      </c>
      <c r="N36" s="8"/>
    </row>
    <row r="37" customFormat="false" ht="15" hidden="false" customHeight="false" outlineLevel="0" collapsed="false">
      <c r="A37" s="3" t="s">
        <v>43</v>
      </c>
      <c r="B37" s="3" t="s">
        <v>44</v>
      </c>
      <c r="C37" s="3" t="s">
        <v>45</v>
      </c>
      <c r="D37" s="1" t="s">
        <v>20</v>
      </c>
      <c r="E37" s="1" t="s">
        <v>21</v>
      </c>
      <c r="F37" s="1" t="n">
        <v>11</v>
      </c>
      <c r="G37" s="2" t="s">
        <v>39</v>
      </c>
      <c r="H37" s="1" t="n">
        <v>0.1463</v>
      </c>
      <c r="I37" s="1" t="n">
        <v>0.244795100041156</v>
      </c>
      <c r="J37" s="1" t="n">
        <v>0.261212964894065</v>
      </c>
      <c r="K37" s="1" t="n">
        <f aca="false">J37-I37</f>
        <v>0.016417864852909</v>
      </c>
      <c r="L37" s="1" t="n">
        <v>0.773499226539065</v>
      </c>
      <c r="N37" s="8"/>
    </row>
    <row r="38" customFormat="false" ht="15" hidden="false" customHeight="false" outlineLevel="0" collapsed="false">
      <c r="A38" s="3" t="s">
        <v>43</v>
      </c>
      <c r="B38" s="3" t="s">
        <v>44</v>
      </c>
      <c r="C38" s="3" t="s">
        <v>45</v>
      </c>
      <c r="D38" s="1" t="s">
        <v>20</v>
      </c>
      <c r="E38" s="1" t="s">
        <v>21</v>
      </c>
      <c r="F38" s="1" t="n">
        <v>11</v>
      </c>
      <c r="G38" s="2" t="s">
        <v>27</v>
      </c>
      <c r="H38" s="1" t="n">
        <v>0.1</v>
      </c>
      <c r="I38" s="1" t="n">
        <v>0.194321806062106</v>
      </c>
      <c r="J38" s="1" t="n">
        <v>0.223849872455329</v>
      </c>
      <c r="K38" s="1" t="n">
        <f aca="false">J38-I38</f>
        <v>0.029528066393223</v>
      </c>
      <c r="L38" s="1" t="n">
        <v>0.773499226539065</v>
      </c>
      <c r="N38" s="8"/>
    </row>
    <row r="39" customFormat="false" ht="15" hidden="false" customHeight="false" outlineLevel="0" collapsed="false">
      <c r="A39" s="3" t="s">
        <v>46</v>
      </c>
      <c r="B39" s="3" t="s">
        <v>47</v>
      </c>
      <c r="C39" s="3" t="s">
        <v>48</v>
      </c>
      <c r="D39" s="1" t="s">
        <v>20</v>
      </c>
      <c r="E39" s="1" t="s">
        <v>21</v>
      </c>
      <c r="F39" s="1" t="n">
        <v>13</v>
      </c>
      <c r="G39" s="2" t="s">
        <v>23</v>
      </c>
      <c r="H39" s="1" t="n">
        <v>0.2194</v>
      </c>
      <c r="I39" s="1" t="n">
        <v>0.340826909717478</v>
      </c>
      <c r="J39" s="1" t="n">
        <v>0.405587229911124</v>
      </c>
      <c r="K39" s="1" t="n">
        <f aca="false">J39-I39</f>
        <v>0.064760320193646</v>
      </c>
      <c r="L39" s="1" t="n">
        <v>0.65742523257328</v>
      </c>
      <c r="N39" s="8" t="n">
        <f aca="false">AVERAGE(K39:K44)</f>
        <v>0.0829098710406138</v>
      </c>
    </row>
    <row r="40" customFormat="false" ht="15" hidden="false" customHeight="false" outlineLevel="0" collapsed="false">
      <c r="A40" s="3" t="s">
        <v>46</v>
      </c>
      <c r="B40" s="3" t="s">
        <v>47</v>
      </c>
      <c r="C40" s="3" t="s">
        <v>48</v>
      </c>
      <c r="D40" s="1" t="s">
        <v>20</v>
      </c>
      <c r="E40" s="1" t="s">
        <v>21</v>
      </c>
      <c r="F40" s="1" t="n">
        <v>13</v>
      </c>
      <c r="G40" s="2" t="s">
        <v>22</v>
      </c>
      <c r="H40" s="1" t="n">
        <v>0.1943</v>
      </c>
      <c r="I40" s="1" t="n">
        <v>0.30177996121294</v>
      </c>
      <c r="J40" s="1" t="n">
        <v>0.376021647852192</v>
      </c>
      <c r="K40" s="1" t="n">
        <f aca="false">J40-I40</f>
        <v>0.074241686639252</v>
      </c>
      <c r="L40" s="1" t="n">
        <v>0.65742523257328</v>
      </c>
      <c r="N40" s="8"/>
    </row>
    <row r="41" customFormat="false" ht="15" hidden="false" customHeight="false" outlineLevel="0" collapsed="false">
      <c r="A41" s="3" t="s">
        <v>46</v>
      </c>
      <c r="B41" s="3" t="s">
        <v>47</v>
      </c>
      <c r="C41" s="3" t="s">
        <v>48</v>
      </c>
      <c r="D41" s="1" t="s">
        <v>20</v>
      </c>
      <c r="E41" s="1" t="s">
        <v>21</v>
      </c>
      <c r="F41" s="1" t="n">
        <v>13</v>
      </c>
      <c r="G41" s="2" t="s">
        <v>24</v>
      </c>
      <c r="H41" s="1" t="n">
        <v>0.1937</v>
      </c>
      <c r="I41" s="1" t="n">
        <v>0.300892053100592</v>
      </c>
      <c r="J41" s="1" t="n">
        <v>0.382475740896639</v>
      </c>
      <c r="K41" s="1" t="n">
        <f aca="false">J41-I41</f>
        <v>0.081583687796047</v>
      </c>
      <c r="L41" s="1" t="n">
        <v>0.65742523257328</v>
      </c>
      <c r="N41" s="8"/>
    </row>
    <row r="42" customFormat="false" ht="15" hidden="false" customHeight="false" outlineLevel="0" collapsed="false">
      <c r="A42" s="3" t="s">
        <v>46</v>
      </c>
      <c r="B42" s="3" t="s">
        <v>47</v>
      </c>
      <c r="C42" s="3" t="s">
        <v>48</v>
      </c>
      <c r="D42" s="1" t="s">
        <v>20</v>
      </c>
      <c r="E42" s="1" t="s">
        <v>21</v>
      </c>
      <c r="F42" s="1" t="n">
        <v>13</v>
      </c>
      <c r="G42" s="2" t="s">
        <v>31</v>
      </c>
      <c r="H42" s="1" t="n">
        <v>0.1529</v>
      </c>
      <c r="I42" s="1" t="n">
        <v>0.237516358724694</v>
      </c>
      <c r="J42" s="1" t="n">
        <v>0.284010679138937</v>
      </c>
      <c r="K42" s="1" t="n">
        <f aca="false">J42-I42</f>
        <v>0.046494320414243</v>
      </c>
      <c r="L42" s="1" t="n">
        <v>0.65742523257328</v>
      </c>
      <c r="N42" s="8"/>
    </row>
    <row r="43" customFormat="false" ht="15" hidden="false" customHeight="false" outlineLevel="0" collapsed="false">
      <c r="A43" s="3" t="s">
        <v>46</v>
      </c>
      <c r="B43" s="3" t="s">
        <v>47</v>
      </c>
      <c r="C43" s="3" t="s">
        <v>48</v>
      </c>
      <c r="D43" s="1" t="s">
        <v>20</v>
      </c>
      <c r="E43" s="1" t="s">
        <v>21</v>
      </c>
      <c r="F43" s="1" t="n">
        <v>13</v>
      </c>
      <c r="G43" s="2" t="s">
        <v>25</v>
      </c>
      <c r="H43" s="1" t="n">
        <v>0.1398</v>
      </c>
      <c r="I43" s="1" t="n">
        <v>0.21710583414299</v>
      </c>
      <c r="J43" s="1" t="n">
        <v>0.351088371008896</v>
      </c>
      <c r="K43" s="1" t="n">
        <f aca="false">J43-I43</f>
        <v>0.133982536865906</v>
      </c>
      <c r="L43" s="1" t="n">
        <v>0.65742523257328</v>
      </c>
      <c r="N43" s="8"/>
    </row>
    <row r="44" customFormat="false" ht="15" hidden="false" customHeight="false" outlineLevel="0" collapsed="false">
      <c r="A44" s="3" t="s">
        <v>46</v>
      </c>
      <c r="B44" s="3" t="s">
        <v>47</v>
      </c>
      <c r="C44" s="3" t="s">
        <v>48</v>
      </c>
      <c r="D44" s="1" t="s">
        <v>20</v>
      </c>
      <c r="E44" s="1" t="s">
        <v>21</v>
      </c>
      <c r="F44" s="1" t="n">
        <v>13</v>
      </c>
      <c r="G44" s="2" t="s">
        <v>27</v>
      </c>
      <c r="H44" s="1" t="n">
        <v>0.1</v>
      </c>
      <c r="I44" s="1" t="n">
        <v>0.182989380424385</v>
      </c>
      <c r="J44" s="1" t="n">
        <v>0.279386054758974</v>
      </c>
      <c r="K44" s="1" t="n">
        <f aca="false">J44-I44</f>
        <v>0.096396674334589</v>
      </c>
      <c r="L44" s="1" t="n">
        <v>0.65742523257328</v>
      </c>
    </row>
    <row r="45" customFormat="false" ht="15" hidden="false" customHeight="false" outlineLevel="0" collapsed="false">
      <c r="A45" s="3" t="s">
        <v>49</v>
      </c>
      <c r="B45" s="3" t="s">
        <v>50</v>
      </c>
      <c r="C45" s="3" t="s">
        <v>51</v>
      </c>
      <c r="D45" s="1" t="s">
        <v>20</v>
      </c>
      <c r="E45" s="1" t="s">
        <v>21</v>
      </c>
      <c r="F45" s="1" t="n">
        <v>15</v>
      </c>
      <c r="G45" s="2" t="s">
        <v>24</v>
      </c>
      <c r="H45" s="1" t="n">
        <v>0.1944</v>
      </c>
      <c r="I45" s="1" t="n">
        <v>0.398568297611652</v>
      </c>
      <c r="J45" s="1" t="n">
        <v>0.382629148741911</v>
      </c>
      <c r="K45" s="1" t="n">
        <f aca="false">J45-I45</f>
        <v>-0.015939148869741</v>
      </c>
      <c r="L45" s="1" t="n">
        <v>0.712613137045905</v>
      </c>
      <c r="N45" s="8" t="n">
        <f aca="false">AVERAGE(K45:K50)</f>
        <v>-0.00584173638427968</v>
      </c>
    </row>
    <row r="46" customFormat="false" ht="15" hidden="false" customHeight="false" outlineLevel="0" collapsed="false">
      <c r="A46" s="3" t="s">
        <v>49</v>
      </c>
      <c r="B46" s="3" t="s">
        <v>50</v>
      </c>
      <c r="C46" s="3" t="s">
        <v>51</v>
      </c>
      <c r="D46" s="1" t="s">
        <v>20</v>
      </c>
      <c r="E46" s="1" t="s">
        <v>21</v>
      </c>
      <c r="F46" s="1" t="n">
        <v>15</v>
      </c>
      <c r="G46" s="2" t="s">
        <v>23</v>
      </c>
      <c r="H46" s="1" t="n">
        <v>0.1943</v>
      </c>
      <c r="I46" s="1" t="n">
        <v>0.398504728315824</v>
      </c>
      <c r="J46" s="1" t="n">
        <v>0.405208178313358</v>
      </c>
      <c r="K46" s="1" t="n">
        <f aca="false">J46-I46</f>
        <v>0.00670344999753397</v>
      </c>
      <c r="L46" s="1" t="n">
        <v>0.712613137045905</v>
      </c>
      <c r="N46" s="8"/>
    </row>
    <row r="47" customFormat="false" ht="15" hidden="false" customHeight="false" outlineLevel="0" collapsed="false">
      <c r="A47" s="3" t="s">
        <v>49</v>
      </c>
      <c r="B47" s="3" t="s">
        <v>50</v>
      </c>
      <c r="C47" s="3" t="s">
        <v>51</v>
      </c>
      <c r="D47" s="1" t="s">
        <v>20</v>
      </c>
      <c r="E47" s="1" t="s">
        <v>21</v>
      </c>
      <c r="F47" s="1" t="n">
        <v>15</v>
      </c>
      <c r="G47" s="2" t="s">
        <v>22</v>
      </c>
      <c r="H47" s="1" t="n">
        <v>0.1761</v>
      </c>
      <c r="I47" s="1" t="n">
        <v>0.361193143298602</v>
      </c>
      <c r="J47" s="1" t="n">
        <v>0.358125872645051</v>
      </c>
      <c r="K47" s="1" t="n">
        <f aca="false">J47-I47</f>
        <v>-0.003067270653551</v>
      </c>
      <c r="L47" s="1" t="n">
        <v>0.712613137045905</v>
      </c>
      <c r="N47" s="8"/>
    </row>
    <row r="48" customFormat="false" ht="15" hidden="false" customHeight="false" outlineLevel="0" collapsed="false">
      <c r="A48" s="3" t="s">
        <v>49</v>
      </c>
      <c r="B48" s="3" t="s">
        <v>50</v>
      </c>
      <c r="C48" s="3" t="s">
        <v>51</v>
      </c>
      <c r="D48" s="1" t="s">
        <v>20</v>
      </c>
      <c r="E48" s="1" t="s">
        <v>21</v>
      </c>
      <c r="F48" s="1" t="n">
        <v>15</v>
      </c>
      <c r="G48" s="2" t="s">
        <v>26</v>
      </c>
      <c r="H48" s="1" t="n">
        <v>0.1718</v>
      </c>
      <c r="I48" s="1" t="n">
        <v>0.352249881698697</v>
      </c>
      <c r="J48" s="1" t="n">
        <v>0.347187388914993</v>
      </c>
      <c r="K48" s="1" t="n">
        <f aca="false">J48-I48</f>
        <v>-0.00506249278370397</v>
      </c>
      <c r="L48" s="1" t="n">
        <v>0.712613137045905</v>
      </c>
      <c r="N48" s="8"/>
    </row>
    <row r="49" customFormat="false" ht="15" hidden="false" customHeight="false" outlineLevel="0" collapsed="false">
      <c r="A49" s="3" t="s">
        <v>49</v>
      </c>
      <c r="B49" s="3" t="s">
        <v>50</v>
      </c>
      <c r="C49" s="3" t="s">
        <v>51</v>
      </c>
      <c r="D49" s="1" t="s">
        <v>20</v>
      </c>
      <c r="E49" s="1" t="s">
        <v>21</v>
      </c>
      <c r="F49" s="1" t="n">
        <v>15</v>
      </c>
      <c r="G49" s="2" t="s">
        <v>52</v>
      </c>
      <c r="H49" s="1" t="n">
        <v>0.1634</v>
      </c>
      <c r="I49" s="1" t="n">
        <v>0.33509552734699</v>
      </c>
      <c r="J49" s="1" t="n">
        <v>0.327486670319267</v>
      </c>
      <c r="K49" s="1" t="n">
        <f aca="false">J49-I49</f>
        <v>-0.00760885702772302</v>
      </c>
      <c r="L49" s="1" t="n">
        <v>0.712613137045905</v>
      </c>
      <c r="N49" s="8"/>
    </row>
    <row r="50" customFormat="false" ht="15" hidden="false" customHeight="false" outlineLevel="0" collapsed="false">
      <c r="A50" s="3" t="s">
        <v>49</v>
      </c>
      <c r="B50" s="3" t="s">
        <v>50</v>
      </c>
      <c r="C50" s="3" t="s">
        <v>51</v>
      </c>
      <c r="D50" s="1" t="s">
        <v>20</v>
      </c>
      <c r="E50" s="1" t="s">
        <v>21</v>
      </c>
      <c r="F50" s="1" t="n">
        <v>15</v>
      </c>
      <c r="G50" s="2" t="s">
        <v>27</v>
      </c>
      <c r="H50" s="1" t="n">
        <v>0.1</v>
      </c>
      <c r="I50" s="1" t="n">
        <v>0.265665963089785</v>
      </c>
      <c r="J50" s="1" t="n">
        <v>0.255589864121292</v>
      </c>
      <c r="K50" s="1" t="n">
        <f aca="false">J50-I50</f>
        <v>-0.010076098968493</v>
      </c>
      <c r="L50" s="1" t="n">
        <v>0.712613137045905</v>
      </c>
      <c r="N50" s="8"/>
    </row>
    <row r="51" customFormat="false" ht="15" hidden="false" customHeight="false" outlineLevel="0" collapsed="false">
      <c r="A51" s="3" t="s">
        <v>53</v>
      </c>
      <c r="B51" s="3" t="s">
        <v>54</v>
      </c>
      <c r="C51" s="3" t="s">
        <v>55</v>
      </c>
      <c r="D51" s="1" t="s">
        <v>20</v>
      </c>
      <c r="E51" s="1" t="s">
        <v>21</v>
      </c>
      <c r="F51" s="1" t="n">
        <v>17</v>
      </c>
      <c r="G51" s="2" t="s">
        <v>23</v>
      </c>
      <c r="H51" s="1" t="n">
        <v>0.2053</v>
      </c>
      <c r="I51" s="1" t="n">
        <v>0.449277263944785</v>
      </c>
      <c r="J51" s="1" t="n">
        <v>0.398975661299989</v>
      </c>
      <c r="K51" s="1" t="n">
        <f aca="false">J51-I51</f>
        <v>-0.050301602644796</v>
      </c>
      <c r="L51" s="1" t="n">
        <v>0.695082856151577</v>
      </c>
      <c r="N51" s="8" t="n">
        <f aca="false">AVERAGE(K51:K56)</f>
        <v>-0.040114989713235</v>
      </c>
    </row>
    <row r="52" customFormat="false" ht="15" hidden="false" customHeight="false" outlineLevel="0" collapsed="false">
      <c r="A52" s="3" t="s">
        <v>53</v>
      </c>
      <c r="B52" s="3" t="s">
        <v>54</v>
      </c>
      <c r="C52" s="3" t="s">
        <v>55</v>
      </c>
      <c r="D52" s="1" t="s">
        <v>20</v>
      </c>
      <c r="E52" s="1" t="s">
        <v>21</v>
      </c>
      <c r="F52" s="1" t="n">
        <v>17</v>
      </c>
      <c r="G52" s="2" t="s">
        <v>22</v>
      </c>
      <c r="H52" s="1" t="n">
        <v>0.1956</v>
      </c>
      <c r="I52" s="1" t="n">
        <v>0.428059147422762</v>
      </c>
      <c r="J52" s="1" t="n">
        <v>0.361254133840425</v>
      </c>
      <c r="K52" s="1" t="n">
        <f aca="false">J52-I52</f>
        <v>-0.066805013582337</v>
      </c>
      <c r="L52" s="1" t="n">
        <v>0.695082856151577</v>
      </c>
      <c r="N52" s="8"/>
    </row>
    <row r="53" customFormat="false" ht="15" hidden="false" customHeight="false" outlineLevel="0" collapsed="false">
      <c r="A53" s="3" t="s">
        <v>53</v>
      </c>
      <c r="B53" s="3" t="s">
        <v>54</v>
      </c>
      <c r="C53" s="3" t="s">
        <v>55</v>
      </c>
      <c r="D53" s="1" t="s">
        <v>20</v>
      </c>
      <c r="E53" s="1" t="s">
        <v>21</v>
      </c>
      <c r="F53" s="1" t="n">
        <v>17</v>
      </c>
      <c r="G53" s="2" t="s">
        <v>24</v>
      </c>
      <c r="H53" s="1" t="n">
        <v>0.1716</v>
      </c>
      <c r="I53" s="1" t="n">
        <v>0.375470286525525</v>
      </c>
      <c r="J53" s="1" t="n">
        <v>0.363267945162679</v>
      </c>
      <c r="K53" s="1" t="n">
        <f aca="false">J53-I53</f>
        <v>-0.012202341362846</v>
      </c>
      <c r="L53" s="1" t="n">
        <v>0.695082856151577</v>
      </c>
      <c r="N53" s="8"/>
    </row>
    <row r="54" customFormat="false" ht="15" hidden="false" customHeight="false" outlineLevel="0" collapsed="false">
      <c r="A54" s="3" t="s">
        <v>53</v>
      </c>
      <c r="B54" s="3" t="s">
        <v>54</v>
      </c>
      <c r="C54" s="3" t="s">
        <v>55</v>
      </c>
      <c r="D54" s="1" t="s">
        <v>20</v>
      </c>
      <c r="E54" s="1" t="s">
        <v>21</v>
      </c>
      <c r="F54" s="1" t="n">
        <v>17</v>
      </c>
      <c r="G54" s="2" t="s">
        <v>39</v>
      </c>
      <c r="H54" s="1" t="n">
        <v>0.1662</v>
      </c>
      <c r="I54" s="1" t="n">
        <v>0.363692846818006</v>
      </c>
      <c r="J54" s="1" t="n">
        <v>0.320944878619286</v>
      </c>
      <c r="K54" s="1" t="n">
        <f aca="false">J54-I54</f>
        <v>-0.04274796819872</v>
      </c>
      <c r="L54" s="1" t="n">
        <v>0.695082856151577</v>
      </c>
      <c r="N54" s="8"/>
    </row>
    <row r="55" customFormat="false" ht="15" hidden="false" customHeight="false" outlineLevel="0" collapsed="false">
      <c r="A55" s="3" t="s">
        <v>53</v>
      </c>
      <c r="B55" s="3" t="s">
        <v>54</v>
      </c>
      <c r="C55" s="3" t="s">
        <v>55</v>
      </c>
      <c r="D55" s="1" t="s">
        <v>20</v>
      </c>
      <c r="E55" s="1" t="s">
        <v>21</v>
      </c>
      <c r="F55" s="1" t="n">
        <v>17</v>
      </c>
      <c r="G55" s="2" t="s">
        <v>26</v>
      </c>
      <c r="H55" s="1" t="n">
        <v>0.1613</v>
      </c>
      <c r="I55" s="1" t="n">
        <v>0.352863894651206</v>
      </c>
      <c r="J55" s="1" t="n">
        <v>0.310666354514408</v>
      </c>
      <c r="K55" s="1" t="n">
        <f aca="false">J55-I55</f>
        <v>-0.042197540136798</v>
      </c>
      <c r="L55" s="1" t="n">
        <v>0.695082856151577</v>
      </c>
      <c r="N55" s="8"/>
    </row>
    <row r="56" customFormat="false" ht="15" hidden="false" customHeight="false" outlineLevel="0" collapsed="false">
      <c r="A56" s="3" t="s">
        <v>53</v>
      </c>
      <c r="B56" s="3" t="s">
        <v>54</v>
      </c>
      <c r="C56" s="3" t="s">
        <v>55</v>
      </c>
      <c r="D56" s="1" t="s">
        <v>20</v>
      </c>
      <c r="E56" s="1" t="s">
        <v>21</v>
      </c>
      <c r="F56" s="1" t="n">
        <v>17</v>
      </c>
      <c r="G56" s="2" t="s">
        <v>27</v>
      </c>
      <c r="H56" s="1" t="n">
        <v>0.1</v>
      </c>
      <c r="I56" s="1" t="n">
        <v>0.299251831889824</v>
      </c>
      <c r="J56" s="1" t="n">
        <v>0.272816359535911</v>
      </c>
      <c r="K56" s="1" t="n">
        <f aca="false">J56-I56</f>
        <v>-0.026435472353913</v>
      </c>
      <c r="L56" s="1" t="n">
        <v>0.695082856151577</v>
      </c>
      <c r="N56" s="8"/>
    </row>
    <row r="57" customFormat="false" ht="15" hidden="false" customHeight="false" outlineLevel="0" collapsed="false">
      <c r="A57" s="3" t="s">
        <v>56</v>
      </c>
      <c r="B57" s="3" t="s">
        <v>57</v>
      </c>
      <c r="C57" s="3" t="s">
        <v>58</v>
      </c>
      <c r="D57" s="1" t="s">
        <v>20</v>
      </c>
      <c r="E57" s="1" t="s">
        <v>21</v>
      </c>
      <c r="F57" s="1" t="n">
        <v>19</v>
      </c>
      <c r="G57" s="2" t="s">
        <v>23</v>
      </c>
      <c r="H57" s="1" t="n">
        <v>0.2066</v>
      </c>
      <c r="I57" s="1" t="n">
        <v>0.35267839180272</v>
      </c>
      <c r="J57" s="1" t="n">
        <v>0.39752516613301</v>
      </c>
      <c r="K57" s="1" t="n">
        <f aca="false">J57-I57</f>
        <v>0.04484677433029</v>
      </c>
      <c r="L57" s="1" t="n">
        <v>0.70158644000236</v>
      </c>
      <c r="N57" s="8" t="n">
        <f aca="false">AVERAGE(K57:K62)</f>
        <v>0.0408907789829383</v>
      </c>
    </row>
    <row r="58" customFormat="false" ht="15" hidden="false" customHeight="false" outlineLevel="0" collapsed="false">
      <c r="A58" s="3" t="s">
        <v>56</v>
      </c>
      <c r="B58" s="3" t="s">
        <v>57</v>
      </c>
      <c r="C58" s="3" t="s">
        <v>58</v>
      </c>
      <c r="D58" s="1" t="s">
        <v>20</v>
      </c>
      <c r="E58" s="1" t="s">
        <v>21</v>
      </c>
      <c r="F58" s="1" t="n">
        <v>19</v>
      </c>
      <c r="G58" s="2" t="s">
        <v>22</v>
      </c>
      <c r="H58" s="1" t="n">
        <v>0.1953</v>
      </c>
      <c r="I58" s="1" t="n">
        <v>0.333529782052155</v>
      </c>
      <c r="J58" s="1" t="n">
        <v>0.351034712872204</v>
      </c>
      <c r="K58" s="1" t="n">
        <f aca="false">J58-I58</f>
        <v>0.017504930820049</v>
      </c>
      <c r="L58" s="1" t="n">
        <v>0.70158644000236</v>
      </c>
      <c r="N58" s="8"/>
    </row>
    <row r="59" customFormat="false" ht="15" hidden="false" customHeight="false" outlineLevel="0" collapsed="false">
      <c r="A59" s="3" t="s">
        <v>56</v>
      </c>
      <c r="B59" s="3" t="s">
        <v>57</v>
      </c>
      <c r="C59" s="3" t="s">
        <v>58</v>
      </c>
      <c r="D59" s="1" t="s">
        <v>20</v>
      </c>
      <c r="E59" s="1" t="s">
        <v>21</v>
      </c>
      <c r="F59" s="1" t="n">
        <v>19</v>
      </c>
      <c r="G59" s="2" t="s">
        <v>24</v>
      </c>
      <c r="H59" s="1" t="n">
        <v>0.1774</v>
      </c>
      <c r="I59" s="1" t="n">
        <v>0.302911053895803</v>
      </c>
      <c r="J59" s="1" t="n">
        <v>0.372319549986548</v>
      </c>
      <c r="K59" s="1" t="n">
        <f aca="false">J59-I59</f>
        <v>0.069408496090745</v>
      </c>
      <c r="L59" s="1" t="n">
        <v>0.70158644000236</v>
      </c>
      <c r="N59" s="8"/>
    </row>
    <row r="60" customFormat="false" ht="15" hidden="false" customHeight="false" outlineLevel="0" collapsed="false">
      <c r="A60" s="3" t="s">
        <v>56</v>
      </c>
      <c r="B60" s="3" t="s">
        <v>57</v>
      </c>
      <c r="C60" s="3" t="s">
        <v>58</v>
      </c>
      <c r="D60" s="1" t="s">
        <v>20</v>
      </c>
      <c r="E60" s="1" t="s">
        <v>21</v>
      </c>
      <c r="F60" s="1" t="n">
        <v>19</v>
      </c>
      <c r="G60" s="2" t="s">
        <v>39</v>
      </c>
      <c r="H60" s="1" t="n">
        <v>0.1634</v>
      </c>
      <c r="I60" s="1" t="n">
        <v>0.279025855434086</v>
      </c>
      <c r="J60" s="1" t="n">
        <v>0.304079418751114</v>
      </c>
      <c r="K60" s="1" t="n">
        <f aca="false">J60-I60</f>
        <v>0.025053563317028</v>
      </c>
      <c r="L60" s="1" t="n">
        <v>0.70158644000236</v>
      </c>
      <c r="N60" s="8"/>
    </row>
    <row r="61" customFormat="false" ht="15" hidden="false" customHeight="false" outlineLevel="0" collapsed="false">
      <c r="A61" s="3" t="s">
        <v>56</v>
      </c>
      <c r="B61" s="3" t="s">
        <v>57</v>
      </c>
      <c r="C61" s="3" t="s">
        <v>58</v>
      </c>
      <c r="D61" s="1" t="s">
        <v>20</v>
      </c>
      <c r="E61" s="1" t="s">
        <v>21</v>
      </c>
      <c r="F61" s="1" t="n">
        <v>19</v>
      </c>
      <c r="G61" s="2" t="s">
        <v>25</v>
      </c>
      <c r="H61" s="1" t="n">
        <v>0.1572</v>
      </c>
      <c r="I61" s="1" t="n">
        <v>0.268474167479109</v>
      </c>
      <c r="J61" s="1" t="n">
        <v>0.302241725172491</v>
      </c>
      <c r="K61" s="1" t="n">
        <f aca="false">J61-I61</f>
        <v>0.033767557693382</v>
      </c>
      <c r="L61" s="1" t="n">
        <v>0.70158644000236</v>
      </c>
      <c r="N61" s="8"/>
    </row>
    <row r="62" customFormat="false" ht="15" hidden="false" customHeight="false" outlineLevel="0" collapsed="false">
      <c r="A62" s="3" t="s">
        <v>56</v>
      </c>
      <c r="B62" s="3" t="s">
        <v>57</v>
      </c>
      <c r="C62" s="3" t="s">
        <v>58</v>
      </c>
      <c r="D62" s="1" t="s">
        <v>20</v>
      </c>
      <c r="E62" s="1" t="s">
        <v>21</v>
      </c>
      <c r="F62" s="1" t="n">
        <v>19</v>
      </c>
      <c r="G62" s="2" t="s">
        <v>27</v>
      </c>
      <c r="H62" s="1" t="n">
        <v>0.1</v>
      </c>
      <c r="I62" s="1" t="n">
        <v>0.218193080851214</v>
      </c>
      <c r="J62" s="1" t="n">
        <v>0.27295643249735</v>
      </c>
      <c r="K62" s="1" t="n">
        <f aca="false">J62-I62</f>
        <v>0.054763351646136</v>
      </c>
      <c r="L62" s="1" t="n">
        <v>0.70158644000236</v>
      </c>
      <c r="N62" s="8"/>
    </row>
    <row r="63" customFormat="false" ht="15" hidden="false" customHeight="false" outlineLevel="0" collapsed="false">
      <c r="A63" s="3" t="s">
        <v>59</v>
      </c>
      <c r="B63" s="3" t="s">
        <v>60</v>
      </c>
      <c r="C63" s="3" t="s">
        <v>61</v>
      </c>
      <c r="D63" s="1" t="s">
        <v>20</v>
      </c>
      <c r="E63" s="1" t="s">
        <v>21</v>
      </c>
      <c r="F63" s="1" t="n">
        <v>21</v>
      </c>
      <c r="G63" s="2" t="s">
        <v>23</v>
      </c>
      <c r="H63" s="1" t="n">
        <v>0.1988</v>
      </c>
      <c r="I63" s="1" t="n">
        <v>0.30656128716316</v>
      </c>
      <c r="J63" s="1" t="n">
        <v>0.382317934265676</v>
      </c>
      <c r="K63" s="1" t="n">
        <f aca="false">J63-I63</f>
        <v>0.075756647102516</v>
      </c>
      <c r="L63" s="1" t="n">
        <v>0.697028043689582</v>
      </c>
      <c r="N63" s="8" t="n">
        <f aca="false">AVERAGE(K63:K68)</f>
        <v>0.0598247003611975</v>
      </c>
    </row>
    <row r="64" customFormat="false" ht="15" hidden="false" customHeight="false" outlineLevel="0" collapsed="false">
      <c r="A64" s="3" t="s">
        <v>59</v>
      </c>
      <c r="B64" s="3" t="s">
        <v>60</v>
      </c>
      <c r="C64" s="3" t="s">
        <v>61</v>
      </c>
      <c r="D64" s="1" t="s">
        <v>20</v>
      </c>
      <c r="E64" s="1" t="s">
        <v>21</v>
      </c>
      <c r="F64" s="1" t="n">
        <v>21</v>
      </c>
      <c r="G64" s="2" t="s">
        <v>22</v>
      </c>
      <c r="H64" s="1" t="n">
        <v>0.1917</v>
      </c>
      <c r="I64" s="1" t="n">
        <v>0.295663927900426</v>
      </c>
      <c r="J64" s="1" t="n">
        <v>0.365544707506275</v>
      </c>
      <c r="K64" s="1" t="n">
        <f aca="false">J64-I64</f>
        <v>0.069880779605849</v>
      </c>
      <c r="L64" s="1" t="n">
        <v>0.697028043689582</v>
      </c>
      <c r="N64" s="8"/>
    </row>
    <row r="65" customFormat="false" ht="15" hidden="false" customHeight="false" outlineLevel="0" collapsed="false">
      <c r="A65" s="3" t="s">
        <v>59</v>
      </c>
      <c r="B65" s="3" t="s">
        <v>60</v>
      </c>
      <c r="C65" s="3" t="s">
        <v>61</v>
      </c>
      <c r="D65" s="1" t="s">
        <v>20</v>
      </c>
      <c r="E65" s="1" t="s">
        <v>21</v>
      </c>
      <c r="F65" s="1" t="n">
        <v>21</v>
      </c>
      <c r="G65" s="2" t="s">
        <v>24</v>
      </c>
      <c r="H65" s="1" t="n">
        <v>0.1833</v>
      </c>
      <c r="I65" s="1" t="n">
        <v>0.282639523491494</v>
      </c>
      <c r="J65" s="1" t="n">
        <v>0.328747250969561</v>
      </c>
      <c r="K65" s="1" t="n">
        <f aca="false">J65-I65</f>
        <v>0.046107727478067</v>
      </c>
      <c r="L65" s="1" t="n">
        <v>0.697028043689582</v>
      </c>
      <c r="N65" s="8"/>
    </row>
    <row r="66" customFormat="false" ht="15" hidden="false" customHeight="false" outlineLevel="0" collapsed="false">
      <c r="A66" s="3" t="s">
        <v>59</v>
      </c>
      <c r="B66" s="3" t="s">
        <v>60</v>
      </c>
      <c r="C66" s="3" t="s">
        <v>61</v>
      </c>
      <c r="D66" s="1" t="s">
        <v>20</v>
      </c>
      <c r="E66" s="1" t="s">
        <v>21</v>
      </c>
      <c r="F66" s="1" t="n">
        <v>21</v>
      </c>
      <c r="G66" s="2" t="s">
        <v>25</v>
      </c>
      <c r="H66" s="1" t="n">
        <v>0.1692</v>
      </c>
      <c r="I66" s="1" t="n">
        <v>0.260997541718248</v>
      </c>
      <c r="J66" s="1" t="n">
        <v>0.32976399237855</v>
      </c>
      <c r="K66" s="1" t="n">
        <f aca="false">J66-I66</f>
        <v>0.068766450660302</v>
      </c>
      <c r="L66" s="1" t="n">
        <v>0.697028043689582</v>
      </c>
      <c r="N66" s="8"/>
    </row>
    <row r="67" customFormat="false" ht="15" hidden="false" customHeight="false" outlineLevel="0" collapsed="false">
      <c r="A67" s="3" t="s">
        <v>59</v>
      </c>
      <c r="B67" s="3" t="s">
        <v>60</v>
      </c>
      <c r="C67" s="3" t="s">
        <v>61</v>
      </c>
      <c r="D67" s="1" t="s">
        <v>20</v>
      </c>
      <c r="E67" s="1" t="s">
        <v>21</v>
      </c>
      <c r="F67" s="1" t="n">
        <v>21</v>
      </c>
      <c r="G67" s="2" t="s">
        <v>52</v>
      </c>
      <c r="H67" s="1" t="n">
        <v>0.157</v>
      </c>
      <c r="I67" s="1" t="n">
        <v>0.242125420421122</v>
      </c>
      <c r="J67" s="1" t="n">
        <v>0.286094252851187</v>
      </c>
      <c r="K67" s="1" t="n">
        <f aca="false">J67-I67</f>
        <v>0.043968832430065</v>
      </c>
      <c r="L67" s="1" t="n">
        <v>0.697028043689582</v>
      </c>
      <c r="N67" s="8"/>
    </row>
    <row r="68" customFormat="false" ht="15" hidden="false" customHeight="false" outlineLevel="0" collapsed="false">
      <c r="A68" s="3" t="s">
        <v>59</v>
      </c>
      <c r="B68" s="3" t="s">
        <v>60</v>
      </c>
      <c r="C68" s="3" t="s">
        <v>61</v>
      </c>
      <c r="D68" s="1" t="s">
        <v>20</v>
      </c>
      <c r="E68" s="1" t="s">
        <v>21</v>
      </c>
      <c r="F68" s="1" t="n">
        <v>21</v>
      </c>
      <c r="G68" s="2" t="s">
        <v>27</v>
      </c>
      <c r="H68" s="1" t="n">
        <v>0.1</v>
      </c>
      <c r="I68" s="1" t="n">
        <v>0.195875974507248</v>
      </c>
      <c r="J68" s="1" t="n">
        <v>0.250343739397634</v>
      </c>
      <c r="K68" s="1" t="n">
        <f aca="false">J68-I68</f>
        <v>0.054467764890386</v>
      </c>
      <c r="L68" s="1" t="n">
        <v>0.697028043689582</v>
      </c>
      <c r="N68" s="8"/>
    </row>
    <row r="69" customFormat="false" ht="15" hidden="false" customHeight="false" outlineLevel="0" collapsed="false">
      <c r="A69" s="3" t="s">
        <v>62</v>
      </c>
      <c r="B69" s="3" t="s">
        <v>63</v>
      </c>
      <c r="C69" s="3" t="s">
        <v>64</v>
      </c>
      <c r="D69" s="1" t="s">
        <v>20</v>
      </c>
      <c r="E69" s="1" t="s">
        <v>21</v>
      </c>
      <c r="F69" s="1" t="n">
        <v>23</v>
      </c>
      <c r="G69" s="2" t="s">
        <v>23</v>
      </c>
      <c r="H69" s="1" t="n">
        <v>0.2055</v>
      </c>
      <c r="I69" s="1" t="n">
        <v>0.291860269326647</v>
      </c>
      <c r="J69" s="1" t="n">
        <v>0.378300776787649</v>
      </c>
      <c r="K69" s="1" t="n">
        <f aca="false">J69-I69</f>
        <v>0.086440507461002</v>
      </c>
      <c r="L69" s="1" t="n">
        <v>0.780558840331467</v>
      </c>
      <c r="N69" s="8" t="n">
        <f aca="false">AVERAGE(K69:K74)</f>
        <v>0.0827110452636479</v>
      </c>
    </row>
    <row r="70" customFormat="false" ht="15" hidden="false" customHeight="false" outlineLevel="0" collapsed="false">
      <c r="A70" s="3" t="s">
        <v>62</v>
      </c>
      <c r="B70" s="3" t="s">
        <v>63</v>
      </c>
      <c r="C70" s="3" t="s">
        <v>64</v>
      </c>
      <c r="D70" s="1" t="s">
        <v>20</v>
      </c>
      <c r="E70" s="1" t="s">
        <v>21</v>
      </c>
      <c r="F70" s="1" t="n">
        <v>23</v>
      </c>
      <c r="G70" s="2" t="s">
        <v>25</v>
      </c>
      <c r="H70" s="1" t="n">
        <v>0.1861</v>
      </c>
      <c r="I70" s="1" t="n">
        <v>0.264234218906187</v>
      </c>
      <c r="J70" s="1" t="n">
        <v>0.304889379856265</v>
      </c>
      <c r="K70" s="1" t="n">
        <f aca="false">J70-I70</f>
        <v>0.040655160950078</v>
      </c>
      <c r="L70" s="1" t="n">
        <v>0.780558840331467</v>
      </c>
      <c r="N70" s="8"/>
    </row>
    <row r="71" customFormat="false" ht="15" hidden="false" customHeight="false" outlineLevel="0" collapsed="false">
      <c r="A71" s="3" t="s">
        <v>62</v>
      </c>
      <c r="B71" s="3" t="s">
        <v>63</v>
      </c>
      <c r="C71" s="3" t="s">
        <v>64</v>
      </c>
      <c r="D71" s="1" t="s">
        <v>20</v>
      </c>
      <c r="E71" s="1" t="s">
        <v>21</v>
      </c>
      <c r="F71" s="1" t="n">
        <v>23</v>
      </c>
      <c r="G71" s="2" t="s">
        <v>22</v>
      </c>
      <c r="H71" s="1" t="n">
        <v>0.1858</v>
      </c>
      <c r="I71" s="1" t="n">
        <v>0.263830258748342</v>
      </c>
      <c r="J71" s="1" t="n">
        <v>0.368228213581458</v>
      </c>
      <c r="K71" s="1" t="n">
        <f aca="false">J71-I71</f>
        <v>0.104397954833116</v>
      </c>
      <c r="L71" s="1" t="n">
        <v>0.780558840331467</v>
      </c>
      <c r="N71" s="8"/>
    </row>
    <row r="72" customFormat="false" ht="15" hidden="false" customHeight="false" outlineLevel="0" collapsed="false">
      <c r="A72" s="3" t="s">
        <v>62</v>
      </c>
      <c r="B72" s="3" t="s">
        <v>63</v>
      </c>
      <c r="C72" s="3" t="s">
        <v>64</v>
      </c>
      <c r="D72" s="1" t="s">
        <v>20</v>
      </c>
      <c r="E72" s="1" t="s">
        <v>21</v>
      </c>
      <c r="F72" s="1" t="n">
        <v>23</v>
      </c>
      <c r="G72" s="2" t="s">
        <v>24</v>
      </c>
      <c r="H72" s="1" t="n">
        <v>0.1632</v>
      </c>
      <c r="I72" s="1" t="n">
        <v>0.231769870203593</v>
      </c>
      <c r="J72" s="1" t="n">
        <v>0.321529794785656</v>
      </c>
      <c r="K72" s="1" t="n">
        <f aca="false">J72-I72</f>
        <v>0.089759924582063</v>
      </c>
      <c r="L72" s="1" t="n">
        <v>0.780558840331467</v>
      </c>
      <c r="N72" s="8"/>
    </row>
    <row r="73" customFormat="false" ht="15" hidden="false" customHeight="false" outlineLevel="0" collapsed="false">
      <c r="A73" s="3" t="s">
        <v>62</v>
      </c>
      <c r="B73" s="3" t="s">
        <v>63</v>
      </c>
      <c r="C73" s="3" t="s">
        <v>64</v>
      </c>
      <c r="D73" s="1" t="s">
        <v>20</v>
      </c>
      <c r="E73" s="1" t="s">
        <v>21</v>
      </c>
      <c r="F73" s="1" t="n">
        <v>23</v>
      </c>
      <c r="G73" s="2" t="s">
        <v>26</v>
      </c>
      <c r="H73" s="1" t="n">
        <v>0.1594</v>
      </c>
      <c r="I73" s="1" t="n">
        <v>0.226340322204508</v>
      </c>
      <c r="J73" s="1" t="n">
        <v>0.30642031073555</v>
      </c>
      <c r="K73" s="1" t="n">
        <f aca="false">J73-I73</f>
        <v>0.080079988531042</v>
      </c>
      <c r="L73" s="1" t="n">
        <v>0.780558840331467</v>
      </c>
      <c r="N73" s="8"/>
    </row>
    <row r="74" customFormat="false" ht="15" hidden="false" customHeight="false" outlineLevel="0" collapsed="false">
      <c r="A74" s="3" t="s">
        <v>62</v>
      </c>
      <c r="B74" s="3" t="s">
        <v>63</v>
      </c>
      <c r="C74" s="3" t="s">
        <v>64</v>
      </c>
      <c r="D74" s="1" t="s">
        <v>20</v>
      </c>
      <c r="E74" s="1" t="s">
        <v>21</v>
      </c>
      <c r="F74" s="1" t="n">
        <v>23</v>
      </c>
      <c r="G74" s="2" t="s">
        <v>27</v>
      </c>
      <c r="H74" s="1" t="n">
        <v>0.1</v>
      </c>
      <c r="I74" s="1" t="n">
        <v>0.150869605604778</v>
      </c>
      <c r="J74" s="1" t="n">
        <v>0.245802340829364</v>
      </c>
      <c r="K74" s="1" t="n">
        <f aca="false">J74-I74</f>
        <v>0.094932735224586</v>
      </c>
      <c r="L74" s="1" t="n">
        <v>0.780558840331467</v>
      </c>
      <c r="N74" s="8"/>
    </row>
    <row r="75" customFormat="false" ht="15" hidden="false" customHeight="false" outlineLevel="0" collapsed="false">
      <c r="A75" s="3" t="s">
        <v>65</v>
      </c>
      <c r="B75" s="3" t="s">
        <v>66</v>
      </c>
      <c r="C75" s="3" t="s">
        <v>67</v>
      </c>
      <c r="D75" s="1" t="s">
        <v>20</v>
      </c>
      <c r="E75" s="1" t="s">
        <v>21</v>
      </c>
      <c r="F75" s="1" t="n">
        <v>25</v>
      </c>
      <c r="G75" s="2" t="s">
        <v>23</v>
      </c>
      <c r="H75" s="1" t="n">
        <v>0.1988</v>
      </c>
      <c r="I75" s="1" t="n">
        <v>0.317436225682976</v>
      </c>
      <c r="J75" s="1" t="n">
        <v>0.415646619434987</v>
      </c>
      <c r="K75" s="1" t="n">
        <f aca="false">J75-I75</f>
        <v>0.098210393752011</v>
      </c>
      <c r="L75" s="1" t="n">
        <v>0.720814394600414</v>
      </c>
      <c r="N75" s="8" t="n">
        <f aca="false">AVERAGE(K75:K80)</f>
        <v>0.097198496547253</v>
      </c>
    </row>
    <row r="76" customFormat="false" ht="15" hidden="false" customHeight="false" outlineLevel="0" collapsed="false">
      <c r="A76" s="3" t="s">
        <v>65</v>
      </c>
      <c r="B76" s="3" t="s">
        <v>66</v>
      </c>
      <c r="C76" s="3" t="s">
        <v>67</v>
      </c>
      <c r="D76" s="1" t="s">
        <v>20</v>
      </c>
      <c r="E76" s="1" t="s">
        <v>21</v>
      </c>
      <c r="F76" s="1" t="n">
        <v>25</v>
      </c>
      <c r="G76" s="2" t="s">
        <v>22</v>
      </c>
      <c r="H76" s="1" t="n">
        <v>0.1901</v>
      </c>
      <c r="I76" s="1" t="n">
        <v>0.303570380355488</v>
      </c>
      <c r="J76" s="1" t="n">
        <v>0.358724901188833</v>
      </c>
      <c r="K76" s="1" t="n">
        <f aca="false">J76-I76</f>
        <v>0.055154520833345</v>
      </c>
      <c r="L76" s="1" t="n">
        <v>0.720814394600414</v>
      </c>
      <c r="N76" s="8"/>
    </row>
    <row r="77" customFormat="false" ht="15" hidden="false" customHeight="false" outlineLevel="0" collapsed="false">
      <c r="A77" s="3" t="s">
        <v>65</v>
      </c>
      <c r="B77" s="3" t="s">
        <v>66</v>
      </c>
      <c r="C77" s="3" t="s">
        <v>67</v>
      </c>
      <c r="D77" s="1" t="s">
        <v>20</v>
      </c>
      <c r="E77" s="1" t="s">
        <v>21</v>
      </c>
      <c r="F77" s="1" t="n">
        <v>25</v>
      </c>
      <c r="G77" s="2" t="s">
        <v>25</v>
      </c>
      <c r="H77" s="1" t="n">
        <v>0.1852</v>
      </c>
      <c r="I77" s="1" t="n">
        <v>0.295724639533131</v>
      </c>
      <c r="J77" s="1" t="n">
        <v>0.36657624919496</v>
      </c>
      <c r="K77" s="1" t="n">
        <f aca="false">J77-I77</f>
        <v>0.070851609661829</v>
      </c>
      <c r="L77" s="1" t="n">
        <v>0.720814394600414</v>
      </c>
      <c r="N77" s="8"/>
    </row>
    <row r="78" customFormat="false" ht="15" hidden="false" customHeight="false" outlineLevel="0" collapsed="false">
      <c r="A78" s="3" t="s">
        <v>65</v>
      </c>
      <c r="B78" s="3" t="s">
        <v>66</v>
      </c>
      <c r="C78" s="3" t="s">
        <v>67</v>
      </c>
      <c r="D78" s="1" t="s">
        <v>20</v>
      </c>
      <c r="E78" s="1" t="s">
        <v>21</v>
      </c>
      <c r="F78" s="1" t="n">
        <v>25</v>
      </c>
      <c r="G78" s="2" t="s">
        <v>24</v>
      </c>
      <c r="H78" s="1" t="n">
        <v>0.1677</v>
      </c>
      <c r="I78" s="1" t="n">
        <v>0.267725897707648</v>
      </c>
      <c r="J78" s="1" t="n">
        <v>0.394756625122045</v>
      </c>
      <c r="K78" s="1" t="n">
        <f aca="false">J78-I78</f>
        <v>0.127030727414397</v>
      </c>
      <c r="L78" s="1" t="n">
        <v>0.720814394600414</v>
      </c>
      <c r="N78" s="8"/>
    </row>
    <row r="79" customFormat="false" ht="15" hidden="false" customHeight="false" outlineLevel="0" collapsed="false">
      <c r="A79" s="3" t="s">
        <v>65</v>
      </c>
      <c r="B79" s="3" t="s">
        <v>66</v>
      </c>
      <c r="C79" s="3" t="s">
        <v>67</v>
      </c>
      <c r="D79" s="1" t="s">
        <v>20</v>
      </c>
      <c r="E79" s="1" t="s">
        <v>21</v>
      </c>
      <c r="F79" s="1" t="n">
        <v>25</v>
      </c>
      <c r="G79" s="2" t="s">
        <v>26</v>
      </c>
      <c r="H79" s="1" t="n">
        <v>0.1583</v>
      </c>
      <c r="I79" s="1" t="n">
        <v>0.252758829663561</v>
      </c>
      <c r="J79" s="1" t="n">
        <v>0.361019465646461</v>
      </c>
      <c r="K79" s="1" t="n">
        <f aca="false">J79-I79</f>
        <v>0.1082606359829</v>
      </c>
      <c r="L79" s="1" t="n">
        <v>0.720814394600414</v>
      </c>
      <c r="N79" s="8"/>
    </row>
    <row r="80" customFormat="false" ht="15" hidden="false" customHeight="false" outlineLevel="0" collapsed="false">
      <c r="A80" s="3" t="s">
        <v>65</v>
      </c>
      <c r="B80" s="3" t="s">
        <v>66</v>
      </c>
      <c r="C80" s="3" t="s">
        <v>67</v>
      </c>
      <c r="D80" s="1" t="s">
        <v>20</v>
      </c>
      <c r="E80" s="1" t="s">
        <v>21</v>
      </c>
      <c r="F80" s="1" t="n">
        <v>25</v>
      </c>
      <c r="G80" s="2" t="s">
        <v>27</v>
      </c>
      <c r="H80" s="1" t="n">
        <v>0.1</v>
      </c>
      <c r="I80" s="1" t="n">
        <v>0.208173559992999</v>
      </c>
      <c r="J80" s="1" t="n">
        <v>0.331856651632035</v>
      </c>
      <c r="K80" s="1" t="n">
        <f aca="false">J80-I80</f>
        <v>0.123683091639036</v>
      </c>
      <c r="L80" s="1" t="n">
        <v>0.720814394600414</v>
      </c>
    </row>
    <row r="81" customFormat="false" ht="15" hidden="false" customHeight="false" outlineLevel="0" collapsed="false">
      <c r="A81" s="3" t="s">
        <v>68</v>
      </c>
      <c r="B81" s="3" t="s">
        <v>69</v>
      </c>
      <c r="C81" s="3" t="s">
        <v>70</v>
      </c>
      <c r="D81" s="1" t="s">
        <v>20</v>
      </c>
      <c r="E81" s="1" t="s">
        <v>21</v>
      </c>
      <c r="F81" s="1" t="n">
        <v>27</v>
      </c>
      <c r="G81" s="2" t="s">
        <v>23</v>
      </c>
      <c r="H81" s="1" t="n">
        <v>0.1983</v>
      </c>
      <c r="I81" s="1" t="n">
        <v>0.367955881882964</v>
      </c>
      <c r="J81" s="1" t="n">
        <v>0.390059109031726</v>
      </c>
      <c r="K81" s="1" t="n">
        <f aca="false">J81-I81</f>
        <v>0.022103227148762</v>
      </c>
      <c r="L81" s="1" t="n">
        <v>0.740298991398541</v>
      </c>
      <c r="N81" s="8" t="n">
        <f aca="false">AVERAGE(K81:K86)</f>
        <v>0.0100773673997175</v>
      </c>
    </row>
    <row r="82" customFormat="false" ht="15" hidden="false" customHeight="false" outlineLevel="0" collapsed="false">
      <c r="A82" s="3" t="s">
        <v>68</v>
      </c>
      <c r="B82" s="3" t="s">
        <v>69</v>
      </c>
      <c r="C82" s="3" t="s">
        <v>70</v>
      </c>
      <c r="D82" s="1" t="s">
        <v>20</v>
      </c>
      <c r="E82" s="1" t="s">
        <v>21</v>
      </c>
      <c r="F82" s="1" t="n">
        <v>27</v>
      </c>
      <c r="G82" s="2" t="s">
        <v>22</v>
      </c>
      <c r="H82" s="1" t="n">
        <v>0.1781</v>
      </c>
      <c r="I82" s="1" t="n">
        <v>0.330343863967134</v>
      </c>
      <c r="J82" s="1" t="n">
        <v>0.360852386841781</v>
      </c>
      <c r="K82" s="1" t="n">
        <f aca="false">J82-I82</f>
        <v>0.030508522874647</v>
      </c>
      <c r="L82" s="1" t="n">
        <v>0.740298991398541</v>
      </c>
      <c r="N82" s="8"/>
    </row>
    <row r="83" customFormat="false" ht="15" hidden="false" customHeight="false" outlineLevel="0" collapsed="false">
      <c r="A83" s="3" t="s">
        <v>68</v>
      </c>
      <c r="B83" s="3" t="s">
        <v>69</v>
      </c>
      <c r="C83" s="3" t="s">
        <v>70</v>
      </c>
      <c r="D83" s="1" t="s">
        <v>20</v>
      </c>
      <c r="E83" s="1" t="s">
        <v>21</v>
      </c>
      <c r="F83" s="1" t="n">
        <v>27</v>
      </c>
      <c r="G83" s="2" t="s">
        <v>25</v>
      </c>
      <c r="H83" s="1" t="n">
        <v>0.1636</v>
      </c>
      <c r="I83" s="1" t="n">
        <v>0.303540619411962</v>
      </c>
      <c r="J83" s="1" t="n">
        <v>0.306632146893392</v>
      </c>
      <c r="K83" s="1" t="n">
        <f aca="false">J83-I83</f>
        <v>0.00309152748143005</v>
      </c>
      <c r="L83" s="1" t="n">
        <v>0.740298991398541</v>
      </c>
      <c r="N83" s="8"/>
    </row>
    <row r="84" customFormat="false" ht="15" hidden="false" customHeight="false" outlineLevel="0" collapsed="false">
      <c r="A84" s="3" t="s">
        <v>68</v>
      </c>
      <c r="B84" s="3" t="s">
        <v>69</v>
      </c>
      <c r="C84" s="3" t="s">
        <v>70</v>
      </c>
      <c r="D84" s="1" t="s">
        <v>20</v>
      </c>
      <c r="E84" s="1" t="s">
        <v>21</v>
      </c>
      <c r="F84" s="1" t="n">
        <v>27</v>
      </c>
      <c r="G84" s="2" t="s">
        <v>24</v>
      </c>
      <c r="H84" s="1" t="n">
        <v>0.1549</v>
      </c>
      <c r="I84" s="1" t="n">
        <v>0.287407417757754</v>
      </c>
      <c r="J84" s="1" t="n">
        <v>0.325103633751172</v>
      </c>
      <c r="K84" s="1" t="n">
        <f aca="false">J84-I84</f>
        <v>0.037696215993418</v>
      </c>
      <c r="L84" s="1" t="n">
        <v>0.740298991398541</v>
      </c>
      <c r="N84" s="8"/>
    </row>
    <row r="85" customFormat="false" ht="15" hidden="false" customHeight="false" outlineLevel="0" collapsed="false">
      <c r="A85" s="3" t="s">
        <v>68</v>
      </c>
      <c r="B85" s="3" t="s">
        <v>69</v>
      </c>
      <c r="C85" s="3" t="s">
        <v>70</v>
      </c>
      <c r="D85" s="1" t="s">
        <v>20</v>
      </c>
      <c r="E85" s="1" t="s">
        <v>21</v>
      </c>
      <c r="F85" s="1" t="n">
        <v>27</v>
      </c>
      <c r="G85" s="2" t="s">
        <v>26</v>
      </c>
      <c r="H85" s="1" t="n">
        <v>0.1532</v>
      </c>
      <c r="I85" s="1" t="n">
        <v>0.284267454976648</v>
      </c>
      <c r="J85" s="1" t="n">
        <v>0.279643230485329</v>
      </c>
      <c r="K85" s="1" t="n">
        <f aca="false">J85-I85</f>
        <v>-0.004624224491319</v>
      </c>
      <c r="L85" s="1" t="n">
        <v>0.740298991398541</v>
      </c>
      <c r="N85" s="8"/>
    </row>
    <row r="86" customFormat="false" ht="15" hidden="false" customHeight="false" outlineLevel="0" collapsed="false">
      <c r="A86" s="3" t="s">
        <v>68</v>
      </c>
      <c r="B86" s="3" t="s">
        <v>69</v>
      </c>
      <c r="C86" s="3" t="s">
        <v>70</v>
      </c>
      <c r="D86" s="1" t="s">
        <v>20</v>
      </c>
      <c r="E86" s="1" t="s">
        <v>21</v>
      </c>
      <c r="F86" s="1" t="n">
        <v>27</v>
      </c>
      <c r="G86" s="2" t="s">
        <v>27</v>
      </c>
      <c r="H86" s="1" t="n">
        <v>0.1518</v>
      </c>
      <c r="I86" s="1" t="n">
        <v>0.281615003965425</v>
      </c>
      <c r="J86" s="1" t="n">
        <v>0.253303939356792</v>
      </c>
      <c r="K86" s="1" t="n">
        <f aca="false">J86-I86</f>
        <v>-0.028311064608633</v>
      </c>
      <c r="L86" s="1" t="n">
        <v>0.740298991398541</v>
      </c>
      <c r="N86" s="8"/>
    </row>
    <row r="87" customFormat="false" ht="15" hidden="false" customHeight="false" outlineLevel="0" collapsed="false">
      <c r="A87" s="3" t="s">
        <v>71</v>
      </c>
      <c r="B87" s="3" t="s">
        <v>72</v>
      </c>
      <c r="C87" s="3" t="s">
        <v>73</v>
      </c>
      <c r="D87" s="1" t="s">
        <v>20</v>
      </c>
      <c r="E87" s="1" t="s">
        <v>21</v>
      </c>
      <c r="F87" s="1" t="n">
        <v>29</v>
      </c>
      <c r="G87" s="2" t="s">
        <v>23</v>
      </c>
      <c r="H87" s="1" t="n">
        <v>0.2167</v>
      </c>
      <c r="I87" s="1" t="n">
        <v>0.421005335927805</v>
      </c>
      <c r="J87" s="1" t="n">
        <v>0.459231562859093</v>
      </c>
      <c r="K87" s="1" t="n">
        <f aca="false">J87-I87</f>
        <v>0.038226226931288</v>
      </c>
      <c r="L87" s="1" t="n">
        <v>0.70744158301379</v>
      </c>
      <c r="N87" s="8" t="n">
        <f aca="false">AVERAGE(K87:K92)</f>
        <v>0.0435176449388127</v>
      </c>
    </row>
    <row r="88" customFormat="false" ht="15" hidden="false" customHeight="false" outlineLevel="0" collapsed="false">
      <c r="A88" s="3" t="s">
        <v>71</v>
      </c>
      <c r="B88" s="3" t="s">
        <v>72</v>
      </c>
      <c r="C88" s="3" t="s">
        <v>73</v>
      </c>
      <c r="D88" s="1" t="s">
        <v>20</v>
      </c>
      <c r="E88" s="1" t="s">
        <v>21</v>
      </c>
      <c r="F88" s="1" t="n">
        <v>29</v>
      </c>
      <c r="G88" s="2" t="s">
        <v>22</v>
      </c>
      <c r="H88" s="1" t="n">
        <v>0.1991</v>
      </c>
      <c r="I88" s="1" t="n">
        <v>0.386786945304844</v>
      </c>
      <c r="J88" s="1" t="n">
        <v>0.389825452541704</v>
      </c>
      <c r="K88" s="1" t="n">
        <f aca="false">J88-I88</f>
        <v>0.00303850723686</v>
      </c>
      <c r="L88" s="1" t="n">
        <v>0.70744158301379</v>
      </c>
      <c r="N88" s="8"/>
    </row>
    <row r="89" customFormat="false" ht="15" hidden="false" customHeight="false" outlineLevel="0" collapsed="false">
      <c r="A89" s="3" t="s">
        <v>71</v>
      </c>
      <c r="B89" s="3" t="s">
        <v>72</v>
      </c>
      <c r="C89" s="3" t="s">
        <v>73</v>
      </c>
      <c r="D89" s="1" t="s">
        <v>20</v>
      </c>
      <c r="E89" s="1" t="s">
        <v>21</v>
      </c>
      <c r="F89" s="1" t="n">
        <v>29</v>
      </c>
      <c r="G89" s="2" t="s">
        <v>24</v>
      </c>
      <c r="H89" s="1" t="n">
        <v>0.1805</v>
      </c>
      <c r="I89" s="1" t="n">
        <v>0.350727093697724</v>
      </c>
      <c r="J89" s="1" t="n">
        <v>0.420629168922427</v>
      </c>
      <c r="K89" s="1" t="n">
        <f aca="false">J89-I89</f>
        <v>0.069902075224703</v>
      </c>
      <c r="L89" s="1" t="n">
        <v>0.70744158301379</v>
      </c>
      <c r="N89" s="8"/>
    </row>
    <row r="90" customFormat="false" ht="15" hidden="false" customHeight="false" outlineLevel="0" collapsed="false">
      <c r="A90" s="3" t="s">
        <v>71</v>
      </c>
      <c r="B90" s="3" t="s">
        <v>72</v>
      </c>
      <c r="C90" s="3" t="s">
        <v>73</v>
      </c>
      <c r="D90" s="1" t="s">
        <v>20</v>
      </c>
      <c r="E90" s="1" t="s">
        <v>21</v>
      </c>
      <c r="F90" s="1" t="n">
        <v>29</v>
      </c>
      <c r="G90" s="2" t="s">
        <v>39</v>
      </c>
      <c r="H90" s="1" t="n">
        <v>0.1579</v>
      </c>
      <c r="I90" s="1" t="n">
        <v>0.306823341249013</v>
      </c>
      <c r="J90" s="1" t="n">
        <v>0.336117219992727</v>
      </c>
      <c r="K90" s="1" t="n">
        <f aca="false">J90-I90</f>
        <v>0.029293878743714</v>
      </c>
      <c r="L90" s="1" t="n">
        <v>0.70744158301379</v>
      </c>
      <c r="N90" s="8"/>
    </row>
    <row r="91" customFormat="false" ht="15" hidden="false" customHeight="false" outlineLevel="0" collapsed="false">
      <c r="A91" s="3" t="s">
        <v>71</v>
      </c>
      <c r="B91" s="3" t="s">
        <v>72</v>
      </c>
      <c r="C91" s="3" t="s">
        <v>73</v>
      </c>
      <c r="D91" s="1" t="s">
        <v>20</v>
      </c>
      <c r="E91" s="1" t="s">
        <v>21</v>
      </c>
      <c r="F91" s="1" t="n">
        <v>29</v>
      </c>
      <c r="G91" s="2" t="s">
        <v>25</v>
      </c>
      <c r="H91" s="1" t="n">
        <v>0.1459</v>
      </c>
      <c r="I91" s="1" t="n">
        <v>0.283504468270682</v>
      </c>
      <c r="J91" s="1" t="n">
        <v>0.355843963255674</v>
      </c>
      <c r="K91" s="1" t="n">
        <f aca="false">J91-I91</f>
        <v>0.072339494984992</v>
      </c>
      <c r="L91" s="1" t="n">
        <v>0.70744158301379</v>
      </c>
      <c r="N91" s="8"/>
    </row>
    <row r="92" customFormat="false" ht="15" hidden="false" customHeight="false" outlineLevel="0" collapsed="false">
      <c r="A92" s="3" t="s">
        <v>71</v>
      </c>
      <c r="B92" s="3" t="s">
        <v>72</v>
      </c>
      <c r="C92" s="3" t="s">
        <v>73</v>
      </c>
      <c r="D92" s="1" t="s">
        <v>20</v>
      </c>
      <c r="E92" s="1" t="s">
        <v>21</v>
      </c>
      <c r="F92" s="1" t="n">
        <v>29</v>
      </c>
      <c r="G92" s="2" t="s">
        <v>27</v>
      </c>
      <c r="H92" s="1" t="n">
        <v>0.1</v>
      </c>
      <c r="I92" s="1" t="n">
        <v>0.270229466755022</v>
      </c>
      <c r="J92" s="1" t="n">
        <v>0.318535153266341</v>
      </c>
      <c r="K92" s="1" t="n">
        <f aca="false">J92-I92</f>
        <v>0.048305686511319</v>
      </c>
      <c r="L92" s="1" t="n">
        <v>0.70744158301379</v>
      </c>
      <c r="N92" s="8"/>
    </row>
    <row r="93" customFormat="false" ht="15" hidden="false" customHeight="false" outlineLevel="0" collapsed="false">
      <c r="A93" s="3" t="s">
        <v>74</v>
      </c>
      <c r="B93" s="3" t="s">
        <v>75</v>
      </c>
      <c r="C93" s="3" t="s">
        <v>76</v>
      </c>
      <c r="D93" s="1" t="s">
        <v>20</v>
      </c>
      <c r="E93" s="1" t="s">
        <v>21</v>
      </c>
      <c r="F93" s="1" t="n">
        <v>31</v>
      </c>
      <c r="G93" s="2" t="s">
        <v>23</v>
      </c>
      <c r="H93" s="1" t="n">
        <v>0.2287</v>
      </c>
      <c r="I93" s="1" t="n">
        <v>0.392214242899002</v>
      </c>
      <c r="J93" s="1" t="n">
        <v>0.343891048615336</v>
      </c>
      <c r="K93" s="1" t="n">
        <f aca="false">J93-I93</f>
        <v>-0.048323194283666</v>
      </c>
      <c r="L93" s="1" t="n">
        <v>0.719125866172455</v>
      </c>
      <c r="N93" s="8" t="n">
        <f aca="false">AVERAGE(K93:K98)</f>
        <v>0.0112680399170875</v>
      </c>
    </row>
    <row r="94" customFormat="false" ht="15" hidden="false" customHeight="false" outlineLevel="0" collapsed="false">
      <c r="A94" s="3" t="s">
        <v>74</v>
      </c>
      <c r="B94" s="3" t="s">
        <v>75</v>
      </c>
      <c r="C94" s="3" t="s">
        <v>76</v>
      </c>
      <c r="D94" s="1" t="s">
        <v>20</v>
      </c>
      <c r="E94" s="1" t="s">
        <v>21</v>
      </c>
      <c r="F94" s="1" t="n">
        <v>31</v>
      </c>
      <c r="G94" s="2" t="s">
        <v>24</v>
      </c>
      <c r="H94" s="1" t="n">
        <v>0.1804</v>
      </c>
      <c r="I94" s="1" t="n">
        <v>0.309413480944804</v>
      </c>
      <c r="J94" s="1" t="n">
        <v>0.303653626155105</v>
      </c>
      <c r="K94" s="1" t="n">
        <f aca="false">J94-I94</f>
        <v>-0.00575985478969898</v>
      </c>
      <c r="L94" s="1" t="n">
        <v>0.719125866172455</v>
      </c>
      <c r="N94" s="8"/>
    </row>
    <row r="95" customFormat="false" ht="15" hidden="false" customHeight="false" outlineLevel="0" collapsed="false">
      <c r="A95" s="3" t="s">
        <v>74</v>
      </c>
      <c r="B95" s="3" t="s">
        <v>75</v>
      </c>
      <c r="C95" s="3" t="s">
        <v>76</v>
      </c>
      <c r="D95" s="1" t="s">
        <v>20</v>
      </c>
      <c r="E95" s="1" t="s">
        <v>21</v>
      </c>
      <c r="F95" s="1" t="n">
        <v>31</v>
      </c>
      <c r="G95" s="2" t="s">
        <v>22</v>
      </c>
      <c r="H95" s="1" t="n">
        <v>0.1801</v>
      </c>
      <c r="I95" s="1" t="n">
        <v>0.308765474382689</v>
      </c>
      <c r="J95" s="1" t="n">
        <v>0.349769891574795</v>
      </c>
      <c r="K95" s="1" t="n">
        <f aca="false">J95-I95</f>
        <v>0.041004417192106</v>
      </c>
      <c r="L95" s="1" t="n">
        <v>0.719125866172455</v>
      </c>
      <c r="N95" s="8"/>
    </row>
    <row r="96" customFormat="false" ht="15" hidden="false" customHeight="false" outlineLevel="0" collapsed="false">
      <c r="A96" s="3" t="s">
        <v>74</v>
      </c>
      <c r="B96" s="3" t="s">
        <v>75</v>
      </c>
      <c r="C96" s="3" t="s">
        <v>76</v>
      </c>
      <c r="D96" s="1" t="s">
        <v>20</v>
      </c>
      <c r="E96" s="1" t="s">
        <v>21</v>
      </c>
      <c r="F96" s="1" t="n">
        <v>31</v>
      </c>
      <c r="G96" s="2" t="s">
        <v>31</v>
      </c>
      <c r="H96" s="1" t="n">
        <v>0.1555</v>
      </c>
      <c r="I96" s="1" t="n">
        <v>0.26667655794237</v>
      </c>
      <c r="J96" s="1" t="n">
        <v>0.276758176909358</v>
      </c>
      <c r="K96" s="1" t="n">
        <f aca="false">J96-I96</f>
        <v>0.010081618966988</v>
      </c>
      <c r="L96" s="1" t="n">
        <v>0.719125866172455</v>
      </c>
      <c r="N96" s="8"/>
    </row>
    <row r="97" customFormat="false" ht="15" hidden="false" customHeight="false" outlineLevel="0" collapsed="false">
      <c r="A97" s="3" t="s">
        <v>74</v>
      </c>
      <c r="B97" s="3" t="s">
        <v>75</v>
      </c>
      <c r="C97" s="3" t="s">
        <v>76</v>
      </c>
      <c r="D97" s="1" t="s">
        <v>20</v>
      </c>
      <c r="E97" s="1" t="s">
        <v>21</v>
      </c>
      <c r="F97" s="1" t="n">
        <v>31</v>
      </c>
      <c r="G97" s="2" t="s">
        <v>25</v>
      </c>
      <c r="H97" s="1" t="n">
        <v>0.1553</v>
      </c>
      <c r="I97" s="1" t="n">
        <v>0.266228999572546</v>
      </c>
      <c r="J97" s="1" t="n">
        <v>0.29518215404742</v>
      </c>
      <c r="K97" s="1" t="n">
        <f aca="false">J97-I97</f>
        <v>0.028953154474874</v>
      </c>
      <c r="L97" s="1" t="n">
        <v>0.719125866172455</v>
      </c>
      <c r="N97" s="8"/>
    </row>
    <row r="98" customFormat="false" ht="15" hidden="false" customHeight="false" outlineLevel="0" collapsed="false">
      <c r="A98" s="3" t="s">
        <v>74</v>
      </c>
      <c r="B98" s="3" t="s">
        <v>75</v>
      </c>
      <c r="C98" s="3" t="s">
        <v>76</v>
      </c>
      <c r="D98" s="1" t="s">
        <v>20</v>
      </c>
      <c r="E98" s="1" t="s">
        <v>21</v>
      </c>
      <c r="F98" s="1" t="n">
        <v>31</v>
      </c>
      <c r="G98" s="2" t="s">
        <v>27</v>
      </c>
      <c r="H98" s="1" t="n">
        <v>0.1</v>
      </c>
      <c r="I98" s="1" t="n">
        <v>0.224064311969918</v>
      </c>
      <c r="J98" s="1" t="n">
        <v>0.26571640991184</v>
      </c>
      <c r="K98" s="1" t="n">
        <f aca="false">J98-I98</f>
        <v>0.041652097941922</v>
      </c>
      <c r="L98" s="1" t="n">
        <v>0.719125866172455</v>
      </c>
      <c r="N98" s="8"/>
    </row>
    <row r="99" customFormat="false" ht="15" hidden="false" customHeight="false" outlineLevel="0" collapsed="false">
      <c r="A99" s="3" t="s">
        <v>77</v>
      </c>
      <c r="B99" s="3" t="s">
        <v>78</v>
      </c>
      <c r="C99" s="3" t="s">
        <v>79</v>
      </c>
      <c r="D99" s="1" t="s">
        <v>20</v>
      </c>
      <c r="E99" s="1" t="s">
        <v>21</v>
      </c>
      <c r="F99" s="1" t="n">
        <v>33</v>
      </c>
      <c r="G99" s="2" t="s">
        <v>22</v>
      </c>
      <c r="H99" s="1" t="n">
        <v>0.201</v>
      </c>
      <c r="I99" s="1" t="n">
        <v>0.317143868788054</v>
      </c>
      <c r="J99" s="1" t="n">
        <v>0.371540693035613</v>
      </c>
      <c r="K99" s="1" t="n">
        <f aca="false">J99-I99</f>
        <v>0.054396824247559</v>
      </c>
      <c r="L99" s="1" t="n">
        <v>0.718889384668267</v>
      </c>
      <c r="N99" s="8" t="n">
        <f aca="false">AVERAGE(K99:K104)</f>
        <v>0.0468343170914483</v>
      </c>
    </row>
    <row r="100" customFormat="false" ht="15" hidden="false" customHeight="false" outlineLevel="0" collapsed="false">
      <c r="A100" s="3" t="s">
        <v>77</v>
      </c>
      <c r="B100" s="3" t="s">
        <v>78</v>
      </c>
      <c r="C100" s="3" t="s">
        <v>79</v>
      </c>
      <c r="D100" s="1" t="s">
        <v>20</v>
      </c>
      <c r="E100" s="1" t="s">
        <v>21</v>
      </c>
      <c r="F100" s="1" t="n">
        <v>33</v>
      </c>
      <c r="G100" s="2" t="s">
        <v>23</v>
      </c>
      <c r="H100" s="1" t="n">
        <v>0.193</v>
      </c>
      <c r="I100" s="1" t="n">
        <v>0.304561952074509</v>
      </c>
      <c r="J100" s="1" t="n">
        <v>0.393851273716267</v>
      </c>
      <c r="K100" s="1" t="n">
        <f aca="false">J100-I100</f>
        <v>0.089289321641758</v>
      </c>
      <c r="L100" s="1" t="n">
        <v>0.718889384668267</v>
      </c>
      <c r="N100" s="8"/>
    </row>
    <row r="101" customFormat="false" ht="15" hidden="false" customHeight="false" outlineLevel="0" collapsed="false">
      <c r="A101" s="3" t="s">
        <v>77</v>
      </c>
      <c r="B101" s="3" t="s">
        <v>78</v>
      </c>
      <c r="C101" s="3" t="s">
        <v>79</v>
      </c>
      <c r="D101" s="1" t="s">
        <v>20</v>
      </c>
      <c r="E101" s="1" t="s">
        <v>21</v>
      </c>
      <c r="F101" s="1" t="n">
        <v>33</v>
      </c>
      <c r="G101" s="2" t="s">
        <v>31</v>
      </c>
      <c r="H101" s="1" t="n">
        <v>0.1709</v>
      </c>
      <c r="I101" s="1" t="n">
        <v>0.269641920516782</v>
      </c>
      <c r="J101" s="1" t="n">
        <v>0.250360399563718</v>
      </c>
      <c r="K101" s="1" t="n">
        <f aca="false">J101-I101</f>
        <v>-0.019281520953064</v>
      </c>
      <c r="L101" s="1" t="n">
        <v>0.718889384668267</v>
      </c>
      <c r="N101" s="8"/>
    </row>
    <row r="102" customFormat="false" ht="15" hidden="false" customHeight="false" outlineLevel="0" collapsed="false">
      <c r="A102" s="3" t="s">
        <v>77</v>
      </c>
      <c r="B102" s="3" t="s">
        <v>78</v>
      </c>
      <c r="C102" s="3" t="s">
        <v>79</v>
      </c>
      <c r="D102" s="1" t="s">
        <v>20</v>
      </c>
      <c r="E102" s="1" t="s">
        <v>21</v>
      </c>
      <c r="F102" s="1" t="n">
        <v>33</v>
      </c>
      <c r="G102" s="2" t="s">
        <v>24</v>
      </c>
      <c r="H102" s="1" t="n">
        <v>0.1704</v>
      </c>
      <c r="I102" s="1" t="n">
        <v>0.268871359020643</v>
      </c>
      <c r="J102" s="1" t="n">
        <v>0.33923334564919</v>
      </c>
      <c r="K102" s="1" t="n">
        <f aca="false">J102-I102</f>
        <v>0.070361986628547</v>
      </c>
      <c r="L102" s="1" t="n">
        <v>0.718889384668267</v>
      </c>
      <c r="N102" s="8"/>
    </row>
    <row r="103" customFormat="false" ht="15" hidden="false" customHeight="false" outlineLevel="0" collapsed="false">
      <c r="A103" s="3" t="s">
        <v>77</v>
      </c>
      <c r="B103" s="3" t="s">
        <v>78</v>
      </c>
      <c r="C103" s="3" t="s">
        <v>79</v>
      </c>
      <c r="D103" s="1" t="s">
        <v>20</v>
      </c>
      <c r="E103" s="1" t="s">
        <v>21</v>
      </c>
      <c r="F103" s="1" t="n">
        <v>33</v>
      </c>
      <c r="G103" s="2" t="s">
        <v>26</v>
      </c>
      <c r="H103" s="1" t="n">
        <v>0.1647</v>
      </c>
      <c r="I103" s="1" t="n">
        <v>0.259855012062242</v>
      </c>
      <c r="J103" s="1" t="n">
        <v>0.300670088927518</v>
      </c>
      <c r="K103" s="1" t="n">
        <f aca="false">J103-I103</f>
        <v>0.040815076865276</v>
      </c>
      <c r="L103" s="1" t="n">
        <v>0.718889384668267</v>
      </c>
      <c r="N103" s="8"/>
    </row>
    <row r="104" customFormat="false" ht="15" hidden="false" customHeight="false" outlineLevel="0" collapsed="false">
      <c r="A104" s="3" t="s">
        <v>77</v>
      </c>
      <c r="B104" s="3" t="s">
        <v>78</v>
      </c>
      <c r="C104" s="3" t="s">
        <v>79</v>
      </c>
      <c r="D104" s="1" t="s">
        <v>20</v>
      </c>
      <c r="E104" s="1" t="s">
        <v>21</v>
      </c>
      <c r="F104" s="1" t="n">
        <v>33</v>
      </c>
      <c r="G104" s="2" t="s">
        <v>27</v>
      </c>
      <c r="H104" s="1" t="n">
        <v>0.1</v>
      </c>
      <c r="I104" s="1" t="n">
        <v>0.204272346946403</v>
      </c>
      <c r="J104" s="1" t="n">
        <v>0.249696561065017</v>
      </c>
      <c r="K104" s="1" t="n">
        <f aca="false">J104-I104</f>
        <v>0.045424214118614</v>
      </c>
      <c r="L104" s="1" t="n">
        <v>0.718889384668267</v>
      </c>
      <c r="N104" s="8"/>
    </row>
    <row r="105" customFormat="false" ht="15" hidden="false" customHeight="false" outlineLevel="0" collapsed="false">
      <c r="A105" s="3" t="s">
        <v>80</v>
      </c>
      <c r="B105" s="3" t="s">
        <v>81</v>
      </c>
      <c r="C105" s="3" t="s">
        <v>82</v>
      </c>
      <c r="D105" s="1" t="s">
        <v>20</v>
      </c>
      <c r="E105" s="1" t="s">
        <v>21</v>
      </c>
      <c r="F105" s="1" t="n">
        <v>35</v>
      </c>
      <c r="G105" s="2" t="s">
        <v>23</v>
      </c>
      <c r="H105" s="1" t="n">
        <v>0.2046</v>
      </c>
      <c r="I105" s="1" t="n">
        <v>0.33923680078054</v>
      </c>
      <c r="J105" s="1" t="n">
        <v>0.400113105285052</v>
      </c>
      <c r="K105" s="1" t="n">
        <f aca="false">J105-I105</f>
        <v>0.060876304504512</v>
      </c>
      <c r="L105" s="1" t="n">
        <v>0.735022492301164</v>
      </c>
      <c r="N105" s="8" t="n">
        <f aca="false">AVERAGE(K105:K110)</f>
        <v>0.059546067633987</v>
      </c>
    </row>
    <row r="106" customFormat="false" ht="15" hidden="false" customHeight="false" outlineLevel="0" collapsed="false">
      <c r="A106" s="3" t="s">
        <v>80</v>
      </c>
      <c r="B106" s="3" t="s">
        <v>81</v>
      </c>
      <c r="C106" s="3" t="s">
        <v>82</v>
      </c>
      <c r="D106" s="1" t="s">
        <v>20</v>
      </c>
      <c r="E106" s="1" t="s">
        <v>21</v>
      </c>
      <c r="F106" s="1" t="n">
        <v>35</v>
      </c>
      <c r="G106" s="2" t="s">
        <v>22</v>
      </c>
      <c r="H106" s="1" t="n">
        <v>0.2032</v>
      </c>
      <c r="I106" s="1" t="n">
        <v>0.337029018587835</v>
      </c>
      <c r="J106" s="1" t="n">
        <v>0.384254927606021</v>
      </c>
      <c r="K106" s="1" t="n">
        <f aca="false">J106-I106</f>
        <v>0.047225909018186</v>
      </c>
      <c r="L106" s="1" t="n">
        <v>0.735022492301164</v>
      </c>
      <c r="N106" s="8"/>
    </row>
    <row r="107" customFormat="false" ht="15" hidden="false" customHeight="false" outlineLevel="0" collapsed="false">
      <c r="A107" s="3" t="s">
        <v>80</v>
      </c>
      <c r="B107" s="3" t="s">
        <v>81</v>
      </c>
      <c r="C107" s="3" t="s">
        <v>82</v>
      </c>
      <c r="D107" s="1" t="s">
        <v>20</v>
      </c>
      <c r="E107" s="1" t="s">
        <v>21</v>
      </c>
      <c r="F107" s="1" t="n">
        <v>35</v>
      </c>
      <c r="G107" s="2" t="s">
        <v>24</v>
      </c>
      <c r="H107" s="1" t="n">
        <v>0.1801</v>
      </c>
      <c r="I107" s="1" t="n">
        <v>0.298726531699229</v>
      </c>
      <c r="J107" s="1" t="n">
        <v>0.356124278355708</v>
      </c>
      <c r="K107" s="1" t="n">
        <f aca="false">J107-I107</f>
        <v>0.057397746656479</v>
      </c>
      <c r="L107" s="1" t="n">
        <v>0.735022492301164</v>
      </c>
      <c r="N107" s="8"/>
    </row>
    <row r="108" customFormat="false" ht="15" hidden="false" customHeight="false" outlineLevel="0" collapsed="false">
      <c r="A108" s="3" t="s">
        <v>80</v>
      </c>
      <c r="B108" s="3" t="s">
        <v>81</v>
      </c>
      <c r="C108" s="3" t="s">
        <v>82</v>
      </c>
      <c r="D108" s="1" t="s">
        <v>20</v>
      </c>
      <c r="E108" s="1" t="s">
        <v>21</v>
      </c>
      <c r="F108" s="1" t="n">
        <v>35</v>
      </c>
      <c r="G108" s="2" t="s">
        <v>25</v>
      </c>
      <c r="H108" s="1" t="n">
        <v>0.1625</v>
      </c>
      <c r="I108" s="1" t="n">
        <v>0.269491173482812</v>
      </c>
      <c r="J108" s="1" t="n">
        <v>0.324083064325819</v>
      </c>
      <c r="K108" s="1" t="n">
        <f aca="false">J108-I108</f>
        <v>0.054591890843007</v>
      </c>
      <c r="L108" s="1" t="n">
        <v>0.735022492301164</v>
      </c>
      <c r="N108" s="8"/>
    </row>
    <row r="109" customFormat="false" ht="15" hidden="false" customHeight="false" outlineLevel="0" collapsed="false">
      <c r="A109" s="3" t="s">
        <v>80</v>
      </c>
      <c r="B109" s="3" t="s">
        <v>81</v>
      </c>
      <c r="C109" s="3" t="s">
        <v>82</v>
      </c>
      <c r="D109" s="1" t="s">
        <v>20</v>
      </c>
      <c r="E109" s="1" t="s">
        <v>21</v>
      </c>
      <c r="F109" s="1" t="n">
        <v>35</v>
      </c>
      <c r="G109" s="2" t="s">
        <v>35</v>
      </c>
      <c r="H109" s="1" t="n">
        <v>0.1495</v>
      </c>
      <c r="I109" s="1" t="n">
        <v>0.24791196023252</v>
      </c>
      <c r="J109" s="1" t="n">
        <v>0.322276636506449</v>
      </c>
      <c r="K109" s="1" t="n">
        <f aca="false">J109-I109</f>
        <v>0.074364676273929</v>
      </c>
      <c r="L109" s="1" t="n">
        <v>0.735022492301164</v>
      </c>
      <c r="N109" s="8"/>
    </row>
    <row r="110" customFormat="false" ht="15" hidden="false" customHeight="false" outlineLevel="0" collapsed="false">
      <c r="A110" s="3" t="s">
        <v>80</v>
      </c>
      <c r="B110" s="3" t="s">
        <v>81</v>
      </c>
      <c r="C110" s="3" t="s">
        <v>82</v>
      </c>
      <c r="D110" s="1" t="s">
        <v>20</v>
      </c>
      <c r="E110" s="1" t="s">
        <v>21</v>
      </c>
      <c r="F110" s="1" t="n">
        <v>35</v>
      </c>
      <c r="G110" s="2" t="s">
        <v>27</v>
      </c>
      <c r="H110" s="1" t="n">
        <v>0.1</v>
      </c>
      <c r="I110" s="1" t="n">
        <v>0.205643229438684</v>
      </c>
      <c r="J110" s="1" t="n">
        <v>0.268463107946493</v>
      </c>
      <c r="K110" s="1" t="n">
        <f aca="false">J110-I110</f>
        <v>0.062819878507809</v>
      </c>
      <c r="L110" s="1" t="n">
        <v>0.735022492301164</v>
      </c>
      <c r="N110" s="8"/>
    </row>
    <row r="111" customFormat="false" ht="15" hidden="false" customHeight="false" outlineLevel="0" collapsed="false">
      <c r="A111" s="3" t="s">
        <v>83</v>
      </c>
      <c r="B111" s="3" t="s">
        <v>84</v>
      </c>
      <c r="C111" s="3" t="s">
        <v>85</v>
      </c>
      <c r="D111" s="1" t="s">
        <v>20</v>
      </c>
      <c r="E111" s="1" t="s">
        <v>21</v>
      </c>
      <c r="F111" s="1" t="n">
        <v>37</v>
      </c>
      <c r="G111" s="2" t="s">
        <v>23</v>
      </c>
      <c r="H111" s="1" t="n">
        <v>0.1958</v>
      </c>
      <c r="I111" s="1" t="n">
        <v>0.377517488291631</v>
      </c>
      <c r="J111" s="1" t="n">
        <v>0.359395346678892</v>
      </c>
      <c r="K111" s="1" t="n">
        <f aca="false">J111-I111</f>
        <v>-0.018122141612739</v>
      </c>
      <c r="L111" s="1" t="n">
        <v>0.581700376323851</v>
      </c>
      <c r="N111" s="8" t="n">
        <f aca="false">AVERAGE(K111:K116)</f>
        <v>-0.020359390669923</v>
      </c>
    </row>
    <row r="112" customFormat="false" ht="15" hidden="false" customHeight="false" outlineLevel="0" collapsed="false">
      <c r="A112" s="3" t="s">
        <v>83</v>
      </c>
      <c r="B112" s="3" t="s">
        <v>84</v>
      </c>
      <c r="C112" s="3" t="s">
        <v>85</v>
      </c>
      <c r="D112" s="1" t="s">
        <v>20</v>
      </c>
      <c r="E112" s="1" t="s">
        <v>21</v>
      </c>
      <c r="F112" s="1" t="n">
        <v>37</v>
      </c>
      <c r="G112" s="2" t="s">
        <v>22</v>
      </c>
      <c r="H112" s="1" t="n">
        <v>0.1886</v>
      </c>
      <c r="I112" s="1" t="n">
        <v>0.363573990752981</v>
      </c>
      <c r="J112" s="1" t="n">
        <v>0.318681491638795</v>
      </c>
      <c r="K112" s="1" t="n">
        <f aca="false">J112-I112</f>
        <v>-0.044892499114186</v>
      </c>
      <c r="L112" s="1" t="n">
        <v>0.581700376323851</v>
      </c>
      <c r="N112" s="8"/>
    </row>
    <row r="113" customFormat="false" ht="15" hidden="false" customHeight="false" outlineLevel="0" collapsed="false">
      <c r="A113" s="3" t="s">
        <v>83</v>
      </c>
      <c r="B113" s="3" t="s">
        <v>84</v>
      </c>
      <c r="C113" s="3" t="s">
        <v>85</v>
      </c>
      <c r="D113" s="1" t="s">
        <v>20</v>
      </c>
      <c r="E113" s="1" t="s">
        <v>21</v>
      </c>
      <c r="F113" s="1" t="n">
        <v>37</v>
      </c>
      <c r="G113" s="2" t="s">
        <v>24</v>
      </c>
      <c r="H113" s="1" t="n">
        <v>0.1812</v>
      </c>
      <c r="I113" s="1" t="n">
        <v>0.349239065595824</v>
      </c>
      <c r="J113" s="1" t="n">
        <v>0.338055039141498</v>
      </c>
      <c r="K113" s="1" t="n">
        <f aca="false">J113-I113</f>
        <v>-0.011184026454326</v>
      </c>
      <c r="L113" s="1" t="n">
        <v>0.581700376323851</v>
      </c>
      <c r="N113" s="8"/>
    </row>
    <row r="114" customFormat="false" ht="15" hidden="false" customHeight="false" outlineLevel="0" collapsed="false">
      <c r="A114" s="3" t="s">
        <v>83</v>
      </c>
      <c r="B114" s="3" t="s">
        <v>84</v>
      </c>
      <c r="C114" s="3" t="s">
        <v>85</v>
      </c>
      <c r="D114" s="1" t="s">
        <v>20</v>
      </c>
      <c r="E114" s="1" t="s">
        <v>21</v>
      </c>
      <c r="F114" s="1" t="n">
        <v>37</v>
      </c>
      <c r="G114" s="2" t="s">
        <v>26</v>
      </c>
      <c r="H114" s="1" t="n">
        <v>0.1675</v>
      </c>
      <c r="I114" s="1" t="n">
        <v>0.322846225459895</v>
      </c>
      <c r="J114" s="1" t="n">
        <v>0.302287835978145</v>
      </c>
      <c r="K114" s="1" t="n">
        <f aca="false">J114-I114</f>
        <v>-0.02055838948175</v>
      </c>
      <c r="L114" s="1" t="n">
        <v>0.581700376323851</v>
      </c>
      <c r="N114" s="8"/>
    </row>
    <row r="115" customFormat="false" ht="15" hidden="false" customHeight="false" outlineLevel="0" collapsed="false">
      <c r="A115" s="3" t="s">
        <v>83</v>
      </c>
      <c r="B115" s="3" t="s">
        <v>84</v>
      </c>
      <c r="C115" s="3" t="s">
        <v>85</v>
      </c>
      <c r="D115" s="1" t="s">
        <v>20</v>
      </c>
      <c r="E115" s="1" t="s">
        <v>21</v>
      </c>
      <c r="F115" s="1" t="n">
        <v>37</v>
      </c>
      <c r="G115" s="2" t="s">
        <v>25</v>
      </c>
      <c r="H115" s="1" t="n">
        <v>0.167</v>
      </c>
      <c r="I115" s="1" t="n">
        <v>0.321877101642907</v>
      </c>
      <c r="J115" s="1" t="n">
        <v>0.330158885998542</v>
      </c>
      <c r="K115" s="1" t="n">
        <f aca="false">J115-I115</f>
        <v>0.00828178435563498</v>
      </c>
      <c r="L115" s="1" t="n">
        <v>0.581700376323851</v>
      </c>
      <c r="N115" s="8"/>
    </row>
    <row r="116" customFormat="false" ht="15" hidden="false" customHeight="false" outlineLevel="0" collapsed="false">
      <c r="A116" s="3" t="s">
        <v>83</v>
      </c>
      <c r="B116" s="3" t="s">
        <v>84</v>
      </c>
      <c r="C116" s="3" t="s">
        <v>85</v>
      </c>
      <c r="D116" s="1" t="s">
        <v>20</v>
      </c>
      <c r="E116" s="1" t="s">
        <v>21</v>
      </c>
      <c r="F116" s="1" t="n">
        <v>37</v>
      </c>
      <c r="G116" s="2" t="s">
        <v>27</v>
      </c>
      <c r="H116" s="1" t="n">
        <v>0.1</v>
      </c>
      <c r="I116" s="1" t="n">
        <v>0.282173805228274</v>
      </c>
      <c r="J116" s="1" t="n">
        <v>0.246492733516102</v>
      </c>
      <c r="K116" s="1" t="n">
        <f aca="false">J116-I116</f>
        <v>-0.035681071712172</v>
      </c>
      <c r="L116" s="1" t="n">
        <v>0.581700376323851</v>
      </c>
      <c r="N116" s="8"/>
    </row>
    <row r="117" customFormat="false" ht="15" hidden="false" customHeight="false" outlineLevel="0" collapsed="false">
      <c r="A117" s="3" t="s">
        <v>86</v>
      </c>
      <c r="B117" s="3" t="s">
        <v>87</v>
      </c>
      <c r="C117" s="3" t="s">
        <v>88</v>
      </c>
      <c r="D117" s="1" t="s">
        <v>20</v>
      </c>
      <c r="E117" s="1" t="s">
        <v>21</v>
      </c>
      <c r="F117" s="1" t="n">
        <v>39</v>
      </c>
      <c r="G117" s="2" t="s">
        <v>23</v>
      </c>
      <c r="H117" s="1" t="n">
        <v>0.2076</v>
      </c>
      <c r="I117" s="1" t="n">
        <v>0.395000677406161</v>
      </c>
      <c r="J117" s="1" t="n">
        <v>0.381936018728646</v>
      </c>
      <c r="K117" s="1" t="n">
        <f aca="false">J117-I117</f>
        <v>-0.013064658677515</v>
      </c>
      <c r="L117" s="1" t="n">
        <v>0.849425390022398</v>
      </c>
      <c r="N117" s="8" t="n">
        <f aca="false">AVERAGE(K117:K122)</f>
        <v>0.00578254405954349</v>
      </c>
    </row>
    <row r="118" customFormat="false" ht="15" hidden="false" customHeight="false" outlineLevel="0" collapsed="false">
      <c r="A118" s="3" t="s">
        <v>86</v>
      </c>
      <c r="B118" s="3" t="s">
        <v>87</v>
      </c>
      <c r="C118" s="3" t="s">
        <v>88</v>
      </c>
      <c r="D118" s="1" t="s">
        <v>20</v>
      </c>
      <c r="E118" s="1" t="s">
        <v>21</v>
      </c>
      <c r="F118" s="1" t="n">
        <v>39</v>
      </c>
      <c r="G118" s="2" t="s">
        <v>24</v>
      </c>
      <c r="H118" s="1" t="n">
        <v>0.1954</v>
      </c>
      <c r="I118" s="1" t="n">
        <v>0.371797036767663</v>
      </c>
      <c r="J118" s="1" t="n">
        <v>0.364606884190815</v>
      </c>
      <c r="K118" s="1" t="n">
        <f aca="false">J118-I118</f>
        <v>-0.00719015257684802</v>
      </c>
      <c r="L118" s="1" t="n">
        <v>0.849425390022398</v>
      </c>
      <c r="N118" s="8"/>
    </row>
    <row r="119" customFormat="false" ht="15" hidden="false" customHeight="false" outlineLevel="0" collapsed="false">
      <c r="A119" s="3" t="s">
        <v>86</v>
      </c>
      <c r="B119" s="3" t="s">
        <v>87</v>
      </c>
      <c r="C119" s="3" t="s">
        <v>88</v>
      </c>
      <c r="D119" s="1" t="s">
        <v>20</v>
      </c>
      <c r="E119" s="1" t="s">
        <v>21</v>
      </c>
      <c r="F119" s="1" t="n">
        <v>39</v>
      </c>
      <c r="G119" s="2" t="s">
        <v>25</v>
      </c>
      <c r="H119" s="1" t="n">
        <v>0.1765</v>
      </c>
      <c r="I119" s="1" t="n">
        <v>0.335934277295627</v>
      </c>
      <c r="J119" s="1" t="n">
        <v>0.33845331901962</v>
      </c>
      <c r="K119" s="1" t="n">
        <f aca="false">J119-I119</f>
        <v>0.00251904172399298</v>
      </c>
      <c r="L119" s="1" t="n">
        <v>0.849425390022398</v>
      </c>
      <c r="N119" s="8"/>
    </row>
    <row r="120" customFormat="false" ht="15" hidden="false" customHeight="false" outlineLevel="0" collapsed="false">
      <c r="A120" s="3" t="s">
        <v>86</v>
      </c>
      <c r="B120" s="3" t="s">
        <v>87</v>
      </c>
      <c r="C120" s="3" t="s">
        <v>88</v>
      </c>
      <c r="D120" s="1" t="s">
        <v>20</v>
      </c>
      <c r="E120" s="1" t="s">
        <v>21</v>
      </c>
      <c r="F120" s="1" t="n">
        <v>39</v>
      </c>
      <c r="G120" s="2" t="s">
        <v>22</v>
      </c>
      <c r="H120" s="1" t="n">
        <v>0.1648</v>
      </c>
      <c r="I120" s="1" t="n">
        <v>0.313609453627467</v>
      </c>
      <c r="J120" s="1" t="n">
        <v>0.320545685722514</v>
      </c>
      <c r="K120" s="1" t="n">
        <f aca="false">J120-I120</f>
        <v>0.00693623209504701</v>
      </c>
      <c r="L120" s="1" t="n">
        <v>0.849425390022398</v>
      </c>
      <c r="N120" s="8"/>
    </row>
    <row r="121" customFormat="false" ht="15" hidden="false" customHeight="false" outlineLevel="0" collapsed="false">
      <c r="A121" s="3" t="s">
        <v>86</v>
      </c>
      <c r="B121" s="3" t="s">
        <v>87</v>
      </c>
      <c r="C121" s="3" t="s">
        <v>88</v>
      </c>
      <c r="D121" s="1" t="s">
        <v>20</v>
      </c>
      <c r="E121" s="1" t="s">
        <v>21</v>
      </c>
      <c r="F121" s="1" t="n">
        <v>39</v>
      </c>
      <c r="G121" s="2" t="s">
        <v>35</v>
      </c>
      <c r="H121" s="1" t="n">
        <v>0.1557</v>
      </c>
      <c r="I121" s="1" t="n">
        <v>0.296272707811096</v>
      </c>
      <c r="J121" s="1" t="n">
        <v>0.306097486304308</v>
      </c>
      <c r="K121" s="1" t="n">
        <f aca="false">J121-I121</f>
        <v>0.00982477849321201</v>
      </c>
      <c r="L121" s="1" t="n">
        <v>0.849425390022398</v>
      </c>
      <c r="N121" s="8"/>
    </row>
    <row r="122" customFormat="false" ht="15" hidden="false" customHeight="false" outlineLevel="0" collapsed="false">
      <c r="A122" s="3" t="s">
        <v>86</v>
      </c>
      <c r="B122" s="3" t="s">
        <v>87</v>
      </c>
      <c r="C122" s="3" t="s">
        <v>88</v>
      </c>
      <c r="D122" s="1" t="s">
        <v>20</v>
      </c>
      <c r="E122" s="1" t="s">
        <v>21</v>
      </c>
      <c r="F122" s="1" t="n">
        <v>39</v>
      </c>
      <c r="G122" s="2" t="s">
        <v>27</v>
      </c>
      <c r="H122" s="1" t="n">
        <v>0.1</v>
      </c>
      <c r="I122" s="1" t="n">
        <v>0.254307970421835</v>
      </c>
      <c r="J122" s="1" t="n">
        <v>0.289977993721207</v>
      </c>
      <c r="K122" s="1" t="n">
        <f aca="false">J122-I122</f>
        <v>0.035670023299372</v>
      </c>
      <c r="L122" s="1" t="n">
        <v>0.849425390022398</v>
      </c>
      <c r="N122" s="8"/>
    </row>
    <row r="123" customFormat="false" ht="15" hidden="false" customHeight="false" outlineLevel="0" collapsed="false">
      <c r="A123" s="3" t="s">
        <v>89</v>
      </c>
      <c r="B123" s="3" t="s">
        <v>90</v>
      </c>
      <c r="C123" s="3" t="s">
        <v>91</v>
      </c>
      <c r="D123" s="1" t="s">
        <v>20</v>
      </c>
      <c r="E123" s="1" t="s">
        <v>21</v>
      </c>
      <c r="F123" s="1" t="n">
        <v>41</v>
      </c>
      <c r="G123" s="2" t="s">
        <v>23</v>
      </c>
      <c r="H123" s="1" t="n">
        <v>0.1997</v>
      </c>
      <c r="I123" s="1" t="n">
        <v>0.362156725913381</v>
      </c>
      <c r="J123" s="1" t="n">
        <v>0.398317194677856</v>
      </c>
      <c r="K123" s="1" t="n">
        <f aca="false">J123-I123</f>
        <v>0.036160468764475</v>
      </c>
      <c r="L123" s="1" t="n">
        <v>0.782107085098168</v>
      </c>
      <c r="N123" s="8" t="n">
        <f aca="false">AVERAGE(K123:K128)</f>
        <v>0.0437856435223895</v>
      </c>
    </row>
    <row r="124" customFormat="false" ht="15" hidden="false" customHeight="false" outlineLevel="0" collapsed="false">
      <c r="A124" s="3" t="s">
        <v>89</v>
      </c>
      <c r="B124" s="3" t="s">
        <v>90</v>
      </c>
      <c r="C124" s="3" t="s">
        <v>91</v>
      </c>
      <c r="D124" s="1" t="s">
        <v>20</v>
      </c>
      <c r="E124" s="1" t="s">
        <v>21</v>
      </c>
      <c r="F124" s="1" t="n">
        <v>41</v>
      </c>
      <c r="G124" s="2" t="s">
        <v>22</v>
      </c>
      <c r="H124" s="1" t="n">
        <v>0.1854</v>
      </c>
      <c r="I124" s="1" t="n">
        <v>0.336329994355026</v>
      </c>
      <c r="J124" s="1" t="n">
        <v>0.395031408306602</v>
      </c>
      <c r="K124" s="1" t="n">
        <f aca="false">J124-I124</f>
        <v>0.058701413951576</v>
      </c>
      <c r="L124" s="1" t="n">
        <v>0.782107085098168</v>
      </c>
      <c r="N124" s="8"/>
    </row>
    <row r="125" customFormat="false" ht="15" hidden="false" customHeight="false" outlineLevel="0" collapsed="false">
      <c r="A125" s="3" t="s">
        <v>89</v>
      </c>
      <c r="B125" s="3" t="s">
        <v>90</v>
      </c>
      <c r="C125" s="3" t="s">
        <v>91</v>
      </c>
      <c r="D125" s="1" t="s">
        <v>20</v>
      </c>
      <c r="E125" s="1" t="s">
        <v>21</v>
      </c>
      <c r="F125" s="1" t="n">
        <v>41</v>
      </c>
      <c r="G125" s="2" t="s">
        <v>24</v>
      </c>
      <c r="H125" s="1" t="n">
        <v>0.1825</v>
      </c>
      <c r="I125" s="1" t="n">
        <v>0.330925347578714</v>
      </c>
      <c r="J125" s="1" t="n">
        <v>0.356841028289592</v>
      </c>
      <c r="K125" s="1" t="n">
        <f aca="false">J125-I125</f>
        <v>0.025915680710878</v>
      </c>
      <c r="L125" s="1" t="n">
        <v>0.782107085098168</v>
      </c>
      <c r="N125" s="8"/>
    </row>
    <row r="126" customFormat="false" ht="15" hidden="false" customHeight="false" outlineLevel="0" collapsed="false">
      <c r="A126" s="3" t="s">
        <v>89</v>
      </c>
      <c r="B126" s="3" t="s">
        <v>90</v>
      </c>
      <c r="C126" s="3" t="s">
        <v>91</v>
      </c>
      <c r="D126" s="1" t="s">
        <v>20</v>
      </c>
      <c r="E126" s="1" t="s">
        <v>21</v>
      </c>
      <c r="F126" s="1" t="n">
        <v>41</v>
      </c>
      <c r="G126" s="2" t="s">
        <v>25</v>
      </c>
      <c r="H126" s="1" t="n">
        <v>0.1753</v>
      </c>
      <c r="I126" s="1" t="n">
        <v>0.317998622464101</v>
      </c>
      <c r="J126" s="1" t="n">
        <v>0.372385689976767</v>
      </c>
      <c r="K126" s="1" t="n">
        <f aca="false">J126-I126</f>
        <v>0.054387067512666</v>
      </c>
      <c r="L126" s="1" t="n">
        <v>0.782107085098168</v>
      </c>
      <c r="N126" s="8"/>
    </row>
    <row r="127" customFormat="false" ht="15" hidden="false" customHeight="false" outlineLevel="0" collapsed="false">
      <c r="A127" s="3" t="s">
        <v>89</v>
      </c>
      <c r="B127" s="3" t="s">
        <v>90</v>
      </c>
      <c r="C127" s="3" t="s">
        <v>91</v>
      </c>
      <c r="D127" s="1" t="s">
        <v>20</v>
      </c>
      <c r="E127" s="1" t="s">
        <v>21</v>
      </c>
      <c r="F127" s="1" t="n">
        <v>41</v>
      </c>
      <c r="G127" s="2" t="s">
        <v>39</v>
      </c>
      <c r="H127" s="1" t="n">
        <v>0.1571</v>
      </c>
      <c r="I127" s="1" t="n">
        <v>0.28483078620683</v>
      </c>
      <c r="J127" s="1" t="n">
        <v>0.324154547087571</v>
      </c>
      <c r="K127" s="1" t="n">
        <f aca="false">J127-I127</f>
        <v>0.039323760880741</v>
      </c>
      <c r="L127" s="1" t="n">
        <v>0.782107085098168</v>
      </c>
      <c r="N127" s="8"/>
    </row>
    <row r="128" customFormat="false" ht="15" hidden="false" customHeight="false" outlineLevel="0" collapsed="false">
      <c r="A128" s="3" t="s">
        <v>89</v>
      </c>
      <c r="B128" s="3" t="s">
        <v>90</v>
      </c>
      <c r="C128" s="3" t="s">
        <v>91</v>
      </c>
      <c r="D128" s="1" t="s">
        <v>20</v>
      </c>
      <c r="E128" s="1" t="s">
        <v>21</v>
      </c>
      <c r="F128" s="1" t="n">
        <v>41</v>
      </c>
      <c r="G128" s="2" t="s">
        <v>27</v>
      </c>
      <c r="H128" s="1" t="n">
        <v>0.1</v>
      </c>
      <c r="I128" s="1" t="n">
        <v>0.249936368944057</v>
      </c>
      <c r="J128" s="1" t="n">
        <v>0.298161838258058</v>
      </c>
      <c r="K128" s="1" t="n">
        <f aca="false">J128-I128</f>
        <v>0.048225469314001</v>
      </c>
      <c r="L128" s="1" t="n">
        <v>0.782107085098168</v>
      </c>
      <c r="N128" s="8"/>
    </row>
    <row r="129" customFormat="false" ht="15" hidden="false" customHeight="false" outlineLevel="0" collapsed="false">
      <c r="A129" s="3" t="s">
        <v>92</v>
      </c>
      <c r="B129" s="3" t="s">
        <v>93</v>
      </c>
      <c r="C129" s="3" t="s">
        <v>94</v>
      </c>
      <c r="D129" s="1" t="s">
        <v>20</v>
      </c>
      <c r="E129" s="1" t="s">
        <v>21</v>
      </c>
      <c r="F129" s="1" t="n">
        <v>43</v>
      </c>
      <c r="G129" s="2" t="s">
        <v>23</v>
      </c>
      <c r="H129" s="1" t="n">
        <v>0.1901</v>
      </c>
      <c r="I129" s="1" t="n">
        <v>0.39944220060309</v>
      </c>
      <c r="J129" s="1" t="n">
        <v>0.368988643339326</v>
      </c>
      <c r="K129" s="1" t="n">
        <f aca="false">J129-I129</f>
        <v>-0.030453557263764</v>
      </c>
      <c r="L129" s="1" t="n">
        <v>0.677931474696056</v>
      </c>
      <c r="N129" s="8" t="n">
        <f aca="false">AVERAGE(K129:K134)</f>
        <v>-0.0285986647316642</v>
      </c>
    </row>
    <row r="130" customFormat="false" ht="15" hidden="false" customHeight="false" outlineLevel="0" collapsed="false">
      <c r="A130" s="3" t="s">
        <v>92</v>
      </c>
      <c r="B130" s="3" t="s">
        <v>93</v>
      </c>
      <c r="C130" s="3" t="s">
        <v>94</v>
      </c>
      <c r="D130" s="1" t="s">
        <v>20</v>
      </c>
      <c r="E130" s="1" t="s">
        <v>21</v>
      </c>
      <c r="F130" s="1" t="n">
        <v>43</v>
      </c>
      <c r="G130" s="2" t="s">
        <v>22</v>
      </c>
      <c r="H130" s="1" t="n">
        <v>0.1791</v>
      </c>
      <c r="I130" s="1" t="n">
        <v>0.37640728354782</v>
      </c>
      <c r="J130" s="1" t="n">
        <v>0.329663820208034</v>
      </c>
      <c r="K130" s="1" t="n">
        <f aca="false">J130-I130</f>
        <v>-0.046743463339786</v>
      </c>
      <c r="L130" s="1" t="n">
        <v>0.677931474696056</v>
      </c>
      <c r="N130" s="8"/>
    </row>
    <row r="131" customFormat="false" ht="15" hidden="false" customHeight="false" outlineLevel="0" collapsed="false">
      <c r="A131" s="3" t="s">
        <v>92</v>
      </c>
      <c r="B131" s="3" t="s">
        <v>93</v>
      </c>
      <c r="C131" s="3" t="s">
        <v>94</v>
      </c>
      <c r="D131" s="1" t="s">
        <v>20</v>
      </c>
      <c r="E131" s="1" t="s">
        <v>21</v>
      </c>
      <c r="F131" s="1" t="n">
        <v>43</v>
      </c>
      <c r="G131" s="2" t="s">
        <v>24</v>
      </c>
      <c r="H131" s="1" t="n">
        <v>0.173</v>
      </c>
      <c r="I131" s="1" t="n">
        <v>0.363519535400187</v>
      </c>
      <c r="J131" s="1" t="n">
        <v>0.3489912735844</v>
      </c>
      <c r="K131" s="1" t="n">
        <f aca="false">J131-I131</f>
        <v>-0.014528261815787</v>
      </c>
      <c r="L131" s="1" t="n">
        <v>0.677931474696056</v>
      </c>
      <c r="N131" s="8"/>
    </row>
    <row r="132" customFormat="false" ht="15" hidden="false" customHeight="false" outlineLevel="0" collapsed="false">
      <c r="A132" s="3" t="s">
        <v>92</v>
      </c>
      <c r="B132" s="3" t="s">
        <v>93</v>
      </c>
      <c r="C132" s="3" t="s">
        <v>94</v>
      </c>
      <c r="D132" s="1" t="s">
        <v>20</v>
      </c>
      <c r="E132" s="1" t="s">
        <v>21</v>
      </c>
      <c r="F132" s="1" t="n">
        <v>43</v>
      </c>
      <c r="G132" s="2" t="s">
        <v>52</v>
      </c>
      <c r="H132" s="1" t="n">
        <v>0.1574</v>
      </c>
      <c r="I132" s="1" t="n">
        <v>0.330718626134272</v>
      </c>
      <c r="J132" s="1" t="n">
        <v>0.29202509897385</v>
      </c>
      <c r="K132" s="1" t="n">
        <f aca="false">J132-I132</f>
        <v>-0.038693527160422</v>
      </c>
      <c r="L132" s="1" t="n">
        <v>0.677931474696056</v>
      </c>
      <c r="N132" s="8"/>
    </row>
    <row r="133" customFormat="false" ht="15" hidden="false" customHeight="false" outlineLevel="0" collapsed="false">
      <c r="A133" s="3" t="s">
        <v>92</v>
      </c>
      <c r="B133" s="3" t="s">
        <v>93</v>
      </c>
      <c r="C133" s="3" t="s">
        <v>94</v>
      </c>
      <c r="D133" s="1" t="s">
        <v>20</v>
      </c>
      <c r="E133" s="1" t="s">
        <v>21</v>
      </c>
      <c r="F133" s="1" t="n">
        <v>43</v>
      </c>
      <c r="G133" s="2" t="s">
        <v>25</v>
      </c>
      <c r="H133" s="1" t="n">
        <v>0.1539</v>
      </c>
      <c r="I133" s="1" t="n">
        <v>0.323361751727293</v>
      </c>
      <c r="J133" s="1" t="n">
        <v>0.330429524640178</v>
      </c>
      <c r="K133" s="1" t="n">
        <f aca="false">J133-I133</f>
        <v>0.00706777291288502</v>
      </c>
      <c r="L133" s="1" t="n">
        <v>0.677931474696056</v>
      </c>
      <c r="N133" s="8"/>
    </row>
    <row r="134" customFormat="false" ht="15" hidden="false" customHeight="false" outlineLevel="0" collapsed="false">
      <c r="A134" s="3" t="s">
        <v>92</v>
      </c>
      <c r="B134" s="3" t="s">
        <v>93</v>
      </c>
      <c r="C134" s="3" t="s">
        <v>94</v>
      </c>
      <c r="D134" s="1" t="s">
        <v>20</v>
      </c>
      <c r="E134" s="1" t="s">
        <v>21</v>
      </c>
      <c r="F134" s="1" t="n">
        <v>43</v>
      </c>
      <c r="G134" s="2" t="s">
        <v>27</v>
      </c>
      <c r="H134" s="1" t="n">
        <v>0.1465</v>
      </c>
      <c r="I134" s="1" t="n">
        <v>0.307791950145948</v>
      </c>
      <c r="J134" s="1" t="n">
        <v>0.259550998422837</v>
      </c>
      <c r="K134" s="1" t="n">
        <f aca="false">J134-I134</f>
        <v>-0.048240951723111</v>
      </c>
      <c r="L134" s="1" t="n">
        <v>0.677931474696056</v>
      </c>
      <c r="N134" s="8"/>
    </row>
    <row r="135" customFormat="false" ht="15" hidden="false" customHeight="false" outlineLevel="0" collapsed="false">
      <c r="A135" s="3" t="s">
        <v>95</v>
      </c>
      <c r="B135" s="3" t="s">
        <v>96</v>
      </c>
      <c r="C135" s="3" t="s">
        <v>97</v>
      </c>
      <c r="D135" s="1" t="s">
        <v>20</v>
      </c>
      <c r="E135" s="1" t="s">
        <v>21</v>
      </c>
      <c r="F135" s="1" t="n">
        <v>45</v>
      </c>
      <c r="G135" s="2" t="s">
        <v>23</v>
      </c>
      <c r="H135" s="1" t="n">
        <v>0.1934</v>
      </c>
      <c r="I135" s="1" t="n">
        <v>0.26715271895782</v>
      </c>
      <c r="J135" s="1" t="n">
        <v>0.337565853047147</v>
      </c>
      <c r="K135" s="1" t="n">
        <f aca="false">J135-I135</f>
        <v>0.070413134089327</v>
      </c>
      <c r="L135" s="1" t="n">
        <v>0.722134922473597</v>
      </c>
      <c r="N135" s="8" t="n">
        <f aca="false">AVERAGE(K135:K140)</f>
        <v>0.056712130616566</v>
      </c>
    </row>
    <row r="136" customFormat="false" ht="15" hidden="false" customHeight="false" outlineLevel="0" collapsed="false">
      <c r="A136" s="3" t="s">
        <v>95</v>
      </c>
      <c r="B136" s="3" t="s">
        <v>96</v>
      </c>
      <c r="C136" s="3" t="s">
        <v>97</v>
      </c>
      <c r="D136" s="1" t="s">
        <v>20</v>
      </c>
      <c r="E136" s="1" t="s">
        <v>21</v>
      </c>
      <c r="F136" s="1" t="n">
        <v>45</v>
      </c>
      <c r="G136" s="2" t="s">
        <v>22</v>
      </c>
      <c r="H136" s="1" t="n">
        <v>0.1922</v>
      </c>
      <c r="I136" s="1" t="n">
        <v>0.265569539913129</v>
      </c>
      <c r="J136" s="1" t="n">
        <v>0.308560425326386</v>
      </c>
      <c r="K136" s="1" t="n">
        <f aca="false">J136-I136</f>
        <v>0.042990885413257</v>
      </c>
      <c r="L136" s="1" t="n">
        <v>0.722134922473597</v>
      </c>
      <c r="N136" s="8"/>
    </row>
    <row r="137" customFormat="false" ht="15" hidden="false" customHeight="false" outlineLevel="0" collapsed="false">
      <c r="A137" s="3" t="s">
        <v>95</v>
      </c>
      <c r="B137" s="3" t="s">
        <v>96</v>
      </c>
      <c r="C137" s="3" t="s">
        <v>97</v>
      </c>
      <c r="D137" s="1" t="s">
        <v>20</v>
      </c>
      <c r="E137" s="1" t="s">
        <v>21</v>
      </c>
      <c r="F137" s="1" t="n">
        <v>45</v>
      </c>
      <c r="G137" s="2" t="s">
        <v>24</v>
      </c>
      <c r="H137" s="1" t="n">
        <v>0.184</v>
      </c>
      <c r="I137" s="1" t="n">
        <v>0.254266525992855</v>
      </c>
      <c r="J137" s="1" t="n">
        <v>0.30721210009252</v>
      </c>
      <c r="K137" s="1" t="n">
        <f aca="false">J137-I137</f>
        <v>0.052945574099665</v>
      </c>
      <c r="L137" s="1" t="n">
        <v>0.722134922473597</v>
      </c>
      <c r="N137" s="8"/>
    </row>
    <row r="138" customFormat="false" ht="15" hidden="false" customHeight="false" outlineLevel="0" collapsed="false">
      <c r="A138" s="3" t="s">
        <v>95</v>
      </c>
      <c r="B138" s="3" t="s">
        <v>96</v>
      </c>
      <c r="C138" s="3" t="s">
        <v>97</v>
      </c>
      <c r="D138" s="1" t="s">
        <v>20</v>
      </c>
      <c r="E138" s="1" t="s">
        <v>21</v>
      </c>
      <c r="F138" s="1" t="n">
        <v>45</v>
      </c>
      <c r="G138" s="2" t="s">
        <v>25</v>
      </c>
      <c r="H138" s="1" t="n">
        <v>0.176</v>
      </c>
      <c r="I138" s="1" t="n">
        <v>0.243095221584306</v>
      </c>
      <c r="J138" s="1" t="n">
        <v>0.28357039651256</v>
      </c>
      <c r="K138" s="1" t="n">
        <f aca="false">J138-I138</f>
        <v>0.040475174928254</v>
      </c>
      <c r="L138" s="1" t="n">
        <v>0.722134922473597</v>
      </c>
      <c r="N138" s="1"/>
    </row>
    <row r="139" customFormat="false" ht="15" hidden="false" customHeight="false" outlineLevel="0" collapsed="false">
      <c r="A139" s="3" t="s">
        <v>95</v>
      </c>
      <c r="B139" s="3" t="s">
        <v>96</v>
      </c>
      <c r="C139" s="3" t="s">
        <v>97</v>
      </c>
      <c r="D139" s="1" t="s">
        <v>20</v>
      </c>
      <c r="E139" s="1" t="s">
        <v>21</v>
      </c>
      <c r="F139" s="1" t="n">
        <v>45</v>
      </c>
      <c r="G139" s="2" t="s">
        <v>26</v>
      </c>
      <c r="H139" s="1" t="n">
        <v>0.1544</v>
      </c>
      <c r="I139" s="1" t="n">
        <v>0.213325340749366</v>
      </c>
      <c r="J139" s="1" t="n">
        <v>0.289834183490804</v>
      </c>
      <c r="K139" s="1" t="n">
        <f aca="false">J139-I139</f>
        <v>0.076508842741438</v>
      </c>
      <c r="L139" s="1" t="n">
        <v>0.722134922473597</v>
      </c>
    </row>
    <row r="140" customFormat="false" ht="15" hidden="false" customHeight="false" outlineLevel="0" collapsed="false">
      <c r="A140" s="3" t="s">
        <v>95</v>
      </c>
      <c r="B140" s="3" t="s">
        <v>96</v>
      </c>
      <c r="C140" s="3" t="s">
        <v>97</v>
      </c>
      <c r="D140" s="1" t="s">
        <v>20</v>
      </c>
      <c r="E140" s="1" t="s">
        <v>21</v>
      </c>
      <c r="F140" s="1" t="n">
        <v>45</v>
      </c>
      <c r="G140" s="2" t="s">
        <v>27</v>
      </c>
      <c r="H140" s="1" t="n">
        <v>0.1</v>
      </c>
      <c r="I140" s="1" t="n">
        <v>0.172350759869056</v>
      </c>
      <c r="J140" s="1" t="n">
        <v>0.229289932296511</v>
      </c>
      <c r="K140" s="1" t="n">
        <f aca="false">J140-I140</f>
        <v>0.056939172427455</v>
      </c>
      <c r="L140" s="1" t="n">
        <v>0.722134922473597</v>
      </c>
    </row>
    <row r="141" customFormat="false" ht="15" hidden="false" customHeight="false" outlineLevel="0" collapsed="false">
      <c r="A141" s="3" t="s">
        <v>98</v>
      </c>
      <c r="B141" s="3" t="s">
        <v>99</v>
      </c>
      <c r="C141" s="3" t="s">
        <v>100</v>
      </c>
      <c r="D141" s="1" t="s">
        <v>20</v>
      </c>
      <c r="E141" s="1" t="s">
        <v>21</v>
      </c>
      <c r="F141" s="1" t="n">
        <v>47</v>
      </c>
      <c r="G141" s="2" t="s">
        <v>23</v>
      </c>
      <c r="H141" s="1" t="n">
        <v>0.2033</v>
      </c>
      <c r="I141" s="1" t="n">
        <v>0.264801760827281</v>
      </c>
      <c r="J141" s="1" t="n">
        <v>0.408996219741038</v>
      </c>
      <c r="K141" s="1" t="n">
        <f aca="false">J141-I141</f>
        <v>0.144194458913757</v>
      </c>
      <c r="L141" s="1" t="n">
        <v>0.727810414332614</v>
      </c>
      <c r="N141" s="8" t="n">
        <f aca="false">AVERAGE(K141:K146)</f>
        <v>0.124791583723874</v>
      </c>
    </row>
    <row r="142" customFormat="false" ht="15" hidden="false" customHeight="false" outlineLevel="0" collapsed="false">
      <c r="A142" s="3" t="s">
        <v>98</v>
      </c>
      <c r="B142" s="3" t="s">
        <v>99</v>
      </c>
      <c r="C142" s="3" t="s">
        <v>100</v>
      </c>
      <c r="D142" s="1" t="s">
        <v>20</v>
      </c>
      <c r="E142" s="1" t="s">
        <v>21</v>
      </c>
      <c r="F142" s="1" t="n">
        <v>47</v>
      </c>
      <c r="G142" s="2" t="s">
        <v>22</v>
      </c>
      <c r="H142" s="1" t="n">
        <v>0.1888</v>
      </c>
      <c r="I142" s="1" t="n">
        <v>0.245923197043664</v>
      </c>
      <c r="J142" s="1" t="n">
        <v>0.373361847742976</v>
      </c>
      <c r="K142" s="1" t="n">
        <f aca="false">J142-I142</f>
        <v>0.127438650699312</v>
      </c>
      <c r="L142" s="1" t="n">
        <v>0.727810414332614</v>
      </c>
      <c r="N142" s="8"/>
    </row>
    <row r="143" customFormat="false" ht="15" hidden="false" customHeight="false" outlineLevel="0" collapsed="false">
      <c r="A143" s="3" t="s">
        <v>98</v>
      </c>
      <c r="B143" s="3" t="s">
        <v>99</v>
      </c>
      <c r="C143" s="3" t="s">
        <v>100</v>
      </c>
      <c r="D143" s="1" t="s">
        <v>20</v>
      </c>
      <c r="E143" s="1" t="s">
        <v>21</v>
      </c>
      <c r="F143" s="1" t="n">
        <v>47</v>
      </c>
      <c r="G143" s="2" t="s">
        <v>24</v>
      </c>
      <c r="H143" s="1" t="n">
        <v>0.1849</v>
      </c>
      <c r="I143" s="1" t="n">
        <v>0.240913060260167</v>
      </c>
      <c r="J143" s="1" t="n">
        <v>0.353165753740341</v>
      </c>
      <c r="K143" s="1" t="n">
        <f aca="false">J143-I143</f>
        <v>0.112252693480174</v>
      </c>
      <c r="L143" s="1" t="n">
        <v>0.727810414332614</v>
      </c>
      <c r="N143" s="8"/>
    </row>
    <row r="144" customFormat="false" ht="15" hidden="false" customHeight="false" outlineLevel="0" collapsed="false">
      <c r="A144" s="3" t="s">
        <v>98</v>
      </c>
      <c r="B144" s="3" t="s">
        <v>99</v>
      </c>
      <c r="C144" s="3" t="s">
        <v>100</v>
      </c>
      <c r="D144" s="1" t="s">
        <v>20</v>
      </c>
      <c r="E144" s="1" t="s">
        <v>21</v>
      </c>
      <c r="F144" s="1" t="n">
        <v>47</v>
      </c>
      <c r="G144" s="2" t="s">
        <v>31</v>
      </c>
      <c r="H144" s="1" t="n">
        <v>0.1681</v>
      </c>
      <c r="I144" s="1" t="n">
        <v>0.219032089563322</v>
      </c>
      <c r="J144" s="1" t="n">
        <v>0.30145672231619</v>
      </c>
      <c r="K144" s="1" t="n">
        <f aca="false">J144-I144</f>
        <v>0.082424632752868</v>
      </c>
      <c r="L144" s="1" t="n">
        <v>0.727810414332614</v>
      </c>
      <c r="N144" s="8"/>
    </row>
    <row r="145" customFormat="false" ht="15" hidden="false" customHeight="false" outlineLevel="0" collapsed="false">
      <c r="A145" s="3" t="s">
        <v>98</v>
      </c>
      <c r="B145" s="3" t="s">
        <v>99</v>
      </c>
      <c r="C145" s="3" t="s">
        <v>100</v>
      </c>
      <c r="D145" s="1" t="s">
        <v>20</v>
      </c>
      <c r="E145" s="1" t="s">
        <v>21</v>
      </c>
      <c r="F145" s="1" t="n">
        <v>47</v>
      </c>
      <c r="G145" s="2" t="s">
        <v>25</v>
      </c>
      <c r="H145" s="1" t="n">
        <v>0.1548</v>
      </c>
      <c r="I145" s="1" t="n">
        <v>0.201679988064849</v>
      </c>
      <c r="J145" s="1" t="n">
        <v>0.327081749206308</v>
      </c>
      <c r="K145" s="1" t="n">
        <f aca="false">J145-I145</f>
        <v>0.125401761141459</v>
      </c>
      <c r="L145" s="1" t="n">
        <v>0.727810414332614</v>
      </c>
      <c r="N145" s="8"/>
    </row>
    <row r="146" customFormat="false" ht="15" hidden="false" customHeight="false" outlineLevel="0" collapsed="false">
      <c r="A146" s="3" t="s">
        <v>98</v>
      </c>
      <c r="B146" s="3" t="s">
        <v>99</v>
      </c>
      <c r="C146" s="3" t="s">
        <v>100</v>
      </c>
      <c r="D146" s="1" t="s">
        <v>20</v>
      </c>
      <c r="E146" s="1" t="s">
        <v>21</v>
      </c>
      <c r="F146" s="1" t="n">
        <v>47</v>
      </c>
      <c r="G146" s="2" t="s">
        <v>27</v>
      </c>
      <c r="H146" s="1" t="n">
        <v>0.1</v>
      </c>
      <c r="I146" s="1" t="n">
        <v>0.148259612426993</v>
      </c>
      <c r="J146" s="1" t="n">
        <v>0.305296917782669</v>
      </c>
      <c r="K146" s="1" t="n">
        <f aca="false">J146-I146</f>
        <v>0.157037305355676</v>
      </c>
      <c r="L146" s="1" t="n">
        <v>0.727810414332614</v>
      </c>
      <c r="N146" s="1"/>
    </row>
    <row r="147" customFormat="false" ht="15" hidden="false" customHeight="false" outlineLevel="0" collapsed="false">
      <c r="A147" s="3" t="s">
        <v>101</v>
      </c>
      <c r="B147" s="3" t="s">
        <v>102</v>
      </c>
      <c r="C147" s="3" t="s">
        <v>103</v>
      </c>
      <c r="D147" s="1" t="s">
        <v>20</v>
      </c>
      <c r="E147" s="1" t="s">
        <v>21</v>
      </c>
      <c r="F147" s="1" t="n">
        <v>49</v>
      </c>
      <c r="G147" s="2" t="s">
        <v>23</v>
      </c>
      <c r="H147" s="1" t="n">
        <v>0.2134</v>
      </c>
      <c r="I147" s="1" t="n">
        <v>0.345079452592973</v>
      </c>
      <c r="J147" s="1" t="n">
        <v>0.385524107987809</v>
      </c>
      <c r="K147" s="1" t="n">
        <f aca="false">J147-I147</f>
        <v>0.040444655394836</v>
      </c>
      <c r="L147" s="1" t="n">
        <v>0.68313653978705</v>
      </c>
      <c r="N147" s="8" t="n">
        <f aca="false">AVERAGE(K147:K152)</f>
        <v>0.045313308728386</v>
      </c>
    </row>
    <row r="148" customFormat="false" ht="15" hidden="false" customHeight="false" outlineLevel="0" collapsed="false">
      <c r="A148" s="3" t="s">
        <v>101</v>
      </c>
      <c r="B148" s="3" t="s">
        <v>102</v>
      </c>
      <c r="C148" s="3" t="s">
        <v>103</v>
      </c>
      <c r="D148" s="1" t="s">
        <v>20</v>
      </c>
      <c r="E148" s="1" t="s">
        <v>21</v>
      </c>
      <c r="F148" s="1" t="n">
        <v>49</v>
      </c>
      <c r="G148" s="2" t="s">
        <v>22</v>
      </c>
      <c r="H148" s="1" t="n">
        <v>0.1784</v>
      </c>
      <c r="I148" s="1" t="n">
        <v>0.288556250846653</v>
      </c>
      <c r="J148" s="1" t="n">
        <v>0.344052958041872</v>
      </c>
      <c r="K148" s="1" t="n">
        <f aca="false">J148-I148</f>
        <v>0.055496707195219</v>
      </c>
      <c r="L148" s="1" t="n">
        <v>0.68313653978705</v>
      </c>
    </row>
    <row r="149" customFormat="false" ht="15" hidden="false" customHeight="false" outlineLevel="0" collapsed="false">
      <c r="A149" s="3" t="s">
        <v>101</v>
      </c>
      <c r="B149" s="3" t="s">
        <v>102</v>
      </c>
      <c r="C149" s="3" t="s">
        <v>103</v>
      </c>
      <c r="D149" s="1" t="s">
        <v>20</v>
      </c>
      <c r="E149" s="1" t="s">
        <v>21</v>
      </c>
      <c r="F149" s="1" t="n">
        <v>49</v>
      </c>
      <c r="G149" s="2" t="s">
        <v>24</v>
      </c>
      <c r="H149" s="1" t="n">
        <v>0.1759</v>
      </c>
      <c r="I149" s="1" t="n">
        <v>0.284492228289257</v>
      </c>
      <c r="J149" s="1" t="n">
        <v>0.356215193374011</v>
      </c>
      <c r="K149" s="1" t="n">
        <f aca="false">J149-I149</f>
        <v>0.071722965084754</v>
      </c>
      <c r="L149" s="1" t="n">
        <v>0.68313653978705</v>
      </c>
    </row>
    <row r="150" customFormat="false" ht="15" hidden="false" customHeight="false" outlineLevel="0" collapsed="false">
      <c r="A150" s="3" t="s">
        <v>101</v>
      </c>
      <c r="B150" s="3" t="s">
        <v>102</v>
      </c>
      <c r="C150" s="3" t="s">
        <v>103</v>
      </c>
      <c r="D150" s="1" t="s">
        <v>20</v>
      </c>
      <c r="E150" s="1" t="s">
        <v>21</v>
      </c>
      <c r="F150" s="1" t="n">
        <v>49</v>
      </c>
      <c r="G150" s="2" t="s">
        <v>25</v>
      </c>
      <c r="H150" s="1" t="n">
        <v>0.1676</v>
      </c>
      <c r="I150" s="1" t="n">
        <v>0.270962109180256</v>
      </c>
      <c r="J150" s="1" t="n">
        <v>0.34814355199318</v>
      </c>
      <c r="K150" s="1" t="n">
        <f aca="false">J150-I150</f>
        <v>0.077181442812924</v>
      </c>
      <c r="L150" s="1" t="n">
        <v>0.68313653978705</v>
      </c>
    </row>
    <row r="151" customFormat="false" ht="15" hidden="false" customHeight="false" outlineLevel="0" collapsed="false">
      <c r="A151" s="3" t="s">
        <v>101</v>
      </c>
      <c r="B151" s="3" t="s">
        <v>102</v>
      </c>
      <c r="C151" s="3" t="s">
        <v>103</v>
      </c>
      <c r="D151" s="1" t="s">
        <v>20</v>
      </c>
      <c r="E151" s="1" t="s">
        <v>21</v>
      </c>
      <c r="F151" s="1" t="n">
        <v>49</v>
      </c>
      <c r="G151" s="2" t="s">
        <v>31</v>
      </c>
      <c r="H151" s="1" t="n">
        <v>0.1647</v>
      </c>
      <c r="I151" s="1" t="n">
        <v>0.266348436495567</v>
      </c>
      <c r="J151" s="1" t="n">
        <v>0.260242067403864</v>
      </c>
      <c r="K151" s="1" t="n">
        <f aca="false">J151-I151</f>
        <v>-0.00610636909170298</v>
      </c>
      <c r="L151" s="1" t="n">
        <v>0.68313653978705</v>
      </c>
    </row>
    <row r="152" customFormat="false" ht="15" hidden="false" customHeight="false" outlineLevel="0" collapsed="false">
      <c r="A152" s="3" t="s">
        <v>101</v>
      </c>
      <c r="B152" s="3" t="s">
        <v>102</v>
      </c>
      <c r="C152" s="3" t="s">
        <v>103</v>
      </c>
      <c r="D152" s="1" t="s">
        <v>20</v>
      </c>
      <c r="E152" s="1" t="s">
        <v>21</v>
      </c>
      <c r="F152" s="1" t="n">
        <v>49</v>
      </c>
      <c r="G152" s="2" t="s">
        <v>27</v>
      </c>
      <c r="H152" s="1" t="n">
        <v>0.1</v>
      </c>
      <c r="I152" s="1" t="n">
        <v>0.253542415865703</v>
      </c>
      <c r="J152" s="1" t="n">
        <v>0.286682866839989</v>
      </c>
      <c r="K152" s="1" t="n">
        <f aca="false">J152-I152</f>
        <v>0.033140450974286</v>
      </c>
      <c r="L152" s="1" t="n">
        <v>0.68313653978705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C15" activeCellId="0" sqref="C15"/>
    </sheetView>
  </sheetViews>
  <sheetFormatPr defaultColWidth="12.3984375" defaultRowHeight="12.8" customHeight="false" zeroHeight="false" outlineLevelRow="0" outlineLevelCol="0"/>
  <sheetData>
    <row r="1" customFormat="false" ht="12.8" hidden="false" customHeight="false" outlineLevel="0" collapsed="false">
      <c r="A1" s="9" t="s">
        <v>104</v>
      </c>
      <c r="B1" s="9"/>
    </row>
    <row r="2" customFormat="false" ht="12.8" hidden="false" customHeight="false" outlineLevel="0" collapsed="false">
      <c r="A2" s="9"/>
      <c r="B2" s="9"/>
    </row>
    <row r="3" customFormat="false" ht="12.8" hidden="false" customHeight="false" outlineLevel="0" collapsed="false">
      <c r="A3" s="9" t="s">
        <v>105</v>
      </c>
      <c r="B3" s="9" t="n">
        <f aca="false">COUNT(scen1_ac15!K3:K152)</f>
        <v>150</v>
      </c>
    </row>
    <row r="4" customFormat="false" ht="12.8" hidden="false" customHeight="false" outlineLevel="0" collapsed="false">
      <c r="A4" s="9" t="s">
        <v>106</v>
      </c>
      <c r="B4" s="9" t="n">
        <f aca="false">scen1_ac15!Q3*SQRT((B3-2)/(1-scen1_ac15!Q3^2))</f>
        <v>-1.44528285234206</v>
      </c>
    </row>
    <row r="5" customFormat="false" ht="12.8" hidden="false" customHeight="false" outlineLevel="0" collapsed="false">
      <c r="A5" s="9" t="s">
        <v>107</v>
      </c>
      <c r="B5" s="9" t="n">
        <f aca="false">_xlfn.T.DIST.2T(ABS(B4),B3-2)</f>
        <v>0.150492519501497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185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H4" activeCellId="0" sqref="H4"/>
    </sheetView>
  </sheetViews>
  <sheetFormatPr defaultColWidth="12.3984375" defaultRowHeight="12.8" customHeight="false" zeroHeight="false" outlineLevelRow="0" outlineLevelCol="0"/>
  <cols>
    <col collapsed="false" customWidth="false" hidden="false" outlineLevel="0" max="1" min="1" style="8" width="12.4"/>
    <col collapsed="false" customWidth="true" hidden="false" outlineLevel="0" max="2" min="2" style="8" width="35.88"/>
    <col collapsed="false" customWidth="true" hidden="false" outlineLevel="0" max="3" min="3" style="8" width="30.97"/>
    <col collapsed="false" customWidth="false" hidden="false" outlineLevel="0" max="7" min="4" style="8" width="12.4"/>
    <col collapsed="false" customWidth="true" hidden="false" outlineLevel="0" max="8" min="8" style="8" width="19.26"/>
    <col collapsed="false" customWidth="false" hidden="false" outlineLevel="0" max="9" min="9" style="8" width="12.4"/>
    <col collapsed="false" customWidth="true" hidden="false" outlineLevel="0" max="10" min="10" style="8" width="18.19"/>
    <col collapsed="false" customWidth="false" hidden="false" outlineLevel="0" max="16384" min="11" style="8" width="12.4"/>
  </cols>
  <sheetData>
    <row r="2" customFormat="false" ht="12.8" hidden="false" customHeight="false" outlineLevel="0" collapsed="false">
      <c r="A2" s="8" t="s">
        <v>108</v>
      </c>
      <c r="B2" s="7" t="s">
        <v>11</v>
      </c>
      <c r="C2" s="7" t="s">
        <v>12</v>
      </c>
      <c r="H2" s="8" t="s">
        <v>109</v>
      </c>
      <c r="I2" s="8" t="s">
        <v>14</v>
      </c>
      <c r="J2" s="8" t="s">
        <v>110</v>
      </c>
      <c r="K2" s="8" t="s">
        <v>16</v>
      </c>
    </row>
    <row r="3" customFormat="false" ht="12.8" hidden="false" customHeight="false" outlineLevel="0" collapsed="false">
      <c r="B3" s="7"/>
      <c r="C3" s="7"/>
      <c r="H3" s="3"/>
      <c r="I3" s="3"/>
      <c r="J3" s="3"/>
      <c r="K3" s="3"/>
    </row>
    <row r="4" customFormat="false" ht="12.8" hidden="false" customHeight="false" outlineLevel="0" collapsed="false">
      <c r="A4" s="8" t="n">
        <v>1</v>
      </c>
      <c r="B4" s="8" t="n">
        <v>0.829521350954824</v>
      </c>
      <c r="C4" s="8" t="n">
        <v>0.0661680114027562</v>
      </c>
      <c r="H4" s="8" t="n">
        <f aca="false">CORREL(B4:B28,C4:C28)</f>
        <v>0.243966694735263</v>
      </c>
      <c r="I4" s="8" t="n">
        <f aca="false">COUNT(C4:C28)</f>
        <v>25</v>
      </c>
      <c r="J4" s="8" t="n">
        <f aca="false">H4*SQRT((I4-2)/(1-H4^2))</f>
        <v>1.20647859189181</v>
      </c>
      <c r="K4" s="8" t="n">
        <f aca="false">_xlfn.T.DIST.2T(ABS(J4),I4-2)</f>
        <v>0.239896610797257</v>
      </c>
    </row>
    <row r="5" customFormat="false" ht="12.8" hidden="false" customHeight="false" outlineLevel="0" collapsed="false">
      <c r="A5" s="8" t="n">
        <v>2</v>
      </c>
      <c r="B5" s="8" t="n">
        <v>0.735193711695633</v>
      </c>
      <c r="C5" s="8" t="n">
        <v>0.0600612407694369</v>
      </c>
    </row>
    <row r="6" customFormat="false" ht="12.8" hidden="false" customHeight="false" outlineLevel="0" collapsed="false">
      <c r="A6" s="8" t="n">
        <v>3</v>
      </c>
      <c r="B6" s="8" t="n">
        <v>0.73805452066822</v>
      </c>
      <c r="C6" s="8" t="n">
        <v>0.0356093043320678</v>
      </c>
    </row>
    <row r="7" customFormat="false" ht="12.8" hidden="false" customHeight="false" outlineLevel="0" collapsed="false">
      <c r="A7" s="8" t="n">
        <v>4</v>
      </c>
      <c r="B7" s="8" t="n">
        <v>0.639461451771152</v>
      </c>
      <c r="C7" s="8" t="n">
        <v>0.0468815917866285</v>
      </c>
    </row>
    <row r="8" customFormat="false" ht="12.8" hidden="false" customHeight="false" outlineLevel="0" collapsed="false">
      <c r="A8" s="8" t="n">
        <v>5</v>
      </c>
      <c r="B8" s="8" t="n">
        <v>0.601148402331265</v>
      </c>
      <c r="C8" s="8" t="n">
        <v>0.00542834178381692</v>
      </c>
    </row>
    <row r="9" customFormat="false" ht="12.8" hidden="false" customHeight="false" outlineLevel="0" collapsed="false">
      <c r="A9" s="8" t="n">
        <v>6</v>
      </c>
      <c r="B9" s="8" t="n">
        <v>0.773499226539065</v>
      </c>
      <c r="C9" s="8" t="n">
        <v>0.0146972629417901</v>
      </c>
    </row>
    <row r="10" customFormat="false" ht="12.8" hidden="false" customHeight="false" outlineLevel="0" collapsed="false">
      <c r="A10" s="8" t="n">
        <v>7</v>
      </c>
      <c r="B10" s="8" t="n">
        <v>0.65742523257328</v>
      </c>
      <c r="C10" s="8" t="n">
        <v>0.0829098710406137</v>
      </c>
    </row>
    <row r="11" customFormat="false" ht="12.8" hidden="false" customHeight="false" outlineLevel="0" collapsed="false">
      <c r="A11" s="8" t="n">
        <v>8</v>
      </c>
      <c r="B11" s="8" t="n">
        <v>0.712613137045905</v>
      </c>
      <c r="C11" s="8" t="n">
        <v>-0.00584173638427984</v>
      </c>
    </row>
    <row r="12" customFormat="false" ht="12.8" hidden="false" customHeight="false" outlineLevel="0" collapsed="false">
      <c r="A12" s="8" t="n">
        <v>9</v>
      </c>
      <c r="B12" s="8" t="n">
        <v>0.695082856151577</v>
      </c>
      <c r="C12" s="8" t="n">
        <v>-0.0401149897132349</v>
      </c>
    </row>
    <row r="13" customFormat="false" ht="12.8" hidden="false" customHeight="false" outlineLevel="0" collapsed="false">
      <c r="A13" s="8" t="n">
        <v>10</v>
      </c>
      <c r="B13" s="8" t="n">
        <v>0.70158644000236</v>
      </c>
      <c r="C13" s="8" t="n">
        <v>0.0408907789829383</v>
      </c>
    </row>
    <row r="14" customFormat="false" ht="12.8" hidden="false" customHeight="false" outlineLevel="0" collapsed="false">
      <c r="A14" s="8" t="n">
        <v>11</v>
      </c>
      <c r="B14" s="8" t="n">
        <v>0.697028043689582</v>
      </c>
      <c r="C14" s="8" t="n">
        <v>0.0598247003611976</v>
      </c>
    </row>
    <row r="15" customFormat="false" ht="12.8" hidden="false" customHeight="false" outlineLevel="0" collapsed="false">
      <c r="A15" s="8" t="n">
        <v>12</v>
      </c>
      <c r="B15" s="8" t="n">
        <v>0.780558840331467</v>
      </c>
      <c r="C15" s="8" t="n">
        <v>0.0827110452636476</v>
      </c>
    </row>
    <row r="16" customFormat="false" ht="12.8" hidden="false" customHeight="false" outlineLevel="0" collapsed="false">
      <c r="A16" s="8" t="n">
        <v>13</v>
      </c>
      <c r="B16" s="8" t="n">
        <v>0.720814394600414</v>
      </c>
      <c r="C16" s="8" t="n">
        <v>0.0971984965472528</v>
      </c>
    </row>
    <row r="17" customFormat="false" ht="12.8" hidden="false" customHeight="false" outlineLevel="0" collapsed="false">
      <c r="A17" s="8" t="n">
        <v>14</v>
      </c>
      <c r="B17" s="8" t="n">
        <v>0.740298991398541</v>
      </c>
      <c r="C17" s="8" t="n">
        <v>0.0100773673997176</v>
      </c>
    </row>
    <row r="18" customFormat="false" ht="12.8" hidden="false" customHeight="false" outlineLevel="0" collapsed="false">
      <c r="A18" s="8" t="n">
        <v>15</v>
      </c>
      <c r="B18" s="8" t="n">
        <v>0.70744158301379</v>
      </c>
      <c r="C18" s="8" t="n">
        <v>0.0435176449388127</v>
      </c>
    </row>
    <row r="19" customFormat="false" ht="12.8" hidden="false" customHeight="false" outlineLevel="0" collapsed="false">
      <c r="A19" s="8" t="n">
        <v>16</v>
      </c>
      <c r="B19" s="8" t="n">
        <v>0.719125866172455</v>
      </c>
      <c r="C19" s="8" t="n">
        <v>0.0112680399170878</v>
      </c>
    </row>
    <row r="20" customFormat="false" ht="12.8" hidden="false" customHeight="false" outlineLevel="0" collapsed="false">
      <c r="A20" s="8" t="n">
        <v>17</v>
      </c>
      <c r="B20" s="8" t="n">
        <v>0.718889384668267</v>
      </c>
      <c r="C20" s="8" t="n">
        <v>0.0468343170914484</v>
      </c>
    </row>
    <row r="21" customFormat="false" ht="12.8" hidden="false" customHeight="false" outlineLevel="0" collapsed="false">
      <c r="A21" s="8" t="n">
        <v>18</v>
      </c>
      <c r="B21" s="8" t="n">
        <v>0.735022492301164</v>
      </c>
      <c r="C21" s="8" t="n">
        <v>0.0595460676339869</v>
      </c>
    </row>
    <row r="22" customFormat="false" ht="12.8" hidden="false" customHeight="false" outlineLevel="0" collapsed="false">
      <c r="A22" s="8" t="n">
        <v>19</v>
      </c>
      <c r="B22" s="8" t="n">
        <v>0.581700376323851</v>
      </c>
      <c r="C22" s="8" t="n">
        <v>-0.0203593906699229</v>
      </c>
    </row>
    <row r="23" customFormat="false" ht="12.8" hidden="false" customHeight="false" outlineLevel="0" collapsed="false">
      <c r="A23" s="8" t="n">
        <v>20</v>
      </c>
      <c r="B23" s="8" t="n">
        <v>0.849425390022398</v>
      </c>
      <c r="C23" s="8" t="n">
        <v>0.00578254405954359</v>
      </c>
    </row>
    <row r="24" customFormat="false" ht="12.8" hidden="false" customHeight="false" outlineLevel="0" collapsed="false">
      <c r="A24" s="8" t="n">
        <v>21</v>
      </c>
      <c r="B24" s="8" t="n">
        <v>0.782107085098168</v>
      </c>
      <c r="C24" s="8" t="n">
        <v>0.0437856435223891</v>
      </c>
    </row>
    <row r="25" customFormat="false" ht="12.8" hidden="false" customHeight="false" outlineLevel="0" collapsed="false">
      <c r="A25" s="8" t="n">
        <v>22</v>
      </c>
      <c r="B25" s="8" t="n">
        <v>0.677931474696056</v>
      </c>
      <c r="C25" s="8" t="n">
        <v>-0.0285986647316643</v>
      </c>
    </row>
    <row r="26" customFormat="false" ht="12.8" hidden="false" customHeight="false" outlineLevel="0" collapsed="false">
      <c r="A26" s="8" t="n">
        <v>23</v>
      </c>
      <c r="B26" s="8" t="n">
        <v>0.722134922473597</v>
      </c>
      <c r="C26" s="8" t="n">
        <v>0.056712130616566</v>
      </c>
    </row>
    <row r="27" customFormat="false" ht="12.8" hidden="false" customHeight="false" outlineLevel="0" collapsed="false">
      <c r="A27" s="8" t="n">
        <v>24</v>
      </c>
      <c r="B27" s="8" t="n">
        <v>0.727810414332614</v>
      </c>
      <c r="C27" s="8" t="n">
        <v>0.124791583723874</v>
      </c>
    </row>
    <row r="28" customFormat="false" ht="12.8" hidden="false" customHeight="false" outlineLevel="0" collapsed="false">
      <c r="A28" s="8" t="n">
        <v>25</v>
      </c>
      <c r="B28" s="8" t="n">
        <v>0.68313653978705</v>
      </c>
      <c r="C28" s="8" t="n">
        <v>0.045313308728386</v>
      </c>
    </row>
    <row r="29" customFormat="false" ht="12.8" hidden="false" customHeight="false" outlineLevel="0" collapsed="false">
      <c r="B29" s="3"/>
    </row>
    <row r="35" customFormat="false" ht="12.8" hidden="false" customHeight="false" outlineLevel="0" collapsed="false">
      <c r="B35" s="1"/>
    </row>
    <row r="36" customFormat="false" ht="12.8" hidden="false" customHeight="false" outlineLevel="0" collapsed="false">
      <c r="B36" s="1"/>
    </row>
    <row r="37" customFormat="false" ht="12.8" hidden="false" customHeight="false" outlineLevel="0" collapsed="false">
      <c r="B37" s="1"/>
    </row>
    <row r="38" customFormat="false" ht="12.8" hidden="false" customHeight="false" outlineLevel="0" collapsed="false">
      <c r="B38" s="1"/>
    </row>
    <row r="39" customFormat="false" ht="12.8" hidden="false" customHeight="false" outlineLevel="0" collapsed="false">
      <c r="B39" s="1"/>
    </row>
    <row r="40" customFormat="false" ht="12.8" hidden="false" customHeight="false" outlineLevel="0" collapsed="false">
      <c r="B40" s="1"/>
    </row>
    <row r="41" customFormat="false" ht="12.8" hidden="false" customHeight="false" outlineLevel="0" collapsed="false">
      <c r="B41" s="1"/>
    </row>
    <row r="42" customFormat="false" ht="12.8" hidden="false" customHeight="false" outlineLevel="0" collapsed="false">
      <c r="B42" s="1"/>
    </row>
    <row r="43" customFormat="false" ht="12.8" hidden="false" customHeight="false" outlineLevel="0" collapsed="false">
      <c r="B43" s="1"/>
    </row>
    <row r="44" customFormat="false" ht="12.8" hidden="false" customHeight="false" outlineLevel="0" collapsed="false">
      <c r="B44" s="1"/>
    </row>
    <row r="45" customFormat="false" ht="12.8" hidden="false" customHeight="false" outlineLevel="0" collapsed="false">
      <c r="B45" s="1"/>
    </row>
    <row r="46" customFormat="false" ht="12.8" hidden="false" customHeight="false" outlineLevel="0" collapsed="false">
      <c r="B46" s="1"/>
    </row>
    <row r="47" customFormat="false" ht="12.8" hidden="false" customHeight="false" outlineLevel="0" collapsed="false">
      <c r="B47" s="1"/>
    </row>
    <row r="48" customFormat="false" ht="12.8" hidden="false" customHeight="false" outlineLevel="0" collapsed="false">
      <c r="B48" s="1"/>
    </row>
    <row r="49" customFormat="false" ht="12.8" hidden="false" customHeight="false" outlineLevel="0" collapsed="false">
      <c r="B49" s="1"/>
    </row>
    <row r="50" customFormat="false" ht="12.8" hidden="false" customHeight="false" outlineLevel="0" collapsed="false">
      <c r="B50" s="1"/>
    </row>
    <row r="51" customFormat="false" ht="12.8" hidden="false" customHeight="false" outlineLevel="0" collapsed="false">
      <c r="B51" s="1"/>
    </row>
    <row r="52" customFormat="false" ht="12.8" hidden="false" customHeight="false" outlineLevel="0" collapsed="false">
      <c r="B52" s="1"/>
    </row>
    <row r="53" customFormat="false" ht="12.8" hidden="false" customHeight="false" outlineLevel="0" collapsed="false">
      <c r="B53" s="1"/>
    </row>
    <row r="54" customFormat="false" ht="12.8" hidden="false" customHeight="false" outlineLevel="0" collapsed="false">
      <c r="B54" s="1"/>
    </row>
    <row r="55" customFormat="false" ht="12.8" hidden="false" customHeight="false" outlineLevel="0" collapsed="false">
      <c r="B55" s="1"/>
    </row>
    <row r="56" customFormat="false" ht="12.8" hidden="false" customHeight="false" outlineLevel="0" collapsed="false">
      <c r="B56" s="1"/>
    </row>
    <row r="57" customFormat="false" ht="12.8" hidden="false" customHeight="false" outlineLevel="0" collapsed="false">
      <c r="B57" s="1"/>
    </row>
    <row r="58" customFormat="false" ht="12.8" hidden="false" customHeight="false" outlineLevel="0" collapsed="false">
      <c r="B58" s="1"/>
    </row>
    <row r="59" customFormat="false" ht="12.8" hidden="false" customHeight="false" outlineLevel="0" collapsed="false">
      <c r="B59" s="1"/>
    </row>
    <row r="60" customFormat="false" ht="12.8" hidden="false" customHeight="false" outlineLevel="0" collapsed="false">
      <c r="B60" s="1"/>
    </row>
    <row r="61" customFormat="false" ht="12.8" hidden="false" customHeight="false" outlineLevel="0" collapsed="false">
      <c r="B61" s="1"/>
    </row>
    <row r="62" customFormat="false" ht="12.8" hidden="false" customHeight="false" outlineLevel="0" collapsed="false">
      <c r="B62" s="1"/>
    </row>
    <row r="63" customFormat="false" ht="12.8" hidden="false" customHeight="false" outlineLevel="0" collapsed="false">
      <c r="B63" s="1"/>
    </row>
    <row r="64" customFormat="false" ht="12.8" hidden="false" customHeight="false" outlineLevel="0" collapsed="false">
      <c r="B64" s="1"/>
    </row>
    <row r="65" customFormat="false" ht="12.8" hidden="false" customHeight="false" outlineLevel="0" collapsed="false">
      <c r="B65" s="1"/>
    </row>
    <row r="66" customFormat="false" ht="12.8" hidden="false" customHeight="false" outlineLevel="0" collapsed="false">
      <c r="B66" s="1"/>
    </row>
    <row r="67" customFormat="false" ht="12.8" hidden="false" customHeight="false" outlineLevel="0" collapsed="false">
      <c r="B67" s="1"/>
    </row>
    <row r="68" customFormat="false" ht="12.8" hidden="false" customHeight="false" outlineLevel="0" collapsed="false">
      <c r="B68" s="1"/>
    </row>
    <row r="69" customFormat="false" ht="12.8" hidden="false" customHeight="false" outlineLevel="0" collapsed="false">
      <c r="B69" s="1"/>
    </row>
    <row r="70" customFormat="false" ht="12.8" hidden="false" customHeight="false" outlineLevel="0" collapsed="false">
      <c r="B70" s="1"/>
    </row>
    <row r="71" customFormat="false" ht="12.8" hidden="false" customHeight="false" outlineLevel="0" collapsed="false">
      <c r="B71" s="1"/>
    </row>
    <row r="72" customFormat="false" ht="12.8" hidden="false" customHeight="false" outlineLevel="0" collapsed="false">
      <c r="B72" s="1"/>
    </row>
    <row r="73" customFormat="false" ht="12.8" hidden="false" customHeight="false" outlineLevel="0" collapsed="false">
      <c r="B73" s="1"/>
    </row>
    <row r="74" customFormat="false" ht="12.8" hidden="false" customHeight="false" outlineLevel="0" collapsed="false">
      <c r="B74" s="1"/>
    </row>
    <row r="75" customFormat="false" ht="12.8" hidden="false" customHeight="false" outlineLevel="0" collapsed="false">
      <c r="B75" s="1"/>
    </row>
    <row r="76" customFormat="false" ht="12.8" hidden="false" customHeight="false" outlineLevel="0" collapsed="false">
      <c r="B76" s="1"/>
    </row>
    <row r="77" customFormat="false" ht="12.8" hidden="false" customHeight="false" outlineLevel="0" collapsed="false">
      <c r="B77" s="1"/>
    </row>
    <row r="78" customFormat="false" ht="12.8" hidden="false" customHeight="false" outlineLevel="0" collapsed="false">
      <c r="B78" s="1"/>
    </row>
    <row r="79" customFormat="false" ht="12.8" hidden="false" customHeight="false" outlineLevel="0" collapsed="false">
      <c r="B79" s="1"/>
    </row>
    <row r="80" customFormat="false" ht="12.8" hidden="false" customHeight="false" outlineLevel="0" collapsed="false">
      <c r="B80" s="1"/>
    </row>
    <row r="81" customFormat="false" ht="12.8" hidden="false" customHeight="false" outlineLevel="0" collapsed="false">
      <c r="B81" s="1"/>
    </row>
    <row r="82" customFormat="false" ht="12.8" hidden="false" customHeight="false" outlineLevel="0" collapsed="false">
      <c r="B82" s="1"/>
    </row>
    <row r="83" customFormat="false" ht="12.8" hidden="false" customHeight="false" outlineLevel="0" collapsed="false">
      <c r="B83" s="1"/>
    </row>
    <row r="84" customFormat="false" ht="12.8" hidden="false" customHeight="false" outlineLevel="0" collapsed="false">
      <c r="B84" s="1"/>
    </row>
    <row r="85" customFormat="false" ht="12.8" hidden="false" customHeight="false" outlineLevel="0" collapsed="false">
      <c r="B85" s="1"/>
    </row>
    <row r="86" customFormat="false" ht="12.8" hidden="false" customHeight="false" outlineLevel="0" collapsed="false">
      <c r="B86" s="1"/>
    </row>
    <row r="87" customFormat="false" ht="12.8" hidden="false" customHeight="false" outlineLevel="0" collapsed="false">
      <c r="B87" s="1"/>
    </row>
    <row r="88" customFormat="false" ht="12.8" hidden="false" customHeight="false" outlineLevel="0" collapsed="false">
      <c r="B88" s="1"/>
    </row>
    <row r="89" customFormat="false" ht="12.8" hidden="false" customHeight="false" outlineLevel="0" collapsed="false">
      <c r="B89" s="1"/>
    </row>
    <row r="90" customFormat="false" ht="12.8" hidden="false" customHeight="false" outlineLevel="0" collapsed="false">
      <c r="B90" s="1"/>
    </row>
    <row r="91" customFormat="false" ht="12.8" hidden="false" customHeight="false" outlineLevel="0" collapsed="false">
      <c r="B91" s="1"/>
    </row>
    <row r="92" customFormat="false" ht="12.8" hidden="false" customHeight="false" outlineLevel="0" collapsed="false">
      <c r="B92" s="1"/>
    </row>
    <row r="93" customFormat="false" ht="12.8" hidden="false" customHeight="false" outlineLevel="0" collapsed="false">
      <c r="B93" s="1"/>
    </row>
    <row r="94" customFormat="false" ht="12.8" hidden="false" customHeight="false" outlineLevel="0" collapsed="false">
      <c r="B94" s="1"/>
    </row>
    <row r="95" customFormat="false" ht="12.8" hidden="false" customHeight="false" outlineLevel="0" collapsed="false">
      <c r="B95" s="1"/>
    </row>
    <row r="96" customFormat="false" ht="12.8" hidden="false" customHeight="false" outlineLevel="0" collapsed="false">
      <c r="B96" s="1"/>
    </row>
    <row r="97" customFormat="false" ht="12.8" hidden="false" customHeight="false" outlineLevel="0" collapsed="false">
      <c r="B97" s="1"/>
    </row>
    <row r="98" customFormat="false" ht="12.8" hidden="false" customHeight="false" outlineLevel="0" collapsed="false">
      <c r="B98" s="1"/>
    </row>
    <row r="99" customFormat="false" ht="12.8" hidden="false" customHeight="false" outlineLevel="0" collapsed="false">
      <c r="B99" s="1"/>
    </row>
    <row r="100" customFormat="false" ht="12.8" hidden="false" customHeight="false" outlineLevel="0" collapsed="false">
      <c r="B100" s="1"/>
    </row>
    <row r="101" customFormat="false" ht="12.8" hidden="false" customHeight="false" outlineLevel="0" collapsed="false">
      <c r="B101" s="1"/>
    </row>
    <row r="102" customFormat="false" ht="12.8" hidden="false" customHeight="false" outlineLevel="0" collapsed="false">
      <c r="B102" s="1"/>
    </row>
    <row r="103" customFormat="false" ht="12.8" hidden="false" customHeight="false" outlineLevel="0" collapsed="false">
      <c r="B103" s="1"/>
    </row>
    <row r="104" customFormat="false" ht="12.8" hidden="false" customHeight="false" outlineLevel="0" collapsed="false">
      <c r="B104" s="1"/>
    </row>
    <row r="105" customFormat="false" ht="12.8" hidden="false" customHeight="false" outlineLevel="0" collapsed="false">
      <c r="B105" s="1"/>
    </row>
    <row r="106" customFormat="false" ht="12.8" hidden="false" customHeight="false" outlineLevel="0" collapsed="false">
      <c r="B106" s="1"/>
    </row>
    <row r="107" customFormat="false" ht="12.8" hidden="false" customHeight="false" outlineLevel="0" collapsed="false">
      <c r="B107" s="1"/>
    </row>
    <row r="108" customFormat="false" ht="12.8" hidden="false" customHeight="false" outlineLevel="0" collapsed="false">
      <c r="B108" s="1"/>
    </row>
    <row r="109" customFormat="false" ht="12.8" hidden="false" customHeight="false" outlineLevel="0" collapsed="false">
      <c r="B109" s="1"/>
    </row>
    <row r="110" customFormat="false" ht="12.8" hidden="false" customHeight="false" outlineLevel="0" collapsed="false">
      <c r="B110" s="1"/>
    </row>
    <row r="111" customFormat="false" ht="12.8" hidden="false" customHeight="false" outlineLevel="0" collapsed="false">
      <c r="B111" s="1"/>
    </row>
    <row r="112" customFormat="false" ht="12.8" hidden="false" customHeight="false" outlineLevel="0" collapsed="false">
      <c r="B112" s="1"/>
    </row>
    <row r="113" customFormat="false" ht="12.8" hidden="false" customHeight="false" outlineLevel="0" collapsed="false">
      <c r="B113" s="1"/>
    </row>
    <row r="114" customFormat="false" ht="12.8" hidden="false" customHeight="false" outlineLevel="0" collapsed="false">
      <c r="B114" s="1"/>
    </row>
    <row r="115" customFormat="false" ht="12.8" hidden="false" customHeight="false" outlineLevel="0" collapsed="false">
      <c r="B115" s="1"/>
    </row>
    <row r="116" customFormat="false" ht="12.8" hidden="false" customHeight="false" outlineLevel="0" collapsed="false">
      <c r="B116" s="1"/>
    </row>
    <row r="117" customFormat="false" ht="12.8" hidden="false" customHeight="false" outlineLevel="0" collapsed="false">
      <c r="B117" s="1"/>
    </row>
    <row r="118" customFormat="false" ht="12.8" hidden="false" customHeight="false" outlineLevel="0" collapsed="false">
      <c r="B118" s="1"/>
    </row>
    <row r="119" customFormat="false" ht="12.8" hidden="false" customHeight="false" outlineLevel="0" collapsed="false">
      <c r="B119" s="1"/>
    </row>
    <row r="120" customFormat="false" ht="12.8" hidden="false" customHeight="false" outlineLevel="0" collapsed="false">
      <c r="B120" s="1"/>
    </row>
    <row r="121" customFormat="false" ht="12.8" hidden="false" customHeight="false" outlineLevel="0" collapsed="false">
      <c r="B121" s="1"/>
    </row>
    <row r="122" customFormat="false" ht="12.8" hidden="false" customHeight="false" outlineLevel="0" collapsed="false">
      <c r="B122" s="1"/>
    </row>
    <row r="123" customFormat="false" ht="12.8" hidden="false" customHeight="false" outlineLevel="0" collapsed="false">
      <c r="B123" s="1"/>
    </row>
    <row r="124" customFormat="false" ht="12.8" hidden="false" customHeight="false" outlineLevel="0" collapsed="false">
      <c r="B124" s="1"/>
    </row>
    <row r="125" customFormat="false" ht="12.8" hidden="false" customHeight="false" outlineLevel="0" collapsed="false">
      <c r="B125" s="1"/>
    </row>
    <row r="126" customFormat="false" ht="12.8" hidden="false" customHeight="false" outlineLevel="0" collapsed="false">
      <c r="B126" s="1"/>
    </row>
    <row r="127" customFormat="false" ht="12.8" hidden="false" customHeight="false" outlineLevel="0" collapsed="false">
      <c r="B127" s="1"/>
    </row>
    <row r="128" customFormat="false" ht="12.8" hidden="false" customHeight="false" outlineLevel="0" collapsed="false">
      <c r="B128" s="1"/>
    </row>
    <row r="129" customFormat="false" ht="12.8" hidden="false" customHeight="false" outlineLevel="0" collapsed="false">
      <c r="B129" s="1"/>
    </row>
    <row r="130" customFormat="false" ht="12.8" hidden="false" customHeight="false" outlineLevel="0" collapsed="false">
      <c r="B130" s="1"/>
    </row>
    <row r="131" customFormat="false" ht="12.8" hidden="false" customHeight="false" outlineLevel="0" collapsed="false">
      <c r="B131" s="1"/>
    </row>
    <row r="132" customFormat="false" ht="12.8" hidden="false" customHeight="false" outlineLevel="0" collapsed="false">
      <c r="B132" s="1"/>
    </row>
    <row r="133" customFormat="false" ht="12.8" hidden="false" customHeight="false" outlineLevel="0" collapsed="false">
      <c r="B133" s="1"/>
    </row>
    <row r="134" customFormat="false" ht="12.8" hidden="false" customHeight="false" outlineLevel="0" collapsed="false">
      <c r="B134" s="1"/>
    </row>
    <row r="135" customFormat="false" ht="12.8" hidden="false" customHeight="false" outlineLevel="0" collapsed="false">
      <c r="B135" s="1"/>
    </row>
    <row r="136" customFormat="false" ht="12.8" hidden="false" customHeight="false" outlineLevel="0" collapsed="false">
      <c r="B136" s="1"/>
    </row>
    <row r="137" customFormat="false" ht="12.8" hidden="false" customHeight="false" outlineLevel="0" collapsed="false">
      <c r="B137" s="1"/>
    </row>
    <row r="138" customFormat="false" ht="12.8" hidden="false" customHeight="false" outlineLevel="0" collapsed="false">
      <c r="B138" s="1"/>
    </row>
    <row r="139" customFormat="false" ht="12.8" hidden="false" customHeight="false" outlineLevel="0" collapsed="false">
      <c r="B139" s="1"/>
    </row>
    <row r="140" customFormat="false" ht="12.8" hidden="false" customHeight="false" outlineLevel="0" collapsed="false">
      <c r="B140" s="1"/>
    </row>
    <row r="141" customFormat="false" ht="12.8" hidden="false" customHeight="false" outlineLevel="0" collapsed="false">
      <c r="B141" s="1"/>
    </row>
    <row r="142" customFormat="false" ht="12.8" hidden="false" customHeight="false" outlineLevel="0" collapsed="false">
      <c r="B142" s="1"/>
    </row>
    <row r="143" customFormat="false" ht="12.8" hidden="false" customHeight="false" outlineLevel="0" collapsed="false">
      <c r="B143" s="1"/>
    </row>
    <row r="144" customFormat="false" ht="12.8" hidden="false" customHeight="false" outlineLevel="0" collapsed="false">
      <c r="B144" s="1"/>
    </row>
    <row r="145" customFormat="false" ht="12.8" hidden="false" customHeight="false" outlineLevel="0" collapsed="false">
      <c r="B145" s="1"/>
    </row>
    <row r="146" customFormat="false" ht="12.8" hidden="false" customHeight="false" outlineLevel="0" collapsed="false">
      <c r="B146" s="1"/>
    </row>
    <row r="147" customFormat="false" ht="12.8" hidden="false" customHeight="false" outlineLevel="0" collapsed="false">
      <c r="B147" s="1"/>
    </row>
    <row r="148" customFormat="false" ht="12.8" hidden="false" customHeight="false" outlineLevel="0" collapsed="false">
      <c r="B148" s="1"/>
    </row>
    <row r="149" customFormat="false" ht="12.8" hidden="false" customHeight="false" outlineLevel="0" collapsed="false">
      <c r="B149" s="1"/>
    </row>
    <row r="150" customFormat="false" ht="12.8" hidden="false" customHeight="false" outlineLevel="0" collapsed="false">
      <c r="B150" s="1"/>
    </row>
    <row r="151" customFormat="false" ht="12.8" hidden="false" customHeight="false" outlineLevel="0" collapsed="false">
      <c r="B151" s="1"/>
    </row>
    <row r="152" customFormat="false" ht="12.8" hidden="false" customHeight="false" outlineLevel="0" collapsed="false">
      <c r="B152" s="1"/>
    </row>
    <row r="153" customFormat="false" ht="12.8" hidden="false" customHeight="false" outlineLevel="0" collapsed="false">
      <c r="B153" s="1"/>
    </row>
    <row r="154" customFormat="false" ht="12.8" hidden="false" customHeight="false" outlineLevel="0" collapsed="false">
      <c r="B154" s="1"/>
    </row>
    <row r="155" customFormat="false" ht="12.8" hidden="false" customHeight="false" outlineLevel="0" collapsed="false">
      <c r="B155" s="1"/>
    </row>
    <row r="156" customFormat="false" ht="12.8" hidden="false" customHeight="false" outlineLevel="0" collapsed="false">
      <c r="B156" s="1"/>
    </row>
    <row r="157" customFormat="false" ht="12.8" hidden="false" customHeight="false" outlineLevel="0" collapsed="false">
      <c r="B157" s="1"/>
    </row>
    <row r="158" customFormat="false" ht="12.8" hidden="false" customHeight="false" outlineLevel="0" collapsed="false">
      <c r="B158" s="1"/>
    </row>
    <row r="159" customFormat="false" ht="12.8" hidden="false" customHeight="false" outlineLevel="0" collapsed="false">
      <c r="B159" s="1"/>
    </row>
    <row r="160" customFormat="false" ht="12.8" hidden="false" customHeight="false" outlineLevel="0" collapsed="false">
      <c r="B160" s="1"/>
    </row>
    <row r="161" customFormat="false" ht="12.8" hidden="false" customHeight="false" outlineLevel="0" collapsed="false">
      <c r="B161" s="1"/>
    </row>
    <row r="162" customFormat="false" ht="12.8" hidden="false" customHeight="false" outlineLevel="0" collapsed="false">
      <c r="B162" s="1"/>
    </row>
    <row r="163" customFormat="false" ht="12.8" hidden="false" customHeight="false" outlineLevel="0" collapsed="false">
      <c r="B163" s="1"/>
    </row>
    <row r="164" customFormat="false" ht="12.8" hidden="false" customHeight="false" outlineLevel="0" collapsed="false">
      <c r="B164" s="1"/>
    </row>
    <row r="165" customFormat="false" ht="12.8" hidden="false" customHeight="false" outlineLevel="0" collapsed="false">
      <c r="B165" s="1"/>
    </row>
    <row r="166" customFormat="false" ht="12.8" hidden="false" customHeight="false" outlineLevel="0" collapsed="false">
      <c r="B166" s="1"/>
    </row>
    <row r="167" customFormat="false" ht="12.8" hidden="false" customHeight="false" outlineLevel="0" collapsed="false">
      <c r="B167" s="1"/>
    </row>
    <row r="168" customFormat="false" ht="12.8" hidden="false" customHeight="false" outlineLevel="0" collapsed="false">
      <c r="B168" s="1"/>
    </row>
    <row r="169" customFormat="false" ht="12.8" hidden="false" customHeight="false" outlineLevel="0" collapsed="false">
      <c r="B169" s="1"/>
    </row>
    <row r="170" customFormat="false" ht="12.8" hidden="false" customHeight="false" outlineLevel="0" collapsed="false">
      <c r="B170" s="1"/>
    </row>
    <row r="171" customFormat="false" ht="12.8" hidden="false" customHeight="false" outlineLevel="0" collapsed="false">
      <c r="B171" s="1"/>
    </row>
    <row r="172" customFormat="false" ht="12.8" hidden="false" customHeight="false" outlineLevel="0" collapsed="false">
      <c r="B172" s="1"/>
    </row>
    <row r="173" customFormat="false" ht="12.8" hidden="false" customHeight="false" outlineLevel="0" collapsed="false">
      <c r="B173" s="1"/>
    </row>
    <row r="174" customFormat="false" ht="12.8" hidden="false" customHeight="false" outlineLevel="0" collapsed="false">
      <c r="B174" s="1"/>
    </row>
    <row r="175" customFormat="false" ht="12.8" hidden="false" customHeight="false" outlineLevel="0" collapsed="false">
      <c r="B175" s="1"/>
    </row>
    <row r="176" customFormat="false" ht="12.8" hidden="false" customHeight="false" outlineLevel="0" collapsed="false">
      <c r="B176" s="1"/>
    </row>
    <row r="177" customFormat="false" ht="12.8" hidden="false" customHeight="false" outlineLevel="0" collapsed="false">
      <c r="B177" s="1"/>
    </row>
    <row r="178" customFormat="false" ht="12.8" hidden="false" customHeight="false" outlineLevel="0" collapsed="false">
      <c r="B178" s="1"/>
    </row>
    <row r="179" customFormat="false" ht="12.8" hidden="false" customHeight="false" outlineLevel="0" collapsed="false">
      <c r="B179" s="1"/>
    </row>
    <row r="180" customFormat="false" ht="12.8" hidden="false" customHeight="false" outlineLevel="0" collapsed="false">
      <c r="B180" s="1"/>
    </row>
    <row r="181" customFormat="false" ht="12.8" hidden="false" customHeight="false" outlineLevel="0" collapsed="false">
      <c r="B181" s="1"/>
    </row>
    <row r="182" customFormat="false" ht="12.8" hidden="false" customHeight="false" outlineLevel="0" collapsed="false">
      <c r="B182" s="1"/>
    </row>
    <row r="183" customFormat="false" ht="12.8" hidden="false" customHeight="false" outlineLevel="0" collapsed="false">
      <c r="B183" s="1"/>
    </row>
    <row r="184" customFormat="false" ht="12.8" hidden="false" customHeight="false" outlineLevel="0" collapsed="false">
      <c r="B184" s="1"/>
    </row>
    <row r="185" customFormat="false" ht="12.8" hidden="false" customHeight="false" outlineLevel="0" collapsed="false">
      <c r="B185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M105"/>
  <sheetViews>
    <sheetView showFormulas="false" showGridLines="true" showRowColHeaders="true" showZeros="true" rightToLeft="false" tabSelected="true" showOutlineSymbols="true" defaultGridColor="true" view="normal" topLeftCell="A1" colorId="64" zoomScale="125" zoomScaleNormal="125" zoomScalePageLayoutView="100" workbookViewId="0">
      <selection pane="topLeft" activeCell="G20" activeCellId="0" sqref="G20"/>
    </sheetView>
  </sheetViews>
  <sheetFormatPr defaultColWidth="12.3984375" defaultRowHeight="12.8" customHeight="false" zeroHeight="false" outlineLevelRow="0" outlineLevelCol="0"/>
  <cols>
    <col collapsed="false" customWidth="false" hidden="false" outlineLevel="0" max="1" min="1" style="8" width="12.4"/>
    <col collapsed="false" customWidth="true" hidden="false" outlineLevel="0" max="4" min="2" style="9" width="19.26"/>
    <col collapsed="false" customWidth="true" hidden="false" outlineLevel="0" max="5" min="5" style="9" width="20.33"/>
    <col collapsed="false" customWidth="true" hidden="false" outlineLevel="0" max="6" min="6" style="9" width="19.26"/>
    <col collapsed="false" customWidth="true" hidden="false" outlineLevel="0" max="7" min="7" style="9" width="21.42"/>
    <col collapsed="false" customWidth="true" hidden="false" outlineLevel="0" max="8" min="8" style="9" width="23.08"/>
    <col collapsed="false" customWidth="true" hidden="false" outlineLevel="0" max="9" min="9" style="9" width="21.89"/>
    <col collapsed="false" customWidth="true" hidden="false" outlineLevel="0" max="10" min="10" style="9" width="19.26"/>
    <col collapsed="false" customWidth="true" hidden="false" outlineLevel="0" max="11" min="11" style="9" width="21.42"/>
    <col collapsed="false" customWidth="true" hidden="false" outlineLevel="0" max="12" min="12" style="9" width="19.26"/>
    <col collapsed="false" customWidth="true" hidden="false" outlineLevel="0" max="13" min="13" style="9" width="18.19"/>
    <col collapsed="false" customWidth="false" hidden="false" outlineLevel="0" max="16384" min="14" style="9" width="12.4"/>
  </cols>
  <sheetData>
    <row r="4" customFormat="false" ht="12.8" hidden="false" customHeight="false" outlineLevel="0" collapsed="false">
      <c r="B4" s="8" t="s">
        <v>111</v>
      </c>
      <c r="C4" s="8" t="s">
        <v>112</v>
      </c>
      <c r="D4" s="8" t="s">
        <v>113</v>
      </c>
      <c r="E4" s="10" t="s">
        <v>114</v>
      </c>
      <c r="F4" s="8" t="s">
        <v>115</v>
      </c>
      <c r="G4" s="8" t="s">
        <v>116</v>
      </c>
      <c r="H4" s="8" t="s">
        <v>117</v>
      </c>
      <c r="I4" s="8" t="s">
        <v>118</v>
      </c>
      <c r="J4" s="8" t="s">
        <v>119</v>
      </c>
      <c r="K4" s="8" t="s">
        <v>120</v>
      </c>
    </row>
    <row r="5" customFormat="false" ht="12.8" hidden="false" customHeight="false" outlineLevel="0" collapsed="false">
      <c r="A5" s="8" t="n">
        <v>1</v>
      </c>
      <c r="B5" s="8" t="n">
        <v>0.829521350954824</v>
      </c>
      <c r="C5" s="8" t="n">
        <v>0.843168263254482</v>
      </c>
      <c r="D5" s="9" t="n">
        <f aca="false">B5-C5</f>
        <v>-0.013646912299658</v>
      </c>
      <c r="E5" s="10"/>
      <c r="F5" s="8" t="n">
        <f aca="false">_xlfn.STDEV.S(B5:B29)</f>
        <v>0.060781540474368</v>
      </c>
      <c r="G5" s="8" t="n">
        <f aca="false">_xlfn.STDEV.S(C5:C29)</f>
        <v>0.117883055698871</v>
      </c>
      <c r="H5" s="8" t="n">
        <f aca="false">_xlfn.F.TEST(B5:B29,C5:C29)</f>
        <v>0.001899276202604</v>
      </c>
      <c r="I5" s="8" t="n">
        <f aca="false">_xlfn.T.TEST(B5:B29, C5:C29, 2,2)</f>
        <v>4.6958714868894E-007</v>
      </c>
      <c r="J5" s="8" t="n">
        <f aca="false">_xlfn.T.TEST(B5:B29,C5:C29, 2,3)</f>
        <v>1.21403506606551E-006</v>
      </c>
      <c r="K5" s="8" t="n">
        <f aca="false">AVERAGE(B5:B29)-AVERAGE(C5:C29)</f>
        <v>0.154414997206727</v>
      </c>
    </row>
    <row r="6" customFormat="false" ht="12.8" hidden="false" customHeight="false" outlineLevel="0" collapsed="false">
      <c r="A6" s="8" t="n">
        <v>2</v>
      </c>
      <c r="B6" s="8" t="n">
        <v>0.735193711695633</v>
      </c>
      <c r="C6" s="8" t="n">
        <v>0.410481566775254</v>
      </c>
      <c r="D6" s="9" t="n">
        <f aca="false">B6-C6</f>
        <v>0.324712144920379</v>
      </c>
      <c r="E6" s="8" t="s">
        <v>121</v>
      </c>
    </row>
    <row r="7" customFormat="false" ht="12.8" hidden="false" customHeight="false" outlineLevel="0" collapsed="false">
      <c r="A7" s="8" t="n">
        <v>3</v>
      </c>
      <c r="B7" s="8" t="n">
        <v>0.73805452066822</v>
      </c>
      <c r="C7" s="8" t="n">
        <v>0.557975369920795</v>
      </c>
      <c r="D7" s="9" t="n">
        <f aca="false">B7-C7</f>
        <v>0.180079150747425</v>
      </c>
      <c r="E7" s="8" t="s">
        <v>121</v>
      </c>
    </row>
    <row r="8" customFormat="false" ht="12.8" hidden="false" customHeight="false" outlineLevel="0" collapsed="false">
      <c r="A8" s="8" t="n">
        <v>4</v>
      </c>
      <c r="B8" s="8" t="n">
        <v>0.639461451771152</v>
      </c>
      <c r="C8" s="8" t="n">
        <v>0.619158269088556</v>
      </c>
      <c r="D8" s="9" t="n">
        <f aca="false">B8-C8</f>
        <v>0.020303182682596</v>
      </c>
      <c r="E8" s="8"/>
    </row>
    <row r="9" customFormat="false" ht="12.8" hidden="false" customHeight="false" outlineLevel="0" collapsed="false">
      <c r="A9" s="8" t="n">
        <v>5</v>
      </c>
      <c r="B9" s="8" t="n">
        <v>0.601148402331265</v>
      </c>
      <c r="C9" s="8" t="n">
        <v>0.403963080119542</v>
      </c>
      <c r="D9" s="9" t="n">
        <f aca="false">B9-C9</f>
        <v>0.197185322211723</v>
      </c>
      <c r="E9" s="8" t="s">
        <v>121</v>
      </c>
    </row>
    <row r="10" customFormat="false" ht="12.8" hidden="false" customHeight="false" outlineLevel="0" collapsed="false">
      <c r="A10" s="8" t="n">
        <v>6</v>
      </c>
      <c r="B10" s="8" t="n">
        <v>0.773499226539065</v>
      </c>
      <c r="C10" s="8" t="n">
        <v>0.570743883878626</v>
      </c>
      <c r="D10" s="9" t="n">
        <f aca="false">B10-C10</f>
        <v>0.202755342660439</v>
      </c>
      <c r="E10" s="8" t="s">
        <v>121</v>
      </c>
    </row>
    <row r="11" customFormat="false" ht="12.8" hidden="false" customHeight="false" outlineLevel="0" collapsed="false">
      <c r="A11" s="8" t="n">
        <v>7</v>
      </c>
      <c r="B11" s="8" t="n">
        <v>0.65742523257328</v>
      </c>
      <c r="C11" s="8" t="n">
        <v>0.611608951562061</v>
      </c>
      <c r="D11" s="9" t="n">
        <f aca="false">B11-C11</f>
        <v>0.045816281011219</v>
      </c>
      <c r="E11" s="8"/>
    </row>
    <row r="12" customFormat="false" ht="12.8" hidden="false" customHeight="false" outlineLevel="0" collapsed="false">
      <c r="A12" s="8" t="n">
        <v>8</v>
      </c>
      <c r="B12" s="8" t="n">
        <v>0.712613137045905</v>
      </c>
      <c r="C12" s="8" t="n">
        <v>0.51665838871536</v>
      </c>
      <c r="D12" s="9" t="n">
        <f aca="false">B12-C12</f>
        <v>0.195954748330545</v>
      </c>
      <c r="E12" s="8" t="s">
        <v>121</v>
      </c>
    </row>
    <row r="13" customFormat="false" ht="12.8" hidden="false" customHeight="false" outlineLevel="0" collapsed="false">
      <c r="A13" s="8" t="n">
        <v>9</v>
      </c>
      <c r="B13" s="8" t="n">
        <v>0.695082856151577</v>
      </c>
      <c r="C13" s="8" t="n">
        <v>0.519107279370953</v>
      </c>
      <c r="D13" s="9" t="n">
        <f aca="false">B13-C13</f>
        <v>0.175975576780624</v>
      </c>
      <c r="E13" s="8" t="s">
        <v>121</v>
      </c>
    </row>
    <row r="14" customFormat="false" ht="12.8" hidden="false" customHeight="false" outlineLevel="0" collapsed="false">
      <c r="A14" s="8" t="n">
        <v>10</v>
      </c>
      <c r="B14" s="8" t="n">
        <v>0.70158644000236</v>
      </c>
      <c r="C14" s="8" t="n">
        <v>0.681242455451239</v>
      </c>
      <c r="D14" s="9" t="n">
        <f aca="false">B14-C14</f>
        <v>0.0203439845511211</v>
      </c>
      <c r="E14" s="8"/>
    </row>
    <row r="15" customFormat="false" ht="12.8" hidden="false" customHeight="false" outlineLevel="0" collapsed="false">
      <c r="A15" s="8" t="n">
        <v>11</v>
      </c>
      <c r="B15" s="8" t="n">
        <v>0.697028043689582</v>
      </c>
      <c r="C15" s="8" t="n">
        <v>0.665099248057114</v>
      </c>
      <c r="D15" s="9" t="n">
        <f aca="false">B15-C15</f>
        <v>0.0319287956324681</v>
      </c>
      <c r="E15" s="8"/>
    </row>
    <row r="16" customFormat="false" ht="12.8" hidden="false" customHeight="false" outlineLevel="0" collapsed="false">
      <c r="A16" s="8" t="n">
        <v>12</v>
      </c>
      <c r="B16" s="8" t="n">
        <v>0.780558840331467</v>
      </c>
      <c r="C16" s="8" t="n">
        <v>0.685595116342696</v>
      </c>
      <c r="D16" s="9" t="n">
        <f aca="false">B16-C16</f>
        <v>0.0949637239887711</v>
      </c>
      <c r="E16" s="8"/>
    </row>
    <row r="17" customFormat="false" ht="12.8" hidden="false" customHeight="false" outlineLevel="0" collapsed="false">
      <c r="A17" s="8" t="n">
        <v>13</v>
      </c>
      <c r="B17" s="8" t="n">
        <v>0.720814394600414</v>
      </c>
      <c r="C17" s="8" t="n">
        <v>0.65114377143955</v>
      </c>
      <c r="D17" s="9" t="n">
        <f aca="false">B17-C17</f>
        <v>0.0696706231608639</v>
      </c>
      <c r="E17" s="8"/>
    </row>
    <row r="18" customFormat="false" ht="12.8" hidden="false" customHeight="false" outlineLevel="0" collapsed="false">
      <c r="A18" s="8" t="n">
        <v>14</v>
      </c>
      <c r="B18" s="8" t="n">
        <v>0.740298991398541</v>
      </c>
      <c r="C18" s="8" t="n">
        <v>0.603486770235985</v>
      </c>
      <c r="D18" s="9" t="n">
        <f aca="false">B18-C18</f>
        <v>0.136812221162556</v>
      </c>
      <c r="E18" s="8"/>
    </row>
    <row r="19" customFormat="false" ht="12.8" hidden="false" customHeight="false" outlineLevel="0" collapsed="false">
      <c r="A19" s="8" t="n">
        <v>15</v>
      </c>
      <c r="B19" s="8" t="n">
        <v>0.70744158301379</v>
      </c>
      <c r="C19" s="8" t="n">
        <v>0.498068679989705</v>
      </c>
      <c r="D19" s="9" t="n">
        <f aca="false">B19-C19</f>
        <v>0.209372903024085</v>
      </c>
      <c r="E19" s="8" t="s">
        <v>121</v>
      </c>
    </row>
    <row r="20" customFormat="false" ht="12.8" hidden="false" customHeight="false" outlineLevel="0" collapsed="false">
      <c r="A20" s="8" t="n">
        <v>16</v>
      </c>
      <c r="B20" s="8" t="n">
        <v>0.719125866172455</v>
      </c>
      <c r="C20" s="8" t="n">
        <v>0.630377968860656</v>
      </c>
      <c r="D20" s="9" t="n">
        <f aca="false">B20-C20</f>
        <v>0.088747897311799</v>
      </c>
      <c r="E20" s="8"/>
    </row>
    <row r="21" customFormat="false" ht="12.8" hidden="false" customHeight="false" outlineLevel="0" collapsed="false">
      <c r="A21" s="8" t="n">
        <v>17</v>
      </c>
      <c r="B21" s="8" t="n">
        <v>0.718889384668267</v>
      </c>
      <c r="C21" s="8" t="n">
        <v>0.657927168337551</v>
      </c>
      <c r="D21" s="9" t="n">
        <f aca="false">B21-C21</f>
        <v>0.060962216330716</v>
      </c>
      <c r="E21" s="8"/>
    </row>
    <row r="22" customFormat="false" ht="12.8" hidden="false" customHeight="false" outlineLevel="0" collapsed="false">
      <c r="A22" s="8" t="n">
        <v>18</v>
      </c>
      <c r="B22" s="8" t="n">
        <v>0.735022492301164</v>
      </c>
      <c r="C22" s="8" t="n">
        <v>0.560860510322618</v>
      </c>
      <c r="D22" s="9" t="n">
        <f aca="false">B22-C22</f>
        <v>0.174161981978546</v>
      </c>
      <c r="E22" s="8" t="s">
        <v>121</v>
      </c>
    </row>
    <row r="23" customFormat="false" ht="12.8" hidden="false" customHeight="false" outlineLevel="0" collapsed="false">
      <c r="A23" s="8" t="n">
        <v>19</v>
      </c>
      <c r="B23" s="8" t="n">
        <v>0.581700376323851</v>
      </c>
      <c r="C23" s="8" t="n">
        <v>0.502077926373526</v>
      </c>
      <c r="D23" s="9" t="n">
        <f aca="false">B23-C23</f>
        <v>0.079622449950325</v>
      </c>
      <c r="E23" s="8"/>
    </row>
    <row r="24" customFormat="false" ht="12.8" hidden="false" customHeight="false" outlineLevel="0" collapsed="false">
      <c r="A24" s="8" t="n">
        <v>20</v>
      </c>
      <c r="B24" s="8" t="n">
        <v>0.849425390022398</v>
      </c>
      <c r="C24" s="8" t="n">
        <v>0.477168485158792</v>
      </c>
      <c r="D24" s="9" t="n">
        <f aca="false">B24-C24</f>
        <v>0.372256904863606</v>
      </c>
      <c r="E24" s="8" t="s">
        <v>121</v>
      </c>
    </row>
    <row r="25" customFormat="false" ht="12.8" hidden="false" customHeight="false" outlineLevel="0" collapsed="false">
      <c r="A25" s="8" t="n">
        <v>21</v>
      </c>
      <c r="B25" s="8" t="n">
        <v>0.782107085098168</v>
      </c>
      <c r="C25" s="8" t="n">
        <v>0.490712582964214</v>
      </c>
      <c r="D25" s="9" t="n">
        <f aca="false">B25-C25</f>
        <v>0.291394502133954</v>
      </c>
      <c r="E25" s="8" t="s">
        <v>121</v>
      </c>
    </row>
    <row r="26" customFormat="false" ht="12.8" hidden="false" customHeight="false" outlineLevel="0" collapsed="false">
      <c r="A26" s="8" t="n">
        <v>22</v>
      </c>
      <c r="B26" s="8" t="n">
        <v>0.677931474696056</v>
      </c>
      <c r="C26" s="8" t="n">
        <v>0.373647233999626</v>
      </c>
      <c r="D26" s="9" t="n">
        <f aca="false">B26-C26</f>
        <v>0.30428424069643</v>
      </c>
      <c r="E26" s="8" t="s">
        <v>121</v>
      </c>
    </row>
    <row r="27" customFormat="false" ht="12.8" hidden="false" customHeight="false" outlineLevel="0" collapsed="false">
      <c r="A27" s="8" t="n">
        <v>23</v>
      </c>
      <c r="B27" s="8" t="n">
        <v>0.722134922473597</v>
      </c>
      <c r="C27" s="8" t="n">
        <v>0.656354995088699</v>
      </c>
      <c r="D27" s="9" t="n">
        <f aca="false">B27-C27</f>
        <v>0.065779927384898</v>
      </c>
      <c r="E27" s="8"/>
    </row>
    <row r="28" customFormat="false" ht="12.8" hidden="false" customHeight="false" outlineLevel="0" collapsed="false">
      <c r="A28" s="8" t="n">
        <v>24</v>
      </c>
      <c r="B28" s="8" t="n">
        <v>0.727810414332614</v>
      </c>
      <c r="C28" s="8" t="n">
        <v>0.579731827188496</v>
      </c>
      <c r="D28" s="9" t="n">
        <f aca="false">B28-C28</f>
        <v>0.148078587144118</v>
      </c>
      <c r="E28" s="8" t="s">
        <v>121</v>
      </c>
    </row>
    <row r="29" customFormat="false" ht="12.8" hidden="false" customHeight="false" outlineLevel="0" collapsed="false">
      <c r="A29" s="8" t="n">
        <v>25</v>
      </c>
      <c r="B29" s="8" t="n">
        <v>0.68313653978705</v>
      </c>
      <c r="C29" s="8" t="n">
        <v>0.300277405978412</v>
      </c>
      <c r="D29" s="9" t="n">
        <f aca="false">B29-C29</f>
        <v>0.382859133808638</v>
      </c>
      <c r="E29" s="8" t="s">
        <v>121</v>
      </c>
    </row>
    <row r="33" customFormat="false" ht="12.8" hidden="false" customHeight="false" outlineLevel="0" collapsed="false">
      <c r="A33" s="8" t="s">
        <v>122</v>
      </c>
    </row>
    <row r="34" customFormat="false" ht="12.8" hidden="false" customHeight="false" outlineLevel="0" collapsed="false">
      <c r="B34" s="8" t="s">
        <v>123</v>
      </c>
      <c r="C34" s="8" t="s">
        <v>124</v>
      </c>
      <c r="D34" s="8" t="s">
        <v>125</v>
      </c>
      <c r="E34" s="8" t="s">
        <v>111</v>
      </c>
      <c r="G34" s="11" t="s">
        <v>126</v>
      </c>
    </row>
    <row r="35" customFormat="false" ht="12.8" hidden="false" customHeight="false" outlineLevel="0" collapsed="false">
      <c r="B35" s="8" t="n">
        <v>0.829083516979224</v>
      </c>
      <c r="C35" s="8" t="n">
        <v>0.834308337570909</v>
      </c>
      <c r="D35" s="8" t="n">
        <v>0.820329791398556</v>
      </c>
      <c r="E35" s="8" t="n">
        <v>0.829521350954824</v>
      </c>
      <c r="G35" s="9" t="s">
        <v>127</v>
      </c>
      <c r="H35" s="9" t="n">
        <v>0.05</v>
      </c>
    </row>
    <row r="36" customFormat="false" ht="12.8" hidden="false" customHeight="false" outlineLevel="0" collapsed="false">
      <c r="B36" s="8" t="n">
        <v>0.766444903472076</v>
      </c>
      <c r="C36" s="8" t="n">
        <v>0.78737808939176</v>
      </c>
      <c r="D36" s="8" t="n">
        <v>0.760208954092368</v>
      </c>
      <c r="E36" s="8" t="n">
        <v>0.735193711695633</v>
      </c>
    </row>
    <row r="37" customFormat="false" ht="12.8" hidden="false" customHeight="false" outlineLevel="0" collapsed="false">
      <c r="B37" s="8" t="n">
        <v>0.820814927176212</v>
      </c>
      <c r="C37" s="8" t="n">
        <v>0.823470108869694</v>
      </c>
      <c r="D37" s="8" t="n">
        <v>0.779358920094772</v>
      </c>
      <c r="E37" s="8" t="n">
        <v>0.73805452066822</v>
      </c>
      <c r="G37" s="9" t="s">
        <v>128</v>
      </c>
      <c r="H37" s="8" t="s">
        <v>129</v>
      </c>
      <c r="I37" s="8" t="s">
        <v>130</v>
      </c>
      <c r="J37" s="8" t="s">
        <v>131</v>
      </c>
      <c r="K37" s="8" t="s">
        <v>132</v>
      </c>
      <c r="L37" s="8"/>
      <c r="M37" s="8"/>
    </row>
    <row r="38" customFormat="false" ht="12.8" hidden="false" customHeight="false" outlineLevel="0" collapsed="false">
      <c r="B38" s="8" t="n">
        <v>0.589340681428011</v>
      </c>
      <c r="C38" s="8" t="n">
        <v>0.641382187119465</v>
      </c>
      <c r="D38" s="8" t="n">
        <v>0.655474168574833</v>
      </c>
      <c r="E38" s="8" t="n">
        <v>0.639461451771152</v>
      </c>
      <c r="G38" s="9" t="s">
        <v>133</v>
      </c>
      <c r="H38" s="8" t="n">
        <f aca="false">COUNT('inter-system stats'!$B$34:$B$59)</f>
        <v>25</v>
      </c>
      <c r="I38" s="8" t="n">
        <f aca="false">SUM('inter-system stats'!$B$34:$B$59)</f>
        <v>18.3260346903926</v>
      </c>
      <c r="J38" s="8" t="n">
        <f aca="false">AVERAGE('inter-system stats'!$B$34:$B$59)</f>
        <v>0.733041387615704</v>
      </c>
      <c r="K38" s="8" t="n">
        <f aca="false">VAR('inter-system stats'!$B$34:$B$59)</f>
        <v>0.00428805866426504</v>
      </c>
      <c r="L38" s="8"/>
      <c r="M38" s="8"/>
    </row>
    <row r="39" customFormat="false" ht="12.8" hidden="false" customHeight="false" outlineLevel="0" collapsed="false">
      <c r="B39" s="8" t="n">
        <v>0.549939911322228</v>
      </c>
      <c r="C39" s="8" t="n">
        <v>0.648560742045417</v>
      </c>
      <c r="D39" s="8" t="n">
        <v>0.601488270812317</v>
      </c>
      <c r="E39" s="8" t="n">
        <v>0.601148402331265</v>
      </c>
      <c r="G39" s="9" t="s">
        <v>134</v>
      </c>
      <c r="H39" s="8" t="n">
        <f aca="false">COUNT('inter-system stats'!$C$34:$C$59)</f>
        <v>25</v>
      </c>
      <c r="I39" s="8" t="n">
        <f aca="false">SUM('inter-system stats'!$C$34:$C$59)</f>
        <v>18.2637744597571</v>
      </c>
      <c r="J39" s="8" t="n">
        <f aca="false">AVERAGE('inter-system stats'!$C$34:$C$59)</f>
        <v>0.730550978390282</v>
      </c>
      <c r="K39" s="8" t="n">
        <f aca="false">VAR('inter-system stats'!$C$34:$C$59)</f>
        <v>0.0032014708633712</v>
      </c>
      <c r="L39" s="8"/>
      <c r="M39" s="8"/>
    </row>
    <row r="40" customFormat="false" ht="12.8" hidden="false" customHeight="false" outlineLevel="0" collapsed="false">
      <c r="B40" s="8" t="n">
        <v>0.806301302771949</v>
      </c>
      <c r="C40" s="8" t="n">
        <v>0.737540725804953</v>
      </c>
      <c r="D40" s="8" t="n">
        <v>0.802605111539465</v>
      </c>
      <c r="E40" s="8" t="n">
        <v>0.773499226539065</v>
      </c>
      <c r="G40" s="9" t="s">
        <v>135</v>
      </c>
      <c r="H40" s="8" t="n">
        <f aca="false">COUNT('inter-system stats'!$D$34:$D$59)</f>
        <v>25</v>
      </c>
      <c r="I40" s="8" t="n">
        <f aca="false">SUM('inter-system stats'!$D$34:$D$59)</f>
        <v>18.2681627378252</v>
      </c>
      <c r="J40" s="8" t="n">
        <f aca="false">AVERAGE('inter-system stats'!$D$34:$D$59)</f>
        <v>0.730726509513007</v>
      </c>
      <c r="K40" s="8" t="n">
        <f aca="false">VAR('inter-system stats'!$D$34:$D$59)</f>
        <v>0.00460998896090856</v>
      </c>
      <c r="L40" s="8"/>
      <c r="M40" s="8"/>
    </row>
    <row r="41" customFormat="false" ht="12.8" hidden="false" customHeight="false" outlineLevel="0" collapsed="false">
      <c r="B41" s="8" t="n">
        <v>0.654420747897195</v>
      </c>
      <c r="C41" s="8" t="n">
        <v>0.634968083396197</v>
      </c>
      <c r="D41" s="8" t="n">
        <v>0.648878416428975</v>
      </c>
      <c r="E41" s="8" t="n">
        <v>0.65742523257328</v>
      </c>
      <c r="G41" s="9" t="s">
        <v>136</v>
      </c>
      <c r="H41" s="8" t="n">
        <f aca="false">COUNT('inter-system stats'!$E$34:$E$59)</f>
        <v>25</v>
      </c>
      <c r="I41" s="8" t="n">
        <f aca="false">SUM('inter-system stats'!$E$34:$E$59)</f>
        <v>17.9270121286427</v>
      </c>
      <c r="J41" s="8" t="n">
        <f aca="false">AVERAGE('inter-system stats'!$E$34:$E$59)</f>
        <v>0.717080485145708</v>
      </c>
      <c r="K41" s="8" t="n">
        <f aca="false">VAR('inter-system stats'!$E$34:$E$59)</f>
        <v>0.00369439566243724</v>
      </c>
      <c r="L41" s="8"/>
      <c r="M41" s="8"/>
    </row>
    <row r="42" customFormat="false" ht="12.8" hidden="false" customHeight="false" outlineLevel="0" collapsed="false">
      <c r="B42" s="8" t="n">
        <v>0.747457006954611</v>
      </c>
      <c r="C42" s="8" t="n">
        <v>0.746400854814908</v>
      </c>
      <c r="D42" s="8" t="n">
        <v>0.75255045120181</v>
      </c>
      <c r="E42" s="8" t="n">
        <v>0.712613137045905</v>
      </c>
      <c r="H42" s="8"/>
      <c r="I42" s="8"/>
      <c r="J42" s="8"/>
      <c r="K42" s="8"/>
      <c r="L42" s="8"/>
      <c r="M42" s="8"/>
    </row>
    <row r="43" customFormat="false" ht="12.8" hidden="false" customHeight="false" outlineLevel="0" collapsed="false">
      <c r="B43" s="8" t="n">
        <v>0.763154436571465</v>
      </c>
      <c r="C43" s="8" t="n">
        <v>0.688805343346949</v>
      </c>
      <c r="D43" s="8" t="n">
        <v>0.725998440426624</v>
      </c>
      <c r="E43" s="8" t="n">
        <v>0.695082856151577</v>
      </c>
      <c r="G43" s="9" t="s">
        <v>137</v>
      </c>
      <c r="H43" s="8" t="s">
        <v>138</v>
      </c>
      <c r="I43" s="8" t="s">
        <v>139</v>
      </c>
      <c r="J43" s="8" t="s">
        <v>140</v>
      </c>
      <c r="K43" s="8" t="s">
        <v>141</v>
      </c>
      <c r="L43" s="8" t="s">
        <v>142</v>
      </c>
      <c r="M43" s="8" t="s">
        <v>143</v>
      </c>
    </row>
    <row r="44" customFormat="false" ht="12.8" hidden="false" customHeight="false" outlineLevel="0" collapsed="false">
      <c r="B44" s="8" t="n">
        <v>0.745298826492448</v>
      </c>
      <c r="C44" s="8" t="n">
        <v>0.743639794674361</v>
      </c>
      <c r="D44" s="8" t="n">
        <v>0.706819355320024</v>
      </c>
      <c r="E44" s="8" t="n">
        <v>0.70158644000236</v>
      </c>
      <c r="G44" s="9" t="s">
        <v>144</v>
      </c>
      <c r="H44" s="8" t="n">
        <f aca="false">SUMPRODUCT('inter-system stats'!$I$38:$I$41,'inter-system stats'!$J$38:$J$41)-SUM('inter-system stats'!$I$38:$I$41)^2/SUM('inter-system stats'!$H$38:$H$41)</f>
        <v>0.00396256366785508</v>
      </c>
      <c r="I44" s="8" t="n">
        <f aca="false">COUNT('inter-system stats'!$I$38:$I$41)-1</f>
        <v>3</v>
      </c>
      <c r="J44" s="8" t="n">
        <f aca="false">'inter-system stats'!$H$44 / 'inter-system stats'!$I$44</f>
        <v>0.00132085455595169</v>
      </c>
      <c r="K44" s="8" t="n">
        <f aca="false">'inter-system stats'!$J$44 / 'inter-system stats'!$J$45</f>
        <v>0.334522409916877</v>
      </c>
      <c r="L44" s="8" t="n">
        <f aca="false">FDIST('inter-system stats'!$K$44, 'inter-system stats'!$I$44, 'inter-system stats'!$I$45)</f>
        <v>0.800397615220014</v>
      </c>
      <c r="M44" s="8" t="n">
        <f aca="false">FINV('inter-system stats'!$H$35, 'inter-system stats'!$I$44, 'inter-system stats'!$I$45)</f>
        <v>2.69939259755218</v>
      </c>
    </row>
    <row r="45" customFormat="false" ht="12.8" hidden="false" customHeight="false" outlineLevel="0" collapsed="false">
      <c r="B45" s="8" t="n">
        <v>0.703599427390625</v>
      </c>
      <c r="C45" s="8" t="n">
        <v>0.7131914659308</v>
      </c>
      <c r="D45" s="8" t="n">
        <v>0.663884135279099</v>
      </c>
      <c r="E45" s="8" t="n">
        <v>0.697028043689582</v>
      </c>
      <c r="G45" s="9" t="s">
        <v>145</v>
      </c>
      <c r="H45" s="8" t="n">
        <f aca="false">SUM(DEVSQ('inter-system stats'!$B$34:$B$59),DEVSQ('inter-system stats'!$C$34:$C$59),DEVSQ('inter-system stats'!$D$34:$D$59),DEVSQ('inter-system stats'!$E$34:$E$59))</f>
        <v>0.379053939623569</v>
      </c>
      <c r="I45" s="8" t="n">
        <f aca="false">SUM('inter-system stats'!$H$38:$H$41)-COUNT('inter-system stats'!$H$38:$H$41)</f>
        <v>96</v>
      </c>
      <c r="J45" s="8" t="n">
        <f aca="false">'inter-system stats'!$H$45 / 'inter-system stats'!$I$45</f>
        <v>0.00394847853774551</v>
      </c>
      <c r="K45" s="8"/>
      <c r="L45" s="8"/>
      <c r="M45" s="8"/>
    </row>
    <row r="46" customFormat="false" ht="12.8" hidden="false" customHeight="false" outlineLevel="0" collapsed="false">
      <c r="B46" s="8" t="n">
        <v>0.792291119607581</v>
      </c>
      <c r="C46" s="8" t="n">
        <v>0.767138956921052</v>
      </c>
      <c r="D46" s="8" t="n">
        <v>0.808680515695504</v>
      </c>
      <c r="E46" s="8" t="n">
        <v>0.780558840331467</v>
      </c>
      <c r="G46" s="9" t="s">
        <v>146</v>
      </c>
      <c r="H46" s="8" t="n">
        <f aca="false">DEVSQ('inter-system stats'!$B$34:$B$59,'inter-system stats'!$C$34:$C$59,'inter-system stats'!$D$34:$D$59,'inter-system stats'!$E$34:$E$59)</f>
        <v>0.383016503291427</v>
      </c>
      <c r="I46" s="8" t="n">
        <f aca="false">SUM('inter-system stats'!$H$38:$H$41) - 1</f>
        <v>99</v>
      </c>
      <c r="J46" s="8"/>
      <c r="K46" s="8"/>
      <c r="L46" s="8"/>
      <c r="M46" s="8"/>
    </row>
    <row r="47" customFormat="false" ht="12.8" hidden="false" customHeight="false" outlineLevel="0" collapsed="false">
      <c r="B47" s="8" t="n">
        <v>0.742748844142451</v>
      </c>
      <c r="C47" s="8" t="n">
        <v>0.725689268577004</v>
      </c>
      <c r="D47" s="8" t="n">
        <v>0.697789785928682</v>
      </c>
      <c r="E47" s="8" t="n">
        <v>0.720814394600414</v>
      </c>
    </row>
    <row r="48" customFormat="false" ht="12.8" hidden="false" customHeight="false" outlineLevel="0" collapsed="false">
      <c r="B48" s="8" t="n">
        <v>0.730739032742495</v>
      </c>
      <c r="C48" s="8" t="n">
        <v>0.68375138396333</v>
      </c>
      <c r="D48" s="8" t="n">
        <v>0.749649894113733</v>
      </c>
      <c r="E48" s="8" t="n">
        <v>0.740298991398541</v>
      </c>
    </row>
    <row r="49" customFormat="false" ht="12.8" hidden="false" customHeight="false" outlineLevel="0" collapsed="false">
      <c r="B49" s="8" t="n">
        <v>0.727501533855859</v>
      </c>
      <c r="C49" s="8" t="n">
        <v>0.778810655140002</v>
      </c>
      <c r="D49" s="8" t="n">
        <v>0.736967328412209</v>
      </c>
      <c r="E49" s="8" t="n">
        <v>0.70744158301379</v>
      </c>
    </row>
    <row r="50" customFormat="false" ht="12.8" hidden="false" customHeight="false" outlineLevel="0" collapsed="false">
      <c r="B50" s="8" t="n">
        <v>0.69212024380659</v>
      </c>
      <c r="C50" s="8" t="n">
        <v>0.720712807955728</v>
      </c>
      <c r="D50" s="8" t="n">
        <v>0.764104736117937</v>
      </c>
      <c r="E50" s="8" t="n">
        <v>0.719125866172455</v>
      </c>
    </row>
    <row r="51" customFormat="false" ht="12.8" hidden="false" customHeight="false" outlineLevel="0" collapsed="false">
      <c r="B51" s="8" t="n">
        <v>0.719549537838803</v>
      </c>
      <c r="C51" s="8" t="n">
        <v>0.772536760552901</v>
      </c>
      <c r="D51" s="8" t="n">
        <v>0.722501085513047</v>
      </c>
      <c r="E51" s="8" t="n">
        <v>0.718889384668267</v>
      </c>
    </row>
    <row r="52" customFormat="false" ht="12.8" hidden="false" customHeight="false" outlineLevel="0" collapsed="false">
      <c r="B52" s="8" t="n">
        <v>0.708540087240829</v>
      </c>
      <c r="C52" s="8" t="n">
        <v>0.705400471101386</v>
      </c>
      <c r="D52" s="8" t="n">
        <v>0.68518214731593</v>
      </c>
      <c r="E52" s="8" t="n">
        <v>0.735022492301164</v>
      </c>
    </row>
    <row r="53" customFormat="false" ht="12.8" hidden="false" customHeight="false" outlineLevel="0" collapsed="false">
      <c r="B53" s="8" t="n">
        <v>0.706775862145744</v>
      </c>
      <c r="C53" s="8" t="n">
        <v>0.654030504893449</v>
      </c>
      <c r="D53" s="8" t="n">
        <v>0.57422986602436</v>
      </c>
      <c r="E53" s="8" t="n">
        <v>0.581700376323851</v>
      </c>
    </row>
    <row r="54" customFormat="false" ht="12.8" hidden="false" customHeight="false" outlineLevel="0" collapsed="false">
      <c r="B54" s="8" t="n">
        <v>0.810552775268533</v>
      </c>
      <c r="C54" s="8" t="n">
        <v>0.819935063298953</v>
      </c>
      <c r="D54" s="8" t="n">
        <v>0.862814658531392</v>
      </c>
      <c r="E54" s="8" t="n">
        <v>0.849425390022398</v>
      </c>
    </row>
    <row r="55" customFormat="false" ht="12.8" hidden="false" customHeight="false" outlineLevel="0" collapsed="false">
      <c r="B55" s="8" t="n">
        <v>0.779651511367528</v>
      </c>
      <c r="C55" s="8" t="n">
        <v>0.775935289730371</v>
      </c>
      <c r="D55" s="8" t="n">
        <v>0.766443599036539</v>
      </c>
      <c r="E55" s="8" t="n">
        <v>0.782107085098168</v>
      </c>
    </row>
    <row r="56" customFormat="false" ht="12.8" hidden="false" customHeight="false" outlineLevel="0" collapsed="false">
      <c r="B56" s="8" t="n">
        <v>0.707012650930307</v>
      </c>
      <c r="C56" s="8" t="n">
        <v>0.689306055979394</v>
      </c>
      <c r="D56" s="8" t="n">
        <v>0.757219448945817</v>
      </c>
      <c r="E56" s="8" t="n">
        <v>0.677931474696056</v>
      </c>
    </row>
    <row r="57" customFormat="false" ht="12.8" hidden="false" customHeight="false" outlineLevel="0" collapsed="false">
      <c r="B57" s="8" t="n">
        <v>0.759411204953021</v>
      </c>
      <c r="C57" s="8" t="n">
        <v>0.757862366672276</v>
      </c>
      <c r="D57" s="8" t="n">
        <v>0.75138094509243</v>
      </c>
      <c r="E57" s="8" t="n">
        <v>0.722134922473597</v>
      </c>
    </row>
    <row r="58" customFormat="false" ht="12.8" hidden="false" customHeight="false" outlineLevel="0" collapsed="false">
      <c r="B58" s="8" t="n">
        <v>0.754622185376853</v>
      </c>
      <c r="C58" s="8" t="n">
        <v>0.706727669319429</v>
      </c>
      <c r="D58" s="8" t="n">
        <v>0.783578798476775</v>
      </c>
      <c r="E58" s="8" t="n">
        <v>0.727810414332614</v>
      </c>
    </row>
    <row r="59" customFormat="false" ht="12.8" hidden="false" customHeight="false" outlineLevel="0" collapsed="false">
      <c r="B59" s="8" t="n">
        <v>0.718662412659959</v>
      </c>
      <c r="C59" s="8" t="n">
        <v>0.70629147268637</v>
      </c>
      <c r="D59" s="8" t="n">
        <v>0.690023913451965</v>
      </c>
      <c r="E59" s="8" t="n">
        <v>0.68313653978705</v>
      </c>
    </row>
    <row r="62" customFormat="false" ht="12.8" hidden="false" customHeight="false" outlineLevel="0" collapsed="false">
      <c r="A62" s="8" t="s">
        <v>147</v>
      </c>
    </row>
    <row r="65" customFormat="false" ht="12.8" hidden="false" customHeight="false" outlineLevel="0" collapsed="false">
      <c r="A65" s="8" t="s">
        <v>148</v>
      </c>
      <c r="B65" s="8" t="s">
        <v>123</v>
      </c>
      <c r="C65" s="8" t="s">
        <v>124</v>
      </c>
      <c r="D65" s="8" t="s">
        <v>125</v>
      </c>
      <c r="E65" s="8" t="s">
        <v>111</v>
      </c>
      <c r="F65" s="8" t="s">
        <v>112</v>
      </c>
    </row>
    <row r="66" customFormat="false" ht="12.8" hidden="false" customHeight="false" outlineLevel="0" collapsed="false">
      <c r="A66" s="8" t="n">
        <v>1</v>
      </c>
      <c r="B66" s="8" t="n">
        <v>0.829083516979224</v>
      </c>
      <c r="C66" s="8" t="n">
        <v>0.834308337570909</v>
      </c>
      <c r="D66" s="8" t="n">
        <v>0.820329791398556</v>
      </c>
      <c r="E66" s="8" t="n">
        <v>0.829521350954824</v>
      </c>
      <c r="F66" s="8" t="n">
        <v>0.843168263254482</v>
      </c>
    </row>
    <row r="67" customFormat="false" ht="12.8" hidden="false" customHeight="false" outlineLevel="0" collapsed="false">
      <c r="A67" s="8" t="n">
        <v>2</v>
      </c>
      <c r="B67" s="8" t="n">
        <v>0.766444903472076</v>
      </c>
      <c r="C67" s="8" t="n">
        <v>0.78737808939176</v>
      </c>
      <c r="D67" s="8" t="n">
        <v>0.760208954092368</v>
      </c>
      <c r="E67" s="8" t="n">
        <v>0.735193711695633</v>
      </c>
      <c r="F67" s="8" t="n">
        <v>0.410481566775254</v>
      </c>
    </row>
    <row r="68" customFormat="false" ht="12.8" hidden="false" customHeight="false" outlineLevel="0" collapsed="false">
      <c r="A68" s="8" t="n">
        <v>3</v>
      </c>
      <c r="B68" s="8" t="n">
        <v>0.820814927176212</v>
      </c>
      <c r="C68" s="8" t="n">
        <v>0.823470108869694</v>
      </c>
      <c r="D68" s="8" t="n">
        <v>0.779358920094772</v>
      </c>
      <c r="E68" s="8" t="n">
        <v>0.73805452066822</v>
      </c>
      <c r="F68" s="8" t="n">
        <v>0.557975369920795</v>
      </c>
    </row>
    <row r="69" customFormat="false" ht="12.8" hidden="false" customHeight="false" outlineLevel="0" collapsed="false">
      <c r="A69" s="8" t="n">
        <v>4</v>
      </c>
      <c r="B69" s="8" t="n">
        <v>0.589340681428011</v>
      </c>
      <c r="C69" s="8" t="n">
        <v>0.641382187119465</v>
      </c>
      <c r="D69" s="8" t="n">
        <v>0.655474168574833</v>
      </c>
      <c r="E69" s="8" t="n">
        <v>0.639461451771152</v>
      </c>
      <c r="F69" s="8" t="n">
        <v>0.619158269088556</v>
      </c>
    </row>
    <row r="70" customFormat="false" ht="12.8" hidden="false" customHeight="false" outlineLevel="0" collapsed="false">
      <c r="A70" s="8" t="n">
        <v>5</v>
      </c>
      <c r="B70" s="8" t="n">
        <v>0.549939911322228</v>
      </c>
      <c r="C70" s="8" t="n">
        <v>0.648560742045417</v>
      </c>
      <c r="D70" s="8" t="n">
        <v>0.601488270812317</v>
      </c>
      <c r="E70" s="8" t="n">
        <v>0.601148402331265</v>
      </c>
      <c r="F70" s="8" t="n">
        <v>0.403963080119542</v>
      </c>
    </row>
    <row r="71" customFormat="false" ht="12.8" hidden="false" customHeight="false" outlineLevel="0" collapsed="false">
      <c r="A71" s="8" t="n">
        <v>6</v>
      </c>
      <c r="B71" s="8" t="n">
        <v>0.806301302771949</v>
      </c>
      <c r="C71" s="8" t="n">
        <v>0.737540725804953</v>
      </c>
      <c r="D71" s="8" t="n">
        <v>0.802605111539465</v>
      </c>
      <c r="E71" s="8" t="n">
        <v>0.773499226539065</v>
      </c>
      <c r="F71" s="8" t="n">
        <v>0.570743883878626</v>
      </c>
    </row>
    <row r="72" customFormat="false" ht="12.8" hidden="false" customHeight="false" outlineLevel="0" collapsed="false">
      <c r="A72" s="8" t="n">
        <v>7</v>
      </c>
      <c r="B72" s="8" t="n">
        <v>0.654420747897195</v>
      </c>
      <c r="C72" s="8" t="n">
        <v>0.634968083396197</v>
      </c>
      <c r="D72" s="8" t="n">
        <v>0.648878416428975</v>
      </c>
      <c r="E72" s="8" t="n">
        <v>0.65742523257328</v>
      </c>
      <c r="F72" s="8" t="n">
        <v>0.611608951562061</v>
      </c>
    </row>
    <row r="73" customFormat="false" ht="12.8" hidden="false" customHeight="false" outlineLevel="0" collapsed="false">
      <c r="A73" s="8" t="n">
        <v>8</v>
      </c>
      <c r="B73" s="8" t="n">
        <v>0.747457006954611</v>
      </c>
      <c r="C73" s="8" t="n">
        <v>0.746400854814908</v>
      </c>
      <c r="D73" s="8" t="n">
        <v>0.75255045120181</v>
      </c>
      <c r="E73" s="8" t="n">
        <v>0.712613137045905</v>
      </c>
      <c r="F73" s="8" t="n">
        <v>0.51665838871536</v>
      </c>
    </row>
    <row r="74" customFormat="false" ht="12.8" hidden="false" customHeight="false" outlineLevel="0" collapsed="false">
      <c r="A74" s="8" t="n">
        <v>9</v>
      </c>
      <c r="B74" s="8" t="n">
        <v>0.763154436571465</v>
      </c>
      <c r="C74" s="8" t="n">
        <v>0.688805343346949</v>
      </c>
      <c r="D74" s="8" t="n">
        <v>0.725998440426624</v>
      </c>
      <c r="E74" s="8" t="n">
        <v>0.695082856151577</v>
      </c>
      <c r="F74" s="8" t="n">
        <v>0.519107279370953</v>
      </c>
    </row>
    <row r="75" customFormat="false" ht="12.8" hidden="false" customHeight="false" outlineLevel="0" collapsed="false">
      <c r="A75" s="8" t="n">
        <v>10</v>
      </c>
      <c r="B75" s="8" t="n">
        <v>0.745298826492448</v>
      </c>
      <c r="C75" s="8" t="n">
        <v>0.743639794674361</v>
      </c>
      <c r="D75" s="8" t="n">
        <v>0.706819355320024</v>
      </c>
      <c r="E75" s="8" t="n">
        <v>0.70158644000236</v>
      </c>
      <c r="F75" s="8" t="n">
        <v>0.681242455451239</v>
      </c>
    </row>
    <row r="76" customFormat="false" ht="12.8" hidden="false" customHeight="false" outlineLevel="0" collapsed="false">
      <c r="A76" s="8" t="n">
        <v>11</v>
      </c>
      <c r="B76" s="8" t="n">
        <v>0.703599427390625</v>
      </c>
      <c r="C76" s="8" t="n">
        <v>0.7131914659308</v>
      </c>
      <c r="D76" s="8" t="n">
        <v>0.663884135279099</v>
      </c>
      <c r="E76" s="8" t="n">
        <v>0.697028043689582</v>
      </c>
      <c r="F76" s="8" t="n">
        <v>0.665099248057114</v>
      </c>
    </row>
    <row r="77" customFormat="false" ht="12.8" hidden="false" customHeight="false" outlineLevel="0" collapsed="false">
      <c r="A77" s="8" t="n">
        <v>12</v>
      </c>
      <c r="B77" s="8" t="n">
        <v>0.792291119607581</v>
      </c>
      <c r="C77" s="8" t="n">
        <v>0.767138956921052</v>
      </c>
      <c r="D77" s="8" t="n">
        <v>0.808680515695504</v>
      </c>
      <c r="E77" s="8" t="n">
        <v>0.780558840331467</v>
      </c>
      <c r="F77" s="8" t="n">
        <v>0.685595116342696</v>
      </c>
    </row>
    <row r="78" customFormat="false" ht="12.8" hidden="false" customHeight="false" outlineLevel="0" collapsed="false">
      <c r="A78" s="8" t="n">
        <v>13</v>
      </c>
      <c r="B78" s="8" t="n">
        <v>0.742748844142451</v>
      </c>
      <c r="C78" s="8" t="n">
        <v>0.725689268577004</v>
      </c>
      <c r="D78" s="8" t="n">
        <v>0.697789785928682</v>
      </c>
      <c r="E78" s="8" t="n">
        <v>0.720814394600414</v>
      </c>
      <c r="F78" s="8" t="n">
        <v>0.65114377143955</v>
      </c>
    </row>
    <row r="79" customFormat="false" ht="12.8" hidden="false" customHeight="false" outlineLevel="0" collapsed="false">
      <c r="A79" s="8" t="n">
        <v>14</v>
      </c>
      <c r="B79" s="8" t="n">
        <v>0.730739032742495</v>
      </c>
      <c r="C79" s="8" t="n">
        <v>0.68375138396333</v>
      </c>
      <c r="D79" s="8" t="n">
        <v>0.749649894113733</v>
      </c>
      <c r="E79" s="8" t="n">
        <v>0.740298991398541</v>
      </c>
      <c r="F79" s="8" t="n">
        <v>0.603486770235985</v>
      </c>
    </row>
    <row r="80" customFormat="false" ht="12.8" hidden="false" customHeight="false" outlineLevel="0" collapsed="false">
      <c r="A80" s="8" t="n">
        <v>15</v>
      </c>
      <c r="B80" s="8" t="n">
        <v>0.727501533855859</v>
      </c>
      <c r="C80" s="8" t="n">
        <v>0.778810655140002</v>
      </c>
      <c r="D80" s="8" t="n">
        <v>0.736967328412209</v>
      </c>
      <c r="E80" s="8" t="n">
        <v>0.70744158301379</v>
      </c>
      <c r="F80" s="8" t="n">
        <v>0.498068679989705</v>
      </c>
    </row>
    <row r="81" customFormat="false" ht="12.8" hidden="false" customHeight="false" outlineLevel="0" collapsed="false">
      <c r="A81" s="8" t="n">
        <v>16</v>
      </c>
      <c r="B81" s="8" t="n">
        <v>0.69212024380659</v>
      </c>
      <c r="C81" s="8" t="n">
        <v>0.720712807955728</v>
      </c>
      <c r="D81" s="8" t="n">
        <v>0.764104736117937</v>
      </c>
      <c r="E81" s="8" t="n">
        <v>0.719125866172455</v>
      </c>
      <c r="F81" s="8" t="n">
        <v>0.630377968860656</v>
      </c>
    </row>
    <row r="82" customFormat="false" ht="12.8" hidden="false" customHeight="false" outlineLevel="0" collapsed="false">
      <c r="A82" s="8" t="n">
        <v>17</v>
      </c>
      <c r="B82" s="8" t="n">
        <v>0.719549537838803</v>
      </c>
      <c r="C82" s="8" t="n">
        <v>0.772536760552901</v>
      </c>
      <c r="D82" s="8" t="n">
        <v>0.722501085513047</v>
      </c>
      <c r="E82" s="8" t="n">
        <v>0.718889384668267</v>
      </c>
      <c r="F82" s="8" t="n">
        <v>0.657927168337551</v>
      </c>
    </row>
    <row r="83" customFormat="false" ht="12.8" hidden="false" customHeight="false" outlineLevel="0" collapsed="false">
      <c r="A83" s="8" t="n">
        <v>18</v>
      </c>
      <c r="B83" s="8" t="n">
        <v>0.708540087240829</v>
      </c>
      <c r="C83" s="8" t="n">
        <v>0.705400471101386</v>
      </c>
      <c r="D83" s="8" t="n">
        <v>0.68518214731593</v>
      </c>
      <c r="E83" s="8" t="n">
        <v>0.735022492301164</v>
      </c>
      <c r="F83" s="8" t="n">
        <v>0.560860510322618</v>
      </c>
    </row>
    <row r="84" customFormat="false" ht="12.8" hidden="false" customHeight="false" outlineLevel="0" collapsed="false">
      <c r="A84" s="8" t="n">
        <v>19</v>
      </c>
      <c r="B84" s="8" t="n">
        <v>0.706775862145744</v>
      </c>
      <c r="C84" s="8" t="n">
        <v>0.654030504893449</v>
      </c>
      <c r="D84" s="8" t="n">
        <v>0.57422986602436</v>
      </c>
      <c r="E84" s="8" t="n">
        <v>0.581700376323851</v>
      </c>
      <c r="F84" s="8" t="n">
        <v>0.502077926373526</v>
      </c>
    </row>
    <row r="85" customFormat="false" ht="12.8" hidden="false" customHeight="false" outlineLevel="0" collapsed="false">
      <c r="A85" s="8" t="n">
        <v>20</v>
      </c>
      <c r="B85" s="8" t="n">
        <v>0.810552775268533</v>
      </c>
      <c r="C85" s="8" t="n">
        <v>0.819935063298953</v>
      </c>
      <c r="D85" s="8" t="n">
        <v>0.862814658531392</v>
      </c>
      <c r="E85" s="8" t="n">
        <v>0.849425390022398</v>
      </c>
      <c r="F85" s="8" t="n">
        <v>0.477168485158792</v>
      </c>
    </row>
    <row r="86" customFormat="false" ht="12.8" hidden="false" customHeight="false" outlineLevel="0" collapsed="false">
      <c r="A86" s="8" t="n">
        <v>21</v>
      </c>
      <c r="B86" s="8" t="n">
        <v>0.779651511367528</v>
      </c>
      <c r="C86" s="8" t="n">
        <v>0.775935289730371</v>
      </c>
      <c r="D86" s="8" t="n">
        <v>0.766443599036539</v>
      </c>
      <c r="E86" s="8" t="n">
        <v>0.782107085098168</v>
      </c>
      <c r="F86" s="8" t="n">
        <v>0.490712582964214</v>
      </c>
    </row>
    <row r="87" customFormat="false" ht="12.8" hidden="false" customHeight="false" outlineLevel="0" collapsed="false">
      <c r="A87" s="8" t="n">
        <v>22</v>
      </c>
      <c r="B87" s="8" t="n">
        <v>0.707012650930307</v>
      </c>
      <c r="C87" s="8" t="n">
        <v>0.689306055979394</v>
      </c>
      <c r="D87" s="8" t="n">
        <v>0.757219448945817</v>
      </c>
      <c r="E87" s="8" t="n">
        <v>0.677931474696056</v>
      </c>
      <c r="F87" s="8" t="n">
        <v>0.373647233999626</v>
      </c>
    </row>
    <row r="88" customFormat="false" ht="12.8" hidden="false" customHeight="false" outlineLevel="0" collapsed="false">
      <c r="A88" s="8" t="n">
        <v>23</v>
      </c>
      <c r="B88" s="8" t="n">
        <v>0.759411204953021</v>
      </c>
      <c r="C88" s="8" t="n">
        <v>0.757862366672276</v>
      </c>
      <c r="D88" s="8" t="n">
        <v>0.75138094509243</v>
      </c>
      <c r="E88" s="8" t="n">
        <v>0.722134922473597</v>
      </c>
      <c r="F88" s="8" t="n">
        <v>0.656354995088699</v>
      </c>
    </row>
    <row r="89" customFormat="false" ht="12.8" hidden="false" customHeight="false" outlineLevel="0" collapsed="false">
      <c r="A89" s="8" t="n">
        <v>24</v>
      </c>
      <c r="B89" s="8" t="n">
        <v>0.754622185376853</v>
      </c>
      <c r="C89" s="8" t="n">
        <v>0.706727669319429</v>
      </c>
      <c r="D89" s="8" t="n">
        <v>0.783578798476775</v>
      </c>
      <c r="E89" s="8" t="n">
        <v>0.727810414332614</v>
      </c>
      <c r="F89" s="8" t="n">
        <v>0.579731827188496</v>
      </c>
    </row>
    <row r="90" customFormat="false" ht="12.8" hidden="false" customHeight="false" outlineLevel="0" collapsed="false">
      <c r="A90" s="8" t="n">
        <v>25</v>
      </c>
      <c r="B90" s="8" t="n">
        <v>0.718662412659959</v>
      </c>
      <c r="C90" s="8" t="n">
        <v>0.70629147268637</v>
      </c>
      <c r="D90" s="8" t="n">
        <v>0.690023913451965</v>
      </c>
      <c r="E90" s="8" t="n">
        <v>0.68313653978705</v>
      </c>
      <c r="F90" s="8" t="n">
        <v>0.300277405978412</v>
      </c>
    </row>
    <row r="92" customFormat="false" ht="12.8" hidden="false" customHeight="false" outlineLevel="0" collapsed="false">
      <c r="B92" s="11" t="s">
        <v>126</v>
      </c>
    </row>
    <row r="93" customFormat="false" ht="12.8" hidden="false" customHeight="false" outlineLevel="0" collapsed="false">
      <c r="B93" s="9" t="s">
        <v>127</v>
      </c>
      <c r="C93" s="9" t="n">
        <v>0.05</v>
      </c>
    </row>
    <row r="95" customFormat="false" ht="12.8" hidden="false" customHeight="false" outlineLevel="0" collapsed="false">
      <c r="B95" s="9" t="s">
        <v>128</v>
      </c>
      <c r="C95" s="9" t="s">
        <v>129</v>
      </c>
      <c r="D95" s="9" t="s">
        <v>130</v>
      </c>
      <c r="E95" s="9" t="s">
        <v>131</v>
      </c>
      <c r="F95" s="9" t="s">
        <v>132</v>
      </c>
    </row>
    <row r="96" customFormat="false" ht="12.8" hidden="false" customHeight="false" outlineLevel="0" collapsed="false">
      <c r="B96" s="9" t="s">
        <v>133</v>
      </c>
      <c r="C96" s="9" t="n">
        <f aca="false">COUNT('inter-system stats'!$B$65:$B$90)</f>
        <v>25</v>
      </c>
      <c r="D96" s="9" t="n">
        <f aca="false">SUM('inter-system stats'!$B$65:$B$90)</f>
        <v>18.3260346903926</v>
      </c>
      <c r="E96" s="9" t="n">
        <f aca="false">AVERAGE('inter-system stats'!$B$65:$B$90)</f>
        <v>0.733041387615704</v>
      </c>
      <c r="F96" s="9" t="n">
        <f aca="false">VAR('inter-system stats'!$B$65:$B$90)</f>
        <v>0.00428805866426504</v>
      </c>
    </row>
    <row r="97" customFormat="false" ht="12.8" hidden="false" customHeight="false" outlineLevel="0" collapsed="false">
      <c r="B97" s="9" t="s">
        <v>134</v>
      </c>
      <c r="C97" s="9" t="n">
        <f aca="false">COUNT('inter-system stats'!$C$65:$C$90)</f>
        <v>25</v>
      </c>
      <c r="D97" s="9" t="n">
        <f aca="false">SUM('inter-system stats'!$C$65:$C$90)</f>
        <v>18.2637744597571</v>
      </c>
      <c r="E97" s="9" t="n">
        <f aca="false">AVERAGE('inter-system stats'!$C$65:$C$90)</f>
        <v>0.730550978390282</v>
      </c>
      <c r="F97" s="9" t="n">
        <f aca="false">VAR('inter-system stats'!$C$65:$C$90)</f>
        <v>0.0032014708633712</v>
      </c>
    </row>
    <row r="98" customFormat="false" ht="12.8" hidden="false" customHeight="false" outlineLevel="0" collapsed="false">
      <c r="B98" s="9" t="s">
        <v>135</v>
      </c>
      <c r="C98" s="9" t="n">
        <f aca="false">COUNT('inter-system stats'!$D$65:$D$90)</f>
        <v>25</v>
      </c>
      <c r="D98" s="9" t="n">
        <f aca="false">SUM('inter-system stats'!$D$65:$D$90)</f>
        <v>18.2681627378252</v>
      </c>
      <c r="E98" s="9" t="n">
        <f aca="false">AVERAGE('inter-system stats'!$D$65:$D$90)</f>
        <v>0.730726509513007</v>
      </c>
      <c r="F98" s="9" t="n">
        <f aca="false">VAR('inter-system stats'!$D$65:$D$90)</f>
        <v>0.00460998896090856</v>
      </c>
    </row>
    <row r="99" customFormat="false" ht="12.8" hidden="false" customHeight="false" outlineLevel="0" collapsed="false">
      <c r="B99" s="9" t="s">
        <v>136</v>
      </c>
      <c r="C99" s="9" t="n">
        <f aca="false">COUNT('inter-system stats'!$E$65:$E$90)</f>
        <v>25</v>
      </c>
      <c r="D99" s="9" t="n">
        <f aca="false">SUM('inter-system stats'!$E$65:$E$90)</f>
        <v>17.9270121286427</v>
      </c>
      <c r="E99" s="9" t="n">
        <f aca="false">AVERAGE('inter-system stats'!$E$65:$E$90)</f>
        <v>0.717080485145708</v>
      </c>
      <c r="F99" s="9" t="n">
        <f aca="false">VAR('inter-system stats'!$E$65:$E$90)</f>
        <v>0.00369439566243724</v>
      </c>
    </row>
    <row r="100" customFormat="false" ht="12.8" hidden="false" customHeight="false" outlineLevel="0" collapsed="false">
      <c r="B100" s="9" t="s">
        <v>149</v>
      </c>
      <c r="C100" s="9" t="n">
        <f aca="false">COUNT('inter-system stats'!$F$65:$F$90)</f>
        <v>25</v>
      </c>
      <c r="D100" s="9" t="n">
        <f aca="false">SUM('inter-system stats'!$F$65:$F$90)</f>
        <v>14.0666371984745</v>
      </c>
      <c r="E100" s="9" t="n">
        <f aca="false">AVERAGE('inter-system stats'!$F$65:$F$90)</f>
        <v>0.56266548793898</v>
      </c>
      <c r="F100" s="9" t="n">
        <f aca="false">VAR('inter-system stats'!$F$65:$F$90)</f>
        <v>0.013896414820903</v>
      </c>
    </row>
    <row r="102" customFormat="false" ht="12.8" hidden="false" customHeight="false" outlineLevel="0" collapsed="false">
      <c r="B102" s="9" t="s">
        <v>137</v>
      </c>
      <c r="C102" s="9" t="s">
        <v>138</v>
      </c>
      <c r="D102" s="9" t="s">
        <v>139</v>
      </c>
      <c r="E102" s="9" t="s">
        <v>140</v>
      </c>
      <c r="F102" s="9" t="s">
        <v>141</v>
      </c>
      <c r="G102" s="9" t="s">
        <v>142</v>
      </c>
      <c r="H102" s="9" t="s">
        <v>143</v>
      </c>
    </row>
    <row r="103" customFormat="false" ht="12.8" hidden="false" customHeight="false" outlineLevel="0" collapsed="false">
      <c r="B103" s="9" t="s">
        <v>144</v>
      </c>
      <c r="C103" s="9" t="n">
        <f aca="false">SUMPRODUCT('inter-system stats'!$D$96:$D$100,'inter-system stats'!$E$96:$E$100)-SUM('inter-system stats'!$D$96:$D$100)^2/SUM('inter-system stats'!$C$96:$C$100)</f>
        <v>0.549679968082209</v>
      </c>
      <c r="D103" s="9" t="n">
        <f aca="false">COUNT('inter-system stats'!$D$96:$D$100)-1</f>
        <v>4</v>
      </c>
      <c r="E103" s="9" t="n">
        <f aca="false">'inter-system stats'!$C$103 / 'inter-system stats'!$D$103</f>
        <v>0.137419992020552</v>
      </c>
      <c r="F103" s="9" t="n">
        <f aca="false">'inter-system stats'!$E$103 / 'inter-system stats'!$E$104</f>
        <v>23.1422144481256</v>
      </c>
      <c r="G103" s="9" t="n">
        <f aca="false">FDIST('inter-system stats'!$F$103, 'inter-system stats'!$D$103, 'inter-system stats'!$D$104)</f>
        <v>3.42234802344947E-014</v>
      </c>
      <c r="H103" s="9" t="n">
        <f aca="false">FINV('inter-system stats'!$C$93, 'inter-system stats'!$D$103, 'inter-system stats'!$D$104)</f>
        <v>2.4472365114693</v>
      </c>
    </row>
    <row r="104" customFormat="false" ht="12.8" hidden="false" customHeight="false" outlineLevel="0" collapsed="false">
      <c r="B104" s="9" t="s">
        <v>145</v>
      </c>
      <c r="C104" s="9" t="n">
        <f aca="false">SUM(DEVSQ('inter-system stats'!$B$65:$B$90),DEVSQ('inter-system stats'!$C$65:$C$90),DEVSQ('inter-system stats'!$D$65:$D$90),DEVSQ('inter-system stats'!$E$65:$E$90),DEVSQ('inter-system stats'!$F$65:$F$90))</f>
        <v>0.712567895325242</v>
      </c>
      <c r="D104" s="9" t="n">
        <f aca="false">SUM('inter-system stats'!$C$96:$C$100)-COUNT('inter-system stats'!$C$96:$C$100)</f>
        <v>120</v>
      </c>
      <c r="E104" s="9" t="n">
        <f aca="false">'inter-system stats'!$C$104 / 'inter-system stats'!$D$104</f>
        <v>0.00593806579437702</v>
      </c>
    </row>
    <row r="105" customFormat="false" ht="12.8" hidden="false" customHeight="false" outlineLevel="0" collapsed="false">
      <c r="B105" s="9" t="s">
        <v>146</v>
      </c>
      <c r="C105" s="9" t="n">
        <f aca="false">DEVSQ('inter-system stats'!$B$65:$B$90,'inter-system stats'!$C$65:$C$90,'inter-system stats'!$D$65:$D$90,'inter-system stats'!$E$65:$E$90,'inter-system stats'!$F$65:$F$90)</f>
        <v>1.26224786340746</v>
      </c>
      <c r="D105" s="9" t="n">
        <f aca="false">SUM('inter-system stats'!$C$96:$C$100) - 1</f>
        <v>124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56"/>
  <sheetViews>
    <sheetView showFormulas="false" showGridLines="true" showRowColHeaders="true" showZeros="true" rightToLeft="false" tabSelected="false" showOutlineSymbols="true" defaultGridColor="true" view="normal" topLeftCell="A31" colorId="64" zoomScale="125" zoomScaleNormal="125" zoomScalePageLayoutView="100" workbookViewId="0">
      <selection pane="topLeft" activeCell="J40" activeCellId="0" sqref="J40"/>
    </sheetView>
  </sheetViews>
  <sheetFormatPr defaultColWidth="14.0703125" defaultRowHeight="12.8" customHeight="false" zeroHeight="false" outlineLevelRow="0" outlineLevelCol="0"/>
  <sheetData>
    <row r="2" customFormat="false" ht="12.8" hidden="false" customHeight="false" outlineLevel="0" collapsed="false">
      <c r="A2" s="8" t="s">
        <v>122</v>
      </c>
      <c r="B2" s="9"/>
      <c r="C2" s="9"/>
      <c r="D2" s="9"/>
      <c r="E2" s="9"/>
    </row>
    <row r="3" customFormat="false" ht="12.8" hidden="false" customHeight="false" outlineLevel="0" collapsed="false">
      <c r="A3" s="8"/>
      <c r="B3" s="8" t="s">
        <v>123</v>
      </c>
      <c r="C3" s="8" t="s">
        <v>124</v>
      </c>
      <c r="D3" s="8" t="s">
        <v>125</v>
      </c>
      <c r="E3" s="8" t="s">
        <v>111</v>
      </c>
    </row>
    <row r="4" customFormat="false" ht="12.8" hidden="false" customHeight="false" outlineLevel="0" collapsed="false">
      <c r="A4" s="8"/>
      <c r="B4" s="8" t="n">
        <v>0.829083516979224</v>
      </c>
      <c r="C4" s="8" t="n">
        <v>0.834308337570909</v>
      </c>
      <c r="D4" s="8" t="n">
        <v>0.820329791398556</v>
      </c>
      <c r="E4" s="8" t="n">
        <v>0.829521350954824</v>
      </c>
    </row>
    <row r="5" customFormat="false" ht="12.8" hidden="false" customHeight="false" outlineLevel="0" collapsed="false">
      <c r="A5" s="8"/>
      <c r="B5" s="8" t="n">
        <v>0.766444903472076</v>
      </c>
      <c r="C5" s="8" t="n">
        <v>0.78737808939176</v>
      </c>
      <c r="D5" s="8" t="n">
        <v>0.760208954092368</v>
      </c>
      <c r="E5" s="8" t="n">
        <v>0.735193711695633</v>
      </c>
    </row>
    <row r="6" customFormat="false" ht="12.8" hidden="false" customHeight="false" outlineLevel="0" collapsed="false">
      <c r="A6" s="8"/>
      <c r="B6" s="8" t="n">
        <v>0.820814927176212</v>
      </c>
      <c r="C6" s="8" t="n">
        <v>0.823470108869694</v>
      </c>
      <c r="D6" s="8" t="n">
        <v>0.779358920094772</v>
      </c>
      <c r="E6" s="8" t="n">
        <v>0.73805452066822</v>
      </c>
    </row>
    <row r="7" customFormat="false" ht="12.8" hidden="false" customHeight="false" outlineLevel="0" collapsed="false">
      <c r="A7" s="8"/>
      <c r="B7" s="8" t="n">
        <v>0.589340681428011</v>
      </c>
      <c r="C7" s="8" t="n">
        <v>0.641382187119465</v>
      </c>
      <c r="D7" s="8" t="n">
        <v>0.655474168574833</v>
      </c>
      <c r="E7" s="8" t="n">
        <v>0.639461451771152</v>
      </c>
    </row>
    <row r="8" customFormat="false" ht="12.8" hidden="false" customHeight="false" outlineLevel="0" collapsed="false">
      <c r="A8" s="8"/>
      <c r="B8" s="8" t="n">
        <v>0.549939911322228</v>
      </c>
      <c r="C8" s="8" t="n">
        <v>0.648560742045417</v>
      </c>
      <c r="D8" s="8" t="n">
        <v>0.601488270812317</v>
      </c>
      <c r="E8" s="8" t="n">
        <v>0.601148402331265</v>
      </c>
    </row>
    <row r="9" customFormat="false" ht="12.8" hidden="false" customHeight="false" outlineLevel="0" collapsed="false">
      <c r="A9" s="8"/>
      <c r="B9" s="8" t="n">
        <v>0.806301302771949</v>
      </c>
      <c r="C9" s="8" t="n">
        <v>0.737540725804953</v>
      </c>
      <c r="D9" s="8" t="n">
        <v>0.802605111539465</v>
      </c>
      <c r="E9" s="8" t="n">
        <v>0.773499226539065</v>
      </c>
    </row>
    <row r="10" customFormat="false" ht="12.8" hidden="false" customHeight="false" outlineLevel="0" collapsed="false">
      <c r="A10" s="8"/>
      <c r="B10" s="8" t="n">
        <v>0.654420747897195</v>
      </c>
      <c r="C10" s="8" t="n">
        <v>0.634968083396197</v>
      </c>
      <c r="D10" s="8" t="n">
        <v>0.648878416428975</v>
      </c>
      <c r="E10" s="8" t="n">
        <v>0.65742523257328</v>
      </c>
    </row>
    <row r="11" customFormat="false" ht="12.8" hidden="false" customHeight="false" outlineLevel="0" collapsed="false">
      <c r="A11" s="8"/>
      <c r="B11" s="8" t="n">
        <v>0.747457006954611</v>
      </c>
      <c r="C11" s="8" t="n">
        <v>0.746400854814908</v>
      </c>
      <c r="D11" s="8" t="n">
        <v>0.75255045120181</v>
      </c>
      <c r="E11" s="8" t="n">
        <v>0.712613137045905</v>
      </c>
    </row>
    <row r="12" customFormat="false" ht="12.8" hidden="false" customHeight="false" outlineLevel="0" collapsed="false">
      <c r="A12" s="8"/>
      <c r="B12" s="8" t="n">
        <v>0.763154436571465</v>
      </c>
      <c r="C12" s="8" t="n">
        <v>0.688805343346949</v>
      </c>
      <c r="D12" s="8" t="n">
        <v>0.725998440426624</v>
      </c>
      <c r="E12" s="8" t="n">
        <v>0.695082856151577</v>
      </c>
    </row>
    <row r="13" customFormat="false" ht="12.8" hidden="false" customHeight="false" outlineLevel="0" collapsed="false">
      <c r="A13" s="8"/>
      <c r="B13" s="8" t="n">
        <v>0.745298826492448</v>
      </c>
      <c r="C13" s="8" t="n">
        <v>0.743639794674361</v>
      </c>
      <c r="D13" s="8" t="n">
        <v>0.706819355320024</v>
      </c>
      <c r="E13" s="8" t="n">
        <v>0.70158644000236</v>
      </c>
    </row>
    <row r="14" customFormat="false" ht="12.8" hidden="false" customHeight="false" outlineLevel="0" collapsed="false">
      <c r="A14" s="8"/>
      <c r="B14" s="8" t="n">
        <v>0.703599427390625</v>
      </c>
      <c r="C14" s="8" t="n">
        <v>0.7131914659308</v>
      </c>
      <c r="D14" s="8" t="n">
        <v>0.663884135279099</v>
      </c>
      <c r="E14" s="8" t="n">
        <v>0.697028043689582</v>
      </c>
    </row>
    <row r="15" customFormat="false" ht="12.8" hidden="false" customHeight="false" outlineLevel="0" collapsed="false">
      <c r="A15" s="8"/>
      <c r="B15" s="8" t="n">
        <v>0.792291119607581</v>
      </c>
      <c r="C15" s="8" t="n">
        <v>0.767138956921052</v>
      </c>
      <c r="D15" s="8" t="n">
        <v>0.808680515695504</v>
      </c>
      <c r="E15" s="8" t="n">
        <v>0.780558840331467</v>
      </c>
    </row>
    <row r="16" customFormat="false" ht="12.8" hidden="false" customHeight="false" outlineLevel="0" collapsed="false">
      <c r="A16" s="8"/>
      <c r="B16" s="8" t="n">
        <v>0.742748844142451</v>
      </c>
      <c r="C16" s="8" t="n">
        <v>0.725689268577004</v>
      </c>
      <c r="D16" s="8" t="n">
        <v>0.697789785928682</v>
      </c>
      <c r="E16" s="8" t="n">
        <v>0.720814394600414</v>
      </c>
    </row>
    <row r="17" customFormat="false" ht="12.8" hidden="false" customHeight="false" outlineLevel="0" collapsed="false">
      <c r="A17" s="8"/>
      <c r="B17" s="8" t="n">
        <v>0.730739032742495</v>
      </c>
      <c r="C17" s="8" t="n">
        <v>0.68375138396333</v>
      </c>
      <c r="D17" s="8" t="n">
        <v>0.749649894113733</v>
      </c>
      <c r="E17" s="8" t="n">
        <v>0.740298991398541</v>
      </c>
    </row>
    <row r="18" customFormat="false" ht="12.8" hidden="false" customHeight="false" outlineLevel="0" collapsed="false">
      <c r="A18" s="8"/>
      <c r="B18" s="8" t="n">
        <v>0.727501533855859</v>
      </c>
      <c r="C18" s="8" t="n">
        <v>0.778810655140002</v>
      </c>
      <c r="D18" s="8" t="n">
        <v>0.736967328412209</v>
      </c>
      <c r="E18" s="8" t="n">
        <v>0.70744158301379</v>
      </c>
    </row>
    <row r="19" customFormat="false" ht="12.8" hidden="false" customHeight="false" outlineLevel="0" collapsed="false">
      <c r="A19" s="8"/>
      <c r="B19" s="8" t="n">
        <v>0.69212024380659</v>
      </c>
      <c r="C19" s="8" t="n">
        <v>0.720712807955728</v>
      </c>
      <c r="D19" s="8" t="n">
        <v>0.764104736117937</v>
      </c>
      <c r="E19" s="8" t="n">
        <v>0.719125866172455</v>
      </c>
    </row>
    <row r="20" customFormat="false" ht="12.8" hidden="false" customHeight="false" outlineLevel="0" collapsed="false">
      <c r="A20" s="8"/>
      <c r="B20" s="8" t="n">
        <v>0.719549537838803</v>
      </c>
      <c r="C20" s="8" t="n">
        <v>0.772536760552901</v>
      </c>
      <c r="D20" s="8" t="n">
        <v>0.722501085513047</v>
      </c>
      <c r="E20" s="8" t="n">
        <v>0.718889384668267</v>
      </c>
    </row>
    <row r="21" customFormat="false" ht="12.8" hidden="false" customHeight="false" outlineLevel="0" collapsed="false">
      <c r="A21" s="8"/>
      <c r="B21" s="8" t="n">
        <v>0.708540087240829</v>
      </c>
      <c r="C21" s="8" t="n">
        <v>0.705400471101386</v>
      </c>
      <c r="D21" s="8" t="n">
        <v>0.68518214731593</v>
      </c>
      <c r="E21" s="8" t="n">
        <v>0.735022492301164</v>
      </c>
    </row>
    <row r="22" customFormat="false" ht="12.8" hidden="false" customHeight="false" outlineLevel="0" collapsed="false">
      <c r="A22" s="8"/>
      <c r="B22" s="8" t="n">
        <v>0.706775862145744</v>
      </c>
      <c r="C22" s="8" t="n">
        <v>0.654030504893449</v>
      </c>
      <c r="D22" s="8" t="n">
        <v>0.57422986602436</v>
      </c>
      <c r="E22" s="8" t="n">
        <v>0.581700376323851</v>
      </c>
    </row>
    <row r="23" customFormat="false" ht="12.8" hidden="false" customHeight="false" outlineLevel="0" collapsed="false">
      <c r="A23" s="8"/>
      <c r="B23" s="8" t="n">
        <v>0.810552775268533</v>
      </c>
      <c r="C23" s="8" t="n">
        <v>0.819935063298953</v>
      </c>
      <c r="D23" s="8" t="n">
        <v>0.862814658531392</v>
      </c>
      <c r="E23" s="8" t="n">
        <v>0.849425390022398</v>
      </c>
    </row>
    <row r="24" customFormat="false" ht="12.8" hidden="false" customHeight="false" outlineLevel="0" collapsed="false">
      <c r="A24" s="8"/>
      <c r="B24" s="8" t="n">
        <v>0.779651511367528</v>
      </c>
      <c r="C24" s="8" t="n">
        <v>0.775935289730371</v>
      </c>
      <c r="D24" s="8" t="n">
        <v>0.766443599036539</v>
      </c>
      <c r="E24" s="8" t="n">
        <v>0.782107085098168</v>
      </c>
    </row>
    <row r="25" customFormat="false" ht="12.8" hidden="false" customHeight="false" outlineLevel="0" collapsed="false">
      <c r="A25" s="8"/>
      <c r="B25" s="8" t="n">
        <v>0.707012650930307</v>
      </c>
      <c r="C25" s="8" t="n">
        <v>0.689306055979394</v>
      </c>
      <c r="D25" s="8" t="n">
        <v>0.757219448945817</v>
      </c>
      <c r="E25" s="8" t="n">
        <v>0.677931474696056</v>
      </c>
    </row>
    <row r="26" customFormat="false" ht="12.8" hidden="false" customHeight="false" outlineLevel="0" collapsed="false">
      <c r="A26" s="8"/>
      <c r="B26" s="8" t="n">
        <v>0.759411204953021</v>
      </c>
      <c r="C26" s="8" t="n">
        <v>0.757862366672276</v>
      </c>
      <c r="D26" s="8" t="n">
        <v>0.75138094509243</v>
      </c>
      <c r="E26" s="8" t="n">
        <v>0.722134922473597</v>
      </c>
    </row>
    <row r="27" customFormat="false" ht="12.8" hidden="false" customHeight="false" outlineLevel="0" collapsed="false">
      <c r="A27" s="8"/>
      <c r="B27" s="8" t="n">
        <v>0.754622185376853</v>
      </c>
      <c r="C27" s="8" t="n">
        <v>0.706727669319429</v>
      </c>
      <c r="D27" s="8" t="n">
        <v>0.783578798476775</v>
      </c>
      <c r="E27" s="8" t="n">
        <v>0.727810414332614</v>
      </c>
    </row>
    <row r="28" customFormat="false" ht="12.8" hidden="false" customHeight="false" outlineLevel="0" collapsed="false">
      <c r="A28" s="8"/>
      <c r="B28" s="8" t="n">
        <v>0.718662412659959</v>
      </c>
      <c r="C28" s="8" t="n">
        <v>0.70629147268637</v>
      </c>
      <c r="D28" s="8" t="n">
        <v>0.690023913451965</v>
      </c>
      <c r="E28" s="8" t="n">
        <v>0.68313653978705</v>
      </c>
    </row>
    <row r="29" customFormat="false" ht="12.8" hidden="false" customHeight="false" outlineLevel="0" collapsed="false">
      <c r="A29" s="8"/>
      <c r="B29" s="8"/>
      <c r="C29" s="8"/>
      <c r="D29" s="8"/>
      <c r="E29" s="8"/>
    </row>
    <row r="31" customFormat="false" ht="12.8" hidden="false" customHeight="false" outlineLevel="0" collapsed="false">
      <c r="A31" s="12" t="s">
        <v>150</v>
      </c>
      <c r="G31" s="13" t="s">
        <v>151</v>
      </c>
    </row>
    <row r="32" customFormat="false" ht="12.8" hidden="false" customHeight="false" outlineLevel="0" collapsed="false">
      <c r="B32" s="13" t="s">
        <v>123</v>
      </c>
      <c r="C32" s="8" t="s">
        <v>124</v>
      </c>
      <c r="D32" s="8" t="s">
        <v>125</v>
      </c>
      <c r="E32" s="8" t="s">
        <v>111</v>
      </c>
      <c r="G32" s="13" t="s">
        <v>123</v>
      </c>
      <c r="H32" s="8" t="s">
        <v>124</v>
      </c>
      <c r="I32" s="8" t="s">
        <v>125</v>
      </c>
      <c r="J32" s="8" t="s">
        <v>111</v>
      </c>
    </row>
    <row r="33" customFormat="false" ht="12.8" hidden="false" customHeight="false" outlineLevel="0" collapsed="false">
      <c r="A33" s="13" t="n">
        <v>2</v>
      </c>
      <c r="B33" s="13" t="n">
        <f aca="false">B5-B4</f>
        <v>-0.0626386135071481</v>
      </c>
      <c r="C33" s="13" t="n">
        <f aca="false">C5-C4</f>
        <v>-0.046930248179149</v>
      </c>
      <c r="D33" s="13" t="n">
        <f aca="false">D5-D4</f>
        <v>-0.060120837306188</v>
      </c>
      <c r="E33" s="13" t="n">
        <f aca="false">E5-E4</f>
        <v>-0.0943276392591911</v>
      </c>
      <c r="G33" s="13" t="n">
        <f aca="false">_xlfn.STDEV.S(B33:B56)</f>
        <v>0.092058481583422</v>
      </c>
      <c r="H33" s="13" t="n">
        <f aca="false">_xlfn.STDEV.S(C33:C56)</f>
        <v>0.0799585013225527</v>
      </c>
      <c r="I33" s="13" t="n">
        <f aca="false">_xlfn.STDEV.S(D33:D56)</f>
        <v>0.105096259234427</v>
      </c>
      <c r="J33" s="13" t="n">
        <f aca="false">_xlfn.STDEV.S(E33:E56)</f>
        <v>0.0915444938739955</v>
      </c>
    </row>
    <row r="34" customFormat="false" ht="12.8" hidden="false" customHeight="false" outlineLevel="0" collapsed="false">
      <c r="A34" s="13" t="n">
        <v>3</v>
      </c>
      <c r="B34" s="13" t="n">
        <f aca="false">B6-B5</f>
        <v>0.054370023704136</v>
      </c>
      <c r="C34" s="13" t="n">
        <f aca="false">C6-C5</f>
        <v>0.0360920194779339</v>
      </c>
      <c r="D34" s="13" t="n">
        <f aca="false">D6-D5</f>
        <v>0.019149966002404</v>
      </c>
      <c r="E34" s="13" t="n">
        <f aca="false">E6-E5</f>
        <v>0.002860808972587</v>
      </c>
    </row>
    <row r="35" customFormat="false" ht="12.8" hidden="false" customHeight="false" outlineLevel="0" collapsed="false">
      <c r="A35" s="13" t="n">
        <v>4</v>
      </c>
      <c r="B35" s="13" t="n">
        <f aca="false">B7-B6</f>
        <v>-0.231474245748201</v>
      </c>
      <c r="C35" s="13" t="n">
        <f aca="false">C7-C6</f>
        <v>-0.182087921750229</v>
      </c>
      <c r="D35" s="13" t="n">
        <f aca="false">D7-D6</f>
        <v>-0.123884751519939</v>
      </c>
      <c r="E35" s="13" t="n">
        <f aca="false">E7-E6</f>
        <v>-0.098593068897068</v>
      </c>
    </row>
    <row r="36" customFormat="false" ht="12.8" hidden="false" customHeight="false" outlineLevel="0" collapsed="false">
      <c r="A36" s="13" t="n">
        <v>5</v>
      </c>
      <c r="B36" s="13" t="n">
        <f aca="false">B8-B7</f>
        <v>-0.039400770105783</v>
      </c>
      <c r="C36" s="13" t="n">
        <f aca="false">C8-C7</f>
        <v>0.00717855492595199</v>
      </c>
      <c r="D36" s="13" t="n">
        <f aca="false">D8-D7</f>
        <v>-0.0539858977625159</v>
      </c>
      <c r="E36" s="13" t="n">
        <f aca="false">E8-E7</f>
        <v>-0.038313049439887</v>
      </c>
    </row>
    <row r="37" customFormat="false" ht="12.8" hidden="false" customHeight="false" outlineLevel="0" collapsed="false">
      <c r="A37" s="13" t="n">
        <v>6</v>
      </c>
      <c r="B37" s="13" t="n">
        <f aca="false">B9-B8</f>
        <v>0.256361391449721</v>
      </c>
      <c r="C37" s="13" t="n">
        <f aca="false">C9-C8</f>
        <v>0.088979983759536</v>
      </c>
      <c r="D37" s="13" t="n">
        <f aca="false">D9-D8</f>
        <v>0.201116840727148</v>
      </c>
      <c r="E37" s="13" t="n">
        <f aca="false">E9-E8</f>
        <v>0.1723508242078</v>
      </c>
    </row>
    <row r="38" customFormat="false" ht="12.8" hidden="false" customHeight="false" outlineLevel="0" collapsed="false">
      <c r="A38" s="13" t="n">
        <v>7</v>
      </c>
      <c r="B38" s="13" t="n">
        <f aca="false">B10-B9</f>
        <v>-0.151880554874754</v>
      </c>
      <c r="C38" s="13" t="n">
        <f aca="false">C10-C9</f>
        <v>-0.102572642408756</v>
      </c>
      <c r="D38" s="13" t="n">
        <f aca="false">D10-D9</f>
        <v>-0.15372669511049</v>
      </c>
      <c r="E38" s="13" t="n">
        <f aca="false">E10-E9</f>
        <v>-0.116073993965785</v>
      </c>
    </row>
    <row r="39" customFormat="false" ht="12.8" hidden="false" customHeight="false" outlineLevel="0" collapsed="false">
      <c r="A39" s="13" t="n">
        <v>8</v>
      </c>
      <c r="B39" s="13" t="n">
        <f aca="false">B11-B10</f>
        <v>0.0930362590574161</v>
      </c>
      <c r="C39" s="13" t="n">
        <f aca="false">C11-C10</f>
        <v>0.111432771418711</v>
      </c>
      <c r="D39" s="13" t="n">
        <f aca="false">D11-D10</f>
        <v>0.103672034772835</v>
      </c>
      <c r="E39" s="13" t="n">
        <f aca="false">E11-E10</f>
        <v>0.055187904472625</v>
      </c>
    </row>
    <row r="40" customFormat="false" ht="12.8" hidden="false" customHeight="false" outlineLevel="0" collapsed="false">
      <c r="A40" s="13" t="n">
        <v>9</v>
      </c>
      <c r="B40" s="13" t="n">
        <f aca="false">B12-B11</f>
        <v>0.0156974296168539</v>
      </c>
      <c r="C40" s="13" t="n">
        <f aca="false">C12-C11</f>
        <v>-0.0575955114679591</v>
      </c>
      <c r="D40" s="13" t="n">
        <f aca="false">D12-D11</f>
        <v>-0.026552010775186</v>
      </c>
      <c r="E40" s="13" t="n">
        <f aca="false">E12-E11</f>
        <v>-0.017530280894328</v>
      </c>
    </row>
    <row r="41" customFormat="false" ht="12.8" hidden="false" customHeight="false" outlineLevel="0" collapsed="false">
      <c r="A41" s="13" t="n">
        <v>10</v>
      </c>
      <c r="B41" s="13" t="n">
        <f aca="false">B13-B12</f>
        <v>-0.0178556100790169</v>
      </c>
      <c r="C41" s="13" t="n">
        <f aca="false">C13-C12</f>
        <v>0.0548344513274121</v>
      </c>
      <c r="D41" s="13" t="n">
        <f aca="false">D13-D12</f>
        <v>-0.0191790851065999</v>
      </c>
      <c r="E41" s="13" t="n">
        <f aca="false">E13-E12</f>
        <v>0.00650358385078298</v>
      </c>
    </row>
    <row r="42" customFormat="false" ht="12.8" hidden="false" customHeight="false" outlineLevel="0" collapsed="false">
      <c r="A42" s="13" t="n">
        <v>11</v>
      </c>
      <c r="B42" s="13" t="n">
        <f aca="false">B14-B13</f>
        <v>-0.0416993991018231</v>
      </c>
      <c r="C42" s="13" t="n">
        <f aca="false">C14-C13</f>
        <v>-0.0304483287435611</v>
      </c>
      <c r="D42" s="13" t="n">
        <f aca="false">D14-D13</f>
        <v>-0.0429352200409251</v>
      </c>
      <c r="E42" s="13" t="n">
        <f aca="false">E14-E13</f>
        <v>-0.00455839631277799</v>
      </c>
    </row>
    <row r="43" customFormat="false" ht="12.8" hidden="false" customHeight="false" outlineLevel="0" collapsed="false">
      <c r="A43" s="13" t="n">
        <v>12</v>
      </c>
      <c r="B43" s="13" t="n">
        <f aca="false">B15-B14</f>
        <v>0.0886916922169561</v>
      </c>
      <c r="C43" s="13" t="n">
        <f aca="false">C15-C14</f>
        <v>0.0539474909902521</v>
      </c>
      <c r="D43" s="13" t="n">
        <f aca="false">D15-D14</f>
        <v>0.144796380416405</v>
      </c>
      <c r="E43" s="13" t="n">
        <f aca="false">E15-E14</f>
        <v>0.083530796641885</v>
      </c>
    </row>
    <row r="44" customFormat="false" ht="12.8" hidden="false" customHeight="false" outlineLevel="0" collapsed="false">
      <c r="A44" s="13" t="n">
        <v>13</v>
      </c>
      <c r="B44" s="13" t="n">
        <f aca="false">B16-B15</f>
        <v>-0.04954227546513</v>
      </c>
      <c r="C44" s="13" t="n">
        <f aca="false">C16-C15</f>
        <v>-0.0414496883440481</v>
      </c>
      <c r="D44" s="13" t="n">
        <f aca="false">D16-D15</f>
        <v>-0.110890729766822</v>
      </c>
      <c r="E44" s="13" t="n">
        <f aca="false">E16-E15</f>
        <v>-0.0597444457310531</v>
      </c>
    </row>
    <row r="45" customFormat="false" ht="12.8" hidden="false" customHeight="false" outlineLevel="0" collapsed="false">
      <c r="A45" s="13" t="n">
        <v>14</v>
      </c>
      <c r="B45" s="13" t="n">
        <f aca="false">B17-B16</f>
        <v>-0.0120098113999561</v>
      </c>
      <c r="C45" s="13" t="n">
        <f aca="false">C17-C16</f>
        <v>-0.041937884613674</v>
      </c>
      <c r="D45" s="13" t="n">
        <f aca="false">D17-D16</f>
        <v>0.0518601081850509</v>
      </c>
      <c r="E45" s="13" t="n">
        <f aca="false">E17-E16</f>
        <v>0.0194845967981271</v>
      </c>
    </row>
    <row r="46" customFormat="false" ht="12.8" hidden="false" customHeight="false" outlineLevel="0" collapsed="false">
      <c r="A46" s="13" t="n">
        <v>15</v>
      </c>
      <c r="B46" s="13" t="n">
        <f aca="false">B18-B17</f>
        <v>-0.00323749888663594</v>
      </c>
      <c r="C46" s="13" t="n">
        <f aca="false">C18-C17</f>
        <v>0.095059271176672</v>
      </c>
      <c r="D46" s="13" t="n">
        <f aca="false">D18-D17</f>
        <v>-0.0126825657015239</v>
      </c>
      <c r="E46" s="13" t="n">
        <f aca="false">E18-E17</f>
        <v>-0.032857408384751</v>
      </c>
    </row>
    <row r="47" customFormat="false" ht="12.8" hidden="false" customHeight="false" outlineLevel="0" collapsed="false">
      <c r="A47" s="13" t="n">
        <v>16</v>
      </c>
      <c r="B47" s="13" t="n">
        <f aca="false">B19-B18</f>
        <v>-0.035381290049269</v>
      </c>
      <c r="C47" s="13" t="n">
        <f aca="false">C19-C18</f>
        <v>-0.058097847184274</v>
      </c>
      <c r="D47" s="13" t="n">
        <f aca="false">D19-D18</f>
        <v>0.0271374077057279</v>
      </c>
      <c r="E47" s="13" t="n">
        <f aca="false">E19-E18</f>
        <v>0.011684283158665</v>
      </c>
    </row>
    <row r="48" customFormat="false" ht="12.8" hidden="false" customHeight="false" outlineLevel="0" collapsed="false">
      <c r="A48" s="13" t="n">
        <v>17</v>
      </c>
      <c r="B48" s="13" t="n">
        <f aca="false">B20-B19</f>
        <v>0.0274292940322131</v>
      </c>
      <c r="C48" s="13" t="n">
        <f aca="false">C20-C19</f>
        <v>0.051823952597173</v>
      </c>
      <c r="D48" s="13" t="n">
        <f aca="false">D20-D19</f>
        <v>-0.0416036506048899</v>
      </c>
      <c r="E48" s="13" t="n">
        <f aca="false">E20-E19</f>
        <v>-0.00023648150418798</v>
      </c>
    </row>
    <row r="49" customFormat="false" ht="12.8" hidden="false" customHeight="false" outlineLevel="0" collapsed="false">
      <c r="A49" s="13" t="n">
        <v>18</v>
      </c>
      <c r="B49" s="13" t="n">
        <f aca="false">B21-B20</f>
        <v>-0.0110094505979741</v>
      </c>
      <c r="C49" s="13" t="n">
        <f aca="false">C21-C20</f>
        <v>-0.067136289451515</v>
      </c>
      <c r="D49" s="13" t="n">
        <f aca="false">D21-D20</f>
        <v>-0.0373189381971171</v>
      </c>
      <c r="E49" s="13" t="n">
        <f aca="false">E21-E20</f>
        <v>0.016133107632897</v>
      </c>
    </row>
    <row r="50" customFormat="false" ht="12.8" hidden="false" customHeight="false" outlineLevel="0" collapsed="false">
      <c r="A50" s="13" t="n">
        <v>19</v>
      </c>
      <c r="B50" s="13" t="n">
        <f aca="false">B22-B21</f>
        <v>-0.001764225095085</v>
      </c>
      <c r="C50" s="13" t="n">
        <f aca="false">C22-C21</f>
        <v>-0.051369966207937</v>
      </c>
      <c r="D50" s="13" t="n">
        <f aca="false">D22-D21</f>
        <v>-0.11095228129157</v>
      </c>
      <c r="E50" s="13" t="n">
        <f aca="false">E22-E21</f>
        <v>-0.153322115977313</v>
      </c>
    </row>
    <row r="51" customFormat="false" ht="12.8" hidden="false" customHeight="false" outlineLevel="0" collapsed="false">
      <c r="A51" s="13" t="n">
        <v>20</v>
      </c>
      <c r="B51" s="13" t="n">
        <f aca="false">B23-B22</f>
        <v>0.103776913122789</v>
      </c>
      <c r="C51" s="13" t="n">
        <f aca="false">C23-C22</f>
        <v>0.165904558405504</v>
      </c>
      <c r="D51" s="13" t="n">
        <f aca="false">D23-D22</f>
        <v>0.288584792507032</v>
      </c>
      <c r="E51" s="13" t="n">
        <f aca="false">E23-E22</f>
        <v>0.267725013698547</v>
      </c>
    </row>
    <row r="52" customFormat="false" ht="12.8" hidden="false" customHeight="false" outlineLevel="0" collapsed="false">
      <c r="A52" s="13" t="n">
        <v>21</v>
      </c>
      <c r="B52" s="13" t="n">
        <f aca="false">B24-B23</f>
        <v>-0.030901263901005</v>
      </c>
      <c r="C52" s="13" t="n">
        <f aca="false">C24-C23</f>
        <v>-0.0439997735685821</v>
      </c>
      <c r="D52" s="13" t="n">
        <f aca="false">D24-D23</f>
        <v>-0.096371059494853</v>
      </c>
      <c r="E52" s="13" t="n">
        <f aca="false">E24-E23</f>
        <v>-0.0673183049242301</v>
      </c>
    </row>
    <row r="53" customFormat="false" ht="12.8" hidden="false" customHeight="false" outlineLevel="0" collapsed="false">
      <c r="A53" s="13" t="n">
        <v>22</v>
      </c>
      <c r="B53" s="13" t="n">
        <f aca="false">B25-B24</f>
        <v>-0.072638860437221</v>
      </c>
      <c r="C53" s="13" t="n">
        <f aca="false">C25-C24</f>
        <v>-0.086629233750977</v>
      </c>
      <c r="D53" s="13" t="n">
        <f aca="false">D25-D24</f>
        <v>-0.00922415009072197</v>
      </c>
      <c r="E53" s="13" t="n">
        <f aca="false">E25-E24</f>
        <v>-0.104175610402112</v>
      </c>
    </row>
    <row r="54" customFormat="false" ht="12.8" hidden="false" customHeight="false" outlineLevel="0" collapsed="false">
      <c r="A54" s="13" t="n">
        <v>23</v>
      </c>
      <c r="B54" s="13" t="n">
        <f aca="false">B26-B25</f>
        <v>0.052398554022714</v>
      </c>
      <c r="C54" s="13" t="n">
        <f aca="false">C26-C25</f>
        <v>0.068556310692882</v>
      </c>
      <c r="D54" s="13" t="n">
        <f aca="false">D26-D25</f>
        <v>-0.00583850385338702</v>
      </c>
      <c r="E54" s="13" t="n">
        <f aca="false">E26-E25</f>
        <v>0.044203447777541</v>
      </c>
    </row>
    <row r="55" customFormat="false" ht="12.8" hidden="false" customHeight="false" outlineLevel="0" collapsed="false">
      <c r="A55" s="13" t="n">
        <v>24</v>
      </c>
      <c r="B55" s="13" t="n">
        <f aca="false">B27-B26</f>
        <v>-0.00478901957616795</v>
      </c>
      <c r="C55" s="13" t="n">
        <f aca="false">C27-C26</f>
        <v>-0.051134697352847</v>
      </c>
      <c r="D55" s="13" t="n">
        <f aca="false">D27-D26</f>
        <v>0.032197853384345</v>
      </c>
      <c r="E55" s="13" t="n">
        <f aca="false">E27-E26</f>
        <v>0.00567549185901695</v>
      </c>
    </row>
    <row r="56" customFormat="false" ht="12.8" hidden="false" customHeight="false" outlineLevel="0" collapsed="false">
      <c r="A56" s="13" t="n">
        <v>25</v>
      </c>
      <c r="B56" s="13" t="n">
        <f aca="false">B28-B27</f>
        <v>-0.035959772716894</v>
      </c>
      <c r="C56" s="13" t="n">
        <f aca="false">C28-C27</f>
        <v>-0.000436196633058938</v>
      </c>
      <c r="D56" s="13" t="n">
        <f aca="false">D28-D27</f>
        <v>-0.09355488502481</v>
      </c>
      <c r="E56" s="13" t="n">
        <f aca="false">E28-E27</f>
        <v>-0.0446738745455639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100</TotalTime>
  <Application>LibreOffice/26.2.2.2$Linux_X86_64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2026-02-11T16:41:08Z</dcterms:created>
  <dc:creator>openpyxl</dc:creator>
  <dc:description/>
  <dc:language>en-US</dc:language>
  <cp:lastModifiedBy/>
  <dcterms:modified xsi:type="dcterms:W3CDTF">2026-04-29T16:23:17Z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
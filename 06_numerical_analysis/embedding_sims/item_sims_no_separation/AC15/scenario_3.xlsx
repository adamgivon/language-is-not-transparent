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en3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td delta(sim)-delta(sim-1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<sst xmlns="http://schemas.openxmlformats.org/spreadsheetml/2006/main" count="999" uniqueCount="148">
  <si>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</si>
  <si>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</si>
  <si>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</si>
  <si>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</si>
  <si>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</si>
  <si>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</si>
  <si>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</si>
  <si>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</si>
  <si>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</si>
  <si>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</si>
  <si>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</si>
  <si>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</si>
  <si>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</si>
  <si>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</si>
  <si>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</si>
  <si>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</si>
  <si>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e864a2c3-fa36-4505-bbfc-3f0075b26c80</t>
  </si>
  <si>
    <t xml:space="preserve">cmjbbv7uv0003zc7qerw712p5</t>
  </si>
  <si>
    <t xml:space="preserve">test_ac15</t>
  </si>
  <si>
    <t xml:space="preserve">scenario_3</t>
  </si>
  <si>
    <t xml:space="preserve">practicality_and_feasibility</t>
  </si>
  <si>
    <t xml:space="preserve">mathematics_computer_science_engineering</t>
  </si>
  <si>
    <t xml:space="preserve">temporal_dynamics</t>
  </si>
  <si>
    <t xml:space="preserve">imagination_and_possibility</t>
  </si>
  <si>
    <t xml:space="preserve">affective_interface</t>
  </si>
  <si>
    <t xml:space="preserve">truth_and_fact</t>
  </si>
  <si>
    <t xml:space="preserve">2751a2fc-17a6-4393-b628-1bce6b19ceb6</t>
  </si>
  <si>
    <t xml:space="preserve">cmjbby05o000ozc7qr3wea0sq</t>
  </si>
  <si>
    <t xml:space="preserve">cmjbbyy2e0015zc7qlof75kam</t>
  </si>
  <si>
    <t xml:space="preserve">science</t>
  </si>
  <si>
    <t xml:space="preserve">metaphorical_scaffolding</t>
  </si>
  <si>
    <t xml:space="preserve">259e10f8-4c48-486b-ae01-fa07996fea30</t>
  </si>
  <si>
    <t xml:space="preserve">cmjbc0ns70019zc7q3rw3sxut</t>
  </si>
  <si>
    <t xml:space="preserve">cmjbc1hkw001qzc7qk967aan4</t>
  </si>
  <si>
    <t xml:space="preserve">dd7eb48c-896e-4400-b732-5252d698ac03</t>
  </si>
  <si>
    <t xml:space="preserve">cmjbc2fix001uzc7qy4qtqn83</t>
  </si>
  <si>
    <t xml:space="preserve">cmjbc3g2n002bzc7qw7g0vulo</t>
  </si>
  <si>
    <t xml:space="preserve">9d758cae-f9c3-43f4-8053-bc33c7e5c6f5</t>
  </si>
  <si>
    <t xml:space="preserve">cmjbc3vs3002fzc7qp4ublb9c</t>
  </si>
  <si>
    <t xml:space="preserve">cmjbc4ovz002wzc7q97b0w3jd</t>
  </si>
  <si>
    <t xml:space="preserve">a259ef5e-5995-424e-8ea2-6dddc9f63488</t>
  </si>
  <si>
    <t xml:space="preserve">cmjbc52a90030zc7qmr1csj8f</t>
  </si>
  <si>
    <t xml:space="preserve">cmjbc5zf8003hzc7qvnxveao0</t>
  </si>
  <si>
    <t xml:space="preserve">sovereignty</t>
  </si>
  <si>
    <t xml:space="preserve">8f9c46bd-d857-416e-b3fd-1bdede88b37b</t>
  </si>
  <si>
    <t xml:space="preserve">cmjbc6em7003lzc7qz5zw68pb</t>
  </si>
  <si>
    <t xml:space="preserve">cmjbc6z0r0042zc7qkpvtdfbm</t>
  </si>
  <si>
    <t xml:space="preserve">54ebba93-5821-4c01-b442-714180dadb01</t>
  </si>
  <si>
    <t xml:space="preserve">cmjbc7cfg0046zc7q814nwizv</t>
  </si>
  <si>
    <t xml:space="preserve">cmjbc7wrh004nzc7qgrq8bt2i</t>
  </si>
  <si>
    <t xml:space="preserve">e44bf527-236e-4086-aa1c-0a10c1ace355</t>
  </si>
  <si>
    <t xml:space="preserve">cmjbc89l3004rzc7qfxxovhov</t>
  </si>
  <si>
    <t xml:space="preserve">cmjbc8p6q0058zc7q66clklgj</t>
  </si>
  <si>
    <t xml:space="preserve">freedom_and_limitations</t>
  </si>
  <si>
    <t xml:space="preserve">electricity</t>
  </si>
  <si>
    <t xml:space="preserve">7b6af12c-1e28-47db-bba8-2f00a3c1e9ba</t>
  </si>
  <si>
    <t xml:space="preserve">cmjbc8yf1005czc7qosy1awvw</t>
  </si>
  <si>
    <t xml:space="preserve">cmjbc9lxc005tzc7qhvzds56j</t>
  </si>
  <si>
    <t xml:space="preserve">dcfe6739-c29f-4b03-8aa8-52686ee237a0</t>
  </si>
  <si>
    <t xml:space="preserve">cmjbcai1b005xzc7q5a1l71x0</t>
  </si>
  <si>
    <t xml:space="preserve">cmjbcb7et006ezc7qy266fnkv</t>
  </si>
  <si>
    <t xml:space="preserve">de08298d-b1dc-45ea-922f-c9be04250203</t>
  </si>
  <si>
    <t xml:space="preserve">cmjbcbjly006izc7qa1ldapzd</t>
  </si>
  <si>
    <t xml:space="preserve">cmjbccek2006zzc7q6e5k5q80</t>
  </si>
  <si>
    <t xml:space="preserve">5a515cff-e42d-4251-ad90-ee99f3f9e91c</t>
  </si>
  <si>
    <t xml:space="preserve">cmjbccy4a0073zc7qkww6upxb</t>
  </si>
  <si>
    <t xml:space="preserve">cmjbcds2m007kzc7qmvwt67ey</t>
  </si>
  <si>
    <t xml:space="preserve">18b862aa-f893-4097-b6fd-28bdfcf45c7d</t>
  </si>
  <si>
    <t xml:space="preserve">cmjbceciy007ozc7qsycbw241</t>
  </si>
  <si>
    <t xml:space="preserve">cmjbcf1150085zc7qrg3jpgue</t>
  </si>
  <si>
    <t xml:space="preserve">87a223db-ee80-4c1a-950d-896640afe1ed</t>
  </si>
  <si>
    <t xml:space="preserve">cmjbcg0lh0089zc7qcwvv2t2q</t>
  </si>
  <si>
    <t xml:space="preserve">cmjbcgeeq008qzc7qs7qqp6y4</t>
  </si>
  <si>
    <t xml:space="preserve">5bd47010-8a24-4549-8b51-4e0c926ef316</t>
  </si>
  <si>
    <t xml:space="preserve">cmjbcgo6u008uzc7q3gdbj5jc</t>
  </si>
  <si>
    <t xml:space="preserve">cmjbchick009bzc7qrokt5x17</t>
  </si>
  <si>
    <t xml:space="preserve">625e30e5-3aa5-4ed0-9233-565638f9423a</t>
  </si>
  <si>
    <t xml:space="preserve">cmjbchx5j009fzc7q3x2kepk0</t>
  </si>
  <si>
    <t xml:space="preserve">cmjbcij9f009wzc7q9xronxa6</t>
  </si>
  <si>
    <t xml:space="preserve">a8a7263d-2143-4f26-8c73-fb2f605ab0f9</t>
  </si>
  <si>
    <t xml:space="preserve">cmjbciumg00a0zc7qe0u9ti1v</t>
  </si>
  <si>
    <t xml:space="preserve">cmjbcjerr00ahzc7qiyy9owxu</t>
  </si>
  <si>
    <t xml:space="preserve">d63d8678-8920-44f3-8c7c-8d0a2c9ecee2</t>
  </si>
  <si>
    <t xml:space="preserve">cmjbck6ot00alzc7qwfqn8njc</t>
  </si>
  <si>
    <t xml:space="preserve">cmjbckv9s00b2zc7q6lv4r8td</t>
  </si>
  <si>
    <t xml:space="preserve">3f1ceefd-a1b4-476e-bc3f-33bd95d0c4eb</t>
  </si>
  <si>
    <t xml:space="preserve">cmjbclkvk00b6zc7qcnk7hred</t>
  </si>
  <si>
    <t xml:space="preserve">cmjbcm73v00bnzc7qahi5h10v</t>
  </si>
  <si>
    <t xml:space="preserve">89160a94-798d-4d27-84d8-eb25e17fcc10</t>
  </si>
  <si>
    <t xml:space="preserve">cmjbcmoi500brzc7q0r21ddn7</t>
  </si>
  <si>
    <t xml:space="preserve">cmjbcnh1m00c8zc7q46rjre0o</t>
  </si>
  <si>
    <t xml:space="preserve">c6fc195a-b593-4c82-86ab-73532c414589</t>
  </si>
  <si>
    <t xml:space="preserve">cmjbcoakn00cczc7quceg3dh3</t>
  </si>
  <si>
    <t xml:space="preserve">cmjbcov8000ctzc7qz8q9bzbz</t>
  </si>
  <si>
    <t xml:space="preserve">3e2d9e03-af72-44f5-b569-cbbb62a8c296</t>
  </si>
  <si>
    <t xml:space="preserve">cmjbcq0qv00cxzc7q5yk2jjxl</t>
  </si>
  <si>
    <t xml:space="preserve">cmjbcqmhu00dezc7qpvxj2jw2</t>
  </si>
  <si>
    <t xml:space="preserve">0bbb0870-ff0e-4138-98ff-b021845a6d24</t>
  </si>
  <si>
    <t xml:space="preserve">cmjbcrghk00dizc7qrul0eck9</t>
  </si>
  <si>
    <t xml:space="preserve">cmjbcs1hs00dzzc7qpj5pk0zn</t>
  </si>
  <si>
    <t xml:space="preserve">fb474895-4d08-4190-9f42-312d96c02e14</t>
  </si>
  <si>
    <t xml:space="preserve">cmjbcsxz500e3zc7q24kn3s2a</t>
  </si>
  <si>
    <t xml:space="preserve">cmjbctdi200ekzc7qfelm64b8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</si>
  <si>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</si>
  <si>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</si>
  <si>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</si>
  <si>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</si>
  <si>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</si>
  <si>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</si>
  <si>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</si>
  <si>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</si>
  <si>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std.ac15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</si>
  <si>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</si>
  <si>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</si>
  <si>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</si>
  <si>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</si>
  <si>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</si>
  <si>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</si>
  <si>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</si>
  <si>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</si>
  <si>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</si>
  <si>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</si>
  <si>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</si>
  <si>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</si>
  <si>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</si>
  <si>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</si>
  <si>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</si>
  <si>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</si>
  <si>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</si>
  <si>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</si>
  <si>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</si>
  <si>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</si>
  <si>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</si>
  <si>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</si>
  <si>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</si>
  <si>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</si>
  <si>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</si>
  <si>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</si>
  <si>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</si>
  <si>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</si>
  <si>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</si>
  <si>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</si>
  <si>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</si>
  <si>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</si>
  <si>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Graphs</t>
  </si>
  <si>
    <t xml:space="preserve">Column 5</t>
  </si>
  <si>
    <t xml:space="preserve">deltas:</t>
  </si>
  <si>
    <t xml:space="preserve">stdev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</si>
</sst>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0.81564959143364</c:v>
                </c:pt>
                <c:pt idx="1">
                  <c:v>0.67540263000882</c:v>
                </c:pt>
                <c:pt idx="2">
                  <c:v>0.657949061396672</c:v>
                </c:pt>
                <c:pt idx="3">
                  <c:v>0.595152958150236</c:v>
                </c:pt>
                <c:pt idx="4">
                  <c:v>0.541278025353781</c:v>
                </c:pt>
                <c:pt idx="5">
                  <c:v>0.694560494716742</c:v>
                </c:pt>
                <c:pt idx="6">
                  <c:v>0.821209740996496</c:v>
                </c:pt>
                <c:pt idx="7">
                  <c:v>0.827246504211718</c:v>
                </c:pt>
                <c:pt idx="8">
                  <c:v>0.676694313663238</c:v>
                </c:pt>
                <c:pt idx="9">
                  <c:v>0.611313272409236</c:v>
                </c:pt>
                <c:pt idx="10">
                  <c:v>0.746560934334395</c:v>
                </c:pt>
                <c:pt idx="11">
                  <c:v>0.708796841206483</c:v>
                </c:pt>
                <c:pt idx="12">
                  <c:v>0.728278817795678</c:v>
                </c:pt>
                <c:pt idx="13">
                  <c:v>0.765518878356676</c:v>
                </c:pt>
                <c:pt idx="14">
                  <c:v>0.814180995864153</c:v>
                </c:pt>
                <c:pt idx="15">
                  <c:v>0.711762183520106</c:v>
                </c:pt>
                <c:pt idx="16">
                  <c:v>0.766589952746506</c:v>
                </c:pt>
                <c:pt idx="17">
                  <c:v>0.744973965638361</c:v>
                </c:pt>
                <c:pt idx="18">
                  <c:v>0.80774841591924</c:v>
                </c:pt>
                <c:pt idx="19">
                  <c:v>0.669660142744409</c:v>
                </c:pt>
                <c:pt idx="20">
                  <c:v>0.646445134849864</c:v>
                </c:pt>
                <c:pt idx="21">
                  <c:v>0.690845639182806</c:v>
                </c:pt>
                <c:pt idx="22">
                  <c:v>0.705992721957315</c:v>
                </c:pt>
                <c:pt idx="23">
                  <c:v>0.72779628492836</c:v>
                </c:pt>
                <c:pt idx="24">
                  <c:v>0.73243468122275</c:v>
                </c:pt>
              </c:numCache>
            </c:numRef>
          </c:yVal>
          <c:smooth val="0"/>
        </c:ser>
        <c:axId val="34243806"/>
        <c:axId val="86003417"/>
      </c:scatterChart>
      <c:valAx>
        <c:axId val="342438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003417"/>
        <c:crosses val="autoZero"/>
        <c:crossBetween val="midCat"/>
      </c:valAx>
      <c:valAx>
        <c:axId val="860034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2438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inter_system_stats!$B$64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inter_system_stats!$A$65:$A$88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inter_system_stats!$B$65:$B$88</c:f>
              <c:numCache>
                <c:formatCode>General</c:formatCode>
                <c:ptCount val="24"/>
                <c:pt idx="0">
                  <c:v>0.816612774002254</c:v>
                </c:pt>
                <c:pt idx="1">
                  <c:v>0.685603988915714</c:v>
                </c:pt>
                <c:pt idx="2">
                  <c:v>0.692192998668189</c:v>
                </c:pt>
                <c:pt idx="3">
                  <c:v>0.631090165894541</c:v>
                </c:pt>
                <c:pt idx="4">
                  <c:v>0.594608889064775</c:v>
                </c:pt>
                <c:pt idx="5">
                  <c:v>0.67289207367249</c:v>
                </c:pt>
                <c:pt idx="6">
                  <c:v>0.815471874765396</c:v>
                </c:pt>
                <c:pt idx="7">
                  <c:v>0.777361261632441</c:v>
                </c:pt>
                <c:pt idx="8">
                  <c:v>0.692246291421963</c:v>
                </c:pt>
                <c:pt idx="9">
                  <c:v>0.615841349915757</c:v>
                </c:pt>
                <c:pt idx="10">
                  <c:v>0.775302494128078</c:v>
                </c:pt>
                <c:pt idx="11">
                  <c:v>0.745549821920152</c:v>
                </c:pt>
                <c:pt idx="12">
                  <c:v>0.675936476989854</c:v>
                </c:pt>
                <c:pt idx="13">
                  <c:v>0.797455345493423</c:v>
                </c:pt>
                <c:pt idx="14">
                  <c:v>0.831683746706372</c:v>
                </c:pt>
                <c:pt idx="15">
                  <c:v>0.665915062167674</c:v>
                </c:pt>
                <c:pt idx="16">
                  <c:v>0.808465032172267</c:v>
                </c:pt>
                <c:pt idx="17">
                  <c:v>0.702923330052347</c:v>
                </c:pt>
                <c:pt idx="18">
                  <c:v>0.833849291363568</c:v>
                </c:pt>
                <c:pt idx="19">
                  <c:v>0.790624245512354</c:v>
                </c:pt>
                <c:pt idx="20">
                  <c:v>0.730617364036752</c:v>
                </c:pt>
                <c:pt idx="21">
                  <c:v>0.765208060825559</c:v>
                </c:pt>
                <c:pt idx="22">
                  <c:v>0.717035427894149</c:v>
                </c:pt>
                <c:pt idx="23">
                  <c:v>0.730354595976365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inter_system_stats!$C$64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inter_system_stats!$A$65:$A$88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inter_system_stats!$C$65:$C$88</c:f>
              <c:numCache>
                <c:formatCode>General</c:formatCode>
                <c:ptCount val="24"/>
                <c:pt idx="0">
                  <c:v>0.815772031466282</c:v>
                </c:pt>
                <c:pt idx="1">
                  <c:v>0.690178981295079</c:v>
                </c:pt>
                <c:pt idx="2">
                  <c:v>0.678236595135105</c:v>
                </c:pt>
                <c:pt idx="3">
                  <c:v>0.599753209767944</c:v>
                </c:pt>
                <c:pt idx="4">
                  <c:v>0.571410730397255</c:v>
                </c:pt>
                <c:pt idx="5">
                  <c:v>0.665331994991001</c:v>
                </c:pt>
                <c:pt idx="6">
                  <c:v>0.834581956795994</c:v>
                </c:pt>
                <c:pt idx="7">
                  <c:v>0.727191552934014</c:v>
                </c:pt>
                <c:pt idx="8">
                  <c:v>0.69768144989318</c:v>
                </c:pt>
                <c:pt idx="9">
                  <c:v>0.619580092617654</c:v>
                </c:pt>
                <c:pt idx="10">
                  <c:v>0.774921176890618</c:v>
                </c:pt>
                <c:pt idx="11">
                  <c:v>0.753553709109679</c:v>
                </c:pt>
                <c:pt idx="12">
                  <c:v>0.672563929439104</c:v>
                </c:pt>
                <c:pt idx="13">
                  <c:v>0.793428445401866</c:v>
                </c:pt>
                <c:pt idx="14">
                  <c:v>0.822215644660448</c:v>
                </c:pt>
                <c:pt idx="15">
                  <c:v>0.635332717811399</c:v>
                </c:pt>
                <c:pt idx="16">
                  <c:v>0.793594653760174</c:v>
                </c:pt>
                <c:pt idx="17">
                  <c:v>0.704871448301166</c:v>
                </c:pt>
                <c:pt idx="18">
                  <c:v>0.807380134018013</c:v>
                </c:pt>
                <c:pt idx="19">
                  <c:v>0.685839894231455</c:v>
                </c:pt>
                <c:pt idx="20">
                  <c:v>0.744532936686859</c:v>
                </c:pt>
                <c:pt idx="21">
                  <c:v>0.793440478998772</c:v>
                </c:pt>
                <c:pt idx="22">
                  <c:v>0.707901607946691</c:v>
                </c:pt>
                <c:pt idx="23">
                  <c:v>0.737835538427487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inter_system_stats!$D$64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inter_system_stats!$A$65:$A$88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inter_system_stats!$D$65:$D$88</c:f>
              <c:numCache>
                <c:formatCode>General</c:formatCode>
                <c:ptCount val="24"/>
                <c:pt idx="0">
                  <c:v>0.807629702855429</c:v>
                </c:pt>
                <c:pt idx="1">
                  <c:v>0.738908432891206</c:v>
                </c:pt>
                <c:pt idx="2">
                  <c:v>0.666482514394955</c:v>
                </c:pt>
                <c:pt idx="3">
                  <c:v>0.617232795834209</c:v>
                </c:pt>
                <c:pt idx="4">
                  <c:v>0.610425455654317</c:v>
                </c:pt>
                <c:pt idx="5">
                  <c:v>0.703303990628902</c:v>
                </c:pt>
                <c:pt idx="6">
                  <c:v>0.817692017265563</c:v>
                </c:pt>
                <c:pt idx="7">
                  <c:v>0.762019495081594</c:v>
                </c:pt>
                <c:pt idx="8">
                  <c:v>0.642354213368125</c:v>
                </c:pt>
                <c:pt idx="9">
                  <c:v>0.622913061011376</c:v>
                </c:pt>
                <c:pt idx="10">
                  <c:v>0.771127559172673</c:v>
                </c:pt>
                <c:pt idx="11">
                  <c:v>0.755700494821908</c:v>
                </c:pt>
                <c:pt idx="12">
                  <c:v>0.652206493784056</c:v>
                </c:pt>
                <c:pt idx="13">
                  <c:v>0.774203318401695</c:v>
                </c:pt>
                <c:pt idx="14">
                  <c:v>0.809939048024508</c:v>
                </c:pt>
                <c:pt idx="15">
                  <c:v>0.650131632080799</c:v>
                </c:pt>
                <c:pt idx="16">
                  <c:v>0.797189081830377</c:v>
                </c:pt>
                <c:pt idx="17">
                  <c:v>0.729185376832561</c:v>
                </c:pt>
                <c:pt idx="18">
                  <c:v>0.814317443577555</c:v>
                </c:pt>
                <c:pt idx="19">
                  <c:v>0.726210867823374</c:v>
                </c:pt>
                <c:pt idx="20">
                  <c:v>0.729028212060252</c:v>
                </c:pt>
                <c:pt idx="21">
                  <c:v>0.726360545777343</c:v>
                </c:pt>
                <c:pt idx="22">
                  <c:v>0.697993411397489</c:v>
                </c:pt>
                <c:pt idx="23">
                  <c:v>0.737397050320407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inter_system_stats!$E$64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inter_system_stats!$A$65:$A$88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inter_system_stats!$E$65:$E$88</c:f>
              <c:numCache>
                <c:formatCode>General</c:formatCode>
                <c:ptCount val="24"/>
                <c:pt idx="0">
                  <c:v>0.81564959143364</c:v>
                </c:pt>
                <c:pt idx="1">
                  <c:v>0.67540263000882</c:v>
                </c:pt>
                <c:pt idx="2">
                  <c:v>0.657949061396672</c:v>
                </c:pt>
                <c:pt idx="3">
                  <c:v>0.595152958150236</c:v>
                </c:pt>
                <c:pt idx="4">
                  <c:v>0.541278025353781</c:v>
                </c:pt>
                <c:pt idx="5">
                  <c:v>0.694560494716742</c:v>
                </c:pt>
                <c:pt idx="6">
                  <c:v>0.821209740996496</c:v>
                </c:pt>
                <c:pt idx="7">
                  <c:v>0.827246504211718</c:v>
                </c:pt>
                <c:pt idx="8">
                  <c:v>0.676694313663238</c:v>
                </c:pt>
                <c:pt idx="9">
                  <c:v>0.611313272409236</c:v>
                </c:pt>
                <c:pt idx="10">
                  <c:v>0.746560934334395</c:v>
                </c:pt>
                <c:pt idx="11">
                  <c:v>0.708796841206483</c:v>
                </c:pt>
                <c:pt idx="12">
                  <c:v>0.728278817795678</c:v>
                </c:pt>
                <c:pt idx="13">
                  <c:v>0.765518878356676</c:v>
                </c:pt>
                <c:pt idx="14">
                  <c:v>0.814180995864153</c:v>
                </c:pt>
                <c:pt idx="15">
                  <c:v>0.711762183520106</c:v>
                </c:pt>
                <c:pt idx="16">
                  <c:v>0.766589952746506</c:v>
                </c:pt>
                <c:pt idx="17">
                  <c:v>0.744973965638361</c:v>
                </c:pt>
                <c:pt idx="18">
                  <c:v>0.80774841591924</c:v>
                </c:pt>
                <c:pt idx="19">
                  <c:v>0.669660142744409</c:v>
                </c:pt>
                <c:pt idx="20">
                  <c:v>0.646445134849864</c:v>
                </c:pt>
                <c:pt idx="21">
                  <c:v>0.690845639182806</c:v>
                </c:pt>
                <c:pt idx="22">
                  <c:v>0.705992721957315</c:v>
                </c:pt>
                <c:pt idx="23">
                  <c:v>0.72779628492836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inter_system_stats!$F$64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inter_system_stats!$A$65:$A$88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inter_system_stats!$F$65:$F$88</c:f>
              <c:numCache>
                <c:formatCode>General</c:formatCode>
                <c:ptCount val="24"/>
                <c:pt idx="0">
                  <c:v>0.812375866700629</c:v>
                </c:pt>
                <c:pt idx="1">
                  <c:v>0.621326054028327</c:v>
                </c:pt>
                <c:pt idx="2">
                  <c:v>0.681899333424152</c:v>
                </c:pt>
                <c:pt idx="3">
                  <c:v>0.674771839496378</c:v>
                </c:pt>
                <c:pt idx="4">
                  <c:v>0.51803751024012</c:v>
                </c:pt>
                <c:pt idx="5">
                  <c:v>0.606253624859241</c:v>
                </c:pt>
                <c:pt idx="6">
                  <c:v>0.602791213061993</c:v>
                </c:pt>
                <c:pt idx="7">
                  <c:v>0.542603699900357</c:v>
                </c:pt>
                <c:pt idx="8">
                  <c:v>0.652419536797036</c:v>
                </c:pt>
                <c:pt idx="9">
                  <c:v>0.450905597774938</c:v>
                </c:pt>
                <c:pt idx="10">
                  <c:v>0.546133776873995</c:v>
                </c:pt>
                <c:pt idx="11">
                  <c:v>0.665778032490698</c:v>
                </c:pt>
                <c:pt idx="12">
                  <c:v>0.570178682607378</c:v>
                </c:pt>
                <c:pt idx="13">
                  <c:v>0.63671805888081</c:v>
                </c:pt>
                <c:pt idx="14">
                  <c:v>0.686211801872884</c:v>
                </c:pt>
                <c:pt idx="15">
                  <c:v>0.528746891036281</c:v>
                </c:pt>
                <c:pt idx="16">
                  <c:v>0.550793523290854</c:v>
                </c:pt>
                <c:pt idx="17">
                  <c:v>0.573839583361676</c:v>
                </c:pt>
                <c:pt idx="18">
                  <c:v>0.638711323785104</c:v>
                </c:pt>
                <c:pt idx="19">
                  <c:v>0.597975746643383</c:v>
                </c:pt>
                <c:pt idx="20">
                  <c:v>0.620579654001758</c:v>
                </c:pt>
                <c:pt idx="21">
                  <c:v>0.582519361253929</c:v>
                </c:pt>
                <c:pt idx="22">
                  <c:v>0.405468497903575</c:v>
                </c:pt>
                <c:pt idx="23">
                  <c:v>0.631758292696521</c:v>
                </c:pt>
              </c:numCache>
            </c:numRef>
          </c:yVal>
          <c:smooth val="0"/>
        </c:ser>
        <c:axId val="42693375"/>
        <c:axId val="42917822"/>
      </c:scatterChart>
      <c:valAx>
        <c:axId val="4269337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2917822"/>
        <c:crosses val="autoZero"/>
        <c:crossBetween val="midCat"/>
      </c:valAx>
      <c:valAx>
        <c:axId val="429178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26933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716760</xdr:colOff>
      <xdr:row>3</xdr:row>
      <xdr:rowOff>49680</xdr:rowOff>
    </xdr:from>
    <xdr:to>
      <xdr:col>11</xdr:col>
      <xdr:colOff>9360</xdr:colOff>
      <xdr:row>23</xdr:row>
      <xdr:rowOff>37800</xdr:rowOff>
    </xdr:to>
    <xdr:graphicFrame>
      <xdr:nvGraphicFramePr>
        <xdr:cNvPr id="1" name=""/>
        <xdr:cNvGraphicFramePr/>
      </xdr:nvGraphicFramePr>
      <xdr:xfrm>
        <a:off x="3075120" y="537480"/>
        <a:ext cx="503820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323640</xdr:colOff>
      <xdr:row>60</xdr:row>
      <xdr:rowOff>77400</xdr:rowOff>
    </xdr:from>
    <xdr:to>
      <xdr:col>11</xdr:col>
      <xdr:colOff>535680</xdr:colOff>
      <xdr:row>80</xdr:row>
      <xdr:rowOff>68760</xdr:rowOff>
    </xdr:to>
    <xdr:graphicFrame>
      <xdr:nvGraphicFramePr>
        <xdr:cNvPr id="2" name=""/>
        <xdr:cNvGraphicFramePr/>
      </xdr:nvGraphicFramePr>
      <xdr:xfrm>
        <a:off x="7801920" y="9830880"/>
        <a:ext cx="510624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O2" activeCellId="1" sqref="I32:K32 O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5.06"/>
    <col collapsed="false" customWidth="true" hidden="false" outlineLevel="0" max="5" min="5" style="2" width="15.48"/>
    <col collapsed="false" customWidth="false" hidden="false" outlineLevel="0" max="6" min="6" style="1" width="10.5"/>
    <col collapsed="false" customWidth="true" hidden="false" outlineLevel="0" max="7" min="7" style="2" width="48.16"/>
    <col collapsed="false" customWidth="true" hidden="false" outlineLevel="0" max="8" min="8" style="1" width="9.05"/>
    <col collapsed="false" customWidth="true" hidden="false" outlineLevel="0" max="10" min="9" style="1" width="23.88"/>
    <col collapsed="false" customWidth="true" hidden="false" outlineLevel="0" max="11" min="11" style="1" width="27.33"/>
    <col collapsed="false" customWidth="true" hidden="false" outlineLevel="0" max="12" min="12" style="1" width="23.88"/>
    <col collapsed="false" customWidth="false" hidden="false" outlineLevel="0" max="13" min="13" style="1" width="10.5"/>
    <col collapsed="false" customWidth="true" hidden="false" outlineLevel="0" max="15" min="15" style="3" width="23.88"/>
    <col collapsed="false" customWidth="true" hidden="false" outlineLevel="0" max="17" min="17" style="3" width="25.98"/>
    <col collapsed="false" customWidth="true" hidden="false" outlineLevel="0" max="18" min="18" style="3" width="18.93"/>
  </cols>
  <sheetData>
    <row r="1" customFormat="false" ht="19.4" hidden="false" customHeight="false" outlineLevel="0" collapsed="false">
      <c r="A1" s="3" t="s">
        <v>0</v>
      </c>
      <c r="B1" s="3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4" t="s">
        <v>12</v>
      </c>
      <c r="P1" s="4" t="s">
        <v>13</v>
      </c>
      <c r="Q1" s="4" t="s">
        <v>14</v>
      </c>
      <c r="R1" s="5" t="s">
        <v>15</v>
      </c>
    </row>
    <row r="2" customFormat="false" ht="15" hidden="false" customHeight="false" outlineLevel="0" collapsed="false">
      <c r="A2" s="3"/>
      <c r="B2" s="3"/>
      <c r="C2" s="3"/>
      <c r="O2" s="4" t="n">
        <f aca="false">AVERAGE(K3:K152)</f>
        <v>0.0568104711368445</v>
      </c>
      <c r="P2" s="1" t="n">
        <f aca="false">COUNT(K3:K152)</f>
        <v>150</v>
      </c>
      <c r="Q2" s="1" t="n">
        <f aca="false">CORREL(H3:H152,K3:K152)</f>
        <v>-0.0470145114528607</v>
      </c>
      <c r="R2" s="1" t="n">
        <v>0.567791571563431</v>
      </c>
    </row>
    <row r="3" customFormat="false" ht="15" hidden="false" customHeight="false" outlineLevel="0" collapsed="false">
      <c r="A3" s="3"/>
      <c r="B3" s="3" t="s">
        <v>16</v>
      </c>
      <c r="C3" s="3" t="s">
        <v>17</v>
      </c>
      <c r="D3" s="6" t="s">
        <v>18</v>
      </c>
      <c r="E3" s="3" t="s">
        <v>19</v>
      </c>
      <c r="F3" s="6" t="n">
        <v>0</v>
      </c>
      <c r="G3" s="3" t="s">
        <v>20</v>
      </c>
      <c r="H3" s="6" t="n">
        <v>0.1989</v>
      </c>
      <c r="I3" s="6" t="n">
        <v>0.343324647046507</v>
      </c>
      <c r="J3" s="6" t="n">
        <v>0.439968162125195</v>
      </c>
      <c r="K3" s="1" t="n">
        <f aca="false">J3-I3</f>
        <v>0.096643515078688</v>
      </c>
      <c r="L3" s="6" t="n">
        <v>0.81564959143364</v>
      </c>
      <c r="O3" s="4"/>
      <c r="P3" s="4"/>
      <c r="Q3" s="4"/>
      <c r="R3" s="5"/>
    </row>
    <row r="4" customFormat="false" ht="15" hidden="false" customHeight="false" outlineLevel="0" collapsed="false">
      <c r="A4" s="3"/>
      <c r="B4" s="3" t="s">
        <v>16</v>
      </c>
      <c r="C4" s="3" t="s">
        <v>17</v>
      </c>
      <c r="D4" s="6" t="s">
        <v>18</v>
      </c>
      <c r="E4" s="3" t="s">
        <v>19</v>
      </c>
      <c r="F4" s="6" t="n">
        <v>0</v>
      </c>
      <c r="G4" s="3" t="s">
        <v>21</v>
      </c>
      <c r="H4" s="6" t="n">
        <v>0.1977</v>
      </c>
      <c r="I4" s="6" t="n">
        <v>0.341211551323024</v>
      </c>
      <c r="J4" s="6" t="n">
        <v>0.404158355951073</v>
      </c>
      <c r="K4" s="1" t="n">
        <f aca="false">J4-I4</f>
        <v>0.062946804628049</v>
      </c>
      <c r="L4" s="6" t="n">
        <v>0.81564959143364</v>
      </c>
      <c r="O4" s="4"/>
      <c r="P4" s="4"/>
      <c r="Q4" s="4"/>
      <c r="R4" s="5"/>
    </row>
    <row r="5" customFormat="false" ht="15" hidden="false" customHeight="false" outlineLevel="0" collapsed="false">
      <c r="A5" s="3"/>
      <c r="B5" s="3" t="s">
        <v>16</v>
      </c>
      <c r="C5" s="3" t="s">
        <v>17</v>
      </c>
      <c r="D5" s="6" t="s">
        <v>18</v>
      </c>
      <c r="E5" s="3" t="s">
        <v>19</v>
      </c>
      <c r="F5" s="6" t="n">
        <v>0</v>
      </c>
      <c r="G5" s="3" t="s">
        <v>22</v>
      </c>
      <c r="H5" s="6" t="n">
        <v>0.1803</v>
      </c>
      <c r="I5" s="6" t="n">
        <v>0.311290790822335</v>
      </c>
      <c r="J5" s="6" t="n">
        <v>0.363178493326686</v>
      </c>
      <c r="K5" s="1" t="n">
        <f aca="false">J5-I5</f>
        <v>0.051887702504351</v>
      </c>
      <c r="L5" s="6" t="n">
        <v>0.81564959143364</v>
      </c>
      <c r="O5" s="4"/>
      <c r="P5" s="4"/>
      <c r="Q5" s="4"/>
      <c r="R5" s="5"/>
    </row>
    <row r="6" customFormat="false" ht="15" hidden="false" customHeight="false" outlineLevel="0" collapsed="false">
      <c r="A6" s="3"/>
      <c r="B6" s="3" t="s">
        <v>16</v>
      </c>
      <c r="C6" s="3" t="s">
        <v>17</v>
      </c>
      <c r="D6" s="6" t="s">
        <v>18</v>
      </c>
      <c r="E6" s="3" t="s">
        <v>19</v>
      </c>
      <c r="F6" s="6" t="n">
        <v>0</v>
      </c>
      <c r="G6" s="3" t="s">
        <v>23</v>
      </c>
      <c r="H6" s="6" t="n">
        <v>0.1617</v>
      </c>
      <c r="I6" s="6" t="n">
        <v>0.27913599839263</v>
      </c>
      <c r="J6" s="6" t="n">
        <v>0.37606086008249</v>
      </c>
      <c r="K6" s="1" t="n">
        <f aca="false">J6-I6</f>
        <v>0.09692486168986</v>
      </c>
      <c r="L6" s="6" t="n">
        <v>0.81564959143364</v>
      </c>
      <c r="O6" s="4"/>
      <c r="P6" s="4"/>
      <c r="Q6" s="4"/>
      <c r="R6" s="5"/>
    </row>
    <row r="7" customFormat="false" ht="15" hidden="false" customHeight="false" outlineLevel="0" collapsed="false">
      <c r="A7" s="3"/>
      <c r="B7" s="3" t="s">
        <v>16</v>
      </c>
      <c r="C7" s="3" t="s">
        <v>17</v>
      </c>
      <c r="D7" s="6" t="s">
        <v>18</v>
      </c>
      <c r="E7" s="3" t="s">
        <v>19</v>
      </c>
      <c r="F7" s="6" t="n">
        <v>0</v>
      </c>
      <c r="G7" s="3" t="s">
        <v>24</v>
      </c>
      <c r="H7" s="6" t="n">
        <v>0.1614</v>
      </c>
      <c r="I7" s="6" t="n">
        <v>0.278638068521392</v>
      </c>
      <c r="J7" s="6" t="n">
        <v>0.371899124405463</v>
      </c>
      <c r="K7" s="1" t="n">
        <f aca="false">J7-I7</f>
        <v>0.093261055884071</v>
      </c>
      <c r="L7" s="6" t="n">
        <v>0.81564959143364</v>
      </c>
      <c r="O7" s="4"/>
      <c r="P7" s="4"/>
      <c r="Q7" s="4"/>
      <c r="R7" s="5"/>
    </row>
    <row r="8" customFormat="false" ht="15" hidden="false" customHeight="false" outlineLevel="0" collapsed="false">
      <c r="A8" s="3"/>
      <c r="B8" s="3" t="s">
        <v>16</v>
      </c>
      <c r="C8" s="3" t="s">
        <v>17</v>
      </c>
      <c r="D8" s="6" t="s">
        <v>18</v>
      </c>
      <c r="E8" s="3" t="s">
        <v>19</v>
      </c>
      <c r="F8" s="6" t="n">
        <v>0</v>
      </c>
      <c r="G8" s="3" t="s">
        <v>25</v>
      </c>
      <c r="H8" s="6" t="n">
        <v>0.1</v>
      </c>
      <c r="I8" s="6" t="n">
        <v>0.23870068374056</v>
      </c>
      <c r="J8" s="6" t="n">
        <v>0.363403043006283</v>
      </c>
      <c r="K8" s="1" t="n">
        <f aca="false">J8-I8</f>
        <v>0.124702359265723</v>
      </c>
      <c r="L8" s="6" t="n">
        <v>0.81564959143364</v>
      </c>
      <c r="O8" s="4"/>
      <c r="P8" s="4"/>
      <c r="Q8" s="4"/>
      <c r="R8" s="5"/>
    </row>
    <row r="9" customFormat="false" ht="15" hidden="false" customHeight="false" outlineLevel="0" collapsed="false">
      <c r="A9" s="3" t="s">
        <v>26</v>
      </c>
      <c r="B9" s="3" t="s">
        <v>27</v>
      </c>
      <c r="C9" s="3" t="s">
        <v>28</v>
      </c>
      <c r="D9" s="1" t="s">
        <v>18</v>
      </c>
      <c r="E9" s="2" t="s">
        <v>19</v>
      </c>
      <c r="F9" s="1" t="n">
        <v>2</v>
      </c>
      <c r="G9" s="2" t="s">
        <v>20</v>
      </c>
      <c r="H9" s="1" t="n">
        <v>0.2127</v>
      </c>
      <c r="I9" s="1" t="n">
        <v>0.408659351502412</v>
      </c>
      <c r="J9" s="1" t="n">
        <v>0.447020896996482</v>
      </c>
      <c r="K9" s="1" t="n">
        <f aca="false">J9-I9</f>
        <v>0.03836154549407</v>
      </c>
      <c r="L9" s="1" t="n">
        <v>0.67540263000882</v>
      </c>
      <c r="O9" s="1"/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28</v>
      </c>
      <c r="D10" s="1" t="s">
        <v>18</v>
      </c>
      <c r="E10" s="2" t="s">
        <v>19</v>
      </c>
      <c r="F10" s="1" t="n">
        <v>2</v>
      </c>
      <c r="G10" s="2" t="s">
        <v>21</v>
      </c>
      <c r="H10" s="1" t="n">
        <v>0.2017</v>
      </c>
      <c r="I10" s="1" t="n">
        <v>0.387441804896834</v>
      </c>
      <c r="J10" s="1" t="n">
        <v>0.433317895525617</v>
      </c>
      <c r="K10" s="1" t="n">
        <f aca="false">J10-I10</f>
        <v>0.045876090628783</v>
      </c>
      <c r="L10" s="1" t="n">
        <v>0.67540263000882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28</v>
      </c>
      <c r="D11" s="1" t="s">
        <v>18</v>
      </c>
      <c r="E11" s="2" t="s">
        <v>19</v>
      </c>
      <c r="F11" s="1" t="n">
        <v>2</v>
      </c>
      <c r="G11" s="2" t="s">
        <v>29</v>
      </c>
      <c r="H11" s="1" t="n">
        <v>0.1723</v>
      </c>
      <c r="I11" s="1" t="n">
        <v>0.331048705119663</v>
      </c>
      <c r="J11" s="1" t="n">
        <v>0.435694947883766</v>
      </c>
      <c r="K11" s="1" t="n">
        <f aca="false">J11-I11</f>
        <v>0.104646242764103</v>
      </c>
      <c r="L11" s="1" t="n">
        <v>0.67540263000882</v>
      </c>
    </row>
    <row r="12" customFormat="false" ht="15" hidden="false" customHeight="false" outlineLevel="0" collapsed="false">
      <c r="A12" s="3" t="s">
        <v>26</v>
      </c>
      <c r="B12" s="3" t="s">
        <v>27</v>
      </c>
      <c r="C12" s="3" t="s">
        <v>28</v>
      </c>
      <c r="D12" s="1" t="s">
        <v>18</v>
      </c>
      <c r="E12" s="2" t="s">
        <v>19</v>
      </c>
      <c r="F12" s="1" t="n">
        <v>2</v>
      </c>
      <c r="G12" s="2" t="s">
        <v>30</v>
      </c>
      <c r="H12" s="1" t="n">
        <v>0.1583</v>
      </c>
      <c r="I12" s="1" t="n">
        <v>0.304070368295714</v>
      </c>
      <c r="J12" s="1" t="n">
        <v>0.377370095915522</v>
      </c>
      <c r="K12" s="1" t="n">
        <f aca="false">J12-I12</f>
        <v>0.073299727619808</v>
      </c>
      <c r="L12" s="1" t="n">
        <v>0.67540263000882</v>
      </c>
    </row>
    <row r="13" customFormat="false" ht="15" hidden="false" customHeight="false" outlineLevel="0" collapsed="false">
      <c r="A13" s="3" t="s">
        <v>26</v>
      </c>
      <c r="B13" s="3" t="s">
        <v>27</v>
      </c>
      <c r="C13" s="3" t="s">
        <v>28</v>
      </c>
      <c r="D13" s="1" t="s">
        <v>18</v>
      </c>
      <c r="E13" s="2" t="s">
        <v>19</v>
      </c>
      <c r="F13" s="1" t="n">
        <v>2</v>
      </c>
      <c r="G13" s="2" t="s">
        <v>22</v>
      </c>
      <c r="H13" s="1" t="n">
        <v>0.1551</v>
      </c>
      <c r="I13" s="1" t="n">
        <v>0.297908927032906</v>
      </c>
      <c r="J13" s="1" t="n">
        <v>0.329428395505295</v>
      </c>
      <c r="K13" s="1" t="n">
        <f aca="false">J13-I13</f>
        <v>0.031519468472389</v>
      </c>
      <c r="L13" s="1" t="n">
        <v>0.67540263000882</v>
      </c>
    </row>
    <row r="14" customFormat="false" ht="15" hidden="false" customHeight="false" outlineLevel="0" collapsed="false">
      <c r="A14" s="3" t="s">
        <v>26</v>
      </c>
      <c r="B14" s="3" t="s">
        <v>27</v>
      </c>
      <c r="C14" s="3" t="s">
        <v>28</v>
      </c>
      <c r="D14" s="1" t="s">
        <v>18</v>
      </c>
      <c r="E14" s="2" t="s">
        <v>19</v>
      </c>
      <c r="F14" s="1" t="n">
        <v>2</v>
      </c>
      <c r="G14" s="2" t="s">
        <v>25</v>
      </c>
      <c r="H14" s="1" t="n">
        <v>0.1</v>
      </c>
      <c r="I14" s="1" t="n">
        <v>0.286340466396601</v>
      </c>
      <c r="J14" s="1" t="n">
        <v>0.374301718033621</v>
      </c>
      <c r="K14" s="1" t="n">
        <f aca="false">J14-I14</f>
        <v>0.08796125163702</v>
      </c>
      <c r="L14" s="1" t="n">
        <v>0.67540263000882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3" t="s">
        <v>33</v>
      </c>
      <c r="D15" s="1" t="s">
        <v>18</v>
      </c>
      <c r="E15" s="2" t="s">
        <v>19</v>
      </c>
      <c r="F15" s="1" t="n">
        <v>4</v>
      </c>
      <c r="G15" s="2" t="s">
        <v>20</v>
      </c>
      <c r="H15" s="1" t="n">
        <v>0.1924</v>
      </c>
      <c r="I15" s="1" t="n">
        <v>0.338720767543974</v>
      </c>
      <c r="J15" s="1" t="n">
        <v>0.390525337455624</v>
      </c>
      <c r="K15" s="1" t="n">
        <f aca="false">J15-I15</f>
        <v>0.05180456991165</v>
      </c>
      <c r="L15" s="1" t="n">
        <v>0.657949061396672</v>
      </c>
    </row>
    <row r="16" customFormat="false" ht="15" hidden="false" customHeight="false" outlineLevel="0" collapsed="false">
      <c r="A16" s="3" t="s">
        <v>31</v>
      </c>
      <c r="B16" s="3" t="s">
        <v>32</v>
      </c>
      <c r="C16" s="3" t="s">
        <v>33</v>
      </c>
      <c r="D16" s="1" t="s">
        <v>18</v>
      </c>
      <c r="E16" s="2" t="s">
        <v>19</v>
      </c>
      <c r="F16" s="1" t="n">
        <v>4</v>
      </c>
      <c r="G16" s="2" t="s">
        <v>30</v>
      </c>
      <c r="H16" s="1" t="n">
        <v>0.1674</v>
      </c>
      <c r="I16" s="1" t="n">
        <v>0.294628549946491</v>
      </c>
      <c r="J16" s="1" t="n">
        <v>0.333145338409424</v>
      </c>
      <c r="K16" s="1" t="n">
        <f aca="false">J16-I16</f>
        <v>0.038516788462933</v>
      </c>
      <c r="L16" s="1" t="n">
        <v>0.657949061396672</v>
      </c>
    </row>
    <row r="17" customFormat="false" ht="15" hidden="false" customHeight="false" outlineLevel="0" collapsed="false">
      <c r="A17" s="3" t="s">
        <v>31</v>
      </c>
      <c r="B17" s="3" t="s">
        <v>32</v>
      </c>
      <c r="C17" s="3" t="s">
        <v>33</v>
      </c>
      <c r="D17" s="1" t="s">
        <v>18</v>
      </c>
      <c r="E17" s="2" t="s">
        <v>19</v>
      </c>
      <c r="F17" s="1" t="n">
        <v>4</v>
      </c>
      <c r="G17" s="2" t="s">
        <v>21</v>
      </c>
      <c r="H17" s="1" t="n">
        <v>0.1664</v>
      </c>
      <c r="I17" s="1" t="n">
        <v>0.292959028273486</v>
      </c>
      <c r="J17" s="1" t="n">
        <v>0.368118630912125</v>
      </c>
      <c r="K17" s="1" t="n">
        <f aca="false">J17-I17</f>
        <v>0.075159602638639</v>
      </c>
      <c r="L17" s="1" t="n">
        <v>0.657949061396672</v>
      </c>
    </row>
    <row r="18" customFormat="false" ht="15" hidden="false" customHeight="false" outlineLevel="0" collapsed="false">
      <c r="A18" s="3" t="s">
        <v>31</v>
      </c>
      <c r="B18" s="3" t="s">
        <v>32</v>
      </c>
      <c r="C18" s="3" t="s">
        <v>33</v>
      </c>
      <c r="D18" s="1" t="s">
        <v>18</v>
      </c>
      <c r="E18" s="2" t="s">
        <v>19</v>
      </c>
      <c r="F18" s="1" t="n">
        <v>4</v>
      </c>
      <c r="G18" s="2" t="s">
        <v>29</v>
      </c>
      <c r="H18" s="1" t="n">
        <v>0.1664</v>
      </c>
      <c r="I18" s="1" t="n">
        <v>0.293009661840745</v>
      </c>
      <c r="J18" s="1" t="n">
        <v>0.314320248710649</v>
      </c>
      <c r="K18" s="1" t="n">
        <f aca="false">J18-I18</f>
        <v>0.021310586869904</v>
      </c>
      <c r="L18" s="1" t="n">
        <v>0.657949061396672</v>
      </c>
    </row>
    <row r="19" customFormat="false" ht="15" hidden="false" customHeight="false" outlineLevel="0" collapsed="false">
      <c r="A19" s="3" t="s">
        <v>31</v>
      </c>
      <c r="B19" s="3" t="s">
        <v>32</v>
      </c>
      <c r="C19" s="3" t="s">
        <v>33</v>
      </c>
      <c r="D19" s="1" t="s">
        <v>18</v>
      </c>
      <c r="E19" s="2" t="s">
        <v>19</v>
      </c>
      <c r="F19" s="1" t="n">
        <v>4</v>
      </c>
      <c r="G19" s="2" t="s">
        <v>25</v>
      </c>
      <c r="H19" s="1" t="n">
        <v>0.156</v>
      </c>
      <c r="I19" s="1" t="n">
        <v>0.274714261455637</v>
      </c>
      <c r="J19" s="1" t="n">
        <v>0.258081695471857</v>
      </c>
      <c r="K19" s="1" t="n">
        <f aca="false">J19-I19</f>
        <v>-0.01663256598378</v>
      </c>
      <c r="L19" s="1" t="n">
        <v>0.657949061396672</v>
      </c>
    </row>
    <row r="20" customFormat="false" ht="15" hidden="false" customHeight="false" outlineLevel="0" collapsed="false">
      <c r="A20" s="3" t="s">
        <v>31</v>
      </c>
      <c r="B20" s="3" t="s">
        <v>32</v>
      </c>
      <c r="C20" s="3" t="s">
        <v>33</v>
      </c>
      <c r="D20" s="1" t="s">
        <v>18</v>
      </c>
      <c r="E20" s="2" t="s">
        <v>19</v>
      </c>
      <c r="F20" s="1" t="n">
        <v>4</v>
      </c>
      <c r="G20" s="2" t="s">
        <v>23</v>
      </c>
      <c r="H20" s="1" t="n">
        <v>0.1514</v>
      </c>
      <c r="I20" s="1" t="n">
        <v>0.266513282753606</v>
      </c>
      <c r="J20" s="1" t="n">
        <v>0.307579194354273</v>
      </c>
      <c r="K20" s="1" t="n">
        <f aca="false">J20-I20</f>
        <v>0.041065911600667</v>
      </c>
      <c r="L20" s="1" t="n">
        <v>0.657949061396672</v>
      </c>
    </row>
    <row r="21" customFormat="false" ht="15" hidden="false" customHeight="false" outlineLevel="0" collapsed="false">
      <c r="A21" s="3" t="s">
        <v>34</v>
      </c>
      <c r="B21" s="3" t="s">
        <v>35</v>
      </c>
      <c r="C21" s="3" t="s">
        <v>36</v>
      </c>
      <c r="D21" s="1" t="s">
        <v>18</v>
      </c>
      <c r="E21" s="2" t="s">
        <v>19</v>
      </c>
      <c r="F21" s="1" t="n">
        <v>6</v>
      </c>
      <c r="G21" s="2" t="s">
        <v>20</v>
      </c>
      <c r="H21" s="1" t="n">
        <v>0.2051</v>
      </c>
      <c r="I21" s="1" t="n">
        <v>0.343127707831594</v>
      </c>
      <c r="J21" s="1" t="n">
        <v>0.392607801055291</v>
      </c>
      <c r="K21" s="1" t="n">
        <f aca="false">J21-I21</f>
        <v>0.049480093223697</v>
      </c>
      <c r="L21" s="1" t="n">
        <v>0.595152958150236</v>
      </c>
    </row>
    <row r="22" customFormat="false" ht="15" hidden="false" customHeight="false" outlineLevel="0" collapsed="false">
      <c r="A22" s="3" t="s">
        <v>34</v>
      </c>
      <c r="B22" s="3" t="s">
        <v>35</v>
      </c>
      <c r="C22" s="3" t="s">
        <v>36</v>
      </c>
      <c r="D22" s="1" t="s">
        <v>18</v>
      </c>
      <c r="E22" s="2" t="s">
        <v>19</v>
      </c>
      <c r="F22" s="1" t="n">
        <v>6</v>
      </c>
      <c r="G22" s="2" t="s">
        <v>21</v>
      </c>
      <c r="H22" s="1" t="n">
        <v>0.1803</v>
      </c>
      <c r="I22" s="1" t="n">
        <v>0.301710613751563</v>
      </c>
      <c r="J22" s="1" t="n">
        <v>0.352718590120648</v>
      </c>
      <c r="K22" s="1" t="n">
        <f aca="false">J22-I22</f>
        <v>0.051007976369085</v>
      </c>
      <c r="L22" s="1" t="n">
        <v>0.595152958150236</v>
      </c>
    </row>
    <row r="23" customFormat="false" ht="15" hidden="false" customHeight="false" outlineLevel="0" collapsed="false">
      <c r="A23" s="3" t="s">
        <v>34</v>
      </c>
      <c r="B23" s="3" t="s">
        <v>35</v>
      </c>
      <c r="C23" s="3" t="s">
        <v>36</v>
      </c>
      <c r="D23" s="1" t="s">
        <v>18</v>
      </c>
      <c r="E23" s="2" t="s">
        <v>19</v>
      </c>
      <c r="F23" s="1" t="n">
        <v>6</v>
      </c>
      <c r="G23" s="2" t="s">
        <v>30</v>
      </c>
      <c r="H23" s="1" t="n">
        <v>0.1742</v>
      </c>
      <c r="I23" s="1" t="n">
        <v>0.29150103204953</v>
      </c>
      <c r="J23" s="1" t="n">
        <v>0.338209655033762</v>
      </c>
      <c r="K23" s="1" t="n">
        <f aca="false">J23-I23</f>
        <v>0.046708622984232</v>
      </c>
      <c r="L23" s="1" t="n">
        <v>0.595152958150236</v>
      </c>
    </row>
    <row r="24" customFormat="false" ht="15" hidden="false" customHeight="false" outlineLevel="0" collapsed="false">
      <c r="A24" s="3" t="s">
        <v>34</v>
      </c>
      <c r="B24" s="3" t="s">
        <v>35</v>
      </c>
      <c r="C24" s="3" t="s">
        <v>36</v>
      </c>
      <c r="D24" s="1" t="s">
        <v>18</v>
      </c>
      <c r="E24" s="2" t="s">
        <v>19</v>
      </c>
      <c r="F24" s="1" t="n">
        <v>6</v>
      </c>
      <c r="G24" s="2" t="s">
        <v>22</v>
      </c>
      <c r="H24" s="1" t="n">
        <v>0.1733</v>
      </c>
      <c r="I24" s="1" t="n">
        <v>0.289893776316987</v>
      </c>
      <c r="J24" s="1" t="n">
        <v>0.335950675221758</v>
      </c>
      <c r="K24" s="1" t="n">
        <f aca="false">J24-I24</f>
        <v>0.046056898904771</v>
      </c>
      <c r="L24" s="1" t="n">
        <v>0.595152958150236</v>
      </c>
    </row>
    <row r="25" customFormat="false" ht="15" hidden="false" customHeight="false" outlineLevel="0" collapsed="false">
      <c r="A25" s="3" t="s">
        <v>34</v>
      </c>
      <c r="B25" s="3" t="s">
        <v>35</v>
      </c>
      <c r="C25" s="3" t="s">
        <v>36</v>
      </c>
      <c r="D25" s="1" t="s">
        <v>18</v>
      </c>
      <c r="E25" s="2" t="s">
        <v>19</v>
      </c>
      <c r="F25" s="1" t="n">
        <v>6</v>
      </c>
      <c r="G25" s="2" t="s">
        <v>24</v>
      </c>
      <c r="H25" s="1" t="n">
        <v>0.1671</v>
      </c>
      <c r="I25" s="1" t="n">
        <v>0.279556291002906</v>
      </c>
      <c r="J25" s="1" t="n">
        <v>0.40975324892897</v>
      </c>
      <c r="K25" s="1" t="n">
        <f aca="false">J25-I25</f>
        <v>0.130196957926064</v>
      </c>
      <c r="L25" s="1" t="n">
        <v>0.595152958150236</v>
      </c>
    </row>
    <row r="26" customFormat="false" ht="15" hidden="false" customHeight="false" outlineLevel="0" collapsed="false">
      <c r="A26" s="3" t="s">
        <v>34</v>
      </c>
      <c r="B26" s="3" t="s">
        <v>35</v>
      </c>
      <c r="C26" s="3" t="s">
        <v>36</v>
      </c>
      <c r="D26" s="1" t="s">
        <v>18</v>
      </c>
      <c r="E26" s="2" t="s">
        <v>19</v>
      </c>
      <c r="F26" s="1" t="n">
        <v>6</v>
      </c>
      <c r="G26" s="2" t="s">
        <v>25</v>
      </c>
      <c r="H26" s="1" t="n">
        <v>0.1</v>
      </c>
      <c r="I26" s="1" t="n">
        <v>0.213233977907325</v>
      </c>
      <c r="J26" s="1" t="n">
        <v>0.289998277414368</v>
      </c>
      <c r="K26" s="1" t="n">
        <f aca="false">J26-I26</f>
        <v>0.076764299507043</v>
      </c>
      <c r="L26" s="1" t="n">
        <v>0.595152958150236</v>
      </c>
    </row>
    <row r="27" customFormat="false" ht="15" hidden="false" customHeight="false" outlineLevel="0" collapsed="false">
      <c r="A27" s="3" t="s">
        <v>37</v>
      </c>
      <c r="B27" s="3" t="s">
        <v>38</v>
      </c>
      <c r="C27" s="3" t="s">
        <v>39</v>
      </c>
      <c r="D27" s="1" t="s">
        <v>18</v>
      </c>
      <c r="E27" s="2" t="s">
        <v>19</v>
      </c>
      <c r="F27" s="1" t="n">
        <v>8</v>
      </c>
      <c r="G27" s="2" t="s">
        <v>20</v>
      </c>
      <c r="H27" s="1" t="n">
        <v>0.2092</v>
      </c>
      <c r="I27" s="1" t="n">
        <v>0.281203528389051</v>
      </c>
      <c r="J27" s="1" t="n">
        <v>0.382368930214114</v>
      </c>
      <c r="K27" s="1" t="n">
        <f aca="false">J27-I27</f>
        <v>0.101165401825063</v>
      </c>
      <c r="L27" s="1" t="n">
        <v>0.541278025353781</v>
      </c>
    </row>
    <row r="28" customFormat="false" ht="15" hidden="false" customHeight="false" outlineLevel="0" collapsed="false">
      <c r="A28" s="3" t="s">
        <v>37</v>
      </c>
      <c r="B28" s="3" t="s">
        <v>38</v>
      </c>
      <c r="C28" s="3" t="s">
        <v>39</v>
      </c>
      <c r="D28" s="1" t="s">
        <v>18</v>
      </c>
      <c r="E28" s="2" t="s">
        <v>19</v>
      </c>
      <c r="F28" s="1" t="n">
        <v>8</v>
      </c>
      <c r="G28" s="2" t="s">
        <v>24</v>
      </c>
      <c r="H28" s="1" t="n">
        <v>0.1918</v>
      </c>
      <c r="I28" s="1" t="n">
        <v>0.257794885169073</v>
      </c>
      <c r="J28" s="1" t="n">
        <v>0.302403710915794</v>
      </c>
      <c r="K28" s="1" t="n">
        <f aca="false">J28-I28</f>
        <v>0.044608825746721</v>
      </c>
      <c r="L28" s="1" t="n">
        <v>0.541278025353781</v>
      </c>
    </row>
    <row r="29" customFormat="false" ht="15" hidden="false" customHeight="false" outlineLevel="0" collapsed="false">
      <c r="A29" s="3" t="s">
        <v>37</v>
      </c>
      <c r="B29" s="3" t="s">
        <v>38</v>
      </c>
      <c r="C29" s="3" t="s">
        <v>39</v>
      </c>
      <c r="D29" s="1" t="s">
        <v>18</v>
      </c>
      <c r="E29" s="2" t="s">
        <v>19</v>
      </c>
      <c r="F29" s="1" t="n">
        <v>8</v>
      </c>
      <c r="G29" s="2" t="s">
        <v>23</v>
      </c>
      <c r="H29" s="1" t="n">
        <v>0.1751</v>
      </c>
      <c r="I29" s="1" t="n">
        <v>0.235391201982201</v>
      </c>
      <c r="J29" s="1" t="n">
        <v>0.3323718060217</v>
      </c>
      <c r="K29" s="1" t="n">
        <f aca="false">J29-I29</f>
        <v>0.096980604039499</v>
      </c>
      <c r="L29" s="1" t="n">
        <v>0.541278025353781</v>
      </c>
    </row>
    <row r="30" customFormat="false" ht="15" hidden="false" customHeight="false" outlineLevel="0" collapsed="false">
      <c r="A30" s="3" t="s">
        <v>37</v>
      </c>
      <c r="B30" s="3" t="s">
        <v>38</v>
      </c>
      <c r="C30" s="3" t="s">
        <v>39</v>
      </c>
      <c r="D30" s="1" t="s">
        <v>18</v>
      </c>
      <c r="E30" s="2" t="s">
        <v>19</v>
      </c>
      <c r="F30" s="1" t="n">
        <v>8</v>
      </c>
      <c r="G30" s="2" t="s">
        <v>21</v>
      </c>
      <c r="H30" s="1" t="n">
        <v>0.1628</v>
      </c>
      <c r="I30" s="1" t="n">
        <v>0.218874221171064</v>
      </c>
      <c r="J30" s="1" t="n">
        <v>0.381580359741748</v>
      </c>
      <c r="K30" s="1" t="n">
        <f aca="false">J30-I30</f>
        <v>0.162706138570684</v>
      </c>
      <c r="L30" s="1" t="n">
        <v>0.541278025353781</v>
      </c>
    </row>
    <row r="31" customFormat="false" ht="15" hidden="false" customHeight="false" outlineLevel="0" collapsed="false">
      <c r="A31" s="3" t="s">
        <v>37</v>
      </c>
      <c r="B31" s="3" t="s">
        <v>38</v>
      </c>
      <c r="C31" s="3" t="s">
        <v>39</v>
      </c>
      <c r="D31" s="1" t="s">
        <v>18</v>
      </c>
      <c r="E31" s="2" t="s">
        <v>19</v>
      </c>
      <c r="F31" s="1" t="n">
        <v>8</v>
      </c>
      <c r="G31" s="2" t="s">
        <v>22</v>
      </c>
      <c r="H31" s="1" t="n">
        <v>0.1611</v>
      </c>
      <c r="I31" s="1" t="n">
        <v>0.216615279145362</v>
      </c>
      <c r="J31" s="1" t="n">
        <v>0.340845334693151</v>
      </c>
      <c r="K31" s="1" t="n">
        <f aca="false">J31-I31</f>
        <v>0.124230055547789</v>
      </c>
      <c r="L31" s="1" t="n">
        <v>0.541278025353781</v>
      </c>
    </row>
    <row r="32" customFormat="false" ht="15" hidden="false" customHeight="false" outlineLevel="0" collapsed="false">
      <c r="A32" s="3" t="s">
        <v>37</v>
      </c>
      <c r="B32" s="3" t="s">
        <v>38</v>
      </c>
      <c r="C32" s="3" t="s">
        <v>39</v>
      </c>
      <c r="D32" s="1" t="s">
        <v>18</v>
      </c>
      <c r="E32" s="2" t="s">
        <v>19</v>
      </c>
      <c r="F32" s="1" t="n">
        <v>8</v>
      </c>
      <c r="G32" s="2" t="s">
        <v>25</v>
      </c>
      <c r="H32" s="1" t="n">
        <v>0.1</v>
      </c>
      <c r="I32" s="1" t="n">
        <v>0.17851613878697</v>
      </c>
      <c r="J32" s="1" t="n">
        <v>0.273822405863114</v>
      </c>
      <c r="K32" s="1" t="n">
        <f aca="false">J32-I32</f>
        <v>0.095306267076144</v>
      </c>
      <c r="L32" s="1" t="n">
        <v>0.541278025353781</v>
      </c>
    </row>
    <row r="33" customFormat="false" ht="15" hidden="false" customHeight="false" outlineLevel="0" collapsed="false">
      <c r="A33" s="3" t="s">
        <v>40</v>
      </c>
      <c r="B33" s="3" t="s">
        <v>41</v>
      </c>
      <c r="C33" s="3" t="s">
        <v>42</v>
      </c>
      <c r="D33" s="1" t="s">
        <v>18</v>
      </c>
      <c r="E33" s="2" t="s">
        <v>19</v>
      </c>
      <c r="F33" s="1" t="n">
        <v>10</v>
      </c>
      <c r="G33" s="2" t="s">
        <v>20</v>
      </c>
      <c r="H33" s="1" t="n">
        <v>0.2064</v>
      </c>
      <c r="I33" s="1" t="n">
        <v>0.329392067143617</v>
      </c>
      <c r="J33" s="1" t="n">
        <v>0.364324211704499</v>
      </c>
      <c r="K33" s="1" t="n">
        <f aca="false">J33-I33</f>
        <v>0.034932144560882</v>
      </c>
      <c r="L33" s="1" t="n">
        <v>0.694560494716742</v>
      </c>
    </row>
    <row r="34" customFormat="false" ht="15" hidden="false" customHeight="false" outlineLevel="0" collapsed="false">
      <c r="A34" s="3" t="s">
        <v>40</v>
      </c>
      <c r="B34" s="3" t="s">
        <v>41</v>
      </c>
      <c r="C34" s="3" t="s">
        <v>42</v>
      </c>
      <c r="D34" s="1" t="s">
        <v>18</v>
      </c>
      <c r="E34" s="2" t="s">
        <v>19</v>
      </c>
      <c r="F34" s="1" t="n">
        <v>10</v>
      </c>
      <c r="G34" s="2" t="s">
        <v>21</v>
      </c>
      <c r="H34" s="1" t="n">
        <v>0.1887</v>
      </c>
      <c r="I34" s="1" t="n">
        <v>0.30112644582025</v>
      </c>
      <c r="J34" s="1" t="n">
        <v>0.336766903565471</v>
      </c>
      <c r="K34" s="1" t="n">
        <f aca="false">J34-I34</f>
        <v>0.035640457745221</v>
      </c>
      <c r="L34" s="1" t="n">
        <v>0.694560494716742</v>
      </c>
    </row>
    <row r="35" customFormat="false" ht="15" hidden="false" customHeight="false" outlineLevel="0" collapsed="false">
      <c r="A35" s="3" t="s">
        <v>40</v>
      </c>
      <c r="B35" s="3" t="s">
        <v>41</v>
      </c>
      <c r="C35" s="3" t="s">
        <v>42</v>
      </c>
      <c r="D35" s="1" t="s">
        <v>18</v>
      </c>
      <c r="E35" s="2" t="s">
        <v>19</v>
      </c>
      <c r="F35" s="1" t="n">
        <v>10</v>
      </c>
      <c r="G35" s="2" t="s">
        <v>22</v>
      </c>
      <c r="H35" s="1" t="n">
        <v>0.1752</v>
      </c>
      <c r="I35" s="1" t="n">
        <v>0.279568353710256</v>
      </c>
      <c r="J35" s="1" t="n">
        <v>0.339151387208491</v>
      </c>
      <c r="K35" s="1" t="n">
        <f aca="false">J35-I35</f>
        <v>0.059583033498235</v>
      </c>
      <c r="L35" s="1" t="n">
        <v>0.694560494716742</v>
      </c>
    </row>
    <row r="36" customFormat="false" ht="15" hidden="false" customHeight="false" outlineLevel="0" collapsed="false">
      <c r="A36" s="3" t="s">
        <v>40</v>
      </c>
      <c r="B36" s="3" t="s">
        <v>41</v>
      </c>
      <c r="C36" s="3" t="s">
        <v>42</v>
      </c>
      <c r="D36" s="1" t="s">
        <v>18</v>
      </c>
      <c r="E36" s="2" t="s">
        <v>19</v>
      </c>
      <c r="F36" s="1" t="n">
        <v>10</v>
      </c>
      <c r="G36" s="2" t="s">
        <v>43</v>
      </c>
      <c r="H36" s="1" t="n">
        <v>0.172</v>
      </c>
      <c r="I36" s="1" t="n">
        <v>0.274550075922783</v>
      </c>
      <c r="J36" s="1" t="n">
        <v>0.295118942893755</v>
      </c>
      <c r="K36" s="1" t="n">
        <f aca="false">J36-I36</f>
        <v>0.020568866970972</v>
      </c>
      <c r="L36" s="1" t="n">
        <v>0.694560494716742</v>
      </c>
    </row>
    <row r="37" customFormat="false" ht="15" hidden="false" customHeight="false" outlineLevel="0" collapsed="false">
      <c r="A37" s="3" t="s">
        <v>40</v>
      </c>
      <c r="B37" s="3" t="s">
        <v>41</v>
      </c>
      <c r="C37" s="3" t="s">
        <v>42</v>
      </c>
      <c r="D37" s="1" t="s">
        <v>18</v>
      </c>
      <c r="E37" s="2" t="s">
        <v>19</v>
      </c>
      <c r="F37" s="1" t="n">
        <v>10</v>
      </c>
      <c r="G37" s="2" t="s">
        <v>23</v>
      </c>
      <c r="H37" s="1" t="n">
        <v>0.1577</v>
      </c>
      <c r="I37" s="1" t="n">
        <v>0.251578015778372</v>
      </c>
      <c r="J37" s="1" t="n">
        <v>0.308615016839689</v>
      </c>
      <c r="K37" s="1" t="n">
        <f aca="false">J37-I37</f>
        <v>0.057037001061317</v>
      </c>
      <c r="L37" s="1" t="n">
        <v>0.694560494716742</v>
      </c>
    </row>
    <row r="38" customFormat="false" ht="15" hidden="false" customHeight="false" outlineLevel="0" collapsed="false">
      <c r="A38" s="3" t="s">
        <v>40</v>
      </c>
      <c r="B38" s="3" t="s">
        <v>41</v>
      </c>
      <c r="C38" s="3" t="s">
        <v>42</v>
      </c>
      <c r="D38" s="1" t="s">
        <v>18</v>
      </c>
      <c r="E38" s="2" t="s">
        <v>19</v>
      </c>
      <c r="F38" s="1" t="n">
        <v>10</v>
      </c>
      <c r="G38" s="2" t="s">
        <v>25</v>
      </c>
      <c r="H38" s="1" t="n">
        <v>0.1</v>
      </c>
      <c r="I38" s="1" t="n">
        <v>0.212367884291031</v>
      </c>
      <c r="J38" s="1" t="n">
        <v>0.269153342624165</v>
      </c>
      <c r="K38" s="1" t="n">
        <f aca="false">J38-I38</f>
        <v>0.056785458333134</v>
      </c>
      <c r="L38" s="1" t="n">
        <v>0.694560494716742</v>
      </c>
    </row>
    <row r="39" customFormat="false" ht="15" hidden="false" customHeight="false" outlineLevel="0" collapsed="false">
      <c r="A39" s="3" t="s">
        <v>44</v>
      </c>
      <c r="B39" s="3" t="s">
        <v>45</v>
      </c>
      <c r="C39" s="3" t="s">
        <v>46</v>
      </c>
      <c r="D39" s="1" t="s">
        <v>18</v>
      </c>
      <c r="E39" s="2" t="s">
        <v>19</v>
      </c>
      <c r="F39" s="1" t="n">
        <v>12</v>
      </c>
      <c r="G39" s="2" t="s">
        <v>20</v>
      </c>
      <c r="H39" s="1" t="n">
        <v>0.2202</v>
      </c>
      <c r="I39" s="1" t="n">
        <v>0.343322987203095</v>
      </c>
      <c r="J39" s="1" t="n">
        <v>0.408101618647361</v>
      </c>
      <c r="K39" s="1" t="n">
        <f aca="false">J39-I39</f>
        <v>0.064778631444266</v>
      </c>
      <c r="L39" s="1" t="n">
        <v>0.821209740996496</v>
      </c>
    </row>
    <row r="40" customFormat="false" ht="15" hidden="false" customHeight="false" outlineLevel="0" collapsed="false">
      <c r="A40" s="3" t="s">
        <v>44</v>
      </c>
      <c r="B40" s="3" t="s">
        <v>45</v>
      </c>
      <c r="C40" s="3" t="s">
        <v>46</v>
      </c>
      <c r="D40" s="1" t="s">
        <v>18</v>
      </c>
      <c r="E40" s="2" t="s">
        <v>19</v>
      </c>
      <c r="F40" s="1" t="n">
        <v>12</v>
      </c>
      <c r="G40" s="2" t="s">
        <v>21</v>
      </c>
      <c r="H40" s="1" t="n">
        <v>0.1767</v>
      </c>
      <c r="I40" s="1" t="n">
        <v>0.275506657824539</v>
      </c>
      <c r="J40" s="1" t="n">
        <v>0.348853512809053</v>
      </c>
      <c r="K40" s="1" t="n">
        <f aca="false">J40-I40</f>
        <v>0.073346854984514</v>
      </c>
      <c r="L40" s="1" t="n">
        <v>0.821209740996496</v>
      </c>
    </row>
    <row r="41" customFormat="false" ht="15" hidden="false" customHeight="false" outlineLevel="0" collapsed="false">
      <c r="A41" s="3" t="s">
        <v>44</v>
      </c>
      <c r="B41" s="3" t="s">
        <v>45</v>
      </c>
      <c r="C41" s="3" t="s">
        <v>46</v>
      </c>
      <c r="D41" s="1" t="s">
        <v>18</v>
      </c>
      <c r="E41" s="2" t="s">
        <v>19</v>
      </c>
      <c r="F41" s="1" t="n">
        <v>12</v>
      </c>
      <c r="G41" s="2" t="s">
        <v>22</v>
      </c>
      <c r="H41" s="1" t="n">
        <v>0.1759</v>
      </c>
      <c r="I41" s="1" t="n">
        <v>0.274274442414529</v>
      </c>
      <c r="J41" s="1" t="n">
        <v>0.335736152599068</v>
      </c>
      <c r="K41" s="1" t="n">
        <f aca="false">J41-I41</f>
        <v>0.0614617101845391</v>
      </c>
      <c r="L41" s="1" t="n">
        <v>0.821209740996496</v>
      </c>
    </row>
    <row r="42" customFormat="false" ht="15" hidden="false" customHeight="false" outlineLevel="0" collapsed="false">
      <c r="A42" s="3" t="s">
        <v>44</v>
      </c>
      <c r="B42" s="3" t="s">
        <v>45</v>
      </c>
      <c r="C42" s="3" t="s">
        <v>46</v>
      </c>
      <c r="D42" s="1" t="s">
        <v>18</v>
      </c>
      <c r="E42" s="2" t="s">
        <v>19</v>
      </c>
      <c r="F42" s="1" t="n">
        <v>12</v>
      </c>
      <c r="G42" s="2" t="s">
        <v>24</v>
      </c>
      <c r="H42" s="1" t="n">
        <v>0.1668</v>
      </c>
      <c r="I42" s="1" t="n">
        <v>0.260173208244156</v>
      </c>
      <c r="J42" s="1" t="n">
        <v>0.356163765352786</v>
      </c>
      <c r="K42" s="1" t="n">
        <f aca="false">J42-I42</f>
        <v>0.09599055710863</v>
      </c>
      <c r="L42" s="1" t="n">
        <v>0.821209740996496</v>
      </c>
    </row>
    <row r="43" customFormat="false" ht="15" hidden="false" customHeight="false" outlineLevel="0" collapsed="false">
      <c r="A43" s="3" t="s">
        <v>44</v>
      </c>
      <c r="B43" s="3" t="s">
        <v>45</v>
      </c>
      <c r="C43" s="3" t="s">
        <v>46</v>
      </c>
      <c r="D43" s="1" t="s">
        <v>18</v>
      </c>
      <c r="E43" s="2" t="s">
        <v>19</v>
      </c>
      <c r="F43" s="1" t="n">
        <v>12</v>
      </c>
      <c r="G43" s="2" t="s">
        <v>23</v>
      </c>
      <c r="H43" s="1" t="n">
        <v>0.1604</v>
      </c>
      <c r="I43" s="1" t="n">
        <v>0.250197023669978</v>
      </c>
      <c r="J43" s="1" t="n">
        <v>0.311447698771472</v>
      </c>
      <c r="K43" s="1" t="n">
        <f aca="false">J43-I43</f>
        <v>0.061250675101494</v>
      </c>
      <c r="L43" s="1" t="n">
        <v>0.821209740996496</v>
      </c>
    </row>
    <row r="44" customFormat="false" ht="15" hidden="false" customHeight="false" outlineLevel="0" collapsed="false">
      <c r="A44" s="3" t="s">
        <v>44</v>
      </c>
      <c r="B44" s="3" t="s">
        <v>45</v>
      </c>
      <c r="C44" s="3" t="s">
        <v>46</v>
      </c>
      <c r="D44" s="1" t="s">
        <v>18</v>
      </c>
      <c r="E44" s="2" t="s">
        <v>19</v>
      </c>
      <c r="F44" s="1" t="n">
        <v>12</v>
      </c>
      <c r="G44" s="2" t="s">
        <v>25</v>
      </c>
      <c r="H44" s="1" t="n">
        <v>0.1</v>
      </c>
      <c r="I44" s="1" t="n">
        <v>0.198708053259941</v>
      </c>
      <c r="J44" s="1" t="n">
        <v>0.261404993865698</v>
      </c>
      <c r="K44" s="1" t="n">
        <f aca="false">J44-I44</f>
        <v>0.062696940605757</v>
      </c>
      <c r="L44" s="1" t="n">
        <v>0.821209740996496</v>
      </c>
    </row>
    <row r="45" customFormat="false" ht="15" hidden="false" customHeight="false" outlineLevel="0" collapsed="false">
      <c r="A45" s="3" t="s">
        <v>47</v>
      </c>
      <c r="B45" s="3" t="s">
        <v>48</v>
      </c>
      <c r="C45" s="3" t="s">
        <v>49</v>
      </c>
      <c r="D45" s="1" t="s">
        <v>18</v>
      </c>
      <c r="E45" s="2" t="s">
        <v>19</v>
      </c>
      <c r="F45" s="1" t="n">
        <v>14</v>
      </c>
      <c r="G45" s="2" t="s">
        <v>20</v>
      </c>
      <c r="H45" s="1" t="n">
        <v>0.2089</v>
      </c>
      <c r="I45" s="1" t="n">
        <v>0.339389988432775</v>
      </c>
      <c r="J45" s="1" t="n">
        <v>0.420377964192525</v>
      </c>
      <c r="K45" s="1" t="n">
        <f aca="false">J45-I45</f>
        <v>0.08098797575975</v>
      </c>
      <c r="L45" s="1" t="n">
        <v>0.827246504211718</v>
      </c>
    </row>
    <row r="46" customFormat="false" ht="15" hidden="false" customHeight="false" outlineLevel="0" collapsed="false">
      <c r="A46" s="3" t="s">
        <v>47</v>
      </c>
      <c r="B46" s="3" t="s">
        <v>48</v>
      </c>
      <c r="C46" s="3" t="s">
        <v>49</v>
      </c>
      <c r="D46" s="1" t="s">
        <v>18</v>
      </c>
      <c r="E46" s="2" t="s">
        <v>19</v>
      </c>
      <c r="F46" s="1" t="n">
        <v>14</v>
      </c>
      <c r="G46" s="2" t="s">
        <v>24</v>
      </c>
      <c r="H46" s="1" t="n">
        <v>0.1842</v>
      </c>
      <c r="I46" s="1" t="n">
        <v>0.299272636146749</v>
      </c>
      <c r="J46" s="1" t="n">
        <v>0.375539715798948</v>
      </c>
      <c r="K46" s="1" t="n">
        <f aca="false">J46-I46</f>
        <v>0.076267079652199</v>
      </c>
      <c r="L46" s="1" t="n">
        <v>0.827246504211718</v>
      </c>
    </row>
    <row r="47" customFormat="false" ht="15" hidden="false" customHeight="false" outlineLevel="0" collapsed="false">
      <c r="A47" s="3" t="s">
        <v>47</v>
      </c>
      <c r="B47" s="3" t="s">
        <v>48</v>
      </c>
      <c r="C47" s="3" t="s">
        <v>49</v>
      </c>
      <c r="D47" s="1" t="s">
        <v>18</v>
      </c>
      <c r="E47" s="2" t="s">
        <v>19</v>
      </c>
      <c r="F47" s="1" t="n">
        <v>14</v>
      </c>
      <c r="G47" s="2" t="s">
        <v>21</v>
      </c>
      <c r="H47" s="1" t="n">
        <v>0.1779</v>
      </c>
      <c r="I47" s="1" t="n">
        <v>0.288997560596523</v>
      </c>
      <c r="J47" s="1" t="n">
        <v>0.367128313174784</v>
      </c>
      <c r="K47" s="1" t="n">
        <f aca="false">J47-I47</f>
        <v>0.078130752578261</v>
      </c>
      <c r="L47" s="1" t="n">
        <v>0.827246504211718</v>
      </c>
    </row>
    <row r="48" customFormat="false" ht="15" hidden="false" customHeight="false" outlineLevel="0" collapsed="false">
      <c r="A48" s="3" t="s">
        <v>47</v>
      </c>
      <c r="B48" s="3" t="s">
        <v>48</v>
      </c>
      <c r="C48" s="3" t="s">
        <v>49</v>
      </c>
      <c r="D48" s="1" t="s">
        <v>18</v>
      </c>
      <c r="E48" s="2" t="s">
        <v>19</v>
      </c>
      <c r="F48" s="1" t="n">
        <v>14</v>
      </c>
      <c r="G48" s="2" t="s">
        <v>43</v>
      </c>
      <c r="H48" s="1" t="n">
        <v>0.166</v>
      </c>
      <c r="I48" s="1" t="n">
        <v>0.269654606671203</v>
      </c>
      <c r="J48" s="1" t="n">
        <v>0.351551244926756</v>
      </c>
      <c r="K48" s="1" t="n">
        <f aca="false">J48-I48</f>
        <v>0.081896638255553</v>
      </c>
      <c r="L48" s="1" t="n">
        <v>0.827246504211718</v>
      </c>
    </row>
    <row r="49" customFormat="false" ht="15" hidden="false" customHeight="false" outlineLevel="0" collapsed="false">
      <c r="A49" s="3" t="s">
        <v>47</v>
      </c>
      <c r="B49" s="3" t="s">
        <v>48</v>
      </c>
      <c r="C49" s="3" t="s">
        <v>49</v>
      </c>
      <c r="D49" s="1" t="s">
        <v>18</v>
      </c>
      <c r="E49" s="2" t="s">
        <v>19</v>
      </c>
      <c r="F49" s="1" t="n">
        <v>14</v>
      </c>
      <c r="G49" s="2" t="s">
        <v>30</v>
      </c>
      <c r="H49" s="1" t="n">
        <v>0.1629</v>
      </c>
      <c r="I49" s="1" t="n">
        <v>0.264618527295734</v>
      </c>
      <c r="J49" s="1" t="n">
        <v>0.338846267281944</v>
      </c>
      <c r="K49" s="1" t="n">
        <f aca="false">J49-I49</f>
        <v>0.07422773998621</v>
      </c>
      <c r="L49" s="1" t="n">
        <v>0.827246504211718</v>
      </c>
    </row>
    <row r="50" customFormat="false" ht="15" hidden="false" customHeight="false" outlineLevel="0" collapsed="false">
      <c r="A50" s="3" t="s">
        <v>47</v>
      </c>
      <c r="B50" s="3" t="s">
        <v>48</v>
      </c>
      <c r="C50" s="3" t="s">
        <v>49</v>
      </c>
      <c r="D50" s="1" t="s">
        <v>18</v>
      </c>
      <c r="E50" s="2" t="s">
        <v>19</v>
      </c>
      <c r="F50" s="1" t="n">
        <v>14</v>
      </c>
      <c r="G50" s="2" t="s">
        <v>25</v>
      </c>
      <c r="H50" s="1" t="n">
        <v>0.1</v>
      </c>
      <c r="I50" s="1" t="n">
        <v>0.225541698889327</v>
      </c>
      <c r="J50" s="1" t="n">
        <v>0.315642323921493</v>
      </c>
      <c r="K50" s="1" t="n">
        <f aca="false">J50-I50</f>
        <v>0.090100625032166</v>
      </c>
      <c r="L50" s="1" t="n">
        <v>0.827246504211718</v>
      </c>
    </row>
    <row r="51" customFormat="false" ht="15" hidden="false" customHeight="false" outlineLevel="0" collapsed="false">
      <c r="A51" s="3" t="s">
        <v>50</v>
      </c>
      <c r="B51" s="3" t="s">
        <v>51</v>
      </c>
      <c r="C51" s="3" t="s">
        <v>52</v>
      </c>
      <c r="D51" s="1" t="s">
        <v>18</v>
      </c>
      <c r="E51" s="2" t="s">
        <v>19</v>
      </c>
      <c r="F51" s="1" t="n">
        <v>16</v>
      </c>
      <c r="G51" s="2" t="s">
        <v>53</v>
      </c>
      <c r="H51" s="1" t="n">
        <v>0.1722</v>
      </c>
      <c r="I51" s="1" t="n">
        <v>0.315186127642913</v>
      </c>
      <c r="J51" s="1" t="n">
        <v>0.384831797707458</v>
      </c>
      <c r="K51" s="1" t="n">
        <f aca="false">J51-I51</f>
        <v>0.069645670064545</v>
      </c>
      <c r="L51" s="1" t="n">
        <v>0.676694313663238</v>
      </c>
    </row>
    <row r="52" customFormat="false" ht="15" hidden="false" customHeight="false" outlineLevel="0" collapsed="false">
      <c r="A52" s="3" t="s">
        <v>50</v>
      </c>
      <c r="B52" s="3" t="s">
        <v>51</v>
      </c>
      <c r="C52" s="3" t="s">
        <v>52</v>
      </c>
      <c r="D52" s="1" t="s">
        <v>18</v>
      </c>
      <c r="E52" s="2" t="s">
        <v>19</v>
      </c>
      <c r="F52" s="1" t="n">
        <v>16</v>
      </c>
      <c r="G52" s="2" t="s">
        <v>24</v>
      </c>
      <c r="H52" s="1" t="n">
        <v>0.171</v>
      </c>
      <c r="I52" s="1" t="n">
        <v>0.312877616926597</v>
      </c>
      <c r="J52" s="1" t="n">
        <v>0.379127139920527</v>
      </c>
      <c r="K52" s="1" t="n">
        <f aca="false">J52-I52</f>
        <v>0.06624952299393</v>
      </c>
      <c r="L52" s="1" t="n">
        <v>0.676694313663238</v>
      </c>
    </row>
    <row r="53" customFormat="false" ht="15" hidden="false" customHeight="false" outlineLevel="0" collapsed="false">
      <c r="A53" s="3" t="s">
        <v>50</v>
      </c>
      <c r="B53" s="3" t="s">
        <v>51</v>
      </c>
      <c r="C53" s="3" t="s">
        <v>52</v>
      </c>
      <c r="D53" s="1" t="s">
        <v>18</v>
      </c>
      <c r="E53" s="2" t="s">
        <v>19</v>
      </c>
      <c r="F53" s="1" t="n">
        <v>16</v>
      </c>
      <c r="G53" s="2" t="s">
        <v>25</v>
      </c>
      <c r="H53" s="1" t="n">
        <v>0.1686</v>
      </c>
      <c r="I53" s="1" t="n">
        <v>0.308569468862943</v>
      </c>
      <c r="J53" s="1" t="n">
        <v>0.395558414415159</v>
      </c>
      <c r="K53" s="1" t="n">
        <f aca="false">J53-I53</f>
        <v>0.086988945552216</v>
      </c>
      <c r="L53" s="1" t="n">
        <v>0.676694313663238</v>
      </c>
    </row>
    <row r="54" customFormat="false" ht="15" hidden="false" customHeight="false" outlineLevel="0" collapsed="false">
      <c r="A54" s="3" t="s">
        <v>50</v>
      </c>
      <c r="B54" s="3" t="s">
        <v>51</v>
      </c>
      <c r="C54" s="3" t="s">
        <v>52</v>
      </c>
      <c r="D54" s="1" t="s">
        <v>18</v>
      </c>
      <c r="E54" s="2" t="s">
        <v>19</v>
      </c>
      <c r="F54" s="1" t="n">
        <v>16</v>
      </c>
      <c r="G54" s="2" t="s">
        <v>23</v>
      </c>
      <c r="H54" s="1" t="n">
        <v>0.1646</v>
      </c>
      <c r="I54" s="1" t="n">
        <v>0.301275177492896</v>
      </c>
      <c r="J54" s="1" t="n">
        <v>0.362395542295411</v>
      </c>
      <c r="K54" s="1" t="n">
        <f aca="false">J54-I54</f>
        <v>0.061120364802515</v>
      </c>
      <c r="L54" s="1" t="n">
        <v>0.676694313663238</v>
      </c>
    </row>
    <row r="55" customFormat="false" ht="15" hidden="false" customHeight="false" outlineLevel="0" collapsed="false">
      <c r="A55" s="3" t="s">
        <v>50</v>
      </c>
      <c r="B55" s="3" t="s">
        <v>51</v>
      </c>
      <c r="C55" s="3" t="s">
        <v>52</v>
      </c>
      <c r="D55" s="1" t="s">
        <v>18</v>
      </c>
      <c r="E55" s="2" t="s">
        <v>19</v>
      </c>
      <c r="F55" s="1" t="n">
        <v>16</v>
      </c>
      <c r="G55" s="2" t="s">
        <v>20</v>
      </c>
      <c r="H55" s="1" t="n">
        <v>0.1634</v>
      </c>
      <c r="I55" s="1" t="n">
        <v>0.299060871427563</v>
      </c>
      <c r="J55" s="1" t="n">
        <v>0.372544524088852</v>
      </c>
      <c r="K55" s="1" t="n">
        <f aca="false">J55-I55</f>
        <v>0.073483652661289</v>
      </c>
      <c r="L55" s="1" t="n">
        <v>0.676694313663238</v>
      </c>
    </row>
    <row r="56" customFormat="false" ht="15" hidden="false" customHeight="false" outlineLevel="0" collapsed="false">
      <c r="A56" s="3" t="s">
        <v>50</v>
      </c>
      <c r="B56" s="3" t="s">
        <v>51</v>
      </c>
      <c r="C56" s="3" t="s">
        <v>52</v>
      </c>
      <c r="D56" s="1" t="s">
        <v>18</v>
      </c>
      <c r="E56" s="2" t="s">
        <v>19</v>
      </c>
      <c r="F56" s="1" t="n">
        <v>16</v>
      </c>
      <c r="G56" s="2" t="s">
        <v>54</v>
      </c>
      <c r="H56" s="1" t="n">
        <v>0.1602</v>
      </c>
      <c r="I56" s="1" t="n">
        <v>0.293096959584061</v>
      </c>
      <c r="J56" s="1" t="n">
        <v>0.347810107807672</v>
      </c>
      <c r="K56" s="1" t="n">
        <f aca="false">J56-I56</f>
        <v>0.054713148223611</v>
      </c>
      <c r="L56" s="1" t="n">
        <v>0.676694313663238</v>
      </c>
    </row>
    <row r="57" customFormat="false" ht="15" hidden="false" customHeight="false" outlineLevel="0" collapsed="false">
      <c r="A57" s="3" t="s">
        <v>55</v>
      </c>
      <c r="B57" s="3" t="s">
        <v>56</v>
      </c>
      <c r="C57" s="3" t="s">
        <v>57</v>
      </c>
      <c r="D57" s="1" t="s">
        <v>18</v>
      </c>
      <c r="E57" s="2" t="s">
        <v>19</v>
      </c>
      <c r="F57" s="1" t="n">
        <v>18</v>
      </c>
      <c r="G57" s="2" t="s">
        <v>43</v>
      </c>
      <c r="H57" s="1" t="n">
        <v>0.1907</v>
      </c>
      <c r="I57" s="1" t="n">
        <v>0.353153251867148</v>
      </c>
      <c r="J57" s="1" t="n">
        <v>0.373846933849907</v>
      </c>
      <c r="K57" s="1" t="n">
        <f aca="false">J57-I57</f>
        <v>0.020693681982759</v>
      </c>
      <c r="L57" s="1" t="n">
        <v>0.611313272409236</v>
      </c>
    </row>
    <row r="58" customFormat="false" ht="15" hidden="false" customHeight="false" outlineLevel="0" collapsed="false">
      <c r="A58" s="3" t="s">
        <v>55</v>
      </c>
      <c r="B58" s="3" t="s">
        <v>56</v>
      </c>
      <c r="C58" s="3" t="s">
        <v>57</v>
      </c>
      <c r="D58" s="1" t="s">
        <v>18</v>
      </c>
      <c r="E58" s="2" t="s">
        <v>19</v>
      </c>
      <c r="F58" s="1" t="n">
        <v>18</v>
      </c>
      <c r="G58" s="2" t="s">
        <v>53</v>
      </c>
      <c r="H58" s="1" t="n">
        <v>0.1866</v>
      </c>
      <c r="I58" s="1" t="n">
        <v>0.345501046473402</v>
      </c>
      <c r="J58" s="1" t="n">
        <v>0.352878317375323</v>
      </c>
      <c r="K58" s="1" t="n">
        <f aca="false">J58-I58</f>
        <v>0.00737727090192097</v>
      </c>
      <c r="L58" s="1" t="n">
        <v>0.611313272409236</v>
      </c>
    </row>
    <row r="59" customFormat="false" ht="15" hidden="false" customHeight="false" outlineLevel="0" collapsed="false">
      <c r="A59" s="3" t="s">
        <v>55</v>
      </c>
      <c r="B59" s="3" t="s">
        <v>56</v>
      </c>
      <c r="C59" s="3" t="s">
        <v>57</v>
      </c>
      <c r="D59" s="1" t="s">
        <v>18</v>
      </c>
      <c r="E59" s="2" t="s">
        <v>19</v>
      </c>
      <c r="F59" s="1" t="n">
        <v>18</v>
      </c>
      <c r="G59" s="2" t="s">
        <v>23</v>
      </c>
      <c r="H59" s="1" t="n">
        <v>0.175</v>
      </c>
      <c r="I59" s="1" t="n">
        <v>0.324164361240669</v>
      </c>
      <c r="J59" s="1" t="n">
        <v>0.372558333158931</v>
      </c>
      <c r="K59" s="1" t="n">
        <f aca="false">J59-I59</f>
        <v>0.048393971918262</v>
      </c>
      <c r="L59" s="1" t="n">
        <v>0.611313272409236</v>
      </c>
    </row>
    <row r="60" customFormat="false" ht="15" hidden="false" customHeight="false" outlineLevel="0" collapsed="false">
      <c r="A60" s="3" t="s">
        <v>55</v>
      </c>
      <c r="B60" s="3" t="s">
        <v>56</v>
      </c>
      <c r="C60" s="3" t="s">
        <v>57</v>
      </c>
      <c r="D60" s="1" t="s">
        <v>18</v>
      </c>
      <c r="E60" s="2" t="s">
        <v>19</v>
      </c>
      <c r="F60" s="1" t="n">
        <v>18</v>
      </c>
      <c r="G60" s="2" t="s">
        <v>20</v>
      </c>
      <c r="H60" s="1" t="n">
        <v>0.1744</v>
      </c>
      <c r="I60" s="1" t="n">
        <v>0.322913011082916</v>
      </c>
      <c r="J60" s="1" t="n">
        <v>0.431112554749528</v>
      </c>
      <c r="K60" s="1" t="n">
        <f aca="false">J60-I60</f>
        <v>0.108199543666612</v>
      </c>
      <c r="L60" s="1" t="n">
        <v>0.611313272409236</v>
      </c>
    </row>
    <row r="61" customFormat="false" ht="15" hidden="false" customHeight="false" outlineLevel="0" collapsed="false">
      <c r="A61" s="3" t="s">
        <v>55</v>
      </c>
      <c r="B61" s="3" t="s">
        <v>56</v>
      </c>
      <c r="C61" s="3" t="s">
        <v>57</v>
      </c>
      <c r="D61" s="1" t="s">
        <v>18</v>
      </c>
      <c r="E61" s="2" t="s">
        <v>19</v>
      </c>
      <c r="F61" s="1" t="n">
        <v>18</v>
      </c>
      <c r="G61" s="2" t="s">
        <v>24</v>
      </c>
      <c r="H61" s="1" t="n">
        <v>0.1733</v>
      </c>
      <c r="I61" s="1" t="n">
        <v>0.32100843950346</v>
      </c>
      <c r="J61" s="1" t="n">
        <v>0.373039870674258</v>
      </c>
      <c r="K61" s="1" t="n">
        <f aca="false">J61-I61</f>
        <v>0.052031431170798</v>
      </c>
      <c r="L61" s="1" t="n">
        <v>0.611313272409236</v>
      </c>
    </row>
    <row r="62" customFormat="false" ht="15" hidden="false" customHeight="false" outlineLevel="0" collapsed="false">
      <c r="A62" s="3" t="s">
        <v>55</v>
      </c>
      <c r="B62" s="3" t="s">
        <v>56</v>
      </c>
      <c r="C62" s="3" t="s">
        <v>57</v>
      </c>
      <c r="D62" s="1" t="s">
        <v>18</v>
      </c>
      <c r="E62" s="2" t="s">
        <v>19</v>
      </c>
      <c r="F62" s="1" t="n">
        <v>18</v>
      </c>
      <c r="G62" s="2" t="s">
        <v>25</v>
      </c>
      <c r="H62" s="1" t="n">
        <v>0.1</v>
      </c>
      <c r="I62" s="1" t="n">
        <v>0.287052047381462</v>
      </c>
      <c r="J62" s="1" t="n">
        <v>0.323198814813083</v>
      </c>
      <c r="K62" s="1" t="n">
        <f aca="false">J62-I62</f>
        <v>0.036146767431621</v>
      </c>
      <c r="L62" s="1" t="n">
        <v>0.611313272409236</v>
      </c>
    </row>
    <row r="63" customFormat="false" ht="15" hidden="false" customHeight="false" outlineLevel="0" collapsed="false">
      <c r="A63" s="3" t="s">
        <v>58</v>
      </c>
      <c r="B63" s="3" t="s">
        <v>59</v>
      </c>
      <c r="C63" s="3" t="s">
        <v>60</v>
      </c>
      <c r="D63" s="1" t="s">
        <v>18</v>
      </c>
      <c r="E63" s="2" t="s">
        <v>19</v>
      </c>
      <c r="F63" s="1" t="n">
        <v>20</v>
      </c>
      <c r="G63" s="2" t="s">
        <v>20</v>
      </c>
      <c r="H63" s="1" t="n">
        <v>0.1913</v>
      </c>
      <c r="I63" s="1" t="n">
        <v>0.291606435116206</v>
      </c>
      <c r="J63" s="1" t="n">
        <v>0.392205326478928</v>
      </c>
      <c r="K63" s="1" t="n">
        <f aca="false">J63-I63</f>
        <v>0.100598891362722</v>
      </c>
      <c r="L63" s="1" t="n">
        <v>0.746560934334395</v>
      </c>
    </row>
    <row r="64" customFormat="false" ht="15" hidden="false" customHeight="false" outlineLevel="0" collapsed="false">
      <c r="A64" s="3" t="s">
        <v>58</v>
      </c>
      <c r="B64" s="3" t="s">
        <v>59</v>
      </c>
      <c r="C64" s="3" t="s">
        <v>60</v>
      </c>
      <c r="D64" s="1" t="s">
        <v>18</v>
      </c>
      <c r="E64" s="2" t="s">
        <v>19</v>
      </c>
      <c r="F64" s="1" t="n">
        <v>20</v>
      </c>
      <c r="G64" s="2" t="s">
        <v>22</v>
      </c>
      <c r="H64" s="1" t="n">
        <v>0.1894</v>
      </c>
      <c r="I64" s="1" t="n">
        <v>0.288725961482922</v>
      </c>
      <c r="J64" s="1" t="n">
        <v>0.35294566384271</v>
      </c>
      <c r="K64" s="1" t="n">
        <f aca="false">J64-I64</f>
        <v>0.064219702359788</v>
      </c>
      <c r="L64" s="1" t="n">
        <v>0.746560934334395</v>
      </c>
    </row>
    <row r="65" customFormat="false" ht="15" hidden="false" customHeight="false" outlineLevel="0" collapsed="false">
      <c r="A65" s="3" t="s">
        <v>58</v>
      </c>
      <c r="B65" s="3" t="s">
        <v>59</v>
      </c>
      <c r="C65" s="3" t="s">
        <v>60</v>
      </c>
      <c r="D65" s="1" t="s">
        <v>18</v>
      </c>
      <c r="E65" s="2" t="s">
        <v>19</v>
      </c>
      <c r="F65" s="1" t="n">
        <v>20</v>
      </c>
      <c r="G65" s="2" t="s">
        <v>21</v>
      </c>
      <c r="H65" s="1" t="n">
        <v>0.1749</v>
      </c>
      <c r="I65" s="1" t="n">
        <v>0.266515687505835</v>
      </c>
      <c r="J65" s="1" t="n">
        <v>0.346095263675654</v>
      </c>
      <c r="K65" s="1" t="n">
        <f aca="false">J65-I65</f>
        <v>0.079579576169819</v>
      </c>
      <c r="L65" s="1" t="n">
        <v>0.746560934334395</v>
      </c>
    </row>
    <row r="66" customFormat="false" ht="15" hidden="false" customHeight="false" outlineLevel="0" collapsed="false">
      <c r="A66" s="3" t="s">
        <v>58</v>
      </c>
      <c r="B66" s="3" t="s">
        <v>59</v>
      </c>
      <c r="C66" s="3" t="s">
        <v>60</v>
      </c>
      <c r="D66" s="1" t="s">
        <v>18</v>
      </c>
      <c r="E66" s="2" t="s">
        <v>19</v>
      </c>
      <c r="F66" s="1" t="n">
        <v>20</v>
      </c>
      <c r="G66" s="2" t="s">
        <v>43</v>
      </c>
      <c r="H66" s="1" t="n">
        <v>0.1729</v>
      </c>
      <c r="I66" s="1" t="n">
        <v>0.263465123306991</v>
      </c>
      <c r="J66" s="1" t="n">
        <v>0.314127641202705</v>
      </c>
      <c r="K66" s="1" t="n">
        <f aca="false">J66-I66</f>
        <v>0.050662517895714</v>
      </c>
      <c r="L66" s="1" t="n">
        <v>0.746560934334395</v>
      </c>
    </row>
    <row r="67" customFormat="false" ht="15" hidden="false" customHeight="false" outlineLevel="0" collapsed="false">
      <c r="A67" s="3" t="s">
        <v>58</v>
      </c>
      <c r="B67" s="3" t="s">
        <v>59</v>
      </c>
      <c r="C67" s="3" t="s">
        <v>60</v>
      </c>
      <c r="D67" s="1" t="s">
        <v>18</v>
      </c>
      <c r="E67" s="2" t="s">
        <v>19</v>
      </c>
      <c r="F67" s="1" t="n">
        <v>20</v>
      </c>
      <c r="G67" s="2" t="s">
        <v>23</v>
      </c>
      <c r="H67" s="1" t="n">
        <v>0.1715</v>
      </c>
      <c r="I67" s="1" t="n">
        <v>0.261438496669833</v>
      </c>
      <c r="J67" s="1" t="n">
        <v>0.340503288973815</v>
      </c>
      <c r="K67" s="1" t="n">
        <f aca="false">J67-I67</f>
        <v>0.079064792303982</v>
      </c>
      <c r="L67" s="1" t="n">
        <v>0.746560934334395</v>
      </c>
    </row>
    <row r="68" customFormat="false" ht="15" hidden="false" customHeight="false" outlineLevel="0" collapsed="false">
      <c r="A68" s="3" t="s">
        <v>58</v>
      </c>
      <c r="B68" s="3" t="s">
        <v>59</v>
      </c>
      <c r="C68" s="3" t="s">
        <v>60</v>
      </c>
      <c r="D68" s="1" t="s">
        <v>18</v>
      </c>
      <c r="E68" s="2" t="s">
        <v>19</v>
      </c>
      <c r="F68" s="1" t="n">
        <v>20</v>
      </c>
      <c r="G68" s="2" t="s">
        <v>25</v>
      </c>
      <c r="H68" s="1" t="n">
        <v>0.1</v>
      </c>
      <c r="I68" s="1" t="n">
        <v>0.238780968033212</v>
      </c>
      <c r="J68" s="1" t="n">
        <v>0.286354286146575</v>
      </c>
      <c r="K68" s="1" t="n">
        <f aca="false">J68-I68</f>
        <v>0.047573318113363</v>
      </c>
      <c r="L68" s="1" t="n">
        <v>0.746560934334395</v>
      </c>
    </row>
    <row r="69" customFormat="false" ht="15" hidden="false" customHeight="false" outlineLevel="0" collapsed="false">
      <c r="A69" s="3" t="s">
        <v>61</v>
      </c>
      <c r="B69" s="3" t="s">
        <v>62</v>
      </c>
      <c r="C69" s="3" t="s">
        <v>63</v>
      </c>
      <c r="D69" s="1" t="s">
        <v>18</v>
      </c>
      <c r="E69" s="2" t="s">
        <v>19</v>
      </c>
      <c r="F69" s="1" t="n">
        <v>22</v>
      </c>
      <c r="G69" s="2" t="s">
        <v>20</v>
      </c>
      <c r="H69" s="1" t="n">
        <v>0.2007</v>
      </c>
      <c r="I69" s="1" t="n">
        <v>0.291102274896326</v>
      </c>
      <c r="J69" s="1" t="n">
        <v>0.341323239314151</v>
      </c>
      <c r="K69" s="1" t="n">
        <f aca="false">J69-I69</f>
        <v>0.050220964417825</v>
      </c>
      <c r="L69" s="1" t="n">
        <v>0.708796841206483</v>
      </c>
    </row>
    <row r="70" customFormat="false" ht="15" hidden="false" customHeight="false" outlineLevel="0" collapsed="false">
      <c r="A70" s="3" t="s">
        <v>61</v>
      </c>
      <c r="B70" s="3" t="s">
        <v>62</v>
      </c>
      <c r="C70" s="3" t="s">
        <v>63</v>
      </c>
      <c r="D70" s="1" t="s">
        <v>18</v>
      </c>
      <c r="E70" s="2" t="s">
        <v>19</v>
      </c>
      <c r="F70" s="1" t="n">
        <v>22</v>
      </c>
      <c r="G70" s="2" t="s">
        <v>22</v>
      </c>
      <c r="H70" s="1" t="n">
        <v>0.1999</v>
      </c>
      <c r="I70" s="1" t="n">
        <v>0.290008488207435</v>
      </c>
      <c r="J70" s="1" t="n">
        <v>0.323246898773946</v>
      </c>
      <c r="K70" s="1" t="n">
        <f aca="false">J70-I70</f>
        <v>0.033238410566511</v>
      </c>
      <c r="L70" s="1" t="n">
        <v>0.708796841206483</v>
      </c>
    </row>
    <row r="71" customFormat="false" ht="15" hidden="false" customHeight="false" outlineLevel="0" collapsed="false">
      <c r="A71" s="3" t="s">
        <v>61</v>
      </c>
      <c r="B71" s="3" t="s">
        <v>62</v>
      </c>
      <c r="C71" s="3" t="s">
        <v>63</v>
      </c>
      <c r="D71" s="1" t="s">
        <v>18</v>
      </c>
      <c r="E71" s="2" t="s">
        <v>19</v>
      </c>
      <c r="F71" s="1" t="n">
        <v>22</v>
      </c>
      <c r="G71" s="2" t="s">
        <v>23</v>
      </c>
      <c r="H71" s="1" t="n">
        <v>0.1763</v>
      </c>
      <c r="I71" s="1" t="n">
        <v>0.255696553043299</v>
      </c>
      <c r="J71" s="1" t="n">
        <v>0.306287650743908</v>
      </c>
      <c r="K71" s="1" t="n">
        <f aca="false">J71-I71</f>
        <v>0.050591097700609</v>
      </c>
      <c r="L71" s="1" t="n">
        <v>0.708796841206483</v>
      </c>
    </row>
    <row r="72" customFormat="false" ht="15" hidden="false" customHeight="false" outlineLevel="0" collapsed="false">
      <c r="A72" s="3" t="s">
        <v>61</v>
      </c>
      <c r="B72" s="3" t="s">
        <v>62</v>
      </c>
      <c r="C72" s="3" t="s">
        <v>63</v>
      </c>
      <c r="D72" s="1" t="s">
        <v>18</v>
      </c>
      <c r="E72" s="2" t="s">
        <v>19</v>
      </c>
      <c r="F72" s="1" t="n">
        <v>22</v>
      </c>
      <c r="G72" s="2" t="s">
        <v>53</v>
      </c>
      <c r="H72" s="1" t="n">
        <v>0.1633</v>
      </c>
      <c r="I72" s="1" t="n">
        <v>0.236920011200743</v>
      </c>
      <c r="J72" s="1" t="n">
        <v>0.247316359062866</v>
      </c>
      <c r="K72" s="1" t="n">
        <f aca="false">J72-I72</f>
        <v>0.010396347862123</v>
      </c>
      <c r="L72" s="1" t="n">
        <v>0.708796841206483</v>
      </c>
    </row>
    <row r="73" customFormat="false" ht="15" hidden="false" customHeight="false" outlineLevel="0" collapsed="false">
      <c r="A73" s="3" t="s">
        <v>61</v>
      </c>
      <c r="B73" s="3" t="s">
        <v>62</v>
      </c>
      <c r="C73" s="3" t="s">
        <v>63</v>
      </c>
      <c r="D73" s="1" t="s">
        <v>18</v>
      </c>
      <c r="E73" s="2" t="s">
        <v>19</v>
      </c>
      <c r="F73" s="1" t="n">
        <v>22</v>
      </c>
      <c r="G73" s="2" t="s">
        <v>21</v>
      </c>
      <c r="H73" s="1" t="n">
        <v>0.1597</v>
      </c>
      <c r="I73" s="1" t="n">
        <v>0.231646817248719</v>
      </c>
      <c r="J73" s="1" t="n">
        <v>0.297926760580819</v>
      </c>
      <c r="K73" s="1" t="n">
        <f aca="false">J73-I73</f>
        <v>0.0662799433321</v>
      </c>
      <c r="L73" s="1" t="n">
        <v>0.708796841206483</v>
      </c>
    </row>
    <row r="74" customFormat="false" ht="15" hidden="false" customHeight="false" outlineLevel="0" collapsed="false">
      <c r="A74" s="3" t="s">
        <v>61</v>
      </c>
      <c r="B74" s="3" t="s">
        <v>62</v>
      </c>
      <c r="C74" s="3" t="s">
        <v>63</v>
      </c>
      <c r="D74" s="1" t="s">
        <v>18</v>
      </c>
      <c r="E74" s="2" t="s">
        <v>19</v>
      </c>
      <c r="F74" s="1" t="n">
        <v>22</v>
      </c>
      <c r="G74" s="2" t="s">
        <v>25</v>
      </c>
      <c r="H74" s="1" t="n">
        <v>0.1</v>
      </c>
      <c r="I74" s="1" t="n">
        <v>0.190480068953139</v>
      </c>
      <c r="J74" s="1" t="n">
        <v>0.239125281791338</v>
      </c>
      <c r="K74" s="1" t="n">
        <f aca="false">J74-I74</f>
        <v>0.048645212838199</v>
      </c>
      <c r="L74" s="1" t="n">
        <v>0.708796841206483</v>
      </c>
    </row>
    <row r="75" customFormat="false" ht="15" hidden="false" customHeight="false" outlineLevel="0" collapsed="false">
      <c r="A75" s="3" t="s">
        <v>64</v>
      </c>
      <c r="B75" s="3" t="s">
        <v>65</v>
      </c>
      <c r="C75" s="3" t="s">
        <v>66</v>
      </c>
      <c r="D75" s="1" t="s">
        <v>18</v>
      </c>
      <c r="E75" s="2" t="s">
        <v>19</v>
      </c>
      <c r="F75" s="1" t="n">
        <v>24</v>
      </c>
      <c r="G75" s="2" t="s">
        <v>22</v>
      </c>
      <c r="H75" s="1" t="n">
        <v>0.1907</v>
      </c>
      <c r="I75" s="1" t="n">
        <v>0.290488072713422</v>
      </c>
      <c r="J75" s="1" t="n">
        <v>0.406939083921241</v>
      </c>
      <c r="K75" s="1" t="n">
        <f aca="false">J75-I75</f>
        <v>0.116451011207819</v>
      </c>
      <c r="L75" s="1" t="n">
        <v>0.728278817795678</v>
      </c>
    </row>
    <row r="76" customFormat="false" ht="15" hidden="false" customHeight="false" outlineLevel="0" collapsed="false">
      <c r="A76" s="3" t="s">
        <v>64</v>
      </c>
      <c r="B76" s="3" t="s">
        <v>65</v>
      </c>
      <c r="C76" s="3" t="s">
        <v>66</v>
      </c>
      <c r="D76" s="1" t="s">
        <v>18</v>
      </c>
      <c r="E76" s="2" t="s">
        <v>19</v>
      </c>
      <c r="F76" s="1" t="n">
        <v>24</v>
      </c>
      <c r="G76" s="2" t="s">
        <v>21</v>
      </c>
      <c r="H76" s="1" t="n">
        <v>0.1849</v>
      </c>
      <c r="I76" s="1" t="n">
        <v>0.281784911289244</v>
      </c>
      <c r="J76" s="1" t="n">
        <v>0.424538869052347</v>
      </c>
      <c r="K76" s="1" t="n">
        <f aca="false">J76-I76</f>
        <v>0.142753957763103</v>
      </c>
      <c r="L76" s="1" t="n">
        <v>0.728278817795678</v>
      </c>
    </row>
    <row r="77" customFormat="false" ht="15" hidden="false" customHeight="false" outlineLevel="0" collapsed="false">
      <c r="A77" s="3" t="s">
        <v>64</v>
      </c>
      <c r="B77" s="3" t="s">
        <v>65</v>
      </c>
      <c r="C77" s="3" t="s">
        <v>66</v>
      </c>
      <c r="D77" s="1" t="s">
        <v>18</v>
      </c>
      <c r="E77" s="2" t="s">
        <v>19</v>
      </c>
      <c r="F77" s="1" t="n">
        <v>24</v>
      </c>
      <c r="G77" s="2" t="s">
        <v>20</v>
      </c>
      <c r="H77" s="1" t="n">
        <v>0.182</v>
      </c>
      <c r="I77" s="1" t="n">
        <v>0.277276207086746</v>
      </c>
      <c r="J77" s="1" t="n">
        <v>0.426688837208141</v>
      </c>
      <c r="K77" s="1" t="n">
        <f aca="false">J77-I77</f>
        <v>0.149412630121395</v>
      </c>
      <c r="L77" s="1" t="n">
        <v>0.728278817795678</v>
      </c>
    </row>
    <row r="78" customFormat="false" ht="15" hidden="false" customHeight="false" outlineLevel="0" collapsed="false">
      <c r="A78" s="3" t="s">
        <v>64</v>
      </c>
      <c r="B78" s="3" t="s">
        <v>65</v>
      </c>
      <c r="C78" s="3" t="s">
        <v>66</v>
      </c>
      <c r="D78" s="1" t="s">
        <v>18</v>
      </c>
      <c r="E78" s="2" t="s">
        <v>19</v>
      </c>
      <c r="F78" s="1" t="n">
        <v>24</v>
      </c>
      <c r="G78" s="2" t="s">
        <v>23</v>
      </c>
      <c r="H78" s="1" t="n">
        <v>0.1787</v>
      </c>
      <c r="I78" s="1" t="n">
        <v>0.272202255932746</v>
      </c>
      <c r="J78" s="1" t="n">
        <v>0.370624451553635</v>
      </c>
      <c r="K78" s="1" t="n">
        <f aca="false">J78-I78</f>
        <v>0.098422195620889</v>
      </c>
      <c r="L78" s="1" t="n">
        <v>0.728278817795678</v>
      </c>
    </row>
    <row r="79" customFormat="false" ht="15" hidden="false" customHeight="false" outlineLevel="0" collapsed="false">
      <c r="A79" s="3" t="s">
        <v>64</v>
      </c>
      <c r="B79" s="3" t="s">
        <v>65</v>
      </c>
      <c r="C79" s="3" t="s">
        <v>66</v>
      </c>
      <c r="D79" s="1" t="s">
        <v>18</v>
      </c>
      <c r="E79" s="2" t="s">
        <v>19</v>
      </c>
      <c r="F79" s="1" t="n">
        <v>24</v>
      </c>
      <c r="G79" s="2" t="s">
        <v>43</v>
      </c>
      <c r="H79" s="1" t="n">
        <v>0.1638</v>
      </c>
      <c r="I79" s="1" t="n">
        <v>0.249499832273174</v>
      </c>
      <c r="J79" s="1" t="n">
        <v>0.395991224218608</v>
      </c>
      <c r="K79" s="1" t="n">
        <f aca="false">J79-I79</f>
        <v>0.146491391945434</v>
      </c>
      <c r="L79" s="1" t="n">
        <v>0.728278817795678</v>
      </c>
    </row>
    <row r="80" customFormat="false" ht="15" hidden="false" customHeight="false" outlineLevel="0" collapsed="false">
      <c r="A80" s="3" t="s">
        <v>64</v>
      </c>
      <c r="B80" s="3" t="s">
        <v>65</v>
      </c>
      <c r="C80" s="3" t="s">
        <v>66</v>
      </c>
      <c r="D80" s="1" t="s">
        <v>18</v>
      </c>
      <c r="E80" s="2" t="s">
        <v>19</v>
      </c>
      <c r="F80" s="1" t="n">
        <v>24</v>
      </c>
      <c r="G80" s="2" t="s">
        <v>25</v>
      </c>
      <c r="H80" s="1" t="n">
        <v>0.1</v>
      </c>
      <c r="I80" s="1" t="n">
        <v>0.206154553800524</v>
      </c>
      <c r="J80" s="1" t="n">
        <v>0.34121778696814</v>
      </c>
      <c r="K80" s="1" t="n">
        <f aca="false">J80-I80</f>
        <v>0.135063233167616</v>
      </c>
      <c r="L80" s="1" t="n">
        <v>0.728278817795678</v>
      </c>
    </row>
    <row r="81" customFormat="false" ht="15" hidden="false" customHeight="false" outlineLevel="0" collapsed="false">
      <c r="A81" s="3" t="s">
        <v>67</v>
      </c>
      <c r="B81" s="3" t="s">
        <v>68</v>
      </c>
      <c r="C81" s="3" t="s">
        <v>69</v>
      </c>
      <c r="D81" s="1" t="s">
        <v>18</v>
      </c>
      <c r="E81" s="2" t="s">
        <v>19</v>
      </c>
      <c r="F81" s="1" t="n">
        <v>26</v>
      </c>
      <c r="G81" s="2" t="s">
        <v>20</v>
      </c>
      <c r="H81" s="1" t="n">
        <v>0.2015</v>
      </c>
      <c r="I81" s="1" t="n">
        <v>0.353966524152906</v>
      </c>
      <c r="J81" s="1" t="n">
        <v>0.401616827585558</v>
      </c>
      <c r="K81" s="1" t="n">
        <f aca="false">J81-I81</f>
        <v>0.047650303432652</v>
      </c>
      <c r="L81" s="1" t="n">
        <v>0.765518878356676</v>
      </c>
    </row>
    <row r="82" customFormat="false" ht="15" hidden="false" customHeight="false" outlineLevel="0" collapsed="false">
      <c r="A82" s="3" t="s">
        <v>67</v>
      </c>
      <c r="B82" s="3" t="s">
        <v>68</v>
      </c>
      <c r="C82" s="3" t="s">
        <v>69</v>
      </c>
      <c r="D82" s="1" t="s">
        <v>18</v>
      </c>
      <c r="E82" s="2" t="s">
        <v>19</v>
      </c>
      <c r="F82" s="1" t="n">
        <v>26</v>
      </c>
      <c r="G82" s="2" t="s">
        <v>21</v>
      </c>
      <c r="H82" s="1" t="n">
        <v>0.1871</v>
      </c>
      <c r="I82" s="1" t="n">
        <v>0.328656008829002</v>
      </c>
      <c r="J82" s="1" t="n">
        <v>0.389890448882141</v>
      </c>
      <c r="K82" s="1" t="n">
        <f aca="false">J82-I82</f>
        <v>0.0612344400531391</v>
      </c>
      <c r="L82" s="1" t="n">
        <v>0.765518878356676</v>
      </c>
    </row>
    <row r="83" customFormat="false" ht="15" hidden="false" customHeight="false" outlineLevel="0" collapsed="false">
      <c r="A83" s="3" t="s">
        <v>67</v>
      </c>
      <c r="B83" s="3" t="s">
        <v>68</v>
      </c>
      <c r="C83" s="3" t="s">
        <v>69</v>
      </c>
      <c r="D83" s="1" t="s">
        <v>18</v>
      </c>
      <c r="E83" s="2" t="s">
        <v>19</v>
      </c>
      <c r="F83" s="1" t="n">
        <v>26</v>
      </c>
      <c r="G83" s="2" t="s">
        <v>24</v>
      </c>
      <c r="H83" s="1" t="n">
        <v>0.1735</v>
      </c>
      <c r="I83" s="1" t="n">
        <v>0.30483368253695</v>
      </c>
      <c r="J83" s="1" t="n">
        <v>0.398939126363437</v>
      </c>
      <c r="K83" s="1" t="n">
        <f aca="false">J83-I83</f>
        <v>0.094105443826487</v>
      </c>
      <c r="L83" s="1" t="n">
        <v>0.765518878356676</v>
      </c>
    </row>
    <row r="84" customFormat="false" ht="15" hidden="false" customHeight="false" outlineLevel="0" collapsed="false">
      <c r="A84" s="3" t="s">
        <v>67</v>
      </c>
      <c r="B84" s="3" t="s">
        <v>68</v>
      </c>
      <c r="C84" s="3" t="s">
        <v>69</v>
      </c>
      <c r="D84" s="1" t="s">
        <v>18</v>
      </c>
      <c r="E84" s="2" t="s">
        <v>19</v>
      </c>
      <c r="F84" s="1" t="n">
        <v>26</v>
      </c>
      <c r="G84" s="2" t="s">
        <v>22</v>
      </c>
      <c r="H84" s="1" t="n">
        <v>0.1709</v>
      </c>
      <c r="I84" s="1" t="n">
        <v>0.300289357328873</v>
      </c>
      <c r="J84" s="1" t="n">
        <v>0.325943159164276</v>
      </c>
      <c r="K84" s="1" t="n">
        <f aca="false">J84-I84</f>
        <v>0.025653801835403</v>
      </c>
      <c r="L84" s="1" t="n">
        <v>0.765518878356676</v>
      </c>
    </row>
    <row r="85" customFormat="false" ht="15" hidden="false" customHeight="false" outlineLevel="0" collapsed="false">
      <c r="A85" s="3" t="s">
        <v>67</v>
      </c>
      <c r="B85" s="3" t="s">
        <v>68</v>
      </c>
      <c r="C85" s="3" t="s">
        <v>69</v>
      </c>
      <c r="D85" s="1" t="s">
        <v>18</v>
      </c>
      <c r="E85" s="2" t="s">
        <v>19</v>
      </c>
      <c r="F85" s="1" t="n">
        <v>26</v>
      </c>
      <c r="G85" s="2" t="s">
        <v>23</v>
      </c>
      <c r="H85" s="1" t="n">
        <v>0.1671</v>
      </c>
      <c r="I85" s="1" t="n">
        <v>0.293536866263837</v>
      </c>
      <c r="J85" s="1" t="n">
        <v>0.340534190880673</v>
      </c>
      <c r="K85" s="1" t="n">
        <f aca="false">J85-I85</f>
        <v>0.046997324616836</v>
      </c>
      <c r="L85" s="1" t="n">
        <v>0.765518878356676</v>
      </c>
    </row>
    <row r="86" customFormat="false" ht="15" hidden="false" customHeight="false" outlineLevel="0" collapsed="false">
      <c r="A86" s="3" t="s">
        <v>67</v>
      </c>
      <c r="B86" s="3" t="s">
        <v>68</v>
      </c>
      <c r="C86" s="3" t="s">
        <v>69</v>
      </c>
      <c r="D86" s="1" t="s">
        <v>18</v>
      </c>
      <c r="E86" s="2" t="s">
        <v>19</v>
      </c>
      <c r="F86" s="1" t="n">
        <v>26</v>
      </c>
      <c r="G86" s="2" t="s">
        <v>25</v>
      </c>
      <c r="H86" s="1" t="n">
        <v>0.1</v>
      </c>
      <c r="I86" s="1" t="n">
        <v>0.247794334512434</v>
      </c>
      <c r="J86" s="1" t="n">
        <v>0.282537166173153</v>
      </c>
      <c r="K86" s="1" t="n">
        <f aca="false">J86-I86</f>
        <v>0.034742831660719</v>
      </c>
      <c r="L86" s="1" t="n">
        <v>0.765518878356676</v>
      </c>
    </row>
    <row r="87" customFormat="false" ht="15" hidden="false" customHeight="false" outlineLevel="0" collapsed="false">
      <c r="A87" s="3" t="s">
        <v>70</v>
      </c>
      <c r="B87" s="3" t="s">
        <v>71</v>
      </c>
      <c r="C87" s="3" t="s">
        <v>72</v>
      </c>
      <c r="D87" s="1" t="s">
        <v>18</v>
      </c>
      <c r="E87" s="2" t="s">
        <v>19</v>
      </c>
      <c r="F87" s="1" t="n">
        <v>28</v>
      </c>
      <c r="G87" s="2" t="s">
        <v>24</v>
      </c>
      <c r="H87" s="1" t="n">
        <v>0.1945</v>
      </c>
      <c r="I87" s="1" t="n">
        <v>0.34470353207292</v>
      </c>
      <c r="J87" s="1" t="n">
        <v>0.386564420206152</v>
      </c>
      <c r="K87" s="1" t="n">
        <f aca="false">J87-I87</f>
        <v>0.041860888133232</v>
      </c>
      <c r="L87" s="1" t="n">
        <v>0.814180995864153</v>
      </c>
    </row>
    <row r="88" customFormat="false" ht="15" hidden="false" customHeight="false" outlineLevel="0" collapsed="false">
      <c r="A88" s="3" t="s">
        <v>70</v>
      </c>
      <c r="B88" s="3" t="s">
        <v>71</v>
      </c>
      <c r="C88" s="3" t="s">
        <v>72</v>
      </c>
      <c r="D88" s="1" t="s">
        <v>18</v>
      </c>
      <c r="E88" s="2" t="s">
        <v>19</v>
      </c>
      <c r="F88" s="1" t="n">
        <v>28</v>
      </c>
      <c r="G88" s="2" t="s">
        <v>20</v>
      </c>
      <c r="H88" s="1" t="n">
        <v>0.1893</v>
      </c>
      <c r="I88" s="1" t="n">
        <v>0.335469982039835</v>
      </c>
      <c r="J88" s="1" t="n">
        <v>0.394541311431234</v>
      </c>
      <c r="K88" s="1" t="n">
        <f aca="false">J88-I88</f>
        <v>0.059071329391399</v>
      </c>
      <c r="L88" s="1" t="n">
        <v>0.814180995864153</v>
      </c>
    </row>
    <row r="89" customFormat="false" ht="15" hidden="false" customHeight="false" outlineLevel="0" collapsed="false">
      <c r="A89" s="3" t="s">
        <v>70</v>
      </c>
      <c r="B89" s="3" t="s">
        <v>71</v>
      </c>
      <c r="C89" s="3" t="s">
        <v>72</v>
      </c>
      <c r="D89" s="1" t="s">
        <v>18</v>
      </c>
      <c r="E89" s="2" t="s">
        <v>19</v>
      </c>
      <c r="F89" s="1" t="n">
        <v>28</v>
      </c>
      <c r="G89" s="2" t="s">
        <v>21</v>
      </c>
      <c r="H89" s="1" t="n">
        <v>0.1866</v>
      </c>
      <c r="I89" s="1" t="n">
        <v>0.330757348487575</v>
      </c>
      <c r="J89" s="1" t="n">
        <v>0.387868638800758</v>
      </c>
      <c r="K89" s="1" t="n">
        <f aca="false">J89-I89</f>
        <v>0.057111290313183</v>
      </c>
      <c r="L89" s="1" t="n">
        <v>0.814180995864153</v>
      </c>
    </row>
    <row r="90" customFormat="false" ht="15" hidden="false" customHeight="false" outlineLevel="0" collapsed="false">
      <c r="A90" s="3" t="s">
        <v>70</v>
      </c>
      <c r="B90" s="3" t="s">
        <v>71</v>
      </c>
      <c r="C90" s="3" t="s">
        <v>72</v>
      </c>
      <c r="D90" s="1" t="s">
        <v>18</v>
      </c>
      <c r="E90" s="2" t="s">
        <v>19</v>
      </c>
      <c r="F90" s="1" t="n">
        <v>28</v>
      </c>
      <c r="G90" s="2" t="s">
        <v>23</v>
      </c>
      <c r="H90" s="1" t="n">
        <v>0.1666</v>
      </c>
      <c r="I90" s="1" t="n">
        <v>0.295211305310817</v>
      </c>
      <c r="J90" s="1" t="n">
        <v>0.328882880824392</v>
      </c>
      <c r="K90" s="1" t="n">
        <f aca="false">J90-I90</f>
        <v>0.033671575513575</v>
      </c>
      <c r="L90" s="1" t="n">
        <v>0.814180995864153</v>
      </c>
    </row>
    <row r="91" customFormat="false" ht="15" hidden="false" customHeight="false" outlineLevel="0" collapsed="false">
      <c r="A91" s="3" t="s">
        <v>70</v>
      </c>
      <c r="B91" s="3" t="s">
        <v>71</v>
      </c>
      <c r="C91" s="3" t="s">
        <v>72</v>
      </c>
      <c r="D91" s="1" t="s">
        <v>18</v>
      </c>
      <c r="E91" s="2" t="s">
        <v>19</v>
      </c>
      <c r="F91" s="1" t="n">
        <v>28</v>
      </c>
      <c r="G91" s="2" t="s">
        <v>30</v>
      </c>
      <c r="H91" s="1" t="n">
        <v>0.163</v>
      </c>
      <c r="I91" s="1" t="n">
        <v>0.288900932135828</v>
      </c>
      <c r="J91" s="1" t="n">
        <v>0.351046797626437</v>
      </c>
      <c r="K91" s="1" t="n">
        <f aca="false">J91-I91</f>
        <v>0.062145865490609</v>
      </c>
      <c r="L91" s="1" t="n">
        <v>0.814180995864153</v>
      </c>
    </row>
    <row r="92" customFormat="false" ht="15" hidden="false" customHeight="false" outlineLevel="0" collapsed="false">
      <c r="A92" s="3" t="s">
        <v>70</v>
      </c>
      <c r="B92" s="3" t="s">
        <v>71</v>
      </c>
      <c r="C92" s="3" t="s">
        <v>72</v>
      </c>
      <c r="D92" s="1" t="s">
        <v>18</v>
      </c>
      <c r="E92" s="2" t="s">
        <v>19</v>
      </c>
      <c r="F92" s="1" t="n">
        <v>28</v>
      </c>
      <c r="G92" s="2" t="s">
        <v>25</v>
      </c>
      <c r="H92" s="1" t="n">
        <v>0.1</v>
      </c>
      <c r="I92" s="1" t="n">
        <v>0.235269477100391</v>
      </c>
      <c r="J92" s="1" t="n">
        <v>0.307820371419127</v>
      </c>
      <c r="K92" s="1" t="n">
        <f aca="false">J92-I92</f>
        <v>0.072550894318736</v>
      </c>
      <c r="L92" s="1" t="n">
        <v>0.814180995864153</v>
      </c>
    </row>
    <row r="93" customFormat="false" ht="15" hidden="false" customHeight="false" outlineLevel="0" collapsed="false">
      <c r="A93" s="3" t="s">
        <v>73</v>
      </c>
      <c r="B93" s="3" t="s">
        <v>74</v>
      </c>
      <c r="C93" s="3" t="s">
        <v>75</v>
      </c>
      <c r="D93" s="1" t="s">
        <v>18</v>
      </c>
      <c r="E93" s="2" t="s">
        <v>19</v>
      </c>
      <c r="F93" s="1" t="n">
        <v>30</v>
      </c>
      <c r="G93" s="2" t="s">
        <v>24</v>
      </c>
      <c r="H93" s="1" t="n">
        <v>0.1949</v>
      </c>
      <c r="I93" s="1" t="n">
        <v>0.288220562869148</v>
      </c>
      <c r="J93" s="1" t="n">
        <v>0.388469226812257</v>
      </c>
      <c r="K93" s="1" t="n">
        <f aca="false">J93-I93</f>
        <v>0.100248663943109</v>
      </c>
      <c r="L93" s="1" t="n">
        <v>0.711762183520106</v>
      </c>
    </row>
    <row r="94" customFormat="false" ht="15" hidden="false" customHeight="false" outlineLevel="0" collapsed="false">
      <c r="A94" s="3" t="s">
        <v>73</v>
      </c>
      <c r="B94" s="3" t="s">
        <v>74</v>
      </c>
      <c r="C94" s="3" t="s">
        <v>75</v>
      </c>
      <c r="D94" s="1" t="s">
        <v>18</v>
      </c>
      <c r="E94" s="2" t="s">
        <v>19</v>
      </c>
      <c r="F94" s="1" t="n">
        <v>30</v>
      </c>
      <c r="G94" s="2" t="s">
        <v>20</v>
      </c>
      <c r="H94" s="1" t="n">
        <v>0.1876</v>
      </c>
      <c r="I94" s="1" t="n">
        <v>0.277466244410368</v>
      </c>
      <c r="J94" s="1" t="n">
        <v>0.36138910207074</v>
      </c>
      <c r="K94" s="1" t="n">
        <f aca="false">J94-I94</f>
        <v>0.083922857660372</v>
      </c>
      <c r="L94" s="1" t="n">
        <v>0.711762183520106</v>
      </c>
    </row>
    <row r="95" customFormat="false" ht="15" hidden="false" customHeight="false" outlineLevel="0" collapsed="false">
      <c r="A95" s="3" t="s">
        <v>73</v>
      </c>
      <c r="B95" s="3" t="s">
        <v>74</v>
      </c>
      <c r="C95" s="3" t="s">
        <v>75</v>
      </c>
      <c r="D95" s="1" t="s">
        <v>18</v>
      </c>
      <c r="E95" s="2" t="s">
        <v>19</v>
      </c>
      <c r="F95" s="1" t="n">
        <v>30</v>
      </c>
      <c r="G95" s="2" t="s">
        <v>43</v>
      </c>
      <c r="H95" s="1" t="n">
        <v>0.1738</v>
      </c>
      <c r="I95" s="1" t="n">
        <v>0.257017626506548</v>
      </c>
      <c r="J95" s="1" t="n">
        <v>0.330485149578207</v>
      </c>
      <c r="K95" s="1" t="n">
        <f aca="false">J95-I95</f>
        <v>0.073467523071659</v>
      </c>
      <c r="L95" s="1" t="n">
        <v>0.711762183520106</v>
      </c>
    </row>
    <row r="96" customFormat="false" ht="15" hidden="false" customHeight="false" outlineLevel="0" collapsed="false">
      <c r="A96" s="3" t="s">
        <v>73</v>
      </c>
      <c r="B96" s="3" t="s">
        <v>74</v>
      </c>
      <c r="C96" s="3" t="s">
        <v>75</v>
      </c>
      <c r="D96" s="1" t="s">
        <v>18</v>
      </c>
      <c r="E96" s="2" t="s">
        <v>19</v>
      </c>
      <c r="F96" s="1" t="n">
        <v>30</v>
      </c>
      <c r="G96" s="2" t="s">
        <v>21</v>
      </c>
      <c r="H96" s="1" t="n">
        <v>0.1731</v>
      </c>
      <c r="I96" s="1" t="n">
        <v>0.256048471461036</v>
      </c>
      <c r="J96" s="1" t="n">
        <v>0.332901594810785</v>
      </c>
      <c r="K96" s="1" t="n">
        <f aca="false">J96-I96</f>
        <v>0.076853123349749</v>
      </c>
      <c r="L96" s="1" t="n">
        <v>0.711762183520106</v>
      </c>
    </row>
    <row r="97" customFormat="false" ht="15" hidden="false" customHeight="false" outlineLevel="0" collapsed="false">
      <c r="A97" s="3" t="s">
        <v>73</v>
      </c>
      <c r="B97" s="3" t="s">
        <v>74</v>
      </c>
      <c r="C97" s="3" t="s">
        <v>75</v>
      </c>
      <c r="D97" s="1" t="s">
        <v>18</v>
      </c>
      <c r="E97" s="2" t="s">
        <v>19</v>
      </c>
      <c r="F97" s="1" t="n">
        <v>30</v>
      </c>
      <c r="G97" s="2" t="s">
        <v>22</v>
      </c>
      <c r="H97" s="1" t="n">
        <v>0.1707</v>
      </c>
      <c r="I97" s="1" t="n">
        <v>0.252502748000397</v>
      </c>
      <c r="J97" s="1" t="n">
        <v>0.357511462276092</v>
      </c>
      <c r="K97" s="1" t="n">
        <f aca="false">J97-I97</f>
        <v>0.105008714275695</v>
      </c>
      <c r="L97" s="1" t="n">
        <v>0.711762183520106</v>
      </c>
    </row>
    <row r="98" customFormat="false" ht="15" hidden="false" customHeight="false" outlineLevel="0" collapsed="false">
      <c r="A98" s="3" t="s">
        <v>73</v>
      </c>
      <c r="B98" s="3" t="s">
        <v>74</v>
      </c>
      <c r="C98" s="3" t="s">
        <v>75</v>
      </c>
      <c r="D98" s="1" t="s">
        <v>18</v>
      </c>
      <c r="E98" s="2" t="s">
        <v>19</v>
      </c>
      <c r="F98" s="1" t="n">
        <v>30</v>
      </c>
      <c r="G98" s="2" t="s">
        <v>25</v>
      </c>
      <c r="H98" s="1" t="n">
        <v>0.1</v>
      </c>
      <c r="I98" s="1" t="n">
        <v>0.225342527159777</v>
      </c>
      <c r="J98" s="1" t="n">
        <v>0.290152993825923</v>
      </c>
      <c r="K98" s="1" t="n">
        <f aca="false">J98-I98</f>
        <v>0.064810466666146</v>
      </c>
      <c r="L98" s="1" t="n">
        <v>0.711762183520106</v>
      </c>
    </row>
    <row r="99" customFormat="false" ht="15" hidden="false" customHeight="false" outlineLevel="0" collapsed="false">
      <c r="A99" s="3" t="s">
        <v>76</v>
      </c>
      <c r="B99" s="3" t="s">
        <v>77</v>
      </c>
      <c r="C99" s="3" t="s">
        <v>78</v>
      </c>
      <c r="D99" s="1" t="s">
        <v>18</v>
      </c>
      <c r="E99" s="2" t="s">
        <v>19</v>
      </c>
      <c r="F99" s="1" t="n">
        <v>32</v>
      </c>
      <c r="G99" s="2" t="s">
        <v>24</v>
      </c>
      <c r="H99" s="1" t="n">
        <v>0.1883</v>
      </c>
      <c r="I99" s="1" t="n">
        <v>0.294877795087022</v>
      </c>
      <c r="J99" s="1" t="n">
        <v>0.34738812075869</v>
      </c>
      <c r="K99" s="1" t="n">
        <f aca="false">J99-I99</f>
        <v>0.052510325671668</v>
      </c>
      <c r="L99" s="1" t="n">
        <v>0.766589952746506</v>
      </c>
    </row>
    <row r="100" customFormat="false" ht="15" hidden="false" customHeight="false" outlineLevel="0" collapsed="false">
      <c r="A100" s="3" t="s">
        <v>76</v>
      </c>
      <c r="B100" s="3" t="s">
        <v>77</v>
      </c>
      <c r="C100" s="3" t="s">
        <v>78</v>
      </c>
      <c r="D100" s="1" t="s">
        <v>18</v>
      </c>
      <c r="E100" s="2" t="s">
        <v>19</v>
      </c>
      <c r="F100" s="1" t="n">
        <v>32</v>
      </c>
      <c r="G100" s="2" t="s">
        <v>20</v>
      </c>
      <c r="H100" s="1" t="n">
        <v>0.1868</v>
      </c>
      <c r="I100" s="1" t="n">
        <v>0.292531442438631</v>
      </c>
      <c r="J100" s="1" t="n">
        <v>0.394931033032058</v>
      </c>
      <c r="K100" s="1" t="n">
        <f aca="false">J100-I100</f>
        <v>0.102399590593427</v>
      </c>
      <c r="L100" s="1" t="n">
        <v>0.766589952746506</v>
      </c>
    </row>
    <row r="101" customFormat="false" ht="15" hidden="false" customHeight="false" outlineLevel="0" collapsed="false">
      <c r="A101" s="3" t="s">
        <v>76</v>
      </c>
      <c r="B101" s="3" t="s">
        <v>77</v>
      </c>
      <c r="C101" s="3" t="s">
        <v>78</v>
      </c>
      <c r="D101" s="1" t="s">
        <v>18</v>
      </c>
      <c r="E101" s="2" t="s">
        <v>19</v>
      </c>
      <c r="F101" s="1" t="n">
        <v>32</v>
      </c>
      <c r="G101" s="2" t="s">
        <v>23</v>
      </c>
      <c r="H101" s="1" t="n">
        <v>0.1817</v>
      </c>
      <c r="I101" s="1" t="n">
        <v>0.284474855991042</v>
      </c>
      <c r="J101" s="1" t="n">
        <v>0.343898521793335</v>
      </c>
      <c r="K101" s="1" t="n">
        <f aca="false">J101-I101</f>
        <v>0.059423665802293</v>
      </c>
      <c r="L101" s="1" t="n">
        <v>0.766589952746506</v>
      </c>
    </row>
    <row r="102" customFormat="false" ht="15" hidden="false" customHeight="false" outlineLevel="0" collapsed="false">
      <c r="A102" s="3" t="s">
        <v>76</v>
      </c>
      <c r="B102" s="3" t="s">
        <v>77</v>
      </c>
      <c r="C102" s="3" t="s">
        <v>78</v>
      </c>
      <c r="D102" s="1" t="s">
        <v>18</v>
      </c>
      <c r="E102" s="2" t="s">
        <v>19</v>
      </c>
      <c r="F102" s="1" t="n">
        <v>32</v>
      </c>
      <c r="G102" s="2" t="s">
        <v>53</v>
      </c>
      <c r="H102" s="1" t="n">
        <v>0.1738</v>
      </c>
      <c r="I102" s="1" t="n">
        <v>0.272100902950665</v>
      </c>
      <c r="J102" s="1" t="n">
        <v>0.31549044340325</v>
      </c>
      <c r="K102" s="1" t="n">
        <f aca="false">J102-I102</f>
        <v>0.043389540452585</v>
      </c>
      <c r="L102" s="1" t="n">
        <v>0.766589952746506</v>
      </c>
    </row>
    <row r="103" customFormat="false" ht="15" hidden="false" customHeight="false" outlineLevel="0" collapsed="false">
      <c r="A103" s="3" t="s">
        <v>76</v>
      </c>
      <c r="B103" s="3" t="s">
        <v>77</v>
      </c>
      <c r="C103" s="3" t="s">
        <v>78</v>
      </c>
      <c r="D103" s="1" t="s">
        <v>18</v>
      </c>
      <c r="E103" s="2" t="s">
        <v>19</v>
      </c>
      <c r="F103" s="1" t="n">
        <v>32</v>
      </c>
      <c r="G103" s="2" t="s">
        <v>22</v>
      </c>
      <c r="H103" s="1" t="n">
        <v>0.1694</v>
      </c>
      <c r="I103" s="1" t="n">
        <v>0.265235007284602</v>
      </c>
      <c r="J103" s="1" t="n">
        <v>0.349852890887942</v>
      </c>
      <c r="K103" s="1" t="n">
        <f aca="false">J103-I103</f>
        <v>0.0846178836033401</v>
      </c>
      <c r="L103" s="1" t="n">
        <v>0.766589952746506</v>
      </c>
    </row>
    <row r="104" customFormat="false" ht="15" hidden="false" customHeight="false" outlineLevel="0" collapsed="false">
      <c r="A104" s="3" t="s">
        <v>76</v>
      </c>
      <c r="B104" s="3" t="s">
        <v>77</v>
      </c>
      <c r="C104" s="3" t="s">
        <v>78</v>
      </c>
      <c r="D104" s="1" t="s">
        <v>18</v>
      </c>
      <c r="E104" s="2" t="s">
        <v>19</v>
      </c>
      <c r="F104" s="1" t="n">
        <v>32</v>
      </c>
      <c r="G104" s="2" t="s">
        <v>25</v>
      </c>
      <c r="H104" s="1" t="n">
        <v>0.1</v>
      </c>
      <c r="I104" s="1" t="n">
        <v>0.231610667993715</v>
      </c>
      <c r="J104" s="1" t="n">
        <v>0.291592031401444</v>
      </c>
      <c r="K104" s="1" t="n">
        <f aca="false">J104-I104</f>
        <v>0.059981363407729</v>
      </c>
      <c r="L104" s="1" t="n">
        <v>0.766589952746506</v>
      </c>
    </row>
    <row r="105" customFormat="false" ht="15" hidden="false" customHeight="false" outlineLevel="0" collapsed="false">
      <c r="A105" s="3" t="s">
        <v>79</v>
      </c>
      <c r="B105" s="3" t="s">
        <v>80</v>
      </c>
      <c r="C105" s="3" t="s">
        <v>81</v>
      </c>
      <c r="D105" s="1" t="s">
        <v>18</v>
      </c>
      <c r="E105" s="2" t="s">
        <v>19</v>
      </c>
      <c r="F105" s="1" t="n">
        <v>34</v>
      </c>
      <c r="G105" s="2" t="s">
        <v>20</v>
      </c>
      <c r="H105" s="1" t="n">
        <v>0.2091</v>
      </c>
      <c r="I105" s="1" t="n">
        <v>0.357182637646683</v>
      </c>
      <c r="J105" s="1" t="n">
        <v>0.392990696627743</v>
      </c>
      <c r="K105" s="1" t="n">
        <f aca="false">J105-I105</f>
        <v>0.03580805898106</v>
      </c>
      <c r="L105" s="1" t="n">
        <v>0.744973965638361</v>
      </c>
    </row>
    <row r="106" customFormat="false" ht="15" hidden="false" customHeight="false" outlineLevel="0" collapsed="false">
      <c r="A106" s="3" t="s">
        <v>79</v>
      </c>
      <c r="B106" s="3" t="s">
        <v>80</v>
      </c>
      <c r="C106" s="3" t="s">
        <v>81</v>
      </c>
      <c r="D106" s="1" t="s">
        <v>18</v>
      </c>
      <c r="E106" s="2" t="s">
        <v>19</v>
      </c>
      <c r="F106" s="1" t="n">
        <v>34</v>
      </c>
      <c r="G106" s="2" t="s">
        <v>23</v>
      </c>
      <c r="H106" s="1" t="n">
        <v>0.1819</v>
      </c>
      <c r="I106" s="1" t="n">
        <v>0.310855816170059</v>
      </c>
      <c r="J106" s="1" t="n">
        <v>0.327093466878909</v>
      </c>
      <c r="K106" s="1" t="n">
        <f aca="false">J106-I106</f>
        <v>0.01623765070885</v>
      </c>
      <c r="L106" s="1" t="n">
        <v>0.744973965638361</v>
      </c>
    </row>
    <row r="107" customFormat="false" ht="15" hidden="false" customHeight="false" outlineLevel="0" collapsed="false">
      <c r="A107" s="3" t="s">
        <v>79</v>
      </c>
      <c r="B107" s="3" t="s">
        <v>80</v>
      </c>
      <c r="C107" s="3" t="s">
        <v>81</v>
      </c>
      <c r="D107" s="1" t="s">
        <v>18</v>
      </c>
      <c r="E107" s="2" t="s">
        <v>19</v>
      </c>
      <c r="F107" s="1" t="n">
        <v>34</v>
      </c>
      <c r="G107" s="2" t="s">
        <v>21</v>
      </c>
      <c r="H107" s="1" t="n">
        <v>0.1751</v>
      </c>
      <c r="I107" s="1" t="n">
        <v>0.299234101214143</v>
      </c>
      <c r="J107" s="1" t="n">
        <v>0.356749949472234</v>
      </c>
      <c r="K107" s="1" t="n">
        <f aca="false">J107-I107</f>
        <v>0.057515848258091</v>
      </c>
      <c r="L107" s="1" t="n">
        <v>0.744973965638361</v>
      </c>
    </row>
    <row r="108" customFormat="false" ht="15" hidden="false" customHeight="false" outlineLevel="0" collapsed="false">
      <c r="A108" s="3" t="s">
        <v>79</v>
      </c>
      <c r="B108" s="3" t="s">
        <v>80</v>
      </c>
      <c r="C108" s="3" t="s">
        <v>81</v>
      </c>
      <c r="D108" s="1" t="s">
        <v>18</v>
      </c>
      <c r="E108" s="2" t="s">
        <v>19</v>
      </c>
      <c r="F108" s="1" t="n">
        <v>34</v>
      </c>
      <c r="G108" s="2" t="s">
        <v>22</v>
      </c>
      <c r="H108" s="1" t="n">
        <v>0.1688</v>
      </c>
      <c r="I108" s="1" t="n">
        <v>0.288392182287896</v>
      </c>
      <c r="J108" s="1" t="n">
        <v>0.299280873568487</v>
      </c>
      <c r="K108" s="1" t="n">
        <f aca="false">J108-I108</f>
        <v>0.010888691280591</v>
      </c>
      <c r="L108" s="1" t="n">
        <v>0.744973965638361</v>
      </c>
    </row>
    <row r="109" customFormat="false" ht="15" hidden="false" customHeight="false" outlineLevel="0" collapsed="false">
      <c r="A109" s="3" t="s">
        <v>79</v>
      </c>
      <c r="B109" s="3" t="s">
        <v>80</v>
      </c>
      <c r="C109" s="3" t="s">
        <v>81</v>
      </c>
      <c r="D109" s="1" t="s">
        <v>18</v>
      </c>
      <c r="E109" s="2" t="s">
        <v>19</v>
      </c>
      <c r="F109" s="1" t="n">
        <v>34</v>
      </c>
      <c r="G109" s="2" t="s">
        <v>43</v>
      </c>
      <c r="H109" s="1" t="n">
        <v>0.1651</v>
      </c>
      <c r="I109" s="1" t="n">
        <v>0.282042714101263</v>
      </c>
      <c r="J109" s="1" t="n">
        <v>0.307159365458683</v>
      </c>
      <c r="K109" s="1" t="n">
        <f aca="false">J109-I109</f>
        <v>0.02511665135742</v>
      </c>
      <c r="L109" s="1" t="n">
        <v>0.744973965638361</v>
      </c>
    </row>
    <row r="110" customFormat="false" ht="15" hidden="false" customHeight="false" outlineLevel="0" collapsed="false">
      <c r="A110" s="3" t="s">
        <v>79</v>
      </c>
      <c r="B110" s="3" t="s">
        <v>80</v>
      </c>
      <c r="C110" s="3" t="s">
        <v>81</v>
      </c>
      <c r="D110" s="1" t="s">
        <v>18</v>
      </c>
      <c r="E110" s="2" t="s">
        <v>19</v>
      </c>
      <c r="F110" s="1" t="n">
        <v>34</v>
      </c>
      <c r="G110" s="2" t="s">
        <v>25</v>
      </c>
      <c r="H110" s="1" t="n">
        <v>0.1</v>
      </c>
      <c r="I110" s="1" t="n">
        <v>0.256376422266758</v>
      </c>
      <c r="J110" s="1" t="n">
        <v>0.334200752582488</v>
      </c>
      <c r="K110" s="1" t="n">
        <f aca="false">J110-I110</f>
        <v>0.07782433031573</v>
      </c>
      <c r="L110" s="1" t="n">
        <v>0.744973965638361</v>
      </c>
    </row>
    <row r="111" customFormat="false" ht="15" hidden="false" customHeight="false" outlineLevel="0" collapsed="false">
      <c r="A111" s="3" t="s">
        <v>82</v>
      </c>
      <c r="B111" s="3" t="s">
        <v>83</v>
      </c>
      <c r="C111" s="3" t="s">
        <v>84</v>
      </c>
      <c r="D111" s="1" t="s">
        <v>18</v>
      </c>
      <c r="E111" s="2" t="s">
        <v>19</v>
      </c>
      <c r="F111" s="1" t="n">
        <v>36</v>
      </c>
      <c r="G111" s="2" t="s">
        <v>20</v>
      </c>
      <c r="H111" s="1" t="n">
        <v>0.1978</v>
      </c>
      <c r="I111" s="1" t="n">
        <v>0.359102166153784</v>
      </c>
      <c r="J111" s="1" t="n">
        <v>0.415518133148082</v>
      </c>
      <c r="K111" s="1" t="n">
        <f aca="false">J111-I111</f>
        <v>0.056415966994298</v>
      </c>
      <c r="L111" s="1" t="n">
        <v>0.80774841591924</v>
      </c>
    </row>
    <row r="112" customFormat="false" ht="15" hidden="false" customHeight="false" outlineLevel="0" collapsed="false">
      <c r="A112" s="3" t="s">
        <v>82</v>
      </c>
      <c r="B112" s="3" t="s">
        <v>83</v>
      </c>
      <c r="C112" s="3" t="s">
        <v>84</v>
      </c>
      <c r="D112" s="1" t="s">
        <v>18</v>
      </c>
      <c r="E112" s="2" t="s">
        <v>19</v>
      </c>
      <c r="F112" s="1" t="n">
        <v>36</v>
      </c>
      <c r="G112" s="2" t="s">
        <v>43</v>
      </c>
      <c r="H112" s="1" t="n">
        <v>0.1784</v>
      </c>
      <c r="I112" s="1" t="n">
        <v>0.323817035149239</v>
      </c>
      <c r="J112" s="1" t="n">
        <v>0.40196660008011</v>
      </c>
      <c r="K112" s="1" t="n">
        <f aca="false">J112-I112</f>
        <v>0.078149564930871</v>
      </c>
      <c r="L112" s="1" t="n">
        <v>0.80774841591924</v>
      </c>
    </row>
    <row r="113" customFormat="false" ht="15" hidden="false" customHeight="false" outlineLevel="0" collapsed="false">
      <c r="A113" s="3" t="s">
        <v>82</v>
      </c>
      <c r="B113" s="3" t="s">
        <v>83</v>
      </c>
      <c r="C113" s="3" t="s">
        <v>84</v>
      </c>
      <c r="D113" s="1" t="s">
        <v>18</v>
      </c>
      <c r="E113" s="2" t="s">
        <v>19</v>
      </c>
      <c r="F113" s="1" t="n">
        <v>36</v>
      </c>
      <c r="G113" s="2" t="s">
        <v>21</v>
      </c>
      <c r="H113" s="1" t="n">
        <v>0.1676</v>
      </c>
      <c r="I113" s="1" t="n">
        <v>0.30426128302148</v>
      </c>
      <c r="J113" s="1" t="n">
        <v>0.391421216576389</v>
      </c>
      <c r="K113" s="1" t="n">
        <f aca="false">J113-I113</f>
        <v>0.087159933554909</v>
      </c>
      <c r="L113" s="1" t="n">
        <v>0.80774841591924</v>
      </c>
    </row>
    <row r="114" customFormat="false" ht="15" hidden="false" customHeight="false" outlineLevel="0" collapsed="false">
      <c r="A114" s="3" t="s">
        <v>82</v>
      </c>
      <c r="B114" s="3" t="s">
        <v>83</v>
      </c>
      <c r="C114" s="3" t="s">
        <v>84</v>
      </c>
      <c r="D114" s="1" t="s">
        <v>18</v>
      </c>
      <c r="E114" s="2" t="s">
        <v>19</v>
      </c>
      <c r="F114" s="1" t="n">
        <v>36</v>
      </c>
      <c r="G114" s="2" t="s">
        <v>25</v>
      </c>
      <c r="H114" s="1" t="n">
        <v>0.1536</v>
      </c>
      <c r="I114" s="1" t="n">
        <v>0.278870396777633</v>
      </c>
      <c r="J114" s="1" t="n">
        <v>0.351298723071414</v>
      </c>
      <c r="K114" s="1" t="n">
        <f aca="false">J114-I114</f>
        <v>0.072428326293781</v>
      </c>
      <c r="L114" s="1" t="n">
        <v>0.80774841591924</v>
      </c>
    </row>
    <row r="115" customFormat="false" ht="15" hidden="false" customHeight="false" outlineLevel="0" collapsed="false">
      <c r="A115" s="3" t="s">
        <v>82</v>
      </c>
      <c r="B115" s="3" t="s">
        <v>83</v>
      </c>
      <c r="C115" s="3" t="s">
        <v>84</v>
      </c>
      <c r="D115" s="1" t="s">
        <v>18</v>
      </c>
      <c r="E115" s="2" t="s">
        <v>19</v>
      </c>
      <c r="F115" s="1" t="n">
        <v>36</v>
      </c>
      <c r="G115" s="2" t="s">
        <v>30</v>
      </c>
      <c r="H115" s="1" t="n">
        <v>0.1533</v>
      </c>
      <c r="I115" s="1" t="n">
        <v>0.278311095924882</v>
      </c>
      <c r="J115" s="1" t="n">
        <v>0.348503622316809</v>
      </c>
      <c r="K115" s="1" t="n">
        <f aca="false">J115-I115</f>
        <v>0.070192526391927</v>
      </c>
      <c r="L115" s="1" t="n">
        <v>0.80774841591924</v>
      </c>
    </row>
    <row r="116" customFormat="false" ht="15" hidden="false" customHeight="false" outlineLevel="0" collapsed="false">
      <c r="A116" s="3" t="s">
        <v>82</v>
      </c>
      <c r="B116" s="3" t="s">
        <v>83</v>
      </c>
      <c r="C116" s="3" t="s">
        <v>84</v>
      </c>
      <c r="D116" s="1" t="s">
        <v>18</v>
      </c>
      <c r="E116" s="2" t="s">
        <v>19</v>
      </c>
      <c r="F116" s="1" t="n">
        <v>36</v>
      </c>
      <c r="G116" s="2" t="s">
        <v>23</v>
      </c>
      <c r="H116" s="1" t="n">
        <v>0.1494</v>
      </c>
      <c r="I116" s="1" t="n">
        <v>0.27126107955978</v>
      </c>
      <c r="J116" s="1" t="n">
        <v>0.359351606344923</v>
      </c>
      <c r="K116" s="1" t="n">
        <f aca="false">J116-I116</f>
        <v>0.088090526785143</v>
      </c>
      <c r="L116" s="1" t="n">
        <v>0.80774841591924</v>
      </c>
    </row>
    <row r="117" customFormat="false" ht="15" hidden="false" customHeight="false" outlineLevel="0" collapsed="false">
      <c r="A117" s="3" t="s">
        <v>85</v>
      </c>
      <c r="B117" s="3" t="s">
        <v>86</v>
      </c>
      <c r="C117" s="3" t="s">
        <v>87</v>
      </c>
      <c r="D117" s="1" t="s">
        <v>18</v>
      </c>
      <c r="E117" s="2" t="s">
        <v>19</v>
      </c>
      <c r="F117" s="1" t="n">
        <v>38</v>
      </c>
      <c r="G117" s="2" t="s">
        <v>20</v>
      </c>
      <c r="H117" s="1" t="n">
        <v>0.1843</v>
      </c>
      <c r="I117" s="1" t="n">
        <v>0.358419140330574</v>
      </c>
      <c r="J117" s="1" t="n">
        <v>0.365567679624068</v>
      </c>
      <c r="K117" s="1" t="n">
        <f aca="false">J117-I117</f>
        <v>0.00714853929349402</v>
      </c>
      <c r="L117" s="1" t="n">
        <v>0.669660142744409</v>
      </c>
    </row>
    <row r="118" customFormat="false" ht="15" hidden="false" customHeight="false" outlineLevel="0" collapsed="false">
      <c r="A118" s="3" t="s">
        <v>85</v>
      </c>
      <c r="B118" s="3" t="s">
        <v>86</v>
      </c>
      <c r="C118" s="3" t="s">
        <v>87</v>
      </c>
      <c r="D118" s="1" t="s">
        <v>18</v>
      </c>
      <c r="E118" s="2" t="s">
        <v>19</v>
      </c>
      <c r="F118" s="1" t="n">
        <v>38</v>
      </c>
      <c r="G118" s="2" t="s">
        <v>25</v>
      </c>
      <c r="H118" s="1" t="n">
        <v>0.1685</v>
      </c>
      <c r="I118" s="1" t="n">
        <v>0.327716234062549</v>
      </c>
      <c r="J118" s="1" t="n">
        <v>0.300867518152857</v>
      </c>
      <c r="K118" s="1" t="n">
        <f aca="false">J118-I118</f>
        <v>-0.026848715909692</v>
      </c>
      <c r="L118" s="1" t="n">
        <v>0.669660142744409</v>
      </c>
    </row>
    <row r="119" customFormat="false" ht="15" hidden="false" customHeight="false" outlineLevel="0" collapsed="false">
      <c r="A119" s="3" t="s">
        <v>85</v>
      </c>
      <c r="B119" s="3" t="s">
        <v>86</v>
      </c>
      <c r="C119" s="3" t="s">
        <v>87</v>
      </c>
      <c r="D119" s="1" t="s">
        <v>18</v>
      </c>
      <c r="E119" s="2" t="s">
        <v>19</v>
      </c>
      <c r="F119" s="1" t="n">
        <v>38</v>
      </c>
      <c r="G119" s="2" t="s">
        <v>21</v>
      </c>
      <c r="H119" s="1" t="n">
        <v>0.1666</v>
      </c>
      <c r="I119" s="1" t="n">
        <v>0.324008381512453</v>
      </c>
      <c r="J119" s="1" t="n">
        <v>0.309536279555951</v>
      </c>
      <c r="K119" s="1" t="n">
        <f aca="false">J119-I119</f>
        <v>-0.014472101956502</v>
      </c>
      <c r="L119" s="1" t="n">
        <v>0.669660142744409</v>
      </c>
    </row>
    <row r="120" customFormat="false" ht="15" hidden="false" customHeight="false" outlineLevel="0" collapsed="false">
      <c r="A120" s="3" t="s">
        <v>85</v>
      </c>
      <c r="B120" s="3" t="s">
        <v>86</v>
      </c>
      <c r="C120" s="3" t="s">
        <v>87</v>
      </c>
      <c r="D120" s="1" t="s">
        <v>18</v>
      </c>
      <c r="E120" s="2" t="s">
        <v>19</v>
      </c>
      <c r="F120" s="1" t="n">
        <v>38</v>
      </c>
      <c r="G120" s="2" t="s">
        <v>29</v>
      </c>
      <c r="H120" s="1" t="n">
        <v>0.1652</v>
      </c>
      <c r="I120" s="1" t="n">
        <v>0.321268801294082</v>
      </c>
      <c r="J120" s="1" t="n">
        <v>0.309108291979353</v>
      </c>
      <c r="K120" s="1" t="n">
        <f aca="false">J120-I120</f>
        <v>-0.012160509314729</v>
      </c>
      <c r="L120" s="1" t="n">
        <v>0.669660142744409</v>
      </c>
    </row>
    <row r="121" customFormat="false" ht="15" hidden="false" customHeight="false" outlineLevel="0" collapsed="false">
      <c r="A121" s="3" t="s">
        <v>85</v>
      </c>
      <c r="B121" s="3" t="s">
        <v>86</v>
      </c>
      <c r="C121" s="3" t="s">
        <v>87</v>
      </c>
      <c r="D121" s="1" t="s">
        <v>18</v>
      </c>
      <c r="E121" s="2" t="s">
        <v>19</v>
      </c>
      <c r="F121" s="1" t="n">
        <v>38</v>
      </c>
      <c r="G121" s="2" t="s">
        <v>43</v>
      </c>
      <c r="H121" s="1" t="n">
        <v>0.1616</v>
      </c>
      <c r="I121" s="1" t="n">
        <v>0.314328783321112</v>
      </c>
      <c r="J121" s="1" t="n">
        <v>0.293454985154643</v>
      </c>
      <c r="K121" s="1" t="n">
        <f aca="false">J121-I121</f>
        <v>-0.020873798166469</v>
      </c>
      <c r="L121" s="1" t="n">
        <v>0.669660142744409</v>
      </c>
    </row>
    <row r="122" customFormat="false" ht="15" hidden="false" customHeight="false" outlineLevel="0" collapsed="false">
      <c r="A122" s="3" t="s">
        <v>85</v>
      </c>
      <c r="B122" s="3" t="s">
        <v>86</v>
      </c>
      <c r="C122" s="3" t="s">
        <v>87</v>
      </c>
      <c r="D122" s="1" t="s">
        <v>18</v>
      </c>
      <c r="E122" s="2" t="s">
        <v>19</v>
      </c>
      <c r="F122" s="1" t="n">
        <v>38</v>
      </c>
      <c r="G122" s="2" t="s">
        <v>53</v>
      </c>
      <c r="H122" s="1" t="n">
        <v>0.1538</v>
      </c>
      <c r="I122" s="1" t="n">
        <v>0.299211024859066</v>
      </c>
      <c r="J122" s="1" t="n">
        <v>0.288278363519247</v>
      </c>
      <c r="K122" s="1" t="n">
        <f aca="false">J122-I122</f>
        <v>-0.010932661339819</v>
      </c>
      <c r="L122" s="1" t="n">
        <v>0.669660142744409</v>
      </c>
    </row>
    <row r="123" customFormat="false" ht="15" hidden="false" customHeight="false" outlineLevel="0" collapsed="false">
      <c r="A123" s="3" t="s">
        <v>88</v>
      </c>
      <c r="B123" s="3" t="s">
        <v>89</v>
      </c>
      <c r="C123" s="3" t="s">
        <v>90</v>
      </c>
      <c r="D123" s="1" t="s">
        <v>18</v>
      </c>
      <c r="E123" s="2" t="s">
        <v>19</v>
      </c>
      <c r="F123" s="1" t="n">
        <v>40</v>
      </c>
      <c r="G123" s="2" t="s">
        <v>20</v>
      </c>
      <c r="H123" s="1" t="n">
        <v>0.2045</v>
      </c>
      <c r="I123" s="1" t="n">
        <v>0.282725702765895</v>
      </c>
      <c r="J123" s="1" t="n">
        <v>0.418179920811345</v>
      </c>
      <c r="K123" s="1" t="n">
        <f aca="false">J123-I123</f>
        <v>0.13545421804545</v>
      </c>
      <c r="L123" s="1" t="n">
        <v>0.646445134849864</v>
      </c>
    </row>
    <row r="124" customFormat="false" ht="15" hidden="false" customHeight="false" outlineLevel="0" collapsed="false">
      <c r="A124" s="3" t="s">
        <v>88</v>
      </c>
      <c r="B124" s="3" t="s">
        <v>89</v>
      </c>
      <c r="C124" s="3" t="s">
        <v>90</v>
      </c>
      <c r="D124" s="1" t="s">
        <v>18</v>
      </c>
      <c r="E124" s="2" t="s">
        <v>19</v>
      </c>
      <c r="F124" s="1" t="n">
        <v>40</v>
      </c>
      <c r="G124" s="2" t="s">
        <v>24</v>
      </c>
      <c r="H124" s="1" t="n">
        <v>0.1748</v>
      </c>
      <c r="I124" s="1" t="n">
        <v>0.241664832401686</v>
      </c>
      <c r="J124" s="1" t="n">
        <v>0.349982076812372</v>
      </c>
      <c r="K124" s="1" t="n">
        <f aca="false">J124-I124</f>
        <v>0.108317244410686</v>
      </c>
      <c r="L124" s="1" t="n">
        <v>0.646445134849864</v>
      </c>
    </row>
    <row r="125" customFormat="false" ht="15" hidden="false" customHeight="false" outlineLevel="0" collapsed="false">
      <c r="A125" s="3" t="s">
        <v>88</v>
      </c>
      <c r="B125" s="3" t="s">
        <v>89</v>
      </c>
      <c r="C125" s="3" t="s">
        <v>90</v>
      </c>
      <c r="D125" s="1" t="s">
        <v>18</v>
      </c>
      <c r="E125" s="2" t="s">
        <v>19</v>
      </c>
      <c r="F125" s="1" t="n">
        <v>40</v>
      </c>
      <c r="G125" s="2" t="s">
        <v>23</v>
      </c>
      <c r="H125" s="1" t="n">
        <v>0.1745</v>
      </c>
      <c r="I125" s="1" t="n">
        <v>0.241273300195767</v>
      </c>
      <c r="J125" s="1" t="n">
        <v>0.367106621290387</v>
      </c>
      <c r="K125" s="1" t="n">
        <f aca="false">J125-I125</f>
        <v>0.12583332109462</v>
      </c>
      <c r="L125" s="1" t="n">
        <v>0.646445134849864</v>
      </c>
    </row>
    <row r="126" customFormat="false" ht="15" hidden="false" customHeight="false" outlineLevel="0" collapsed="false">
      <c r="A126" s="3" t="s">
        <v>88</v>
      </c>
      <c r="B126" s="3" t="s">
        <v>89</v>
      </c>
      <c r="C126" s="3" t="s">
        <v>90</v>
      </c>
      <c r="D126" s="1" t="s">
        <v>18</v>
      </c>
      <c r="E126" s="2" t="s">
        <v>19</v>
      </c>
      <c r="F126" s="1" t="n">
        <v>40</v>
      </c>
      <c r="G126" s="2" t="s">
        <v>22</v>
      </c>
      <c r="H126" s="1" t="n">
        <v>0.1744</v>
      </c>
      <c r="I126" s="1" t="n">
        <v>0.241123117335005</v>
      </c>
      <c r="J126" s="1" t="n">
        <v>0.369688116510481</v>
      </c>
      <c r="K126" s="1" t="n">
        <f aca="false">J126-I126</f>
        <v>0.128564999175476</v>
      </c>
      <c r="L126" s="1" t="n">
        <v>0.646445134849864</v>
      </c>
    </row>
    <row r="127" customFormat="false" ht="15" hidden="false" customHeight="false" outlineLevel="0" collapsed="false">
      <c r="A127" s="3" t="s">
        <v>88</v>
      </c>
      <c r="B127" s="3" t="s">
        <v>89</v>
      </c>
      <c r="C127" s="3" t="s">
        <v>90</v>
      </c>
      <c r="D127" s="1" t="s">
        <v>18</v>
      </c>
      <c r="E127" s="2" t="s">
        <v>19</v>
      </c>
      <c r="F127" s="1" t="n">
        <v>40</v>
      </c>
      <c r="G127" s="2" t="s">
        <v>43</v>
      </c>
      <c r="H127" s="1" t="n">
        <v>0.1717</v>
      </c>
      <c r="I127" s="1" t="n">
        <v>0.237385290138453</v>
      </c>
      <c r="J127" s="1" t="n">
        <v>0.319332676103336</v>
      </c>
      <c r="K127" s="1" t="n">
        <f aca="false">J127-I127</f>
        <v>0.081947385964883</v>
      </c>
      <c r="L127" s="1" t="n">
        <v>0.646445134849864</v>
      </c>
    </row>
    <row r="128" customFormat="false" ht="15" hidden="false" customHeight="false" outlineLevel="0" collapsed="false">
      <c r="A128" s="3" t="s">
        <v>88</v>
      </c>
      <c r="B128" s="3" t="s">
        <v>89</v>
      </c>
      <c r="C128" s="3" t="s">
        <v>90</v>
      </c>
      <c r="D128" s="1" t="s">
        <v>18</v>
      </c>
      <c r="E128" s="2" t="s">
        <v>19</v>
      </c>
      <c r="F128" s="1" t="n">
        <v>40</v>
      </c>
      <c r="G128" s="2" t="s">
        <v>25</v>
      </c>
      <c r="H128" s="1" t="n">
        <v>0.1</v>
      </c>
      <c r="I128" s="1" t="n">
        <v>0.207497643331822</v>
      </c>
      <c r="J128" s="1" t="n">
        <v>0.287305447827381</v>
      </c>
      <c r="K128" s="1" t="n">
        <f aca="false">J128-I128</f>
        <v>0.079807804495559</v>
      </c>
      <c r="L128" s="1" t="n">
        <v>0.646445134849864</v>
      </c>
    </row>
    <row r="129" customFormat="false" ht="15" hidden="false" customHeight="false" outlineLevel="0" collapsed="false">
      <c r="A129" s="3" t="s">
        <v>91</v>
      </c>
      <c r="B129" s="3" t="s">
        <v>92</v>
      </c>
      <c r="C129" s="3" t="s">
        <v>93</v>
      </c>
      <c r="D129" s="1" t="s">
        <v>18</v>
      </c>
      <c r="E129" s="2" t="s">
        <v>19</v>
      </c>
      <c r="F129" s="1" t="n">
        <v>42</v>
      </c>
      <c r="G129" s="2" t="s">
        <v>20</v>
      </c>
      <c r="H129" s="1" t="n">
        <v>0.2108</v>
      </c>
      <c r="I129" s="1" t="n">
        <v>0.412029608288167</v>
      </c>
      <c r="J129" s="1" t="n">
        <v>0.415763875910063</v>
      </c>
      <c r="K129" s="1" t="n">
        <f aca="false">J129-I129</f>
        <v>0.00373426762189599</v>
      </c>
      <c r="L129" s="1" t="n">
        <v>0.690845639182806</v>
      </c>
    </row>
    <row r="130" customFormat="false" ht="15" hidden="false" customHeight="false" outlineLevel="0" collapsed="false">
      <c r="A130" s="3" t="s">
        <v>91</v>
      </c>
      <c r="B130" s="3" t="s">
        <v>92</v>
      </c>
      <c r="C130" s="3" t="s">
        <v>93</v>
      </c>
      <c r="D130" s="1" t="s">
        <v>18</v>
      </c>
      <c r="E130" s="2" t="s">
        <v>19</v>
      </c>
      <c r="F130" s="1" t="n">
        <v>42</v>
      </c>
      <c r="G130" s="2" t="s">
        <v>21</v>
      </c>
      <c r="H130" s="1" t="n">
        <v>0.1824</v>
      </c>
      <c r="I130" s="1" t="n">
        <v>0.356379588528825</v>
      </c>
      <c r="J130" s="1" t="n">
        <v>0.424547755010399</v>
      </c>
      <c r="K130" s="1" t="n">
        <f aca="false">J130-I130</f>
        <v>0.068168166481574</v>
      </c>
      <c r="L130" s="1" t="n">
        <v>0.690845639182806</v>
      </c>
    </row>
    <row r="131" customFormat="false" ht="15" hidden="false" customHeight="false" outlineLevel="0" collapsed="false">
      <c r="A131" s="3" t="s">
        <v>91</v>
      </c>
      <c r="B131" s="3" t="s">
        <v>92</v>
      </c>
      <c r="C131" s="3" t="s">
        <v>93</v>
      </c>
      <c r="D131" s="1" t="s">
        <v>18</v>
      </c>
      <c r="E131" s="2" t="s">
        <v>19</v>
      </c>
      <c r="F131" s="1" t="n">
        <v>42</v>
      </c>
      <c r="G131" s="2" t="s">
        <v>22</v>
      </c>
      <c r="H131" s="1" t="n">
        <v>0.1717</v>
      </c>
      <c r="I131" s="1" t="n">
        <v>0.335544318206284</v>
      </c>
      <c r="J131" s="1" t="n">
        <v>0.333615857958515</v>
      </c>
      <c r="K131" s="1" t="n">
        <f aca="false">J131-I131</f>
        <v>-0.00192846024776899</v>
      </c>
      <c r="L131" s="1" t="n">
        <v>0.690845639182806</v>
      </c>
    </row>
    <row r="132" customFormat="false" ht="15" hidden="false" customHeight="false" outlineLevel="0" collapsed="false">
      <c r="A132" s="3" t="s">
        <v>91</v>
      </c>
      <c r="B132" s="3" t="s">
        <v>92</v>
      </c>
      <c r="C132" s="3" t="s">
        <v>93</v>
      </c>
      <c r="D132" s="1" t="s">
        <v>18</v>
      </c>
      <c r="E132" s="2" t="s">
        <v>19</v>
      </c>
      <c r="F132" s="1" t="n">
        <v>42</v>
      </c>
      <c r="G132" s="2" t="s">
        <v>23</v>
      </c>
      <c r="H132" s="1" t="n">
        <v>0.1684</v>
      </c>
      <c r="I132" s="1" t="n">
        <v>0.329093665337177</v>
      </c>
      <c r="J132" s="1" t="n">
        <v>0.372014730159943</v>
      </c>
      <c r="K132" s="1" t="n">
        <f aca="false">J132-I132</f>
        <v>0.042921064822766</v>
      </c>
      <c r="L132" s="1" t="n">
        <v>0.690845639182806</v>
      </c>
    </row>
    <row r="133" customFormat="false" ht="15" hidden="false" customHeight="false" outlineLevel="0" collapsed="false">
      <c r="A133" s="3" t="s">
        <v>91</v>
      </c>
      <c r="B133" s="3" t="s">
        <v>92</v>
      </c>
      <c r="C133" s="3" t="s">
        <v>93</v>
      </c>
      <c r="D133" s="1" t="s">
        <v>18</v>
      </c>
      <c r="E133" s="2" t="s">
        <v>19</v>
      </c>
      <c r="F133" s="1" t="n">
        <v>42</v>
      </c>
      <c r="G133" s="2" t="s">
        <v>24</v>
      </c>
      <c r="H133" s="1" t="n">
        <v>0.1667</v>
      </c>
      <c r="I133" s="1" t="n">
        <v>0.325773525257298</v>
      </c>
      <c r="J133" s="1" t="n">
        <v>0.384245997032634</v>
      </c>
      <c r="K133" s="1" t="n">
        <f aca="false">J133-I133</f>
        <v>0.058472471775336</v>
      </c>
      <c r="L133" s="1" t="n">
        <v>0.690845639182806</v>
      </c>
    </row>
    <row r="134" customFormat="false" ht="15" hidden="false" customHeight="false" outlineLevel="0" collapsed="false">
      <c r="A134" s="3" t="s">
        <v>91</v>
      </c>
      <c r="B134" s="3" t="s">
        <v>92</v>
      </c>
      <c r="C134" s="3" t="s">
        <v>93</v>
      </c>
      <c r="D134" s="1" t="s">
        <v>18</v>
      </c>
      <c r="E134" s="2" t="s">
        <v>19</v>
      </c>
      <c r="F134" s="1" t="n">
        <v>42</v>
      </c>
      <c r="G134" s="2" t="s">
        <v>25</v>
      </c>
      <c r="H134" s="1" t="n">
        <v>0.1</v>
      </c>
      <c r="I134" s="1" t="n">
        <v>0.263290071493619</v>
      </c>
      <c r="J134" s="1" t="n">
        <v>0.332424978084777</v>
      </c>
      <c r="K134" s="1" t="n">
        <f aca="false">J134-I134</f>
        <v>0.069134906591158</v>
      </c>
      <c r="L134" s="1" t="n">
        <v>0.690845639182806</v>
      </c>
    </row>
    <row r="135" customFormat="false" ht="15" hidden="false" customHeight="false" outlineLevel="0" collapsed="false">
      <c r="A135" s="3" t="s">
        <v>94</v>
      </c>
      <c r="B135" s="3" t="s">
        <v>95</v>
      </c>
      <c r="C135" s="3" t="s">
        <v>96</v>
      </c>
      <c r="D135" s="1" t="s">
        <v>18</v>
      </c>
      <c r="E135" s="2" t="s">
        <v>19</v>
      </c>
      <c r="F135" s="1" t="n">
        <v>44</v>
      </c>
      <c r="G135" s="2" t="s">
        <v>20</v>
      </c>
      <c r="H135" s="1" t="n">
        <v>0.1894</v>
      </c>
      <c r="I135" s="1" t="n">
        <v>0.432818671265005</v>
      </c>
      <c r="J135" s="1" t="n">
        <v>0.368451585380795</v>
      </c>
      <c r="K135" s="1" t="n">
        <f aca="false">J135-I135</f>
        <v>-0.06436708588421</v>
      </c>
      <c r="L135" s="1" t="n">
        <v>0.705992721957315</v>
      </c>
    </row>
    <row r="136" customFormat="false" ht="15" hidden="false" customHeight="false" outlineLevel="0" collapsed="false">
      <c r="A136" s="3" t="s">
        <v>94</v>
      </c>
      <c r="B136" s="3" t="s">
        <v>95</v>
      </c>
      <c r="C136" s="3" t="s">
        <v>96</v>
      </c>
      <c r="D136" s="1" t="s">
        <v>18</v>
      </c>
      <c r="E136" s="2" t="s">
        <v>19</v>
      </c>
      <c r="F136" s="1" t="n">
        <v>44</v>
      </c>
      <c r="G136" s="2" t="s">
        <v>21</v>
      </c>
      <c r="H136" s="1" t="n">
        <v>0.1887</v>
      </c>
      <c r="I136" s="1" t="n">
        <v>0.431283263977281</v>
      </c>
      <c r="J136" s="1" t="n">
        <v>0.351437222762538</v>
      </c>
      <c r="K136" s="1" t="n">
        <f aca="false">J136-I136</f>
        <v>-0.079846041214743</v>
      </c>
      <c r="L136" s="1" t="n">
        <v>0.705992721957315</v>
      </c>
    </row>
    <row r="137" customFormat="false" ht="15" hidden="false" customHeight="false" outlineLevel="0" collapsed="false">
      <c r="A137" s="3" t="s">
        <v>94</v>
      </c>
      <c r="B137" s="3" t="s">
        <v>95</v>
      </c>
      <c r="C137" s="3" t="s">
        <v>96</v>
      </c>
      <c r="D137" s="1" t="s">
        <v>18</v>
      </c>
      <c r="E137" s="2" t="s">
        <v>19</v>
      </c>
      <c r="F137" s="1" t="n">
        <v>44</v>
      </c>
      <c r="G137" s="2" t="s">
        <v>53</v>
      </c>
      <c r="H137" s="1" t="n">
        <v>0.1776</v>
      </c>
      <c r="I137" s="1" t="n">
        <v>0.405902642607882</v>
      </c>
      <c r="J137" s="1" t="n">
        <v>0.271449950084389</v>
      </c>
      <c r="K137" s="1" t="n">
        <f aca="false">J137-I137</f>
        <v>-0.134452692523493</v>
      </c>
      <c r="L137" s="1" t="n">
        <v>0.705992721957315</v>
      </c>
    </row>
    <row r="138" customFormat="false" ht="15" hidden="false" customHeight="false" outlineLevel="0" collapsed="false">
      <c r="A138" s="3" t="s">
        <v>94</v>
      </c>
      <c r="B138" s="3" t="s">
        <v>95</v>
      </c>
      <c r="C138" s="3" t="s">
        <v>96</v>
      </c>
      <c r="D138" s="1" t="s">
        <v>18</v>
      </c>
      <c r="E138" s="2" t="s">
        <v>19</v>
      </c>
      <c r="F138" s="1" t="n">
        <v>44</v>
      </c>
      <c r="G138" s="2" t="s">
        <v>43</v>
      </c>
      <c r="H138" s="1" t="n">
        <v>0.1775</v>
      </c>
      <c r="I138" s="1" t="n">
        <v>0.405607754129156</v>
      </c>
      <c r="J138" s="1" t="n">
        <v>0.327563347948125</v>
      </c>
      <c r="K138" s="1" t="n">
        <f aca="false">J138-I138</f>
        <v>-0.078044406181031</v>
      </c>
      <c r="L138" s="1" t="n">
        <v>0.705992721957315</v>
      </c>
    </row>
    <row r="139" customFormat="false" ht="15" hidden="false" customHeight="false" outlineLevel="0" collapsed="false">
      <c r="A139" s="3" t="s">
        <v>94</v>
      </c>
      <c r="B139" s="3" t="s">
        <v>95</v>
      </c>
      <c r="C139" s="3" t="s">
        <v>96</v>
      </c>
      <c r="D139" s="1" t="s">
        <v>18</v>
      </c>
      <c r="E139" s="2" t="s">
        <v>19</v>
      </c>
      <c r="F139" s="1" t="n">
        <v>44</v>
      </c>
      <c r="G139" s="2" t="s">
        <v>30</v>
      </c>
      <c r="H139" s="1" t="n">
        <v>0.1667</v>
      </c>
      <c r="I139" s="1" t="n">
        <v>0.380883571858655</v>
      </c>
      <c r="J139" s="1" t="n">
        <v>0.306935217534098</v>
      </c>
      <c r="K139" s="1" t="n">
        <f aca="false">J139-I139</f>
        <v>-0.073948354324557</v>
      </c>
      <c r="L139" s="1" t="n">
        <v>0.705992721957315</v>
      </c>
    </row>
    <row r="140" customFormat="false" ht="15" hidden="false" customHeight="false" outlineLevel="0" collapsed="false">
      <c r="A140" s="3" t="s">
        <v>94</v>
      </c>
      <c r="B140" s="3" t="s">
        <v>95</v>
      </c>
      <c r="C140" s="3" t="s">
        <v>96</v>
      </c>
      <c r="D140" s="1" t="s">
        <v>18</v>
      </c>
      <c r="E140" s="2" t="s">
        <v>19</v>
      </c>
      <c r="F140" s="1" t="n">
        <v>44</v>
      </c>
      <c r="G140" s="2" t="s">
        <v>25</v>
      </c>
      <c r="H140" s="1" t="n">
        <v>0.1</v>
      </c>
      <c r="I140" s="1" t="n">
        <v>0.343014806647747</v>
      </c>
      <c r="J140" s="1" t="n">
        <v>0.279832267890259</v>
      </c>
      <c r="K140" s="1" t="n">
        <f aca="false">J140-I140</f>
        <v>-0.063182538757488</v>
      </c>
      <c r="L140" s="1" t="n">
        <v>0.705992721957315</v>
      </c>
    </row>
    <row r="141" customFormat="false" ht="15" hidden="false" customHeight="false" outlineLevel="0" collapsed="false">
      <c r="A141" s="3" t="s">
        <v>97</v>
      </c>
      <c r="B141" s="3" t="s">
        <v>98</v>
      </c>
      <c r="C141" s="3" t="s">
        <v>99</v>
      </c>
      <c r="D141" s="1" t="s">
        <v>18</v>
      </c>
      <c r="E141" s="2" t="s">
        <v>19</v>
      </c>
      <c r="F141" s="1" t="n">
        <v>46</v>
      </c>
      <c r="G141" s="2" t="s">
        <v>20</v>
      </c>
      <c r="H141" s="1" t="n">
        <v>0.1984</v>
      </c>
      <c r="I141" s="1" t="n">
        <v>0.309859299563313</v>
      </c>
      <c r="J141" s="1" t="n">
        <v>0.389724491115767</v>
      </c>
      <c r="K141" s="1" t="n">
        <f aca="false">J141-I141</f>
        <v>0.079865191552454</v>
      </c>
      <c r="L141" s="1" t="n">
        <v>0.72779628492836</v>
      </c>
    </row>
    <row r="142" customFormat="false" ht="15" hidden="false" customHeight="false" outlineLevel="0" collapsed="false">
      <c r="A142" s="3" t="s">
        <v>97</v>
      </c>
      <c r="B142" s="3" t="s">
        <v>98</v>
      </c>
      <c r="C142" s="3" t="s">
        <v>99</v>
      </c>
      <c r="D142" s="1" t="s">
        <v>18</v>
      </c>
      <c r="E142" s="2" t="s">
        <v>19</v>
      </c>
      <c r="F142" s="1" t="n">
        <v>46</v>
      </c>
      <c r="G142" s="2" t="s">
        <v>21</v>
      </c>
      <c r="H142" s="1" t="n">
        <v>0.1893</v>
      </c>
      <c r="I142" s="1" t="n">
        <v>0.295642941640076</v>
      </c>
      <c r="J142" s="1" t="n">
        <v>0.373767277520379</v>
      </c>
      <c r="K142" s="1" t="n">
        <f aca="false">J142-I142</f>
        <v>0.078124335880303</v>
      </c>
      <c r="L142" s="1" t="n">
        <v>0.72779628492836</v>
      </c>
    </row>
    <row r="143" customFormat="false" ht="15" hidden="false" customHeight="false" outlineLevel="0" collapsed="false">
      <c r="A143" s="3" t="s">
        <v>97</v>
      </c>
      <c r="B143" s="3" t="s">
        <v>98</v>
      </c>
      <c r="C143" s="3" t="s">
        <v>99</v>
      </c>
      <c r="D143" s="1" t="s">
        <v>18</v>
      </c>
      <c r="E143" s="2" t="s">
        <v>19</v>
      </c>
      <c r="F143" s="1" t="n">
        <v>46</v>
      </c>
      <c r="G143" s="2" t="s">
        <v>43</v>
      </c>
      <c r="H143" s="1" t="n">
        <v>0.1808</v>
      </c>
      <c r="I143" s="1" t="n">
        <v>0.282254570865455</v>
      </c>
      <c r="J143" s="1" t="n">
        <v>0.314455521028927</v>
      </c>
      <c r="K143" s="1" t="n">
        <f aca="false">J143-I143</f>
        <v>0.032200950163472</v>
      </c>
      <c r="L143" s="1" t="n">
        <v>0.72779628492836</v>
      </c>
    </row>
    <row r="144" customFormat="false" ht="15" hidden="false" customHeight="false" outlineLevel="0" collapsed="false">
      <c r="A144" s="3" t="s">
        <v>97</v>
      </c>
      <c r="B144" s="3" t="s">
        <v>98</v>
      </c>
      <c r="C144" s="3" t="s">
        <v>99</v>
      </c>
      <c r="D144" s="1" t="s">
        <v>18</v>
      </c>
      <c r="E144" s="2" t="s">
        <v>19</v>
      </c>
      <c r="F144" s="1" t="n">
        <v>46</v>
      </c>
      <c r="G144" s="2" t="s">
        <v>22</v>
      </c>
      <c r="H144" s="1" t="n">
        <v>0.1694</v>
      </c>
      <c r="I144" s="1" t="n">
        <v>0.264523150199582</v>
      </c>
      <c r="J144" s="1" t="n">
        <v>0.388569594930149</v>
      </c>
      <c r="K144" s="1" t="n">
        <f aca="false">J144-I144</f>
        <v>0.124046444730567</v>
      </c>
      <c r="L144" s="1" t="n">
        <v>0.72779628492836</v>
      </c>
    </row>
    <row r="145" customFormat="false" ht="15" hidden="false" customHeight="false" outlineLevel="0" collapsed="false">
      <c r="A145" s="3" t="s">
        <v>97</v>
      </c>
      <c r="B145" s="3" t="s">
        <v>98</v>
      </c>
      <c r="C145" s="3" t="s">
        <v>99</v>
      </c>
      <c r="D145" s="1" t="s">
        <v>18</v>
      </c>
      <c r="E145" s="2" t="s">
        <v>19</v>
      </c>
      <c r="F145" s="1" t="n">
        <v>46</v>
      </c>
      <c r="G145" s="2" t="s">
        <v>23</v>
      </c>
      <c r="H145" s="1" t="n">
        <v>0.162</v>
      </c>
      <c r="I145" s="1" t="n">
        <v>0.253004844584328</v>
      </c>
      <c r="J145" s="1" t="n">
        <v>0.328671373738573</v>
      </c>
      <c r="K145" s="1" t="n">
        <f aca="false">J145-I145</f>
        <v>0.075666529154245</v>
      </c>
      <c r="L145" s="1" t="n">
        <v>0.72779628492836</v>
      </c>
    </row>
    <row r="146" customFormat="false" ht="15" hidden="false" customHeight="false" outlineLevel="0" collapsed="false">
      <c r="A146" s="3" t="s">
        <v>97</v>
      </c>
      <c r="B146" s="3" t="s">
        <v>98</v>
      </c>
      <c r="C146" s="3" t="s">
        <v>99</v>
      </c>
      <c r="D146" s="1" t="s">
        <v>18</v>
      </c>
      <c r="E146" s="2" t="s">
        <v>19</v>
      </c>
      <c r="F146" s="1" t="n">
        <v>46</v>
      </c>
      <c r="G146" s="2" t="s">
        <v>25</v>
      </c>
      <c r="H146" s="1" t="n">
        <v>0.1</v>
      </c>
      <c r="I146" s="1" t="n">
        <v>0.243418407386981</v>
      </c>
      <c r="J146" s="1" t="n">
        <v>0.273996992963524</v>
      </c>
      <c r="K146" s="1" t="n">
        <f aca="false">J146-I146</f>
        <v>0.030578585576543</v>
      </c>
      <c r="L146" s="1" t="n">
        <v>0.72779628492836</v>
      </c>
    </row>
    <row r="147" customFormat="false" ht="15" hidden="false" customHeight="false" outlineLevel="0" collapsed="false">
      <c r="A147" s="3" t="s">
        <v>100</v>
      </c>
      <c r="B147" s="3" t="s">
        <v>101</v>
      </c>
      <c r="C147" s="3" t="s">
        <v>102</v>
      </c>
      <c r="D147" s="1" t="s">
        <v>18</v>
      </c>
      <c r="E147" s="2" t="s">
        <v>19</v>
      </c>
      <c r="F147" s="1" t="n">
        <v>48</v>
      </c>
      <c r="G147" s="2" t="s">
        <v>20</v>
      </c>
      <c r="H147" s="1" t="n">
        <v>0.2004</v>
      </c>
      <c r="I147" s="1" t="n">
        <v>0.304491697311496</v>
      </c>
      <c r="J147" s="1" t="n">
        <v>0.296472986120378</v>
      </c>
      <c r="K147" s="1" t="n">
        <f aca="false">J147-I147</f>
        <v>-0.00801871119111802</v>
      </c>
      <c r="L147" s="1" t="n">
        <v>0.73243468122275</v>
      </c>
    </row>
    <row r="148" customFormat="false" ht="15" hidden="false" customHeight="false" outlineLevel="0" collapsed="false">
      <c r="A148" s="3" t="s">
        <v>100</v>
      </c>
      <c r="B148" s="3" t="s">
        <v>101</v>
      </c>
      <c r="C148" s="3" t="s">
        <v>102</v>
      </c>
      <c r="D148" s="1" t="s">
        <v>18</v>
      </c>
      <c r="E148" s="2" t="s">
        <v>19</v>
      </c>
      <c r="F148" s="1" t="n">
        <v>48</v>
      </c>
      <c r="G148" s="2" t="s">
        <v>22</v>
      </c>
      <c r="H148" s="1" t="n">
        <v>0.194</v>
      </c>
      <c r="I148" s="1" t="n">
        <v>0.294772161647385</v>
      </c>
      <c r="J148" s="1" t="n">
        <v>0.308904607827914</v>
      </c>
      <c r="K148" s="1" t="n">
        <f aca="false">J148-I148</f>
        <v>0.014132446180529</v>
      </c>
      <c r="L148" s="1" t="n">
        <v>0.73243468122275</v>
      </c>
    </row>
    <row r="149" customFormat="false" ht="15" hidden="false" customHeight="false" outlineLevel="0" collapsed="false">
      <c r="A149" s="3" t="s">
        <v>100</v>
      </c>
      <c r="B149" s="3" t="s">
        <v>101</v>
      </c>
      <c r="C149" s="3" t="s">
        <v>102</v>
      </c>
      <c r="D149" s="1" t="s">
        <v>18</v>
      </c>
      <c r="E149" s="2" t="s">
        <v>19</v>
      </c>
      <c r="F149" s="1" t="n">
        <v>48</v>
      </c>
      <c r="G149" s="2" t="s">
        <v>21</v>
      </c>
      <c r="H149" s="1" t="n">
        <v>0.1847</v>
      </c>
      <c r="I149" s="1" t="n">
        <v>0.28059636443467</v>
      </c>
      <c r="J149" s="1" t="n">
        <v>0.300315782758204</v>
      </c>
      <c r="K149" s="1" t="n">
        <f aca="false">J149-I149</f>
        <v>0.019719418323534</v>
      </c>
      <c r="L149" s="1" t="n">
        <v>0.73243468122275</v>
      </c>
    </row>
    <row r="150" customFormat="false" ht="15" hidden="false" customHeight="false" outlineLevel="0" collapsed="false">
      <c r="A150" s="3" t="s">
        <v>100</v>
      </c>
      <c r="B150" s="3" t="s">
        <v>101</v>
      </c>
      <c r="C150" s="3" t="s">
        <v>102</v>
      </c>
      <c r="D150" s="1" t="s">
        <v>18</v>
      </c>
      <c r="E150" s="2" t="s">
        <v>19</v>
      </c>
      <c r="F150" s="1" t="n">
        <v>48</v>
      </c>
      <c r="G150" s="2" t="s">
        <v>43</v>
      </c>
      <c r="H150" s="1" t="n">
        <v>0.1654</v>
      </c>
      <c r="I150" s="1" t="n">
        <v>0.251304528141452</v>
      </c>
      <c r="J150" s="1" t="n">
        <v>0.277252676534648</v>
      </c>
      <c r="K150" s="1" t="n">
        <f aca="false">J150-I150</f>
        <v>0.025948148393196</v>
      </c>
      <c r="L150" s="1" t="n">
        <v>0.73243468122275</v>
      </c>
    </row>
    <row r="151" customFormat="false" ht="15" hidden="false" customHeight="false" outlineLevel="0" collapsed="false">
      <c r="A151" s="3" t="s">
        <v>100</v>
      </c>
      <c r="B151" s="3" t="s">
        <v>101</v>
      </c>
      <c r="C151" s="3" t="s">
        <v>102</v>
      </c>
      <c r="D151" s="1" t="s">
        <v>18</v>
      </c>
      <c r="E151" s="2" t="s">
        <v>19</v>
      </c>
      <c r="F151" s="1" t="n">
        <v>48</v>
      </c>
      <c r="G151" s="2" t="s">
        <v>23</v>
      </c>
      <c r="H151" s="1" t="n">
        <v>0.1554</v>
      </c>
      <c r="I151" s="1" t="n">
        <v>0.236077183057397</v>
      </c>
      <c r="J151" s="1" t="n">
        <v>0.26480363379366</v>
      </c>
      <c r="K151" s="1" t="n">
        <f aca="false">J151-I151</f>
        <v>0.028726450736263</v>
      </c>
      <c r="L151" s="1" t="n">
        <v>0.73243468122275</v>
      </c>
    </row>
    <row r="152" customFormat="false" ht="15" hidden="false" customHeight="false" outlineLevel="0" collapsed="false">
      <c r="A152" s="3" t="s">
        <v>100</v>
      </c>
      <c r="B152" s="3" t="s">
        <v>101</v>
      </c>
      <c r="C152" s="3" t="s">
        <v>102</v>
      </c>
      <c r="D152" s="1" t="s">
        <v>18</v>
      </c>
      <c r="E152" s="2" t="s">
        <v>19</v>
      </c>
      <c r="F152" s="1" t="n">
        <v>48</v>
      </c>
      <c r="G152" s="2" t="s">
        <v>25</v>
      </c>
      <c r="H152" s="1" t="n">
        <v>0.1</v>
      </c>
      <c r="I152" s="1" t="n">
        <v>0.225560301023902</v>
      </c>
      <c r="J152" s="1" t="n">
        <v>0.233576405291863</v>
      </c>
      <c r="K152" s="1" t="n">
        <f aca="false">J152-I152</f>
        <v>0.00801610426796098</v>
      </c>
      <c r="L152" s="1" t="n">
        <v>0.73243468122275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I32:K32 A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3" width="20.4"/>
  </cols>
  <sheetData>
    <row r="1" customFormat="false" ht="12.8" hidden="false" customHeight="false" outlineLevel="0" collapsed="false">
      <c r="A1" s="7" t="s">
        <v>103</v>
      </c>
      <c r="B1" s="7"/>
    </row>
    <row r="2" customFormat="false" ht="12.8" hidden="false" customHeight="false" outlineLevel="0" collapsed="false">
      <c r="A2" s="7"/>
      <c r="B2" s="7"/>
    </row>
    <row r="3" customFormat="false" ht="12.8" hidden="false" customHeight="false" outlineLevel="0" collapsed="false">
      <c r="A3" s="7" t="s">
        <v>104</v>
      </c>
      <c r="B3" s="8" t="n">
        <f aca="false">scen3_ac15!P2</f>
        <v>150</v>
      </c>
    </row>
    <row r="4" customFormat="false" ht="12.8" hidden="false" customHeight="false" outlineLevel="0" collapsed="false">
      <c r="A4" s="7" t="s">
        <v>105</v>
      </c>
      <c r="B4" s="7" t="n">
        <f aca="false">B10*SQRT((B3-2)/(1-B10^2))</f>
        <v>-0.572589382928322</v>
      </c>
    </row>
    <row r="5" customFormat="false" ht="12.8" hidden="false" customHeight="false" outlineLevel="0" collapsed="false">
      <c r="A5" s="7" t="s">
        <v>106</v>
      </c>
      <c r="B5" s="7" t="n">
        <f aca="false">_xlfn.T.DIST.2T(ABS(B4),B3-2)</f>
        <v>0.567791571563431</v>
      </c>
    </row>
    <row r="6" customFormat="false" ht="12.8" hidden="false" customHeight="false" outlineLevel="0" collapsed="false">
      <c r="A6" s="7"/>
      <c r="B6" s="9"/>
    </row>
    <row r="7" customFormat="false" ht="12.8" hidden="false" customHeight="false" outlineLevel="0" collapsed="false">
      <c r="A7" s="7"/>
      <c r="B7" s="9"/>
    </row>
    <row r="8" customFormat="false" ht="12.8" hidden="false" customHeight="false" outlineLevel="0" collapsed="false">
      <c r="A8" s="7"/>
      <c r="B8" s="9"/>
    </row>
    <row r="9" customFormat="false" ht="19.4" hidden="false" customHeight="false" outlineLevel="0" collapsed="false">
      <c r="A9" s="4" t="s">
        <v>13</v>
      </c>
      <c r="B9" s="4" t="s">
        <v>14</v>
      </c>
    </row>
    <row r="10" customFormat="false" ht="12.8" hidden="false" customHeight="false" outlineLevel="0" collapsed="false">
      <c r="A10" s="10" t="n">
        <f aca="false">B3</f>
        <v>150</v>
      </c>
      <c r="B10" s="10" t="n">
        <f aca="false">scen3_ac15!Q2</f>
        <v>-0.0470145114528607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7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G31" activeCellId="1" sqref="I32:K32 G3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3" width="15.96"/>
  </cols>
  <sheetData>
    <row r="2" customFormat="false" ht="12.8" hidden="false" customHeight="false" outlineLevel="0" collapsed="false">
      <c r="B2" s="3" t="s">
        <v>107</v>
      </c>
    </row>
    <row r="3" customFormat="false" ht="12.8" hidden="false" customHeight="false" outlineLevel="0" collapsed="false">
      <c r="A3" s="11" t="s">
        <v>108</v>
      </c>
      <c r="B3" s="1" t="s">
        <v>109</v>
      </c>
    </row>
    <row r="4" customFormat="false" ht="12.8" hidden="false" customHeight="false" outlineLevel="0" collapsed="false">
      <c r="A4" s="9" t="n">
        <v>1</v>
      </c>
      <c r="B4" s="6" t="n">
        <v>0.81564959143364</v>
      </c>
    </row>
    <row r="5" customFormat="false" ht="12.8" hidden="false" customHeight="false" outlineLevel="0" collapsed="false">
      <c r="A5" s="9" t="n">
        <v>2</v>
      </c>
      <c r="B5" s="1" t="n">
        <v>0.67540263000882</v>
      </c>
    </row>
    <row r="6" customFormat="false" ht="12.8" hidden="false" customHeight="false" outlineLevel="0" collapsed="false">
      <c r="A6" s="9" t="n">
        <v>3</v>
      </c>
      <c r="B6" s="1" t="n">
        <v>0.657949061396672</v>
      </c>
    </row>
    <row r="7" customFormat="false" ht="12.8" hidden="false" customHeight="false" outlineLevel="0" collapsed="false">
      <c r="A7" s="9" t="n">
        <v>4</v>
      </c>
      <c r="B7" s="1" t="n">
        <v>0.595152958150236</v>
      </c>
    </row>
    <row r="8" customFormat="false" ht="12.8" hidden="false" customHeight="false" outlineLevel="0" collapsed="false">
      <c r="A8" s="9" t="n">
        <v>5</v>
      </c>
      <c r="B8" s="1" t="n">
        <v>0.541278025353781</v>
      </c>
    </row>
    <row r="9" customFormat="false" ht="12.8" hidden="false" customHeight="false" outlineLevel="0" collapsed="false">
      <c r="A9" s="9" t="n">
        <v>6</v>
      </c>
      <c r="B9" s="1" t="n">
        <v>0.694560494716742</v>
      </c>
    </row>
    <row r="10" customFormat="false" ht="12.8" hidden="false" customHeight="false" outlineLevel="0" collapsed="false">
      <c r="A10" s="9" t="n">
        <v>7</v>
      </c>
      <c r="B10" s="1" t="n">
        <v>0.821209740996496</v>
      </c>
    </row>
    <row r="11" customFormat="false" ht="12.8" hidden="false" customHeight="false" outlineLevel="0" collapsed="false">
      <c r="A11" s="9" t="n">
        <v>8</v>
      </c>
      <c r="B11" s="1" t="n">
        <v>0.827246504211718</v>
      </c>
    </row>
    <row r="12" customFormat="false" ht="12.8" hidden="false" customHeight="false" outlineLevel="0" collapsed="false">
      <c r="A12" s="9" t="n">
        <v>9</v>
      </c>
      <c r="B12" s="1" t="n">
        <v>0.676694313663238</v>
      </c>
    </row>
    <row r="13" customFormat="false" ht="12.8" hidden="false" customHeight="false" outlineLevel="0" collapsed="false">
      <c r="A13" s="9" t="n">
        <v>10</v>
      </c>
      <c r="B13" s="1" t="n">
        <v>0.611313272409236</v>
      </c>
    </row>
    <row r="14" customFormat="false" ht="12.8" hidden="false" customHeight="false" outlineLevel="0" collapsed="false">
      <c r="A14" s="9" t="n">
        <v>11</v>
      </c>
      <c r="B14" s="1" t="n">
        <v>0.746560934334395</v>
      </c>
    </row>
    <row r="15" customFormat="false" ht="12.8" hidden="false" customHeight="false" outlineLevel="0" collapsed="false">
      <c r="A15" s="9" t="n">
        <v>12</v>
      </c>
      <c r="B15" s="1" t="n">
        <v>0.708796841206483</v>
      </c>
    </row>
    <row r="16" customFormat="false" ht="12.8" hidden="false" customHeight="false" outlineLevel="0" collapsed="false">
      <c r="A16" s="9" t="n">
        <v>13</v>
      </c>
      <c r="B16" s="1" t="n">
        <v>0.728278817795678</v>
      </c>
    </row>
    <row r="17" customFormat="false" ht="12.8" hidden="false" customHeight="false" outlineLevel="0" collapsed="false">
      <c r="A17" s="9" t="n">
        <v>14</v>
      </c>
      <c r="B17" s="1" t="n">
        <v>0.765518878356676</v>
      </c>
    </row>
    <row r="18" customFormat="false" ht="12.8" hidden="false" customHeight="false" outlineLevel="0" collapsed="false">
      <c r="A18" s="9" t="n">
        <v>15</v>
      </c>
      <c r="B18" s="1" t="n">
        <v>0.814180995864153</v>
      </c>
    </row>
    <row r="19" customFormat="false" ht="12.8" hidden="false" customHeight="false" outlineLevel="0" collapsed="false">
      <c r="A19" s="9" t="n">
        <v>16</v>
      </c>
      <c r="B19" s="1" t="n">
        <v>0.711762183520106</v>
      </c>
    </row>
    <row r="20" customFormat="false" ht="12.8" hidden="false" customHeight="false" outlineLevel="0" collapsed="false">
      <c r="A20" s="9" t="n">
        <v>17</v>
      </c>
      <c r="B20" s="1" t="n">
        <v>0.766589952746506</v>
      </c>
    </row>
    <row r="21" customFormat="false" ht="12.8" hidden="false" customHeight="false" outlineLevel="0" collapsed="false">
      <c r="A21" s="9" t="n">
        <v>18</v>
      </c>
      <c r="B21" s="1" t="n">
        <v>0.744973965638361</v>
      </c>
    </row>
    <row r="22" customFormat="false" ht="12.8" hidden="false" customHeight="false" outlineLevel="0" collapsed="false">
      <c r="A22" s="9" t="n">
        <v>19</v>
      </c>
      <c r="B22" s="1" t="n">
        <v>0.80774841591924</v>
      </c>
    </row>
    <row r="23" customFormat="false" ht="12.8" hidden="false" customHeight="false" outlineLevel="0" collapsed="false">
      <c r="A23" s="9" t="n">
        <v>20</v>
      </c>
      <c r="B23" s="1" t="n">
        <v>0.669660142744409</v>
      </c>
    </row>
    <row r="24" customFormat="false" ht="12.8" hidden="false" customHeight="false" outlineLevel="0" collapsed="false">
      <c r="A24" s="9" t="n">
        <v>21</v>
      </c>
      <c r="B24" s="1" t="n">
        <v>0.646445134849864</v>
      </c>
    </row>
    <row r="25" customFormat="false" ht="12.8" hidden="false" customHeight="false" outlineLevel="0" collapsed="false">
      <c r="A25" s="9" t="n">
        <v>22</v>
      </c>
      <c r="B25" s="1" t="n">
        <v>0.690845639182806</v>
      </c>
    </row>
    <row r="26" customFormat="false" ht="12.8" hidden="false" customHeight="false" outlineLevel="0" collapsed="false">
      <c r="A26" s="9" t="n">
        <v>23</v>
      </c>
      <c r="B26" s="1" t="n">
        <v>0.705992721957315</v>
      </c>
    </row>
    <row r="27" customFormat="false" ht="12.8" hidden="false" customHeight="false" outlineLevel="0" collapsed="false">
      <c r="A27" s="9" t="n">
        <v>24</v>
      </c>
      <c r="B27" s="1" t="n">
        <v>0.72779628492836</v>
      </c>
    </row>
    <row r="28" customFormat="false" ht="12.8" hidden="false" customHeight="false" outlineLevel="0" collapsed="false">
      <c r="A28" s="6" t="n">
        <v>25</v>
      </c>
      <c r="B28" s="1" t="n">
        <v>0.73243468122275</v>
      </c>
    </row>
    <row r="29" customFormat="false" ht="13.1" hidden="false" customHeight="false" outlineLevel="0" collapsed="false">
      <c r="A29" s="9"/>
    </row>
    <row r="32" customFormat="false" ht="12.8" hidden="false" customHeight="false" outlineLevel="0" collapsed="false">
      <c r="B32" s="1"/>
    </row>
    <row r="33" customFormat="false" ht="12.8" hidden="false" customHeight="false" outlineLevel="0" collapsed="false">
      <c r="B33" s="1"/>
    </row>
    <row r="34" customFormat="false" ht="12.8" hidden="false" customHeight="false" outlineLevel="0" collapsed="false">
      <c r="B34" s="1"/>
    </row>
    <row r="35" customFormat="false" ht="12.8" hidden="false" customHeight="false" outlineLevel="0" collapsed="false">
      <c r="B35" s="1"/>
    </row>
    <row r="36" customFormat="false" ht="12.8" hidden="false" customHeight="false" outlineLevel="0" collapsed="false">
      <c r="B36" s="1"/>
    </row>
    <row r="37" customFormat="false" ht="12.8" hidden="false" customHeight="false" outlineLevel="0" collapsed="false">
      <c r="B37" s="1"/>
    </row>
    <row r="38" customFormat="false" ht="12.8" hidden="false" customHeight="false" outlineLevel="0" collapsed="false">
      <c r="B38" s="1"/>
    </row>
    <row r="39" customFormat="false" ht="12.8" hidden="false" customHeight="false" outlineLevel="0" collapsed="false">
      <c r="B39" s="1"/>
    </row>
    <row r="40" customFormat="false" ht="12.8" hidden="false" customHeight="false" outlineLevel="0" collapsed="false">
      <c r="B40" s="1"/>
    </row>
    <row r="41" customFormat="false" ht="12.8" hidden="false" customHeight="false" outlineLevel="0" collapsed="false">
      <c r="B41" s="1"/>
    </row>
    <row r="42" customFormat="false" ht="12.8" hidden="false" customHeight="false" outlineLevel="0" collapsed="false">
      <c r="B42" s="1"/>
    </row>
    <row r="43" customFormat="false" ht="12.8" hidden="false" customHeight="false" outlineLevel="0" collapsed="false">
      <c r="B43" s="1"/>
    </row>
    <row r="44" customFormat="false" ht="12.8" hidden="false" customHeight="false" outlineLevel="0" collapsed="false">
      <c r="B44" s="1"/>
    </row>
    <row r="45" customFormat="false" ht="12.8" hidden="false" customHeight="false" outlineLevel="0" collapsed="false">
      <c r="B45" s="1"/>
    </row>
    <row r="46" customFormat="false" ht="12.8" hidden="false" customHeight="false" outlineLevel="0" collapsed="false">
      <c r="B46" s="1"/>
    </row>
    <row r="47" customFormat="false" ht="12.8" hidden="false" customHeight="false" outlineLevel="0" collapsed="false">
      <c r="B47" s="1"/>
    </row>
    <row r="48" customFormat="false" ht="12.8" hidden="false" customHeight="false" outlineLevel="0" collapsed="false">
      <c r="B48" s="1"/>
    </row>
    <row r="49" customFormat="false" ht="12.8" hidden="false" customHeight="false" outlineLevel="0" collapsed="false">
      <c r="B49" s="1"/>
    </row>
    <row r="50" customFormat="false" ht="12.8" hidden="false" customHeight="false" outlineLevel="0" collapsed="false">
      <c r="B50" s="1"/>
    </row>
    <row r="51" customFormat="false" ht="12.8" hidden="false" customHeight="false" outlineLevel="0" collapsed="false">
      <c r="B51" s="1"/>
    </row>
    <row r="52" customFormat="false" ht="12.8" hidden="false" customHeight="false" outlineLevel="0" collapsed="false">
      <c r="B52" s="1"/>
    </row>
    <row r="53" customFormat="false" ht="12.8" hidden="false" customHeight="false" outlineLevel="0" collapsed="false">
      <c r="B53" s="1"/>
    </row>
    <row r="54" customFormat="false" ht="12.8" hidden="false" customHeight="false" outlineLevel="0" collapsed="false">
      <c r="B54" s="1"/>
    </row>
    <row r="55" customFormat="false" ht="12.8" hidden="false" customHeight="false" outlineLevel="0" collapsed="false">
      <c r="B55" s="1"/>
    </row>
    <row r="56" customFormat="false" ht="12.8" hidden="false" customHeight="false" outlineLevel="0" collapsed="false">
      <c r="B56" s="1"/>
    </row>
    <row r="57" customFormat="false" ht="12.8" hidden="false" customHeight="false" outlineLevel="0" collapsed="false">
      <c r="B57" s="1"/>
    </row>
    <row r="58" customFormat="false" ht="12.8" hidden="false" customHeight="false" outlineLevel="0" collapsed="false">
      <c r="B58" s="1"/>
    </row>
    <row r="59" customFormat="false" ht="12.8" hidden="false" customHeight="false" outlineLevel="0" collapsed="false">
      <c r="B59" s="1"/>
    </row>
    <row r="60" customFormat="false" ht="12.8" hidden="false" customHeight="false" outlineLevel="0" collapsed="false">
      <c r="B60" s="1"/>
    </row>
    <row r="61" customFormat="false" ht="12.8" hidden="false" customHeight="false" outlineLevel="0" collapsed="false">
      <c r="B61" s="1"/>
    </row>
    <row r="62" customFormat="false" ht="12.8" hidden="false" customHeight="false" outlineLevel="0" collapsed="false">
      <c r="B62" s="1"/>
    </row>
    <row r="63" customFormat="false" ht="12.8" hidden="false" customHeight="false" outlineLevel="0" collapsed="false">
      <c r="B63" s="1"/>
    </row>
    <row r="64" customFormat="false" ht="12.8" hidden="false" customHeight="false" outlineLevel="0" collapsed="false">
      <c r="B64" s="1"/>
    </row>
    <row r="65" customFormat="false" ht="12.8" hidden="false" customHeight="false" outlineLevel="0" collapsed="false">
      <c r="B65" s="1"/>
    </row>
    <row r="66" customFormat="false" ht="12.8" hidden="false" customHeight="false" outlineLevel="0" collapsed="false">
      <c r="B66" s="1"/>
    </row>
    <row r="67" customFormat="false" ht="12.8" hidden="false" customHeight="false" outlineLevel="0" collapsed="false">
      <c r="B67" s="1"/>
    </row>
    <row r="68" customFormat="false" ht="12.8" hidden="false" customHeight="false" outlineLevel="0" collapsed="false">
      <c r="B68" s="1"/>
    </row>
    <row r="69" customFormat="false" ht="12.8" hidden="false" customHeight="false" outlineLevel="0" collapsed="false">
      <c r="B69" s="1"/>
    </row>
    <row r="70" customFormat="false" ht="12.8" hidden="false" customHeight="false" outlineLevel="0" collapsed="false"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2.8" hidden="false" customHeight="false" outlineLevel="0" collapsed="false">
      <c r="B75" s="1"/>
    </row>
    <row r="76" customFormat="false" ht="12.8" hidden="false" customHeight="false" outlineLevel="0" collapsed="false">
      <c r="B76" s="1"/>
    </row>
    <row r="77" customFormat="false" ht="12.8" hidden="false" customHeight="false" outlineLevel="0" collapsed="false">
      <c r="B77" s="1"/>
    </row>
    <row r="78" customFormat="false" ht="12.8" hidden="false" customHeight="false" outlineLevel="0" collapsed="false">
      <c r="B78" s="1"/>
    </row>
    <row r="79" customFormat="false" ht="12.8" hidden="false" customHeight="false" outlineLevel="0" collapsed="false">
      <c r="B79" s="1"/>
    </row>
    <row r="80" customFormat="false" ht="12.8" hidden="false" customHeight="false" outlineLevel="0" collapsed="false">
      <c r="B80" s="1"/>
    </row>
    <row r="81" customFormat="false" ht="12.8" hidden="false" customHeight="false" outlineLevel="0" collapsed="false">
      <c r="B81" s="1"/>
    </row>
    <row r="82" customFormat="false" ht="12.8" hidden="false" customHeight="false" outlineLevel="0" collapsed="false">
      <c r="B82" s="1"/>
    </row>
    <row r="83" customFormat="false" ht="12.8" hidden="false" customHeight="false" outlineLevel="0" collapsed="false">
      <c r="B83" s="1"/>
    </row>
    <row r="84" customFormat="false" ht="12.8" hidden="false" customHeight="false" outlineLevel="0" collapsed="false">
      <c r="B84" s="1"/>
    </row>
    <row r="85" customFormat="false" ht="12.8" hidden="false" customHeight="false" outlineLevel="0" collapsed="false">
      <c r="B85" s="1"/>
    </row>
    <row r="86" customFormat="false" ht="12.8" hidden="false" customHeight="false" outlineLevel="0" collapsed="false">
      <c r="B86" s="1"/>
    </row>
    <row r="87" customFormat="false" ht="12.8" hidden="false" customHeight="false" outlineLevel="0" collapsed="false">
      <c r="B87" s="1"/>
    </row>
    <row r="88" customFormat="false" ht="12.8" hidden="false" customHeight="false" outlineLevel="0" collapsed="false">
      <c r="B88" s="1"/>
    </row>
    <row r="89" customFormat="false" ht="12.8" hidden="false" customHeight="false" outlineLevel="0" collapsed="false">
      <c r="B89" s="1"/>
    </row>
    <row r="90" customFormat="false" ht="12.8" hidden="false" customHeight="false" outlineLevel="0" collapsed="false">
      <c r="B90" s="1"/>
    </row>
    <row r="91" customFormat="false" ht="12.8" hidden="false" customHeight="false" outlineLevel="0" collapsed="false">
      <c r="B91" s="1"/>
    </row>
    <row r="92" customFormat="false" ht="12.8" hidden="false" customHeight="false" outlineLevel="0" collapsed="false">
      <c r="B92" s="1"/>
    </row>
    <row r="93" customFormat="false" ht="12.8" hidden="false" customHeight="false" outlineLevel="0" collapsed="false">
      <c r="B93" s="1"/>
    </row>
    <row r="94" customFormat="false" ht="12.8" hidden="false" customHeight="false" outlineLevel="0" collapsed="false">
      <c r="B94" s="1"/>
    </row>
    <row r="95" customFormat="false" ht="12.8" hidden="false" customHeight="false" outlineLevel="0" collapsed="false">
      <c r="B95" s="1"/>
    </row>
    <row r="96" customFormat="false" ht="12.8" hidden="false" customHeight="false" outlineLevel="0" collapsed="false">
      <c r="B96" s="1"/>
    </row>
    <row r="97" customFormat="false" ht="12.8" hidden="false" customHeight="false" outlineLevel="0" collapsed="false">
      <c r="B97" s="1"/>
    </row>
    <row r="98" customFormat="false" ht="12.8" hidden="false" customHeight="false" outlineLevel="0" collapsed="false">
      <c r="B98" s="1"/>
    </row>
    <row r="99" customFormat="false" ht="12.8" hidden="false" customHeight="false" outlineLevel="0" collapsed="false">
      <c r="B99" s="1"/>
    </row>
    <row r="100" customFormat="false" ht="12.8" hidden="false" customHeight="false" outlineLevel="0" collapsed="false">
      <c r="B100" s="1"/>
    </row>
    <row r="101" customFormat="false" ht="12.8" hidden="false" customHeight="false" outlineLevel="0" collapsed="false">
      <c r="B101" s="1"/>
    </row>
    <row r="102" customFormat="false" ht="12.8" hidden="false" customHeight="false" outlineLevel="0" collapsed="false">
      <c r="B102" s="1"/>
    </row>
    <row r="103" customFormat="false" ht="12.8" hidden="false" customHeight="false" outlineLevel="0" collapsed="false">
      <c r="B103" s="1"/>
    </row>
    <row r="104" customFormat="false" ht="12.8" hidden="false" customHeight="false" outlineLevel="0" collapsed="false">
      <c r="B104" s="1"/>
    </row>
    <row r="105" customFormat="false" ht="12.8" hidden="false" customHeight="false" outlineLevel="0" collapsed="false">
      <c r="B105" s="1"/>
    </row>
    <row r="106" customFormat="false" ht="12.8" hidden="false" customHeight="false" outlineLevel="0" collapsed="false">
      <c r="B106" s="1"/>
    </row>
    <row r="107" customFormat="false" ht="12.8" hidden="false" customHeight="false" outlineLevel="0" collapsed="false">
      <c r="B107" s="1"/>
    </row>
    <row r="108" customFormat="false" ht="12.8" hidden="false" customHeight="false" outlineLevel="0" collapsed="false">
      <c r="B108" s="1"/>
    </row>
    <row r="109" customFormat="false" ht="12.8" hidden="false" customHeight="false" outlineLevel="0" collapsed="false">
      <c r="B109" s="1"/>
    </row>
    <row r="110" customFormat="false" ht="12.8" hidden="false" customHeight="false" outlineLevel="0" collapsed="false">
      <c r="B110" s="1"/>
    </row>
    <row r="111" customFormat="false" ht="12.8" hidden="false" customHeight="false" outlineLevel="0" collapsed="false">
      <c r="B111" s="1"/>
    </row>
    <row r="112" customFormat="false" ht="12.8" hidden="false" customHeight="false" outlineLevel="0" collapsed="false">
      <c r="B112" s="1"/>
    </row>
    <row r="113" customFormat="false" ht="12.8" hidden="false" customHeight="false" outlineLevel="0" collapsed="false">
      <c r="B113" s="1"/>
    </row>
    <row r="114" customFormat="false" ht="12.8" hidden="false" customHeight="false" outlineLevel="0" collapsed="false">
      <c r="B114" s="1"/>
    </row>
    <row r="115" customFormat="false" ht="12.8" hidden="false" customHeight="false" outlineLevel="0" collapsed="false">
      <c r="B115" s="1"/>
    </row>
    <row r="116" customFormat="false" ht="12.8" hidden="false" customHeight="false" outlineLevel="0" collapsed="false">
      <c r="B116" s="1"/>
    </row>
    <row r="117" customFormat="false" ht="12.8" hidden="false" customHeight="false" outlineLevel="0" collapsed="false">
      <c r="B117" s="1"/>
    </row>
    <row r="118" customFormat="false" ht="12.8" hidden="false" customHeight="false" outlineLevel="0" collapsed="false">
      <c r="B118" s="1"/>
    </row>
    <row r="119" customFormat="false" ht="12.8" hidden="false" customHeight="false" outlineLevel="0" collapsed="false">
      <c r="B119" s="1"/>
    </row>
    <row r="120" customFormat="false" ht="12.8" hidden="false" customHeight="false" outlineLevel="0" collapsed="false">
      <c r="B120" s="1"/>
    </row>
    <row r="121" customFormat="false" ht="12.8" hidden="false" customHeight="false" outlineLevel="0" collapsed="false">
      <c r="B121" s="1"/>
    </row>
    <row r="122" customFormat="false" ht="12.8" hidden="false" customHeight="false" outlineLevel="0" collapsed="false">
      <c r="B122" s="1"/>
    </row>
    <row r="123" customFormat="false" ht="12.8" hidden="false" customHeight="false" outlineLevel="0" collapsed="false">
      <c r="B123" s="1"/>
    </row>
    <row r="124" customFormat="false" ht="12.8" hidden="false" customHeight="false" outlineLevel="0" collapsed="false">
      <c r="B124" s="1"/>
    </row>
    <row r="125" customFormat="false" ht="12.8" hidden="false" customHeight="false" outlineLevel="0" collapsed="false">
      <c r="B125" s="1"/>
    </row>
    <row r="126" customFormat="false" ht="12.8" hidden="false" customHeight="false" outlineLevel="0" collapsed="false">
      <c r="B126" s="1"/>
    </row>
    <row r="127" customFormat="false" ht="12.8" hidden="false" customHeight="false" outlineLevel="0" collapsed="false">
      <c r="B127" s="1"/>
    </row>
    <row r="128" customFormat="false" ht="12.8" hidden="false" customHeight="false" outlineLevel="0" collapsed="false">
      <c r="B128" s="1"/>
    </row>
    <row r="129" customFormat="false" ht="12.8" hidden="false" customHeight="false" outlineLevel="0" collapsed="false">
      <c r="B129" s="1"/>
    </row>
    <row r="130" customFormat="false" ht="12.8" hidden="false" customHeight="false" outlineLevel="0" collapsed="false">
      <c r="B130" s="1"/>
    </row>
    <row r="131" customFormat="false" ht="12.8" hidden="false" customHeight="false" outlineLevel="0" collapsed="false">
      <c r="B131" s="1"/>
    </row>
    <row r="132" customFormat="false" ht="12.8" hidden="false" customHeight="false" outlineLevel="0" collapsed="false">
      <c r="B132" s="1"/>
    </row>
    <row r="133" customFormat="false" ht="12.8" hidden="false" customHeight="false" outlineLevel="0" collapsed="false">
      <c r="B133" s="1"/>
    </row>
    <row r="134" customFormat="false" ht="12.8" hidden="false" customHeight="false" outlineLevel="0" collapsed="false">
      <c r="B134" s="1"/>
    </row>
    <row r="135" customFormat="false" ht="12.8" hidden="false" customHeight="false" outlineLevel="0" collapsed="false">
      <c r="B135" s="1"/>
    </row>
    <row r="136" customFormat="false" ht="12.8" hidden="false" customHeight="false" outlineLevel="0" collapsed="false">
      <c r="B136" s="1"/>
    </row>
    <row r="137" customFormat="false" ht="12.8" hidden="false" customHeight="false" outlineLevel="0" collapsed="false">
      <c r="B137" s="1"/>
    </row>
    <row r="138" customFormat="false" ht="12.8" hidden="false" customHeight="false" outlineLevel="0" collapsed="false">
      <c r="B138" s="1"/>
    </row>
    <row r="139" customFormat="false" ht="12.8" hidden="false" customHeight="false" outlineLevel="0" collapsed="false">
      <c r="B139" s="1"/>
    </row>
    <row r="140" customFormat="false" ht="12.8" hidden="false" customHeight="false" outlineLevel="0" collapsed="false">
      <c r="B140" s="1"/>
    </row>
    <row r="141" customFormat="false" ht="12.8" hidden="false" customHeight="false" outlineLevel="0" collapsed="false">
      <c r="B141" s="1"/>
    </row>
    <row r="142" customFormat="false" ht="12.8" hidden="false" customHeight="false" outlineLevel="0" collapsed="false">
      <c r="B142" s="1"/>
    </row>
    <row r="143" customFormat="false" ht="12.8" hidden="false" customHeight="false" outlineLevel="0" collapsed="false">
      <c r="B143" s="1"/>
    </row>
    <row r="144" customFormat="false" ht="12.8" hidden="false" customHeight="false" outlineLevel="0" collapsed="false">
      <c r="B144" s="1"/>
    </row>
    <row r="145" customFormat="false" ht="12.8" hidden="false" customHeight="false" outlineLevel="0" collapsed="false">
      <c r="B145" s="1"/>
    </row>
    <row r="146" customFormat="false" ht="12.8" hidden="false" customHeight="false" outlineLevel="0" collapsed="false">
      <c r="B146" s="1"/>
    </row>
    <row r="147" customFormat="false" ht="12.8" hidden="false" customHeight="false" outlineLevel="0" collapsed="false">
      <c r="B147" s="1"/>
    </row>
    <row r="148" customFormat="false" ht="12.8" hidden="false" customHeight="false" outlineLevel="0" collapsed="false">
      <c r="B148" s="1"/>
    </row>
    <row r="149" customFormat="false" ht="12.8" hidden="false" customHeight="false" outlineLevel="0" collapsed="false">
      <c r="B149" s="1"/>
    </row>
    <row r="150" customFormat="false" ht="12.8" hidden="false" customHeight="false" outlineLevel="0" collapsed="false">
      <c r="B150" s="1"/>
    </row>
    <row r="151" customFormat="false" ht="12.8" hidden="false" customHeight="false" outlineLevel="0" collapsed="false">
      <c r="B151" s="1"/>
    </row>
    <row r="152" customFormat="false" ht="12.8" hidden="false" customHeight="false" outlineLevel="0" collapsed="false">
      <c r="B152" s="1"/>
    </row>
    <row r="153" customFormat="false" ht="12.8" hidden="false" customHeight="false" outlineLevel="0" collapsed="false">
      <c r="B153" s="1"/>
    </row>
    <row r="154" customFormat="false" ht="12.8" hidden="false" customHeight="false" outlineLevel="0" collapsed="false">
      <c r="B154" s="1"/>
    </row>
    <row r="155" customFormat="false" ht="12.8" hidden="false" customHeight="false" outlineLevel="0" collapsed="false">
      <c r="B155" s="1"/>
    </row>
    <row r="156" customFormat="false" ht="12.8" hidden="false" customHeight="false" outlineLevel="0" collapsed="false">
      <c r="B156" s="1"/>
    </row>
    <row r="157" customFormat="false" ht="12.8" hidden="false" customHeight="false" outlineLevel="0" collapsed="false">
      <c r="B157" s="1"/>
    </row>
    <row r="158" customFormat="false" ht="12.8" hidden="false" customHeight="false" outlineLevel="0" collapsed="false">
      <c r="B158" s="1"/>
    </row>
    <row r="159" customFormat="false" ht="12.8" hidden="false" customHeight="false" outlineLevel="0" collapsed="false">
      <c r="B159" s="1"/>
    </row>
    <row r="160" customFormat="false" ht="12.8" hidden="false" customHeight="false" outlineLevel="0" collapsed="false">
      <c r="B160" s="1"/>
    </row>
    <row r="161" customFormat="false" ht="12.8" hidden="false" customHeight="false" outlineLevel="0" collapsed="false">
      <c r="B161" s="1"/>
    </row>
    <row r="162" customFormat="false" ht="12.8" hidden="false" customHeight="false" outlineLevel="0" collapsed="false">
      <c r="B162" s="1"/>
    </row>
    <row r="163" customFormat="false" ht="12.8" hidden="false" customHeight="false" outlineLevel="0" collapsed="false">
      <c r="B163" s="1"/>
    </row>
    <row r="164" customFormat="false" ht="12.8" hidden="false" customHeight="false" outlineLevel="0" collapsed="false">
      <c r="B164" s="1"/>
    </row>
    <row r="165" customFormat="false" ht="12.8" hidden="false" customHeight="false" outlineLevel="0" collapsed="false">
      <c r="B165" s="1"/>
    </row>
    <row r="166" customFormat="false" ht="12.8" hidden="false" customHeight="false" outlineLevel="0" collapsed="false">
      <c r="B166" s="1"/>
    </row>
    <row r="167" customFormat="false" ht="12.8" hidden="false" customHeight="false" outlineLevel="0" collapsed="false">
      <c r="B167" s="1"/>
    </row>
    <row r="168" customFormat="false" ht="12.8" hidden="false" customHeight="false" outlineLevel="0" collapsed="false">
      <c r="B168" s="1"/>
    </row>
    <row r="169" customFormat="false" ht="12.8" hidden="false" customHeight="false" outlineLevel="0" collapsed="false">
      <c r="B169" s="1"/>
    </row>
    <row r="170" customFormat="false" ht="12.8" hidden="false" customHeight="false" outlineLevel="0" collapsed="false">
      <c r="B170" s="1"/>
    </row>
    <row r="171" customFormat="false" ht="12.8" hidden="false" customHeight="false" outlineLevel="0" collapsed="false">
      <c r="B171" s="1"/>
    </row>
    <row r="172" customFormat="false" ht="12.8" hidden="false" customHeight="false" outlineLevel="0" collapsed="false">
      <c r="B172" s="1"/>
    </row>
    <row r="173" customFormat="false" ht="12.8" hidden="false" customHeight="false" outlineLevel="0" collapsed="false">
      <c r="B173" s="1"/>
    </row>
    <row r="174" customFormat="false" ht="12.8" hidden="false" customHeight="false" outlineLevel="0" collapsed="false">
      <c r="B174" s="1"/>
    </row>
    <row r="175" customFormat="false" ht="12.8" hidden="false" customHeight="false" outlineLevel="0" collapsed="false">
      <c r="B17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00"/>
  <sheetViews>
    <sheetView showFormulas="false" showGridLines="true" showRowColHeaders="true" showZeros="true" rightToLeft="false" tabSelected="false" showOutlineSymbols="true" defaultGridColor="true" view="normal" topLeftCell="A52" colorId="64" zoomScale="125" zoomScaleNormal="125" zoomScalePageLayoutView="100" workbookViewId="0">
      <selection pane="topLeft" activeCell="A64" activeCellId="1" sqref="I32:K32 A6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5" min="2" style="3" width="19.32"/>
    <col collapsed="false" customWidth="true" hidden="false" outlineLevel="0" max="6" min="6" style="3" width="20.4"/>
    <col collapsed="false" customWidth="true" hidden="false" outlineLevel="0" max="7" min="7" style="3" width="19.32"/>
    <col collapsed="false" customWidth="true" hidden="false" outlineLevel="0" max="9" min="8" style="3" width="21.94"/>
    <col collapsed="false" customWidth="true" hidden="false" outlineLevel="0" max="10" min="10" style="3" width="19.32"/>
    <col collapsed="false" customWidth="true" hidden="false" outlineLevel="0" max="11" min="11" style="3" width="21.48"/>
    <col collapsed="false" customWidth="true" hidden="false" outlineLevel="0" max="12" min="12" style="3" width="19.32"/>
    <col collapsed="false" customWidth="true" hidden="false" outlineLevel="0" max="13" min="13" style="3" width="18.24"/>
  </cols>
  <sheetData>
    <row r="2" customFormat="false" ht="12.8" hidden="false" customHeight="true" outlineLevel="0" collapsed="false">
      <c r="B2" s="12" t="s">
        <v>11</v>
      </c>
      <c r="C2" s="12"/>
    </row>
    <row r="3" customFormat="false" ht="12.8" hidden="false" customHeight="false" outlineLevel="0" collapsed="false">
      <c r="A3" s="11" t="s">
        <v>108</v>
      </c>
      <c r="B3" s="1" t="s">
        <v>109</v>
      </c>
      <c r="C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6" t="s">
        <v>115</v>
      </c>
      <c r="J3" s="6" t="s">
        <v>116</v>
      </c>
      <c r="K3" s="1" t="s">
        <v>117</v>
      </c>
      <c r="L3" s="1" t="s">
        <v>118</v>
      </c>
    </row>
    <row r="4" customFormat="false" ht="12.8" hidden="false" customHeight="false" outlineLevel="0" collapsed="false">
      <c r="A4" s="9" t="n">
        <v>1</v>
      </c>
      <c r="B4" s="6" t="n">
        <v>0.81564959143364</v>
      </c>
      <c r="C4" s="6" t="n">
        <v>0.812375866700629</v>
      </c>
      <c r="E4" s="6" t="n">
        <f aca="false">_xlfn.STDEV.S(B4:B28)</f>
        <v>0.0735041612817633</v>
      </c>
      <c r="F4" s="6" t="n">
        <f aca="false">_xlfn.STDEV.S(C4:C28)</f>
        <v>0.0899326263135566</v>
      </c>
      <c r="G4" s="6" t="n">
        <f aca="false">_xlfn.F.TEST(B4:B28,C4:C28)</f>
        <v>0.329695552546665</v>
      </c>
      <c r="H4" s="6" t="n">
        <f aca="false">_xlfn.T.TEST(B4:B28, C4:C28, 2,2)</f>
        <v>2.90857295374832E-006</v>
      </c>
      <c r="I4" s="6" t="n">
        <f aca="false">_xlfn.T.TEST(B4:B28,C4:C28, 2,3)</f>
        <v>3.19243210359112E-006</v>
      </c>
      <c r="J4" s="6" t="n">
        <f aca="false">AVERAGE(B4:B28)-AVERAGE(C4:C28)</f>
        <v>0.123055156601286</v>
      </c>
      <c r="K4" s="1" t="n">
        <f aca="false">AVERAGE(B4:B28)</f>
        <v>0.715361687304307</v>
      </c>
      <c r="L4" s="1" t="n">
        <f aca="false">AVERAGE(C4:C28)</f>
        <v>0.592306530703021</v>
      </c>
    </row>
    <row r="5" customFormat="false" ht="12.8" hidden="false" customHeight="false" outlineLevel="0" collapsed="false">
      <c r="A5" s="9" t="n">
        <v>2</v>
      </c>
      <c r="B5" s="1" t="n">
        <v>0.67540263000882</v>
      </c>
      <c r="C5" s="6" t="n">
        <v>0.621326054028327</v>
      </c>
    </row>
    <row r="6" customFormat="false" ht="12.8" hidden="false" customHeight="false" outlineLevel="0" collapsed="false">
      <c r="A6" s="9" t="n">
        <v>3</v>
      </c>
      <c r="B6" s="1" t="n">
        <v>0.657949061396672</v>
      </c>
      <c r="C6" s="6" t="n">
        <v>0.681899333424152</v>
      </c>
    </row>
    <row r="7" customFormat="false" ht="12.8" hidden="false" customHeight="false" outlineLevel="0" collapsed="false">
      <c r="A7" s="9" t="n">
        <v>4</v>
      </c>
      <c r="B7" s="1" t="n">
        <v>0.595152958150236</v>
      </c>
      <c r="C7" s="6" t="n">
        <v>0.674771839496378</v>
      </c>
    </row>
    <row r="8" customFormat="false" ht="12.8" hidden="false" customHeight="false" outlineLevel="0" collapsed="false">
      <c r="A8" s="9" t="n">
        <v>5</v>
      </c>
      <c r="B8" s="1" t="n">
        <v>0.541278025353781</v>
      </c>
      <c r="C8" s="6" t="n">
        <v>0.51803751024012</v>
      </c>
    </row>
    <row r="9" customFormat="false" ht="12.8" hidden="false" customHeight="false" outlineLevel="0" collapsed="false">
      <c r="A9" s="9" t="n">
        <v>6</v>
      </c>
      <c r="B9" s="1" t="n">
        <v>0.694560494716742</v>
      </c>
      <c r="C9" s="6" t="n">
        <v>0.606253624859241</v>
      </c>
    </row>
    <row r="10" customFormat="false" ht="12.8" hidden="false" customHeight="false" outlineLevel="0" collapsed="false">
      <c r="A10" s="9" t="n">
        <v>7</v>
      </c>
      <c r="B10" s="1" t="n">
        <v>0.821209740996496</v>
      </c>
      <c r="C10" s="6" t="n">
        <v>0.602791213061993</v>
      </c>
    </row>
    <row r="11" customFormat="false" ht="12.8" hidden="false" customHeight="false" outlineLevel="0" collapsed="false">
      <c r="A11" s="9" t="n">
        <v>8</v>
      </c>
      <c r="B11" s="1" t="n">
        <v>0.827246504211718</v>
      </c>
      <c r="C11" s="6" t="n">
        <v>0.542603699900357</v>
      </c>
    </row>
    <row r="12" customFormat="false" ht="12.8" hidden="false" customHeight="false" outlineLevel="0" collapsed="false">
      <c r="A12" s="9" t="n">
        <v>9</v>
      </c>
      <c r="B12" s="1" t="n">
        <v>0.676694313663238</v>
      </c>
      <c r="C12" s="6" t="n">
        <v>0.652419536797036</v>
      </c>
    </row>
    <row r="13" customFormat="false" ht="12.8" hidden="false" customHeight="false" outlineLevel="0" collapsed="false">
      <c r="A13" s="9" t="n">
        <v>10</v>
      </c>
      <c r="B13" s="1" t="n">
        <v>0.611313272409236</v>
      </c>
      <c r="C13" s="6" t="n">
        <v>0.450905597774938</v>
      </c>
    </row>
    <row r="14" customFormat="false" ht="12.8" hidden="false" customHeight="false" outlineLevel="0" collapsed="false">
      <c r="A14" s="9" t="n">
        <v>11</v>
      </c>
      <c r="B14" s="1" t="n">
        <v>0.746560934334395</v>
      </c>
      <c r="C14" s="6" t="n">
        <v>0.546133776873995</v>
      </c>
    </row>
    <row r="15" customFormat="false" ht="12.8" hidden="false" customHeight="false" outlineLevel="0" collapsed="false">
      <c r="A15" s="9" t="n">
        <v>12</v>
      </c>
      <c r="B15" s="1" t="n">
        <v>0.708796841206483</v>
      </c>
      <c r="C15" s="6" t="n">
        <v>0.665778032490698</v>
      </c>
    </row>
    <row r="16" customFormat="false" ht="12.8" hidden="false" customHeight="false" outlineLevel="0" collapsed="false">
      <c r="A16" s="9" t="n">
        <v>13</v>
      </c>
      <c r="B16" s="1" t="n">
        <v>0.728278817795678</v>
      </c>
      <c r="C16" s="6" t="n">
        <v>0.570178682607378</v>
      </c>
    </row>
    <row r="17" customFormat="false" ht="12.8" hidden="false" customHeight="false" outlineLevel="0" collapsed="false">
      <c r="A17" s="9" t="n">
        <v>14</v>
      </c>
      <c r="B17" s="1" t="n">
        <v>0.765518878356676</v>
      </c>
      <c r="C17" s="6" t="n">
        <v>0.63671805888081</v>
      </c>
    </row>
    <row r="18" customFormat="false" ht="12.8" hidden="false" customHeight="false" outlineLevel="0" collapsed="false">
      <c r="A18" s="9" t="n">
        <v>15</v>
      </c>
      <c r="B18" s="1" t="n">
        <v>0.814180995864153</v>
      </c>
      <c r="C18" s="6" t="n">
        <v>0.686211801872884</v>
      </c>
    </row>
    <row r="19" customFormat="false" ht="12.8" hidden="false" customHeight="false" outlineLevel="0" collapsed="false">
      <c r="A19" s="9" t="n">
        <v>16</v>
      </c>
      <c r="B19" s="1" t="n">
        <v>0.711762183520106</v>
      </c>
      <c r="C19" s="6" t="n">
        <v>0.528746891036281</v>
      </c>
    </row>
    <row r="20" customFormat="false" ht="12.8" hidden="false" customHeight="false" outlineLevel="0" collapsed="false">
      <c r="A20" s="9" t="n">
        <v>17</v>
      </c>
      <c r="B20" s="1" t="n">
        <v>0.766589952746506</v>
      </c>
      <c r="C20" s="6" t="n">
        <v>0.550793523290854</v>
      </c>
    </row>
    <row r="21" customFormat="false" ht="12.8" hidden="false" customHeight="false" outlineLevel="0" collapsed="false">
      <c r="A21" s="9" t="n">
        <v>18</v>
      </c>
      <c r="B21" s="1" t="n">
        <v>0.744973965638361</v>
      </c>
      <c r="C21" s="6" t="n">
        <v>0.573839583361676</v>
      </c>
    </row>
    <row r="22" customFormat="false" ht="12.8" hidden="false" customHeight="false" outlineLevel="0" collapsed="false">
      <c r="A22" s="9" t="n">
        <v>19</v>
      </c>
      <c r="B22" s="1" t="n">
        <v>0.80774841591924</v>
      </c>
      <c r="C22" s="6" t="n">
        <v>0.638711323785104</v>
      </c>
    </row>
    <row r="23" customFormat="false" ht="12.8" hidden="false" customHeight="false" outlineLevel="0" collapsed="false">
      <c r="A23" s="9" t="n">
        <v>20</v>
      </c>
      <c r="B23" s="1" t="n">
        <v>0.669660142744409</v>
      </c>
      <c r="C23" s="6" t="n">
        <v>0.597975746643383</v>
      </c>
    </row>
    <row r="24" customFormat="false" ht="12.8" hidden="false" customHeight="false" outlineLevel="0" collapsed="false">
      <c r="A24" s="9" t="n">
        <v>21</v>
      </c>
      <c r="B24" s="1" t="n">
        <v>0.646445134849864</v>
      </c>
      <c r="C24" s="6" t="n">
        <v>0.620579654001758</v>
      </c>
    </row>
    <row r="25" customFormat="false" ht="12.8" hidden="false" customHeight="false" outlineLevel="0" collapsed="false">
      <c r="A25" s="9" t="n">
        <v>22</v>
      </c>
      <c r="B25" s="1" t="n">
        <v>0.690845639182806</v>
      </c>
      <c r="C25" s="6" t="n">
        <v>0.582519361253929</v>
      </c>
    </row>
    <row r="26" customFormat="false" ht="12.8" hidden="false" customHeight="false" outlineLevel="0" collapsed="false">
      <c r="A26" s="9" t="n">
        <v>23</v>
      </c>
      <c r="B26" s="1" t="n">
        <v>0.705992721957315</v>
      </c>
      <c r="C26" s="6" t="n">
        <v>0.405468497903575</v>
      </c>
    </row>
    <row r="27" customFormat="false" ht="12.8" hidden="false" customHeight="false" outlineLevel="0" collapsed="false">
      <c r="A27" s="9" t="n">
        <v>24</v>
      </c>
      <c r="B27" s="1" t="n">
        <v>0.72779628492836</v>
      </c>
      <c r="C27" s="6" t="n">
        <v>0.631758292696521</v>
      </c>
    </row>
    <row r="28" customFormat="false" ht="12.8" hidden="false" customHeight="false" outlineLevel="0" collapsed="false">
      <c r="A28" s="6" t="n">
        <v>25</v>
      </c>
      <c r="B28" s="1" t="n">
        <v>0.73243468122275</v>
      </c>
      <c r="C28" s="6" t="n">
        <v>0.408865764593518</v>
      </c>
    </row>
    <row r="32" customFormat="false" ht="12.8" hidden="false" customHeight="false" outlineLevel="0" collapsed="false">
      <c r="A32" s="3" t="s">
        <v>119</v>
      </c>
    </row>
    <row r="33" customFormat="false" ht="12.8" hidden="false" customHeight="false" outlineLevel="0" collapsed="false">
      <c r="A33" s="6"/>
      <c r="B33" s="6" t="s">
        <v>120</v>
      </c>
      <c r="C33" s="6" t="s">
        <v>121</v>
      </c>
      <c r="D33" s="6" t="s">
        <v>122</v>
      </c>
      <c r="E33" s="1" t="s">
        <v>109</v>
      </c>
      <c r="F33" s="6"/>
      <c r="G33" s="13" t="s">
        <v>123</v>
      </c>
    </row>
    <row r="34" customFormat="false" ht="12.8" hidden="false" customHeight="false" outlineLevel="0" collapsed="false">
      <c r="A34" s="9" t="n">
        <v>1</v>
      </c>
      <c r="B34" s="6" t="n">
        <v>0.816612774002254</v>
      </c>
      <c r="C34" s="6" t="n">
        <v>0.815772031466282</v>
      </c>
      <c r="D34" s="6" t="n">
        <v>0.807629702855429</v>
      </c>
      <c r="E34" s="6" t="n">
        <v>0.81564959143364</v>
      </c>
      <c r="F34" s="6"/>
      <c r="G34" s="3" t="s">
        <v>124</v>
      </c>
      <c r="H34" s="3" t="n">
        <v>0.05</v>
      </c>
    </row>
    <row r="35" customFormat="false" ht="12.8" hidden="false" customHeight="false" outlineLevel="0" collapsed="false">
      <c r="A35" s="9" t="n">
        <v>2</v>
      </c>
      <c r="B35" s="6" t="n">
        <v>0.685603988915714</v>
      </c>
      <c r="C35" s="6" t="n">
        <v>0.690178981295079</v>
      </c>
      <c r="D35" s="6" t="n">
        <v>0.738908432891206</v>
      </c>
      <c r="E35" s="1" t="n">
        <v>0.67540263000882</v>
      </c>
      <c r="F35" s="6"/>
    </row>
    <row r="36" customFormat="false" ht="12.8" hidden="false" customHeight="false" outlineLevel="0" collapsed="false">
      <c r="A36" s="9" t="n">
        <v>3</v>
      </c>
      <c r="B36" s="6" t="n">
        <v>0.692192998668189</v>
      </c>
      <c r="C36" s="6" t="n">
        <v>0.678236595135105</v>
      </c>
      <c r="D36" s="6" t="n">
        <v>0.666482514394955</v>
      </c>
      <c r="E36" s="1" t="n">
        <v>0.657949061396672</v>
      </c>
      <c r="F36" s="6"/>
      <c r="G36" s="3" t="s">
        <v>125</v>
      </c>
      <c r="H36" s="1" t="s">
        <v>126</v>
      </c>
      <c r="I36" s="1" t="s">
        <v>127</v>
      </c>
      <c r="J36" s="1" t="s">
        <v>128</v>
      </c>
      <c r="K36" s="1" t="s">
        <v>129</v>
      </c>
      <c r="L36" s="1"/>
      <c r="M36" s="1"/>
    </row>
    <row r="37" customFormat="false" ht="12.8" hidden="false" customHeight="false" outlineLevel="0" collapsed="false">
      <c r="A37" s="9" t="n">
        <v>4</v>
      </c>
      <c r="B37" s="6" t="n">
        <v>0.631090165894541</v>
      </c>
      <c r="C37" s="6" t="n">
        <v>0.599753209767944</v>
      </c>
      <c r="D37" s="6" t="n">
        <v>0.617232795834209</v>
      </c>
      <c r="E37" s="1" t="n">
        <v>0.595152958150236</v>
      </c>
      <c r="F37" s="6"/>
      <c r="G37" s="3" t="s">
        <v>130</v>
      </c>
      <c r="H37" s="1" t="n">
        <f aca="false">COUNT(inter_system_stats!$B$33:$B$57)</f>
        <v>24</v>
      </c>
      <c r="I37" s="1" t="n">
        <f aca="false">SUM(inter_system_stats!$B$33:$B$57)</f>
        <v>17.5648419631924</v>
      </c>
      <c r="J37" s="1" t="n">
        <f aca="false">AVERAGE(inter_system_stats!$B$33:$B$57)</f>
        <v>0.731868415133018</v>
      </c>
      <c r="K37" s="1" t="n">
        <f aca="false">VAR(inter_system_stats!$B$33:$B$57)</f>
        <v>0.00492049561898011</v>
      </c>
      <c r="L37" s="1"/>
      <c r="M37" s="1"/>
    </row>
    <row r="38" customFormat="false" ht="12.8" hidden="false" customHeight="false" outlineLevel="0" collapsed="false">
      <c r="A38" s="9" t="n">
        <v>5</v>
      </c>
      <c r="B38" s="6" t="n">
        <v>0.594608889064775</v>
      </c>
      <c r="C38" s="6" t="n">
        <v>0.571410730397255</v>
      </c>
      <c r="D38" s="6" t="n">
        <v>0.610425455654317</v>
      </c>
      <c r="E38" s="1" t="n">
        <v>0.541278025353781</v>
      </c>
      <c r="F38" s="6"/>
      <c r="G38" s="3" t="s">
        <v>131</v>
      </c>
      <c r="H38" s="1" t="n">
        <f aca="false">COUNT(inter_system_stats!$C$33:$C$57)</f>
        <v>24</v>
      </c>
      <c r="I38" s="1" t="n">
        <f aca="false">SUM(inter_system_stats!$C$33:$C$57)</f>
        <v>17.3271309109772</v>
      </c>
      <c r="J38" s="1" t="n">
        <f aca="false">AVERAGE(inter_system_stats!$C$33:$C$57)</f>
        <v>0.721963787957385</v>
      </c>
      <c r="K38" s="1" t="n">
        <f aca="false">VAR(inter_system_stats!$C$33:$C$57)</f>
        <v>0.00544828945776271</v>
      </c>
      <c r="L38" s="1"/>
      <c r="M38" s="1"/>
    </row>
    <row r="39" customFormat="false" ht="12.8" hidden="false" customHeight="false" outlineLevel="0" collapsed="false">
      <c r="A39" s="9" t="n">
        <v>6</v>
      </c>
      <c r="B39" s="6" t="n">
        <v>0.67289207367249</v>
      </c>
      <c r="C39" s="6" t="n">
        <v>0.665331994991001</v>
      </c>
      <c r="D39" s="6" t="n">
        <v>0.703303990628902</v>
      </c>
      <c r="E39" s="1" t="n">
        <v>0.694560494716742</v>
      </c>
      <c r="F39" s="6"/>
      <c r="G39" s="3" t="s">
        <v>132</v>
      </c>
      <c r="H39" s="1" t="n">
        <f aca="false">COUNT(inter_system_stats!$D$33:$D$57)</f>
        <v>24</v>
      </c>
      <c r="I39" s="1" t="n">
        <f aca="false">SUM(inter_system_stats!$D$33:$D$57)</f>
        <v>17.3599522148907</v>
      </c>
      <c r="J39" s="1" t="n">
        <f aca="false">AVERAGE(inter_system_stats!$D$33:$D$57)</f>
        <v>0.723331342287111</v>
      </c>
      <c r="K39" s="1" t="n">
        <f aca="false">VAR(inter_system_stats!$D$33:$D$57)</f>
        <v>0.00437059733174479</v>
      </c>
      <c r="L39" s="1"/>
      <c r="M39" s="1"/>
    </row>
    <row r="40" customFormat="false" ht="12.8" hidden="false" customHeight="false" outlineLevel="0" collapsed="false">
      <c r="A40" s="9" t="n">
        <v>7</v>
      </c>
      <c r="B40" s="6" t="n">
        <v>0.815471874765396</v>
      </c>
      <c r="C40" s="6" t="n">
        <v>0.834581956795994</v>
      </c>
      <c r="D40" s="6" t="n">
        <v>0.817692017265563</v>
      </c>
      <c r="E40" s="1" t="n">
        <v>0.821209740996496</v>
      </c>
      <c r="F40" s="6"/>
      <c r="G40" s="3" t="s">
        <v>133</v>
      </c>
      <c r="H40" s="1" t="n">
        <f aca="false">COUNT(inter_system_stats!$E$33:$E$57)</f>
        <v>24</v>
      </c>
      <c r="I40" s="1" t="n">
        <f aca="false">SUM(inter_system_stats!$E$33:$E$57)</f>
        <v>17.1516075013849</v>
      </c>
      <c r="J40" s="1" t="n">
        <f aca="false">AVERAGE(inter_system_stats!$E$33:$E$57)</f>
        <v>0.714650312557705</v>
      </c>
      <c r="K40" s="1" t="n">
        <f aca="false">VAR(inter_system_stats!$E$33:$E$57)</f>
        <v>0.00562456734780824</v>
      </c>
      <c r="L40" s="1"/>
      <c r="M40" s="1"/>
    </row>
    <row r="41" customFormat="false" ht="12.8" hidden="false" customHeight="false" outlineLevel="0" collapsed="false">
      <c r="A41" s="9" t="n">
        <v>8</v>
      </c>
      <c r="B41" s="6" t="n">
        <v>0.777361261632441</v>
      </c>
      <c r="C41" s="6" t="n">
        <v>0.727191552934014</v>
      </c>
      <c r="D41" s="6" t="n">
        <v>0.762019495081594</v>
      </c>
      <c r="E41" s="1" t="n">
        <v>0.827246504211718</v>
      </c>
      <c r="F41" s="6"/>
      <c r="H41" s="1"/>
      <c r="I41" s="1"/>
      <c r="J41" s="1"/>
      <c r="K41" s="1"/>
      <c r="L41" s="1"/>
      <c r="M41" s="1"/>
    </row>
    <row r="42" customFormat="false" ht="12.8" hidden="false" customHeight="false" outlineLevel="0" collapsed="false">
      <c r="A42" s="9" t="n">
        <v>9</v>
      </c>
      <c r="B42" s="6" t="n">
        <v>0.692246291421963</v>
      </c>
      <c r="C42" s="6" t="n">
        <v>0.69768144989318</v>
      </c>
      <c r="D42" s="6" t="n">
        <v>0.642354213368125</v>
      </c>
      <c r="E42" s="1" t="n">
        <v>0.676694313663238</v>
      </c>
      <c r="F42" s="6"/>
      <c r="G42" s="3" t="s">
        <v>134</v>
      </c>
      <c r="H42" s="1" t="s">
        <v>135</v>
      </c>
      <c r="I42" s="1" t="s">
        <v>136</v>
      </c>
      <c r="J42" s="1" t="s">
        <v>137</v>
      </c>
      <c r="K42" s="1" t="s">
        <v>138</v>
      </c>
      <c r="L42" s="1" t="s">
        <v>139</v>
      </c>
      <c r="M42" s="1" t="s">
        <v>140</v>
      </c>
    </row>
    <row r="43" customFormat="false" ht="12.8" hidden="false" customHeight="false" outlineLevel="0" collapsed="false">
      <c r="A43" s="9" t="n">
        <v>10</v>
      </c>
      <c r="B43" s="6" t="n">
        <v>0.615841349915757</v>
      </c>
      <c r="C43" s="6" t="n">
        <v>0.619580092617654</v>
      </c>
      <c r="D43" s="6" t="n">
        <v>0.622913061011376</v>
      </c>
      <c r="E43" s="1" t="n">
        <v>0.611313272409236</v>
      </c>
      <c r="F43" s="6"/>
      <c r="G43" s="3" t="s">
        <v>141</v>
      </c>
      <c r="H43" s="1" t="n">
        <f aca="false">SUMPRODUCT(inter_system_stats!$I$37:$I$40,inter_system_stats!$J$37:$J$40)-SUM(inter_system_stats!$I$37:$I$40)^2/SUM(inter_system_stats!$H$37:$H$40)</f>
        <v>0.00358898227791826</v>
      </c>
      <c r="I43" s="1" t="n">
        <f aca="false">COUNT(inter_system_stats!$I$37:$I$40)-1</f>
        <v>3</v>
      </c>
      <c r="J43" s="1" t="n">
        <f aca="false">inter_system_stats!$H$43 / inter_system_stats!$I$43</f>
        <v>0.00119632742597275</v>
      </c>
      <c r="K43" s="1" t="n">
        <f aca="false">inter_system_stats!$J$43 / inter_system_stats!$J$44</f>
        <v>0.234989270802515</v>
      </c>
      <c r="L43" s="1" t="n">
        <f aca="false">FDIST(inter_system_stats!$K$43, inter_system_stats!$I$43, inter_system_stats!$I$44)</f>
        <v>0.871773495471424</v>
      </c>
      <c r="M43" s="1" t="n">
        <f aca="false">FINV(inter_system_stats!$H$34, inter_system_stats!$I$43, inter_system_stats!$I$44)</f>
        <v>2.70359404136444</v>
      </c>
    </row>
    <row r="44" customFormat="false" ht="12.8" hidden="false" customHeight="false" outlineLevel="0" collapsed="false">
      <c r="A44" s="9" t="n">
        <v>11</v>
      </c>
      <c r="B44" s="6" t="n">
        <v>0.775302494128078</v>
      </c>
      <c r="C44" s="6" t="n">
        <v>0.774921176890618</v>
      </c>
      <c r="D44" s="6" t="n">
        <v>0.771127559172673</v>
      </c>
      <c r="E44" s="1" t="n">
        <v>0.746560934334395</v>
      </c>
      <c r="F44" s="6"/>
      <c r="G44" s="3" t="s">
        <v>142</v>
      </c>
      <c r="H44" s="1" t="n">
        <f aca="false">SUM(DEVSQ(inter_system_stats!$B$33:$B$57),DEVSQ(inter_system_stats!$C$33:$C$57),DEVSQ(inter_system_stats!$D$33:$D$57),DEVSQ(inter_system_stats!$E$33:$E$57))</f>
        <v>0.468370844394804</v>
      </c>
      <c r="I44" s="1" t="n">
        <f aca="false">SUM(inter_system_stats!$H$37:$H$40)-COUNT(inter_system_stats!$H$37:$H$40)</f>
        <v>92</v>
      </c>
      <c r="J44" s="1" t="n">
        <f aca="false">inter_system_stats!$H$44 / inter_system_stats!$I$44</f>
        <v>0.00509098743907396</v>
      </c>
      <c r="K44" s="1"/>
      <c r="L44" s="1"/>
      <c r="M44" s="1"/>
    </row>
    <row r="45" customFormat="false" ht="12.8" hidden="false" customHeight="false" outlineLevel="0" collapsed="false">
      <c r="A45" s="9" t="n">
        <v>12</v>
      </c>
      <c r="B45" s="6" t="n">
        <v>0.745549821920152</v>
      </c>
      <c r="C45" s="6" t="n">
        <v>0.753553709109679</v>
      </c>
      <c r="D45" s="6" t="n">
        <v>0.755700494821908</v>
      </c>
      <c r="E45" s="1" t="n">
        <v>0.708796841206483</v>
      </c>
      <c r="F45" s="6"/>
      <c r="G45" s="3" t="s">
        <v>143</v>
      </c>
      <c r="H45" s="1" t="n">
        <f aca="false">DEVSQ(inter_system_stats!$B$33:$B$57,inter_system_stats!$C$33:$C$57,inter_system_stats!$D$33:$D$57,inter_system_stats!$E$33:$E$57)</f>
        <v>0.471959826672732</v>
      </c>
      <c r="I45" s="1" t="n">
        <f aca="false">SUM(inter_system_stats!$H$37:$H$40) - 1</f>
        <v>95</v>
      </c>
      <c r="J45" s="1"/>
      <c r="K45" s="1"/>
      <c r="L45" s="1"/>
      <c r="M45" s="1"/>
    </row>
    <row r="46" customFormat="false" ht="12.8" hidden="false" customHeight="false" outlineLevel="0" collapsed="false">
      <c r="A46" s="9" t="n">
        <v>13</v>
      </c>
      <c r="B46" s="6" t="n">
        <v>0.675936476989854</v>
      </c>
      <c r="C46" s="6" t="n">
        <v>0.672563929439104</v>
      </c>
      <c r="D46" s="6" t="n">
        <v>0.652206493784056</v>
      </c>
      <c r="E46" s="1" t="n">
        <v>0.728278817795678</v>
      </c>
      <c r="F46" s="6"/>
    </row>
    <row r="47" customFormat="false" ht="12.8" hidden="false" customHeight="false" outlineLevel="0" collapsed="false">
      <c r="A47" s="9" t="n">
        <v>14</v>
      </c>
      <c r="B47" s="6" t="n">
        <v>0.797455345493423</v>
      </c>
      <c r="C47" s="6" t="n">
        <v>0.793428445401866</v>
      </c>
      <c r="D47" s="6" t="n">
        <v>0.774203318401695</v>
      </c>
      <c r="E47" s="1" t="n">
        <v>0.765518878356676</v>
      </c>
      <c r="F47" s="6"/>
    </row>
    <row r="48" customFormat="false" ht="12.8" hidden="false" customHeight="false" outlineLevel="0" collapsed="false">
      <c r="A48" s="9" t="n">
        <v>15</v>
      </c>
      <c r="B48" s="6" t="n">
        <v>0.831683746706372</v>
      </c>
      <c r="C48" s="6" t="n">
        <v>0.822215644660448</v>
      </c>
      <c r="D48" s="6" t="n">
        <v>0.809939048024508</v>
      </c>
      <c r="E48" s="1" t="n">
        <v>0.814180995864153</v>
      </c>
      <c r="F48" s="6"/>
    </row>
    <row r="49" customFormat="false" ht="12.8" hidden="false" customHeight="false" outlineLevel="0" collapsed="false">
      <c r="A49" s="9" t="n">
        <v>16</v>
      </c>
      <c r="B49" s="6" t="n">
        <v>0.665915062167674</v>
      </c>
      <c r="C49" s="6" t="n">
        <v>0.635332717811399</v>
      </c>
      <c r="D49" s="6" t="n">
        <v>0.650131632080799</v>
      </c>
      <c r="E49" s="1" t="n">
        <v>0.711762183520106</v>
      </c>
      <c r="F49" s="6"/>
    </row>
    <row r="50" customFormat="false" ht="12.8" hidden="false" customHeight="false" outlineLevel="0" collapsed="false">
      <c r="A50" s="9" t="n">
        <v>17</v>
      </c>
      <c r="B50" s="6" t="n">
        <v>0.808465032172267</v>
      </c>
      <c r="C50" s="6" t="n">
        <v>0.793594653760174</v>
      </c>
      <c r="D50" s="6" t="n">
        <v>0.797189081830377</v>
      </c>
      <c r="E50" s="1" t="n">
        <v>0.766589952746506</v>
      </c>
      <c r="F50" s="6"/>
    </row>
    <row r="51" customFormat="false" ht="12.8" hidden="false" customHeight="false" outlineLevel="0" collapsed="false">
      <c r="A51" s="9" t="n">
        <v>18</v>
      </c>
      <c r="B51" s="6" t="n">
        <v>0.702923330052347</v>
      </c>
      <c r="C51" s="6" t="n">
        <v>0.704871448301166</v>
      </c>
      <c r="D51" s="6" t="n">
        <v>0.729185376832561</v>
      </c>
      <c r="E51" s="1" t="n">
        <v>0.744973965638361</v>
      </c>
      <c r="F51" s="6"/>
    </row>
    <row r="52" customFormat="false" ht="12.8" hidden="false" customHeight="false" outlineLevel="0" collapsed="false">
      <c r="A52" s="9" t="n">
        <v>19</v>
      </c>
      <c r="B52" s="6" t="n">
        <v>0.833849291363568</v>
      </c>
      <c r="C52" s="6" t="n">
        <v>0.807380134018013</v>
      </c>
      <c r="D52" s="6" t="n">
        <v>0.814317443577555</v>
      </c>
      <c r="E52" s="1" t="n">
        <v>0.80774841591924</v>
      </c>
      <c r="F52" s="6"/>
    </row>
    <row r="53" customFormat="false" ht="12.8" hidden="false" customHeight="false" outlineLevel="0" collapsed="false">
      <c r="A53" s="9" t="n">
        <v>20</v>
      </c>
      <c r="B53" s="6" t="n">
        <v>0.790624245512354</v>
      </c>
      <c r="C53" s="6" t="n">
        <v>0.685839894231455</v>
      </c>
      <c r="D53" s="6" t="n">
        <v>0.726210867823374</v>
      </c>
      <c r="E53" s="1" t="n">
        <v>0.669660142744409</v>
      </c>
      <c r="F53" s="6"/>
    </row>
    <row r="54" customFormat="false" ht="12.8" hidden="false" customHeight="false" outlineLevel="0" collapsed="false">
      <c r="A54" s="9" t="n">
        <v>21</v>
      </c>
      <c r="B54" s="6" t="n">
        <v>0.730617364036752</v>
      </c>
      <c r="C54" s="6" t="n">
        <v>0.744532936686859</v>
      </c>
      <c r="D54" s="6" t="n">
        <v>0.729028212060252</v>
      </c>
      <c r="E54" s="1" t="n">
        <v>0.646445134849864</v>
      </c>
      <c r="F54" s="6"/>
    </row>
    <row r="55" customFormat="false" ht="12.8" hidden="false" customHeight="false" outlineLevel="0" collapsed="false">
      <c r="A55" s="9" t="n">
        <v>22</v>
      </c>
      <c r="B55" s="6" t="n">
        <v>0.765208060825559</v>
      </c>
      <c r="C55" s="6" t="n">
        <v>0.793440478998772</v>
      </c>
      <c r="D55" s="6" t="n">
        <v>0.726360545777343</v>
      </c>
      <c r="E55" s="1" t="n">
        <v>0.690845639182806</v>
      </c>
      <c r="F55" s="6"/>
    </row>
    <row r="56" customFormat="false" ht="12.8" hidden="false" customHeight="false" outlineLevel="0" collapsed="false">
      <c r="A56" s="9" t="n">
        <v>23</v>
      </c>
      <c r="B56" s="6" t="n">
        <v>0.717035427894149</v>
      </c>
      <c r="C56" s="6" t="n">
        <v>0.707901607946691</v>
      </c>
      <c r="D56" s="6" t="n">
        <v>0.697993411397489</v>
      </c>
      <c r="E56" s="1" t="n">
        <v>0.705992721957315</v>
      </c>
      <c r="F56" s="6"/>
    </row>
    <row r="57" customFormat="false" ht="12.8" hidden="false" customHeight="false" outlineLevel="0" collapsed="false">
      <c r="A57" s="9" t="n">
        <v>24</v>
      </c>
      <c r="B57" s="6" t="n">
        <v>0.730354595976365</v>
      </c>
      <c r="C57" s="6" t="n">
        <v>0.737835538427487</v>
      </c>
      <c r="D57" s="6" t="n">
        <v>0.737397050320407</v>
      </c>
      <c r="E57" s="1" t="n">
        <v>0.72779628492836</v>
      </c>
      <c r="F57" s="6"/>
    </row>
    <row r="58" customFormat="false" ht="12.8" hidden="false" customHeight="false" outlineLevel="0" collapsed="false">
      <c r="A58" s="6"/>
      <c r="B58" s="6"/>
      <c r="D58" s="6"/>
    </row>
    <row r="61" customFormat="false" ht="12.8" hidden="false" customHeight="false" outlineLevel="0" collapsed="false">
      <c r="A61" s="3" t="s">
        <v>144</v>
      </c>
    </row>
    <row r="64" customFormat="false" ht="12.8" hidden="false" customHeight="false" outlineLevel="0" collapsed="false">
      <c r="A64" s="6"/>
      <c r="B64" s="6" t="s">
        <v>120</v>
      </c>
      <c r="C64" s="6" t="s">
        <v>121</v>
      </c>
      <c r="D64" s="6" t="s">
        <v>122</v>
      </c>
      <c r="E64" s="1" t="s">
        <v>109</v>
      </c>
      <c r="F64" s="6" t="s">
        <v>110</v>
      </c>
    </row>
    <row r="65" customFormat="false" ht="12.8" hidden="false" customHeight="false" outlineLevel="0" collapsed="false">
      <c r="A65" s="9" t="n">
        <v>1</v>
      </c>
      <c r="B65" s="6" t="n">
        <v>0.816612774002254</v>
      </c>
      <c r="C65" s="6" t="n">
        <v>0.815772031466282</v>
      </c>
      <c r="D65" s="6" t="n">
        <v>0.807629702855429</v>
      </c>
      <c r="E65" s="6" t="n">
        <v>0.81564959143364</v>
      </c>
      <c r="F65" s="6" t="n">
        <v>0.812375866700629</v>
      </c>
    </row>
    <row r="66" customFormat="false" ht="12.8" hidden="false" customHeight="false" outlineLevel="0" collapsed="false">
      <c r="A66" s="9" t="n">
        <v>2</v>
      </c>
      <c r="B66" s="6" t="n">
        <v>0.685603988915714</v>
      </c>
      <c r="C66" s="6" t="n">
        <v>0.690178981295079</v>
      </c>
      <c r="D66" s="6" t="n">
        <v>0.738908432891206</v>
      </c>
      <c r="E66" s="1" t="n">
        <v>0.67540263000882</v>
      </c>
      <c r="F66" s="6" t="n">
        <v>0.621326054028327</v>
      </c>
    </row>
    <row r="67" customFormat="false" ht="12.8" hidden="false" customHeight="false" outlineLevel="0" collapsed="false">
      <c r="A67" s="9" t="n">
        <v>3</v>
      </c>
      <c r="B67" s="6" t="n">
        <v>0.692192998668189</v>
      </c>
      <c r="C67" s="6" t="n">
        <v>0.678236595135105</v>
      </c>
      <c r="D67" s="6" t="n">
        <v>0.666482514394955</v>
      </c>
      <c r="E67" s="1" t="n">
        <v>0.657949061396672</v>
      </c>
      <c r="F67" s="6" t="n">
        <v>0.681899333424152</v>
      </c>
    </row>
    <row r="68" customFormat="false" ht="12.8" hidden="false" customHeight="false" outlineLevel="0" collapsed="false">
      <c r="A68" s="9" t="n">
        <v>4</v>
      </c>
      <c r="B68" s="6" t="n">
        <v>0.631090165894541</v>
      </c>
      <c r="C68" s="6" t="n">
        <v>0.599753209767944</v>
      </c>
      <c r="D68" s="6" t="n">
        <v>0.617232795834209</v>
      </c>
      <c r="E68" s="1" t="n">
        <v>0.595152958150236</v>
      </c>
      <c r="F68" s="6" t="n">
        <v>0.674771839496378</v>
      </c>
    </row>
    <row r="69" customFormat="false" ht="12.8" hidden="false" customHeight="false" outlineLevel="0" collapsed="false">
      <c r="A69" s="9" t="n">
        <v>5</v>
      </c>
      <c r="B69" s="6" t="n">
        <v>0.594608889064775</v>
      </c>
      <c r="C69" s="6" t="n">
        <v>0.571410730397255</v>
      </c>
      <c r="D69" s="6" t="n">
        <v>0.610425455654317</v>
      </c>
      <c r="E69" s="1" t="n">
        <v>0.541278025353781</v>
      </c>
      <c r="F69" s="6" t="n">
        <v>0.51803751024012</v>
      </c>
    </row>
    <row r="70" customFormat="false" ht="12.8" hidden="false" customHeight="false" outlineLevel="0" collapsed="false">
      <c r="A70" s="9" t="n">
        <v>6</v>
      </c>
      <c r="B70" s="6" t="n">
        <v>0.67289207367249</v>
      </c>
      <c r="C70" s="6" t="n">
        <v>0.665331994991001</v>
      </c>
      <c r="D70" s="6" t="n">
        <v>0.703303990628902</v>
      </c>
      <c r="E70" s="1" t="n">
        <v>0.694560494716742</v>
      </c>
      <c r="F70" s="6" t="n">
        <v>0.606253624859241</v>
      </c>
    </row>
    <row r="71" customFormat="false" ht="12.8" hidden="false" customHeight="false" outlineLevel="0" collapsed="false">
      <c r="A71" s="9" t="n">
        <v>7</v>
      </c>
      <c r="B71" s="6" t="n">
        <v>0.815471874765396</v>
      </c>
      <c r="C71" s="6" t="n">
        <v>0.834581956795994</v>
      </c>
      <c r="D71" s="6" t="n">
        <v>0.817692017265563</v>
      </c>
      <c r="E71" s="1" t="n">
        <v>0.821209740996496</v>
      </c>
      <c r="F71" s="6" t="n">
        <v>0.602791213061993</v>
      </c>
    </row>
    <row r="72" customFormat="false" ht="12.8" hidden="false" customHeight="false" outlineLevel="0" collapsed="false">
      <c r="A72" s="9" t="n">
        <v>8</v>
      </c>
      <c r="B72" s="6" t="n">
        <v>0.777361261632441</v>
      </c>
      <c r="C72" s="6" t="n">
        <v>0.727191552934014</v>
      </c>
      <c r="D72" s="6" t="n">
        <v>0.762019495081594</v>
      </c>
      <c r="E72" s="1" t="n">
        <v>0.827246504211718</v>
      </c>
      <c r="F72" s="6" t="n">
        <v>0.542603699900357</v>
      </c>
    </row>
    <row r="73" customFormat="false" ht="12.8" hidden="false" customHeight="false" outlineLevel="0" collapsed="false">
      <c r="A73" s="9" t="n">
        <v>9</v>
      </c>
      <c r="B73" s="6" t="n">
        <v>0.692246291421963</v>
      </c>
      <c r="C73" s="6" t="n">
        <v>0.69768144989318</v>
      </c>
      <c r="D73" s="6" t="n">
        <v>0.642354213368125</v>
      </c>
      <c r="E73" s="1" t="n">
        <v>0.676694313663238</v>
      </c>
      <c r="F73" s="6" t="n">
        <v>0.652419536797036</v>
      </c>
    </row>
    <row r="74" customFormat="false" ht="12.8" hidden="false" customHeight="false" outlineLevel="0" collapsed="false">
      <c r="A74" s="9" t="n">
        <v>10</v>
      </c>
      <c r="B74" s="6" t="n">
        <v>0.615841349915757</v>
      </c>
      <c r="C74" s="6" t="n">
        <v>0.619580092617654</v>
      </c>
      <c r="D74" s="6" t="n">
        <v>0.622913061011376</v>
      </c>
      <c r="E74" s="1" t="n">
        <v>0.611313272409236</v>
      </c>
      <c r="F74" s="6" t="n">
        <v>0.450905597774938</v>
      </c>
    </row>
    <row r="75" customFormat="false" ht="12.8" hidden="false" customHeight="false" outlineLevel="0" collapsed="false">
      <c r="A75" s="9" t="n">
        <v>11</v>
      </c>
      <c r="B75" s="6" t="n">
        <v>0.775302494128078</v>
      </c>
      <c r="C75" s="6" t="n">
        <v>0.774921176890618</v>
      </c>
      <c r="D75" s="6" t="n">
        <v>0.771127559172673</v>
      </c>
      <c r="E75" s="1" t="n">
        <v>0.746560934334395</v>
      </c>
      <c r="F75" s="6" t="n">
        <v>0.546133776873995</v>
      </c>
    </row>
    <row r="76" customFormat="false" ht="12.8" hidden="false" customHeight="false" outlineLevel="0" collapsed="false">
      <c r="A76" s="9" t="n">
        <v>12</v>
      </c>
      <c r="B76" s="6" t="n">
        <v>0.745549821920152</v>
      </c>
      <c r="C76" s="6" t="n">
        <v>0.753553709109679</v>
      </c>
      <c r="D76" s="6" t="n">
        <v>0.755700494821908</v>
      </c>
      <c r="E76" s="1" t="n">
        <v>0.708796841206483</v>
      </c>
      <c r="F76" s="6" t="n">
        <v>0.665778032490698</v>
      </c>
    </row>
    <row r="77" customFormat="false" ht="12.8" hidden="false" customHeight="false" outlineLevel="0" collapsed="false">
      <c r="A77" s="9" t="n">
        <v>13</v>
      </c>
      <c r="B77" s="6" t="n">
        <v>0.675936476989854</v>
      </c>
      <c r="C77" s="6" t="n">
        <v>0.672563929439104</v>
      </c>
      <c r="D77" s="6" t="n">
        <v>0.652206493784056</v>
      </c>
      <c r="E77" s="1" t="n">
        <v>0.728278817795678</v>
      </c>
      <c r="F77" s="6" t="n">
        <v>0.570178682607378</v>
      </c>
    </row>
    <row r="78" customFormat="false" ht="12.8" hidden="false" customHeight="false" outlineLevel="0" collapsed="false">
      <c r="A78" s="9" t="n">
        <v>14</v>
      </c>
      <c r="B78" s="6" t="n">
        <v>0.797455345493423</v>
      </c>
      <c r="C78" s="6" t="n">
        <v>0.793428445401866</v>
      </c>
      <c r="D78" s="6" t="n">
        <v>0.774203318401695</v>
      </c>
      <c r="E78" s="1" t="n">
        <v>0.765518878356676</v>
      </c>
      <c r="F78" s="6" t="n">
        <v>0.63671805888081</v>
      </c>
    </row>
    <row r="79" customFormat="false" ht="12.8" hidden="false" customHeight="false" outlineLevel="0" collapsed="false">
      <c r="A79" s="9" t="n">
        <v>15</v>
      </c>
      <c r="B79" s="6" t="n">
        <v>0.831683746706372</v>
      </c>
      <c r="C79" s="6" t="n">
        <v>0.822215644660448</v>
      </c>
      <c r="D79" s="6" t="n">
        <v>0.809939048024508</v>
      </c>
      <c r="E79" s="1" t="n">
        <v>0.814180995864153</v>
      </c>
      <c r="F79" s="6" t="n">
        <v>0.686211801872884</v>
      </c>
    </row>
    <row r="80" customFormat="false" ht="12.8" hidden="false" customHeight="false" outlineLevel="0" collapsed="false">
      <c r="A80" s="9" t="n">
        <v>16</v>
      </c>
      <c r="B80" s="6" t="n">
        <v>0.665915062167674</v>
      </c>
      <c r="C80" s="6" t="n">
        <v>0.635332717811399</v>
      </c>
      <c r="D80" s="6" t="n">
        <v>0.650131632080799</v>
      </c>
      <c r="E80" s="1" t="n">
        <v>0.711762183520106</v>
      </c>
      <c r="F80" s="6" t="n">
        <v>0.528746891036281</v>
      </c>
    </row>
    <row r="81" customFormat="false" ht="12.8" hidden="false" customHeight="false" outlineLevel="0" collapsed="false">
      <c r="A81" s="9" t="n">
        <v>17</v>
      </c>
      <c r="B81" s="6" t="n">
        <v>0.808465032172267</v>
      </c>
      <c r="C81" s="6" t="n">
        <v>0.793594653760174</v>
      </c>
      <c r="D81" s="6" t="n">
        <v>0.797189081830377</v>
      </c>
      <c r="E81" s="1" t="n">
        <v>0.766589952746506</v>
      </c>
      <c r="F81" s="6" t="n">
        <v>0.550793523290854</v>
      </c>
    </row>
    <row r="82" customFormat="false" ht="12.8" hidden="false" customHeight="false" outlineLevel="0" collapsed="false">
      <c r="A82" s="9" t="n">
        <v>18</v>
      </c>
      <c r="B82" s="6" t="n">
        <v>0.702923330052347</v>
      </c>
      <c r="C82" s="6" t="n">
        <v>0.704871448301166</v>
      </c>
      <c r="D82" s="6" t="n">
        <v>0.729185376832561</v>
      </c>
      <c r="E82" s="1" t="n">
        <v>0.744973965638361</v>
      </c>
      <c r="F82" s="6" t="n">
        <v>0.573839583361676</v>
      </c>
    </row>
    <row r="83" customFormat="false" ht="12.8" hidden="false" customHeight="false" outlineLevel="0" collapsed="false">
      <c r="A83" s="9" t="n">
        <v>19</v>
      </c>
      <c r="B83" s="6" t="n">
        <v>0.833849291363568</v>
      </c>
      <c r="C83" s="6" t="n">
        <v>0.807380134018013</v>
      </c>
      <c r="D83" s="6" t="n">
        <v>0.814317443577555</v>
      </c>
      <c r="E83" s="1" t="n">
        <v>0.80774841591924</v>
      </c>
      <c r="F83" s="6" t="n">
        <v>0.638711323785104</v>
      </c>
    </row>
    <row r="84" customFormat="false" ht="12.8" hidden="false" customHeight="false" outlineLevel="0" collapsed="false">
      <c r="A84" s="9" t="n">
        <v>20</v>
      </c>
      <c r="B84" s="6" t="n">
        <v>0.790624245512354</v>
      </c>
      <c r="C84" s="6" t="n">
        <v>0.685839894231455</v>
      </c>
      <c r="D84" s="6" t="n">
        <v>0.726210867823374</v>
      </c>
      <c r="E84" s="1" t="n">
        <v>0.669660142744409</v>
      </c>
      <c r="F84" s="6" t="n">
        <v>0.597975746643383</v>
      </c>
    </row>
    <row r="85" customFormat="false" ht="12.8" hidden="false" customHeight="false" outlineLevel="0" collapsed="false">
      <c r="A85" s="9" t="n">
        <v>21</v>
      </c>
      <c r="B85" s="6" t="n">
        <v>0.730617364036752</v>
      </c>
      <c r="C85" s="6" t="n">
        <v>0.744532936686859</v>
      </c>
      <c r="D85" s="6" t="n">
        <v>0.729028212060252</v>
      </c>
      <c r="E85" s="1" t="n">
        <v>0.646445134849864</v>
      </c>
      <c r="F85" s="6" t="n">
        <v>0.620579654001758</v>
      </c>
    </row>
    <row r="86" customFormat="false" ht="12.8" hidden="false" customHeight="false" outlineLevel="0" collapsed="false">
      <c r="A86" s="9" t="n">
        <v>22</v>
      </c>
      <c r="B86" s="6" t="n">
        <v>0.765208060825559</v>
      </c>
      <c r="C86" s="6" t="n">
        <v>0.793440478998772</v>
      </c>
      <c r="D86" s="6" t="n">
        <v>0.726360545777343</v>
      </c>
      <c r="E86" s="1" t="n">
        <v>0.690845639182806</v>
      </c>
      <c r="F86" s="6" t="n">
        <v>0.582519361253929</v>
      </c>
      <c r="H86" s="13"/>
    </row>
    <row r="87" customFormat="false" ht="12.8" hidden="false" customHeight="false" outlineLevel="0" collapsed="false">
      <c r="A87" s="9" t="n">
        <v>23</v>
      </c>
      <c r="B87" s="6" t="n">
        <v>0.717035427894149</v>
      </c>
      <c r="C87" s="6" t="n">
        <v>0.707901607946691</v>
      </c>
      <c r="D87" s="6" t="n">
        <v>0.697993411397489</v>
      </c>
      <c r="E87" s="1" t="n">
        <v>0.705992721957315</v>
      </c>
      <c r="F87" s="6" t="n">
        <v>0.405468497903575</v>
      </c>
      <c r="H87" s="13" t="s">
        <v>123</v>
      </c>
    </row>
    <row r="88" customFormat="false" ht="12.8" hidden="false" customHeight="false" outlineLevel="0" collapsed="false">
      <c r="A88" s="9" t="n">
        <v>24</v>
      </c>
      <c r="B88" s="6" t="n">
        <v>0.730354595976365</v>
      </c>
      <c r="C88" s="6" t="n">
        <v>0.737835538427487</v>
      </c>
      <c r="D88" s="6" t="n">
        <v>0.737397050320407</v>
      </c>
      <c r="E88" s="1" t="n">
        <v>0.72779628492836</v>
      </c>
      <c r="F88" s="6" t="n">
        <v>0.631758292696521</v>
      </c>
      <c r="H88" s="3" t="s">
        <v>124</v>
      </c>
      <c r="I88" s="3" t="n">
        <v>0.05</v>
      </c>
    </row>
    <row r="89" customFormat="false" ht="12.8" hidden="false" customHeight="false" outlineLevel="0" collapsed="false">
      <c r="A89" s="9" t="n">
        <v>25</v>
      </c>
      <c r="B89" s="6"/>
      <c r="F89" s="7"/>
      <c r="I89" s="1"/>
      <c r="J89" s="1"/>
      <c r="K89" s="1"/>
      <c r="L89" s="1"/>
      <c r="M89" s="1"/>
      <c r="N89" s="1"/>
    </row>
    <row r="90" customFormat="false" ht="12.8" hidden="false" customHeight="false" outlineLevel="0" collapsed="false">
      <c r="H90" s="3" t="s">
        <v>125</v>
      </c>
      <c r="I90" s="1" t="s">
        <v>126</v>
      </c>
      <c r="J90" s="1" t="s">
        <v>127</v>
      </c>
      <c r="K90" s="1" t="s">
        <v>128</v>
      </c>
      <c r="L90" s="1" t="s">
        <v>129</v>
      </c>
      <c r="M90" s="1"/>
      <c r="N90" s="1"/>
    </row>
    <row r="91" customFormat="false" ht="12.8" hidden="false" customHeight="false" outlineLevel="0" collapsed="false">
      <c r="H91" s="3" t="s">
        <v>130</v>
      </c>
      <c r="I91" s="1" t="n">
        <f aca="false">COUNT(inter_system_stats!$B$64:$B$88)</f>
        <v>24</v>
      </c>
      <c r="J91" s="1" t="n">
        <f aca="false">SUM(inter_system_stats!$B$64:$B$88)</f>
        <v>17.5648419631924</v>
      </c>
      <c r="K91" s="1" t="n">
        <f aca="false">AVERAGE(inter_system_stats!$B$64:$B$88)</f>
        <v>0.731868415133018</v>
      </c>
      <c r="L91" s="1" t="n">
        <f aca="false">VAR(inter_system_stats!$B$64:$B$88)</f>
        <v>0.00492049561898011</v>
      </c>
      <c r="M91" s="1"/>
      <c r="N91" s="1"/>
    </row>
    <row r="92" customFormat="false" ht="12.8" hidden="false" customHeight="false" outlineLevel="0" collapsed="false">
      <c r="H92" s="3" t="s">
        <v>131</v>
      </c>
      <c r="I92" s="1" t="n">
        <f aca="false">COUNT(inter_system_stats!$C$64:$C$88)</f>
        <v>24</v>
      </c>
      <c r="J92" s="1" t="n">
        <f aca="false">SUM(inter_system_stats!$C$64:$C$88)</f>
        <v>17.3271309109772</v>
      </c>
      <c r="K92" s="1" t="n">
        <f aca="false">AVERAGE(inter_system_stats!$C$64:$C$88)</f>
        <v>0.721963787957385</v>
      </c>
      <c r="L92" s="1" t="n">
        <f aca="false">VAR(inter_system_stats!$C$64:$C$88)</f>
        <v>0.00544828945776271</v>
      </c>
      <c r="M92" s="1"/>
      <c r="N92" s="1"/>
    </row>
    <row r="93" customFormat="false" ht="12.8" hidden="false" customHeight="false" outlineLevel="0" collapsed="false">
      <c r="H93" s="3" t="s">
        <v>132</v>
      </c>
      <c r="I93" s="1" t="n">
        <f aca="false">COUNT(inter_system_stats!$D$64:$D$88)</f>
        <v>24</v>
      </c>
      <c r="J93" s="1" t="n">
        <f aca="false">SUM(inter_system_stats!$D$64:$D$88)</f>
        <v>17.3599522148907</v>
      </c>
      <c r="K93" s="1" t="n">
        <f aca="false">AVERAGE(inter_system_stats!$D$64:$D$88)</f>
        <v>0.723331342287111</v>
      </c>
      <c r="L93" s="1" t="n">
        <f aca="false">VAR(inter_system_stats!$D$64:$D$88)</f>
        <v>0.00437059733174479</v>
      </c>
      <c r="M93" s="1"/>
      <c r="N93" s="1"/>
    </row>
    <row r="94" customFormat="false" ht="12.8" hidden="false" customHeight="false" outlineLevel="0" collapsed="false">
      <c r="H94" s="3" t="s">
        <v>133</v>
      </c>
      <c r="I94" s="1" t="n">
        <f aca="false">COUNT(inter_system_stats!$E$64:$E$88)</f>
        <v>24</v>
      </c>
      <c r="J94" s="1" t="n">
        <f aca="false">SUM(inter_system_stats!$E$64:$E$88)</f>
        <v>17.1516075013849</v>
      </c>
      <c r="K94" s="1" t="n">
        <f aca="false">AVERAGE(inter_system_stats!$E$64:$E$88)</f>
        <v>0.714650312557705</v>
      </c>
      <c r="L94" s="1" t="n">
        <f aca="false">VAR(inter_system_stats!$E$64:$E$88)</f>
        <v>0.00562456734780824</v>
      </c>
      <c r="M94" s="1"/>
      <c r="N94" s="1"/>
    </row>
    <row r="95" customFormat="false" ht="12.8" hidden="false" customHeight="false" outlineLevel="0" collapsed="false">
      <c r="H95" s="3" t="s">
        <v>145</v>
      </c>
      <c r="I95" s="1" t="n">
        <f aca="false">COUNT(inter_system_stats!$F$64:$F$88)</f>
        <v>24</v>
      </c>
      <c r="J95" s="1" t="n">
        <f aca="false">SUM(inter_system_stats!$F$64:$F$88)</f>
        <v>14.398797502982</v>
      </c>
      <c r="K95" s="1" t="n">
        <f aca="false">AVERAGE(inter_system_stats!$F$64:$F$88)</f>
        <v>0.599949895957584</v>
      </c>
      <c r="L95" s="1" t="n">
        <f aca="false">VAR(inter_system_stats!$F$64:$F$88)</f>
        <v>0.0069154971811695</v>
      </c>
      <c r="M95" s="1"/>
      <c r="N95" s="1"/>
    </row>
    <row r="96" customFormat="false" ht="12.8" hidden="false" customHeight="false" outlineLevel="0" collapsed="false">
      <c r="I96" s="1"/>
      <c r="J96" s="1"/>
      <c r="K96" s="1"/>
      <c r="L96" s="1"/>
      <c r="M96" s="1"/>
      <c r="N96" s="1"/>
    </row>
    <row r="97" customFormat="false" ht="12.8" hidden="false" customHeight="false" outlineLevel="0" collapsed="false">
      <c r="H97" s="3" t="s">
        <v>134</v>
      </c>
      <c r="I97" s="1" t="s">
        <v>135</v>
      </c>
      <c r="J97" s="1" t="s">
        <v>136</v>
      </c>
      <c r="K97" s="1" t="s">
        <v>137</v>
      </c>
      <c r="L97" s="1" t="s">
        <v>138</v>
      </c>
      <c r="M97" s="1" t="s">
        <v>139</v>
      </c>
      <c r="N97" s="1" t="s">
        <v>140</v>
      </c>
    </row>
    <row r="98" customFormat="false" ht="12.8" hidden="false" customHeight="false" outlineLevel="0" collapsed="false">
      <c r="H98" s="3" t="s">
        <v>141</v>
      </c>
      <c r="I98" s="1" t="n">
        <f aca="false">SUMPRODUCT(inter_system_stats!$J$91:$J$95,inter_system_stats!$K$91:$K$95)-SUM(inter_system_stats!$J$91:$J$95)^2/SUM(inter_system_stats!$I$91:$I$95)</f>
        <v>0.294082637385472</v>
      </c>
      <c r="J98" s="1" t="n">
        <f aca="false">COUNT(inter_system_stats!$J$91:$J$95)-1</f>
        <v>4</v>
      </c>
      <c r="K98" s="1" t="n">
        <f aca="false">inter_system_stats!$I$98 / inter_system_stats!$J$98</f>
        <v>0.073520659346368</v>
      </c>
      <c r="L98" s="1" t="n">
        <f aca="false">inter_system_stats!$K$98 / inter_system_stats!$K$99</f>
        <v>13.4754673573304</v>
      </c>
      <c r="M98" s="1" t="n">
        <f aca="false">FDIST(inter_system_stats!$L$98, inter_system_stats!$J$98, inter_system_stats!$J$99)</f>
        <v>4.87333911421478E-009</v>
      </c>
      <c r="N98" s="1" t="n">
        <f aca="false">FINV(inter_system_stats!$I$88, inter_system_stats!$J$98, inter_system_stats!$J$99)</f>
        <v>2.45057051750233</v>
      </c>
    </row>
    <row r="99" customFormat="false" ht="12.8" hidden="false" customHeight="false" outlineLevel="0" collapsed="false">
      <c r="H99" s="3" t="s">
        <v>142</v>
      </c>
      <c r="I99" s="1" t="n">
        <f aca="false">SUM(DEVSQ(inter_system_stats!$B$64:$B$88),DEVSQ(inter_system_stats!$C$64:$C$88),DEVSQ(inter_system_stats!$D$64:$D$88),DEVSQ(inter_system_stats!$E$64:$E$88),DEVSQ(inter_system_stats!$F$64:$F$88))</f>
        <v>0.627427279561703</v>
      </c>
      <c r="J99" s="1" t="n">
        <f aca="false">SUM(inter_system_stats!$I$91:$I$95)-COUNT(inter_system_stats!$I$91:$I$95)</f>
        <v>115</v>
      </c>
      <c r="K99" s="1" t="n">
        <f aca="false">inter_system_stats!$I$99 / inter_system_stats!$J$99</f>
        <v>0.00545588938749307</v>
      </c>
      <c r="L99" s="1"/>
      <c r="M99" s="1"/>
      <c r="N99" s="1"/>
    </row>
    <row r="100" customFormat="false" ht="12.8" hidden="false" customHeight="false" outlineLevel="0" collapsed="false">
      <c r="H100" s="3" t="s">
        <v>143</v>
      </c>
      <c r="I100" s="1" t="n">
        <f aca="false">DEVSQ(inter_system_stats!$B$64:$B$88,inter_system_stats!$C$64:$C$88,inter_system_stats!$D$64:$D$88,inter_system_stats!$E$64:$E$88,inter_system_stats!$F$64:$F$88)</f>
        <v>0.921509916947177</v>
      </c>
      <c r="J100" s="1" t="n">
        <f aca="false">SUM(inter_system_stats!$I$91:$I$95) - 1</f>
        <v>119</v>
      </c>
      <c r="K100" s="1"/>
      <c r="L100" s="1"/>
      <c r="M100" s="1"/>
      <c r="N100" s="1"/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4"/>
  <sheetViews>
    <sheetView showFormulas="false" showGridLines="true" showRowColHeaders="true" showZeros="true" rightToLeft="false" tabSelected="true" showOutlineSymbols="true" defaultGridColor="true" view="normal" topLeftCell="A13" colorId="64" zoomScale="125" zoomScaleNormal="125" zoomScalePageLayoutView="100" workbookViewId="0">
      <selection pane="topLeft" activeCell="I32" activeCellId="0" sqref="I32:K32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B2" s="6"/>
      <c r="C2" s="6" t="s">
        <v>120</v>
      </c>
      <c r="D2" s="6" t="s">
        <v>121</v>
      </c>
      <c r="E2" s="6" t="s">
        <v>122</v>
      </c>
      <c r="F2" s="1" t="s">
        <v>109</v>
      </c>
    </row>
    <row r="3" customFormat="false" ht="12.8" hidden="false" customHeight="false" outlineLevel="0" collapsed="false">
      <c r="B3" s="9" t="n">
        <v>1</v>
      </c>
      <c r="C3" s="6" t="n">
        <v>0.816612774002254</v>
      </c>
      <c r="D3" s="6" t="n">
        <v>0.815772031466282</v>
      </c>
      <c r="E3" s="6" t="n">
        <v>0.807629702855429</v>
      </c>
      <c r="F3" s="6" t="n">
        <v>0.81564959143364</v>
      </c>
    </row>
    <row r="4" customFormat="false" ht="12.8" hidden="false" customHeight="false" outlineLevel="0" collapsed="false">
      <c r="B4" s="9" t="n">
        <v>2</v>
      </c>
      <c r="C4" s="6" t="n">
        <v>0.685603988915714</v>
      </c>
      <c r="D4" s="6" t="n">
        <v>0.690178981295079</v>
      </c>
      <c r="E4" s="6" t="n">
        <v>0.738908432891206</v>
      </c>
      <c r="F4" s="1" t="n">
        <v>0.67540263000882</v>
      </c>
    </row>
    <row r="5" customFormat="false" ht="12.8" hidden="false" customHeight="false" outlineLevel="0" collapsed="false">
      <c r="B5" s="9" t="n">
        <v>3</v>
      </c>
      <c r="C5" s="6" t="n">
        <v>0.692192998668189</v>
      </c>
      <c r="D5" s="6" t="n">
        <v>0.678236595135105</v>
      </c>
      <c r="E5" s="6" t="n">
        <v>0.666482514394955</v>
      </c>
      <c r="F5" s="1" t="n">
        <v>0.657949061396672</v>
      </c>
    </row>
    <row r="6" customFormat="false" ht="12.8" hidden="false" customHeight="false" outlineLevel="0" collapsed="false">
      <c r="B6" s="9" t="n">
        <v>4</v>
      </c>
      <c r="C6" s="6" t="n">
        <v>0.631090165894541</v>
      </c>
      <c r="D6" s="6" t="n">
        <v>0.599753209767944</v>
      </c>
      <c r="E6" s="6" t="n">
        <v>0.617232795834209</v>
      </c>
      <c r="F6" s="1" t="n">
        <v>0.595152958150236</v>
      </c>
    </row>
    <row r="7" customFormat="false" ht="12.8" hidden="false" customHeight="false" outlineLevel="0" collapsed="false">
      <c r="B7" s="9" t="n">
        <v>5</v>
      </c>
      <c r="C7" s="6" t="n">
        <v>0.594608889064775</v>
      </c>
      <c r="D7" s="6" t="n">
        <v>0.571410730397255</v>
      </c>
      <c r="E7" s="6" t="n">
        <v>0.610425455654317</v>
      </c>
      <c r="F7" s="1" t="n">
        <v>0.541278025353781</v>
      </c>
    </row>
    <row r="8" customFormat="false" ht="12.8" hidden="false" customHeight="false" outlineLevel="0" collapsed="false">
      <c r="B8" s="9" t="n">
        <v>6</v>
      </c>
      <c r="C8" s="6" t="n">
        <v>0.67289207367249</v>
      </c>
      <c r="D8" s="6" t="n">
        <v>0.665331994991001</v>
      </c>
      <c r="E8" s="6" t="n">
        <v>0.703303990628902</v>
      </c>
      <c r="F8" s="1" t="n">
        <v>0.694560494716742</v>
      </c>
    </row>
    <row r="9" customFormat="false" ht="12.8" hidden="false" customHeight="false" outlineLevel="0" collapsed="false">
      <c r="B9" s="9" t="n">
        <v>7</v>
      </c>
      <c r="C9" s="6" t="n">
        <v>0.815471874765396</v>
      </c>
      <c r="D9" s="6" t="n">
        <v>0.834581956795994</v>
      </c>
      <c r="E9" s="6" t="n">
        <v>0.817692017265563</v>
      </c>
      <c r="F9" s="1" t="n">
        <v>0.821209740996496</v>
      </c>
    </row>
    <row r="10" customFormat="false" ht="12.8" hidden="false" customHeight="false" outlineLevel="0" collapsed="false">
      <c r="B10" s="9" t="n">
        <v>8</v>
      </c>
      <c r="C10" s="6" t="n">
        <v>0.777361261632441</v>
      </c>
      <c r="D10" s="6" t="n">
        <v>0.727191552934014</v>
      </c>
      <c r="E10" s="6" t="n">
        <v>0.762019495081594</v>
      </c>
      <c r="F10" s="1" t="n">
        <v>0.827246504211718</v>
      </c>
    </row>
    <row r="11" customFormat="false" ht="12.8" hidden="false" customHeight="false" outlineLevel="0" collapsed="false">
      <c r="B11" s="9" t="n">
        <v>9</v>
      </c>
      <c r="C11" s="6" t="n">
        <v>0.692246291421963</v>
      </c>
      <c r="D11" s="6" t="n">
        <v>0.69768144989318</v>
      </c>
      <c r="E11" s="6" t="n">
        <v>0.642354213368125</v>
      </c>
      <c r="F11" s="1" t="n">
        <v>0.676694313663238</v>
      </c>
    </row>
    <row r="12" customFormat="false" ht="12.8" hidden="false" customHeight="false" outlineLevel="0" collapsed="false">
      <c r="B12" s="9" t="n">
        <v>10</v>
      </c>
      <c r="C12" s="6" t="n">
        <v>0.615841349915757</v>
      </c>
      <c r="D12" s="6" t="n">
        <v>0.619580092617654</v>
      </c>
      <c r="E12" s="6" t="n">
        <v>0.622913061011376</v>
      </c>
      <c r="F12" s="1" t="n">
        <v>0.611313272409236</v>
      </c>
    </row>
    <row r="13" customFormat="false" ht="12.8" hidden="false" customHeight="false" outlineLevel="0" collapsed="false">
      <c r="B13" s="9" t="n">
        <v>11</v>
      </c>
      <c r="C13" s="6" t="n">
        <v>0.775302494128078</v>
      </c>
      <c r="D13" s="6" t="n">
        <v>0.774921176890618</v>
      </c>
      <c r="E13" s="6" t="n">
        <v>0.771127559172673</v>
      </c>
      <c r="F13" s="1" t="n">
        <v>0.746560934334395</v>
      </c>
    </row>
    <row r="14" customFormat="false" ht="12.8" hidden="false" customHeight="false" outlineLevel="0" collapsed="false">
      <c r="B14" s="9" t="n">
        <v>12</v>
      </c>
      <c r="C14" s="6" t="n">
        <v>0.745549821920152</v>
      </c>
      <c r="D14" s="6" t="n">
        <v>0.753553709109679</v>
      </c>
      <c r="E14" s="6" t="n">
        <v>0.755700494821908</v>
      </c>
      <c r="F14" s="1" t="n">
        <v>0.708796841206483</v>
      </c>
    </row>
    <row r="15" customFormat="false" ht="12.8" hidden="false" customHeight="false" outlineLevel="0" collapsed="false">
      <c r="B15" s="9" t="n">
        <v>13</v>
      </c>
      <c r="C15" s="6" t="n">
        <v>0.675936476989854</v>
      </c>
      <c r="D15" s="6" t="n">
        <v>0.672563929439104</v>
      </c>
      <c r="E15" s="6" t="n">
        <v>0.652206493784056</v>
      </c>
      <c r="F15" s="1" t="n">
        <v>0.728278817795678</v>
      </c>
    </row>
    <row r="16" customFormat="false" ht="12.8" hidden="false" customHeight="false" outlineLevel="0" collapsed="false">
      <c r="B16" s="9" t="n">
        <v>14</v>
      </c>
      <c r="C16" s="6" t="n">
        <v>0.797455345493423</v>
      </c>
      <c r="D16" s="6" t="n">
        <v>0.793428445401866</v>
      </c>
      <c r="E16" s="6" t="n">
        <v>0.774203318401695</v>
      </c>
      <c r="F16" s="1" t="n">
        <v>0.765518878356676</v>
      </c>
    </row>
    <row r="17" customFormat="false" ht="12.8" hidden="false" customHeight="false" outlineLevel="0" collapsed="false">
      <c r="B17" s="9" t="n">
        <v>15</v>
      </c>
      <c r="C17" s="6" t="n">
        <v>0.831683746706372</v>
      </c>
      <c r="D17" s="6" t="n">
        <v>0.822215644660448</v>
      </c>
      <c r="E17" s="6" t="n">
        <v>0.809939048024508</v>
      </c>
      <c r="F17" s="1" t="n">
        <v>0.814180995864153</v>
      </c>
    </row>
    <row r="18" customFormat="false" ht="12.8" hidden="false" customHeight="false" outlineLevel="0" collapsed="false">
      <c r="B18" s="9" t="n">
        <v>16</v>
      </c>
      <c r="C18" s="6" t="n">
        <v>0.665915062167674</v>
      </c>
      <c r="D18" s="6" t="n">
        <v>0.635332717811399</v>
      </c>
      <c r="E18" s="6" t="n">
        <v>0.650131632080799</v>
      </c>
      <c r="F18" s="1" t="n">
        <v>0.711762183520106</v>
      </c>
    </row>
    <row r="19" customFormat="false" ht="12.8" hidden="false" customHeight="false" outlineLevel="0" collapsed="false">
      <c r="B19" s="9" t="n">
        <v>17</v>
      </c>
      <c r="C19" s="6" t="n">
        <v>0.808465032172267</v>
      </c>
      <c r="D19" s="6" t="n">
        <v>0.793594653760174</v>
      </c>
      <c r="E19" s="6" t="n">
        <v>0.797189081830377</v>
      </c>
      <c r="F19" s="1" t="n">
        <v>0.766589952746506</v>
      </c>
    </row>
    <row r="20" customFormat="false" ht="12.8" hidden="false" customHeight="false" outlineLevel="0" collapsed="false">
      <c r="B20" s="9" t="n">
        <v>18</v>
      </c>
      <c r="C20" s="6" t="n">
        <v>0.702923330052347</v>
      </c>
      <c r="D20" s="6" t="n">
        <v>0.704871448301166</v>
      </c>
      <c r="E20" s="6" t="n">
        <v>0.729185376832561</v>
      </c>
      <c r="F20" s="1" t="n">
        <v>0.744973965638361</v>
      </c>
    </row>
    <row r="21" customFormat="false" ht="12.8" hidden="false" customHeight="false" outlineLevel="0" collapsed="false">
      <c r="B21" s="9" t="n">
        <v>19</v>
      </c>
      <c r="C21" s="6" t="n">
        <v>0.833849291363568</v>
      </c>
      <c r="D21" s="6" t="n">
        <v>0.807380134018013</v>
      </c>
      <c r="E21" s="6" t="n">
        <v>0.814317443577555</v>
      </c>
      <c r="F21" s="1" t="n">
        <v>0.80774841591924</v>
      </c>
    </row>
    <row r="22" customFormat="false" ht="12.8" hidden="false" customHeight="false" outlineLevel="0" collapsed="false">
      <c r="B22" s="9" t="n">
        <v>20</v>
      </c>
      <c r="C22" s="6" t="n">
        <v>0.790624245512354</v>
      </c>
      <c r="D22" s="6" t="n">
        <v>0.685839894231455</v>
      </c>
      <c r="E22" s="6" t="n">
        <v>0.726210867823374</v>
      </c>
      <c r="F22" s="1" t="n">
        <v>0.669660142744409</v>
      </c>
    </row>
    <row r="23" customFormat="false" ht="12.8" hidden="false" customHeight="false" outlineLevel="0" collapsed="false">
      <c r="B23" s="9" t="n">
        <v>21</v>
      </c>
      <c r="C23" s="6" t="n">
        <v>0.730617364036752</v>
      </c>
      <c r="D23" s="6" t="n">
        <v>0.744532936686859</v>
      </c>
      <c r="E23" s="6" t="n">
        <v>0.729028212060252</v>
      </c>
      <c r="F23" s="1" t="n">
        <v>0.646445134849864</v>
      </c>
    </row>
    <row r="24" customFormat="false" ht="12.8" hidden="false" customHeight="false" outlineLevel="0" collapsed="false">
      <c r="B24" s="9" t="n">
        <v>22</v>
      </c>
      <c r="C24" s="6" t="n">
        <v>0.765208060825559</v>
      </c>
      <c r="D24" s="6" t="n">
        <v>0.793440478998772</v>
      </c>
      <c r="E24" s="6" t="n">
        <v>0.726360545777343</v>
      </c>
      <c r="F24" s="1" t="n">
        <v>0.690845639182806</v>
      </c>
    </row>
    <row r="25" customFormat="false" ht="12.8" hidden="false" customHeight="false" outlineLevel="0" collapsed="false">
      <c r="B25" s="9" t="n">
        <v>23</v>
      </c>
      <c r="C25" s="6" t="n">
        <v>0.717035427894149</v>
      </c>
      <c r="D25" s="6" t="n">
        <v>0.707901607946691</v>
      </c>
      <c r="E25" s="6" t="n">
        <v>0.697993411397489</v>
      </c>
      <c r="F25" s="1" t="n">
        <v>0.705992721957315</v>
      </c>
    </row>
    <row r="26" customFormat="false" ht="12.8" hidden="false" customHeight="false" outlineLevel="0" collapsed="false">
      <c r="B26" s="9" t="n">
        <v>24</v>
      </c>
      <c r="C26" s="6" t="n">
        <v>0.730354595976365</v>
      </c>
      <c r="D26" s="6" t="n">
        <v>0.737835538427487</v>
      </c>
      <c r="E26" s="6" t="n">
        <v>0.737397050320407</v>
      </c>
      <c r="F26" s="1" t="n">
        <v>0.72779628492836</v>
      </c>
    </row>
    <row r="29" customFormat="false" ht="12.8" hidden="false" customHeight="false" outlineLevel="0" collapsed="false">
      <c r="A29" s="0" t="s">
        <v>146</v>
      </c>
    </row>
    <row r="30" customFormat="false" ht="12.8" hidden="false" customHeight="false" outlineLevel="0" collapsed="false">
      <c r="H30" s="0" t="s">
        <v>147</v>
      </c>
    </row>
    <row r="31" customFormat="false" ht="12.8" hidden="false" customHeight="false" outlineLevel="0" collapsed="false">
      <c r="C31" s="6" t="s">
        <v>120</v>
      </c>
      <c r="D31" s="6" t="s">
        <v>121</v>
      </c>
      <c r="E31" s="6" t="s">
        <v>122</v>
      </c>
      <c r="F31" s="1" t="s">
        <v>109</v>
      </c>
      <c r="H31" s="6" t="s">
        <v>120</v>
      </c>
      <c r="I31" s="6" t="s">
        <v>121</v>
      </c>
      <c r="J31" s="6" t="s">
        <v>122</v>
      </c>
      <c r="K31" s="1" t="s">
        <v>109</v>
      </c>
    </row>
    <row r="32" customFormat="false" ht="12.8" hidden="false" customHeight="false" outlineLevel="0" collapsed="false">
      <c r="B32" s="14" t="n">
        <v>2</v>
      </c>
      <c r="C32" s="15" t="n">
        <f aca="false">C5-C4</f>
        <v>0.00658900975247501</v>
      </c>
      <c r="D32" s="15" t="n">
        <f aca="false">D5-D4</f>
        <v>-0.011942386159974</v>
      </c>
      <c r="E32" s="15" t="n">
        <f aca="false">E5-E4</f>
        <v>-0.072425918496251</v>
      </c>
      <c r="F32" s="15" t="n">
        <f aca="false">F5-F4</f>
        <v>-0.017453568612148</v>
      </c>
      <c r="H32" s="0" t="n">
        <f aca="false">_xlfn.STDEV.S(C32:C53)</f>
        <v>0.0921568147556974</v>
      </c>
      <c r="I32" s="0" t="n">
        <f aca="false">_xlfn.STDEV.S(D32:D53)</f>
        <v>0.101589707181432</v>
      </c>
      <c r="J32" s="0" t="n">
        <f aca="false">_xlfn.STDEV.S(E32:E53)</f>
        <v>0.088767685783917</v>
      </c>
      <c r="K32" s="0" t="n">
        <f aca="false">_xlfn.STDEV.S(F32:F53)</f>
        <v>0.0809402751746899</v>
      </c>
    </row>
    <row r="33" customFormat="false" ht="12.8" hidden="false" customHeight="false" outlineLevel="0" collapsed="false">
      <c r="B33" s="14" t="n">
        <v>3</v>
      </c>
      <c r="C33" s="15" t="n">
        <f aca="false">C6-C5</f>
        <v>-0.0611028327736479</v>
      </c>
      <c r="D33" s="15" t="n">
        <f aca="false">D6-D5</f>
        <v>-0.078483385367161</v>
      </c>
      <c r="E33" s="15" t="n">
        <f aca="false">E6-E5</f>
        <v>-0.049249718560746</v>
      </c>
      <c r="F33" s="15" t="n">
        <f aca="false">F6-F5</f>
        <v>-0.062796103246436</v>
      </c>
    </row>
    <row r="34" customFormat="false" ht="12.8" hidden="false" customHeight="false" outlineLevel="0" collapsed="false">
      <c r="B34" s="14" t="n">
        <v>4</v>
      </c>
      <c r="C34" s="15" t="n">
        <f aca="false">C7-C6</f>
        <v>-0.036481276829766</v>
      </c>
      <c r="D34" s="15" t="n">
        <f aca="false">D7-D6</f>
        <v>-0.028342479370689</v>
      </c>
      <c r="E34" s="15" t="n">
        <f aca="false">E7-E6</f>
        <v>-0.00680734017989193</v>
      </c>
      <c r="F34" s="15" t="n">
        <f aca="false">F7-F6</f>
        <v>-0.0538749327964549</v>
      </c>
    </row>
    <row r="35" customFormat="false" ht="12.8" hidden="false" customHeight="false" outlineLevel="0" collapsed="false">
      <c r="B35" s="14" t="n">
        <v>5</v>
      </c>
      <c r="C35" s="15" t="n">
        <f aca="false">C8-C7</f>
        <v>0.078283184607715</v>
      </c>
      <c r="D35" s="15" t="n">
        <f aca="false">D8-D7</f>
        <v>0.0939212645937461</v>
      </c>
      <c r="E35" s="15" t="n">
        <f aca="false">E8-E7</f>
        <v>0.092878534974585</v>
      </c>
      <c r="F35" s="15" t="n">
        <f aca="false">F8-F7</f>
        <v>0.153282469362961</v>
      </c>
    </row>
    <row r="36" customFormat="false" ht="12.8" hidden="false" customHeight="false" outlineLevel="0" collapsed="false">
      <c r="B36" s="14" t="n">
        <v>6</v>
      </c>
      <c r="C36" s="15" t="n">
        <f aca="false">C9-C8</f>
        <v>0.142579801092906</v>
      </c>
      <c r="D36" s="15" t="n">
        <f aca="false">D9-D8</f>
        <v>0.169249961804993</v>
      </c>
      <c r="E36" s="15" t="n">
        <f aca="false">E9-E8</f>
        <v>0.114388026636661</v>
      </c>
      <c r="F36" s="15" t="n">
        <f aca="false">F9-F8</f>
        <v>0.126649246279754</v>
      </c>
    </row>
    <row r="37" customFormat="false" ht="12.8" hidden="false" customHeight="false" outlineLevel="0" collapsed="false">
      <c r="B37" s="14" t="n">
        <v>7</v>
      </c>
      <c r="C37" s="15" t="n">
        <f aca="false">C10-C9</f>
        <v>-0.0381106131329549</v>
      </c>
      <c r="D37" s="15" t="n">
        <f aca="false">D10-D9</f>
        <v>-0.10739040386198</v>
      </c>
      <c r="E37" s="15" t="n">
        <f aca="false">E10-E9</f>
        <v>-0.055672522183969</v>
      </c>
      <c r="F37" s="15" t="n">
        <f aca="false">F10-F9</f>
        <v>0.00603676321522195</v>
      </c>
    </row>
    <row r="38" customFormat="false" ht="12.8" hidden="false" customHeight="false" outlineLevel="0" collapsed="false">
      <c r="B38" s="14" t="n">
        <v>8</v>
      </c>
      <c r="C38" s="15" t="n">
        <f aca="false">C11-C10</f>
        <v>-0.085114970210478</v>
      </c>
      <c r="D38" s="15" t="n">
        <f aca="false">D11-D10</f>
        <v>-0.029510103040834</v>
      </c>
      <c r="E38" s="15" t="n">
        <f aca="false">E11-E10</f>
        <v>-0.119665281713469</v>
      </c>
      <c r="F38" s="15" t="n">
        <f aca="false">F11-F10</f>
        <v>-0.15055219054848</v>
      </c>
    </row>
    <row r="39" customFormat="false" ht="12.8" hidden="false" customHeight="false" outlineLevel="0" collapsed="false">
      <c r="B39" s="14" t="n">
        <v>9</v>
      </c>
      <c r="C39" s="15" t="n">
        <f aca="false">C12-C11</f>
        <v>-0.076404941506206</v>
      </c>
      <c r="D39" s="15" t="n">
        <f aca="false">D12-D11</f>
        <v>-0.078101357275526</v>
      </c>
      <c r="E39" s="15" t="n">
        <f aca="false">E12-E11</f>
        <v>-0.019441152356749</v>
      </c>
      <c r="F39" s="15" t="n">
        <f aca="false">F12-F11</f>
        <v>-0.0653810412540019</v>
      </c>
    </row>
    <row r="40" customFormat="false" ht="12.8" hidden="false" customHeight="false" outlineLevel="0" collapsed="false">
      <c r="B40" s="14" t="n">
        <v>10</v>
      </c>
      <c r="C40" s="15" t="n">
        <f aca="false">C13-C12</f>
        <v>0.159461144212321</v>
      </c>
      <c r="D40" s="15" t="n">
        <f aca="false">D13-D12</f>
        <v>0.155341084272964</v>
      </c>
      <c r="E40" s="15" t="n">
        <f aca="false">E13-E12</f>
        <v>0.148214498161297</v>
      </c>
      <c r="F40" s="15" t="n">
        <f aca="false">F13-F12</f>
        <v>0.135247661925159</v>
      </c>
    </row>
    <row r="41" customFormat="false" ht="12.8" hidden="false" customHeight="false" outlineLevel="0" collapsed="false">
      <c r="B41" s="14" t="n">
        <v>11</v>
      </c>
      <c r="C41" s="15" t="n">
        <f aca="false">C14-C13</f>
        <v>-0.029752672207926</v>
      </c>
      <c r="D41" s="15" t="n">
        <f aca="false">D14-D13</f>
        <v>-0.021367467780939</v>
      </c>
      <c r="E41" s="15" t="n">
        <f aca="false">E14-E13</f>
        <v>-0.0154270643507649</v>
      </c>
      <c r="F41" s="15" t="n">
        <f aca="false">F14-F13</f>
        <v>-0.037764093127912</v>
      </c>
    </row>
    <row r="42" customFormat="false" ht="12.8" hidden="false" customHeight="false" outlineLevel="0" collapsed="false">
      <c r="B42" s="14" t="n">
        <v>12</v>
      </c>
      <c r="C42" s="15" t="n">
        <f aca="false">C15-C14</f>
        <v>-0.0696133449302979</v>
      </c>
      <c r="D42" s="15" t="n">
        <f aca="false">D15-D14</f>
        <v>-0.080989779670575</v>
      </c>
      <c r="E42" s="15" t="n">
        <f aca="false">E15-E14</f>
        <v>-0.103494001037852</v>
      </c>
      <c r="F42" s="15" t="n">
        <f aca="false">F15-F14</f>
        <v>0.019481976589195</v>
      </c>
    </row>
    <row r="43" customFormat="false" ht="12.8" hidden="false" customHeight="false" outlineLevel="0" collapsed="false">
      <c r="B43" s="14" t="n">
        <v>13</v>
      </c>
      <c r="C43" s="15" t="n">
        <f aca="false">C16-C15</f>
        <v>0.121518868503569</v>
      </c>
      <c r="D43" s="15" t="n">
        <f aca="false">D16-D15</f>
        <v>0.120864515962762</v>
      </c>
      <c r="E43" s="15" t="n">
        <f aca="false">E16-E15</f>
        <v>0.121996824617639</v>
      </c>
      <c r="F43" s="15" t="n">
        <f aca="false">F16-F15</f>
        <v>0.0372400605609979</v>
      </c>
    </row>
    <row r="44" customFormat="false" ht="12.8" hidden="false" customHeight="false" outlineLevel="0" collapsed="false">
      <c r="B44" s="14" t="n">
        <v>14</v>
      </c>
      <c r="C44" s="15" t="n">
        <f aca="false">C17-C16</f>
        <v>0.034228401212949</v>
      </c>
      <c r="D44" s="15" t="n">
        <f aca="false">D17-D16</f>
        <v>0.0287871992585821</v>
      </c>
      <c r="E44" s="15" t="n">
        <f aca="false">E17-E16</f>
        <v>0.035735729622813</v>
      </c>
      <c r="F44" s="15" t="n">
        <f aca="false">F17-F16</f>
        <v>0.0486621175074771</v>
      </c>
    </row>
    <row r="45" customFormat="false" ht="12.8" hidden="false" customHeight="false" outlineLevel="0" collapsed="false">
      <c r="B45" s="14" t="n">
        <v>15</v>
      </c>
      <c r="C45" s="15" t="n">
        <f aca="false">C18-C17</f>
        <v>-0.165768684538698</v>
      </c>
      <c r="D45" s="15" t="n">
        <f aca="false">D18-D17</f>
        <v>-0.186882926849049</v>
      </c>
      <c r="E45" s="15" t="n">
        <f aca="false">E18-E17</f>
        <v>-0.159807415943709</v>
      </c>
      <c r="F45" s="15" t="n">
        <f aca="false">F18-F17</f>
        <v>-0.102418812344047</v>
      </c>
    </row>
    <row r="46" customFormat="false" ht="12.8" hidden="false" customHeight="false" outlineLevel="0" collapsed="false">
      <c r="B46" s="14" t="n">
        <v>16</v>
      </c>
      <c r="C46" s="15" t="n">
        <f aca="false">C19-C18</f>
        <v>0.142549970004593</v>
      </c>
      <c r="D46" s="15" t="n">
        <f aca="false">D19-D18</f>
        <v>0.158261935948775</v>
      </c>
      <c r="E46" s="15" t="n">
        <f aca="false">E19-E18</f>
        <v>0.147057449749578</v>
      </c>
      <c r="F46" s="15" t="n">
        <f aca="false">F19-F18</f>
        <v>0.0548277692264</v>
      </c>
    </row>
    <row r="47" customFormat="false" ht="12.8" hidden="false" customHeight="false" outlineLevel="0" collapsed="false">
      <c r="B47" s="14" t="n">
        <v>17</v>
      </c>
      <c r="C47" s="15" t="n">
        <f aca="false">C20-C19</f>
        <v>-0.10554170211992</v>
      </c>
      <c r="D47" s="15" t="n">
        <f aca="false">D20-D19</f>
        <v>-0.088723205459008</v>
      </c>
      <c r="E47" s="15" t="n">
        <f aca="false">E20-E19</f>
        <v>-0.0680037049978159</v>
      </c>
      <c r="F47" s="15" t="n">
        <f aca="false">F20-F19</f>
        <v>-0.0216159871081449</v>
      </c>
    </row>
    <row r="48" customFormat="false" ht="12.8" hidden="false" customHeight="false" outlineLevel="0" collapsed="false">
      <c r="B48" s="14" t="n">
        <v>18</v>
      </c>
      <c r="C48" s="15" t="n">
        <f aca="false">C21-C20</f>
        <v>0.130925961311221</v>
      </c>
      <c r="D48" s="15" t="n">
        <f aca="false">D21-D20</f>
        <v>0.102508685716847</v>
      </c>
      <c r="E48" s="15" t="n">
        <f aca="false">E21-E20</f>
        <v>0.085132066744994</v>
      </c>
      <c r="F48" s="15" t="n">
        <f aca="false">F21-F20</f>
        <v>0.0627744502808789</v>
      </c>
    </row>
    <row r="49" customFormat="false" ht="12.8" hidden="false" customHeight="false" outlineLevel="0" collapsed="false">
      <c r="B49" s="14" t="n">
        <v>19</v>
      </c>
      <c r="C49" s="15" t="n">
        <f aca="false">C22-C21</f>
        <v>-0.043225045851214</v>
      </c>
      <c r="D49" s="15" t="n">
        <f aca="false">D22-D21</f>
        <v>-0.121540239786558</v>
      </c>
      <c r="E49" s="15" t="n">
        <f aca="false">E22-E21</f>
        <v>-0.088106575754181</v>
      </c>
      <c r="F49" s="15" t="n">
        <f aca="false">F22-F21</f>
        <v>-0.138088273174831</v>
      </c>
    </row>
    <row r="50" customFormat="false" ht="12.8" hidden="false" customHeight="false" outlineLevel="0" collapsed="false">
      <c r="B50" s="14" t="n">
        <v>20</v>
      </c>
      <c r="C50" s="15" t="n">
        <f aca="false">C23-C22</f>
        <v>-0.060006881475602</v>
      </c>
      <c r="D50" s="15" t="n">
        <f aca="false">D23-D22</f>
        <v>0.0586930424554041</v>
      </c>
      <c r="E50" s="15" t="n">
        <f aca="false">E23-E22</f>
        <v>0.00281734423687807</v>
      </c>
      <c r="F50" s="15" t="n">
        <f aca="false">F23-F22</f>
        <v>-0.023215007894545</v>
      </c>
    </row>
    <row r="51" customFormat="false" ht="12.8" hidden="false" customHeight="false" outlineLevel="0" collapsed="false">
      <c r="B51" s="14" t="n">
        <v>21</v>
      </c>
      <c r="C51" s="15" t="n">
        <f aca="false">C24-C23</f>
        <v>0.034590696788807</v>
      </c>
      <c r="D51" s="15" t="n">
        <f aca="false">D24-D23</f>
        <v>0.048907542311913</v>
      </c>
      <c r="E51" s="15" t="n">
        <f aca="false">E24-E23</f>
        <v>-0.00266766628290904</v>
      </c>
      <c r="F51" s="15" t="n">
        <f aca="false">F24-F23</f>
        <v>0.044400504332942</v>
      </c>
    </row>
    <row r="52" customFormat="false" ht="12.8" hidden="false" customHeight="false" outlineLevel="0" collapsed="false">
      <c r="B52" s="14" t="n">
        <v>22</v>
      </c>
      <c r="C52" s="15" t="n">
        <f aca="false">C25-C24</f>
        <v>-0.0481726329314101</v>
      </c>
      <c r="D52" s="15" t="n">
        <f aca="false">D25-D24</f>
        <v>-0.085538871052081</v>
      </c>
      <c r="E52" s="15" t="n">
        <f aca="false">E25-E24</f>
        <v>-0.0283671343798539</v>
      </c>
      <c r="F52" s="15" t="n">
        <f aca="false">F25-F24</f>
        <v>0.015147082774509</v>
      </c>
    </row>
    <row r="53" customFormat="false" ht="12.8" hidden="false" customHeight="false" outlineLevel="0" collapsed="false">
      <c r="B53" s="14" t="n">
        <v>23</v>
      </c>
      <c r="C53" s="15" t="n">
        <f aca="false">C26-C25</f>
        <v>0.013319168082216</v>
      </c>
      <c r="D53" s="15" t="n">
        <f aca="false">D26-D25</f>
        <v>0.029933930480796</v>
      </c>
      <c r="E53" s="15" t="n">
        <f aca="false">E26-E25</f>
        <v>0.039403638922918</v>
      </c>
      <c r="F53" s="15" t="n">
        <f aca="false">F26-F25</f>
        <v>0.021803562971045</v>
      </c>
    </row>
    <row r="54" customFormat="false" ht="12.8" hidden="false" customHeight="false" outlineLevel="0" collapsed="false">
      <c r="B54" s="14"/>
      <c r="C54" s="15"/>
      <c r="D54" s="15"/>
      <c r="E54" s="15"/>
      <c r="F54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2026-02-20T23:14:03Z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
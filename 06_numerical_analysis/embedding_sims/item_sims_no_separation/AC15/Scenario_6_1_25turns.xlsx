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6_ac15" sheetId="1" state="visible" r:id="rId3"/>
    <sheet name="notes" sheetId="2" state="visible" r:id="rId4"/>
    <sheet name="actdel_prompt_response" sheetId="3" state="visible" r:id="rId5"/>
    <sheet name="inter_system_stats" sheetId="4" state="visible" r:id="rId6"/>
    <sheet name="si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<sst xmlns="http://schemas.openxmlformats.org/spreadsheetml/2006/main" count="872" uniqueCount="151">
  <si>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</si>
  <si>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</si>
  <si>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</si>
  <si>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</si>
  <si>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</si>
  <si>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</si>
  <si>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</si>
  <si>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</si>
  <si>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</si>
  <si>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</si>
  <si>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</si>
  <si>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</si>
  <si>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</si>
  <si>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</si>
  <si>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</si>
  <si>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</si>
  <si>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3b71e762-df73-4e98-bc34-0b56e323fa20</t>
  </si>
  <si>
    <t xml:space="preserve">cmjhai3wa00v4zcx2fq9tzz0q</t>
  </si>
  <si>
    <t xml:space="preserve">cmjhaj97b00vlzcx2dlux6ngg</t>
  </si>
  <si>
    <t xml:space="preserve">test_ac15</t>
  </si>
  <si>
    <t xml:space="preserve">Scenario_6</t>
  </si>
  <si>
    <t xml:space="preserve">truth_and_fact</t>
  </si>
  <si>
    <t xml:space="preserve">a9bd27ae-9789-4088-ba9d-b981224b09df</t>
  </si>
  <si>
    <t xml:space="preserve">cmjhakr1u00vpzcx29lcpygjc</t>
  </si>
  <si>
    <t xml:space="preserve">cmjhala4900w6zcx29m3eaj8z</t>
  </si>
  <si>
    <t xml:space="preserve">a21fca21-697f-43f3-9d22-bc5a826dabc4</t>
  </si>
  <si>
    <t xml:space="preserve">cmjhaqbyl00wazcx2gehz0nor</t>
  </si>
  <si>
    <t xml:space="preserve">cmjhar28s00wrzcx2a7r3mido</t>
  </si>
  <si>
    <t xml:space="preserve">temporal_dynamics</t>
  </si>
  <si>
    <t xml:space="preserve">practicality_and_feasibility</t>
  </si>
  <si>
    <t xml:space="preserve">freedom_and_limitations</t>
  </si>
  <si>
    <t xml:space="preserve">sovereignty</t>
  </si>
  <si>
    <t xml:space="preserve">identity</t>
  </si>
  <si>
    <t xml:space="preserve">5b1ea5a0-8e5f-48af-a1f4-2cff29537db5</t>
  </si>
  <si>
    <t xml:space="preserve">cmjhatv6100wvzcx2ez64j3wo</t>
  </si>
  <si>
    <t xml:space="preserve">cmjhauf4r00xczcx2s8ykaita</t>
  </si>
  <si>
    <t xml:space="preserve">748623ac-9737-4f73-a4ae-925b6ebc2a95</t>
  </si>
  <si>
    <t xml:space="preserve">cmjhauwgr00xgzcx2z95vhr4x</t>
  </si>
  <si>
    <t xml:space="preserve">cmjhaw1bl00xxzcx2zttcqfac</t>
  </si>
  <si>
    <t xml:space="preserve">mathematics_computer_science_engineering</t>
  </si>
  <si>
    <t xml:space="preserve">24f2ead9-144d-49e7-9a12-8c4a950d5e80</t>
  </si>
  <si>
    <t xml:space="preserve">cmjhawspa00y1zcx214orfwbm</t>
  </si>
  <si>
    <t xml:space="preserve">cmjhaxblc00yizcx2t6ouk0oj</t>
  </si>
  <si>
    <t xml:space="preserve">392d4277-639f-4a4a-b3b9-2b18f6c661ae</t>
  </si>
  <si>
    <t xml:space="preserve">cmjhaxva900ymzcx2z3doj4g7</t>
  </si>
  <si>
    <t xml:space="preserve">cmjhaybmd00z3zcx2odreke2x</t>
  </si>
  <si>
    <t xml:space="preserve">affective_interface</t>
  </si>
  <si>
    <t xml:space="preserve">7a55d0dc-2039-4ba9-93b7-4b7f24426937</t>
  </si>
  <si>
    <t xml:space="preserve">cmjhayp1900z7zcx2omhxo0g6</t>
  </si>
  <si>
    <t xml:space="preserve">cmjhaz97b00zozcx25rv7w8eg</t>
  </si>
  <si>
    <t xml:space="preserve">7e3bf987-dc18-498d-901c-b538fa32c1df</t>
  </si>
  <si>
    <t xml:space="preserve">cmjhazsyx00zszcx2q5qr2b6d</t>
  </si>
  <si>
    <t xml:space="preserve">cmjhb0ave0109zcx2b4xzj4tj</t>
  </si>
  <si>
    <t xml:space="preserve">28596a0f-3eda-4ad4-b037-85fc947ef210</t>
  </si>
  <si>
    <t xml:space="preserve">cmjhb0ptb010dzcx2yoaz62qn</t>
  </si>
  <si>
    <t xml:space="preserve">cmjhb15uu010uzcx2tsbs0508</t>
  </si>
  <si>
    <t xml:space="preserve">429ce81d-5b10-452f-b637-dd4a926cacd8</t>
  </si>
  <si>
    <t xml:space="preserve">cmjhb1f6b010yzcx2a67x4cxs</t>
  </si>
  <si>
    <t xml:space="preserve">cmjhb1s83011fzcx2p6pgku12</t>
  </si>
  <si>
    <t xml:space="preserve">1d1b2fbc-b538-4f72-95a4-109730702460</t>
  </si>
  <si>
    <t xml:space="preserve">cmjhb20nz011jzcx2vzz69n97</t>
  </si>
  <si>
    <t xml:space="preserve">cmjhb2ax30120zcx28xc7k48a</t>
  </si>
  <si>
    <t xml:space="preserve">06b12cee-7fa5-478c-b9a2-54f55c3160e2</t>
  </si>
  <si>
    <t xml:space="preserve">cmjhb2wr00124zcx2117xx9m6</t>
  </si>
  <si>
    <t xml:space="preserve">cmjhb39eu012lzcx2ofzojukv</t>
  </si>
  <si>
    <t xml:space="preserve">c68ef7da-7138-4684-9f50-8fd175d0cfa7</t>
  </si>
  <si>
    <t xml:space="preserve">cmjhb3tm8012pzcx2u3ddhajd</t>
  </si>
  <si>
    <t xml:space="preserve">cmjhb4gzz0136zcx2zjkxtk8o</t>
  </si>
  <si>
    <t xml:space="preserve">ae601066-1037-4887-8296-02c29bd4a144</t>
  </si>
  <si>
    <t xml:space="preserve">cmjhb4nqa013azcx2h9ewu5pb</t>
  </si>
  <si>
    <t xml:space="preserve">cmjhb54tw013rzcx23oseu6sk</t>
  </si>
  <si>
    <t xml:space="preserve">0271ccf5-15e9-4787-a26b-5bdb5c3d5dde</t>
  </si>
  <si>
    <t xml:space="preserve">cmjhb5mep013vzcx24l5qy6px</t>
  </si>
  <si>
    <t xml:space="preserve">cmjhb64zn014czcx2xsa14ki8</t>
  </si>
  <si>
    <t xml:space="preserve">0e08fe38-644f-4c57-be3c-235d113436f7</t>
  </si>
  <si>
    <t xml:space="preserve">cmjhb6k46014gzcx2qdqya0i2</t>
  </si>
  <si>
    <t xml:space="preserve">cmjhb789n014xzcx22fdtf9b3</t>
  </si>
  <si>
    <t xml:space="preserve">74bb0ede-0a93-43ef-9b8e-882d31eff339</t>
  </si>
  <si>
    <t xml:space="preserve">cmjhb7woq0151zcx24x7sjt9r</t>
  </si>
  <si>
    <t xml:space="preserve">cmjhb8l5v015izcx28ez72050</t>
  </si>
  <si>
    <t xml:space="preserve">973537d7-63d1-4268-96a3-28192ef9854c</t>
  </si>
  <si>
    <t xml:space="preserve">cmjhb8wth015mzcx206wb0epk</t>
  </si>
  <si>
    <t xml:space="preserve">cmjhb9j530163zcx25misu3hf</t>
  </si>
  <si>
    <t xml:space="preserve">science</t>
  </si>
  <si>
    <t xml:space="preserve">97bd5efd-c1f3-4037-9fa9-694a318155ed</t>
  </si>
  <si>
    <t xml:space="preserve">cmjhb9wbj0167zcx2xa97jaj9</t>
  </si>
  <si>
    <t xml:space="preserve">cmjhbaj65016ozcx2mzwxuzc2</t>
  </si>
  <si>
    <t xml:space="preserve">context_dependent_expression</t>
  </si>
  <si>
    <t xml:space="preserve">3937b852-1e26-48f7-8752-fd89dd2d90c0</t>
  </si>
  <si>
    <t xml:space="preserve">cmjhbavbt016szcx22euekz7c</t>
  </si>
  <si>
    <t xml:space="preserve">cmjhbbeab0179zcx2mbzbrpko</t>
  </si>
  <si>
    <t xml:space="preserve">8a595889-76a8-49fb-8687-ea93a2ed9144</t>
  </si>
  <si>
    <t xml:space="preserve">cmjhbbsus017dzcx2bm2e304l</t>
  </si>
  <si>
    <t xml:space="preserve">cmjhbc94d017uzcx2mra5le5r</t>
  </si>
  <si>
    <t xml:space="preserve">imagination_and_possibility</t>
  </si>
  <si>
    <t xml:space="preserve">80fd326b-e086-4221-b118-70b558f7d416</t>
  </si>
  <si>
    <t xml:space="preserve">cmjhbckig017yzcx2k2x6u4hf</t>
  </si>
  <si>
    <t xml:space="preserve">cmjhbd4jr018fzcx27e8ywdqu</t>
  </si>
  <si>
    <t xml:space="preserve">b5071800-bdf3-4a31-b2ab-81e9d60ffe77</t>
  </si>
  <si>
    <t xml:space="preserve">cmjhbdfv6018jzcx2u2imwijg</t>
  </si>
  <si>
    <t xml:space="preserve">cmjhbdsc50190zcx2oaeihqrr</t>
  </si>
  <si>
    <t xml:space="preserve">3f8b6a8a-6587-4337-9885-3eb744176744</t>
  </si>
  <si>
    <t xml:space="preserve">cmjhbe3ue0194zcx2vj5pvw8q</t>
  </si>
  <si>
    <t xml:space="preserve">cmjhbek34019lzcx27a657a6c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</si>
  <si>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</si>
  <si>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</si>
  <si>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</si>
  <si>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</si>
  <si>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</si>
  <si>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</si>
  <si>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ac15</t>
  </si>
  <si>
    <t xml:space="preserve">control</t>
  </si>
  <si>
    <t xml:space="preserve">delta activation</t>
  </si>
  <si>
    <t xml:space="preserve">choose</t>
  </si>
  <si>
    <t xml:space="preserve">std. Hybsem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</si>
  <si>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</si>
  <si>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</si>
  <si>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</si>
  <si>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</si>
  <si>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</si>
  <si>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Mean ac15</t>
  </si>
  <si>
    <t xml:space="preserve">Mean control</t>
  </si>
  <si>
    <t xml:space="preserve">x</t>
  </si>
  <si>
    <t xml:space="preserve">General</t>
  </si>
  <si>
    <t xml:space="preserve">ac15p</t>
  </si>
  <si>
    <t xml:space="preserve">hybrid</t>
  </si>
  <si>
    <t xml:space="preserve">hybsem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</si>
  <si>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</si>
  <si>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</si>
  <si>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</si>
  <si>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</si>
  <si>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</si>
  <si>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</si>
  <si>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</si>
  <si>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</si>
  <si>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</si>
  <si>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</si>
  <si>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Column 4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</si>
  <si>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</si>
  <si>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</si>
  <si>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</si>
  <si>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</si>
  <si>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</si>
  <si>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</si>
  <si>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</si>
  <si>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</si>
  <si>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</si>
  <si>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</si>
  <si>
    <t xml:space="preserve">Column 5</t>
  </si>
  <si>
    <t xml:space="preserve">deltas</t>
  </si>
  <si>
    <t xml:space="preserve">stdev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</si>
</sst>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3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actdel_prompt_response!$B$3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General</c:formatCode>
                <c:ptCount val="25"/>
                <c:pt idx="0">
                  <c:v>0.823272744718597</c:v>
                </c:pt>
                <c:pt idx="1">
                  <c:v>0.642199317331402</c:v>
                </c:pt>
                <c:pt idx="2">
                  <c:v>0.724560029881393</c:v>
                </c:pt>
                <c:pt idx="3">
                  <c:v>0.708336187220553</c:v>
                </c:pt>
                <c:pt idx="4">
                  <c:v>0.697620486730694</c:v>
                </c:pt>
                <c:pt idx="5">
                  <c:v>0.757276291011557</c:v>
                </c:pt>
                <c:pt idx="6">
                  <c:v>0.758449701833791</c:v>
                </c:pt>
                <c:pt idx="7">
                  <c:v>0.705275325567815</c:v>
                </c:pt>
                <c:pt idx="8">
                  <c:v>0.638110457472859</c:v>
                </c:pt>
                <c:pt idx="9">
                  <c:v>0.718916919696981</c:v>
                </c:pt>
                <c:pt idx="10">
                  <c:v>0.760910644452133</c:v>
                </c:pt>
                <c:pt idx="11">
                  <c:v>0.812780603575516</c:v>
                </c:pt>
                <c:pt idx="12">
                  <c:v>0.721407571089307</c:v>
                </c:pt>
                <c:pt idx="13">
                  <c:v>0.76471605795332</c:v>
                </c:pt>
                <c:pt idx="14">
                  <c:v>0.711757961516188</c:v>
                </c:pt>
                <c:pt idx="15">
                  <c:v>0.636409131350562</c:v>
                </c:pt>
                <c:pt idx="16">
                  <c:v>0.760684614350216</c:v>
                </c:pt>
                <c:pt idx="17">
                  <c:v>0.689444509253728</c:v>
                </c:pt>
                <c:pt idx="18">
                  <c:v>0.699907553556336</c:v>
                </c:pt>
                <c:pt idx="19">
                  <c:v>0.721470667146881</c:v>
                </c:pt>
                <c:pt idx="20">
                  <c:v>0.694019107158469</c:v>
                </c:pt>
                <c:pt idx="21">
                  <c:v>0.755797582220466</c:v>
                </c:pt>
                <c:pt idx="22">
                  <c:v>0.650885309375863</c:v>
                </c:pt>
                <c:pt idx="23">
                  <c:v>0.810318587583629</c:v>
                </c:pt>
                <c:pt idx="24">
                  <c:v>0.756032220349956</c:v>
                </c:pt>
              </c:numCache>
            </c:numRef>
          </c:yVal>
          <c:smooth val="0"/>
        </c:ser>
        <c:axId val="98191757"/>
        <c:axId val="32264111"/>
      </c:scatterChart>
      <c:valAx>
        <c:axId val="9819175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2264111"/>
        <c:crosses val="autoZero"/>
        <c:crossBetween val="midCat"/>
      </c:valAx>
      <c:valAx>
        <c:axId val="322641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819175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inter_system_stats!$B$4:$B$28</c:f>
              <c:numCache>
                <c:formatCode>General</c:formatCode>
                <c:ptCount val="25"/>
                <c:pt idx="0">
                  <c:v>0.823272744718597</c:v>
                </c:pt>
                <c:pt idx="1">
                  <c:v>0.642199317331402</c:v>
                </c:pt>
                <c:pt idx="2">
                  <c:v>0.724560029881393</c:v>
                </c:pt>
                <c:pt idx="3">
                  <c:v>0.708336187220553</c:v>
                </c:pt>
                <c:pt idx="4">
                  <c:v>0.697620486730694</c:v>
                </c:pt>
                <c:pt idx="5">
                  <c:v>0.757276291011557</c:v>
                </c:pt>
                <c:pt idx="6">
                  <c:v>0.758449701833791</c:v>
                </c:pt>
                <c:pt idx="7">
                  <c:v>0.705275325567815</c:v>
                </c:pt>
                <c:pt idx="8">
                  <c:v>0.638110457472859</c:v>
                </c:pt>
                <c:pt idx="9">
                  <c:v>0.718916919696981</c:v>
                </c:pt>
                <c:pt idx="10">
                  <c:v>0.760910644452133</c:v>
                </c:pt>
                <c:pt idx="11">
                  <c:v>0.812780603575516</c:v>
                </c:pt>
                <c:pt idx="12">
                  <c:v>0.721407571089307</c:v>
                </c:pt>
                <c:pt idx="13">
                  <c:v>0.76471605795332</c:v>
                </c:pt>
                <c:pt idx="14">
                  <c:v>0.711757961516188</c:v>
                </c:pt>
                <c:pt idx="15">
                  <c:v>0.636409131350562</c:v>
                </c:pt>
                <c:pt idx="16">
                  <c:v>0.760684614350216</c:v>
                </c:pt>
                <c:pt idx="17">
                  <c:v>0.689444509253728</c:v>
                </c:pt>
                <c:pt idx="18">
                  <c:v>0.699907553556336</c:v>
                </c:pt>
                <c:pt idx="19">
                  <c:v>0.721470667146881</c:v>
                </c:pt>
                <c:pt idx="20">
                  <c:v>0.694019107158469</c:v>
                </c:pt>
                <c:pt idx="21">
                  <c:v>0.755797582220466</c:v>
                </c:pt>
                <c:pt idx="22">
                  <c:v>0.650885309375863</c:v>
                </c:pt>
                <c:pt idx="23">
                  <c:v>0.810318587583629</c:v>
                </c:pt>
                <c:pt idx="24">
                  <c:v>0.756032220349956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inter_system_stats!$C$4:$C$28</c:f>
              <c:numCache>
                <c:formatCode>General</c:formatCode>
                <c:ptCount val="25"/>
                <c:pt idx="0">
                  <c:v>0.820530604737196</c:v>
                </c:pt>
                <c:pt idx="1">
                  <c:v>0.407777700566947</c:v>
                </c:pt>
                <c:pt idx="2">
                  <c:v>0.64741533537976</c:v>
                </c:pt>
                <c:pt idx="3">
                  <c:v>0.492147299468326</c:v>
                </c:pt>
                <c:pt idx="4">
                  <c:v>0.536862868469305</c:v>
                </c:pt>
                <c:pt idx="5">
                  <c:v>0.63772449375854</c:v>
                </c:pt>
                <c:pt idx="6">
                  <c:v>0.616656606375133</c:v>
                </c:pt>
                <c:pt idx="7">
                  <c:v>0.626592572489672</c:v>
                </c:pt>
                <c:pt idx="8">
                  <c:v>0.648034250961909</c:v>
                </c:pt>
                <c:pt idx="9">
                  <c:v>0.506323646773135</c:v>
                </c:pt>
                <c:pt idx="10">
                  <c:v>0.585612272734794</c:v>
                </c:pt>
                <c:pt idx="11">
                  <c:v>0.522675525488207</c:v>
                </c:pt>
                <c:pt idx="12">
                  <c:v>0.59336895192208</c:v>
                </c:pt>
                <c:pt idx="13">
                  <c:v>0.712010193857469</c:v>
                </c:pt>
                <c:pt idx="14">
                  <c:v>0.389590431331602</c:v>
                </c:pt>
                <c:pt idx="15">
                  <c:v>0.538461186911437</c:v>
                </c:pt>
                <c:pt idx="16">
                  <c:v>0.562352229380074</c:v>
                </c:pt>
                <c:pt idx="17">
                  <c:v>0.449019179327942</c:v>
                </c:pt>
                <c:pt idx="18">
                  <c:v>0.547046967409802</c:v>
                </c:pt>
                <c:pt idx="19">
                  <c:v>0.566106097857875</c:v>
                </c:pt>
                <c:pt idx="20">
                  <c:v>0.404581945723551</c:v>
                </c:pt>
                <c:pt idx="21">
                  <c:v>0.662444425177304</c:v>
                </c:pt>
                <c:pt idx="22">
                  <c:v>0.42157129852119</c:v>
                </c:pt>
                <c:pt idx="23">
                  <c:v>0.744339298226825</c:v>
                </c:pt>
                <c:pt idx="24">
                  <c:v>0.469428262971454</c:v>
                </c:pt>
              </c:numCache>
            </c:numRef>
          </c:yVal>
          <c:smooth val="0"/>
        </c:ser>
        <c:axId val="62879604"/>
        <c:axId val="1915931"/>
      </c:scatterChart>
      <c:valAx>
        <c:axId val="628796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915931"/>
        <c:crosses val="autoZero"/>
        <c:crossBetween val="midCat"/>
      </c:valAx>
      <c:valAx>
        <c:axId val="19159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287960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inter_system_stats!$B$34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inter_system_stats!$B$35:$B$59</c:f>
              <c:numCache>
                <c:formatCode>General</c:formatCode>
                <c:ptCount val="25"/>
                <c:pt idx="0">
                  <c:v>0.790005749889737</c:v>
                </c:pt>
                <c:pt idx="1">
                  <c:v>0.681735099200446</c:v>
                </c:pt>
                <c:pt idx="2">
                  <c:v>0.736591542434996</c:v>
                </c:pt>
                <c:pt idx="3">
                  <c:v>0.65821229308805</c:v>
                </c:pt>
                <c:pt idx="4">
                  <c:v>0.743184893131854</c:v>
                </c:pt>
                <c:pt idx="5">
                  <c:v>0.738363300257884</c:v>
                </c:pt>
                <c:pt idx="6">
                  <c:v>0.802709380775578</c:v>
                </c:pt>
                <c:pt idx="7">
                  <c:v>0.767137820624339</c:v>
                </c:pt>
                <c:pt idx="8">
                  <c:v>0.655203842604779</c:v>
                </c:pt>
                <c:pt idx="9">
                  <c:v>0.700905183166286</c:v>
                </c:pt>
                <c:pt idx="10">
                  <c:v>0.719629235257693</c:v>
                </c:pt>
                <c:pt idx="11">
                  <c:v>0.831621410337318</c:v>
                </c:pt>
                <c:pt idx="12">
                  <c:v>0.709519501585356</c:v>
                </c:pt>
                <c:pt idx="13">
                  <c:v>0.752588038781123</c:v>
                </c:pt>
                <c:pt idx="14">
                  <c:v>0.742555870420495</c:v>
                </c:pt>
                <c:pt idx="15">
                  <c:v>0.626600189640605</c:v>
                </c:pt>
                <c:pt idx="16">
                  <c:v>0.81814248001184</c:v>
                </c:pt>
                <c:pt idx="17">
                  <c:v>0.647963419254761</c:v>
                </c:pt>
                <c:pt idx="18">
                  <c:v>0.643841741383017</c:v>
                </c:pt>
                <c:pt idx="19">
                  <c:v>0.654547731132537</c:v>
                </c:pt>
                <c:pt idx="20">
                  <c:v>0.737279793404405</c:v>
                </c:pt>
                <c:pt idx="21">
                  <c:v>0.741791001479869</c:v>
                </c:pt>
                <c:pt idx="22">
                  <c:v>0.720324505975325</c:v>
                </c:pt>
                <c:pt idx="23">
                  <c:v>0.85301227080764</c:v>
                </c:pt>
                <c:pt idx="24">
                  <c:v>0.727945465577406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inter_system_stats!$C$34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inter_system_stats!$C$35:$C$59</c:f>
              <c:numCache>
                <c:formatCode>General</c:formatCode>
                <c:ptCount val="25"/>
                <c:pt idx="0">
                  <c:v>0.818947298519002</c:v>
                </c:pt>
                <c:pt idx="1">
                  <c:v>0.726675054349364</c:v>
                </c:pt>
                <c:pt idx="2">
                  <c:v>0.753823763148008</c:v>
                </c:pt>
                <c:pt idx="3">
                  <c:v>0.694689160951428</c:v>
                </c:pt>
                <c:pt idx="4">
                  <c:v>0.750318975083652</c:v>
                </c:pt>
                <c:pt idx="5">
                  <c:v>0.792897506425522</c:v>
                </c:pt>
                <c:pt idx="6">
                  <c:v>0.740717063652639</c:v>
                </c:pt>
                <c:pt idx="7">
                  <c:v>0.701518866188206</c:v>
                </c:pt>
                <c:pt idx="8">
                  <c:v>0.679408838434061</c:v>
                </c:pt>
                <c:pt idx="9">
                  <c:v>0.693828339018655</c:v>
                </c:pt>
                <c:pt idx="10">
                  <c:v>0.714015093691685</c:v>
                </c:pt>
                <c:pt idx="11">
                  <c:v>0.829353335851788</c:v>
                </c:pt>
                <c:pt idx="12">
                  <c:v>0.741335114714525</c:v>
                </c:pt>
                <c:pt idx="13">
                  <c:v>0.777558691836526</c:v>
                </c:pt>
                <c:pt idx="14">
                  <c:v>0.769655236905789</c:v>
                </c:pt>
                <c:pt idx="15">
                  <c:v>0.692685234430471</c:v>
                </c:pt>
                <c:pt idx="16">
                  <c:v>0.805787272798479</c:v>
                </c:pt>
                <c:pt idx="17">
                  <c:v>0.631093794200336</c:v>
                </c:pt>
                <c:pt idx="18">
                  <c:v>0.690269162854351</c:v>
                </c:pt>
                <c:pt idx="19">
                  <c:v>0.697049065043941</c:v>
                </c:pt>
                <c:pt idx="20">
                  <c:v>0.69517695472312</c:v>
                </c:pt>
                <c:pt idx="21">
                  <c:v>0.757953803081435</c:v>
                </c:pt>
                <c:pt idx="22">
                  <c:v>0.663150812819657</c:v>
                </c:pt>
                <c:pt idx="23">
                  <c:v>0.846569350289584</c:v>
                </c:pt>
                <c:pt idx="24">
                  <c:v>0.736292798571547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inter_system_stats!$D$34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inter_system_stats!$D$35:$D$59</c:f>
              <c:numCache>
                <c:formatCode>General</c:formatCode>
                <c:ptCount val="25"/>
                <c:pt idx="0">
                  <c:v>0.785168761593727</c:v>
                </c:pt>
                <c:pt idx="1">
                  <c:v>0.7034443874608</c:v>
                </c:pt>
                <c:pt idx="2">
                  <c:v>0.735399855829613</c:v>
                </c:pt>
                <c:pt idx="3">
                  <c:v>0.697297454274584</c:v>
                </c:pt>
                <c:pt idx="4">
                  <c:v>0.713223127756937</c:v>
                </c:pt>
                <c:pt idx="5">
                  <c:v>0.767347429776357</c:v>
                </c:pt>
                <c:pt idx="6">
                  <c:v>0.741214474418534</c:v>
                </c:pt>
                <c:pt idx="7">
                  <c:v>0.702691804836109</c:v>
                </c:pt>
                <c:pt idx="8">
                  <c:v>0.676410925873389</c:v>
                </c:pt>
                <c:pt idx="9">
                  <c:v>0.715155539827357</c:v>
                </c:pt>
                <c:pt idx="10">
                  <c:v>0.72491699498861</c:v>
                </c:pt>
                <c:pt idx="11">
                  <c:v>0.844773353099784</c:v>
                </c:pt>
                <c:pt idx="12">
                  <c:v>0.670771286759802</c:v>
                </c:pt>
                <c:pt idx="13">
                  <c:v>0.749199345598474</c:v>
                </c:pt>
                <c:pt idx="14">
                  <c:v>0.710334404151347</c:v>
                </c:pt>
                <c:pt idx="15">
                  <c:v>0.658233657913275</c:v>
                </c:pt>
                <c:pt idx="16">
                  <c:v>0.821533014122518</c:v>
                </c:pt>
                <c:pt idx="17">
                  <c:v>0.654001563002053</c:v>
                </c:pt>
                <c:pt idx="18">
                  <c:v>0.590768867737282</c:v>
                </c:pt>
                <c:pt idx="19">
                  <c:v>0.716584963681357</c:v>
                </c:pt>
                <c:pt idx="20">
                  <c:v>0.669739555124102</c:v>
                </c:pt>
                <c:pt idx="21">
                  <c:v>0.735555505104196</c:v>
                </c:pt>
                <c:pt idx="22">
                  <c:v>0.705937576250204</c:v>
                </c:pt>
                <c:pt idx="23">
                  <c:v>0.821053723330557</c:v>
                </c:pt>
                <c:pt idx="24">
                  <c:v>0.697201511529907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inter_system_stats!$E$34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inter_system_stats!$E$35:$E$59</c:f>
              <c:numCache>
                <c:formatCode>General</c:formatCode>
                <c:ptCount val="25"/>
                <c:pt idx="0">
                  <c:v>0.823272744718597</c:v>
                </c:pt>
                <c:pt idx="1">
                  <c:v>0.642199317331402</c:v>
                </c:pt>
                <c:pt idx="2">
                  <c:v>0.724560029881393</c:v>
                </c:pt>
                <c:pt idx="3">
                  <c:v>0.708336187220553</c:v>
                </c:pt>
                <c:pt idx="4">
                  <c:v>0.697620486730694</c:v>
                </c:pt>
                <c:pt idx="5">
                  <c:v>0.757276291011557</c:v>
                </c:pt>
                <c:pt idx="6">
                  <c:v>0.758449701833791</c:v>
                </c:pt>
                <c:pt idx="7">
                  <c:v>0.705275325567815</c:v>
                </c:pt>
                <c:pt idx="8">
                  <c:v>0.638110457472859</c:v>
                </c:pt>
                <c:pt idx="9">
                  <c:v>0.718916919696981</c:v>
                </c:pt>
                <c:pt idx="10">
                  <c:v>0.760910644452133</c:v>
                </c:pt>
                <c:pt idx="11">
                  <c:v>0.812780603575516</c:v>
                </c:pt>
                <c:pt idx="12">
                  <c:v>0.721407571089307</c:v>
                </c:pt>
                <c:pt idx="13">
                  <c:v>0.76471605795332</c:v>
                </c:pt>
                <c:pt idx="14">
                  <c:v>0.711757961516188</c:v>
                </c:pt>
                <c:pt idx="15">
                  <c:v>0.636409131350562</c:v>
                </c:pt>
                <c:pt idx="16">
                  <c:v>0.760684614350216</c:v>
                </c:pt>
                <c:pt idx="17">
                  <c:v>0.689444509253728</c:v>
                </c:pt>
                <c:pt idx="18">
                  <c:v>0.699907553556336</c:v>
                </c:pt>
                <c:pt idx="19">
                  <c:v>0.721470667146881</c:v>
                </c:pt>
                <c:pt idx="20">
                  <c:v>0.694019107158469</c:v>
                </c:pt>
                <c:pt idx="21">
                  <c:v>0.755797582220466</c:v>
                </c:pt>
                <c:pt idx="22">
                  <c:v>0.650885309375863</c:v>
                </c:pt>
                <c:pt idx="23">
                  <c:v>0.810318587583629</c:v>
                </c:pt>
                <c:pt idx="24">
                  <c:v>0.756032220349956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inter_system_stats!$F$34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inter_system_stats!$F$35:$F$59</c:f>
              <c:numCache>
                <c:formatCode>General</c:formatCode>
                <c:ptCount val="25"/>
                <c:pt idx="0">
                  <c:v>0.820530604737196</c:v>
                </c:pt>
                <c:pt idx="1">
                  <c:v>0.407777700566947</c:v>
                </c:pt>
                <c:pt idx="2">
                  <c:v>0.64741533537976</c:v>
                </c:pt>
                <c:pt idx="3">
                  <c:v>0.492147299468326</c:v>
                </c:pt>
                <c:pt idx="4">
                  <c:v>0.536862868469305</c:v>
                </c:pt>
                <c:pt idx="5">
                  <c:v>0.63772449375854</c:v>
                </c:pt>
                <c:pt idx="6">
                  <c:v>0.616656606375133</c:v>
                </c:pt>
                <c:pt idx="7">
                  <c:v>0.626592572489672</c:v>
                </c:pt>
                <c:pt idx="8">
                  <c:v>0.648034250961909</c:v>
                </c:pt>
                <c:pt idx="9">
                  <c:v>0.506323646773135</c:v>
                </c:pt>
                <c:pt idx="10">
                  <c:v>0.585612272734794</c:v>
                </c:pt>
                <c:pt idx="11">
                  <c:v>0.522675525488207</c:v>
                </c:pt>
                <c:pt idx="12">
                  <c:v>0.59336895192208</c:v>
                </c:pt>
                <c:pt idx="13">
                  <c:v>0.712010193857469</c:v>
                </c:pt>
                <c:pt idx="14">
                  <c:v>0.389590431331602</c:v>
                </c:pt>
                <c:pt idx="15">
                  <c:v>0.538461186911437</c:v>
                </c:pt>
                <c:pt idx="16">
                  <c:v>0.562352229380074</c:v>
                </c:pt>
                <c:pt idx="17">
                  <c:v>0.449019179327942</c:v>
                </c:pt>
                <c:pt idx="18">
                  <c:v>0.547046967409802</c:v>
                </c:pt>
                <c:pt idx="19">
                  <c:v>0.566106097857875</c:v>
                </c:pt>
                <c:pt idx="20">
                  <c:v>0.404581945723551</c:v>
                </c:pt>
                <c:pt idx="21">
                  <c:v>0.662444425177304</c:v>
                </c:pt>
                <c:pt idx="22">
                  <c:v>0.42157129852119</c:v>
                </c:pt>
                <c:pt idx="23">
                  <c:v>0.744339298226825</c:v>
                </c:pt>
                <c:pt idx="24">
                  <c:v>0.469428262971454</c:v>
                </c:pt>
              </c:numCache>
            </c:numRef>
          </c:yVal>
          <c:smooth val="0"/>
        </c:ser>
        <c:axId val="33913794"/>
        <c:axId val="64133572"/>
      </c:scatterChart>
      <c:valAx>
        <c:axId val="3391379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4133572"/>
        <c:crosses val="autoZero"/>
        <c:crossBetween val="midCat"/>
      </c:valAx>
      <c:valAx>
        <c:axId val="641335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391379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39600</xdr:colOff>
      <xdr:row>2</xdr:row>
      <xdr:rowOff>30960</xdr:rowOff>
    </xdr:from>
    <xdr:to>
      <xdr:col>10</xdr:col>
      <xdr:colOff>101160</xdr:colOff>
      <xdr:row>22</xdr:row>
      <xdr:rowOff>14040</xdr:rowOff>
    </xdr:to>
    <xdr:graphicFrame>
      <xdr:nvGraphicFramePr>
        <xdr:cNvPr id="1" name=""/>
        <xdr:cNvGraphicFramePr/>
      </xdr:nvGraphicFramePr>
      <xdr:xfrm>
        <a:off x="2477880" y="356040"/>
        <a:ext cx="575136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279720</xdr:colOff>
      <xdr:row>5</xdr:row>
      <xdr:rowOff>77040</xdr:rowOff>
    </xdr:from>
    <xdr:to>
      <xdr:col>9</xdr:col>
      <xdr:colOff>1105560</xdr:colOff>
      <xdr:row>25</xdr:row>
      <xdr:rowOff>60120</xdr:rowOff>
    </xdr:to>
    <xdr:graphicFrame>
      <xdr:nvGraphicFramePr>
        <xdr:cNvPr id="2" name=""/>
        <xdr:cNvGraphicFramePr/>
      </xdr:nvGraphicFramePr>
      <xdr:xfrm>
        <a:off x="5042880" y="889920"/>
        <a:ext cx="575712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1268640</xdr:colOff>
      <xdr:row>49</xdr:row>
      <xdr:rowOff>46440</xdr:rowOff>
    </xdr:from>
    <xdr:to>
      <xdr:col>17</xdr:col>
      <xdr:colOff>716400</xdr:colOff>
      <xdr:row>79</xdr:row>
      <xdr:rowOff>159480</xdr:rowOff>
    </xdr:to>
    <xdr:graphicFrame>
      <xdr:nvGraphicFramePr>
        <xdr:cNvPr id="3" name=""/>
        <xdr:cNvGraphicFramePr/>
      </xdr:nvGraphicFramePr>
      <xdr:xfrm>
        <a:off x="8372520" y="8011800"/>
        <a:ext cx="8867160" cy="4989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0" sqref="Q2"/>
    </sheetView>
  </sheetViews>
  <sheetFormatPr defaultColWidth="10.5859375" defaultRowHeight="15" customHeight="false" zeroHeight="false" outlineLevelRow="0" outlineLevelCol="0"/>
  <cols>
    <col collapsed="false" customWidth="true" hidden="false" outlineLevel="0" max="4" min="4" style="1" width="15.32"/>
    <col collapsed="false" customWidth="true" hidden="false" outlineLevel="0" max="5" min="5" style="1" width="15.49"/>
    <col collapsed="false" customWidth="false" hidden="false" outlineLevel="0" max="6" min="6" style="1" width="10.58"/>
    <col collapsed="false" customWidth="true" hidden="false" outlineLevel="0" max="7" min="7" style="1" width="47.9"/>
    <col collapsed="false" customWidth="true" hidden="false" outlineLevel="0" max="8" min="8" style="1" width="9.38"/>
    <col collapsed="false" customWidth="true" hidden="false" outlineLevel="0" max="12" min="9" style="1" width="24.32"/>
    <col collapsed="false" customWidth="true" hidden="false" outlineLevel="0" max="18" min="17" style="1" width="18.71"/>
    <col collapsed="false" customWidth="true" hidden="false" outlineLevel="0" max="19" min="19" style="1" width="21.77"/>
  </cols>
  <sheetData>
    <row r="1" customFormat="false" ht="22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3" t="s">
        <v>12</v>
      </c>
      <c r="Q1" s="3" t="s">
        <v>13</v>
      </c>
      <c r="R1" s="3" t="s">
        <v>14</v>
      </c>
      <c r="S1" s="4" t="s">
        <v>15</v>
      </c>
    </row>
    <row r="2" customFormat="false" ht="15" hidden="false" customHeight="false" outlineLevel="0" collapsed="false">
      <c r="G2" s="2"/>
      <c r="P2" s="5" t="n">
        <f aca="false">COUNT(K3:K128)</f>
        <v>126</v>
      </c>
      <c r="Q2" s="5" t="n">
        <f aca="false">AVERAGE(K3:K128)</f>
        <v>0.0378296131421125</v>
      </c>
      <c r="R2" s="5" t="n">
        <f aca="false">CORREL(H3:H128,K3:K128)</f>
        <v>0.299337709898857</v>
      </c>
      <c r="S2" s="5" t="n">
        <v>0.000661659041061218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1" t="s">
        <v>21</v>
      </c>
      <c r="H3" s="1" t="n">
        <v>0.1</v>
      </c>
      <c r="I3" s="1" t="n">
        <v>0.118899336666696</v>
      </c>
      <c r="J3" s="1" t="n">
        <v>0.18155795486304</v>
      </c>
      <c r="K3" s="1" t="n">
        <f aca="false">J3-I3</f>
        <v>0.062658618196344</v>
      </c>
      <c r="L3" s="1" t="n">
        <v>0.823272744718597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19</v>
      </c>
      <c r="E4" s="1" t="s">
        <v>20</v>
      </c>
      <c r="F4" s="1" t="n">
        <v>2</v>
      </c>
      <c r="G4" s="1" t="s">
        <v>21</v>
      </c>
      <c r="H4" s="1" t="n">
        <v>0.1</v>
      </c>
      <c r="I4" s="1" t="n">
        <v>0.13328354805624</v>
      </c>
      <c r="J4" s="1" t="n">
        <v>0.231299458359925</v>
      </c>
      <c r="K4" s="1" t="n">
        <f aca="false">J4-I4</f>
        <v>0.098015910303685</v>
      </c>
      <c r="L4" s="1" t="n">
        <v>0.642199317331402</v>
      </c>
    </row>
    <row r="5" customFormat="false" ht="15" hidden="false" customHeight="false" outlineLevel="0" collapsed="false">
      <c r="A5" s="1" t="s">
        <v>25</v>
      </c>
      <c r="B5" s="1" t="s">
        <v>26</v>
      </c>
      <c r="C5" s="1" t="s">
        <v>27</v>
      </c>
      <c r="D5" s="1" t="s">
        <v>19</v>
      </c>
      <c r="E5" s="1" t="s">
        <v>20</v>
      </c>
      <c r="F5" s="1" t="n">
        <v>4</v>
      </c>
      <c r="G5" s="1" t="s">
        <v>28</v>
      </c>
      <c r="H5" s="1" t="n">
        <v>0.1911</v>
      </c>
      <c r="I5" s="1" t="n">
        <v>0.263193334668066</v>
      </c>
      <c r="J5" s="1" t="n">
        <v>0.267536194097789</v>
      </c>
      <c r="K5" s="1" t="n">
        <f aca="false">J5-I5</f>
        <v>0.00434285942972301</v>
      </c>
      <c r="L5" s="1" t="n">
        <v>0.724560029881393</v>
      </c>
    </row>
    <row r="6" customFormat="false" ht="15" hidden="false" customHeight="false" outlineLevel="0" collapsed="false">
      <c r="A6" s="1" t="s">
        <v>25</v>
      </c>
      <c r="B6" s="1" t="s">
        <v>26</v>
      </c>
      <c r="C6" s="1" t="s">
        <v>27</v>
      </c>
      <c r="D6" s="1" t="s">
        <v>19</v>
      </c>
      <c r="E6" s="1" t="s">
        <v>20</v>
      </c>
      <c r="F6" s="1" t="n">
        <v>4</v>
      </c>
      <c r="G6" s="1" t="s">
        <v>29</v>
      </c>
      <c r="H6" s="1" t="n">
        <v>0.1903</v>
      </c>
      <c r="I6" s="1" t="n">
        <v>0.26210365041705</v>
      </c>
      <c r="J6" s="1" t="n">
        <v>0.266594692572183</v>
      </c>
      <c r="K6" s="1" t="n">
        <f aca="false">J6-I6</f>
        <v>0.00449104215513296</v>
      </c>
      <c r="L6" s="1" t="n">
        <v>0.724560029881393</v>
      </c>
    </row>
    <row r="7" customFormat="false" ht="15" hidden="false" customHeight="false" outlineLevel="0" collapsed="false">
      <c r="A7" s="1" t="s">
        <v>25</v>
      </c>
      <c r="B7" s="1" t="s">
        <v>26</v>
      </c>
      <c r="C7" s="1" t="s">
        <v>27</v>
      </c>
      <c r="D7" s="1" t="s">
        <v>19</v>
      </c>
      <c r="E7" s="1" t="s">
        <v>20</v>
      </c>
      <c r="F7" s="1" t="n">
        <v>4</v>
      </c>
      <c r="G7" s="1" t="s">
        <v>30</v>
      </c>
      <c r="H7" s="1" t="n">
        <v>0.1751</v>
      </c>
      <c r="I7" s="1" t="n">
        <v>0.241122154619482</v>
      </c>
      <c r="J7" s="1" t="n">
        <v>0.242196319104711</v>
      </c>
      <c r="K7" s="1" t="n">
        <f aca="false">J7-I7</f>
        <v>0.00107416448522901</v>
      </c>
      <c r="L7" s="1" t="n">
        <v>0.724560029881393</v>
      </c>
    </row>
    <row r="8" customFormat="false" ht="15" hidden="false" customHeight="false" outlineLevel="0" collapsed="false">
      <c r="A8" s="1" t="s">
        <v>25</v>
      </c>
      <c r="B8" s="1" t="s">
        <v>26</v>
      </c>
      <c r="C8" s="1" t="s">
        <v>27</v>
      </c>
      <c r="D8" s="1" t="s">
        <v>19</v>
      </c>
      <c r="E8" s="1" t="s">
        <v>20</v>
      </c>
      <c r="F8" s="1" t="n">
        <v>4</v>
      </c>
      <c r="G8" s="1" t="s">
        <v>31</v>
      </c>
      <c r="H8" s="1" t="n">
        <v>0.1741</v>
      </c>
      <c r="I8" s="1" t="n">
        <v>0.239796750902681</v>
      </c>
      <c r="J8" s="1" t="n">
        <v>0.26107539246991</v>
      </c>
      <c r="K8" s="1" t="n">
        <f aca="false">J8-I8</f>
        <v>0.021278641567229</v>
      </c>
      <c r="L8" s="1" t="n">
        <v>0.724560029881393</v>
      </c>
    </row>
    <row r="9" customFormat="false" ht="15" hidden="false" customHeight="false" outlineLevel="0" collapsed="false">
      <c r="A9" s="1" t="s">
        <v>25</v>
      </c>
      <c r="B9" s="1" t="s">
        <v>26</v>
      </c>
      <c r="C9" s="1" t="s">
        <v>27</v>
      </c>
      <c r="D9" s="1" t="s">
        <v>19</v>
      </c>
      <c r="E9" s="1" t="s">
        <v>20</v>
      </c>
      <c r="F9" s="1" t="n">
        <v>4</v>
      </c>
      <c r="G9" s="1" t="s">
        <v>32</v>
      </c>
      <c r="H9" s="1" t="n">
        <v>0.1694</v>
      </c>
      <c r="I9" s="1" t="n">
        <v>0.233332415718163</v>
      </c>
      <c r="J9" s="1" t="n">
        <v>0.236395534741621</v>
      </c>
      <c r="K9" s="1" t="n">
        <f aca="false">J9-I9</f>
        <v>0.00306311902345802</v>
      </c>
      <c r="L9" s="1" t="n">
        <v>0.724560029881393</v>
      </c>
    </row>
    <row r="10" customFormat="false" ht="15" hidden="false" customHeight="false" outlineLevel="0" collapsed="false">
      <c r="A10" s="1" t="s">
        <v>25</v>
      </c>
      <c r="B10" s="1" t="s">
        <v>26</v>
      </c>
      <c r="C10" s="1" t="s">
        <v>27</v>
      </c>
      <c r="D10" s="1" t="s">
        <v>19</v>
      </c>
      <c r="E10" s="1" t="s">
        <v>20</v>
      </c>
      <c r="F10" s="1" t="n">
        <v>4</v>
      </c>
      <c r="G10" s="1" t="s">
        <v>21</v>
      </c>
      <c r="H10" s="1" t="n">
        <v>0.1</v>
      </c>
      <c r="I10" s="1" t="n">
        <v>0.182141937295803</v>
      </c>
      <c r="J10" s="1" t="n">
        <v>0.19760614369321</v>
      </c>
      <c r="K10" s="1" t="n">
        <f aca="false">J10-I10</f>
        <v>0.015464206397407</v>
      </c>
      <c r="L10" s="1" t="n">
        <v>0.724560029881393</v>
      </c>
    </row>
    <row r="11" customFormat="false" ht="15" hidden="false" customHeight="false" outlineLevel="0" collapsed="false">
      <c r="A11" s="1" t="s">
        <v>33</v>
      </c>
      <c r="B11" s="1" t="s">
        <v>34</v>
      </c>
      <c r="C11" s="1" t="s">
        <v>35</v>
      </c>
      <c r="D11" s="1" t="s">
        <v>19</v>
      </c>
      <c r="E11" s="1" t="s">
        <v>20</v>
      </c>
      <c r="F11" s="1" t="n">
        <v>6</v>
      </c>
      <c r="G11" s="1" t="s">
        <v>31</v>
      </c>
      <c r="H11" s="1" t="n">
        <v>0.456</v>
      </c>
      <c r="I11" s="1" t="n">
        <v>0.206899206169942</v>
      </c>
      <c r="J11" s="1" t="n">
        <v>0.314708534208778</v>
      </c>
      <c r="K11" s="1" t="n">
        <f aca="false">J11-I11</f>
        <v>0.107809328038836</v>
      </c>
      <c r="L11" s="1" t="n">
        <v>0.708336187220553</v>
      </c>
    </row>
    <row r="12" customFormat="false" ht="15" hidden="false" customHeight="false" outlineLevel="0" collapsed="false">
      <c r="A12" s="1" t="s">
        <v>33</v>
      </c>
      <c r="B12" s="1" t="s">
        <v>34</v>
      </c>
      <c r="C12" s="1" t="s">
        <v>35</v>
      </c>
      <c r="D12" s="1" t="s">
        <v>19</v>
      </c>
      <c r="E12" s="1" t="s">
        <v>20</v>
      </c>
      <c r="F12" s="1" t="n">
        <v>6</v>
      </c>
      <c r="G12" s="1" t="s">
        <v>29</v>
      </c>
      <c r="H12" s="1" t="n">
        <v>0.444</v>
      </c>
      <c r="I12" s="1" t="n">
        <v>0.201463865555404</v>
      </c>
      <c r="J12" s="1" t="n">
        <v>0.356822061661706</v>
      </c>
      <c r="K12" s="1" t="n">
        <f aca="false">J12-I12</f>
        <v>0.155358196106302</v>
      </c>
      <c r="L12" s="1" t="n">
        <v>0.708336187220553</v>
      </c>
    </row>
    <row r="13" customFormat="false" ht="15" hidden="false" customHeight="false" outlineLevel="0" collapsed="false">
      <c r="A13" s="1" t="s">
        <v>33</v>
      </c>
      <c r="B13" s="1" t="s">
        <v>34</v>
      </c>
      <c r="C13" s="1" t="s">
        <v>35</v>
      </c>
      <c r="D13" s="1" t="s">
        <v>19</v>
      </c>
      <c r="E13" s="1" t="s">
        <v>20</v>
      </c>
      <c r="F13" s="1" t="n">
        <v>6</v>
      </c>
      <c r="G13" s="1" t="s">
        <v>21</v>
      </c>
      <c r="H13" s="1" t="n">
        <v>0.1</v>
      </c>
      <c r="I13" s="1" t="n">
        <v>0.160358422134371</v>
      </c>
      <c r="J13" s="1" t="n">
        <v>0.236378270329041</v>
      </c>
      <c r="K13" s="1" t="n">
        <f aca="false">J13-I13</f>
        <v>0.07601984819467</v>
      </c>
      <c r="L13" s="1" t="n">
        <v>0.708336187220553</v>
      </c>
    </row>
    <row r="14" customFormat="false" ht="15" hidden="false" customHeight="false" outlineLevel="0" collapsed="false">
      <c r="A14" s="1" t="s">
        <v>36</v>
      </c>
      <c r="B14" s="1" t="s">
        <v>37</v>
      </c>
      <c r="C14" s="1" t="s">
        <v>38</v>
      </c>
      <c r="D14" s="1" t="s">
        <v>19</v>
      </c>
      <c r="E14" s="1" t="s">
        <v>20</v>
      </c>
      <c r="F14" s="1" t="n">
        <v>8</v>
      </c>
      <c r="G14" s="1" t="s">
        <v>29</v>
      </c>
      <c r="H14" s="1" t="n">
        <v>0.2088</v>
      </c>
      <c r="I14" s="1" t="n">
        <v>0.349831711564348</v>
      </c>
      <c r="J14" s="1" t="n">
        <v>0.313396740993516</v>
      </c>
      <c r="K14" s="1" t="n">
        <f aca="false">J14-I14</f>
        <v>-0.036434970570832</v>
      </c>
      <c r="L14" s="1" t="n">
        <v>0.697620486730694</v>
      </c>
    </row>
    <row r="15" customFormat="false" ht="15" hidden="false" customHeight="false" outlineLevel="0" collapsed="false">
      <c r="A15" s="1" t="s">
        <v>36</v>
      </c>
      <c r="B15" s="1" t="s">
        <v>37</v>
      </c>
      <c r="C15" s="1" t="s">
        <v>38</v>
      </c>
      <c r="D15" s="1" t="s">
        <v>19</v>
      </c>
      <c r="E15" s="1" t="s">
        <v>20</v>
      </c>
      <c r="F15" s="1" t="n">
        <v>8</v>
      </c>
      <c r="G15" s="1" t="s">
        <v>28</v>
      </c>
      <c r="H15" s="1" t="n">
        <v>0.1916</v>
      </c>
      <c r="I15" s="1" t="n">
        <v>0.321016632399301</v>
      </c>
      <c r="J15" s="1" t="n">
        <v>0.29167295128972</v>
      </c>
      <c r="K15" s="1" t="n">
        <f aca="false">J15-I15</f>
        <v>-0.029343681109581</v>
      </c>
      <c r="L15" s="1" t="n">
        <v>0.697620486730694</v>
      </c>
    </row>
    <row r="16" customFormat="false" ht="15" hidden="false" customHeight="false" outlineLevel="0" collapsed="false">
      <c r="A16" s="1" t="s">
        <v>36</v>
      </c>
      <c r="B16" s="1" t="s">
        <v>37</v>
      </c>
      <c r="C16" s="1" t="s">
        <v>38</v>
      </c>
      <c r="D16" s="1" t="s">
        <v>19</v>
      </c>
      <c r="E16" s="1" t="s">
        <v>20</v>
      </c>
      <c r="F16" s="1" t="n">
        <v>8</v>
      </c>
      <c r="G16" s="1" t="s">
        <v>31</v>
      </c>
      <c r="H16" s="1" t="n">
        <v>0.1703</v>
      </c>
      <c r="I16" s="1" t="n">
        <v>0.285372608311513</v>
      </c>
      <c r="J16" s="1" t="n">
        <v>0.284432867984982</v>
      </c>
      <c r="K16" s="1" t="n">
        <f aca="false">J16-I16</f>
        <v>-0.000939740326530991</v>
      </c>
      <c r="L16" s="1" t="n">
        <v>0.697620486730694</v>
      </c>
    </row>
    <row r="17" customFormat="false" ht="15" hidden="false" customHeight="false" outlineLevel="0" collapsed="false">
      <c r="A17" s="1" t="s">
        <v>36</v>
      </c>
      <c r="B17" s="1" t="s">
        <v>37</v>
      </c>
      <c r="C17" s="1" t="s">
        <v>38</v>
      </c>
      <c r="D17" s="1" t="s">
        <v>19</v>
      </c>
      <c r="E17" s="1" t="s">
        <v>20</v>
      </c>
      <c r="F17" s="1" t="n">
        <v>8</v>
      </c>
      <c r="G17" s="1" t="s">
        <v>39</v>
      </c>
      <c r="H17" s="1" t="n">
        <v>0.165</v>
      </c>
      <c r="I17" s="1" t="n">
        <v>0.276422339367971</v>
      </c>
      <c r="J17" s="1" t="n">
        <v>0.272031618321916</v>
      </c>
      <c r="K17" s="1" t="n">
        <f aca="false">J17-I17</f>
        <v>-0.00439072104605498</v>
      </c>
      <c r="L17" s="1" t="n">
        <v>0.697620486730694</v>
      </c>
    </row>
    <row r="18" customFormat="false" ht="15" hidden="false" customHeight="false" outlineLevel="0" collapsed="false">
      <c r="A18" s="1" t="s">
        <v>36</v>
      </c>
      <c r="B18" s="1" t="s">
        <v>37</v>
      </c>
      <c r="C18" s="1" t="s">
        <v>38</v>
      </c>
      <c r="D18" s="1" t="s">
        <v>19</v>
      </c>
      <c r="E18" s="1" t="s">
        <v>20</v>
      </c>
      <c r="F18" s="1" t="n">
        <v>8</v>
      </c>
      <c r="G18" s="1" t="s">
        <v>30</v>
      </c>
      <c r="H18" s="1" t="n">
        <v>0.1642</v>
      </c>
      <c r="I18" s="1" t="n">
        <v>0.27511002501241</v>
      </c>
      <c r="J18" s="1" t="n">
        <v>0.247298452407255</v>
      </c>
      <c r="K18" s="1" t="n">
        <f aca="false">J18-I18</f>
        <v>-0.027811572605155</v>
      </c>
      <c r="L18" s="1" t="n">
        <v>0.697620486730694</v>
      </c>
    </row>
    <row r="19" customFormat="false" ht="15" hidden="false" customHeight="false" outlineLevel="0" collapsed="false">
      <c r="A19" s="1" t="s">
        <v>36</v>
      </c>
      <c r="B19" s="1" t="s">
        <v>37</v>
      </c>
      <c r="C19" s="1" t="s">
        <v>38</v>
      </c>
      <c r="D19" s="1" t="s">
        <v>19</v>
      </c>
      <c r="E19" s="1" t="s">
        <v>20</v>
      </c>
      <c r="F19" s="1" t="n">
        <v>8</v>
      </c>
      <c r="G19" s="1" t="s">
        <v>21</v>
      </c>
      <c r="H19" s="1" t="n">
        <v>0.1</v>
      </c>
      <c r="I19" s="1" t="n">
        <v>0.249520356833382</v>
      </c>
      <c r="J19" s="1" t="n">
        <v>0.223744689773333</v>
      </c>
      <c r="K19" s="1" t="n">
        <f aca="false">J19-I19</f>
        <v>-0.025775667060049</v>
      </c>
      <c r="L19" s="1" t="n">
        <v>0.697620486730694</v>
      </c>
    </row>
    <row r="20" customFormat="false" ht="15" hidden="false" customHeight="false" outlineLevel="0" collapsed="false">
      <c r="A20" s="1" t="s">
        <v>40</v>
      </c>
      <c r="B20" s="1" t="s">
        <v>41</v>
      </c>
      <c r="C20" s="1" t="s">
        <v>42</v>
      </c>
      <c r="D20" s="1" t="s">
        <v>19</v>
      </c>
      <c r="E20" s="1" t="s">
        <v>20</v>
      </c>
      <c r="F20" s="1" t="n">
        <v>10</v>
      </c>
      <c r="G20" s="1" t="s">
        <v>31</v>
      </c>
      <c r="H20" s="1" t="n">
        <v>0.4577</v>
      </c>
      <c r="I20" s="1" t="n">
        <v>0.207976648657362</v>
      </c>
      <c r="J20" s="1" t="n">
        <v>0.313680086636286</v>
      </c>
      <c r="K20" s="1" t="n">
        <f aca="false">J20-I20</f>
        <v>0.105703437978924</v>
      </c>
      <c r="L20" s="1" t="n">
        <v>0.757276291011557</v>
      </c>
    </row>
    <row r="21" customFormat="false" ht="15" hidden="false" customHeight="false" outlineLevel="0" collapsed="false">
      <c r="A21" s="1" t="s">
        <v>40</v>
      </c>
      <c r="B21" s="1" t="s">
        <v>41</v>
      </c>
      <c r="C21" s="1" t="s">
        <v>42</v>
      </c>
      <c r="D21" s="1" t="s">
        <v>19</v>
      </c>
      <c r="E21" s="1" t="s">
        <v>20</v>
      </c>
      <c r="F21" s="1" t="n">
        <v>10</v>
      </c>
      <c r="G21" s="1" t="s">
        <v>29</v>
      </c>
      <c r="H21" s="1" t="n">
        <v>0.4423</v>
      </c>
      <c r="I21" s="1" t="n">
        <v>0.200941461448522</v>
      </c>
      <c r="J21" s="1" t="n">
        <v>0.320895022937706</v>
      </c>
      <c r="K21" s="1" t="n">
        <f aca="false">J21-I21</f>
        <v>0.119953561489184</v>
      </c>
      <c r="L21" s="1" t="n">
        <v>0.757276291011557</v>
      </c>
    </row>
    <row r="22" customFormat="false" ht="15" hidden="false" customHeight="false" outlineLevel="0" collapsed="false">
      <c r="A22" s="1" t="s">
        <v>40</v>
      </c>
      <c r="B22" s="1" t="s">
        <v>41</v>
      </c>
      <c r="C22" s="1" t="s">
        <v>42</v>
      </c>
      <c r="D22" s="1" t="s">
        <v>19</v>
      </c>
      <c r="E22" s="1" t="s">
        <v>20</v>
      </c>
      <c r="F22" s="1" t="n">
        <v>10</v>
      </c>
      <c r="G22" s="1" t="s">
        <v>21</v>
      </c>
      <c r="H22" s="1" t="n">
        <v>0.1</v>
      </c>
      <c r="I22" s="1" t="n">
        <v>0.152113764505892</v>
      </c>
      <c r="J22" s="1" t="n">
        <v>0.236349911296836</v>
      </c>
      <c r="K22" s="1" t="n">
        <f aca="false">J22-I22</f>
        <v>0.084236146790944</v>
      </c>
      <c r="L22" s="1" t="n">
        <v>0.757276291011557</v>
      </c>
    </row>
    <row r="23" customFormat="false" ht="15" hidden="false" customHeight="false" outlineLevel="0" collapsed="false">
      <c r="A23" s="1" t="s">
        <v>43</v>
      </c>
      <c r="B23" s="1" t="s">
        <v>44</v>
      </c>
      <c r="C23" s="1" t="s">
        <v>45</v>
      </c>
      <c r="D23" s="1" t="s">
        <v>19</v>
      </c>
      <c r="E23" s="1" t="s">
        <v>20</v>
      </c>
      <c r="F23" s="1" t="n">
        <v>12</v>
      </c>
      <c r="G23" s="1" t="s">
        <v>46</v>
      </c>
      <c r="H23" s="1" t="n">
        <v>0.1933</v>
      </c>
      <c r="I23" s="1" t="n">
        <v>0.299755589198974</v>
      </c>
      <c r="J23" s="1" t="n">
        <v>0.309501725365108</v>
      </c>
      <c r="K23" s="1" t="n">
        <f aca="false">J23-I23</f>
        <v>0.00974613616613401</v>
      </c>
      <c r="L23" s="1" t="n">
        <v>0.758449701833791</v>
      </c>
    </row>
    <row r="24" customFormat="false" ht="15" hidden="false" customHeight="false" outlineLevel="0" collapsed="false">
      <c r="A24" s="1" t="s">
        <v>43</v>
      </c>
      <c r="B24" s="1" t="s">
        <v>44</v>
      </c>
      <c r="C24" s="1" t="s">
        <v>45</v>
      </c>
      <c r="D24" s="1" t="s">
        <v>19</v>
      </c>
      <c r="E24" s="1" t="s">
        <v>20</v>
      </c>
      <c r="F24" s="1" t="n">
        <v>12</v>
      </c>
      <c r="G24" s="1" t="s">
        <v>31</v>
      </c>
      <c r="H24" s="1" t="n">
        <v>0.1865</v>
      </c>
      <c r="I24" s="1" t="n">
        <v>0.289158957542836</v>
      </c>
      <c r="J24" s="1" t="n">
        <v>0.337547754877218</v>
      </c>
      <c r="K24" s="1" t="n">
        <f aca="false">J24-I24</f>
        <v>0.048388797334382</v>
      </c>
      <c r="L24" s="1" t="n">
        <v>0.758449701833791</v>
      </c>
    </row>
    <row r="25" customFormat="false" ht="15" hidden="false" customHeight="false" outlineLevel="0" collapsed="false">
      <c r="A25" s="1" t="s">
        <v>43</v>
      </c>
      <c r="B25" s="1" t="s">
        <v>44</v>
      </c>
      <c r="C25" s="1" t="s">
        <v>45</v>
      </c>
      <c r="D25" s="1" t="s">
        <v>19</v>
      </c>
      <c r="E25" s="1" t="s">
        <v>20</v>
      </c>
      <c r="F25" s="1" t="n">
        <v>12</v>
      </c>
      <c r="G25" s="1" t="s">
        <v>30</v>
      </c>
      <c r="H25" s="1" t="n">
        <v>0.183</v>
      </c>
      <c r="I25" s="1" t="n">
        <v>0.283816670306307</v>
      </c>
      <c r="J25" s="1" t="n">
        <v>0.310563941728559</v>
      </c>
      <c r="K25" s="1" t="n">
        <f aca="false">J25-I25</f>
        <v>0.026747271422252</v>
      </c>
      <c r="L25" s="1" t="n">
        <v>0.758449701833791</v>
      </c>
    </row>
    <row r="26" customFormat="false" ht="15" hidden="false" customHeight="false" outlineLevel="0" collapsed="false">
      <c r="A26" s="1" t="s">
        <v>43</v>
      </c>
      <c r="B26" s="1" t="s">
        <v>44</v>
      </c>
      <c r="C26" s="1" t="s">
        <v>45</v>
      </c>
      <c r="D26" s="1" t="s">
        <v>19</v>
      </c>
      <c r="E26" s="1" t="s">
        <v>20</v>
      </c>
      <c r="F26" s="1" t="n">
        <v>12</v>
      </c>
      <c r="G26" s="1" t="s">
        <v>29</v>
      </c>
      <c r="H26" s="1" t="n">
        <v>0.1692</v>
      </c>
      <c r="I26" s="1" t="n">
        <v>0.262335327294035</v>
      </c>
      <c r="J26" s="1" t="n">
        <v>0.319118178786505</v>
      </c>
      <c r="K26" s="1" t="n">
        <f aca="false">J26-I26</f>
        <v>0.05678285149247</v>
      </c>
      <c r="L26" s="1" t="n">
        <v>0.758449701833791</v>
      </c>
    </row>
    <row r="27" customFormat="false" ht="15" hidden="false" customHeight="false" outlineLevel="0" collapsed="false">
      <c r="A27" s="1" t="s">
        <v>43</v>
      </c>
      <c r="B27" s="1" t="s">
        <v>44</v>
      </c>
      <c r="C27" s="1" t="s">
        <v>45</v>
      </c>
      <c r="D27" s="1" t="s">
        <v>19</v>
      </c>
      <c r="E27" s="1" t="s">
        <v>20</v>
      </c>
      <c r="F27" s="1" t="n">
        <v>12</v>
      </c>
      <c r="G27" s="1" t="s">
        <v>32</v>
      </c>
      <c r="H27" s="1" t="n">
        <v>0.168</v>
      </c>
      <c r="I27" s="1" t="n">
        <v>0.260438673873454</v>
      </c>
      <c r="J27" s="1" t="n">
        <v>0.322105597325042</v>
      </c>
      <c r="K27" s="1" t="n">
        <f aca="false">J27-I27</f>
        <v>0.061666923451588</v>
      </c>
      <c r="L27" s="1" t="n">
        <v>0.758449701833791</v>
      </c>
    </row>
    <row r="28" customFormat="false" ht="15" hidden="false" customHeight="false" outlineLevel="0" collapsed="false">
      <c r="A28" s="1" t="s">
        <v>43</v>
      </c>
      <c r="B28" s="1" t="s">
        <v>44</v>
      </c>
      <c r="C28" s="1" t="s">
        <v>45</v>
      </c>
      <c r="D28" s="1" t="s">
        <v>19</v>
      </c>
      <c r="E28" s="1" t="s">
        <v>20</v>
      </c>
      <c r="F28" s="1" t="n">
        <v>12</v>
      </c>
      <c r="G28" s="1" t="s">
        <v>21</v>
      </c>
      <c r="H28" s="1" t="n">
        <v>0.1</v>
      </c>
      <c r="I28" s="1" t="n">
        <v>0.230887538546311</v>
      </c>
      <c r="J28" s="1" t="n">
        <v>0.272899976585489</v>
      </c>
      <c r="K28" s="1" t="n">
        <f aca="false">J28-I28</f>
        <v>0.042012438039178</v>
      </c>
      <c r="L28" s="1" t="n">
        <v>0.758449701833791</v>
      </c>
    </row>
    <row r="29" customFormat="false" ht="15" hidden="false" customHeight="false" outlineLevel="0" collapsed="false">
      <c r="A29" s="1" t="s">
        <v>47</v>
      </c>
      <c r="B29" s="1" t="s">
        <v>48</v>
      </c>
      <c r="C29" s="1" t="s">
        <v>49</v>
      </c>
      <c r="D29" s="1" t="s">
        <v>19</v>
      </c>
      <c r="E29" s="1" t="s">
        <v>20</v>
      </c>
      <c r="F29" s="1" t="n">
        <v>14</v>
      </c>
      <c r="G29" s="1" t="s">
        <v>31</v>
      </c>
      <c r="H29" s="1" t="n">
        <v>0.1884</v>
      </c>
      <c r="I29" s="1" t="n">
        <v>0.251643098815234</v>
      </c>
      <c r="J29" s="1" t="n">
        <v>0.223839343261399</v>
      </c>
      <c r="K29" s="1" t="n">
        <f aca="false">J29-I29</f>
        <v>-0.027803755553835</v>
      </c>
      <c r="L29" s="1" t="n">
        <v>0.705275325567815</v>
      </c>
    </row>
    <row r="30" customFormat="false" ht="15" hidden="false" customHeight="false" outlineLevel="0" collapsed="false">
      <c r="A30" s="1" t="s">
        <v>47</v>
      </c>
      <c r="B30" s="1" t="s">
        <v>48</v>
      </c>
      <c r="C30" s="1" t="s">
        <v>49</v>
      </c>
      <c r="D30" s="1" t="s">
        <v>19</v>
      </c>
      <c r="E30" s="1" t="s">
        <v>20</v>
      </c>
      <c r="F30" s="1" t="n">
        <v>14</v>
      </c>
      <c r="G30" s="1" t="s">
        <v>32</v>
      </c>
      <c r="H30" s="1" t="n">
        <v>0.181</v>
      </c>
      <c r="I30" s="1" t="n">
        <v>0.241797340144448</v>
      </c>
      <c r="J30" s="1" t="n">
        <v>0.213822397209094</v>
      </c>
      <c r="K30" s="1" t="n">
        <f aca="false">J30-I30</f>
        <v>-0.027974942935354</v>
      </c>
      <c r="L30" s="1" t="n">
        <v>0.705275325567815</v>
      </c>
    </row>
    <row r="31" customFormat="false" ht="15" hidden="false" customHeight="false" outlineLevel="0" collapsed="false">
      <c r="A31" s="1" t="s">
        <v>47</v>
      </c>
      <c r="B31" s="1" t="s">
        <v>48</v>
      </c>
      <c r="C31" s="1" t="s">
        <v>49</v>
      </c>
      <c r="D31" s="1" t="s">
        <v>19</v>
      </c>
      <c r="E31" s="1" t="s">
        <v>20</v>
      </c>
      <c r="F31" s="1" t="n">
        <v>14</v>
      </c>
      <c r="G31" s="1" t="s">
        <v>30</v>
      </c>
      <c r="H31" s="1" t="n">
        <v>0.166</v>
      </c>
      <c r="I31" s="1" t="n">
        <v>0.221651657044266</v>
      </c>
      <c r="J31" s="1" t="n">
        <v>0.212906801376546</v>
      </c>
      <c r="K31" s="1" t="n">
        <f aca="false">J31-I31</f>
        <v>-0.00874485566772001</v>
      </c>
      <c r="L31" s="1" t="n">
        <v>0.705275325567815</v>
      </c>
    </row>
    <row r="32" customFormat="false" ht="15" hidden="false" customHeight="false" outlineLevel="0" collapsed="false">
      <c r="A32" s="1" t="s">
        <v>47</v>
      </c>
      <c r="B32" s="1" t="s">
        <v>48</v>
      </c>
      <c r="C32" s="1" t="s">
        <v>49</v>
      </c>
      <c r="D32" s="1" t="s">
        <v>19</v>
      </c>
      <c r="E32" s="1" t="s">
        <v>20</v>
      </c>
      <c r="F32" s="1" t="n">
        <v>14</v>
      </c>
      <c r="G32" s="1" t="s">
        <v>29</v>
      </c>
      <c r="H32" s="1" t="n">
        <v>0.1596</v>
      </c>
      <c r="I32" s="1" t="n">
        <v>0.213201395022228</v>
      </c>
      <c r="J32" s="1" t="n">
        <v>0.223579553104095</v>
      </c>
      <c r="K32" s="1" t="n">
        <f aca="false">J32-I32</f>
        <v>0.010378158081867</v>
      </c>
      <c r="L32" s="1" t="n">
        <v>0.705275325567815</v>
      </c>
    </row>
    <row r="33" customFormat="false" ht="15" hidden="false" customHeight="false" outlineLevel="0" collapsed="false">
      <c r="A33" s="1" t="s">
        <v>47</v>
      </c>
      <c r="B33" s="1" t="s">
        <v>48</v>
      </c>
      <c r="C33" s="1" t="s">
        <v>49</v>
      </c>
      <c r="D33" s="1" t="s">
        <v>19</v>
      </c>
      <c r="E33" s="1" t="s">
        <v>20</v>
      </c>
      <c r="F33" s="1" t="n">
        <v>14</v>
      </c>
      <c r="G33" s="1" t="s">
        <v>46</v>
      </c>
      <c r="H33" s="1" t="n">
        <v>0.1531</v>
      </c>
      <c r="I33" s="1" t="n">
        <v>0.204538467470078</v>
      </c>
      <c r="J33" s="1" t="n">
        <v>0.236679404155228</v>
      </c>
      <c r="K33" s="1" t="n">
        <f aca="false">J33-I33</f>
        <v>0.03214093668515</v>
      </c>
      <c r="L33" s="1" t="n">
        <v>0.705275325567815</v>
      </c>
    </row>
    <row r="34" customFormat="false" ht="15" hidden="false" customHeight="false" outlineLevel="0" collapsed="false">
      <c r="A34" s="1" t="s">
        <v>47</v>
      </c>
      <c r="B34" s="1" t="s">
        <v>48</v>
      </c>
      <c r="C34" s="1" t="s">
        <v>49</v>
      </c>
      <c r="D34" s="1" t="s">
        <v>19</v>
      </c>
      <c r="E34" s="1" t="s">
        <v>20</v>
      </c>
      <c r="F34" s="1" t="n">
        <v>14</v>
      </c>
      <c r="G34" s="1" t="s">
        <v>21</v>
      </c>
      <c r="H34" s="1" t="n">
        <v>0.1518</v>
      </c>
      <c r="I34" s="1" t="n">
        <v>0.20274135842501</v>
      </c>
      <c r="J34" s="1" t="n">
        <v>0.221850601677188</v>
      </c>
      <c r="K34" s="1" t="n">
        <f aca="false">J34-I34</f>
        <v>0.019109243252178</v>
      </c>
      <c r="L34" s="1" t="n">
        <v>0.705275325567815</v>
      </c>
    </row>
    <row r="35" customFormat="false" ht="15" hidden="false" customHeight="false" outlineLevel="0" collapsed="false">
      <c r="A35" s="1" t="s">
        <v>50</v>
      </c>
      <c r="B35" s="1" t="s">
        <v>51</v>
      </c>
      <c r="C35" s="1" t="s">
        <v>52</v>
      </c>
      <c r="D35" s="1" t="s">
        <v>19</v>
      </c>
      <c r="E35" s="1" t="s">
        <v>20</v>
      </c>
      <c r="F35" s="1" t="n">
        <v>16</v>
      </c>
      <c r="G35" s="1" t="s">
        <v>21</v>
      </c>
      <c r="H35" s="1" t="n">
        <v>0.1</v>
      </c>
      <c r="I35" s="1" t="n">
        <v>0.102377025260787</v>
      </c>
      <c r="J35" s="1" t="n">
        <v>0.210248165024376</v>
      </c>
      <c r="K35" s="1" t="n">
        <f aca="false">J35-I35</f>
        <v>0.107871139763589</v>
      </c>
      <c r="L35" s="1" t="n">
        <v>0.638110457472859</v>
      </c>
    </row>
    <row r="36" customFormat="false" ht="15" hidden="false" customHeight="false" outlineLevel="0" collapsed="false">
      <c r="A36" s="1" t="s">
        <v>53</v>
      </c>
      <c r="B36" s="1" t="s">
        <v>54</v>
      </c>
      <c r="C36" s="1" t="s">
        <v>55</v>
      </c>
      <c r="D36" s="1" t="s">
        <v>19</v>
      </c>
      <c r="E36" s="1" t="s">
        <v>20</v>
      </c>
      <c r="F36" s="1" t="n">
        <v>18</v>
      </c>
      <c r="G36" s="1" t="s">
        <v>29</v>
      </c>
      <c r="H36" s="1" t="n">
        <v>0.1963</v>
      </c>
      <c r="I36" s="1" t="n">
        <v>0.315891290416023</v>
      </c>
      <c r="J36" s="1" t="n">
        <v>0.314496259962618</v>
      </c>
      <c r="K36" s="1" t="n">
        <f aca="false">J36-I36</f>
        <v>-0.001395030453405</v>
      </c>
      <c r="L36" s="1" t="n">
        <v>0.718916919696981</v>
      </c>
    </row>
    <row r="37" customFormat="false" ht="15" hidden="false" customHeight="false" outlineLevel="0" collapsed="false">
      <c r="A37" s="1" t="s">
        <v>53</v>
      </c>
      <c r="B37" s="1" t="s">
        <v>54</v>
      </c>
      <c r="C37" s="1" t="s">
        <v>55</v>
      </c>
      <c r="D37" s="1" t="s">
        <v>19</v>
      </c>
      <c r="E37" s="1" t="s">
        <v>20</v>
      </c>
      <c r="F37" s="1" t="n">
        <v>18</v>
      </c>
      <c r="G37" s="1" t="s">
        <v>31</v>
      </c>
      <c r="H37" s="1" t="n">
        <v>0.169</v>
      </c>
      <c r="I37" s="1" t="n">
        <v>0.271941828279241</v>
      </c>
      <c r="J37" s="1" t="n">
        <v>0.324342580827047</v>
      </c>
      <c r="K37" s="1" t="n">
        <f aca="false">J37-I37</f>
        <v>0.052400752547806</v>
      </c>
      <c r="L37" s="1" t="n">
        <v>0.718916919696981</v>
      </c>
    </row>
    <row r="38" customFormat="false" ht="15" hidden="false" customHeight="false" outlineLevel="0" collapsed="false">
      <c r="A38" s="1" t="s">
        <v>53</v>
      </c>
      <c r="B38" s="1" t="s">
        <v>54</v>
      </c>
      <c r="C38" s="1" t="s">
        <v>55</v>
      </c>
      <c r="D38" s="1" t="s">
        <v>19</v>
      </c>
      <c r="E38" s="1" t="s">
        <v>20</v>
      </c>
      <c r="F38" s="1" t="n">
        <v>18</v>
      </c>
      <c r="G38" s="1" t="s">
        <v>39</v>
      </c>
      <c r="H38" s="1" t="n">
        <v>0.1671</v>
      </c>
      <c r="I38" s="1" t="n">
        <v>0.268843109655355</v>
      </c>
      <c r="J38" s="1" t="n">
        <v>0.311253390189111</v>
      </c>
      <c r="K38" s="1" t="n">
        <f aca="false">J38-I38</f>
        <v>0.042410280533756</v>
      </c>
      <c r="L38" s="1" t="n">
        <v>0.718916919696981</v>
      </c>
    </row>
    <row r="39" customFormat="false" ht="15" hidden="false" customHeight="false" outlineLevel="0" collapsed="false">
      <c r="A39" s="1" t="s">
        <v>53</v>
      </c>
      <c r="B39" s="1" t="s">
        <v>54</v>
      </c>
      <c r="C39" s="1" t="s">
        <v>55</v>
      </c>
      <c r="D39" s="1" t="s">
        <v>19</v>
      </c>
      <c r="E39" s="1" t="s">
        <v>20</v>
      </c>
      <c r="F39" s="1" t="n">
        <v>18</v>
      </c>
      <c r="G39" s="1" t="s">
        <v>28</v>
      </c>
      <c r="H39" s="1" t="n">
        <v>0.1598</v>
      </c>
      <c r="I39" s="1" t="n">
        <v>0.257097935560011</v>
      </c>
      <c r="J39" s="1" t="n">
        <v>0.30995448376745</v>
      </c>
      <c r="K39" s="1" t="n">
        <f aca="false">J39-I39</f>
        <v>0.052856548207439</v>
      </c>
      <c r="L39" s="1" t="n">
        <v>0.718916919696981</v>
      </c>
    </row>
    <row r="40" customFormat="false" ht="15" hidden="false" customHeight="false" outlineLevel="0" collapsed="false">
      <c r="A40" s="1" t="s">
        <v>53</v>
      </c>
      <c r="B40" s="1" t="s">
        <v>54</v>
      </c>
      <c r="C40" s="1" t="s">
        <v>55</v>
      </c>
      <c r="D40" s="1" t="s">
        <v>19</v>
      </c>
      <c r="E40" s="1" t="s">
        <v>20</v>
      </c>
      <c r="F40" s="1" t="n">
        <v>18</v>
      </c>
      <c r="G40" s="1" t="s">
        <v>46</v>
      </c>
      <c r="H40" s="1" t="n">
        <v>0.1552</v>
      </c>
      <c r="I40" s="1" t="n">
        <v>0.249684006123909</v>
      </c>
      <c r="J40" s="1" t="n">
        <v>0.312559636680903</v>
      </c>
      <c r="K40" s="1" t="n">
        <f aca="false">J40-I40</f>
        <v>0.062875630556994</v>
      </c>
      <c r="L40" s="1" t="n">
        <v>0.718916919696981</v>
      </c>
    </row>
    <row r="41" customFormat="false" ht="15" hidden="false" customHeight="false" outlineLevel="0" collapsed="false">
      <c r="A41" s="1" t="s">
        <v>53</v>
      </c>
      <c r="B41" s="1" t="s">
        <v>54</v>
      </c>
      <c r="C41" s="1" t="s">
        <v>55</v>
      </c>
      <c r="D41" s="1" t="s">
        <v>19</v>
      </c>
      <c r="E41" s="1" t="s">
        <v>20</v>
      </c>
      <c r="F41" s="1" t="n">
        <v>18</v>
      </c>
      <c r="G41" s="1" t="s">
        <v>21</v>
      </c>
      <c r="H41" s="1" t="n">
        <v>0.1527</v>
      </c>
      <c r="I41" s="1" t="n">
        <v>0.245705891860016</v>
      </c>
      <c r="J41" s="1" t="n">
        <v>0.267747957144539</v>
      </c>
      <c r="K41" s="1" t="n">
        <f aca="false">J41-I41</f>
        <v>0.022042065284523</v>
      </c>
      <c r="L41" s="1" t="n">
        <v>0.718916919696981</v>
      </c>
    </row>
    <row r="42" customFormat="false" ht="15" hidden="false" customHeight="false" outlineLevel="0" collapsed="false">
      <c r="A42" s="1" t="s">
        <v>56</v>
      </c>
      <c r="B42" s="1" t="s">
        <v>57</v>
      </c>
      <c r="C42" s="1" t="s">
        <v>58</v>
      </c>
      <c r="D42" s="1" t="s">
        <v>19</v>
      </c>
      <c r="E42" s="1" t="s">
        <v>20</v>
      </c>
      <c r="F42" s="1" t="n">
        <v>20</v>
      </c>
      <c r="G42" s="1" t="s">
        <v>46</v>
      </c>
      <c r="H42" s="1" t="n">
        <v>0.1911</v>
      </c>
      <c r="I42" s="1" t="n">
        <v>0.278451679015829</v>
      </c>
      <c r="J42" s="1" t="n">
        <v>0.348284417074447</v>
      </c>
      <c r="K42" s="1" t="n">
        <f aca="false">J42-I42</f>
        <v>0.069832738058618</v>
      </c>
      <c r="L42" s="1" t="n">
        <v>0.760910644452133</v>
      </c>
    </row>
    <row r="43" customFormat="false" ht="15" hidden="false" customHeight="false" outlineLevel="0" collapsed="false">
      <c r="A43" s="1" t="s">
        <v>56</v>
      </c>
      <c r="B43" s="1" t="s">
        <v>57</v>
      </c>
      <c r="C43" s="1" t="s">
        <v>58</v>
      </c>
      <c r="D43" s="1" t="s">
        <v>19</v>
      </c>
      <c r="E43" s="1" t="s">
        <v>20</v>
      </c>
      <c r="F43" s="1" t="n">
        <v>20</v>
      </c>
      <c r="G43" s="1" t="s">
        <v>29</v>
      </c>
      <c r="H43" s="1" t="n">
        <v>0.1823</v>
      </c>
      <c r="I43" s="1" t="n">
        <v>0.265623216376725</v>
      </c>
      <c r="J43" s="1" t="n">
        <v>0.337667557329387</v>
      </c>
      <c r="K43" s="1" t="n">
        <f aca="false">J43-I43</f>
        <v>0.072044340952662</v>
      </c>
      <c r="L43" s="1" t="n">
        <v>0.760910644452133</v>
      </c>
    </row>
    <row r="44" customFormat="false" ht="15" hidden="false" customHeight="false" outlineLevel="0" collapsed="false">
      <c r="A44" s="1" t="s">
        <v>56</v>
      </c>
      <c r="B44" s="1" t="s">
        <v>57</v>
      </c>
      <c r="C44" s="1" t="s">
        <v>58</v>
      </c>
      <c r="D44" s="1" t="s">
        <v>19</v>
      </c>
      <c r="E44" s="1" t="s">
        <v>20</v>
      </c>
      <c r="F44" s="1" t="n">
        <v>20</v>
      </c>
      <c r="G44" s="1" t="s">
        <v>28</v>
      </c>
      <c r="H44" s="1" t="n">
        <v>0.1813</v>
      </c>
      <c r="I44" s="1" t="n">
        <v>0.264160439986242</v>
      </c>
      <c r="J44" s="1" t="n">
        <v>0.289277891786627</v>
      </c>
      <c r="K44" s="1" t="n">
        <f aca="false">J44-I44</f>
        <v>0.025117451800385</v>
      </c>
      <c r="L44" s="1" t="n">
        <v>0.760910644452133</v>
      </c>
    </row>
    <row r="45" customFormat="false" ht="15" hidden="false" customHeight="false" outlineLevel="0" collapsed="false">
      <c r="A45" s="1" t="s">
        <v>56</v>
      </c>
      <c r="B45" s="1" t="s">
        <v>57</v>
      </c>
      <c r="C45" s="1" t="s">
        <v>58</v>
      </c>
      <c r="D45" s="1" t="s">
        <v>19</v>
      </c>
      <c r="E45" s="1" t="s">
        <v>20</v>
      </c>
      <c r="F45" s="1" t="n">
        <v>20</v>
      </c>
      <c r="G45" s="1" t="s">
        <v>31</v>
      </c>
      <c r="H45" s="1" t="n">
        <v>0.179</v>
      </c>
      <c r="I45" s="1" t="n">
        <v>0.260781319741393</v>
      </c>
      <c r="J45" s="1" t="n">
        <v>0.281298030434685</v>
      </c>
      <c r="K45" s="1" t="n">
        <f aca="false">J45-I45</f>
        <v>0.020516710693292</v>
      </c>
      <c r="L45" s="1" t="n">
        <v>0.760910644452133</v>
      </c>
    </row>
    <row r="46" customFormat="false" ht="15" hidden="false" customHeight="false" outlineLevel="0" collapsed="false">
      <c r="A46" s="1" t="s">
        <v>56</v>
      </c>
      <c r="B46" s="1" t="s">
        <v>57</v>
      </c>
      <c r="C46" s="1" t="s">
        <v>58</v>
      </c>
      <c r="D46" s="1" t="s">
        <v>19</v>
      </c>
      <c r="E46" s="1" t="s">
        <v>20</v>
      </c>
      <c r="F46" s="1" t="n">
        <v>20</v>
      </c>
      <c r="G46" s="1" t="s">
        <v>39</v>
      </c>
      <c r="H46" s="1" t="n">
        <v>0.1663</v>
      </c>
      <c r="I46" s="1" t="n">
        <v>0.242215399557939</v>
      </c>
      <c r="J46" s="1" t="n">
        <v>0.291992406907799</v>
      </c>
      <c r="K46" s="1" t="n">
        <f aca="false">J46-I46</f>
        <v>0.04977700734986</v>
      </c>
      <c r="L46" s="1" t="n">
        <v>0.760910644452133</v>
      </c>
    </row>
    <row r="47" customFormat="false" ht="15" hidden="false" customHeight="false" outlineLevel="0" collapsed="false">
      <c r="A47" s="1" t="s">
        <v>56</v>
      </c>
      <c r="B47" s="1" t="s">
        <v>57</v>
      </c>
      <c r="C47" s="1" t="s">
        <v>58</v>
      </c>
      <c r="D47" s="1" t="s">
        <v>19</v>
      </c>
      <c r="E47" s="1" t="s">
        <v>20</v>
      </c>
      <c r="F47" s="1" t="n">
        <v>20</v>
      </c>
      <c r="G47" s="1" t="s">
        <v>21</v>
      </c>
      <c r="H47" s="1" t="n">
        <v>0.1</v>
      </c>
      <c r="I47" s="1" t="n">
        <v>0.201702653927903</v>
      </c>
      <c r="J47" s="1" t="n">
        <v>0.305267570383641</v>
      </c>
      <c r="K47" s="1" t="n">
        <f aca="false">J47-I47</f>
        <v>0.103564916455738</v>
      </c>
      <c r="L47" s="1" t="n">
        <v>0.760910644452133</v>
      </c>
    </row>
    <row r="48" customFormat="false" ht="15" hidden="false" customHeight="false" outlineLevel="0" collapsed="false">
      <c r="A48" s="1" t="s">
        <v>59</v>
      </c>
      <c r="B48" s="1" t="s">
        <v>60</v>
      </c>
      <c r="C48" s="1" t="s">
        <v>61</v>
      </c>
      <c r="D48" s="1" t="s">
        <v>19</v>
      </c>
      <c r="E48" s="1" t="s">
        <v>20</v>
      </c>
      <c r="F48" s="1" t="n">
        <v>22</v>
      </c>
      <c r="G48" s="1" t="s">
        <v>46</v>
      </c>
      <c r="H48" s="1" t="n">
        <v>0.1833</v>
      </c>
      <c r="I48" s="1" t="n">
        <v>0.290142375201884</v>
      </c>
      <c r="J48" s="1" t="n">
        <v>0.346942085145399</v>
      </c>
      <c r="K48" s="1" t="n">
        <f aca="false">J48-I48</f>
        <v>0.056799709943515</v>
      </c>
      <c r="L48" s="1" t="n">
        <v>0.812780603575516</v>
      </c>
    </row>
    <row r="49" customFormat="false" ht="15" hidden="false" customHeight="false" outlineLevel="0" collapsed="false">
      <c r="A49" s="1" t="s">
        <v>59</v>
      </c>
      <c r="B49" s="1" t="s">
        <v>60</v>
      </c>
      <c r="C49" s="1" t="s">
        <v>61</v>
      </c>
      <c r="D49" s="1" t="s">
        <v>19</v>
      </c>
      <c r="E49" s="1" t="s">
        <v>20</v>
      </c>
      <c r="F49" s="1" t="n">
        <v>22</v>
      </c>
      <c r="G49" s="1" t="s">
        <v>21</v>
      </c>
      <c r="H49" s="1" t="n">
        <v>0.1712</v>
      </c>
      <c r="I49" s="1" t="n">
        <v>0.27088457349835</v>
      </c>
      <c r="J49" s="1" t="n">
        <v>0.309640127829815</v>
      </c>
      <c r="K49" s="1" t="n">
        <f aca="false">J49-I49</f>
        <v>0.038755554331465</v>
      </c>
      <c r="L49" s="1" t="n">
        <v>0.812780603575516</v>
      </c>
    </row>
    <row r="50" customFormat="false" ht="15" hidden="false" customHeight="false" outlineLevel="0" collapsed="false">
      <c r="A50" s="1" t="s">
        <v>59</v>
      </c>
      <c r="B50" s="1" t="s">
        <v>60</v>
      </c>
      <c r="C50" s="1" t="s">
        <v>61</v>
      </c>
      <c r="D50" s="1" t="s">
        <v>19</v>
      </c>
      <c r="E50" s="1" t="s">
        <v>20</v>
      </c>
      <c r="F50" s="1" t="n">
        <v>22</v>
      </c>
      <c r="G50" s="1" t="s">
        <v>30</v>
      </c>
      <c r="H50" s="1" t="n">
        <v>0.1681</v>
      </c>
      <c r="I50" s="1" t="n">
        <v>0.266107510057663</v>
      </c>
      <c r="J50" s="1" t="n">
        <v>0.326028558368598</v>
      </c>
      <c r="K50" s="1" t="n">
        <f aca="false">J50-I50</f>
        <v>0.059921048310935</v>
      </c>
      <c r="L50" s="1" t="n">
        <v>0.812780603575516</v>
      </c>
    </row>
    <row r="51" customFormat="false" ht="15" hidden="false" customHeight="false" outlineLevel="0" collapsed="false">
      <c r="A51" s="1" t="s">
        <v>59</v>
      </c>
      <c r="B51" s="1" t="s">
        <v>60</v>
      </c>
      <c r="C51" s="1" t="s">
        <v>61</v>
      </c>
      <c r="D51" s="1" t="s">
        <v>19</v>
      </c>
      <c r="E51" s="1" t="s">
        <v>20</v>
      </c>
      <c r="F51" s="1" t="n">
        <v>22</v>
      </c>
      <c r="G51" s="1" t="s">
        <v>28</v>
      </c>
      <c r="H51" s="1" t="n">
        <v>0.165</v>
      </c>
      <c r="I51" s="1" t="n">
        <v>0.261071812439598</v>
      </c>
      <c r="J51" s="1" t="n">
        <v>0.320036741675903</v>
      </c>
      <c r="K51" s="1" t="n">
        <f aca="false">J51-I51</f>
        <v>0.058964929236305</v>
      </c>
      <c r="L51" s="1" t="n">
        <v>0.812780603575516</v>
      </c>
    </row>
    <row r="52" customFormat="false" ht="15" hidden="false" customHeight="false" outlineLevel="0" collapsed="false">
      <c r="A52" s="1" t="s">
        <v>59</v>
      </c>
      <c r="B52" s="1" t="s">
        <v>60</v>
      </c>
      <c r="C52" s="1" t="s">
        <v>61</v>
      </c>
      <c r="D52" s="1" t="s">
        <v>19</v>
      </c>
      <c r="E52" s="1" t="s">
        <v>20</v>
      </c>
      <c r="F52" s="1" t="n">
        <v>22</v>
      </c>
      <c r="G52" s="1" t="s">
        <v>29</v>
      </c>
      <c r="H52" s="1" t="n">
        <v>0.1577</v>
      </c>
      <c r="I52" s="1" t="n">
        <v>0.249531236947227</v>
      </c>
      <c r="J52" s="1" t="n">
        <v>0.30866241538041</v>
      </c>
      <c r="K52" s="1" t="n">
        <f aca="false">J52-I52</f>
        <v>0.059131178433183</v>
      </c>
      <c r="L52" s="1" t="n">
        <v>0.812780603575516</v>
      </c>
    </row>
    <row r="53" customFormat="false" ht="15" hidden="false" customHeight="false" outlineLevel="0" collapsed="false">
      <c r="A53" s="1" t="s">
        <v>59</v>
      </c>
      <c r="B53" s="1" t="s">
        <v>60</v>
      </c>
      <c r="C53" s="1" t="s">
        <v>61</v>
      </c>
      <c r="D53" s="1" t="s">
        <v>19</v>
      </c>
      <c r="E53" s="1" t="s">
        <v>20</v>
      </c>
      <c r="F53" s="1" t="n">
        <v>22</v>
      </c>
      <c r="G53" s="1" t="s">
        <v>39</v>
      </c>
      <c r="H53" s="1" t="n">
        <v>0.1548</v>
      </c>
      <c r="I53" s="1" t="n">
        <v>0.244943770838414</v>
      </c>
      <c r="J53" s="1" t="n">
        <v>0.302301407664425</v>
      </c>
      <c r="K53" s="1" t="n">
        <f aca="false">J53-I53</f>
        <v>0.057357636826011</v>
      </c>
      <c r="L53" s="1" t="n">
        <v>0.812780603575516</v>
      </c>
    </row>
    <row r="54" customFormat="false" ht="15" hidden="false" customHeight="false" outlineLevel="0" collapsed="false">
      <c r="A54" s="1" t="s">
        <v>62</v>
      </c>
      <c r="B54" s="1" t="s">
        <v>63</v>
      </c>
      <c r="C54" s="1" t="s">
        <v>64</v>
      </c>
      <c r="D54" s="1" t="s">
        <v>19</v>
      </c>
      <c r="E54" s="1" t="s">
        <v>20</v>
      </c>
      <c r="F54" s="1" t="n">
        <v>24</v>
      </c>
      <c r="G54" s="1" t="s">
        <v>32</v>
      </c>
      <c r="H54" s="1" t="n">
        <v>0.1957</v>
      </c>
      <c r="I54" s="1" t="n">
        <v>0.327286165909134</v>
      </c>
      <c r="J54" s="1" t="n">
        <v>0.351351506264621</v>
      </c>
      <c r="K54" s="1" t="n">
        <f aca="false">J54-I54</f>
        <v>0.024065340355487</v>
      </c>
      <c r="L54" s="1" t="n">
        <v>0.721407571089307</v>
      </c>
    </row>
    <row r="55" customFormat="false" ht="15" hidden="false" customHeight="false" outlineLevel="0" collapsed="false">
      <c r="A55" s="1" t="s">
        <v>62</v>
      </c>
      <c r="B55" s="1" t="s">
        <v>63</v>
      </c>
      <c r="C55" s="1" t="s">
        <v>64</v>
      </c>
      <c r="D55" s="1" t="s">
        <v>19</v>
      </c>
      <c r="E55" s="1" t="s">
        <v>20</v>
      </c>
      <c r="F55" s="1" t="n">
        <v>24</v>
      </c>
      <c r="G55" s="1" t="s">
        <v>30</v>
      </c>
      <c r="H55" s="1" t="n">
        <v>0.1642</v>
      </c>
      <c r="I55" s="1" t="n">
        <v>0.274493558400348</v>
      </c>
      <c r="J55" s="1" t="n">
        <v>0.310206407972344</v>
      </c>
      <c r="K55" s="1" t="n">
        <f aca="false">J55-I55</f>
        <v>0.035712849571996</v>
      </c>
      <c r="L55" s="1" t="n">
        <v>0.721407571089307</v>
      </c>
    </row>
    <row r="56" customFormat="false" ht="15" hidden="false" customHeight="false" outlineLevel="0" collapsed="false">
      <c r="A56" s="1" t="s">
        <v>62</v>
      </c>
      <c r="B56" s="1" t="s">
        <v>63</v>
      </c>
      <c r="C56" s="1" t="s">
        <v>64</v>
      </c>
      <c r="D56" s="1" t="s">
        <v>19</v>
      </c>
      <c r="E56" s="1" t="s">
        <v>20</v>
      </c>
      <c r="F56" s="1" t="n">
        <v>24</v>
      </c>
      <c r="G56" s="1" t="s">
        <v>21</v>
      </c>
      <c r="H56" s="1" t="n">
        <v>0.1628</v>
      </c>
      <c r="I56" s="1" t="n">
        <v>0.272149136855062</v>
      </c>
      <c r="J56" s="1" t="n">
        <v>0.258512091296673</v>
      </c>
      <c r="K56" s="1" t="n">
        <f aca="false">J56-I56</f>
        <v>-0.013637045558389</v>
      </c>
      <c r="L56" s="1" t="n">
        <v>0.721407571089307</v>
      </c>
    </row>
    <row r="57" customFormat="false" ht="15" hidden="false" customHeight="false" outlineLevel="0" collapsed="false">
      <c r="A57" s="1" t="s">
        <v>62</v>
      </c>
      <c r="B57" s="1" t="s">
        <v>63</v>
      </c>
      <c r="C57" s="1" t="s">
        <v>64</v>
      </c>
      <c r="D57" s="1" t="s">
        <v>19</v>
      </c>
      <c r="E57" s="1" t="s">
        <v>20</v>
      </c>
      <c r="F57" s="1" t="n">
        <v>24</v>
      </c>
      <c r="G57" s="1" t="s">
        <v>28</v>
      </c>
      <c r="H57" s="1" t="n">
        <v>0.1625</v>
      </c>
      <c r="I57" s="1" t="n">
        <v>0.27177647901549</v>
      </c>
      <c r="J57" s="1" t="n">
        <v>0.357273255963292</v>
      </c>
      <c r="K57" s="1" t="n">
        <f aca="false">J57-I57</f>
        <v>0.085496776947802</v>
      </c>
      <c r="L57" s="1" t="n">
        <v>0.721407571089307</v>
      </c>
    </row>
    <row r="58" customFormat="false" ht="15" hidden="false" customHeight="false" outlineLevel="0" collapsed="false">
      <c r="A58" s="1" t="s">
        <v>62</v>
      </c>
      <c r="B58" s="1" t="s">
        <v>63</v>
      </c>
      <c r="C58" s="1" t="s">
        <v>64</v>
      </c>
      <c r="D58" s="1" t="s">
        <v>19</v>
      </c>
      <c r="E58" s="1" t="s">
        <v>20</v>
      </c>
      <c r="F58" s="1" t="n">
        <v>24</v>
      </c>
      <c r="G58" s="1" t="s">
        <v>46</v>
      </c>
      <c r="H58" s="1" t="n">
        <v>0.1613</v>
      </c>
      <c r="I58" s="1" t="n">
        <v>0.269676169114693</v>
      </c>
      <c r="J58" s="1" t="n">
        <v>0.331112946446397</v>
      </c>
      <c r="K58" s="1" t="n">
        <f aca="false">J58-I58</f>
        <v>0.061436777331704</v>
      </c>
      <c r="L58" s="1" t="n">
        <v>0.721407571089307</v>
      </c>
    </row>
    <row r="59" customFormat="false" ht="15" hidden="false" customHeight="false" outlineLevel="0" collapsed="false">
      <c r="A59" s="1" t="s">
        <v>62</v>
      </c>
      <c r="B59" s="1" t="s">
        <v>63</v>
      </c>
      <c r="C59" s="1" t="s">
        <v>64</v>
      </c>
      <c r="D59" s="1" t="s">
        <v>19</v>
      </c>
      <c r="E59" s="1" t="s">
        <v>20</v>
      </c>
      <c r="F59" s="1" t="n">
        <v>24</v>
      </c>
      <c r="G59" s="1" t="s">
        <v>31</v>
      </c>
      <c r="H59" s="1" t="n">
        <v>0.1536</v>
      </c>
      <c r="I59" s="1" t="n">
        <v>0.256766993842379</v>
      </c>
      <c r="J59" s="1" t="n">
        <v>0.345295845606046</v>
      </c>
      <c r="K59" s="1" t="n">
        <f aca="false">J59-I59</f>
        <v>0.088528851763667</v>
      </c>
      <c r="L59" s="1" t="n">
        <v>0.721407571089307</v>
      </c>
    </row>
    <row r="60" customFormat="false" ht="15" hidden="false" customHeight="false" outlineLevel="0" collapsed="false">
      <c r="A60" s="1" t="s">
        <v>65</v>
      </c>
      <c r="B60" s="1" t="s">
        <v>66</v>
      </c>
      <c r="C60" s="1" t="s">
        <v>67</v>
      </c>
      <c r="D60" s="1" t="s">
        <v>19</v>
      </c>
      <c r="E60" s="1" t="s">
        <v>20</v>
      </c>
      <c r="F60" s="1" t="n">
        <v>26</v>
      </c>
      <c r="G60" s="1" t="s">
        <v>28</v>
      </c>
      <c r="H60" s="1" t="n">
        <v>0.1979</v>
      </c>
      <c r="I60" s="1" t="n">
        <v>0.265832221087072</v>
      </c>
      <c r="J60" s="1" t="n">
        <v>0.332838008638158</v>
      </c>
      <c r="K60" s="1" t="n">
        <f aca="false">J60-I60</f>
        <v>0.067005787551086</v>
      </c>
      <c r="L60" s="1" t="n">
        <v>0.76471605795332</v>
      </c>
    </row>
    <row r="61" customFormat="false" ht="15" hidden="false" customHeight="false" outlineLevel="0" collapsed="false">
      <c r="A61" s="1" t="s">
        <v>65</v>
      </c>
      <c r="B61" s="1" t="s">
        <v>66</v>
      </c>
      <c r="C61" s="1" t="s">
        <v>67</v>
      </c>
      <c r="D61" s="1" t="s">
        <v>19</v>
      </c>
      <c r="E61" s="1" t="s">
        <v>20</v>
      </c>
      <c r="F61" s="1" t="n">
        <v>26</v>
      </c>
      <c r="G61" s="1" t="s">
        <v>29</v>
      </c>
      <c r="H61" s="1" t="n">
        <v>0.1972</v>
      </c>
      <c r="I61" s="1" t="n">
        <v>0.264887089059887</v>
      </c>
      <c r="J61" s="1" t="n">
        <v>0.321325530152023</v>
      </c>
      <c r="K61" s="1" t="n">
        <f aca="false">J61-I61</f>
        <v>0.056438441092136</v>
      </c>
      <c r="L61" s="1" t="n">
        <v>0.76471605795332</v>
      </c>
    </row>
    <row r="62" customFormat="false" ht="15" hidden="false" customHeight="false" outlineLevel="0" collapsed="false">
      <c r="A62" s="1" t="s">
        <v>65</v>
      </c>
      <c r="B62" s="1" t="s">
        <v>66</v>
      </c>
      <c r="C62" s="1" t="s">
        <v>67</v>
      </c>
      <c r="D62" s="1" t="s">
        <v>19</v>
      </c>
      <c r="E62" s="1" t="s">
        <v>20</v>
      </c>
      <c r="F62" s="1" t="n">
        <v>26</v>
      </c>
      <c r="G62" s="1" t="s">
        <v>31</v>
      </c>
      <c r="H62" s="1" t="n">
        <v>0.1689</v>
      </c>
      <c r="I62" s="1" t="n">
        <v>0.226811868421086</v>
      </c>
      <c r="J62" s="1" t="n">
        <v>0.300681525173526</v>
      </c>
      <c r="K62" s="1" t="n">
        <f aca="false">J62-I62</f>
        <v>0.07386965675244</v>
      </c>
      <c r="L62" s="1" t="n">
        <v>0.76471605795332</v>
      </c>
    </row>
    <row r="63" customFormat="false" ht="15" hidden="false" customHeight="false" outlineLevel="0" collapsed="false">
      <c r="A63" s="1" t="s">
        <v>65</v>
      </c>
      <c r="B63" s="1" t="s">
        <v>66</v>
      </c>
      <c r="C63" s="1" t="s">
        <v>67</v>
      </c>
      <c r="D63" s="1" t="s">
        <v>19</v>
      </c>
      <c r="E63" s="1" t="s">
        <v>20</v>
      </c>
      <c r="F63" s="1" t="n">
        <v>26</v>
      </c>
      <c r="G63" s="1" t="s">
        <v>30</v>
      </c>
      <c r="H63" s="1" t="n">
        <v>0.1684</v>
      </c>
      <c r="I63" s="1" t="n">
        <v>0.226230342516064</v>
      </c>
      <c r="J63" s="1" t="n">
        <v>0.279569026414717</v>
      </c>
      <c r="K63" s="1" t="n">
        <f aca="false">J63-I63</f>
        <v>0.053338683898653</v>
      </c>
      <c r="L63" s="1" t="n">
        <v>0.76471605795332</v>
      </c>
    </row>
    <row r="64" customFormat="false" ht="15" hidden="false" customHeight="false" outlineLevel="0" collapsed="false">
      <c r="A64" s="1" t="s">
        <v>65</v>
      </c>
      <c r="B64" s="1" t="s">
        <v>66</v>
      </c>
      <c r="C64" s="1" t="s">
        <v>67</v>
      </c>
      <c r="D64" s="1" t="s">
        <v>19</v>
      </c>
      <c r="E64" s="1" t="s">
        <v>20</v>
      </c>
      <c r="F64" s="1" t="n">
        <v>26</v>
      </c>
      <c r="G64" s="1" t="s">
        <v>32</v>
      </c>
      <c r="H64" s="1" t="n">
        <v>0.1676</v>
      </c>
      <c r="I64" s="1" t="n">
        <v>0.225155703638055</v>
      </c>
      <c r="J64" s="1" t="n">
        <v>0.248802187905079</v>
      </c>
      <c r="K64" s="1" t="n">
        <f aca="false">J64-I64</f>
        <v>0.023646484267024</v>
      </c>
      <c r="L64" s="1" t="n">
        <v>0.76471605795332</v>
      </c>
    </row>
    <row r="65" customFormat="false" ht="15" hidden="false" customHeight="false" outlineLevel="0" collapsed="false">
      <c r="A65" s="1" t="s">
        <v>65</v>
      </c>
      <c r="B65" s="1" t="s">
        <v>66</v>
      </c>
      <c r="C65" s="1" t="s">
        <v>67</v>
      </c>
      <c r="D65" s="1" t="s">
        <v>19</v>
      </c>
      <c r="E65" s="1" t="s">
        <v>20</v>
      </c>
      <c r="F65" s="1" t="n">
        <v>26</v>
      </c>
      <c r="G65" s="1" t="s">
        <v>21</v>
      </c>
      <c r="H65" s="1" t="n">
        <v>0.1</v>
      </c>
      <c r="I65" s="1" t="n">
        <v>0.164323988795476</v>
      </c>
      <c r="J65" s="1" t="n">
        <v>0.224971876533462</v>
      </c>
      <c r="K65" s="1" t="n">
        <f aca="false">J65-I65</f>
        <v>0.060647887737986</v>
      </c>
      <c r="L65" s="1" t="n">
        <v>0.76471605795332</v>
      </c>
    </row>
    <row r="66" customFormat="false" ht="15" hidden="false" customHeight="false" outlineLevel="0" collapsed="false">
      <c r="A66" s="1" t="s">
        <v>68</v>
      </c>
      <c r="B66" s="1" t="s">
        <v>69</v>
      </c>
      <c r="C66" s="1" t="s">
        <v>70</v>
      </c>
      <c r="D66" s="1" t="s">
        <v>19</v>
      </c>
      <c r="E66" s="1" t="s">
        <v>20</v>
      </c>
      <c r="F66" s="1" t="n">
        <v>28</v>
      </c>
      <c r="G66" s="1" t="s">
        <v>29</v>
      </c>
      <c r="H66" s="1" t="n">
        <v>0.1939</v>
      </c>
      <c r="I66" s="1" t="n">
        <v>0.335793583853096</v>
      </c>
      <c r="J66" s="1" t="n">
        <v>0.389409714038629</v>
      </c>
      <c r="K66" s="1" t="n">
        <f aca="false">J66-I66</f>
        <v>0.053616130185533</v>
      </c>
      <c r="L66" s="1" t="n">
        <v>0.711757961516188</v>
      </c>
    </row>
    <row r="67" customFormat="false" ht="15" hidden="false" customHeight="false" outlineLevel="0" collapsed="false">
      <c r="A67" s="1" t="s">
        <v>68</v>
      </c>
      <c r="B67" s="1" t="s">
        <v>69</v>
      </c>
      <c r="C67" s="1" t="s">
        <v>70</v>
      </c>
      <c r="D67" s="1" t="s">
        <v>19</v>
      </c>
      <c r="E67" s="1" t="s">
        <v>20</v>
      </c>
      <c r="F67" s="1" t="n">
        <v>28</v>
      </c>
      <c r="G67" s="1" t="s">
        <v>28</v>
      </c>
      <c r="H67" s="1" t="n">
        <v>0.1858</v>
      </c>
      <c r="I67" s="1" t="n">
        <v>0.321645588804168</v>
      </c>
      <c r="J67" s="1" t="n">
        <v>0.367693159983061</v>
      </c>
      <c r="K67" s="1" t="n">
        <f aca="false">J67-I67</f>
        <v>0.046047571178893</v>
      </c>
      <c r="L67" s="1" t="n">
        <v>0.711757961516188</v>
      </c>
    </row>
    <row r="68" customFormat="false" ht="15" hidden="false" customHeight="false" outlineLevel="0" collapsed="false">
      <c r="A68" s="1" t="s">
        <v>68</v>
      </c>
      <c r="B68" s="1" t="s">
        <v>69</v>
      </c>
      <c r="C68" s="1" t="s">
        <v>70</v>
      </c>
      <c r="D68" s="1" t="s">
        <v>19</v>
      </c>
      <c r="E68" s="1" t="s">
        <v>20</v>
      </c>
      <c r="F68" s="1" t="n">
        <v>28</v>
      </c>
      <c r="G68" s="1" t="s">
        <v>39</v>
      </c>
      <c r="H68" s="1" t="n">
        <v>0.1824</v>
      </c>
      <c r="I68" s="1" t="n">
        <v>0.315812953829341</v>
      </c>
      <c r="J68" s="1" t="n">
        <v>0.352136591371433</v>
      </c>
      <c r="K68" s="1" t="n">
        <f aca="false">J68-I68</f>
        <v>0.036323637542092</v>
      </c>
      <c r="L68" s="1" t="n">
        <v>0.711757961516188</v>
      </c>
    </row>
    <row r="69" customFormat="false" ht="15" hidden="false" customHeight="false" outlineLevel="0" collapsed="false">
      <c r="A69" s="1" t="s">
        <v>68</v>
      </c>
      <c r="B69" s="1" t="s">
        <v>69</v>
      </c>
      <c r="C69" s="1" t="s">
        <v>70</v>
      </c>
      <c r="D69" s="1" t="s">
        <v>19</v>
      </c>
      <c r="E69" s="1" t="s">
        <v>20</v>
      </c>
      <c r="F69" s="1" t="n">
        <v>28</v>
      </c>
      <c r="G69" s="1" t="s">
        <v>31</v>
      </c>
      <c r="H69" s="1" t="n">
        <v>0.1737</v>
      </c>
      <c r="I69" s="1" t="n">
        <v>0.300770338588993</v>
      </c>
      <c r="J69" s="1" t="n">
        <v>0.381319491362212</v>
      </c>
      <c r="K69" s="1" t="n">
        <f aca="false">J69-I69</f>
        <v>0.080549152773219</v>
      </c>
      <c r="L69" s="1" t="n">
        <v>0.711757961516188</v>
      </c>
    </row>
    <row r="70" customFormat="false" ht="15" hidden="false" customHeight="false" outlineLevel="0" collapsed="false">
      <c r="A70" s="1" t="s">
        <v>68</v>
      </c>
      <c r="B70" s="1" t="s">
        <v>69</v>
      </c>
      <c r="C70" s="1" t="s">
        <v>70</v>
      </c>
      <c r="D70" s="1" t="s">
        <v>19</v>
      </c>
      <c r="E70" s="1" t="s">
        <v>20</v>
      </c>
      <c r="F70" s="1" t="n">
        <v>28</v>
      </c>
      <c r="G70" s="1" t="s">
        <v>30</v>
      </c>
      <c r="H70" s="1" t="n">
        <v>0.1642</v>
      </c>
      <c r="I70" s="1" t="n">
        <v>0.28434658966569</v>
      </c>
      <c r="J70" s="1" t="n">
        <v>0.339890839687874</v>
      </c>
      <c r="K70" s="1" t="n">
        <f aca="false">J70-I70</f>
        <v>0.055544250022184</v>
      </c>
      <c r="L70" s="1" t="n">
        <v>0.711757961516188</v>
      </c>
    </row>
    <row r="71" customFormat="false" ht="15" hidden="false" customHeight="false" outlineLevel="0" collapsed="false">
      <c r="A71" s="1" t="s">
        <v>68</v>
      </c>
      <c r="B71" s="1" t="s">
        <v>69</v>
      </c>
      <c r="C71" s="1" t="s">
        <v>70</v>
      </c>
      <c r="D71" s="1" t="s">
        <v>19</v>
      </c>
      <c r="E71" s="1" t="s">
        <v>20</v>
      </c>
      <c r="F71" s="1" t="n">
        <v>28</v>
      </c>
      <c r="G71" s="1" t="s">
        <v>21</v>
      </c>
      <c r="H71" s="1" t="n">
        <v>0.1</v>
      </c>
      <c r="I71" s="1" t="n">
        <v>0.195508234410903</v>
      </c>
      <c r="J71" s="1" t="n">
        <v>0.266471657016526</v>
      </c>
      <c r="K71" s="1" t="n">
        <f aca="false">J71-I71</f>
        <v>0.070963422605623</v>
      </c>
      <c r="L71" s="1" t="n">
        <v>0.711757961516188</v>
      </c>
    </row>
    <row r="72" customFormat="false" ht="15" hidden="false" customHeight="false" outlineLevel="0" collapsed="false">
      <c r="A72" s="1" t="s">
        <v>71</v>
      </c>
      <c r="B72" s="1" t="s">
        <v>72</v>
      </c>
      <c r="C72" s="1" t="s">
        <v>73</v>
      </c>
      <c r="D72" s="1" t="s">
        <v>19</v>
      </c>
      <c r="E72" s="1" t="s">
        <v>20</v>
      </c>
      <c r="F72" s="1" t="n">
        <v>30</v>
      </c>
      <c r="G72" s="1" t="s">
        <v>29</v>
      </c>
      <c r="H72" s="1" t="n">
        <v>0.195</v>
      </c>
      <c r="I72" s="1" t="n">
        <v>0.289552873823292</v>
      </c>
      <c r="J72" s="1" t="n">
        <v>0.311903890895463</v>
      </c>
      <c r="K72" s="1" t="n">
        <f aca="false">J72-I72</f>
        <v>0.022351017072171</v>
      </c>
      <c r="L72" s="1" t="n">
        <v>0.636409131350562</v>
      </c>
    </row>
    <row r="73" customFormat="false" ht="15" hidden="false" customHeight="false" outlineLevel="0" collapsed="false">
      <c r="A73" s="1" t="s">
        <v>71</v>
      </c>
      <c r="B73" s="1" t="s">
        <v>72</v>
      </c>
      <c r="C73" s="1" t="s">
        <v>73</v>
      </c>
      <c r="D73" s="1" t="s">
        <v>19</v>
      </c>
      <c r="E73" s="1" t="s">
        <v>20</v>
      </c>
      <c r="F73" s="1" t="n">
        <v>30</v>
      </c>
      <c r="G73" s="1" t="s">
        <v>28</v>
      </c>
      <c r="H73" s="1" t="n">
        <v>0.186</v>
      </c>
      <c r="I73" s="1" t="n">
        <v>0.276135153099453</v>
      </c>
      <c r="J73" s="1" t="n">
        <v>0.304756204407687</v>
      </c>
      <c r="K73" s="1" t="n">
        <f aca="false">J73-I73</f>
        <v>0.028621051308234</v>
      </c>
      <c r="L73" s="1" t="n">
        <v>0.636409131350562</v>
      </c>
    </row>
    <row r="74" customFormat="false" ht="15" hidden="false" customHeight="false" outlineLevel="0" collapsed="false">
      <c r="A74" s="1" t="s">
        <v>71</v>
      </c>
      <c r="B74" s="1" t="s">
        <v>72</v>
      </c>
      <c r="C74" s="1" t="s">
        <v>73</v>
      </c>
      <c r="D74" s="1" t="s">
        <v>19</v>
      </c>
      <c r="E74" s="1" t="s">
        <v>20</v>
      </c>
      <c r="F74" s="1" t="n">
        <v>30</v>
      </c>
      <c r="G74" s="1" t="s">
        <v>31</v>
      </c>
      <c r="H74" s="1" t="n">
        <v>0.1844</v>
      </c>
      <c r="I74" s="1" t="n">
        <v>0.273833017620236</v>
      </c>
      <c r="J74" s="1" t="n">
        <v>0.285129687315484</v>
      </c>
      <c r="K74" s="1" t="n">
        <f aca="false">J74-I74</f>
        <v>0.011296669695248</v>
      </c>
      <c r="L74" s="1" t="n">
        <v>0.636409131350562</v>
      </c>
    </row>
    <row r="75" customFormat="false" ht="15" hidden="false" customHeight="false" outlineLevel="0" collapsed="false">
      <c r="A75" s="1" t="s">
        <v>71</v>
      </c>
      <c r="B75" s="1" t="s">
        <v>72</v>
      </c>
      <c r="C75" s="1" t="s">
        <v>73</v>
      </c>
      <c r="D75" s="1" t="s">
        <v>19</v>
      </c>
      <c r="E75" s="1" t="s">
        <v>20</v>
      </c>
      <c r="F75" s="1" t="n">
        <v>30</v>
      </c>
      <c r="G75" s="1" t="s">
        <v>30</v>
      </c>
      <c r="H75" s="1" t="n">
        <v>0.174</v>
      </c>
      <c r="I75" s="1" t="n">
        <v>0.258367858925841</v>
      </c>
      <c r="J75" s="1" t="n">
        <v>0.27748582540214</v>
      </c>
      <c r="K75" s="1" t="n">
        <f aca="false">J75-I75</f>
        <v>0.019117966476299</v>
      </c>
      <c r="L75" s="1" t="n">
        <v>0.636409131350562</v>
      </c>
    </row>
    <row r="76" customFormat="false" ht="15" hidden="false" customHeight="false" outlineLevel="0" collapsed="false">
      <c r="A76" s="1" t="s">
        <v>71</v>
      </c>
      <c r="B76" s="1" t="s">
        <v>72</v>
      </c>
      <c r="C76" s="1" t="s">
        <v>73</v>
      </c>
      <c r="D76" s="1" t="s">
        <v>19</v>
      </c>
      <c r="E76" s="1" t="s">
        <v>20</v>
      </c>
      <c r="F76" s="1" t="n">
        <v>30</v>
      </c>
      <c r="G76" s="1" t="s">
        <v>39</v>
      </c>
      <c r="H76" s="1" t="n">
        <v>0.1606</v>
      </c>
      <c r="I76" s="1" t="n">
        <v>0.238520563294859</v>
      </c>
      <c r="J76" s="1" t="n">
        <v>0.284845014776955</v>
      </c>
      <c r="K76" s="1" t="n">
        <f aca="false">J76-I76</f>
        <v>0.046324451482096</v>
      </c>
      <c r="L76" s="1" t="n">
        <v>0.636409131350562</v>
      </c>
    </row>
    <row r="77" customFormat="false" ht="15" hidden="false" customHeight="false" outlineLevel="0" collapsed="false">
      <c r="A77" s="1" t="s">
        <v>71</v>
      </c>
      <c r="B77" s="1" t="s">
        <v>72</v>
      </c>
      <c r="C77" s="1" t="s">
        <v>73</v>
      </c>
      <c r="D77" s="1" t="s">
        <v>19</v>
      </c>
      <c r="E77" s="1" t="s">
        <v>20</v>
      </c>
      <c r="F77" s="1" t="n">
        <v>30</v>
      </c>
      <c r="G77" s="1" t="s">
        <v>21</v>
      </c>
      <c r="H77" s="1" t="n">
        <v>0.1</v>
      </c>
      <c r="I77" s="1" t="n">
        <v>0.173439288523336</v>
      </c>
      <c r="J77" s="1" t="n">
        <v>0.231694236640037</v>
      </c>
      <c r="K77" s="1" t="n">
        <f aca="false">J77-I77</f>
        <v>0.058254948116701</v>
      </c>
      <c r="L77" s="1" t="n">
        <v>0.636409131350562</v>
      </c>
    </row>
    <row r="78" customFormat="false" ht="15" hidden="false" customHeight="false" outlineLevel="0" collapsed="false">
      <c r="A78" s="1" t="s">
        <v>74</v>
      </c>
      <c r="B78" s="1" t="s">
        <v>75</v>
      </c>
      <c r="C78" s="1" t="s">
        <v>76</v>
      </c>
      <c r="D78" s="1" t="s">
        <v>19</v>
      </c>
      <c r="E78" s="1" t="s">
        <v>20</v>
      </c>
      <c r="F78" s="1" t="n">
        <v>32</v>
      </c>
      <c r="G78" s="1" t="s">
        <v>29</v>
      </c>
      <c r="H78" s="1" t="n">
        <v>0.1928</v>
      </c>
      <c r="I78" s="1" t="n">
        <v>0.23983715938116</v>
      </c>
      <c r="J78" s="1" t="n">
        <v>0.332237278767016</v>
      </c>
      <c r="K78" s="1" t="n">
        <f aca="false">J78-I78</f>
        <v>0.092400119385856</v>
      </c>
      <c r="L78" s="1" t="n">
        <v>0.760684614350216</v>
      </c>
    </row>
    <row r="79" customFormat="false" ht="15" hidden="false" customHeight="false" outlineLevel="0" collapsed="false">
      <c r="A79" s="1" t="s">
        <v>74</v>
      </c>
      <c r="B79" s="1" t="s">
        <v>75</v>
      </c>
      <c r="C79" s="1" t="s">
        <v>76</v>
      </c>
      <c r="D79" s="1" t="s">
        <v>19</v>
      </c>
      <c r="E79" s="1" t="s">
        <v>20</v>
      </c>
      <c r="F79" s="1" t="n">
        <v>32</v>
      </c>
      <c r="G79" s="1" t="s">
        <v>28</v>
      </c>
      <c r="H79" s="1" t="n">
        <v>0.1794</v>
      </c>
      <c r="I79" s="1" t="n">
        <v>0.223175424532888</v>
      </c>
      <c r="J79" s="1" t="n">
        <v>0.302812118741045</v>
      </c>
      <c r="K79" s="1" t="n">
        <f aca="false">J79-I79</f>
        <v>0.079636694208157</v>
      </c>
      <c r="L79" s="1" t="n">
        <v>0.760684614350216</v>
      </c>
    </row>
    <row r="80" customFormat="false" ht="15" hidden="false" customHeight="false" outlineLevel="0" collapsed="false">
      <c r="A80" s="1" t="s">
        <v>74</v>
      </c>
      <c r="B80" s="1" t="s">
        <v>75</v>
      </c>
      <c r="C80" s="1" t="s">
        <v>76</v>
      </c>
      <c r="D80" s="1" t="s">
        <v>19</v>
      </c>
      <c r="E80" s="1" t="s">
        <v>20</v>
      </c>
      <c r="F80" s="1" t="n">
        <v>32</v>
      </c>
      <c r="G80" s="1" t="s">
        <v>31</v>
      </c>
      <c r="H80" s="1" t="n">
        <v>0.1782</v>
      </c>
      <c r="I80" s="1" t="n">
        <v>0.221606815787064</v>
      </c>
      <c r="J80" s="1" t="n">
        <v>0.300372672934347</v>
      </c>
      <c r="K80" s="1" t="n">
        <f aca="false">J80-I80</f>
        <v>0.078765857147283</v>
      </c>
      <c r="L80" s="1" t="n">
        <v>0.760684614350216</v>
      </c>
    </row>
    <row r="81" customFormat="false" ht="15" hidden="false" customHeight="false" outlineLevel="0" collapsed="false">
      <c r="A81" s="1" t="s">
        <v>74</v>
      </c>
      <c r="B81" s="1" t="s">
        <v>75</v>
      </c>
      <c r="C81" s="1" t="s">
        <v>76</v>
      </c>
      <c r="D81" s="1" t="s">
        <v>19</v>
      </c>
      <c r="E81" s="1" t="s">
        <v>20</v>
      </c>
      <c r="F81" s="1" t="n">
        <v>32</v>
      </c>
      <c r="G81" s="1" t="s">
        <v>30</v>
      </c>
      <c r="H81" s="1" t="n">
        <v>0.1754</v>
      </c>
      <c r="I81" s="1" t="n">
        <v>0.218154475859456</v>
      </c>
      <c r="J81" s="1" t="n">
        <v>0.297922368764425</v>
      </c>
      <c r="K81" s="1" t="n">
        <f aca="false">J81-I81</f>
        <v>0.079767892904969</v>
      </c>
      <c r="L81" s="1" t="n">
        <v>0.760684614350216</v>
      </c>
    </row>
    <row r="82" customFormat="false" ht="15" hidden="false" customHeight="false" outlineLevel="0" collapsed="false">
      <c r="A82" s="1" t="s">
        <v>74</v>
      </c>
      <c r="B82" s="1" t="s">
        <v>75</v>
      </c>
      <c r="C82" s="1" t="s">
        <v>76</v>
      </c>
      <c r="D82" s="1" t="s">
        <v>19</v>
      </c>
      <c r="E82" s="1" t="s">
        <v>20</v>
      </c>
      <c r="F82" s="1" t="n">
        <v>32</v>
      </c>
      <c r="G82" s="1" t="s">
        <v>46</v>
      </c>
      <c r="H82" s="1" t="n">
        <v>0.1741</v>
      </c>
      <c r="I82" s="1" t="n">
        <v>0.216543231008734</v>
      </c>
      <c r="J82" s="1" t="n">
        <v>0.283166050978608</v>
      </c>
      <c r="K82" s="1" t="n">
        <f aca="false">J82-I82</f>
        <v>0.066622819969874</v>
      </c>
      <c r="L82" s="1" t="n">
        <v>0.760684614350216</v>
      </c>
    </row>
    <row r="83" customFormat="false" ht="15" hidden="false" customHeight="false" outlineLevel="0" collapsed="false">
      <c r="A83" s="1" t="s">
        <v>74</v>
      </c>
      <c r="B83" s="1" t="s">
        <v>75</v>
      </c>
      <c r="C83" s="1" t="s">
        <v>76</v>
      </c>
      <c r="D83" s="1" t="s">
        <v>19</v>
      </c>
      <c r="E83" s="1" t="s">
        <v>20</v>
      </c>
      <c r="F83" s="1" t="n">
        <v>32</v>
      </c>
      <c r="G83" s="1" t="s">
        <v>21</v>
      </c>
      <c r="H83" s="1" t="n">
        <v>0.1</v>
      </c>
      <c r="I83" s="1" t="n">
        <v>0.166452903752776</v>
      </c>
      <c r="J83" s="1" t="n">
        <v>0.243802866651379</v>
      </c>
      <c r="K83" s="1" t="n">
        <f aca="false">J83-I83</f>
        <v>0.077349962898603</v>
      </c>
      <c r="L83" s="1" t="n">
        <v>0.760684614350216</v>
      </c>
    </row>
    <row r="84" customFormat="false" ht="15" hidden="false" customHeight="false" outlineLevel="0" collapsed="false">
      <c r="A84" s="1" t="s">
        <v>77</v>
      </c>
      <c r="B84" s="1" t="s">
        <v>78</v>
      </c>
      <c r="C84" s="1" t="s">
        <v>79</v>
      </c>
      <c r="D84" s="1" t="s">
        <v>19</v>
      </c>
      <c r="E84" s="1" t="s">
        <v>20</v>
      </c>
      <c r="F84" s="1" t="n">
        <v>34</v>
      </c>
      <c r="G84" s="1" t="s">
        <v>29</v>
      </c>
      <c r="H84" s="1" t="n">
        <v>0.1858</v>
      </c>
      <c r="I84" s="1" t="n">
        <v>0.303531780784254</v>
      </c>
      <c r="J84" s="1" t="n">
        <v>0.307686719733336</v>
      </c>
      <c r="K84" s="1" t="n">
        <f aca="false">J84-I84</f>
        <v>0.00415493894908198</v>
      </c>
      <c r="L84" s="1" t="n">
        <v>0.689444509253728</v>
      </c>
    </row>
    <row r="85" customFormat="false" ht="15" hidden="false" customHeight="false" outlineLevel="0" collapsed="false">
      <c r="A85" s="1" t="s">
        <v>77</v>
      </c>
      <c r="B85" s="1" t="s">
        <v>78</v>
      </c>
      <c r="C85" s="1" t="s">
        <v>79</v>
      </c>
      <c r="D85" s="1" t="s">
        <v>19</v>
      </c>
      <c r="E85" s="1" t="s">
        <v>20</v>
      </c>
      <c r="F85" s="1" t="n">
        <v>34</v>
      </c>
      <c r="G85" s="1" t="s">
        <v>30</v>
      </c>
      <c r="H85" s="1" t="n">
        <v>0.1811</v>
      </c>
      <c r="I85" s="1" t="n">
        <v>0.295785024845517</v>
      </c>
      <c r="J85" s="1" t="n">
        <v>0.240942858574303</v>
      </c>
      <c r="K85" s="1" t="n">
        <f aca="false">J85-I85</f>
        <v>-0.054842166271214</v>
      </c>
      <c r="L85" s="1" t="n">
        <v>0.689444509253728</v>
      </c>
    </row>
    <row r="86" customFormat="false" ht="15" hidden="false" customHeight="false" outlineLevel="0" collapsed="false">
      <c r="A86" s="1" t="s">
        <v>77</v>
      </c>
      <c r="B86" s="1" t="s">
        <v>78</v>
      </c>
      <c r="C86" s="1" t="s">
        <v>79</v>
      </c>
      <c r="D86" s="1" t="s">
        <v>19</v>
      </c>
      <c r="E86" s="1" t="s">
        <v>20</v>
      </c>
      <c r="F86" s="1" t="n">
        <v>34</v>
      </c>
      <c r="G86" s="1" t="s">
        <v>31</v>
      </c>
      <c r="H86" s="1" t="n">
        <v>0.1784</v>
      </c>
      <c r="I86" s="1" t="n">
        <v>0.291511860479898</v>
      </c>
      <c r="J86" s="1" t="n">
        <v>0.274001888945601</v>
      </c>
      <c r="K86" s="1" t="n">
        <f aca="false">J86-I86</f>
        <v>-0.017509971534297</v>
      </c>
      <c r="L86" s="1" t="n">
        <v>0.689444509253728</v>
      </c>
    </row>
    <row r="87" customFormat="false" ht="15" hidden="false" customHeight="false" outlineLevel="0" collapsed="false">
      <c r="A87" s="1" t="s">
        <v>77</v>
      </c>
      <c r="B87" s="1" t="s">
        <v>78</v>
      </c>
      <c r="C87" s="1" t="s">
        <v>79</v>
      </c>
      <c r="D87" s="1" t="s">
        <v>19</v>
      </c>
      <c r="E87" s="1" t="s">
        <v>20</v>
      </c>
      <c r="F87" s="1" t="n">
        <v>34</v>
      </c>
      <c r="G87" s="1" t="s">
        <v>39</v>
      </c>
      <c r="H87" s="1" t="n">
        <v>0.1778</v>
      </c>
      <c r="I87" s="1" t="n">
        <v>0.290521245831977</v>
      </c>
      <c r="J87" s="1" t="n">
        <v>0.269879145757868</v>
      </c>
      <c r="K87" s="1" t="n">
        <f aca="false">J87-I87</f>
        <v>-0.0206421000741091</v>
      </c>
      <c r="L87" s="1" t="n">
        <v>0.689444509253728</v>
      </c>
    </row>
    <row r="88" customFormat="false" ht="15" hidden="false" customHeight="false" outlineLevel="0" collapsed="false">
      <c r="A88" s="1" t="s">
        <v>77</v>
      </c>
      <c r="B88" s="1" t="s">
        <v>78</v>
      </c>
      <c r="C88" s="1" t="s">
        <v>79</v>
      </c>
      <c r="D88" s="1" t="s">
        <v>19</v>
      </c>
      <c r="E88" s="1" t="s">
        <v>20</v>
      </c>
      <c r="F88" s="1" t="n">
        <v>34</v>
      </c>
      <c r="G88" s="1" t="s">
        <v>28</v>
      </c>
      <c r="H88" s="1" t="n">
        <v>0.1769</v>
      </c>
      <c r="I88" s="1" t="n">
        <v>0.288925072292611</v>
      </c>
      <c r="J88" s="1" t="n">
        <v>0.279679557732047</v>
      </c>
      <c r="K88" s="1" t="n">
        <f aca="false">J88-I88</f>
        <v>-0.00924551456056399</v>
      </c>
      <c r="L88" s="1" t="n">
        <v>0.689444509253728</v>
      </c>
    </row>
    <row r="89" customFormat="false" ht="15" hidden="false" customHeight="false" outlineLevel="0" collapsed="false">
      <c r="A89" s="1" t="s">
        <v>77</v>
      </c>
      <c r="B89" s="1" t="s">
        <v>78</v>
      </c>
      <c r="C89" s="1" t="s">
        <v>79</v>
      </c>
      <c r="D89" s="1" t="s">
        <v>19</v>
      </c>
      <c r="E89" s="1" t="s">
        <v>20</v>
      </c>
      <c r="F89" s="1" t="n">
        <v>34</v>
      </c>
      <c r="G89" s="1" t="s">
        <v>21</v>
      </c>
      <c r="H89" s="1" t="n">
        <v>0.1</v>
      </c>
      <c r="I89" s="1" t="n">
        <v>0.248132439832269</v>
      </c>
      <c r="J89" s="1" t="n">
        <v>0.213403213999032</v>
      </c>
      <c r="K89" s="1" t="n">
        <f aca="false">J89-I89</f>
        <v>-0.034729225833237</v>
      </c>
      <c r="L89" s="1" t="n">
        <v>0.689444509253728</v>
      </c>
    </row>
    <row r="90" customFormat="false" ht="15" hidden="false" customHeight="false" outlineLevel="0" collapsed="false">
      <c r="A90" s="1" t="s">
        <v>80</v>
      </c>
      <c r="B90" s="1" t="s">
        <v>81</v>
      </c>
      <c r="C90" s="1" t="s">
        <v>82</v>
      </c>
      <c r="D90" s="1" t="s">
        <v>19</v>
      </c>
      <c r="E90" s="1" t="s">
        <v>20</v>
      </c>
      <c r="F90" s="1" t="n">
        <v>36</v>
      </c>
      <c r="G90" s="1" t="s">
        <v>28</v>
      </c>
      <c r="H90" s="1" t="n">
        <v>0.2095</v>
      </c>
      <c r="I90" s="1" t="n">
        <v>0.284520174088402</v>
      </c>
      <c r="J90" s="1" t="n">
        <v>0.351458413853574</v>
      </c>
      <c r="K90" s="1" t="n">
        <f aca="false">J90-I90</f>
        <v>0.066938239765172</v>
      </c>
      <c r="L90" s="1" t="n">
        <v>0.699907553556336</v>
      </c>
    </row>
    <row r="91" customFormat="false" ht="15" hidden="false" customHeight="false" outlineLevel="0" collapsed="false">
      <c r="A91" s="1" t="s">
        <v>80</v>
      </c>
      <c r="B91" s="1" t="s">
        <v>81</v>
      </c>
      <c r="C91" s="1" t="s">
        <v>82</v>
      </c>
      <c r="D91" s="1" t="s">
        <v>19</v>
      </c>
      <c r="E91" s="1" t="s">
        <v>20</v>
      </c>
      <c r="F91" s="1" t="n">
        <v>36</v>
      </c>
      <c r="G91" s="1" t="s">
        <v>83</v>
      </c>
      <c r="H91" s="1" t="n">
        <v>0.1831</v>
      </c>
      <c r="I91" s="1" t="n">
        <v>0.248665103561929</v>
      </c>
      <c r="J91" s="1" t="n">
        <v>0.329090630145949</v>
      </c>
      <c r="K91" s="1" t="n">
        <f aca="false">J91-I91</f>
        <v>0.08042552658402</v>
      </c>
      <c r="L91" s="1" t="n">
        <v>0.699907553556336</v>
      </c>
    </row>
    <row r="92" customFormat="false" ht="15" hidden="false" customHeight="false" outlineLevel="0" collapsed="false">
      <c r="A92" s="1" t="s">
        <v>80</v>
      </c>
      <c r="B92" s="1" t="s">
        <v>81</v>
      </c>
      <c r="C92" s="1" t="s">
        <v>82</v>
      </c>
      <c r="D92" s="1" t="s">
        <v>19</v>
      </c>
      <c r="E92" s="1" t="s">
        <v>20</v>
      </c>
      <c r="F92" s="1" t="n">
        <v>36</v>
      </c>
      <c r="G92" s="1" t="s">
        <v>29</v>
      </c>
      <c r="H92" s="1" t="n">
        <v>0.1799</v>
      </c>
      <c r="I92" s="1" t="n">
        <v>0.244269551254493</v>
      </c>
      <c r="J92" s="1" t="n">
        <v>0.308450100730872</v>
      </c>
      <c r="K92" s="1" t="n">
        <f aca="false">J92-I92</f>
        <v>0.064180549476379</v>
      </c>
      <c r="L92" s="1" t="n">
        <v>0.699907553556336</v>
      </c>
    </row>
    <row r="93" customFormat="false" ht="15" hidden="false" customHeight="false" outlineLevel="0" collapsed="false">
      <c r="A93" s="1" t="s">
        <v>80</v>
      </c>
      <c r="B93" s="1" t="s">
        <v>81</v>
      </c>
      <c r="C93" s="1" t="s">
        <v>82</v>
      </c>
      <c r="D93" s="1" t="s">
        <v>19</v>
      </c>
      <c r="E93" s="1" t="s">
        <v>20</v>
      </c>
      <c r="F93" s="1" t="n">
        <v>36</v>
      </c>
      <c r="G93" s="1" t="s">
        <v>31</v>
      </c>
      <c r="H93" s="1" t="n">
        <v>0.1674</v>
      </c>
      <c r="I93" s="1" t="n">
        <v>0.227329280393128</v>
      </c>
      <c r="J93" s="1" t="n">
        <v>0.256393795821947</v>
      </c>
      <c r="K93" s="1" t="n">
        <f aca="false">J93-I93</f>
        <v>0.029064515428819</v>
      </c>
      <c r="L93" s="1" t="n">
        <v>0.699907553556336</v>
      </c>
    </row>
    <row r="94" customFormat="false" ht="15" hidden="false" customHeight="false" outlineLevel="0" collapsed="false">
      <c r="A94" s="1" t="s">
        <v>80</v>
      </c>
      <c r="B94" s="1" t="s">
        <v>81</v>
      </c>
      <c r="C94" s="1" t="s">
        <v>82</v>
      </c>
      <c r="D94" s="1" t="s">
        <v>19</v>
      </c>
      <c r="E94" s="1" t="s">
        <v>20</v>
      </c>
      <c r="F94" s="1" t="n">
        <v>36</v>
      </c>
      <c r="G94" s="1" t="s">
        <v>39</v>
      </c>
      <c r="H94" s="1" t="n">
        <v>0.16</v>
      </c>
      <c r="I94" s="1" t="n">
        <v>0.217318808197269</v>
      </c>
      <c r="J94" s="1" t="n">
        <v>0.311650017428085</v>
      </c>
      <c r="K94" s="1" t="n">
        <f aca="false">J94-I94</f>
        <v>0.094331209230816</v>
      </c>
      <c r="L94" s="1" t="n">
        <v>0.699907553556336</v>
      </c>
    </row>
    <row r="95" customFormat="false" ht="15" hidden="false" customHeight="false" outlineLevel="0" collapsed="false">
      <c r="A95" s="1" t="s">
        <v>80</v>
      </c>
      <c r="B95" s="1" t="s">
        <v>81</v>
      </c>
      <c r="C95" s="1" t="s">
        <v>82</v>
      </c>
      <c r="D95" s="1" t="s">
        <v>19</v>
      </c>
      <c r="E95" s="1" t="s">
        <v>20</v>
      </c>
      <c r="F95" s="1" t="n">
        <v>36</v>
      </c>
      <c r="G95" s="1" t="s">
        <v>21</v>
      </c>
      <c r="H95" s="1" t="n">
        <v>0.1</v>
      </c>
      <c r="I95" s="1" t="n">
        <v>0.197313075885943</v>
      </c>
      <c r="J95" s="1" t="n">
        <v>0.258420540267848</v>
      </c>
      <c r="K95" s="1" t="n">
        <f aca="false">J95-I95</f>
        <v>0.061107464381905</v>
      </c>
      <c r="L95" s="1" t="n">
        <v>0.699907553556336</v>
      </c>
    </row>
    <row r="96" customFormat="false" ht="15" hidden="false" customHeight="false" outlineLevel="0" collapsed="false">
      <c r="A96" s="1" t="s">
        <v>84</v>
      </c>
      <c r="B96" s="1" t="s">
        <v>85</v>
      </c>
      <c r="C96" s="1" t="s">
        <v>86</v>
      </c>
      <c r="D96" s="1" t="s">
        <v>19</v>
      </c>
      <c r="E96" s="1" t="s">
        <v>20</v>
      </c>
      <c r="F96" s="1" t="n">
        <v>38</v>
      </c>
      <c r="G96" s="1" t="s">
        <v>28</v>
      </c>
      <c r="H96" s="1" t="n">
        <v>0.2183</v>
      </c>
      <c r="I96" s="1" t="n">
        <v>0.29270260126493</v>
      </c>
      <c r="J96" s="1" t="n">
        <v>0.280437851978084</v>
      </c>
      <c r="K96" s="1" t="n">
        <f aca="false">J96-I96</f>
        <v>-0.012264749286846</v>
      </c>
      <c r="L96" s="1" t="n">
        <v>0.721470667146881</v>
      </c>
    </row>
    <row r="97" customFormat="false" ht="15" hidden="false" customHeight="false" outlineLevel="0" collapsed="false">
      <c r="A97" s="1" t="s">
        <v>84</v>
      </c>
      <c r="B97" s="1" t="s">
        <v>85</v>
      </c>
      <c r="C97" s="1" t="s">
        <v>86</v>
      </c>
      <c r="D97" s="1" t="s">
        <v>19</v>
      </c>
      <c r="E97" s="1" t="s">
        <v>20</v>
      </c>
      <c r="F97" s="1" t="n">
        <v>38</v>
      </c>
      <c r="G97" s="1" t="s">
        <v>83</v>
      </c>
      <c r="H97" s="1" t="n">
        <v>0.1808</v>
      </c>
      <c r="I97" s="1" t="n">
        <v>0.242422768364158</v>
      </c>
      <c r="J97" s="1" t="n">
        <v>0.24171001081889</v>
      </c>
      <c r="K97" s="1" t="n">
        <f aca="false">J97-I97</f>
        <v>-0.000712757545268006</v>
      </c>
      <c r="L97" s="1" t="n">
        <v>0.721470667146881</v>
      </c>
    </row>
    <row r="98" customFormat="false" ht="15" hidden="false" customHeight="false" outlineLevel="0" collapsed="false">
      <c r="A98" s="1" t="s">
        <v>84</v>
      </c>
      <c r="B98" s="1" t="s">
        <v>85</v>
      </c>
      <c r="C98" s="1" t="s">
        <v>86</v>
      </c>
      <c r="D98" s="1" t="s">
        <v>19</v>
      </c>
      <c r="E98" s="1" t="s">
        <v>20</v>
      </c>
      <c r="F98" s="1" t="n">
        <v>38</v>
      </c>
      <c r="G98" s="1" t="s">
        <v>29</v>
      </c>
      <c r="H98" s="1" t="n">
        <v>0.176</v>
      </c>
      <c r="I98" s="1" t="n">
        <v>0.236029868791969</v>
      </c>
      <c r="J98" s="1" t="n">
        <v>0.302214448134414</v>
      </c>
      <c r="K98" s="1" t="n">
        <f aca="false">J98-I98</f>
        <v>0.066184579342445</v>
      </c>
      <c r="L98" s="1" t="n">
        <v>0.721470667146881</v>
      </c>
    </row>
    <row r="99" customFormat="false" ht="15" hidden="false" customHeight="false" outlineLevel="0" collapsed="false">
      <c r="A99" s="1" t="s">
        <v>84</v>
      </c>
      <c r="B99" s="1" t="s">
        <v>85</v>
      </c>
      <c r="C99" s="1" t="s">
        <v>86</v>
      </c>
      <c r="D99" s="1" t="s">
        <v>19</v>
      </c>
      <c r="E99" s="1" t="s">
        <v>20</v>
      </c>
      <c r="F99" s="1" t="n">
        <v>38</v>
      </c>
      <c r="G99" s="1" t="s">
        <v>39</v>
      </c>
      <c r="H99" s="1" t="n">
        <v>0.1628</v>
      </c>
      <c r="I99" s="1" t="n">
        <v>0.218308507563845</v>
      </c>
      <c r="J99" s="1" t="n">
        <v>0.231004528878686</v>
      </c>
      <c r="K99" s="1" t="n">
        <f aca="false">J99-I99</f>
        <v>0.012696021314841</v>
      </c>
      <c r="L99" s="1" t="n">
        <v>0.721470667146881</v>
      </c>
    </row>
    <row r="100" customFormat="false" ht="15" hidden="false" customHeight="false" outlineLevel="0" collapsed="false">
      <c r="A100" s="1" t="s">
        <v>84</v>
      </c>
      <c r="B100" s="1" t="s">
        <v>85</v>
      </c>
      <c r="C100" s="1" t="s">
        <v>86</v>
      </c>
      <c r="D100" s="1" t="s">
        <v>19</v>
      </c>
      <c r="E100" s="1" t="s">
        <v>20</v>
      </c>
      <c r="F100" s="1" t="n">
        <v>38</v>
      </c>
      <c r="G100" s="1" t="s">
        <v>87</v>
      </c>
      <c r="H100" s="1" t="n">
        <v>0.1622</v>
      </c>
      <c r="I100" s="1" t="n">
        <v>0.217494863439529</v>
      </c>
      <c r="J100" s="1" t="n">
        <v>0.243863379226578</v>
      </c>
      <c r="K100" s="1" t="n">
        <f aca="false">J100-I100</f>
        <v>0.026368515787049</v>
      </c>
      <c r="L100" s="1" t="n">
        <v>0.721470667146881</v>
      </c>
    </row>
    <row r="101" customFormat="false" ht="15" hidden="false" customHeight="false" outlineLevel="0" collapsed="false">
      <c r="A101" s="1" t="s">
        <v>84</v>
      </c>
      <c r="B101" s="1" t="s">
        <v>85</v>
      </c>
      <c r="C101" s="1" t="s">
        <v>86</v>
      </c>
      <c r="D101" s="1" t="s">
        <v>19</v>
      </c>
      <c r="E101" s="1" t="s">
        <v>20</v>
      </c>
      <c r="F101" s="1" t="n">
        <v>38</v>
      </c>
      <c r="G101" s="1" t="s">
        <v>21</v>
      </c>
      <c r="H101" s="1" t="n">
        <v>0.1</v>
      </c>
      <c r="I101" s="1" t="n">
        <v>0.199467761595019</v>
      </c>
      <c r="J101" s="1" t="n">
        <v>0.199341418164804</v>
      </c>
      <c r="K101" s="1" t="n">
        <f aca="false">J101-I101</f>
        <v>-0.000126343430215004</v>
      </c>
      <c r="L101" s="1" t="n">
        <v>0.721470667146881</v>
      </c>
    </row>
    <row r="102" customFormat="false" ht="15" hidden="false" customHeight="false" outlineLevel="0" collapsed="false">
      <c r="A102" s="1" t="s">
        <v>88</v>
      </c>
      <c r="B102" s="1" t="s">
        <v>89</v>
      </c>
      <c r="C102" s="1" t="s">
        <v>90</v>
      </c>
      <c r="D102" s="1" t="s">
        <v>19</v>
      </c>
      <c r="E102" s="1" t="s">
        <v>20</v>
      </c>
      <c r="F102" s="1" t="n">
        <v>40</v>
      </c>
      <c r="G102" s="1" t="s">
        <v>28</v>
      </c>
      <c r="H102" s="1" t="n">
        <v>0.4709</v>
      </c>
      <c r="I102" s="1" t="n">
        <v>0.251297066518027</v>
      </c>
      <c r="J102" s="1" t="n">
        <v>0.385309641055643</v>
      </c>
      <c r="K102" s="1" t="n">
        <f aca="false">J102-I102</f>
        <v>0.134012574537616</v>
      </c>
      <c r="L102" s="1" t="n">
        <v>0.694019107158469</v>
      </c>
    </row>
    <row r="103" customFormat="false" ht="15" hidden="false" customHeight="false" outlineLevel="0" collapsed="false">
      <c r="A103" s="1" t="s">
        <v>88</v>
      </c>
      <c r="B103" s="1" t="s">
        <v>89</v>
      </c>
      <c r="C103" s="1" t="s">
        <v>90</v>
      </c>
      <c r="D103" s="1" t="s">
        <v>19</v>
      </c>
      <c r="E103" s="1" t="s">
        <v>20</v>
      </c>
      <c r="F103" s="1" t="n">
        <v>40</v>
      </c>
      <c r="G103" s="1" t="s">
        <v>29</v>
      </c>
      <c r="H103" s="1" t="n">
        <v>0.4291</v>
      </c>
      <c r="I103" s="1" t="n">
        <v>0.229030868147498</v>
      </c>
      <c r="J103" s="1" t="n">
        <v>0.408979058954709</v>
      </c>
      <c r="K103" s="1" t="n">
        <f aca="false">J103-I103</f>
        <v>0.179948190807211</v>
      </c>
      <c r="L103" s="1" t="n">
        <v>0.694019107158469</v>
      </c>
    </row>
    <row r="104" customFormat="false" ht="15" hidden="false" customHeight="false" outlineLevel="0" collapsed="false">
      <c r="A104" s="1" t="s">
        <v>88</v>
      </c>
      <c r="B104" s="1" t="s">
        <v>89</v>
      </c>
      <c r="C104" s="1" t="s">
        <v>90</v>
      </c>
      <c r="D104" s="1" t="s">
        <v>19</v>
      </c>
      <c r="E104" s="1" t="s">
        <v>20</v>
      </c>
      <c r="F104" s="1" t="n">
        <v>40</v>
      </c>
      <c r="G104" s="1" t="s">
        <v>21</v>
      </c>
      <c r="H104" s="1" t="n">
        <v>0.1</v>
      </c>
      <c r="I104" s="1" t="n">
        <v>0.12959814502526</v>
      </c>
      <c r="J104" s="1" t="n">
        <v>0.300871550572368</v>
      </c>
      <c r="K104" s="1" t="n">
        <f aca="false">J104-I104</f>
        <v>0.171273405547108</v>
      </c>
      <c r="L104" s="1" t="n">
        <v>0.694019107158469</v>
      </c>
    </row>
    <row r="105" customFormat="false" ht="15" hidden="false" customHeight="false" outlineLevel="0" collapsed="false">
      <c r="A105" s="1" t="s">
        <v>91</v>
      </c>
      <c r="B105" s="1" t="s">
        <v>92</v>
      </c>
      <c r="C105" s="1" t="s">
        <v>93</v>
      </c>
      <c r="D105" s="1" t="s">
        <v>19</v>
      </c>
      <c r="E105" s="1" t="s">
        <v>20</v>
      </c>
      <c r="F105" s="1" t="n">
        <v>42</v>
      </c>
      <c r="G105" s="1" t="s">
        <v>29</v>
      </c>
      <c r="H105" s="1" t="n">
        <v>0.1908</v>
      </c>
      <c r="I105" s="1" t="n">
        <v>0.37209575254297</v>
      </c>
      <c r="J105" s="1" t="n">
        <v>0.369147360677602</v>
      </c>
      <c r="K105" s="1" t="n">
        <f aca="false">J105-I105</f>
        <v>-0.00294839186536799</v>
      </c>
      <c r="L105" s="1" t="n">
        <v>0.755797582220466</v>
      </c>
    </row>
    <row r="106" customFormat="false" ht="15" hidden="false" customHeight="false" outlineLevel="0" collapsed="false">
      <c r="A106" s="1" t="s">
        <v>91</v>
      </c>
      <c r="B106" s="1" t="s">
        <v>92</v>
      </c>
      <c r="C106" s="1" t="s">
        <v>93</v>
      </c>
      <c r="D106" s="1" t="s">
        <v>19</v>
      </c>
      <c r="E106" s="1" t="s">
        <v>20</v>
      </c>
      <c r="F106" s="1" t="n">
        <v>42</v>
      </c>
      <c r="G106" s="1" t="s">
        <v>28</v>
      </c>
      <c r="H106" s="1" t="n">
        <v>0.1846</v>
      </c>
      <c r="I106" s="1" t="n">
        <v>0.359962006370059</v>
      </c>
      <c r="J106" s="1" t="n">
        <v>0.327346416522743</v>
      </c>
      <c r="K106" s="1" t="n">
        <f aca="false">J106-I106</f>
        <v>-0.032615589847316</v>
      </c>
      <c r="L106" s="1" t="n">
        <v>0.755797582220466</v>
      </c>
    </row>
    <row r="107" customFormat="false" ht="15" hidden="false" customHeight="false" outlineLevel="0" collapsed="false">
      <c r="A107" s="1" t="s">
        <v>91</v>
      </c>
      <c r="B107" s="1" t="s">
        <v>92</v>
      </c>
      <c r="C107" s="1" t="s">
        <v>93</v>
      </c>
      <c r="D107" s="1" t="s">
        <v>19</v>
      </c>
      <c r="E107" s="1" t="s">
        <v>20</v>
      </c>
      <c r="F107" s="1" t="n">
        <v>42</v>
      </c>
      <c r="G107" s="1" t="s">
        <v>30</v>
      </c>
      <c r="H107" s="1" t="n">
        <v>0.1798</v>
      </c>
      <c r="I107" s="1" t="n">
        <v>0.350566685544788</v>
      </c>
      <c r="J107" s="1" t="n">
        <v>0.308426762078809</v>
      </c>
      <c r="K107" s="1" t="n">
        <f aca="false">J107-I107</f>
        <v>-0.042139923465979</v>
      </c>
      <c r="L107" s="1" t="n">
        <v>0.755797582220466</v>
      </c>
    </row>
    <row r="108" customFormat="false" ht="15" hidden="false" customHeight="false" outlineLevel="0" collapsed="false">
      <c r="A108" s="1" t="s">
        <v>91</v>
      </c>
      <c r="B108" s="1" t="s">
        <v>92</v>
      </c>
      <c r="C108" s="1" t="s">
        <v>93</v>
      </c>
      <c r="D108" s="1" t="s">
        <v>19</v>
      </c>
      <c r="E108" s="1" t="s">
        <v>20</v>
      </c>
      <c r="F108" s="1" t="n">
        <v>42</v>
      </c>
      <c r="G108" s="1" t="s">
        <v>94</v>
      </c>
      <c r="H108" s="1" t="n">
        <v>0.1727</v>
      </c>
      <c r="I108" s="1" t="n">
        <v>0.336641186812343</v>
      </c>
      <c r="J108" s="1" t="n">
        <v>0.309745168584099</v>
      </c>
      <c r="K108" s="1" t="n">
        <f aca="false">J108-I108</f>
        <v>-0.026896018228244</v>
      </c>
      <c r="L108" s="1" t="n">
        <v>0.755797582220466</v>
      </c>
    </row>
    <row r="109" customFormat="false" ht="15" hidden="false" customHeight="false" outlineLevel="0" collapsed="false">
      <c r="A109" s="1" t="s">
        <v>91</v>
      </c>
      <c r="B109" s="1" t="s">
        <v>92</v>
      </c>
      <c r="C109" s="1" t="s">
        <v>93</v>
      </c>
      <c r="D109" s="1" t="s">
        <v>19</v>
      </c>
      <c r="E109" s="1" t="s">
        <v>20</v>
      </c>
      <c r="F109" s="1" t="n">
        <v>42</v>
      </c>
      <c r="G109" s="1" t="s">
        <v>46</v>
      </c>
      <c r="H109" s="1" t="n">
        <v>0.1721</v>
      </c>
      <c r="I109" s="1" t="n">
        <v>0.335517643569265</v>
      </c>
      <c r="J109" s="1" t="n">
        <v>0.299823176996996</v>
      </c>
      <c r="K109" s="1" t="n">
        <f aca="false">J109-I109</f>
        <v>-0.035694466572269</v>
      </c>
      <c r="L109" s="1" t="n">
        <v>0.755797582220466</v>
      </c>
    </row>
    <row r="110" customFormat="false" ht="15" hidden="false" customHeight="false" outlineLevel="0" collapsed="false">
      <c r="A110" s="1" t="s">
        <v>91</v>
      </c>
      <c r="B110" s="1" t="s">
        <v>92</v>
      </c>
      <c r="C110" s="1" t="s">
        <v>93</v>
      </c>
      <c r="D110" s="1" t="s">
        <v>19</v>
      </c>
      <c r="E110" s="1" t="s">
        <v>20</v>
      </c>
      <c r="F110" s="1" t="n">
        <v>42</v>
      </c>
      <c r="G110" s="1" t="s">
        <v>21</v>
      </c>
      <c r="H110" s="1" t="n">
        <v>0.1</v>
      </c>
      <c r="I110" s="1" t="n">
        <v>0.327400554411645</v>
      </c>
      <c r="J110" s="1" t="n">
        <v>0.273995619544583</v>
      </c>
      <c r="K110" s="1" t="n">
        <f aca="false">J110-I110</f>
        <v>-0.053404934867062</v>
      </c>
      <c r="L110" s="1" t="n">
        <v>0.755797582220466</v>
      </c>
    </row>
    <row r="111" customFormat="false" ht="15" hidden="false" customHeight="false" outlineLevel="0" collapsed="false">
      <c r="A111" s="1" t="s">
        <v>95</v>
      </c>
      <c r="B111" s="1" t="s">
        <v>96</v>
      </c>
      <c r="C111" s="1" t="s">
        <v>97</v>
      </c>
      <c r="D111" s="1" t="s">
        <v>19</v>
      </c>
      <c r="E111" s="1" t="s">
        <v>20</v>
      </c>
      <c r="F111" s="1" t="n">
        <v>44</v>
      </c>
      <c r="G111" s="1" t="s">
        <v>29</v>
      </c>
      <c r="H111" s="1" t="n">
        <v>0.2009</v>
      </c>
      <c r="I111" s="1" t="n">
        <v>0.357409746451123</v>
      </c>
      <c r="J111" s="1" t="n">
        <v>0.33108821128295</v>
      </c>
      <c r="K111" s="1" t="n">
        <f aca="false">J111-I111</f>
        <v>-0.026321535168173</v>
      </c>
      <c r="L111" s="1" t="n">
        <v>0.650885309375863</v>
      </c>
    </row>
    <row r="112" customFormat="false" ht="15" hidden="false" customHeight="false" outlineLevel="0" collapsed="false">
      <c r="A112" s="1" t="s">
        <v>95</v>
      </c>
      <c r="B112" s="1" t="s">
        <v>96</v>
      </c>
      <c r="C112" s="1" t="s">
        <v>97</v>
      </c>
      <c r="D112" s="1" t="s">
        <v>19</v>
      </c>
      <c r="E112" s="1" t="s">
        <v>20</v>
      </c>
      <c r="F112" s="1" t="n">
        <v>44</v>
      </c>
      <c r="G112" s="1" t="s">
        <v>32</v>
      </c>
      <c r="H112" s="1" t="n">
        <v>0.183</v>
      </c>
      <c r="I112" s="1" t="n">
        <v>0.325584768076921</v>
      </c>
      <c r="J112" s="1" t="n">
        <v>0.247081723744814</v>
      </c>
      <c r="K112" s="1" t="n">
        <f aca="false">J112-I112</f>
        <v>-0.078503044332107</v>
      </c>
      <c r="L112" s="1" t="n">
        <v>0.650885309375863</v>
      </c>
    </row>
    <row r="113" customFormat="false" ht="15" hidden="false" customHeight="false" outlineLevel="0" collapsed="false">
      <c r="A113" s="1" t="s">
        <v>95</v>
      </c>
      <c r="B113" s="1" t="s">
        <v>96</v>
      </c>
      <c r="C113" s="1" t="s">
        <v>97</v>
      </c>
      <c r="D113" s="1" t="s">
        <v>19</v>
      </c>
      <c r="E113" s="1" t="s">
        <v>20</v>
      </c>
      <c r="F113" s="1" t="n">
        <v>44</v>
      </c>
      <c r="G113" s="1" t="s">
        <v>28</v>
      </c>
      <c r="H113" s="1" t="n">
        <v>0.1764</v>
      </c>
      <c r="I113" s="1" t="n">
        <v>0.313798374947033</v>
      </c>
      <c r="J113" s="1" t="n">
        <v>0.306441949279314</v>
      </c>
      <c r="K113" s="1" t="n">
        <f aca="false">J113-I113</f>
        <v>-0.00735642566771899</v>
      </c>
      <c r="L113" s="1" t="n">
        <v>0.650885309375863</v>
      </c>
    </row>
    <row r="114" customFormat="false" ht="15" hidden="false" customHeight="false" outlineLevel="0" collapsed="false">
      <c r="A114" s="1" t="s">
        <v>95</v>
      </c>
      <c r="B114" s="1" t="s">
        <v>96</v>
      </c>
      <c r="C114" s="1" t="s">
        <v>97</v>
      </c>
      <c r="D114" s="1" t="s">
        <v>19</v>
      </c>
      <c r="E114" s="1" t="s">
        <v>20</v>
      </c>
      <c r="F114" s="1" t="n">
        <v>44</v>
      </c>
      <c r="G114" s="1" t="s">
        <v>46</v>
      </c>
      <c r="H114" s="1" t="n">
        <v>0.173</v>
      </c>
      <c r="I114" s="1" t="n">
        <v>0.307765159208525</v>
      </c>
      <c r="J114" s="1" t="n">
        <v>0.269888479740796</v>
      </c>
      <c r="K114" s="1" t="n">
        <f aca="false">J114-I114</f>
        <v>-0.037876679467729</v>
      </c>
      <c r="L114" s="1" t="n">
        <v>0.650885309375863</v>
      </c>
    </row>
    <row r="115" customFormat="false" ht="15" hidden="false" customHeight="false" outlineLevel="0" collapsed="false">
      <c r="A115" s="1" t="s">
        <v>95</v>
      </c>
      <c r="B115" s="1" t="s">
        <v>96</v>
      </c>
      <c r="C115" s="1" t="s">
        <v>97</v>
      </c>
      <c r="D115" s="1" t="s">
        <v>19</v>
      </c>
      <c r="E115" s="1" t="s">
        <v>20</v>
      </c>
      <c r="F115" s="1" t="n">
        <v>44</v>
      </c>
      <c r="G115" s="1" t="s">
        <v>30</v>
      </c>
      <c r="H115" s="1" t="n">
        <v>0.1668</v>
      </c>
      <c r="I115" s="1" t="n">
        <v>0.29681917590095</v>
      </c>
      <c r="J115" s="1" t="n">
        <v>0.261814944776318</v>
      </c>
      <c r="K115" s="1" t="n">
        <f aca="false">J115-I115</f>
        <v>-0.035004231124632</v>
      </c>
      <c r="L115" s="1" t="n">
        <v>0.650885309375863</v>
      </c>
    </row>
    <row r="116" customFormat="false" ht="15" hidden="false" customHeight="false" outlineLevel="0" collapsed="false">
      <c r="A116" s="1" t="s">
        <v>95</v>
      </c>
      <c r="B116" s="1" t="s">
        <v>96</v>
      </c>
      <c r="C116" s="1" t="s">
        <v>97</v>
      </c>
      <c r="D116" s="1" t="s">
        <v>19</v>
      </c>
      <c r="E116" s="1" t="s">
        <v>20</v>
      </c>
      <c r="F116" s="1" t="n">
        <v>44</v>
      </c>
      <c r="G116" s="1" t="s">
        <v>21</v>
      </c>
      <c r="H116" s="1" t="n">
        <v>0.1</v>
      </c>
      <c r="I116" s="1" t="n">
        <v>0.266687300659124</v>
      </c>
      <c r="J116" s="1" t="n">
        <v>0.222708527902646</v>
      </c>
      <c r="K116" s="1" t="n">
        <f aca="false">J116-I116</f>
        <v>-0.043978772756478</v>
      </c>
      <c r="L116" s="1" t="n">
        <v>0.650885309375863</v>
      </c>
    </row>
    <row r="117" customFormat="false" ht="15" hidden="false" customHeight="false" outlineLevel="0" collapsed="false">
      <c r="A117" s="1" t="s">
        <v>98</v>
      </c>
      <c r="B117" s="1" t="s">
        <v>99</v>
      </c>
      <c r="C117" s="1" t="s">
        <v>100</v>
      </c>
      <c r="D117" s="1" t="s">
        <v>19</v>
      </c>
      <c r="E117" s="1" t="s">
        <v>20</v>
      </c>
      <c r="F117" s="1" t="n">
        <v>46</v>
      </c>
      <c r="G117" s="1" t="s">
        <v>29</v>
      </c>
      <c r="H117" s="1" t="n">
        <v>0.2092</v>
      </c>
      <c r="I117" s="1" t="n">
        <v>0.276031715679813</v>
      </c>
      <c r="J117" s="1" t="n">
        <v>0.30559890410186</v>
      </c>
      <c r="K117" s="1" t="n">
        <f aca="false">J117-I117</f>
        <v>0.029567188422047</v>
      </c>
      <c r="L117" s="1" t="n">
        <v>0.810318587583629</v>
      </c>
    </row>
    <row r="118" customFormat="false" ht="15" hidden="false" customHeight="false" outlineLevel="0" collapsed="false">
      <c r="A118" s="1" t="s">
        <v>98</v>
      </c>
      <c r="B118" s="1" t="s">
        <v>99</v>
      </c>
      <c r="C118" s="1" t="s">
        <v>100</v>
      </c>
      <c r="D118" s="1" t="s">
        <v>19</v>
      </c>
      <c r="E118" s="1" t="s">
        <v>20</v>
      </c>
      <c r="F118" s="1" t="n">
        <v>46</v>
      </c>
      <c r="G118" s="1" t="s">
        <v>31</v>
      </c>
      <c r="H118" s="1" t="n">
        <v>0.1824</v>
      </c>
      <c r="I118" s="1" t="n">
        <v>0.240653501173857</v>
      </c>
      <c r="J118" s="1" t="n">
        <v>0.292836568271322</v>
      </c>
      <c r="K118" s="1" t="n">
        <f aca="false">J118-I118</f>
        <v>0.052183067097465</v>
      </c>
      <c r="L118" s="1" t="n">
        <v>0.810318587583629</v>
      </c>
    </row>
    <row r="119" customFormat="false" ht="15" hidden="false" customHeight="false" outlineLevel="0" collapsed="false">
      <c r="A119" s="1" t="s">
        <v>98</v>
      </c>
      <c r="B119" s="1" t="s">
        <v>99</v>
      </c>
      <c r="C119" s="1" t="s">
        <v>100</v>
      </c>
      <c r="D119" s="1" t="s">
        <v>19</v>
      </c>
      <c r="E119" s="1" t="s">
        <v>20</v>
      </c>
      <c r="F119" s="1" t="n">
        <v>46</v>
      </c>
      <c r="G119" s="1" t="s">
        <v>28</v>
      </c>
      <c r="H119" s="1" t="n">
        <v>0.1816</v>
      </c>
      <c r="I119" s="1" t="n">
        <v>0.239591802046383</v>
      </c>
      <c r="J119" s="1" t="n">
        <v>0.303554759777372</v>
      </c>
      <c r="K119" s="1" t="n">
        <f aca="false">J119-I119</f>
        <v>0.063962957730989</v>
      </c>
      <c r="L119" s="1" t="n">
        <v>0.810318587583629</v>
      </c>
    </row>
    <row r="120" customFormat="false" ht="15" hidden="false" customHeight="false" outlineLevel="0" collapsed="false">
      <c r="A120" s="1" t="s">
        <v>98</v>
      </c>
      <c r="B120" s="1" t="s">
        <v>99</v>
      </c>
      <c r="C120" s="1" t="s">
        <v>100</v>
      </c>
      <c r="D120" s="1" t="s">
        <v>19</v>
      </c>
      <c r="E120" s="1" t="s">
        <v>20</v>
      </c>
      <c r="F120" s="1" t="n">
        <v>46</v>
      </c>
      <c r="G120" s="1" t="s">
        <v>46</v>
      </c>
      <c r="H120" s="1" t="n">
        <v>0.1635</v>
      </c>
      <c r="I120" s="1" t="n">
        <v>0.215710080186556</v>
      </c>
      <c r="J120" s="1" t="n">
        <v>0.281560380613068</v>
      </c>
      <c r="K120" s="1" t="n">
        <f aca="false">J120-I120</f>
        <v>0.065850300426512</v>
      </c>
      <c r="L120" s="1" t="n">
        <v>0.810318587583629</v>
      </c>
    </row>
    <row r="121" customFormat="false" ht="15" hidden="false" customHeight="false" outlineLevel="0" collapsed="false">
      <c r="A121" s="1" t="s">
        <v>98</v>
      </c>
      <c r="B121" s="1" t="s">
        <v>99</v>
      </c>
      <c r="C121" s="1" t="s">
        <v>100</v>
      </c>
      <c r="D121" s="1" t="s">
        <v>19</v>
      </c>
      <c r="E121" s="1" t="s">
        <v>20</v>
      </c>
      <c r="F121" s="1" t="n">
        <v>46</v>
      </c>
      <c r="G121" s="1" t="s">
        <v>39</v>
      </c>
      <c r="H121" s="1" t="n">
        <v>0.1632</v>
      </c>
      <c r="I121" s="1" t="n">
        <v>0.215259496775071</v>
      </c>
      <c r="J121" s="1" t="n">
        <v>0.28937370038664</v>
      </c>
      <c r="K121" s="1" t="n">
        <f aca="false">J121-I121</f>
        <v>0.074114203611569</v>
      </c>
      <c r="L121" s="1" t="n">
        <v>0.810318587583629</v>
      </c>
    </row>
    <row r="122" customFormat="false" ht="15" hidden="false" customHeight="false" outlineLevel="0" collapsed="false">
      <c r="A122" s="1" t="s">
        <v>98</v>
      </c>
      <c r="B122" s="1" t="s">
        <v>99</v>
      </c>
      <c r="C122" s="1" t="s">
        <v>100</v>
      </c>
      <c r="D122" s="1" t="s">
        <v>19</v>
      </c>
      <c r="E122" s="1" t="s">
        <v>20</v>
      </c>
      <c r="F122" s="1" t="n">
        <v>46</v>
      </c>
      <c r="G122" s="1" t="s">
        <v>21</v>
      </c>
      <c r="H122" s="1" t="n">
        <v>0.1</v>
      </c>
      <c r="I122" s="1" t="n">
        <v>0.17027404972351</v>
      </c>
      <c r="J122" s="1" t="n">
        <v>0.263589235106708</v>
      </c>
      <c r="K122" s="1" t="n">
        <f aca="false">J122-I122</f>
        <v>0.093315185383198</v>
      </c>
      <c r="L122" s="1" t="n">
        <v>0.810318587583629</v>
      </c>
    </row>
    <row r="123" customFormat="false" ht="15" hidden="false" customHeight="false" outlineLevel="0" collapsed="false">
      <c r="A123" s="1" t="s">
        <v>101</v>
      </c>
      <c r="B123" s="1" t="s">
        <v>102</v>
      </c>
      <c r="C123" s="1" t="s">
        <v>103</v>
      </c>
      <c r="D123" s="1" t="s">
        <v>19</v>
      </c>
      <c r="E123" s="1" t="s">
        <v>20</v>
      </c>
      <c r="F123" s="1" t="n">
        <v>48</v>
      </c>
      <c r="G123" s="1" t="s">
        <v>28</v>
      </c>
      <c r="H123" s="1" t="n">
        <v>0.1998</v>
      </c>
      <c r="I123" s="1" t="n">
        <v>0.318944793858587</v>
      </c>
      <c r="J123" s="1" t="n">
        <v>0.383657469351107</v>
      </c>
      <c r="K123" s="1" t="n">
        <f aca="false">J123-I123</f>
        <v>0.06471267549252</v>
      </c>
      <c r="L123" s="1" t="n">
        <v>0.756032220349956</v>
      </c>
    </row>
    <row r="124" customFormat="false" ht="15" hidden="false" customHeight="false" outlineLevel="0" collapsed="false">
      <c r="A124" s="1" t="s">
        <v>101</v>
      </c>
      <c r="B124" s="1" t="s">
        <v>102</v>
      </c>
      <c r="C124" s="1" t="s">
        <v>103</v>
      </c>
      <c r="D124" s="1" t="s">
        <v>19</v>
      </c>
      <c r="E124" s="1" t="s">
        <v>20</v>
      </c>
      <c r="F124" s="1" t="n">
        <v>48</v>
      </c>
      <c r="G124" s="1" t="s">
        <v>29</v>
      </c>
      <c r="H124" s="1" t="n">
        <v>0.1854</v>
      </c>
      <c r="I124" s="1" t="n">
        <v>0.295936889287156</v>
      </c>
      <c r="J124" s="1" t="n">
        <v>0.366585952487127</v>
      </c>
      <c r="K124" s="1" t="n">
        <f aca="false">J124-I124</f>
        <v>0.070649063199971</v>
      </c>
      <c r="L124" s="1" t="n">
        <v>0.756032220349956</v>
      </c>
    </row>
    <row r="125" customFormat="false" ht="15" hidden="false" customHeight="false" outlineLevel="0" collapsed="false">
      <c r="A125" s="1" t="s">
        <v>101</v>
      </c>
      <c r="B125" s="1" t="s">
        <v>102</v>
      </c>
      <c r="C125" s="1" t="s">
        <v>103</v>
      </c>
      <c r="D125" s="1" t="s">
        <v>19</v>
      </c>
      <c r="E125" s="1" t="s">
        <v>20</v>
      </c>
      <c r="F125" s="1" t="n">
        <v>48</v>
      </c>
      <c r="G125" s="1" t="s">
        <v>30</v>
      </c>
      <c r="H125" s="1" t="n">
        <v>0.185</v>
      </c>
      <c r="I125" s="1" t="n">
        <v>0.295376808195413</v>
      </c>
      <c r="J125" s="1" t="n">
        <v>0.3336062893985</v>
      </c>
      <c r="K125" s="1" t="n">
        <f aca="false">J125-I125</f>
        <v>0.038229481203087</v>
      </c>
      <c r="L125" s="1" t="n">
        <v>0.756032220349956</v>
      </c>
    </row>
    <row r="126" customFormat="false" ht="15" hidden="false" customHeight="false" outlineLevel="0" collapsed="false">
      <c r="A126" s="1" t="s">
        <v>101</v>
      </c>
      <c r="B126" s="1" t="s">
        <v>102</v>
      </c>
      <c r="C126" s="1" t="s">
        <v>103</v>
      </c>
      <c r="D126" s="1" t="s">
        <v>19</v>
      </c>
      <c r="E126" s="1" t="s">
        <v>20</v>
      </c>
      <c r="F126" s="1" t="n">
        <v>48</v>
      </c>
      <c r="G126" s="1" t="s">
        <v>31</v>
      </c>
      <c r="H126" s="1" t="n">
        <v>0.1656</v>
      </c>
      <c r="I126" s="1" t="n">
        <v>0.264368328219497</v>
      </c>
      <c r="J126" s="1" t="n">
        <v>0.326784742372863</v>
      </c>
      <c r="K126" s="1" t="n">
        <f aca="false">J126-I126</f>
        <v>0.062416414153366</v>
      </c>
      <c r="L126" s="1" t="n">
        <v>0.756032220349956</v>
      </c>
    </row>
    <row r="127" customFormat="false" ht="15" hidden="false" customHeight="false" outlineLevel="0" collapsed="false">
      <c r="A127" s="1" t="s">
        <v>101</v>
      </c>
      <c r="B127" s="1" t="s">
        <v>102</v>
      </c>
      <c r="C127" s="1" t="s">
        <v>103</v>
      </c>
      <c r="D127" s="1" t="s">
        <v>19</v>
      </c>
      <c r="E127" s="1" t="s">
        <v>20</v>
      </c>
      <c r="F127" s="1" t="n">
        <v>48</v>
      </c>
      <c r="G127" s="1" t="s">
        <v>94</v>
      </c>
      <c r="H127" s="1" t="n">
        <v>0.1643</v>
      </c>
      <c r="I127" s="1" t="n">
        <v>0.262240555467584</v>
      </c>
      <c r="J127" s="1" t="n">
        <v>0.327555944123188</v>
      </c>
      <c r="K127" s="1" t="n">
        <f aca="false">J127-I127</f>
        <v>0.065315388655604</v>
      </c>
      <c r="L127" s="1" t="n">
        <v>0.756032220349956</v>
      </c>
    </row>
    <row r="128" customFormat="false" ht="15" hidden="false" customHeight="false" outlineLevel="0" collapsed="false">
      <c r="A128" s="1" t="s">
        <v>101</v>
      </c>
      <c r="B128" s="1" t="s">
        <v>102</v>
      </c>
      <c r="C128" s="1" t="s">
        <v>103</v>
      </c>
      <c r="D128" s="1" t="s">
        <v>19</v>
      </c>
      <c r="E128" s="1" t="s">
        <v>20</v>
      </c>
      <c r="F128" s="1" t="n">
        <v>48</v>
      </c>
      <c r="G128" s="1" t="s">
        <v>21</v>
      </c>
      <c r="H128" s="1" t="n">
        <v>0.1</v>
      </c>
      <c r="I128" s="1" t="n">
        <v>0.220749932398804</v>
      </c>
      <c r="J128" s="1" t="n">
        <v>0.280921728950558</v>
      </c>
      <c r="K128" s="1" t="n">
        <f aca="false">J128-I128</f>
        <v>0.060171796551754</v>
      </c>
      <c r="L128" s="1" t="n">
        <v>0.756032220349956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5" activeCellId="0" sqref="B5"/>
    </sheetView>
  </sheetViews>
  <sheetFormatPr defaultColWidth="14.0703125" defaultRowHeight="12.8" customHeight="false" zeroHeight="false" outlineLevelRow="0" outlineLevelCol="0"/>
  <sheetData>
    <row r="1" customFormat="false" ht="12.8" hidden="false" customHeight="false" outlineLevel="0" collapsed="false">
      <c r="A1" s="6" t="s">
        <v>104</v>
      </c>
      <c r="B1" s="6"/>
    </row>
    <row r="2" customFormat="false" ht="12.8" hidden="false" customHeight="false" outlineLevel="0" collapsed="false">
      <c r="A2" s="6"/>
      <c r="B2" s="6"/>
    </row>
    <row r="3" customFormat="false" ht="12.8" hidden="false" customHeight="false" outlineLevel="0" collapsed="false">
      <c r="A3" s="6" t="s">
        <v>105</v>
      </c>
      <c r="B3" s="7" t="n">
        <f aca="false">scen6_ac15!P2</f>
        <v>126</v>
      </c>
    </row>
    <row r="4" customFormat="false" ht="12.8" hidden="false" customHeight="false" outlineLevel="0" collapsed="false">
      <c r="A4" s="6" t="s">
        <v>106</v>
      </c>
      <c r="B4" s="6" t="n">
        <f aca="false">B10*SQRT((B3-2)/(1-B10^2))</f>
        <v>3.49346889498047</v>
      </c>
    </row>
    <row r="5" customFormat="false" ht="12.8" hidden="false" customHeight="false" outlineLevel="0" collapsed="false">
      <c r="A5" s="6" t="s">
        <v>107</v>
      </c>
      <c r="B5" s="6" t="n">
        <f aca="false">_xlfn.T.DIST.2T(ABS(B4),B3-2)</f>
        <v>0.000661659041061178</v>
      </c>
    </row>
    <row r="6" customFormat="false" ht="12.8" hidden="false" customHeight="false" outlineLevel="0" collapsed="false">
      <c r="A6" s="6"/>
      <c r="B6" s="8"/>
    </row>
    <row r="7" customFormat="false" ht="12.8" hidden="false" customHeight="false" outlineLevel="0" collapsed="false">
      <c r="A7" s="6"/>
      <c r="B7" s="8"/>
    </row>
    <row r="8" customFormat="false" ht="12.8" hidden="false" customHeight="false" outlineLevel="0" collapsed="false">
      <c r="A8" s="6"/>
      <c r="B8" s="8"/>
    </row>
    <row r="9" customFormat="false" ht="32.8" hidden="false" customHeight="false" outlineLevel="0" collapsed="false">
      <c r="A9" s="3" t="s">
        <v>12</v>
      </c>
      <c r="B9" s="3" t="s">
        <v>14</v>
      </c>
    </row>
    <row r="10" customFormat="false" ht="12.8" hidden="false" customHeight="false" outlineLevel="0" collapsed="false">
      <c r="A10" s="9" t="n">
        <f aca="false">B3</f>
        <v>126</v>
      </c>
      <c r="B10" s="9" t="n">
        <f aca="false">scen6_ac15!R2</f>
        <v>0.299337709898857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5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3" activeCellId="0" sqref="B3"/>
    </sheetView>
  </sheetViews>
  <sheetFormatPr defaultColWidth="14.0703125" defaultRowHeight="12.8" customHeight="false" zeroHeight="false" outlineLevelRow="0" outlineLevelCol="0"/>
  <sheetData>
    <row r="2" customFormat="false" ht="12.8" hidden="false" customHeight="false" outlineLevel="0" collapsed="false">
      <c r="A2" s="10" t="s">
        <v>108</v>
      </c>
      <c r="B2" s="10"/>
    </row>
    <row r="3" customFormat="false" ht="12.8" hidden="false" customHeight="false" outlineLevel="0" collapsed="false">
      <c r="A3" s="11" t="s">
        <v>109</v>
      </c>
      <c r="B3" s="5" t="s">
        <v>110</v>
      </c>
    </row>
    <row r="4" customFormat="false" ht="12.8" hidden="false" customHeight="false" outlineLevel="0" collapsed="false">
      <c r="A4" s="8" t="n">
        <v>1</v>
      </c>
      <c r="B4" s="1" t="n">
        <v>0.823272744718597</v>
      </c>
    </row>
    <row r="5" customFormat="false" ht="12.8" hidden="false" customHeight="false" outlineLevel="0" collapsed="false">
      <c r="A5" s="8" t="n">
        <v>2</v>
      </c>
      <c r="B5" s="1" t="n">
        <v>0.642199317331402</v>
      </c>
    </row>
    <row r="6" customFormat="false" ht="12.8" hidden="false" customHeight="false" outlineLevel="0" collapsed="false">
      <c r="A6" s="8" t="n">
        <v>3</v>
      </c>
      <c r="B6" s="1" t="n">
        <v>0.724560029881393</v>
      </c>
    </row>
    <row r="7" customFormat="false" ht="12.8" hidden="false" customHeight="false" outlineLevel="0" collapsed="false">
      <c r="A7" s="8" t="n">
        <v>4</v>
      </c>
      <c r="B7" s="1" t="n">
        <v>0.708336187220553</v>
      </c>
    </row>
    <row r="8" customFormat="false" ht="12.8" hidden="false" customHeight="false" outlineLevel="0" collapsed="false">
      <c r="A8" s="8" t="n">
        <v>5</v>
      </c>
      <c r="B8" s="1" t="n">
        <v>0.697620486730694</v>
      </c>
    </row>
    <row r="9" customFormat="false" ht="12.8" hidden="false" customHeight="false" outlineLevel="0" collapsed="false">
      <c r="A9" s="8" t="n">
        <v>6</v>
      </c>
      <c r="B9" s="1" t="n">
        <v>0.757276291011557</v>
      </c>
    </row>
    <row r="10" customFormat="false" ht="12.8" hidden="false" customHeight="false" outlineLevel="0" collapsed="false">
      <c r="A10" s="8" t="n">
        <v>7</v>
      </c>
      <c r="B10" s="1" t="n">
        <v>0.758449701833791</v>
      </c>
    </row>
    <row r="11" customFormat="false" ht="12.8" hidden="false" customHeight="false" outlineLevel="0" collapsed="false">
      <c r="A11" s="8" t="n">
        <v>8</v>
      </c>
      <c r="B11" s="1" t="n">
        <v>0.705275325567815</v>
      </c>
    </row>
    <row r="12" customFormat="false" ht="12.8" hidden="false" customHeight="false" outlineLevel="0" collapsed="false">
      <c r="A12" s="8" t="n">
        <v>9</v>
      </c>
      <c r="B12" s="1" t="n">
        <v>0.638110457472859</v>
      </c>
    </row>
    <row r="13" customFormat="false" ht="12.8" hidden="false" customHeight="false" outlineLevel="0" collapsed="false">
      <c r="A13" s="8" t="n">
        <v>10</v>
      </c>
      <c r="B13" s="1" t="n">
        <v>0.718916919696981</v>
      </c>
    </row>
    <row r="14" customFormat="false" ht="12.8" hidden="false" customHeight="false" outlineLevel="0" collapsed="false">
      <c r="A14" s="8" t="n">
        <v>11</v>
      </c>
      <c r="B14" s="1" t="n">
        <v>0.760910644452133</v>
      </c>
    </row>
    <row r="15" customFormat="false" ht="12.8" hidden="false" customHeight="false" outlineLevel="0" collapsed="false">
      <c r="A15" s="8" t="n">
        <v>12</v>
      </c>
      <c r="B15" s="1" t="n">
        <v>0.812780603575516</v>
      </c>
    </row>
    <row r="16" customFormat="false" ht="12.8" hidden="false" customHeight="false" outlineLevel="0" collapsed="false">
      <c r="A16" s="8" t="n">
        <v>13</v>
      </c>
      <c r="B16" s="1" t="n">
        <v>0.721407571089307</v>
      </c>
    </row>
    <row r="17" customFormat="false" ht="12.8" hidden="false" customHeight="false" outlineLevel="0" collapsed="false">
      <c r="A17" s="8" t="n">
        <v>14</v>
      </c>
      <c r="B17" s="1" t="n">
        <v>0.76471605795332</v>
      </c>
    </row>
    <row r="18" customFormat="false" ht="12.8" hidden="false" customHeight="false" outlineLevel="0" collapsed="false">
      <c r="A18" s="8" t="n">
        <v>15</v>
      </c>
      <c r="B18" s="1" t="n">
        <v>0.711757961516188</v>
      </c>
    </row>
    <row r="19" customFormat="false" ht="12.8" hidden="false" customHeight="false" outlineLevel="0" collapsed="false">
      <c r="A19" s="8" t="n">
        <v>16</v>
      </c>
      <c r="B19" s="1" t="n">
        <v>0.636409131350562</v>
      </c>
    </row>
    <row r="20" customFormat="false" ht="12.8" hidden="false" customHeight="false" outlineLevel="0" collapsed="false">
      <c r="A20" s="8" t="n">
        <v>17</v>
      </c>
      <c r="B20" s="1" t="n">
        <v>0.760684614350216</v>
      </c>
    </row>
    <row r="21" customFormat="false" ht="12.8" hidden="false" customHeight="false" outlineLevel="0" collapsed="false">
      <c r="A21" s="8" t="n">
        <v>18</v>
      </c>
      <c r="B21" s="1" t="n">
        <v>0.689444509253728</v>
      </c>
    </row>
    <row r="22" customFormat="false" ht="12.8" hidden="false" customHeight="false" outlineLevel="0" collapsed="false">
      <c r="A22" s="8" t="n">
        <v>19</v>
      </c>
      <c r="B22" s="1" t="n">
        <v>0.699907553556336</v>
      </c>
    </row>
    <row r="23" customFormat="false" ht="12.8" hidden="false" customHeight="false" outlineLevel="0" collapsed="false">
      <c r="A23" s="8" t="n">
        <v>20</v>
      </c>
      <c r="B23" s="1" t="n">
        <v>0.721470667146881</v>
      </c>
    </row>
    <row r="24" customFormat="false" ht="12.8" hidden="false" customHeight="false" outlineLevel="0" collapsed="false">
      <c r="A24" s="8" t="n">
        <v>21</v>
      </c>
      <c r="B24" s="1" t="n">
        <v>0.694019107158469</v>
      </c>
    </row>
    <row r="25" customFormat="false" ht="12.8" hidden="false" customHeight="false" outlineLevel="0" collapsed="false">
      <c r="A25" s="8" t="n">
        <v>22</v>
      </c>
      <c r="B25" s="1" t="n">
        <v>0.755797582220466</v>
      </c>
    </row>
    <row r="26" customFormat="false" ht="12.8" hidden="false" customHeight="false" outlineLevel="0" collapsed="false">
      <c r="A26" s="8" t="n">
        <v>23</v>
      </c>
      <c r="B26" s="1" t="n">
        <v>0.650885309375863</v>
      </c>
    </row>
    <row r="27" customFormat="false" ht="12.8" hidden="false" customHeight="false" outlineLevel="0" collapsed="false">
      <c r="A27" s="8" t="n">
        <v>24</v>
      </c>
      <c r="B27" s="1" t="n">
        <v>0.810318587583629</v>
      </c>
    </row>
    <row r="28" customFormat="false" ht="12.8" hidden="false" customHeight="false" outlineLevel="0" collapsed="false">
      <c r="A28" s="4" t="n">
        <v>25</v>
      </c>
      <c r="B28" s="1" t="n">
        <v>0.756032220349956</v>
      </c>
    </row>
    <row r="33" customFormat="false" ht="12.8" hidden="false" customHeight="false" outlineLevel="0" collapsed="false">
      <c r="B33" s="1"/>
    </row>
    <row r="34" customFormat="false" ht="12.8" hidden="false" customHeight="false" outlineLevel="0" collapsed="false">
      <c r="B34" s="1"/>
    </row>
    <row r="35" customFormat="false" ht="12.8" hidden="false" customHeight="false" outlineLevel="0" collapsed="false">
      <c r="B35" s="1"/>
    </row>
    <row r="36" customFormat="false" ht="12.8" hidden="false" customHeight="false" outlineLevel="0" collapsed="false">
      <c r="B36" s="1"/>
    </row>
    <row r="37" customFormat="false" ht="12.8" hidden="false" customHeight="false" outlineLevel="0" collapsed="false">
      <c r="B37" s="1"/>
    </row>
    <row r="38" customFormat="false" ht="12.8" hidden="false" customHeight="false" outlineLevel="0" collapsed="false">
      <c r="B38" s="1"/>
    </row>
    <row r="39" customFormat="false" ht="12.8" hidden="false" customHeight="false" outlineLevel="0" collapsed="false">
      <c r="B39" s="1"/>
    </row>
    <row r="40" customFormat="false" ht="12.8" hidden="false" customHeight="false" outlineLevel="0" collapsed="false">
      <c r="B40" s="1"/>
    </row>
    <row r="41" customFormat="false" ht="12.8" hidden="false" customHeight="false" outlineLevel="0" collapsed="false">
      <c r="B41" s="1"/>
    </row>
    <row r="42" customFormat="false" ht="12.8" hidden="false" customHeight="false" outlineLevel="0" collapsed="false">
      <c r="B42" s="1"/>
    </row>
    <row r="43" customFormat="false" ht="12.8" hidden="false" customHeight="false" outlineLevel="0" collapsed="false">
      <c r="B43" s="1"/>
    </row>
    <row r="44" customFormat="false" ht="12.8" hidden="false" customHeight="false" outlineLevel="0" collapsed="false">
      <c r="B44" s="1"/>
    </row>
    <row r="45" customFormat="false" ht="12.8" hidden="false" customHeight="false" outlineLevel="0" collapsed="false">
      <c r="B45" s="1"/>
    </row>
    <row r="46" customFormat="false" ht="12.8" hidden="false" customHeight="false" outlineLevel="0" collapsed="false">
      <c r="B46" s="1"/>
    </row>
    <row r="47" customFormat="false" ht="12.8" hidden="false" customHeight="false" outlineLevel="0" collapsed="false">
      <c r="B47" s="1"/>
    </row>
    <row r="48" customFormat="false" ht="12.8" hidden="false" customHeight="false" outlineLevel="0" collapsed="false">
      <c r="B48" s="1"/>
    </row>
    <row r="49" customFormat="false" ht="12.8" hidden="false" customHeight="false" outlineLevel="0" collapsed="false">
      <c r="B49" s="1"/>
    </row>
    <row r="50" customFormat="false" ht="12.8" hidden="false" customHeight="false" outlineLevel="0" collapsed="false">
      <c r="B50" s="1"/>
    </row>
    <row r="51" customFormat="false" ht="12.8" hidden="false" customHeight="false" outlineLevel="0" collapsed="false">
      <c r="B51" s="1"/>
    </row>
    <row r="52" customFormat="false" ht="12.8" hidden="false" customHeight="false" outlineLevel="0" collapsed="false">
      <c r="B52" s="1"/>
    </row>
    <row r="53" customFormat="false" ht="12.8" hidden="false" customHeight="false" outlineLevel="0" collapsed="false">
      <c r="B53" s="1"/>
    </row>
    <row r="54" customFormat="false" ht="12.8" hidden="false" customHeight="false" outlineLevel="0" collapsed="false">
      <c r="B54" s="1"/>
    </row>
    <row r="55" customFormat="false" ht="12.8" hidden="false" customHeight="false" outlineLevel="0" collapsed="false">
      <c r="B55" s="1"/>
    </row>
    <row r="56" customFormat="false" ht="12.8" hidden="false" customHeight="false" outlineLevel="0" collapsed="false">
      <c r="B56" s="1"/>
    </row>
    <row r="57" customFormat="false" ht="12.8" hidden="false" customHeight="false" outlineLevel="0" collapsed="false">
      <c r="B57" s="1"/>
    </row>
    <row r="58" customFormat="false" ht="12.8" hidden="false" customHeight="false" outlineLevel="0" collapsed="false">
      <c r="B58" s="1"/>
    </row>
    <row r="59" customFormat="false" ht="12.8" hidden="false" customHeight="false" outlineLevel="0" collapsed="false">
      <c r="B59" s="1"/>
    </row>
    <row r="60" customFormat="false" ht="12.8" hidden="false" customHeight="false" outlineLevel="0" collapsed="false">
      <c r="B60" s="1"/>
    </row>
    <row r="61" customFormat="false" ht="12.8" hidden="false" customHeight="false" outlineLevel="0" collapsed="false">
      <c r="B61" s="1"/>
    </row>
    <row r="62" customFormat="false" ht="12.8" hidden="false" customHeight="false" outlineLevel="0" collapsed="false">
      <c r="B62" s="1"/>
    </row>
    <row r="63" customFormat="false" ht="12.8" hidden="false" customHeight="false" outlineLevel="0" collapsed="false">
      <c r="B63" s="1"/>
    </row>
    <row r="64" customFormat="false" ht="12.8" hidden="false" customHeight="false" outlineLevel="0" collapsed="false">
      <c r="B64" s="1"/>
    </row>
    <row r="65" customFormat="false" ht="12.8" hidden="false" customHeight="false" outlineLevel="0" collapsed="false">
      <c r="B65" s="1"/>
    </row>
    <row r="66" customFormat="false" ht="12.8" hidden="false" customHeight="false" outlineLevel="0" collapsed="false">
      <c r="B66" s="1"/>
    </row>
    <row r="67" customFormat="false" ht="12.8" hidden="false" customHeight="false" outlineLevel="0" collapsed="false">
      <c r="B67" s="1"/>
    </row>
    <row r="68" customFormat="false" ht="12.8" hidden="false" customHeight="false" outlineLevel="0" collapsed="false">
      <c r="B68" s="1"/>
    </row>
    <row r="69" customFormat="false" ht="12.8" hidden="false" customHeight="false" outlineLevel="0" collapsed="false">
      <c r="B69" s="1"/>
    </row>
    <row r="70" customFormat="false" ht="12.8" hidden="false" customHeight="false" outlineLevel="0" collapsed="false">
      <c r="B70" s="1"/>
    </row>
    <row r="71" customFormat="false" ht="12.8" hidden="false" customHeight="false" outlineLevel="0" collapsed="false">
      <c r="B71" s="1"/>
    </row>
    <row r="72" customFormat="false" ht="12.8" hidden="false" customHeight="false" outlineLevel="0" collapsed="false">
      <c r="B72" s="1"/>
    </row>
    <row r="73" customFormat="false" ht="12.8" hidden="false" customHeight="false" outlineLevel="0" collapsed="false">
      <c r="B73" s="1"/>
    </row>
    <row r="74" customFormat="false" ht="12.8" hidden="false" customHeight="false" outlineLevel="0" collapsed="false">
      <c r="B74" s="1"/>
    </row>
    <row r="75" customFormat="false" ht="12.8" hidden="false" customHeight="false" outlineLevel="0" collapsed="false">
      <c r="B75" s="1"/>
    </row>
    <row r="76" customFormat="false" ht="12.8" hidden="false" customHeight="false" outlineLevel="0" collapsed="false">
      <c r="B76" s="1"/>
    </row>
    <row r="77" customFormat="false" ht="12.8" hidden="false" customHeight="false" outlineLevel="0" collapsed="false">
      <c r="B77" s="1"/>
    </row>
    <row r="78" customFormat="false" ht="12.8" hidden="false" customHeight="false" outlineLevel="0" collapsed="false">
      <c r="B78" s="1"/>
    </row>
    <row r="79" customFormat="false" ht="12.8" hidden="false" customHeight="false" outlineLevel="0" collapsed="false">
      <c r="B79" s="1"/>
    </row>
    <row r="80" customFormat="false" ht="12.8" hidden="false" customHeight="false" outlineLevel="0" collapsed="false">
      <c r="B80" s="1"/>
    </row>
    <row r="81" customFormat="false" ht="12.8" hidden="false" customHeight="false" outlineLevel="0" collapsed="false">
      <c r="B81" s="1"/>
    </row>
    <row r="82" customFormat="false" ht="12.8" hidden="false" customHeight="false" outlineLevel="0" collapsed="false">
      <c r="B82" s="1"/>
    </row>
    <row r="83" customFormat="false" ht="12.8" hidden="false" customHeight="false" outlineLevel="0" collapsed="false">
      <c r="B83" s="1"/>
    </row>
    <row r="84" customFormat="false" ht="12.8" hidden="false" customHeight="false" outlineLevel="0" collapsed="false">
      <c r="B84" s="1"/>
    </row>
    <row r="85" customFormat="false" ht="12.8" hidden="false" customHeight="false" outlineLevel="0" collapsed="false">
      <c r="B85" s="1"/>
    </row>
    <row r="86" customFormat="false" ht="12.8" hidden="false" customHeight="false" outlineLevel="0" collapsed="false">
      <c r="B86" s="1"/>
    </row>
    <row r="87" customFormat="false" ht="12.8" hidden="false" customHeight="false" outlineLevel="0" collapsed="false">
      <c r="B87" s="1"/>
    </row>
    <row r="88" customFormat="false" ht="12.8" hidden="false" customHeight="false" outlineLevel="0" collapsed="false">
      <c r="B88" s="1"/>
    </row>
    <row r="89" customFormat="false" ht="12.8" hidden="false" customHeight="false" outlineLevel="0" collapsed="false">
      <c r="B89" s="1"/>
    </row>
    <row r="90" customFormat="false" ht="12.8" hidden="false" customHeight="false" outlineLevel="0" collapsed="false">
      <c r="B90" s="1"/>
    </row>
    <row r="91" customFormat="false" ht="12.8" hidden="false" customHeight="false" outlineLevel="0" collapsed="false">
      <c r="B91" s="1"/>
    </row>
    <row r="92" customFormat="false" ht="12.8" hidden="false" customHeight="false" outlineLevel="0" collapsed="false">
      <c r="B92" s="1"/>
    </row>
    <row r="93" customFormat="false" ht="12.8" hidden="false" customHeight="false" outlineLevel="0" collapsed="false">
      <c r="B93" s="1"/>
    </row>
    <row r="94" customFormat="false" ht="12.8" hidden="false" customHeight="false" outlineLevel="0" collapsed="false">
      <c r="B94" s="1"/>
    </row>
    <row r="95" customFormat="false" ht="12.8" hidden="false" customHeight="false" outlineLevel="0" collapsed="false">
      <c r="B95" s="1"/>
    </row>
    <row r="96" customFormat="false" ht="12.8" hidden="false" customHeight="false" outlineLevel="0" collapsed="false">
      <c r="B96" s="1"/>
    </row>
    <row r="97" customFormat="false" ht="12.8" hidden="false" customHeight="false" outlineLevel="0" collapsed="false">
      <c r="B97" s="1"/>
    </row>
    <row r="98" customFormat="false" ht="12.8" hidden="false" customHeight="false" outlineLevel="0" collapsed="false">
      <c r="B98" s="1"/>
    </row>
    <row r="99" customFormat="false" ht="12.8" hidden="false" customHeight="false" outlineLevel="0" collapsed="false">
      <c r="B99" s="1"/>
    </row>
    <row r="100" customFormat="false" ht="12.8" hidden="false" customHeight="false" outlineLevel="0" collapsed="false">
      <c r="B100" s="1"/>
    </row>
    <row r="101" customFormat="false" ht="12.8" hidden="false" customHeight="false" outlineLevel="0" collapsed="false">
      <c r="B101" s="1"/>
    </row>
    <row r="102" customFormat="false" ht="12.8" hidden="false" customHeight="false" outlineLevel="0" collapsed="false">
      <c r="B102" s="1"/>
    </row>
    <row r="103" customFormat="false" ht="12.8" hidden="false" customHeight="false" outlineLevel="0" collapsed="false">
      <c r="B103" s="1"/>
    </row>
    <row r="104" customFormat="false" ht="12.8" hidden="false" customHeight="false" outlineLevel="0" collapsed="false">
      <c r="B104" s="1"/>
    </row>
    <row r="105" customFormat="false" ht="12.8" hidden="false" customHeight="false" outlineLevel="0" collapsed="false">
      <c r="B105" s="1"/>
    </row>
    <row r="106" customFormat="false" ht="12.8" hidden="false" customHeight="false" outlineLevel="0" collapsed="false">
      <c r="B106" s="1"/>
    </row>
    <row r="107" customFormat="false" ht="12.8" hidden="false" customHeight="false" outlineLevel="0" collapsed="false">
      <c r="B107" s="1"/>
    </row>
    <row r="108" customFormat="false" ht="12.8" hidden="false" customHeight="false" outlineLevel="0" collapsed="false">
      <c r="B108" s="1"/>
    </row>
    <row r="109" customFormat="false" ht="12.8" hidden="false" customHeight="false" outlineLevel="0" collapsed="false">
      <c r="B109" s="1"/>
    </row>
    <row r="110" customFormat="false" ht="12.8" hidden="false" customHeight="false" outlineLevel="0" collapsed="false">
      <c r="B110" s="1"/>
    </row>
    <row r="111" customFormat="false" ht="12.8" hidden="false" customHeight="false" outlineLevel="0" collapsed="false">
      <c r="B111" s="1"/>
    </row>
    <row r="112" customFormat="false" ht="12.8" hidden="false" customHeight="false" outlineLevel="0" collapsed="false">
      <c r="B112" s="1"/>
    </row>
    <row r="113" customFormat="false" ht="12.8" hidden="false" customHeight="false" outlineLevel="0" collapsed="false">
      <c r="B113" s="1"/>
    </row>
    <row r="114" customFormat="false" ht="12.8" hidden="false" customHeight="false" outlineLevel="0" collapsed="false">
      <c r="B114" s="1"/>
    </row>
    <row r="115" customFormat="false" ht="12.8" hidden="false" customHeight="false" outlineLevel="0" collapsed="false">
      <c r="B115" s="1"/>
    </row>
    <row r="116" customFormat="false" ht="12.8" hidden="false" customHeight="false" outlineLevel="0" collapsed="false">
      <c r="B116" s="1"/>
    </row>
    <row r="117" customFormat="false" ht="12.8" hidden="false" customHeight="false" outlineLevel="0" collapsed="false">
      <c r="B117" s="1"/>
    </row>
    <row r="118" customFormat="false" ht="12.8" hidden="false" customHeight="false" outlineLevel="0" collapsed="false">
      <c r="B118" s="1"/>
    </row>
    <row r="119" customFormat="false" ht="12.8" hidden="false" customHeight="false" outlineLevel="0" collapsed="false">
      <c r="B119" s="1"/>
    </row>
    <row r="120" customFormat="false" ht="12.8" hidden="false" customHeight="false" outlineLevel="0" collapsed="false">
      <c r="B120" s="1"/>
    </row>
    <row r="121" customFormat="false" ht="12.8" hidden="false" customHeight="false" outlineLevel="0" collapsed="false">
      <c r="B121" s="1"/>
    </row>
    <row r="122" customFormat="false" ht="12.8" hidden="false" customHeight="false" outlineLevel="0" collapsed="false">
      <c r="B122" s="1"/>
    </row>
    <row r="123" customFormat="false" ht="12.8" hidden="false" customHeight="false" outlineLevel="0" collapsed="false">
      <c r="B123" s="1"/>
    </row>
    <row r="124" customFormat="false" ht="12.8" hidden="false" customHeight="false" outlineLevel="0" collapsed="false">
      <c r="B124" s="1"/>
    </row>
    <row r="125" customFormat="false" ht="12.8" hidden="false" customHeight="false" outlineLevel="0" collapsed="false">
      <c r="B125" s="1"/>
    </row>
    <row r="126" customFormat="false" ht="12.8" hidden="false" customHeight="false" outlineLevel="0" collapsed="false">
      <c r="B126" s="1"/>
    </row>
    <row r="127" customFormat="false" ht="12.8" hidden="false" customHeight="false" outlineLevel="0" collapsed="false">
      <c r="B127" s="1"/>
    </row>
    <row r="128" customFormat="false" ht="12.8" hidden="false" customHeight="false" outlineLevel="0" collapsed="false">
      <c r="B128" s="1"/>
    </row>
    <row r="129" customFormat="false" ht="12.8" hidden="false" customHeight="false" outlineLevel="0" collapsed="false">
      <c r="B129" s="1"/>
    </row>
    <row r="130" customFormat="false" ht="12.8" hidden="false" customHeight="false" outlineLevel="0" collapsed="false">
      <c r="B130" s="1"/>
    </row>
    <row r="131" customFormat="false" ht="12.8" hidden="false" customHeight="false" outlineLevel="0" collapsed="false">
      <c r="B131" s="1"/>
    </row>
    <row r="132" customFormat="false" ht="12.8" hidden="false" customHeight="false" outlineLevel="0" collapsed="false">
      <c r="B132" s="1"/>
    </row>
    <row r="133" customFormat="false" ht="12.8" hidden="false" customHeight="false" outlineLevel="0" collapsed="false">
      <c r="B133" s="1"/>
    </row>
    <row r="134" customFormat="false" ht="12.8" hidden="false" customHeight="false" outlineLevel="0" collapsed="false">
      <c r="B134" s="1"/>
    </row>
    <row r="135" customFormat="false" ht="12.8" hidden="false" customHeight="false" outlineLevel="0" collapsed="false">
      <c r="B135" s="1"/>
    </row>
    <row r="136" customFormat="false" ht="12.8" hidden="false" customHeight="false" outlineLevel="0" collapsed="false">
      <c r="B136" s="1"/>
    </row>
    <row r="137" customFormat="false" ht="12.8" hidden="false" customHeight="false" outlineLevel="0" collapsed="false">
      <c r="B137" s="1"/>
    </row>
    <row r="138" customFormat="false" ht="12.8" hidden="false" customHeight="false" outlineLevel="0" collapsed="false">
      <c r="B138" s="1"/>
    </row>
    <row r="139" customFormat="false" ht="12.8" hidden="false" customHeight="false" outlineLevel="0" collapsed="false">
      <c r="B139" s="1"/>
    </row>
    <row r="140" customFormat="false" ht="12.8" hidden="false" customHeight="false" outlineLevel="0" collapsed="false">
      <c r="B140" s="1"/>
    </row>
    <row r="141" customFormat="false" ht="12.8" hidden="false" customHeight="false" outlineLevel="0" collapsed="false">
      <c r="B141" s="1"/>
    </row>
    <row r="142" customFormat="false" ht="12.8" hidden="false" customHeight="false" outlineLevel="0" collapsed="false">
      <c r="B142" s="1"/>
    </row>
    <row r="143" customFormat="false" ht="12.8" hidden="false" customHeight="false" outlineLevel="0" collapsed="false">
      <c r="B143" s="1"/>
    </row>
    <row r="144" customFormat="false" ht="12.8" hidden="false" customHeight="false" outlineLevel="0" collapsed="false">
      <c r="B144" s="1"/>
    </row>
    <row r="145" customFormat="false" ht="12.8" hidden="false" customHeight="false" outlineLevel="0" collapsed="false">
      <c r="B145" s="1"/>
    </row>
    <row r="146" customFormat="false" ht="12.8" hidden="false" customHeight="false" outlineLevel="0" collapsed="false">
      <c r="B146" s="1"/>
    </row>
    <row r="147" customFormat="false" ht="12.8" hidden="false" customHeight="false" outlineLevel="0" collapsed="false">
      <c r="B147" s="1"/>
    </row>
    <row r="148" customFormat="false" ht="12.8" hidden="false" customHeight="false" outlineLevel="0" collapsed="false">
      <c r="B148" s="1"/>
    </row>
    <row r="149" customFormat="false" ht="12.8" hidden="false" customHeight="false" outlineLevel="0" collapsed="false">
      <c r="B149" s="1"/>
    </row>
    <row r="150" customFormat="false" ht="12.8" hidden="false" customHeight="false" outlineLevel="0" collapsed="false">
      <c r="B150" s="1"/>
    </row>
    <row r="151" customFormat="false" ht="12.8" hidden="false" customHeight="false" outlineLevel="0" collapsed="false">
      <c r="B151" s="1"/>
    </row>
    <row r="152" customFormat="false" ht="12.8" hidden="false" customHeight="false" outlineLevel="0" collapsed="false">
      <c r="B152" s="1"/>
    </row>
    <row r="153" customFormat="false" ht="12.8" hidden="false" customHeight="false" outlineLevel="0" collapsed="false">
      <c r="B153" s="1"/>
    </row>
    <row r="154" customFormat="false" ht="12.8" hidden="false" customHeight="false" outlineLevel="0" collapsed="false">
      <c r="B154" s="1"/>
    </row>
    <row r="155" customFormat="false" ht="12.8" hidden="false" customHeight="false" outlineLevel="0" collapsed="false">
      <c r="B155" s="1"/>
    </row>
    <row r="156" customFormat="false" ht="12.8" hidden="false" customHeight="false" outlineLevel="0" collapsed="false">
      <c r="B156" s="1"/>
    </row>
    <row r="157" customFormat="false" ht="12.8" hidden="false" customHeight="false" outlineLevel="0" collapsed="false">
      <c r="B157" s="1"/>
    </row>
    <row r="158" customFormat="false" ht="12.8" hidden="false" customHeight="false" outlineLevel="0" collapsed="false">
      <c r="B158" s="1"/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77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E4" activeCellId="0" sqref="E4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20.52"/>
    <col collapsed="false" customWidth="true" hidden="false" outlineLevel="0" max="5" min="5" style="1" width="19.71"/>
    <col collapsed="false" customWidth="true" hidden="false" outlineLevel="0" max="6" min="6" style="1" width="20.79"/>
    <col collapsed="false" customWidth="true" hidden="false" outlineLevel="0" max="7" min="7" style="1" width="19.71"/>
    <col collapsed="false" customWidth="true" hidden="false" outlineLevel="0" max="9" min="8" style="1" width="22.42"/>
    <col collapsed="false" customWidth="true" hidden="false" outlineLevel="0" max="10" min="10" style="1" width="19.71"/>
  </cols>
  <sheetData>
    <row r="2" customFormat="false" ht="12.8" hidden="false" customHeight="false" outlineLevel="0" collapsed="false">
      <c r="A2" s="10" t="s">
        <v>108</v>
      </c>
      <c r="B2" s="10"/>
    </row>
    <row r="3" customFormat="false" ht="12.8" hidden="false" customHeight="false" outlineLevel="0" collapsed="false">
      <c r="A3" s="11" t="s">
        <v>109</v>
      </c>
      <c r="B3" s="5" t="s">
        <v>110</v>
      </c>
      <c r="C3" s="4" t="s">
        <v>111</v>
      </c>
      <c r="D3" s="1" t="s">
        <v>112</v>
      </c>
      <c r="E3" s="0" t="s">
        <v>113</v>
      </c>
      <c r="F3" s="4" t="s">
        <v>114</v>
      </c>
      <c r="G3" s="4" t="s">
        <v>115</v>
      </c>
      <c r="H3" s="4" t="s">
        <v>116</v>
      </c>
      <c r="I3" s="4" t="s">
        <v>117</v>
      </c>
      <c r="J3" s="4" t="s">
        <v>118</v>
      </c>
      <c r="K3" s="4" t="s">
        <v>119</v>
      </c>
      <c r="L3" s="1" t="s">
        <v>120</v>
      </c>
      <c r="M3" s="1" t="s">
        <v>121</v>
      </c>
    </row>
    <row r="4" customFormat="false" ht="12.8" hidden="false" customHeight="false" outlineLevel="0" collapsed="false">
      <c r="A4" s="8" t="n">
        <v>1</v>
      </c>
      <c r="B4" s="1" t="n">
        <v>0.823272744718597</v>
      </c>
      <c r="C4" s="5" t="n">
        <v>0.820530604737196</v>
      </c>
      <c r="D4" s="1" t="n">
        <f aca="false">B4-C4</f>
        <v>0.00274213998140105</v>
      </c>
      <c r="E4" s="0"/>
      <c r="F4" s="4" t="n">
        <f aca="false">_xlfn.STDEV.S(B4:B28)</f>
        <v>0.052085230841955</v>
      </c>
      <c r="G4" s="4" t="n">
        <f aca="false">_xlfn.STDEV.S(C4:C28)</f>
        <v>0.110296896441833</v>
      </c>
      <c r="H4" s="4" t="n">
        <f aca="false">_xlfn.F.TEST(B4:B28,C4:C28)</f>
        <v>0.000487958794691895</v>
      </c>
      <c r="I4" s="4" t="n">
        <f aca="false">_xlfn.T.TEST(B4:B28, C4:C28, 2,2)</f>
        <v>3.26339212171987E-008</v>
      </c>
      <c r="J4" s="4" t="n">
        <f aca="false">_xlfn.T.TEST(B4:B28,C4:C28, 2,3)</f>
        <v>1.50267641568853E-007</v>
      </c>
      <c r="K4" s="4" t="n">
        <f aca="false">AVERAGE(B4:B28)-AVERAGE(C4:C28)</f>
        <v>0.160475437463067</v>
      </c>
      <c r="L4" s="1" t="n">
        <f aca="false">AVERAGE(B4:B28)</f>
        <v>0.724822383295928</v>
      </c>
      <c r="M4" s="1" t="n">
        <f aca="false">AVERAGE(C4:C28)</f>
        <v>0.564346945832861</v>
      </c>
    </row>
    <row r="5" customFormat="false" ht="12.8" hidden="false" customHeight="false" outlineLevel="0" collapsed="false">
      <c r="A5" s="8" t="n">
        <v>2</v>
      </c>
      <c r="B5" s="1" t="n">
        <v>0.642199317331402</v>
      </c>
      <c r="C5" s="5" t="n">
        <v>0.407777700566947</v>
      </c>
      <c r="D5" s="1" t="n">
        <f aca="false">B5-C5</f>
        <v>0.234421616764455</v>
      </c>
      <c r="E5" s="1" t="s">
        <v>122</v>
      </c>
    </row>
    <row r="6" customFormat="false" ht="12.8" hidden="false" customHeight="false" outlineLevel="0" collapsed="false">
      <c r="A6" s="8" t="n">
        <v>3</v>
      </c>
      <c r="B6" s="1" t="n">
        <v>0.724560029881393</v>
      </c>
      <c r="C6" s="5" t="n">
        <v>0.64741533537976</v>
      </c>
      <c r="D6" s="1" t="n">
        <f aca="false">B6-C6</f>
        <v>0.077144694501633</v>
      </c>
    </row>
    <row r="7" customFormat="false" ht="12.8" hidden="false" customHeight="false" outlineLevel="0" collapsed="false">
      <c r="A7" s="8" t="n">
        <v>4</v>
      </c>
      <c r="B7" s="1" t="n">
        <v>0.708336187220553</v>
      </c>
      <c r="C7" s="5" t="n">
        <v>0.492147299468326</v>
      </c>
      <c r="D7" s="1" t="n">
        <f aca="false">B7-C7</f>
        <v>0.216188887752227</v>
      </c>
      <c r="E7" s="1" t="s">
        <v>122</v>
      </c>
    </row>
    <row r="8" customFormat="false" ht="12.8" hidden="false" customHeight="false" outlineLevel="0" collapsed="false">
      <c r="A8" s="8" t="n">
        <v>5</v>
      </c>
      <c r="B8" s="1" t="n">
        <v>0.697620486730694</v>
      </c>
      <c r="C8" s="5" t="n">
        <v>0.536862868469305</v>
      </c>
      <c r="D8" s="1" t="n">
        <f aca="false">B8-C8</f>
        <v>0.160757618261389</v>
      </c>
      <c r="E8" s="1" t="s">
        <v>122</v>
      </c>
    </row>
    <row r="9" customFormat="false" ht="12.8" hidden="false" customHeight="false" outlineLevel="0" collapsed="false">
      <c r="A9" s="8" t="n">
        <v>6</v>
      </c>
      <c r="B9" s="1" t="n">
        <v>0.757276291011557</v>
      </c>
      <c r="C9" s="5" t="n">
        <v>0.63772449375854</v>
      </c>
      <c r="D9" s="1" t="n">
        <f aca="false">B9-C9</f>
        <v>0.119551797253017</v>
      </c>
    </row>
    <row r="10" customFormat="false" ht="12.8" hidden="false" customHeight="false" outlineLevel="0" collapsed="false">
      <c r="A10" s="8" t="n">
        <v>7</v>
      </c>
      <c r="B10" s="1" t="n">
        <v>0.758449701833791</v>
      </c>
      <c r="C10" s="5" t="n">
        <v>0.616656606375133</v>
      </c>
      <c r="D10" s="1" t="n">
        <f aca="false">B10-C10</f>
        <v>0.141793095458658</v>
      </c>
    </row>
    <row r="11" customFormat="false" ht="12.8" hidden="false" customHeight="false" outlineLevel="0" collapsed="false">
      <c r="A11" s="8" t="n">
        <v>8</v>
      </c>
      <c r="B11" s="1" t="n">
        <v>0.705275325567815</v>
      </c>
      <c r="C11" s="5" t="n">
        <v>0.626592572489672</v>
      </c>
      <c r="D11" s="1" t="n">
        <f aca="false">B11-C11</f>
        <v>0.078682753078143</v>
      </c>
    </row>
    <row r="12" customFormat="false" ht="12.8" hidden="false" customHeight="false" outlineLevel="0" collapsed="false">
      <c r="A12" s="8" t="n">
        <v>9</v>
      </c>
      <c r="B12" s="1" t="n">
        <v>0.638110457472859</v>
      </c>
      <c r="C12" s="5" t="n">
        <v>0.648034250961909</v>
      </c>
      <c r="D12" s="1" t="n">
        <f aca="false">B12-C12</f>
        <v>-0.00992379348905004</v>
      </c>
    </row>
    <row r="13" customFormat="false" ht="12.8" hidden="false" customHeight="false" outlineLevel="0" collapsed="false">
      <c r="A13" s="8" t="n">
        <v>10</v>
      </c>
      <c r="B13" s="1" t="n">
        <v>0.718916919696981</v>
      </c>
      <c r="C13" s="5" t="n">
        <v>0.506323646773135</v>
      </c>
      <c r="D13" s="1" t="n">
        <f aca="false">B13-C13</f>
        <v>0.212593272923846</v>
      </c>
      <c r="E13" s="1" t="s">
        <v>122</v>
      </c>
    </row>
    <row r="14" customFormat="false" ht="12.8" hidden="false" customHeight="false" outlineLevel="0" collapsed="false">
      <c r="A14" s="8" t="n">
        <v>11</v>
      </c>
      <c r="B14" s="1" t="n">
        <v>0.760910644452133</v>
      </c>
      <c r="C14" s="5" t="n">
        <v>0.585612272734794</v>
      </c>
      <c r="D14" s="1" t="n">
        <f aca="false">B14-C14</f>
        <v>0.175298371717339</v>
      </c>
      <c r="E14" s="1" t="s">
        <v>122</v>
      </c>
    </row>
    <row r="15" customFormat="false" ht="12.8" hidden="false" customHeight="false" outlineLevel="0" collapsed="false">
      <c r="A15" s="8" t="n">
        <v>12</v>
      </c>
      <c r="B15" s="1" t="n">
        <v>0.812780603575516</v>
      </c>
      <c r="C15" s="5" t="n">
        <v>0.522675525488207</v>
      </c>
      <c r="D15" s="1" t="n">
        <f aca="false">B15-C15</f>
        <v>0.290105078087309</v>
      </c>
      <c r="E15" s="1" t="s">
        <v>122</v>
      </c>
    </row>
    <row r="16" customFormat="false" ht="12.8" hidden="false" customHeight="false" outlineLevel="0" collapsed="false">
      <c r="A16" s="8" t="n">
        <v>13</v>
      </c>
      <c r="B16" s="1" t="n">
        <v>0.721407571089307</v>
      </c>
      <c r="C16" s="5" t="n">
        <v>0.59336895192208</v>
      </c>
      <c r="D16" s="1" t="n">
        <f aca="false">B16-C16</f>
        <v>0.128038619167227</v>
      </c>
    </row>
    <row r="17" customFormat="false" ht="12.8" hidden="false" customHeight="false" outlineLevel="0" collapsed="false">
      <c r="A17" s="8" t="n">
        <v>14</v>
      </c>
      <c r="B17" s="1" t="n">
        <v>0.76471605795332</v>
      </c>
      <c r="C17" s="5" t="n">
        <v>0.712010193857469</v>
      </c>
      <c r="D17" s="1" t="n">
        <f aca="false">B17-C17</f>
        <v>0.052705864095851</v>
      </c>
    </row>
    <row r="18" customFormat="false" ht="12.8" hidden="false" customHeight="false" outlineLevel="0" collapsed="false">
      <c r="A18" s="8" t="n">
        <v>15</v>
      </c>
      <c r="B18" s="1" t="n">
        <v>0.711757961516188</v>
      </c>
      <c r="C18" s="5" t="n">
        <v>0.389590431331602</v>
      </c>
      <c r="D18" s="1" t="n">
        <f aca="false">B18-C18</f>
        <v>0.322167530184586</v>
      </c>
      <c r="E18" s="1" t="s">
        <v>122</v>
      </c>
    </row>
    <row r="19" customFormat="false" ht="12.8" hidden="false" customHeight="false" outlineLevel="0" collapsed="false">
      <c r="A19" s="8" t="n">
        <v>16</v>
      </c>
      <c r="B19" s="1" t="n">
        <v>0.636409131350562</v>
      </c>
      <c r="C19" s="5" t="n">
        <v>0.538461186911437</v>
      </c>
      <c r="D19" s="1" t="n">
        <f aca="false">B19-C19</f>
        <v>0.097947944439125</v>
      </c>
    </row>
    <row r="20" customFormat="false" ht="12.8" hidden="false" customHeight="false" outlineLevel="0" collapsed="false">
      <c r="A20" s="8" t="n">
        <v>17</v>
      </c>
      <c r="B20" s="1" t="n">
        <v>0.760684614350216</v>
      </c>
      <c r="C20" s="5" t="n">
        <v>0.562352229380074</v>
      </c>
      <c r="D20" s="1" t="n">
        <f aca="false">B20-C20</f>
        <v>0.198332384970142</v>
      </c>
      <c r="E20" s="1" t="s">
        <v>122</v>
      </c>
    </row>
    <row r="21" customFormat="false" ht="12.8" hidden="false" customHeight="false" outlineLevel="0" collapsed="false">
      <c r="A21" s="8" t="n">
        <v>18</v>
      </c>
      <c r="B21" s="1" t="n">
        <v>0.689444509253728</v>
      </c>
      <c r="C21" s="5" t="n">
        <v>0.449019179327942</v>
      </c>
      <c r="D21" s="1" t="n">
        <f aca="false">B21-C21</f>
        <v>0.240425329925786</v>
      </c>
      <c r="E21" s="1" t="s">
        <v>122</v>
      </c>
    </row>
    <row r="22" customFormat="false" ht="12.8" hidden="false" customHeight="false" outlineLevel="0" collapsed="false">
      <c r="A22" s="8" t="n">
        <v>19</v>
      </c>
      <c r="B22" s="1" t="n">
        <v>0.699907553556336</v>
      </c>
      <c r="C22" s="5" t="n">
        <v>0.547046967409802</v>
      </c>
      <c r="D22" s="1" t="n">
        <f aca="false">B22-C22</f>
        <v>0.152860586146534</v>
      </c>
    </row>
    <row r="23" customFormat="false" ht="12.8" hidden="false" customHeight="false" outlineLevel="0" collapsed="false">
      <c r="A23" s="8" t="n">
        <v>20</v>
      </c>
      <c r="B23" s="1" t="n">
        <v>0.721470667146881</v>
      </c>
      <c r="C23" s="5" t="n">
        <v>0.566106097857875</v>
      </c>
      <c r="D23" s="1" t="n">
        <f aca="false">B23-C23</f>
        <v>0.155364569289006</v>
      </c>
    </row>
    <row r="24" customFormat="false" ht="12.8" hidden="false" customHeight="false" outlineLevel="0" collapsed="false">
      <c r="A24" s="8" t="n">
        <v>21</v>
      </c>
      <c r="B24" s="1" t="n">
        <v>0.694019107158469</v>
      </c>
      <c r="C24" s="5" t="n">
        <v>0.404581945723551</v>
      </c>
      <c r="D24" s="1" t="n">
        <f aca="false">B24-C24</f>
        <v>0.289437161434918</v>
      </c>
      <c r="E24" s="1" t="s">
        <v>122</v>
      </c>
    </row>
    <row r="25" customFormat="false" ht="12.8" hidden="false" customHeight="false" outlineLevel="0" collapsed="false">
      <c r="A25" s="8" t="n">
        <v>22</v>
      </c>
      <c r="B25" s="1" t="n">
        <v>0.755797582220466</v>
      </c>
      <c r="C25" s="5" t="n">
        <v>0.662444425177304</v>
      </c>
      <c r="D25" s="1" t="n">
        <f aca="false">B25-C25</f>
        <v>0.0933531570431621</v>
      </c>
    </row>
    <row r="26" customFormat="false" ht="12.8" hidden="false" customHeight="false" outlineLevel="0" collapsed="false">
      <c r="A26" s="8" t="n">
        <v>23</v>
      </c>
      <c r="B26" s="1" t="n">
        <v>0.650885309375863</v>
      </c>
      <c r="C26" s="5" t="n">
        <v>0.42157129852119</v>
      </c>
      <c r="D26" s="1" t="n">
        <f aca="false">B26-C26</f>
        <v>0.229314010854673</v>
      </c>
      <c r="E26" s="1" t="s">
        <v>122</v>
      </c>
    </row>
    <row r="27" customFormat="false" ht="12.8" hidden="false" customHeight="false" outlineLevel="0" collapsed="false">
      <c r="A27" s="8" t="n">
        <v>24</v>
      </c>
      <c r="B27" s="1" t="n">
        <v>0.810318587583629</v>
      </c>
      <c r="C27" s="5" t="n">
        <v>0.744339298226825</v>
      </c>
      <c r="D27" s="1" t="n">
        <f aca="false">B27-C27</f>
        <v>0.065979289356804</v>
      </c>
    </row>
    <row r="28" customFormat="false" ht="12.8" hidden="false" customHeight="false" outlineLevel="0" collapsed="false">
      <c r="A28" s="4" t="n">
        <v>25</v>
      </c>
      <c r="B28" s="1" t="n">
        <v>0.756032220349956</v>
      </c>
      <c r="C28" s="5" t="n">
        <v>0.469428262971454</v>
      </c>
      <c r="D28" s="1" t="n">
        <f aca="false">B28-C28</f>
        <v>0.286603957378502</v>
      </c>
      <c r="E28" s="1" t="s">
        <v>122</v>
      </c>
    </row>
    <row r="32" customFormat="false" ht="12.8" hidden="false" customHeight="false" outlineLevel="0" collapsed="false">
      <c r="A32" s="1" t="s">
        <v>123</v>
      </c>
    </row>
    <row r="34" customFormat="false" ht="12.8" hidden="false" customHeight="false" outlineLevel="0" collapsed="false">
      <c r="A34" s="11" t="s">
        <v>109</v>
      </c>
      <c r="B34" s="5" t="s">
        <v>124</v>
      </c>
      <c r="C34" s="5" t="s">
        <v>125</v>
      </c>
      <c r="D34" s="5" t="s">
        <v>126</v>
      </c>
      <c r="E34" s="5" t="s">
        <v>110</v>
      </c>
      <c r="F34" s="4" t="s">
        <v>111</v>
      </c>
      <c r="H34" s="12" t="s">
        <v>127</v>
      </c>
    </row>
    <row r="35" customFormat="false" ht="12.8" hidden="false" customHeight="false" outlineLevel="0" collapsed="false">
      <c r="A35" s="8" t="n">
        <v>1</v>
      </c>
      <c r="B35" s="1" t="n">
        <v>0.790005749889737</v>
      </c>
      <c r="C35" s="1" t="n">
        <v>0.818947298519002</v>
      </c>
      <c r="D35" s="1" t="n">
        <v>0.785168761593727</v>
      </c>
      <c r="E35" s="1" t="n">
        <v>0.823272744718597</v>
      </c>
      <c r="F35" s="5" t="n">
        <v>0.820530604737196</v>
      </c>
      <c r="H35" s="1" t="s">
        <v>128</v>
      </c>
      <c r="I35" s="1" t="n">
        <v>0.05</v>
      </c>
    </row>
    <row r="36" customFormat="false" ht="12.8" hidden="false" customHeight="false" outlineLevel="0" collapsed="false">
      <c r="A36" s="8" t="n">
        <v>2</v>
      </c>
      <c r="B36" s="1" t="n">
        <v>0.681735099200446</v>
      </c>
      <c r="C36" s="1" t="n">
        <v>0.726675054349364</v>
      </c>
      <c r="D36" s="1" t="n">
        <v>0.7034443874608</v>
      </c>
      <c r="E36" s="1" t="n">
        <v>0.642199317331402</v>
      </c>
      <c r="F36" s="5" t="n">
        <v>0.407777700566947</v>
      </c>
    </row>
    <row r="37" customFormat="false" ht="12.8" hidden="false" customHeight="false" outlineLevel="0" collapsed="false">
      <c r="A37" s="8" t="n">
        <v>3</v>
      </c>
      <c r="B37" s="1" t="n">
        <v>0.736591542434996</v>
      </c>
      <c r="C37" s="1" t="n">
        <v>0.753823763148008</v>
      </c>
      <c r="D37" s="1" t="n">
        <v>0.735399855829613</v>
      </c>
      <c r="E37" s="1" t="n">
        <v>0.724560029881393</v>
      </c>
      <c r="F37" s="5" t="n">
        <v>0.64741533537976</v>
      </c>
      <c r="H37" s="1" t="s">
        <v>129</v>
      </c>
      <c r="I37" s="1" t="s">
        <v>130</v>
      </c>
      <c r="J37" s="1" t="s">
        <v>131</v>
      </c>
      <c r="K37" s="1" t="s">
        <v>132</v>
      </c>
      <c r="L37" s="1" t="s">
        <v>133</v>
      </c>
    </row>
    <row r="38" customFormat="false" ht="12.8" hidden="false" customHeight="false" outlineLevel="0" collapsed="false">
      <c r="A38" s="8" t="n">
        <v>4</v>
      </c>
      <c r="B38" s="1" t="n">
        <v>0.65821229308805</v>
      </c>
      <c r="C38" s="1" t="n">
        <v>0.694689160951428</v>
      </c>
      <c r="D38" s="1" t="n">
        <v>0.697297454274584</v>
      </c>
      <c r="E38" s="1" t="n">
        <v>0.708336187220553</v>
      </c>
      <c r="F38" s="5" t="n">
        <v>0.492147299468326</v>
      </c>
      <c r="H38" s="1" t="s">
        <v>134</v>
      </c>
      <c r="I38" s="1" t="n">
        <f aca="false">COUNT(inter_system_stats!$B$34:$B$59)</f>
        <v>25</v>
      </c>
      <c r="J38" s="1" t="n">
        <f aca="false">SUM(inter_system_stats!$B$34:$B$59)</f>
        <v>18.2014117602233</v>
      </c>
      <c r="K38" s="1" t="n">
        <f aca="false">AVERAGE(inter_system_stats!$B$34:$B$59)</f>
        <v>0.728056470408934</v>
      </c>
      <c r="L38" s="1" t="n">
        <f aca="false">VAR(inter_system_stats!$B$34:$B$59)</f>
        <v>0.00373474514581051</v>
      </c>
    </row>
    <row r="39" customFormat="false" ht="12.8" hidden="false" customHeight="false" outlineLevel="0" collapsed="false">
      <c r="A39" s="8" t="n">
        <v>5</v>
      </c>
      <c r="B39" s="1" t="n">
        <v>0.743184893131854</v>
      </c>
      <c r="C39" s="1" t="n">
        <v>0.750318975083652</v>
      </c>
      <c r="D39" s="1" t="n">
        <v>0.713223127756937</v>
      </c>
      <c r="E39" s="1" t="n">
        <v>0.697620486730694</v>
      </c>
      <c r="F39" s="5" t="n">
        <v>0.536862868469305</v>
      </c>
      <c r="H39" s="1" t="s">
        <v>135</v>
      </c>
      <c r="I39" s="1" t="n">
        <f aca="false">COUNT(inter_system_stats!$C$34:$C$59)</f>
        <v>25</v>
      </c>
      <c r="J39" s="1" t="n">
        <f aca="false">SUM(inter_system_stats!$C$34:$C$59)</f>
        <v>18.4007705875838</v>
      </c>
      <c r="K39" s="1" t="n">
        <f aca="false">AVERAGE(inter_system_stats!$C$34:$C$59)</f>
        <v>0.736030823503351</v>
      </c>
      <c r="L39" s="1" t="n">
        <f aca="false">VAR(inter_system_stats!$C$34:$C$59)</f>
        <v>0.00298974415306126</v>
      </c>
    </row>
    <row r="40" customFormat="false" ht="12.8" hidden="false" customHeight="false" outlineLevel="0" collapsed="false">
      <c r="A40" s="8" t="n">
        <v>6</v>
      </c>
      <c r="B40" s="1" t="n">
        <v>0.738363300257884</v>
      </c>
      <c r="C40" s="1" t="n">
        <v>0.792897506425522</v>
      </c>
      <c r="D40" s="1" t="n">
        <v>0.767347429776357</v>
      </c>
      <c r="E40" s="1" t="n">
        <v>0.757276291011557</v>
      </c>
      <c r="F40" s="5" t="n">
        <v>0.63772449375854</v>
      </c>
      <c r="H40" s="1" t="s">
        <v>136</v>
      </c>
      <c r="I40" s="1" t="n">
        <f aca="false">COUNT(inter_system_stats!$D$34:$D$59)</f>
        <v>25</v>
      </c>
      <c r="J40" s="1" t="n">
        <f aca="false">SUM(inter_system_stats!$D$34:$D$59)</f>
        <v>18.0079590840409</v>
      </c>
      <c r="K40" s="1" t="n">
        <f aca="false">AVERAGE(inter_system_stats!$D$34:$D$59)</f>
        <v>0.720318363361635</v>
      </c>
      <c r="L40" s="1" t="n">
        <f aca="false">VAR(inter_system_stats!$D$34:$D$59)</f>
        <v>0.00325348290295341</v>
      </c>
    </row>
    <row r="41" customFormat="false" ht="12.8" hidden="false" customHeight="false" outlineLevel="0" collapsed="false">
      <c r="A41" s="8" t="n">
        <v>7</v>
      </c>
      <c r="B41" s="1" t="n">
        <v>0.802709380775578</v>
      </c>
      <c r="C41" s="1" t="n">
        <v>0.740717063652639</v>
      </c>
      <c r="D41" s="1" t="n">
        <v>0.741214474418534</v>
      </c>
      <c r="E41" s="1" t="n">
        <v>0.758449701833791</v>
      </c>
      <c r="F41" s="5" t="n">
        <v>0.616656606375133</v>
      </c>
      <c r="H41" s="1" t="s">
        <v>137</v>
      </c>
      <c r="I41" s="1" t="n">
        <f aca="false">COUNT(inter_system_stats!$E$34:$E$59)</f>
        <v>25</v>
      </c>
      <c r="J41" s="1" t="n">
        <f aca="false">SUM(inter_system_stats!$E$34:$E$59)</f>
        <v>18.1205595823982</v>
      </c>
      <c r="K41" s="1" t="n">
        <f aca="false">AVERAGE(inter_system_stats!$E$34:$E$59)</f>
        <v>0.724822383295928</v>
      </c>
      <c r="L41" s="1" t="n">
        <f aca="false">VAR(inter_system_stats!$E$34:$E$59)</f>
        <v>0.00271287127185974</v>
      </c>
    </row>
    <row r="42" customFormat="false" ht="12.8" hidden="false" customHeight="false" outlineLevel="0" collapsed="false">
      <c r="A42" s="8" t="n">
        <v>8</v>
      </c>
      <c r="B42" s="1" t="n">
        <v>0.767137820624339</v>
      </c>
      <c r="C42" s="1" t="n">
        <v>0.701518866188206</v>
      </c>
      <c r="D42" s="1" t="n">
        <v>0.702691804836109</v>
      </c>
      <c r="E42" s="1" t="n">
        <v>0.705275325567815</v>
      </c>
      <c r="F42" s="5" t="n">
        <v>0.626592572489672</v>
      </c>
    </row>
    <row r="43" customFormat="false" ht="12.8" hidden="false" customHeight="false" outlineLevel="0" collapsed="false">
      <c r="A43" s="8" t="n">
        <v>9</v>
      </c>
      <c r="B43" s="1" t="n">
        <v>0.655203842604779</v>
      </c>
      <c r="C43" s="1" t="n">
        <v>0.679408838434061</v>
      </c>
      <c r="D43" s="1" t="n">
        <v>0.676410925873389</v>
      </c>
      <c r="E43" s="1" t="n">
        <v>0.638110457472859</v>
      </c>
      <c r="F43" s="5" t="n">
        <v>0.648034250961909</v>
      </c>
      <c r="H43" s="1" t="s">
        <v>138</v>
      </c>
      <c r="I43" s="1" t="s">
        <v>139</v>
      </c>
      <c r="J43" s="1" t="s">
        <v>140</v>
      </c>
      <c r="K43" s="1" t="s">
        <v>141</v>
      </c>
      <c r="L43" s="1" t="s">
        <v>142</v>
      </c>
      <c r="M43" s="1" t="s">
        <v>143</v>
      </c>
      <c r="N43" s="1" t="s">
        <v>144</v>
      </c>
    </row>
    <row r="44" customFormat="false" ht="12.8" hidden="false" customHeight="false" outlineLevel="0" collapsed="false">
      <c r="A44" s="8" t="n">
        <v>10</v>
      </c>
      <c r="B44" s="1" t="n">
        <v>0.700905183166286</v>
      </c>
      <c r="C44" s="1" t="n">
        <v>0.693828339018655</v>
      </c>
      <c r="D44" s="1" t="n">
        <v>0.715155539827357</v>
      </c>
      <c r="E44" s="1" t="n">
        <v>0.718916919696981</v>
      </c>
      <c r="F44" s="5" t="n">
        <v>0.506323646773135</v>
      </c>
      <c r="H44" s="1" t="s">
        <v>145</v>
      </c>
      <c r="I44" s="1" t="n">
        <f aca="false">SUMPRODUCT(inter_system_stats!$J$38:$J$41,inter_system_stats!$K$38:$K$41)-SUM(inter_system_stats!$J$38:$J$41)^2/SUM(inter_system_stats!$I$38:$I$41)</f>
        <v>0.00329202911601811</v>
      </c>
      <c r="J44" s="1" t="n">
        <f aca="false">COUNT(inter_system_stats!$J$38:$J$41)-1</f>
        <v>3</v>
      </c>
      <c r="K44" s="1" t="n">
        <f aca="false">inter_system_stats!$I$44 / inter_system_stats!$J$44</f>
        <v>0.0010973430386727</v>
      </c>
      <c r="L44" s="1" t="n">
        <f aca="false">inter_system_stats!$K$44 / inter_system_stats!$K$45</f>
        <v>0.345869221678795</v>
      </c>
      <c r="M44" s="1" t="n">
        <f aca="false">FDIST(inter_system_stats!$L$44, inter_system_stats!$J$44, inter_system_stats!$J$45)</f>
        <v>0.792206314469622</v>
      </c>
      <c r="N44" s="1" t="n">
        <f aca="false">FINV(inter_system_stats!$I$35, inter_system_stats!$J$44, inter_system_stats!$J$45)</f>
        <v>2.69939259755218</v>
      </c>
    </row>
    <row r="45" customFormat="false" ht="12.8" hidden="false" customHeight="false" outlineLevel="0" collapsed="false">
      <c r="A45" s="8" t="n">
        <v>11</v>
      </c>
      <c r="B45" s="1" t="n">
        <v>0.719629235257693</v>
      </c>
      <c r="C45" s="1" t="n">
        <v>0.714015093691685</v>
      </c>
      <c r="D45" s="1" t="n">
        <v>0.72491699498861</v>
      </c>
      <c r="E45" s="1" t="n">
        <v>0.760910644452133</v>
      </c>
      <c r="F45" s="5" t="n">
        <v>0.585612272734794</v>
      </c>
      <c r="H45" s="1" t="s">
        <v>146</v>
      </c>
      <c r="I45" s="1" t="n">
        <f aca="false">SUM(DEVSQ(inter_system_stats!$B$34:$B$59),DEVSQ(inter_system_stats!$C$34:$C$59),DEVSQ(inter_system_stats!$D$34:$D$59),DEVSQ(inter_system_stats!$E$34:$E$59))</f>
        <v>0.304580243368438</v>
      </c>
      <c r="J45" s="1" t="n">
        <f aca="false">SUM(inter_system_stats!$I$38:$I$41)-COUNT(inter_system_stats!$I$38:$I$41)</f>
        <v>96</v>
      </c>
      <c r="K45" s="1" t="n">
        <f aca="false">inter_system_stats!$I$45 / inter_system_stats!$J$45</f>
        <v>0.00317271086842123</v>
      </c>
    </row>
    <row r="46" customFormat="false" ht="12.8" hidden="false" customHeight="false" outlineLevel="0" collapsed="false">
      <c r="A46" s="8" t="n">
        <v>12</v>
      </c>
      <c r="B46" s="1" t="n">
        <v>0.831621410337318</v>
      </c>
      <c r="C46" s="1" t="n">
        <v>0.829353335851788</v>
      </c>
      <c r="D46" s="1" t="n">
        <v>0.844773353099784</v>
      </c>
      <c r="E46" s="1" t="n">
        <v>0.812780603575516</v>
      </c>
      <c r="F46" s="5" t="n">
        <v>0.522675525488207</v>
      </c>
      <c r="H46" s="1" t="s">
        <v>147</v>
      </c>
      <c r="I46" s="1" t="n">
        <f aca="false">DEVSQ(inter_system_stats!$B$34:$B$59,inter_system_stats!$C$34:$C$59,inter_system_stats!$D$34:$D$59,inter_system_stats!$E$34:$E$59)</f>
        <v>0.307872272484446</v>
      </c>
      <c r="J46" s="1" t="n">
        <f aca="false">SUM(inter_system_stats!$I$38:$I$41) - 1</f>
        <v>99</v>
      </c>
    </row>
    <row r="47" customFormat="false" ht="12.8" hidden="false" customHeight="false" outlineLevel="0" collapsed="false">
      <c r="A47" s="8" t="n">
        <v>13</v>
      </c>
      <c r="B47" s="1" t="n">
        <v>0.709519501585356</v>
      </c>
      <c r="C47" s="1" t="n">
        <v>0.741335114714525</v>
      </c>
      <c r="D47" s="1" t="n">
        <v>0.670771286759802</v>
      </c>
      <c r="E47" s="1" t="n">
        <v>0.721407571089307</v>
      </c>
      <c r="F47" s="5" t="n">
        <v>0.59336895192208</v>
      </c>
    </row>
    <row r="48" customFormat="false" ht="12.8" hidden="false" customHeight="false" outlineLevel="0" collapsed="false">
      <c r="A48" s="8" t="n">
        <v>14</v>
      </c>
      <c r="B48" s="1" t="n">
        <v>0.752588038781123</v>
      </c>
      <c r="C48" s="1" t="n">
        <v>0.777558691836526</v>
      </c>
      <c r="D48" s="1" t="n">
        <v>0.749199345598474</v>
      </c>
      <c r="E48" s="1" t="n">
        <v>0.76471605795332</v>
      </c>
      <c r="F48" s="5" t="n">
        <v>0.712010193857469</v>
      </c>
    </row>
    <row r="49" customFormat="false" ht="12.8" hidden="false" customHeight="false" outlineLevel="0" collapsed="false">
      <c r="A49" s="8" t="n">
        <v>15</v>
      </c>
      <c r="B49" s="1" t="n">
        <v>0.742555870420495</v>
      </c>
      <c r="C49" s="1" t="n">
        <v>0.769655236905789</v>
      </c>
      <c r="D49" s="1" t="n">
        <v>0.710334404151347</v>
      </c>
      <c r="E49" s="1" t="n">
        <v>0.711757961516188</v>
      </c>
      <c r="F49" s="5" t="n">
        <v>0.389590431331602</v>
      </c>
    </row>
    <row r="50" customFormat="false" ht="12.8" hidden="false" customHeight="false" outlineLevel="0" collapsed="false">
      <c r="A50" s="8" t="n">
        <v>16</v>
      </c>
      <c r="B50" s="1" t="n">
        <v>0.626600189640605</v>
      </c>
      <c r="C50" s="1" t="n">
        <v>0.692685234430471</v>
      </c>
      <c r="D50" s="1" t="n">
        <v>0.658233657913275</v>
      </c>
      <c r="E50" s="1" t="n">
        <v>0.636409131350562</v>
      </c>
      <c r="F50" s="5" t="n">
        <v>0.538461186911437</v>
      </c>
    </row>
    <row r="51" customFormat="false" ht="12.8" hidden="false" customHeight="false" outlineLevel="0" collapsed="false">
      <c r="A51" s="8" t="n">
        <v>17</v>
      </c>
      <c r="B51" s="1" t="n">
        <v>0.81814248001184</v>
      </c>
      <c r="C51" s="1" t="n">
        <v>0.805787272798479</v>
      </c>
      <c r="D51" s="1" t="n">
        <v>0.821533014122518</v>
      </c>
      <c r="E51" s="1" t="n">
        <v>0.760684614350216</v>
      </c>
      <c r="F51" s="5" t="n">
        <v>0.562352229380074</v>
      </c>
    </row>
    <row r="52" customFormat="false" ht="12.8" hidden="false" customHeight="false" outlineLevel="0" collapsed="false">
      <c r="A52" s="8" t="n">
        <v>18</v>
      </c>
      <c r="B52" s="1" t="n">
        <v>0.647963419254761</v>
      </c>
      <c r="C52" s="1" t="n">
        <v>0.631093794200336</v>
      </c>
      <c r="D52" s="1" t="n">
        <v>0.654001563002053</v>
      </c>
      <c r="E52" s="1" t="n">
        <v>0.689444509253728</v>
      </c>
      <c r="F52" s="5" t="n">
        <v>0.449019179327942</v>
      </c>
    </row>
    <row r="53" customFormat="false" ht="12.8" hidden="false" customHeight="false" outlineLevel="0" collapsed="false">
      <c r="A53" s="8" t="n">
        <v>19</v>
      </c>
      <c r="B53" s="1" t="n">
        <v>0.643841741383017</v>
      </c>
      <c r="C53" s="1" t="n">
        <v>0.690269162854351</v>
      </c>
      <c r="D53" s="1" t="n">
        <v>0.590768867737282</v>
      </c>
      <c r="E53" s="1" t="n">
        <v>0.699907553556336</v>
      </c>
      <c r="F53" s="5" t="n">
        <v>0.547046967409802</v>
      </c>
    </row>
    <row r="54" customFormat="false" ht="12.8" hidden="false" customHeight="false" outlineLevel="0" collapsed="false">
      <c r="A54" s="8" t="n">
        <v>20</v>
      </c>
      <c r="B54" s="1" t="n">
        <v>0.654547731132537</v>
      </c>
      <c r="C54" s="1" t="n">
        <v>0.697049065043941</v>
      </c>
      <c r="D54" s="1" t="n">
        <v>0.716584963681357</v>
      </c>
      <c r="E54" s="1" t="n">
        <v>0.721470667146881</v>
      </c>
      <c r="F54" s="5" t="n">
        <v>0.566106097857875</v>
      </c>
    </row>
    <row r="55" customFormat="false" ht="12.8" hidden="false" customHeight="false" outlineLevel="0" collapsed="false">
      <c r="A55" s="8" t="n">
        <v>21</v>
      </c>
      <c r="B55" s="1" t="n">
        <v>0.737279793404405</v>
      </c>
      <c r="C55" s="1" t="n">
        <v>0.69517695472312</v>
      </c>
      <c r="D55" s="1" t="n">
        <v>0.669739555124102</v>
      </c>
      <c r="E55" s="1" t="n">
        <v>0.694019107158469</v>
      </c>
      <c r="F55" s="5" t="n">
        <v>0.404581945723551</v>
      </c>
    </row>
    <row r="56" customFormat="false" ht="12.8" hidden="false" customHeight="false" outlineLevel="0" collapsed="false">
      <c r="A56" s="8" t="n">
        <v>22</v>
      </c>
      <c r="B56" s="1" t="n">
        <v>0.741791001479869</v>
      </c>
      <c r="C56" s="1" t="n">
        <v>0.757953803081435</v>
      </c>
      <c r="D56" s="1" t="n">
        <v>0.735555505104196</v>
      </c>
      <c r="E56" s="1" t="n">
        <v>0.755797582220466</v>
      </c>
      <c r="F56" s="5" t="n">
        <v>0.662444425177304</v>
      </c>
    </row>
    <row r="57" customFormat="false" ht="12.8" hidden="false" customHeight="false" outlineLevel="0" collapsed="false">
      <c r="A57" s="8" t="n">
        <v>23</v>
      </c>
      <c r="B57" s="1" t="n">
        <v>0.720324505975325</v>
      </c>
      <c r="C57" s="1" t="n">
        <v>0.663150812819657</v>
      </c>
      <c r="D57" s="1" t="n">
        <v>0.705937576250204</v>
      </c>
      <c r="E57" s="1" t="n">
        <v>0.650885309375863</v>
      </c>
      <c r="F57" s="5" t="n">
        <v>0.42157129852119</v>
      </c>
    </row>
    <row r="58" customFormat="false" ht="12.8" hidden="false" customHeight="false" outlineLevel="0" collapsed="false">
      <c r="A58" s="8" t="n">
        <v>24</v>
      </c>
      <c r="B58" s="1" t="n">
        <v>0.85301227080764</v>
      </c>
      <c r="C58" s="1" t="n">
        <v>0.846569350289584</v>
      </c>
      <c r="D58" s="1" t="n">
        <v>0.821053723330557</v>
      </c>
      <c r="E58" s="1" t="n">
        <v>0.810318587583629</v>
      </c>
      <c r="F58" s="5" t="n">
        <v>0.744339298226825</v>
      </c>
    </row>
    <row r="59" customFormat="false" ht="12.8" hidden="false" customHeight="false" outlineLevel="0" collapsed="false">
      <c r="A59" s="4" t="n">
        <v>25</v>
      </c>
      <c r="B59" s="1" t="n">
        <v>0.727945465577406</v>
      </c>
      <c r="C59" s="1" t="n">
        <v>0.736292798571547</v>
      </c>
      <c r="D59" s="1" t="n">
        <v>0.697201511529907</v>
      </c>
      <c r="E59" s="1" t="n">
        <v>0.756032220349956</v>
      </c>
      <c r="F59" s="5" t="n">
        <v>0.469428262971454</v>
      </c>
    </row>
    <row r="64" customFormat="false" ht="12.8" hidden="false" customHeight="false" outlineLevel="0" collapsed="false">
      <c r="B64" s="12" t="s">
        <v>127</v>
      </c>
    </row>
    <row r="65" customFormat="false" ht="12.8" hidden="false" customHeight="false" outlineLevel="0" collapsed="false">
      <c r="B65" s="1" t="s">
        <v>128</v>
      </c>
      <c r="C65" s="1" t="n">
        <v>0.05</v>
      </c>
    </row>
    <row r="67" customFormat="false" ht="12.8" hidden="false" customHeight="false" outlineLevel="0" collapsed="false">
      <c r="B67" s="1" t="s">
        <v>129</v>
      </c>
      <c r="C67" s="1" t="s">
        <v>130</v>
      </c>
      <c r="D67" s="1" t="s">
        <v>131</v>
      </c>
      <c r="E67" s="1" t="s">
        <v>132</v>
      </c>
      <c r="F67" s="1" t="s">
        <v>133</v>
      </c>
    </row>
    <row r="68" customFormat="false" ht="12.8" hidden="false" customHeight="false" outlineLevel="0" collapsed="false">
      <c r="B68" s="1" t="s">
        <v>134</v>
      </c>
      <c r="C68" s="1" t="n">
        <f aca="false">COUNT(inter_system_stats!$B$34:$B$59)</f>
        <v>25</v>
      </c>
      <c r="D68" s="1" t="n">
        <f aca="false">SUM(inter_system_stats!$B$34:$B$59)</f>
        <v>18.2014117602233</v>
      </c>
      <c r="E68" s="1" t="n">
        <f aca="false">AVERAGE(inter_system_stats!$B$34:$B$59)</f>
        <v>0.728056470408934</v>
      </c>
      <c r="F68" s="1" t="n">
        <f aca="false">VAR(inter_system_stats!$B$34:$B$59)</f>
        <v>0.00373474514581051</v>
      </c>
    </row>
    <row r="69" customFormat="false" ht="12.8" hidden="false" customHeight="false" outlineLevel="0" collapsed="false">
      <c r="B69" s="1" t="s">
        <v>135</v>
      </c>
      <c r="C69" s="1" t="n">
        <f aca="false">COUNT(inter_system_stats!$C$34:$C$59)</f>
        <v>25</v>
      </c>
      <c r="D69" s="1" t="n">
        <f aca="false">SUM(inter_system_stats!$C$34:$C$59)</f>
        <v>18.4007705875838</v>
      </c>
      <c r="E69" s="1" t="n">
        <f aca="false">AVERAGE(inter_system_stats!$C$34:$C$59)</f>
        <v>0.736030823503351</v>
      </c>
      <c r="F69" s="1" t="n">
        <f aca="false">VAR(inter_system_stats!$C$34:$C$59)</f>
        <v>0.00298974415306126</v>
      </c>
    </row>
    <row r="70" customFormat="false" ht="12.8" hidden="false" customHeight="false" outlineLevel="0" collapsed="false">
      <c r="B70" s="1" t="s">
        <v>136</v>
      </c>
      <c r="C70" s="1" t="n">
        <f aca="false">COUNT(inter_system_stats!$D$34:$D$59)</f>
        <v>25</v>
      </c>
      <c r="D70" s="1" t="n">
        <f aca="false">SUM(inter_system_stats!$D$34:$D$59)</f>
        <v>18.0079590840409</v>
      </c>
      <c r="E70" s="1" t="n">
        <f aca="false">AVERAGE(inter_system_stats!$D$34:$D$59)</f>
        <v>0.720318363361635</v>
      </c>
      <c r="F70" s="1" t="n">
        <f aca="false">VAR(inter_system_stats!$D$34:$D$59)</f>
        <v>0.00325348290295341</v>
      </c>
    </row>
    <row r="71" customFormat="false" ht="12.8" hidden="false" customHeight="false" outlineLevel="0" collapsed="false">
      <c r="B71" s="1" t="s">
        <v>137</v>
      </c>
      <c r="C71" s="1" t="n">
        <f aca="false">COUNT(inter_system_stats!$E$34:$E$59)</f>
        <v>25</v>
      </c>
      <c r="D71" s="1" t="n">
        <f aca="false">SUM(inter_system_stats!$E$34:$E$59)</f>
        <v>18.1205595823982</v>
      </c>
      <c r="E71" s="1" t="n">
        <f aca="false">AVERAGE(inter_system_stats!$E$34:$E$59)</f>
        <v>0.724822383295928</v>
      </c>
      <c r="F71" s="1" t="n">
        <f aca="false">VAR(inter_system_stats!$E$34:$E$59)</f>
        <v>0.00271287127185974</v>
      </c>
    </row>
    <row r="72" customFormat="false" ht="12.8" hidden="false" customHeight="false" outlineLevel="0" collapsed="false">
      <c r="B72" s="1" t="s">
        <v>148</v>
      </c>
      <c r="C72" s="1" t="n">
        <f aca="false">COUNT(inter_system_stats!$F$34:$F$59)</f>
        <v>25</v>
      </c>
      <c r="D72" s="1" t="n">
        <f aca="false">SUM(inter_system_stats!$F$34:$F$59)</f>
        <v>14.1086736458215</v>
      </c>
      <c r="E72" s="1" t="n">
        <f aca="false">AVERAGE(inter_system_stats!$F$34:$F$59)</f>
        <v>0.564346945832861</v>
      </c>
      <c r="F72" s="1" t="n">
        <f aca="false">VAR(inter_system_stats!$F$34:$F$59)</f>
        <v>0.0121654053647004</v>
      </c>
    </row>
    <row r="74" customFormat="false" ht="12.8" hidden="false" customHeight="false" outlineLevel="0" collapsed="false">
      <c r="B74" s="1" t="s">
        <v>138</v>
      </c>
      <c r="C74" s="1" t="s">
        <v>139</v>
      </c>
      <c r="D74" s="1" t="s">
        <v>140</v>
      </c>
      <c r="E74" s="1" t="s">
        <v>141</v>
      </c>
      <c r="F74" s="1" t="s">
        <v>142</v>
      </c>
      <c r="G74" s="1" t="s">
        <v>143</v>
      </c>
      <c r="H74" s="1" t="s">
        <v>144</v>
      </c>
    </row>
    <row r="75" customFormat="false" ht="12.8" hidden="false" customHeight="false" outlineLevel="0" collapsed="false">
      <c r="B75" s="1" t="s">
        <v>145</v>
      </c>
      <c r="C75" s="1" t="n">
        <f aca="false">SUMPRODUCT(inter_system_stats!$D$68:$D$72,inter_system_stats!$E$68:$E$72)-SUM(inter_system_stats!$D$68:$D$72)^2/SUM(inter_system_stats!$C$68:$C$72)</f>
        <v>0.534411680311798</v>
      </c>
      <c r="D75" s="1" t="n">
        <f aca="false">COUNT(inter_system_stats!$D$68:$D$72)-1</f>
        <v>4</v>
      </c>
      <c r="E75" s="1" t="n">
        <f aca="false">inter_system_stats!$C$75 / inter_system_stats!$D$75</f>
        <v>0.13360292007795</v>
      </c>
      <c r="F75" s="1" t="n">
        <f aca="false">inter_system_stats!$E$75 / inter_system_stats!$E$76</f>
        <v>26.8751171881631</v>
      </c>
      <c r="G75" s="1" t="n">
        <f aca="false">FDIST(inter_system_stats!$F$75, inter_system_stats!$D$75, inter_system_stats!$D$76)</f>
        <v>6.30333622456116E-016</v>
      </c>
      <c r="H75" s="1" t="n">
        <f aca="false">FINV(inter_system_stats!$C$65, inter_system_stats!$D$75, inter_system_stats!$D$76)</f>
        <v>2.4472365114693</v>
      </c>
    </row>
    <row r="76" customFormat="false" ht="12.8" hidden="false" customHeight="false" outlineLevel="0" collapsed="false">
      <c r="B76" s="1" t="s">
        <v>146</v>
      </c>
      <c r="C76" s="1" t="n">
        <f aca="false">SUM(DEVSQ(inter_system_stats!$B$34:$B$59),DEVSQ(inter_system_stats!$C$34:$C$59),DEVSQ(inter_system_stats!$D$34:$D$59),DEVSQ(inter_system_stats!$E$34:$E$59),DEVSQ(inter_system_stats!$F$34:$F$59))</f>
        <v>0.596549972121247</v>
      </c>
      <c r="D76" s="1" t="n">
        <f aca="false">SUM(inter_system_stats!$C$68:$C$72)-COUNT(inter_system_stats!$C$68:$C$72)</f>
        <v>120</v>
      </c>
      <c r="E76" s="1" t="n">
        <f aca="false">inter_system_stats!$C$76 / inter_system_stats!$D$76</f>
        <v>0.00497124976767706</v>
      </c>
    </row>
    <row r="77" customFormat="false" ht="12.8" hidden="false" customHeight="false" outlineLevel="0" collapsed="false">
      <c r="B77" s="1" t="s">
        <v>147</v>
      </c>
      <c r="C77" s="1" t="n">
        <f aca="false">DEVSQ(inter_system_stats!$B$34:$B$59,inter_system_stats!$C$34:$C$59,inter_system_stats!$D$34:$D$59,inter_system_stats!$E$34:$E$59,inter_system_stats!$F$34:$F$59)</f>
        <v>1.13096165243304</v>
      </c>
      <c r="D77" s="1" t="n">
        <f aca="false">SUM(inter_system_stats!$C$68:$C$72) - 1</f>
        <v>124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6"/>
  <sheetViews>
    <sheetView showFormulas="false" showGridLines="true" showRowColHeaders="true" showZeros="true" rightToLeft="false" tabSelected="false" showOutlineSymbols="true" defaultGridColor="true" view="normal" topLeftCell="A22" colorId="64" zoomScale="125" zoomScaleNormal="125" zoomScalePageLayoutView="100" workbookViewId="0">
      <selection pane="topLeft" activeCell="G32" activeCellId="0" sqref="G32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1" min="1" style="1" width="20.63"/>
    <col collapsed="false" customWidth="true" hidden="false" outlineLevel="0" max="5" min="2" style="1" width="19.71"/>
  </cols>
  <sheetData>
    <row r="2" customFormat="false" ht="12.8" hidden="false" customHeight="false" outlineLevel="0" collapsed="false">
      <c r="A2" s="11" t="s">
        <v>109</v>
      </c>
      <c r="B2" s="5" t="s">
        <v>124</v>
      </c>
      <c r="C2" s="5" t="s">
        <v>125</v>
      </c>
      <c r="D2" s="5" t="s">
        <v>126</v>
      </c>
      <c r="E2" s="5" t="s">
        <v>110</v>
      </c>
    </row>
    <row r="3" customFormat="false" ht="12.8" hidden="false" customHeight="false" outlineLevel="0" collapsed="false">
      <c r="A3" s="8" t="n">
        <v>1</v>
      </c>
      <c r="B3" s="1" t="n">
        <v>0.790005749889737</v>
      </c>
      <c r="C3" s="1" t="n">
        <v>0.818947298519002</v>
      </c>
      <c r="D3" s="1" t="n">
        <v>0.785168761593727</v>
      </c>
      <c r="E3" s="1" t="n">
        <v>0.823272744718597</v>
      </c>
    </row>
    <row r="4" customFormat="false" ht="12.8" hidden="false" customHeight="false" outlineLevel="0" collapsed="false">
      <c r="A4" s="8" t="n">
        <v>2</v>
      </c>
      <c r="B4" s="1" t="n">
        <v>0.681735099200446</v>
      </c>
      <c r="C4" s="1" t="n">
        <v>0.726675054349364</v>
      </c>
      <c r="D4" s="1" t="n">
        <v>0.7034443874608</v>
      </c>
      <c r="E4" s="1" t="n">
        <v>0.642199317331402</v>
      </c>
    </row>
    <row r="5" customFormat="false" ht="12.8" hidden="false" customHeight="false" outlineLevel="0" collapsed="false">
      <c r="A5" s="8" t="n">
        <v>3</v>
      </c>
      <c r="B5" s="1" t="n">
        <v>0.736591542434996</v>
      </c>
      <c r="C5" s="1" t="n">
        <v>0.753823763148008</v>
      </c>
      <c r="D5" s="1" t="n">
        <v>0.735399855829613</v>
      </c>
      <c r="E5" s="1" t="n">
        <v>0.724560029881393</v>
      </c>
    </row>
    <row r="6" customFormat="false" ht="12.8" hidden="false" customHeight="false" outlineLevel="0" collapsed="false">
      <c r="A6" s="8" t="n">
        <v>4</v>
      </c>
      <c r="B6" s="1" t="n">
        <v>0.65821229308805</v>
      </c>
      <c r="C6" s="1" t="n">
        <v>0.694689160951428</v>
      </c>
      <c r="D6" s="1" t="n">
        <v>0.697297454274584</v>
      </c>
      <c r="E6" s="1" t="n">
        <v>0.708336187220553</v>
      </c>
    </row>
    <row r="7" customFormat="false" ht="12.8" hidden="false" customHeight="false" outlineLevel="0" collapsed="false">
      <c r="A7" s="8" t="n">
        <v>5</v>
      </c>
      <c r="B7" s="1" t="n">
        <v>0.743184893131854</v>
      </c>
      <c r="C7" s="1" t="n">
        <v>0.750318975083652</v>
      </c>
      <c r="D7" s="1" t="n">
        <v>0.713223127756937</v>
      </c>
      <c r="E7" s="1" t="n">
        <v>0.697620486730694</v>
      </c>
    </row>
    <row r="8" customFormat="false" ht="12.8" hidden="false" customHeight="false" outlineLevel="0" collapsed="false">
      <c r="A8" s="8" t="n">
        <v>6</v>
      </c>
      <c r="B8" s="1" t="n">
        <v>0.738363300257884</v>
      </c>
      <c r="C8" s="1" t="n">
        <v>0.792897506425522</v>
      </c>
      <c r="D8" s="1" t="n">
        <v>0.767347429776357</v>
      </c>
      <c r="E8" s="1" t="n">
        <v>0.757276291011557</v>
      </c>
    </row>
    <row r="9" customFormat="false" ht="12.8" hidden="false" customHeight="false" outlineLevel="0" collapsed="false">
      <c r="A9" s="8" t="n">
        <v>7</v>
      </c>
      <c r="B9" s="1" t="n">
        <v>0.802709380775578</v>
      </c>
      <c r="C9" s="1" t="n">
        <v>0.740717063652639</v>
      </c>
      <c r="D9" s="1" t="n">
        <v>0.741214474418534</v>
      </c>
      <c r="E9" s="1" t="n">
        <v>0.758449701833791</v>
      </c>
    </row>
    <row r="10" customFormat="false" ht="12.8" hidden="false" customHeight="false" outlineLevel="0" collapsed="false">
      <c r="A10" s="8" t="n">
        <v>8</v>
      </c>
      <c r="B10" s="1" t="n">
        <v>0.767137820624339</v>
      </c>
      <c r="C10" s="1" t="n">
        <v>0.701518866188206</v>
      </c>
      <c r="D10" s="1" t="n">
        <v>0.702691804836109</v>
      </c>
      <c r="E10" s="1" t="n">
        <v>0.705275325567815</v>
      </c>
    </row>
    <row r="11" customFormat="false" ht="12.8" hidden="false" customHeight="false" outlineLevel="0" collapsed="false">
      <c r="A11" s="8" t="n">
        <v>9</v>
      </c>
      <c r="B11" s="1" t="n">
        <v>0.655203842604779</v>
      </c>
      <c r="C11" s="1" t="n">
        <v>0.679408838434061</v>
      </c>
      <c r="D11" s="1" t="n">
        <v>0.676410925873389</v>
      </c>
      <c r="E11" s="1" t="n">
        <v>0.638110457472859</v>
      </c>
    </row>
    <row r="12" customFormat="false" ht="12.8" hidden="false" customHeight="false" outlineLevel="0" collapsed="false">
      <c r="A12" s="8" t="n">
        <v>10</v>
      </c>
      <c r="B12" s="1" t="n">
        <v>0.700905183166286</v>
      </c>
      <c r="C12" s="1" t="n">
        <v>0.693828339018655</v>
      </c>
      <c r="D12" s="1" t="n">
        <v>0.715155539827357</v>
      </c>
      <c r="E12" s="1" t="n">
        <v>0.718916919696981</v>
      </c>
    </row>
    <row r="13" customFormat="false" ht="12.8" hidden="false" customHeight="false" outlineLevel="0" collapsed="false">
      <c r="A13" s="8" t="n">
        <v>11</v>
      </c>
      <c r="B13" s="1" t="n">
        <v>0.719629235257693</v>
      </c>
      <c r="C13" s="1" t="n">
        <v>0.714015093691685</v>
      </c>
      <c r="D13" s="1" t="n">
        <v>0.72491699498861</v>
      </c>
      <c r="E13" s="1" t="n">
        <v>0.760910644452133</v>
      </c>
    </row>
    <row r="14" customFormat="false" ht="12.8" hidden="false" customHeight="false" outlineLevel="0" collapsed="false">
      <c r="A14" s="8" t="n">
        <v>12</v>
      </c>
      <c r="B14" s="1" t="n">
        <v>0.831621410337318</v>
      </c>
      <c r="C14" s="1" t="n">
        <v>0.829353335851788</v>
      </c>
      <c r="D14" s="1" t="n">
        <v>0.844773353099784</v>
      </c>
      <c r="E14" s="1" t="n">
        <v>0.812780603575516</v>
      </c>
    </row>
    <row r="15" customFormat="false" ht="12.8" hidden="false" customHeight="false" outlineLevel="0" collapsed="false">
      <c r="A15" s="8" t="n">
        <v>13</v>
      </c>
      <c r="B15" s="1" t="n">
        <v>0.709519501585356</v>
      </c>
      <c r="C15" s="1" t="n">
        <v>0.741335114714525</v>
      </c>
      <c r="D15" s="1" t="n">
        <v>0.670771286759802</v>
      </c>
      <c r="E15" s="1" t="n">
        <v>0.721407571089307</v>
      </c>
    </row>
    <row r="16" customFormat="false" ht="12.8" hidden="false" customHeight="false" outlineLevel="0" collapsed="false">
      <c r="A16" s="8" t="n">
        <v>14</v>
      </c>
      <c r="B16" s="1" t="n">
        <v>0.752588038781123</v>
      </c>
      <c r="C16" s="1" t="n">
        <v>0.777558691836526</v>
      </c>
      <c r="D16" s="1" t="n">
        <v>0.749199345598474</v>
      </c>
      <c r="E16" s="1" t="n">
        <v>0.76471605795332</v>
      </c>
    </row>
    <row r="17" customFormat="false" ht="12.8" hidden="false" customHeight="false" outlineLevel="0" collapsed="false">
      <c r="A17" s="8" t="n">
        <v>15</v>
      </c>
      <c r="B17" s="1" t="n">
        <v>0.742555870420495</v>
      </c>
      <c r="C17" s="1" t="n">
        <v>0.769655236905789</v>
      </c>
      <c r="D17" s="1" t="n">
        <v>0.710334404151347</v>
      </c>
      <c r="E17" s="1" t="n">
        <v>0.711757961516188</v>
      </c>
    </row>
    <row r="18" customFormat="false" ht="12.8" hidden="false" customHeight="false" outlineLevel="0" collapsed="false">
      <c r="A18" s="8" t="n">
        <v>16</v>
      </c>
      <c r="B18" s="1" t="n">
        <v>0.626600189640605</v>
      </c>
      <c r="C18" s="1" t="n">
        <v>0.692685234430471</v>
      </c>
      <c r="D18" s="1" t="n">
        <v>0.658233657913275</v>
      </c>
      <c r="E18" s="1" t="n">
        <v>0.636409131350562</v>
      </c>
    </row>
    <row r="19" customFormat="false" ht="12.8" hidden="false" customHeight="false" outlineLevel="0" collapsed="false">
      <c r="A19" s="8" t="n">
        <v>17</v>
      </c>
      <c r="B19" s="1" t="n">
        <v>0.81814248001184</v>
      </c>
      <c r="C19" s="1" t="n">
        <v>0.805787272798479</v>
      </c>
      <c r="D19" s="1" t="n">
        <v>0.821533014122518</v>
      </c>
      <c r="E19" s="1" t="n">
        <v>0.760684614350216</v>
      </c>
    </row>
    <row r="20" customFormat="false" ht="12.8" hidden="false" customHeight="false" outlineLevel="0" collapsed="false">
      <c r="A20" s="8" t="n">
        <v>18</v>
      </c>
      <c r="B20" s="1" t="n">
        <v>0.647963419254761</v>
      </c>
      <c r="C20" s="1" t="n">
        <v>0.631093794200336</v>
      </c>
      <c r="D20" s="1" t="n">
        <v>0.654001563002053</v>
      </c>
      <c r="E20" s="1" t="n">
        <v>0.689444509253728</v>
      </c>
    </row>
    <row r="21" customFormat="false" ht="12.8" hidden="false" customHeight="false" outlineLevel="0" collapsed="false">
      <c r="A21" s="8" t="n">
        <v>19</v>
      </c>
      <c r="B21" s="1" t="n">
        <v>0.643841741383017</v>
      </c>
      <c r="C21" s="1" t="n">
        <v>0.690269162854351</v>
      </c>
      <c r="D21" s="1" t="n">
        <v>0.590768867737282</v>
      </c>
      <c r="E21" s="1" t="n">
        <v>0.699907553556336</v>
      </c>
    </row>
    <row r="22" customFormat="false" ht="12.8" hidden="false" customHeight="false" outlineLevel="0" collapsed="false">
      <c r="A22" s="8" t="n">
        <v>20</v>
      </c>
      <c r="B22" s="1" t="n">
        <v>0.654547731132537</v>
      </c>
      <c r="C22" s="1" t="n">
        <v>0.697049065043941</v>
      </c>
      <c r="D22" s="1" t="n">
        <v>0.716584963681357</v>
      </c>
      <c r="E22" s="1" t="n">
        <v>0.721470667146881</v>
      </c>
    </row>
    <row r="23" customFormat="false" ht="12.8" hidden="false" customHeight="false" outlineLevel="0" collapsed="false">
      <c r="A23" s="8" t="n">
        <v>21</v>
      </c>
      <c r="B23" s="1" t="n">
        <v>0.737279793404405</v>
      </c>
      <c r="C23" s="1" t="n">
        <v>0.69517695472312</v>
      </c>
      <c r="D23" s="1" t="n">
        <v>0.669739555124102</v>
      </c>
      <c r="E23" s="1" t="n">
        <v>0.694019107158469</v>
      </c>
    </row>
    <row r="24" customFormat="false" ht="12.8" hidden="false" customHeight="false" outlineLevel="0" collapsed="false">
      <c r="A24" s="8" t="n">
        <v>22</v>
      </c>
      <c r="B24" s="1" t="n">
        <v>0.741791001479869</v>
      </c>
      <c r="C24" s="1" t="n">
        <v>0.757953803081435</v>
      </c>
      <c r="D24" s="1" t="n">
        <v>0.735555505104196</v>
      </c>
      <c r="E24" s="1" t="n">
        <v>0.755797582220466</v>
      </c>
    </row>
    <row r="25" customFormat="false" ht="12.8" hidden="false" customHeight="false" outlineLevel="0" collapsed="false">
      <c r="A25" s="8" t="n">
        <v>23</v>
      </c>
      <c r="B25" s="1" t="n">
        <v>0.720324505975325</v>
      </c>
      <c r="C25" s="1" t="n">
        <v>0.663150812819657</v>
      </c>
      <c r="D25" s="1" t="n">
        <v>0.705937576250204</v>
      </c>
      <c r="E25" s="1" t="n">
        <v>0.650885309375863</v>
      </c>
    </row>
    <row r="26" customFormat="false" ht="12.8" hidden="false" customHeight="false" outlineLevel="0" collapsed="false">
      <c r="A26" s="8" t="n">
        <v>24</v>
      </c>
      <c r="B26" s="1" t="n">
        <v>0.85301227080764</v>
      </c>
      <c r="C26" s="1" t="n">
        <v>0.846569350289584</v>
      </c>
      <c r="D26" s="1" t="n">
        <v>0.821053723330557</v>
      </c>
      <c r="E26" s="1" t="n">
        <v>0.810318587583629</v>
      </c>
    </row>
    <row r="27" customFormat="false" ht="12.8" hidden="false" customHeight="false" outlineLevel="0" collapsed="false">
      <c r="A27" s="4" t="n">
        <v>25</v>
      </c>
      <c r="B27" s="1" t="n">
        <v>0.727945465577406</v>
      </c>
      <c r="C27" s="1" t="n">
        <v>0.736292798571547</v>
      </c>
      <c r="D27" s="1" t="n">
        <v>0.697201511529907</v>
      </c>
      <c r="E27" s="1" t="n">
        <v>0.756032220349956</v>
      </c>
    </row>
    <row r="31" customFormat="false" ht="12.8" hidden="false" customHeight="false" outlineLevel="0" collapsed="false">
      <c r="A31" s="1" t="s">
        <v>149</v>
      </c>
      <c r="G31" s="1" t="s">
        <v>150</v>
      </c>
    </row>
    <row r="32" customFormat="false" ht="12.8" hidden="false" customHeight="false" outlineLevel="0" collapsed="false">
      <c r="B32" s="5" t="s">
        <v>124</v>
      </c>
      <c r="C32" s="5" t="s">
        <v>125</v>
      </c>
      <c r="D32" s="5" t="s">
        <v>126</v>
      </c>
      <c r="E32" s="5" t="s">
        <v>110</v>
      </c>
      <c r="G32" s="5" t="s">
        <v>124</v>
      </c>
      <c r="H32" s="5" t="s">
        <v>125</v>
      </c>
      <c r="I32" s="5" t="s">
        <v>126</v>
      </c>
      <c r="J32" s="5" t="s">
        <v>110</v>
      </c>
    </row>
    <row r="33" customFormat="false" ht="12.8" hidden="false" customHeight="false" outlineLevel="0" collapsed="false">
      <c r="B33" s="1" t="n">
        <f aca="false">B4-B3</f>
        <v>-0.108270650689291</v>
      </c>
      <c r="C33" s="1" t="n">
        <f aca="false">C4-C3</f>
        <v>-0.0922722441696381</v>
      </c>
      <c r="D33" s="1" t="n">
        <f aca="false">D4-D3</f>
        <v>-0.081724374132927</v>
      </c>
      <c r="E33" s="1" t="n">
        <f aca="false">E4-E3</f>
        <v>-0.181073427387195</v>
      </c>
      <c r="G33" s="1" t="n">
        <f aca="false">STDEV(B33:B56)</f>
        <v>0.0926750313951248</v>
      </c>
      <c r="H33" s="1" t="n">
        <f aca="false">STDEV(C33:C56)</f>
        <v>0.0825350138508295</v>
      </c>
      <c r="I33" s="1" t="n">
        <f aca="false">STDEV(D33:D56)</f>
        <v>0.088965254850093</v>
      </c>
      <c r="J33" s="1" t="n">
        <f aca="false">STDEV(E33:E56)</f>
        <v>0.0795056431294342</v>
      </c>
    </row>
    <row r="34" customFormat="false" ht="12.8" hidden="false" customHeight="false" outlineLevel="0" collapsed="false">
      <c r="B34" s="1" t="n">
        <f aca="false">B5-B4</f>
        <v>0.0548564432345501</v>
      </c>
      <c r="C34" s="1" t="n">
        <f aca="false">C5-C4</f>
        <v>0.0271487087986441</v>
      </c>
      <c r="D34" s="1" t="n">
        <f aca="false">D5-D4</f>
        <v>0.031955468368813</v>
      </c>
      <c r="E34" s="1" t="n">
        <f aca="false">E5-E4</f>
        <v>0.082360712549991</v>
      </c>
    </row>
    <row r="35" customFormat="false" ht="12.8" hidden="false" customHeight="false" outlineLevel="0" collapsed="false">
      <c r="B35" s="1" t="n">
        <f aca="false">B6-B5</f>
        <v>-0.0783792493469461</v>
      </c>
      <c r="C35" s="1" t="n">
        <f aca="false">C6-C5</f>
        <v>-0.0591346021965801</v>
      </c>
      <c r="D35" s="1" t="n">
        <f aca="false">D6-D5</f>
        <v>-0.038102401555029</v>
      </c>
      <c r="E35" s="1" t="n">
        <f aca="false">E6-E5</f>
        <v>-0.01622384266084</v>
      </c>
    </row>
    <row r="36" customFormat="false" ht="12.8" hidden="false" customHeight="false" outlineLevel="0" collapsed="false">
      <c r="B36" s="1" t="n">
        <f aca="false">B7-B6</f>
        <v>0.084972600043804</v>
      </c>
      <c r="C36" s="1" t="n">
        <f aca="false">C7-C6</f>
        <v>0.055629814132224</v>
      </c>
      <c r="D36" s="1" t="n">
        <f aca="false">D7-D6</f>
        <v>0.015925673482353</v>
      </c>
      <c r="E36" s="1" t="n">
        <f aca="false">E7-E6</f>
        <v>-0.010715700489859</v>
      </c>
    </row>
    <row r="37" customFormat="false" ht="12.8" hidden="false" customHeight="false" outlineLevel="0" collapsed="false">
      <c r="B37" s="1" t="n">
        <f aca="false">B8-B7</f>
        <v>-0.00482159287396999</v>
      </c>
      <c r="C37" s="1" t="n">
        <f aca="false">C8-C7</f>
        <v>0.0425785313418701</v>
      </c>
      <c r="D37" s="1" t="n">
        <f aca="false">D8-D7</f>
        <v>0.05412430201942</v>
      </c>
      <c r="E37" s="1" t="n">
        <f aca="false">E8-E7</f>
        <v>0.059655804280863</v>
      </c>
    </row>
    <row r="38" customFormat="false" ht="12.8" hidden="false" customHeight="false" outlineLevel="0" collapsed="false">
      <c r="B38" s="1" t="n">
        <f aca="false">B9-B8</f>
        <v>0.064346080517694</v>
      </c>
      <c r="C38" s="1" t="n">
        <f aca="false">C9-C8</f>
        <v>-0.052180442772883</v>
      </c>
      <c r="D38" s="1" t="n">
        <f aca="false">D9-D8</f>
        <v>-0.0261329553578229</v>
      </c>
      <c r="E38" s="1" t="n">
        <f aca="false">E9-E8</f>
        <v>0.00117341082223399</v>
      </c>
    </row>
    <row r="39" customFormat="false" ht="12.8" hidden="false" customHeight="false" outlineLevel="0" collapsed="false">
      <c r="B39" s="1" t="n">
        <f aca="false">B10-B9</f>
        <v>-0.035571560151239</v>
      </c>
      <c r="C39" s="1" t="n">
        <f aca="false">C10-C9</f>
        <v>-0.039198197464433</v>
      </c>
      <c r="D39" s="1" t="n">
        <f aca="false">D10-D9</f>
        <v>-0.038522669582425</v>
      </c>
      <c r="E39" s="1" t="n">
        <f aca="false">E10-E9</f>
        <v>-0.053174376265976</v>
      </c>
    </row>
    <row r="40" customFormat="false" ht="12.8" hidden="false" customHeight="false" outlineLevel="0" collapsed="false">
      <c r="B40" s="1" t="n">
        <f aca="false">B11-B10</f>
        <v>-0.11193397801956</v>
      </c>
      <c r="C40" s="1" t="n">
        <f aca="false">C11-C10</f>
        <v>-0.0221100277541451</v>
      </c>
      <c r="D40" s="1" t="n">
        <f aca="false">D11-D10</f>
        <v>-0.02628087896272</v>
      </c>
      <c r="E40" s="1" t="n">
        <f aca="false">E11-E10</f>
        <v>-0.067164868094956</v>
      </c>
    </row>
    <row r="41" customFormat="false" ht="12.8" hidden="false" customHeight="false" outlineLevel="0" collapsed="false">
      <c r="B41" s="1" t="n">
        <f aca="false">B12-B11</f>
        <v>0.045701340561507</v>
      </c>
      <c r="C41" s="1" t="n">
        <f aca="false">C12-C11</f>
        <v>0.0144195005845941</v>
      </c>
      <c r="D41" s="1" t="n">
        <f aca="false">D12-D11</f>
        <v>0.038744613953968</v>
      </c>
      <c r="E41" s="1" t="n">
        <f aca="false">E12-E11</f>
        <v>0.080806462224122</v>
      </c>
    </row>
    <row r="42" customFormat="false" ht="12.8" hidden="false" customHeight="false" outlineLevel="0" collapsed="false">
      <c r="B42" s="1" t="n">
        <f aca="false">B13-B12</f>
        <v>0.0187240520914069</v>
      </c>
      <c r="C42" s="1" t="n">
        <f aca="false">C13-C12</f>
        <v>0.02018675467303</v>
      </c>
      <c r="D42" s="1" t="n">
        <f aca="false">D13-D12</f>
        <v>0.00976145516125293</v>
      </c>
      <c r="E42" s="1" t="n">
        <f aca="false">E13-E12</f>
        <v>0.041993724755152</v>
      </c>
    </row>
    <row r="43" customFormat="false" ht="12.8" hidden="false" customHeight="false" outlineLevel="0" collapsed="false">
      <c r="B43" s="1" t="n">
        <f aca="false">B14-B13</f>
        <v>0.111992175079625</v>
      </c>
      <c r="C43" s="1" t="n">
        <f aca="false">C14-C13</f>
        <v>0.115338242160103</v>
      </c>
      <c r="D43" s="1" t="n">
        <f aca="false">D14-D13</f>
        <v>0.119856358111174</v>
      </c>
      <c r="E43" s="1" t="n">
        <f aca="false">E14-E13</f>
        <v>0.051869959123383</v>
      </c>
    </row>
    <row r="44" customFormat="false" ht="12.8" hidden="false" customHeight="false" outlineLevel="0" collapsed="false">
      <c r="B44" s="1" t="n">
        <f aca="false">B15-B14</f>
        <v>-0.122101908751962</v>
      </c>
      <c r="C44" s="1" t="n">
        <f aca="false">C15-C14</f>
        <v>-0.0880182211372631</v>
      </c>
      <c r="D44" s="1" t="n">
        <f aca="false">D15-D14</f>
        <v>-0.174002066339982</v>
      </c>
      <c r="E44" s="1" t="n">
        <f aca="false">E15-E14</f>
        <v>-0.091373032486209</v>
      </c>
    </row>
    <row r="45" customFormat="false" ht="12.8" hidden="false" customHeight="false" outlineLevel="0" collapsed="false">
      <c r="B45" s="1" t="n">
        <f aca="false">B16-B15</f>
        <v>0.043068537195767</v>
      </c>
      <c r="C45" s="1" t="n">
        <f aca="false">C16-C15</f>
        <v>0.0362235771220011</v>
      </c>
      <c r="D45" s="1" t="n">
        <f aca="false">D16-D15</f>
        <v>0.078428058838672</v>
      </c>
      <c r="E45" s="1" t="n">
        <f aca="false">E16-E15</f>
        <v>0.043308486864013</v>
      </c>
    </row>
    <row r="46" customFormat="false" ht="12.8" hidden="false" customHeight="false" outlineLevel="0" collapsed="false">
      <c r="B46" s="1" t="n">
        <f aca="false">B17-B16</f>
        <v>-0.010032168360628</v>
      </c>
      <c r="C46" s="1" t="n">
        <f aca="false">C17-C16</f>
        <v>-0.00790345493073708</v>
      </c>
      <c r="D46" s="1" t="n">
        <f aca="false">D17-D16</f>
        <v>-0.038864941447127</v>
      </c>
      <c r="E46" s="1" t="n">
        <f aca="false">E17-E16</f>
        <v>-0.052958096437132</v>
      </c>
    </row>
    <row r="47" customFormat="false" ht="12.8" hidden="false" customHeight="false" outlineLevel="0" collapsed="false">
      <c r="B47" s="1" t="n">
        <f aca="false">B18-B17</f>
        <v>-0.11595568077989</v>
      </c>
      <c r="C47" s="1" t="n">
        <f aca="false">C18-C17</f>
        <v>-0.0769700024753179</v>
      </c>
      <c r="D47" s="1" t="n">
        <f aca="false">D18-D17</f>
        <v>-0.0521007462380719</v>
      </c>
      <c r="E47" s="1" t="n">
        <f aca="false">E18-E17</f>
        <v>-0.075348830165626</v>
      </c>
    </row>
    <row r="48" customFormat="false" ht="12.8" hidden="false" customHeight="false" outlineLevel="0" collapsed="false">
      <c r="B48" s="1" t="n">
        <f aca="false">B19-B18</f>
        <v>0.191542290371235</v>
      </c>
      <c r="C48" s="1" t="n">
        <f aca="false">C19-C18</f>
        <v>0.113102038368008</v>
      </c>
      <c r="D48" s="1" t="n">
        <f aca="false">D19-D18</f>
        <v>0.163299356209243</v>
      </c>
      <c r="E48" s="1" t="n">
        <f aca="false">E19-E18</f>
        <v>0.124275482999654</v>
      </c>
    </row>
    <row r="49" customFormat="false" ht="12.8" hidden="false" customHeight="false" outlineLevel="0" collapsed="false">
      <c r="B49" s="1" t="n">
        <f aca="false">B20-B19</f>
        <v>-0.170179060757079</v>
      </c>
      <c r="C49" s="1" t="n">
        <f aca="false">C20-C19</f>
        <v>-0.174693478598143</v>
      </c>
      <c r="D49" s="1" t="n">
        <f aca="false">D20-D19</f>
        <v>-0.167531451120465</v>
      </c>
      <c r="E49" s="1" t="n">
        <f aca="false">E20-E19</f>
        <v>-0.0712401050964879</v>
      </c>
    </row>
    <row r="50" customFormat="false" ht="12.8" hidden="false" customHeight="false" outlineLevel="0" collapsed="false">
      <c r="B50" s="1" t="n">
        <f aca="false">B21-B20</f>
        <v>-0.004121677871744</v>
      </c>
      <c r="C50" s="1" t="n">
        <f aca="false">C21-C20</f>
        <v>0.0591753686540151</v>
      </c>
      <c r="D50" s="1" t="n">
        <f aca="false">D21-D20</f>
        <v>-0.063232695264771</v>
      </c>
      <c r="E50" s="1" t="n">
        <f aca="false">E21-E20</f>
        <v>0.010463044302608</v>
      </c>
    </row>
    <row r="51" customFormat="false" ht="12.8" hidden="false" customHeight="false" outlineLevel="0" collapsed="false">
      <c r="B51" s="1" t="n">
        <f aca="false">B22-B21</f>
        <v>0.01070598974952</v>
      </c>
      <c r="C51" s="1" t="n">
        <f aca="false">C22-C21</f>
        <v>0.00677990218959002</v>
      </c>
      <c r="D51" s="1" t="n">
        <f aca="false">D22-D21</f>
        <v>0.125816095944075</v>
      </c>
      <c r="E51" s="1" t="n">
        <f aca="false">E22-E21</f>
        <v>0.021563113590545</v>
      </c>
    </row>
    <row r="52" customFormat="false" ht="12.8" hidden="false" customHeight="false" outlineLevel="0" collapsed="false">
      <c r="B52" s="1" t="n">
        <f aca="false">B23-B22</f>
        <v>0.082732062271868</v>
      </c>
      <c r="C52" s="1" t="n">
        <f aca="false">C23-C22</f>
        <v>-0.00187211032082102</v>
      </c>
      <c r="D52" s="1" t="n">
        <f aca="false">D23-D22</f>
        <v>-0.0468454085572551</v>
      </c>
      <c r="E52" s="1" t="n">
        <f aca="false">E23-E22</f>
        <v>-0.027451559988412</v>
      </c>
    </row>
    <row r="53" customFormat="false" ht="12.8" hidden="false" customHeight="false" outlineLevel="0" collapsed="false">
      <c r="B53" s="1" t="n">
        <f aca="false">B24-B23</f>
        <v>0.00451120807546401</v>
      </c>
      <c r="C53" s="1" t="n">
        <f aca="false">C24-C23</f>
        <v>0.062776848358315</v>
      </c>
      <c r="D53" s="1" t="n">
        <f aca="false">D24-D23</f>
        <v>0.065815949980094</v>
      </c>
      <c r="E53" s="1" t="n">
        <f aca="false">E24-E23</f>
        <v>0.061778475061997</v>
      </c>
    </row>
    <row r="54" customFormat="false" ht="12.8" hidden="false" customHeight="false" outlineLevel="0" collapsed="false">
      <c r="B54" s="1" t="n">
        <f aca="false">B25-B24</f>
        <v>-0.0214664955045439</v>
      </c>
      <c r="C54" s="1" t="n">
        <f aca="false">C25-C24</f>
        <v>-0.094802990261778</v>
      </c>
      <c r="D54" s="1" t="n">
        <f aca="false">D25-D24</f>
        <v>-0.029617928853992</v>
      </c>
      <c r="E54" s="1" t="n">
        <f aca="false">E25-E24</f>
        <v>-0.104912272844603</v>
      </c>
    </row>
    <row r="55" customFormat="false" ht="12.8" hidden="false" customHeight="false" outlineLevel="0" collapsed="false">
      <c r="B55" s="1" t="n">
        <f aca="false">B26-B25</f>
        <v>0.132687764832315</v>
      </c>
      <c r="C55" s="1" t="n">
        <f aca="false">C26-C25</f>
        <v>0.183418537469927</v>
      </c>
      <c r="D55" s="1" t="n">
        <f aca="false">D26-D25</f>
        <v>0.115116147080353</v>
      </c>
      <c r="E55" s="1" t="n">
        <f aca="false">E26-E25</f>
        <v>0.159433278207766</v>
      </c>
    </row>
    <row r="56" customFormat="false" ht="12.8" hidden="false" customHeight="false" outlineLevel="0" collapsed="false">
      <c r="B56" s="1" t="n">
        <f aca="false">B27-B26</f>
        <v>-0.125066805230234</v>
      </c>
      <c r="C56" s="1" t="n">
        <f aca="false">C27-C26</f>
        <v>-0.110276551718037</v>
      </c>
      <c r="D56" s="1" t="n">
        <f aca="false">D27-D26</f>
        <v>-0.12385221180065</v>
      </c>
      <c r="E56" s="1" t="n">
        <f aca="false">E27-E26</f>
        <v>-0.054286367233673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2026-02-11T16:41:08Z</dcterms:created>
  <dc:creator>openpyxl</dc:creator>
  <dc:description/>
  <dc:language>en-US</dc:language>
  <cp:lastModifiedBy/>
  <dcterms:modified xsi:type="dcterms:W3CDTF">2026-04-29T16:41:54Z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
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cen7_ac15" sheetId="1" state="visible" r:id="rId3"/>
    <sheet name="Notes" sheetId="2" state="visible" r:id="rId4"/>
    <sheet name="actdel_prompt_response" sheetId="3" state="visible" r:id="rId5"/>
    <sheet name="inter_system_stats" sheetId="4" state="visible" r:id="rId6"/>
    <sheet name="sims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<sst xmlns="http://schemas.openxmlformats.org/spreadsheetml/2006/main" count="922" uniqueCount="151">
  <si>
    <t xml:space="preserve">turnId</t>
  </si>
  <si>
    <t xml:space="preserve">user_id</t>
  </si>
  <si>
    <t xml:space="preserve">assistant_id</t>
  </si>
  <si>
    <t xml:space="preserve">projectName</t>
  </si>
  <si>
    <t xml:space="preserve">sessionName</t>
  </si>
  <si>
    <t xml:space="preserve">seq</t>
  </si>
  <si>
    <t xml:space="preserve">anchorName</t>
  </si>
  <si>
    <t xml:space="preserve">weight</t>
  </si>
  <si>
    <t xml:space="preserve">promptSim</t>
  </si>
  <si>
    <t xml:space="preserve">responseSim</t>
  </si>
  <si>
    <t xml:space="preserve">activation delta</t>
  </si>
  <si>
    <t xml:space="preserve">prompt_to_response</t>
  </si>
  <si>
    <t xml:space="preserve">count</t>
  </si>
  <si>
    <t xml:space="preserve">activation delta average</t>
  </si>
  <si>
    <t xml:space="preserve">correlation weights / activation delta</t>
  </si>
  <si>
    <t xml:space="preserve">p</t>
  </si>
  <si>
    <t xml:space="preserve">82aafe6a-83d2-4d83-8442-754e3cc88971</t>
  </si>
  <si>
    <t xml:space="preserve">cmjjwxxuc01o1zceelpy270qm</t>
  </si>
  <si>
    <t xml:space="preserve">cmjjwz1pn01oizceepc6qdson</t>
  </si>
  <si>
    <t xml:space="preserve">test_ac15</t>
  </si>
  <si>
    <t xml:space="preserve">Scenario_7</t>
  </si>
  <si>
    <t xml:space="preserve">temporal_dynamics</t>
  </si>
  <si>
    <t xml:space="preserve">imagination_and_possibility</t>
  </si>
  <si>
    <t xml:space="preserve">practicality_and_feasibility</t>
  </si>
  <si>
    <t xml:space="preserve">truth_and_fact</t>
  </si>
  <si>
    <t xml:space="preserve">302fc833-817b-4338-9e9e-bff9f1fe197c</t>
  </si>
  <si>
    <t xml:space="preserve">cmjjwz7uz01omzceevwgt8qgi</t>
  </si>
  <si>
    <t xml:space="preserve">cmjjwztil01p3zceeenggruhc</t>
  </si>
  <si>
    <t xml:space="preserve">electricity</t>
  </si>
  <si>
    <t xml:space="preserve">freedom_and_limitations</t>
  </si>
  <si>
    <t xml:space="preserve">7e3010f0-6cf5-4cba-950e-71f4db2f81f8</t>
  </si>
  <si>
    <t xml:space="preserve">cmjjx024y01p7zceedzv6ikuw</t>
  </si>
  <si>
    <t xml:space="preserve">cmjjx0mni01pozceej6qar53q</t>
  </si>
  <si>
    <t xml:space="preserve">21c4515b-739c-4b6e-b7d4-b6f9acf24941</t>
  </si>
  <si>
    <t xml:space="preserve">cmjjx0wnm01pszceesoacxt0c</t>
  </si>
  <si>
    <t xml:space="preserve">cmjjx1k6601q9zceexpz7umcm</t>
  </si>
  <si>
    <t xml:space="preserve">affective_interface</t>
  </si>
  <si>
    <t xml:space="preserve">6a0bf160-7e50-4c58-ba6c-9e91fcc932f6</t>
  </si>
  <si>
    <t xml:space="preserve">cmjjx1x4l01qdzceel8odzagz</t>
  </si>
  <si>
    <t xml:space="preserve">cmjjx2ixz01quzceeso61gir5</t>
  </si>
  <si>
    <t xml:space="preserve">science</t>
  </si>
  <si>
    <t xml:space="preserve">5bbf7c2f-96b9-4d73-a633-7a0db2f44372</t>
  </si>
  <si>
    <t xml:space="preserve">cmjjx2vf701qyzceeotqax0bd</t>
  </si>
  <si>
    <t xml:space="preserve">cmjjx3i2q01rfzceeb8eiq1gg</t>
  </si>
  <si>
    <t xml:space="preserve">6bbd264c-e37f-465c-9905-d58a1069fab0</t>
  </si>
  <si>
    <t xml:space="preserve">cmjjx3otf01rjzceei4to1dus</t>
  </si>
  <si>
    <t xml:space="preserve">cmjjx49qy01s0zceegxac72n9</t>
  </si>
  <si>
    <t xml:space="preserve">b590fa49-58cb-4576-8626-23b760bcb13f</t>
  </si>
  <si>
    <t xml:space="preserve">cmjjx4mv601s4zcee7u41cnp8</t>
  </si>
  <si>
    <t xml:space="preserve">cmjjx55ot01slzceenscdiq3x</t>
  </si>
  <si>
    <t xml:space="preserve">sovereignty</t>
  </si>
  <si>
    <t xml:space="preserve">88675575-ce44-4e50-be1f-11a07d5fb43e</t>
  </si>
  <si>
    <t xml:space="preserve">cmjjx5ipv01spzcee6dz8dino</t>
  </si>
  <si>
    <t xml:space="preserve">cmjjx625701t6zcee8qdlkmjf</t>
  </si>
  <si>
    <t xml:space="preserve">cb7f16c3-b09d-49da-9a6b-aad09616f8e4</t>
  </si>
  <si>
    <t xml:space="preserve">cmjjx6brf01tazceekhbor6qu</t>
  </si>
  <si>
    <t xml:space="preserve">cmjjx6vm601trzceee4sgg8tz</t>
  </si>
  <si>
    <t xml:space="preserve">mathematics_computer_science_engineering</t>
  </si>
  <si>
    <t xml:space="preserve">3d2b1dfb-f187-4784-b3a4-98984b8aef10</t>
  </si>
  <si>
    <t xml:space="preserve">cmjjx7bp801tvzcee5acha849</t>
  </si>
  <si>
    <t xml:space="preserve">cmjjx7r9e01uczceemkifjvya</t>
  </si>
  <si>
    <t xml:space="preserve">e3ab6761-5c06-4128-b27f-2aaf5bd4cc05</t>
  </si>
  <si>
    <t xml:space="preserve">cmjjx8avv01ugzceebd7ekifw</t>
  </si>
  <si>
    <t xml:space="preserve">cmjjx8rhm01uxzceegvm67amx</t>
  </si>
  <si>
    <t xml:space="preserve">identity</t>
  </si>
  <si>
    <t xml:space="preserve">e8801f64-f80e-44f8-a109-f772e8b947ce</t>
  </si>
  <si>
    <t xml:space="preserve">cmjjx8z5i01v1zceexr6nixra</t>
  </si>
  <si>
    <t xml:space="preserve">cmjjx9ddc01vizcee5h3fyjlr</t>
  </si>
  <si>
    <t xml:space="preserve">19292531-0cdb-4810-be9a-e19740695ba5</t>
  </si>
  <si>
    <t xml:space="preserve">cmjjx9xzx01vmzceewabifvxi</t>
  </si>
  <si>
    <t xml:space="preserve">cmjjxaj5i01w3zcee6g65wjzc</t>
  </si>
  <si>
    <t xml:space="preserve">4cb00a67-4148-4937-aa2c-abeeb2d6eb62</t>
  </si>
  <si>
    <t xml:space="preserve">cmjjxb5tp01w7zceeezxksx63</t>
  </si>
  <si>
    <t xml:space="preserve">cmjjxbngz01wozceejwte4ra6</t>
  </si>
  <si>
    <t xml:space="preserve">18962651-97cc-47fe-91ec-d78779d51c1b</t>
  </si>
  <si>
    <t xml:space="preserve">cmjjxbvg301wszcee3vmpplyr</t>
  </si>
  <si>
    <t xml:space="preserve">cmjjxc72j01x9zcee2l3sidcf</t>
  </si>
  <si>
    <t xml:space="preserve">33524675-f055-4d69-a3d1-d2050230ebbc</t>
  </si>
  <si>
    <t xml:space="preserve">cmjjxceu801xdzcee91cbu1lz</t>
  </si>
  <si>
    <t xml:space="preserve">cmjjxctrq01xuzceel2fqpjtk</t>
  </si>
  <si>
    <t xml:space="preserve">805cc6fa-77fe-43a8-b384-3a5cba9ea4ac</t>
  </si>
  <si>
    <t xml:space="preserve">cmjjxd79401xyzceenh6nh7cg</t>
  </si>
  <si>
    <t xml:space="preserve">cmjjxdn4p01yfzceemmkkhhkp</t>
  </si>
  <si>
    <t xml:space="preserve">1c560f1d-f21e-48c5-a276-96108e2f676a</t>
  </si>
  <si>
    <t xml:space="preserve">cmjjxe3ls01yjzcee5fv750jn</t>
  </si>
  <si>
    <t xml:space="preserve">cmjjxell001z0zcee996wr2uk</t>
  </si>
  <si>
    <t xml:space="preserve">4bcd7450-d646-4043-b37e-c374ace0acae</t>
  </si>
  <si>
    <t xml:space="preserve">cmjjxf4m101z4zceez451qlur</t>
  </si>
  <si>
    <t xml:space="preserve">cmjjxfqv701zlzceen04gmigo</t>
  </si>
  <si>
    <t xml:space="preserve">95131926-2bbf-4de6-b724-187f7954a9f2</t>
  </si>
  <si>
    <t xml:space="preserve">cmjjxfzhq01zpzceefigs0ba1</t>
  </si>
  <si>
    <t xml:space="preserve">cmjjxgk2d0206zceeakuimsi1</t>
  </si>
  <si>
    <t xml:space="preserve">context_dependent_expression</t>
  </si>
  <si>
    <t xml:space="preserve">03bf7f3f-680d-4cad-8a36-e4b771d41b71</t>
  </si>
  <si>
    <t xml:space="preserve">cmjjxgyg0020azcee9zd5f40r</t>
  </si>
  <si>
    <t xml:space="preserve">cmjjxhek7020rzcee7jcogh7n</t>
  </si>
  <si>
    <t xml:space="preserve">e390f92d-23d3-4bb0-9d20-d0cbf9ad7373</t>
  </si>
  <si>
    <t xml:space="preserve">cmjjxi6x5020vzceerx7cqasm</t>
  </si>
  <si>
    <t xml:space="preserve">cmjjxisuy021czceedcdioynh</t>
  </si>
  <si>
    <t xml:space="preserve">38088cd3-590a-494c-a052-bdb2e21fc8b2</t>
  </si>
  <si>
    <t xml:space="preserve">cmjjxjcq7021gzceek469zflb</t>
  </si>
  <si>
    <t xml:space="preserve">cmjjxjpvm021xzceezmgmfv3i</t>
  </si>
  <si>
    <t xml:space="preserve">b113521f-8ef5-4b66-945f-d048bce6a3f6</t>
  </si>
  <si>
    <t xml:space="preserve">cmjjxkgi90221zceepgy0uiuy</t>
  </si>
  <si>
    <t xml:space="preserve">cmjjxl07d022izceemto36uqw</t>
  </si>
  <si>
    <t xml:space="preserve">p calculation</t>
  </si>
  <si>
    <t xml:space="preserve">1. count</t>
  </si>
  <si>
    <t xml:space="preserve">2.  t statistic</t>
  </si>
  <si>
    <t xml:space="preserve">3. p</t>
  </si>
  <si>
    <t xml:space="preserve">Prompt-response</t>
  </si>
  <si>
    <t xml:space="preserve">Turn</t>
  </si>
  <si>
    <t xml:space="preserve">ac15</t>
  </si>
  <si>
    <t xml:space="preserve">control</t>
  </si>
  <si>
    <t xml:space="preserve">Choose`</t>
  </si>
  <si>
    <t xml:space="preserve">std. Ac15</t>
  </si>
  <si>
    <t xml:space="preserve">std. Control</t>
  </si>
  <si>
    <t xml:space="preserve">F. test</t>
  </si>
  <si>
    <t xml:space="preserve">T. Test equal variances</t>
  </si>
  <si>
    <t xml:space="preserve">T.Test unequal</t>
  </si>
  <si>
    <t xml:space="preserve">Mean difference</t>
  </si>
  <si>
    <t xml:space="preserve">mean AC15</t>
  </si>
  <si>
    <t xml:space="preserve">Mean control</t>
  </si>
  <si>
    <t xml:space="preserve">x</t>
  </si>
  <si>
    <t xml:space="preserve">General</t>
  </si>
  <si>
    <t xml:space="preserve">ac15p</t>
  </si>
  <si>
    <t xml:space="preserve">Hybrid</t>
  </si>
  <si>
    <t xml:space="preserve">Hybsem</t>
  </si>
  <si>
    <t xml:space="preserve">ANOVA - Single Factor</t>
  </si>
  <si>
    <t xml:space="preserve">Alpha</t>
  </si>
  <si>
    <t xml:space="preserve">Groups</t>
  </si>
  <si>
    <t xml:space="preserve">Count</t>
  </si>
  <si>
    <t xml:space="preserve">Sum</t>
  </si>
  <si>
    <t xml:space="preserve">Mean</t>
  </si>
  <si>
    <t xml:space="preserve">Variance</t>
  </si>
  <si>
    <t xml:space="preserve">Column 1</t>
  </si>
  <si>
    <t xml:space="preserve">Column 2</t>
  </si>
  <si>
    <t xml:space="preserve">Column 3</t>
  </si>
  <si>
    <t xml:space="preserve">Column 4</t>
  </si>
  <si>
    <t xml:space="preserve">Source of Variation</t>
  </si>
  <si>
    <t xml:space="preserve">SS</t>
  </si>
  <si>
    <t xml:space="preserve">df</t>
  </si>
  <si>
    <t xml:space="preserve">MS</t>
  </si>
  <si>
    <t xml:space="preserve">F</t>
  </si>
  <si>
    <t xml:space="preserve">P-value</t>
  </si>
  <si>
    <t xml:space="preserve">F critical</t>
  </si>
  <si>
    <t xml:space="preserve">Between Groups</t>
  </si>
  <si>
    <t xml:space="preserve">Within Groups</t>
  </si>
  <si>
    <t xml:space="preserve">Total</t>
  </si>
  <si>
    <t xml:space="preserve">Column 5</t>
  </si>
  <si>
    <t xml:space="preserve">stdev</t>
  </si>
  <si>
    <t xml:space="preserve">deltas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</si>
</sst>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;[RED]\-0.000000"/>
  </numFmts>
  <fonts count="6">
    <font>
      <sz val="9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b val="true"/>
      <sz val="9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center" vertical="center" textRotation="0" wrapText="true" indent="0" shrinkToFit="false"/>
    </xf>
  </cellStyleXfs>
  <cellXfs count="12">
    <xf numFmtId="164" fontId="0" fillId="0" borderId="0" xfId="0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dam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actdel_prompt_response!$B$2</c:f>
              <c:strCache>
                <c:ptCount val="1"/>
                <c:pt idx="0">
                  <c:v>ac15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actdel_prompt_response!$A$3:$A$27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actdel_prompt_response!$B$3:$B$27</c:f>
              <c:numCache>
                <c:formatCode>General</c:formatCode>
                <c:ptCount val="25"/>
                <c:pt idx="0">
                  <c:v>0.726072655509358</c:v>
                </c:pt>
                <c:pt idx="1">
                  <c:v>0.682663698456168</c:v>
                </c:pt>
                <c:pt idx="2">
                  <c:v>0.615224454504257</c:v>
                </c:pt>
                <c:pt idx="3">
                  <c:v>0.728618275572537</c:v>
                </c:pt>
                <c:pt idx="4">
                  <c:v>0.688604056934627</c:v>
                </c:pt>
                <c:pt idx="5">
                  <c:v>0.669074893749943</c:v>
                </c:pt>
                <c:pt idx="6">
                  <c:v>0.759372504405003</c:v>
                </c:pt>
                <c:pt idx="7">
                  <c:v>0.695828504681874</c:v>
                </c:pt>
                <c:pt idx="8">
                  <c:v>0.779899573323697</c:v>
                </c:pt>
                <c:pt idx="9">
                  <c:v>0.632572298876227</c:v>
                </c:pt>
                <c:pt idx="10">
                  <c:v>0.733064212818954</c:v>
                </c:pt>
                <c:pt idx="11">
                  <c:v>0.693027541837124</c:v>
                </c:pt>
                <c:pt idx="12">
                  <c:v>0.704438316359018</c:v>
                </c:pt>
                <c:pt idx="13">
                  <c:v>0.822923799196468</c:v>
                </c:pt>
                <c:pt idx="14">
                  <c:v>0.598856826351013</c:v>
                </c:pt>
                <c:pt idx="15">
                  <c:v>0.745885490309946</c:v>
                </c:pt>
                <c:pt idx="16">
                  <c:v>0.627413040342658</c:v>
                </c:pt>
                <c:pt idx="17">
                  <c:v>0.764724151507591</c:v>
                </c:pt>
                <c:pt idx="18">
                  <c:v>0.665442717582544</c:v>
                </c:pt>
                <c:pt idx="19">
                  <c:v>0.739120010292957</c:v>
                </c:pt>
                <c:pt idx="20">
                  <c:v>0.740855593294062</c:v>
                </c:pt>
                <c:pt idx="21">
                  <c:v>0.724986030339445</c:v>
                </c:pt>
                <c:pt idx="22">
                  <c:v>0.732548067807027</c:v>
                </c:pt>
                <c:pt idx="23">
                  <c:v>0.810905330263776</c:v>
                </c:pt>
                <c:pt idx="24">
                  <c:v>0.7452068576726</c:v>
                </c:pt>
              </c:numCache>
            </c:numRef>
          </c:yVal>
          <c:smooth val="0"/>
        </c:ser>
        <c:axId val="39890709"/>
        <c:axId val="54748013"/>
      </c:scatterChart>
      <c:valAx>
        <c:axId val="3989070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4748013"/>
        <c:crosses val="autoZero"/>
        <c:crossBetween val="midCat"/>
      </c:valAx>
      <c:valAx>
        <c:axId val="5474801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989070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inter_system_stats!$B$2</c:f>
              <c:strCache>
                <c:ptCount val="1"/>
                <c:pt idx="0">
                  <c:v>ac15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inter_system_stats!$A$3:$A$27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inter_system_stats!$B$3:$B$27</c:f>
              <c:numCache>
                <c:formatCode>General</c:formatCode>
                <c:ptCount val="25"/>
                <c:pt idx="0">
                  <c:v>0.726072655509358</c:v>
                </c:pt>
                <c:pt idx="1">
                  <c:v>0.682663698456168</c:v>
                </c:pt>
                <c:pt idx="2">
                  <c:v>0.615224454504257</c:v>
                </c:pt>
                <c:pt idx="3">
                  <c:v>0.728618275572537</c:v>
                </c:pt>
                <c:pt idx="4">
                  <c:v>0.688604056934627</c:v>
                </c:pt>
                <c:pt idx="5">
                  <c:v>0.669074893749943</c:v>
                </c:pt>
                <c:pt idx="6">
                  <c:v>0.759372504405003</c:v>
                </c:pt>
                <c:pt idx="7">
                  <c:v>0.695828504681874</c:v>
                </c:pt>
                <c:pt idx="8">
                  <c:v>0.779899573323697</c:v>
                </c:pt>
                <c:pt idx="9">
                  <c:v>0.632572298876227</c:v>
                </c:pt>
                <c:pt idx="10">
                  <c:v>0.733064212818954</c:v>
                </c:pt>
                <c:pt idx="11">
                  <c:v>0.693027541837124</c:v>
                </c:pt>
                <c:pt idx="12">
                  <c:v>0.704438316359018</c:v>
                </c:pt>
                <c:pt idx="13">
                  <c:v>0.822923799196468</c:v>
                </c:pt>
                <c:pt idx="14">
                  <c:v>0.598856826351013</c:v>
                </c:pt>
                <c:pt idx="15">
                  <c:v>0.745885490309946</c:v>
                </c:pt>
                <c:pt idx="16">
                  <c:v>0.627413040342658</c:v>
                </c:pt>
                <c:pt idx="17">
                  <c:v>0.764724151507591</c:v>
                </c:pt>
                <c:pt idx="18">
                  <c:v>0.665442717582544</c:v>
                </c:pt>
                <c:pt idx="19">
                  <c:v>0.739120010292957</c:v>
                </c:pt>
                <c:pt idx="20">
                  <c:v>0.740855593294062</c:v>
                </c:pt>
                <c:pt idx="21">
                  <c:v>0.724986030339445</c:v>
                </c:pt>
                <c:pt idx="22">
                  <c:v>0.732548067807027</c:v>
                </c:pt>
                <c:pt idx="23">
                  <c:v>0.810905330263776</c:v>
                </c:pt>
                <c:pt idx="24">
                  <c:v>0.7452068576726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inter_system_stats!$C$2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inter_system_stats!$A$3:$A$27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inter_system_stats!$C$3:$C$27</c:f>
              <c:numCache>
                <c:formatCode>General</c:formatCode>
                <c:ptCount val="25"/>
                <c:pt idx="0">
                  <c:v>0.780357842803317</c:v>
                </c:pt>
                <c:pt idx="1">
                  <c:v>0.416207094658953</c:v>
                </c:pt>
                <c:pt idx="2">
                  <c:v>0.440694734258005</c:v>
                </c:pt>
                <c:pt idx="3">
                  <c:v>0.50298342709053</c:v>
                </c:pt>
                <c:pt idx="4">
                  <c:v>0.648378238204048</c:v>
                </c:pt>
                <c:pt idx="5">
                  <c:v>0.556905413484638</c:v>
                </c:pt>
                <c:pt idx="6">
                  <c:v>0.676587781456039</c:v>
                </c:pt>
                <c:pt idx="7">
                  <c:v>0.537556987618538</c:v>
                </c:pt>
                <c:pt idx="8">
                  <c:v>0.547450655337536</c:v>
                </c:pt>
                <c:pt idx="9">
                  <c:v>0.404475709994457</c:v>
                </c:pt>
                <c:pt idx="10">
                  <c:v>0.573512450710954</c:v>
                </c:pt>
                <c:pt idx="11">
                  <c:v>0.688426389427952</c:v>
                </c:pt>
                <c:pt idx="12">
                  <c:v>0.536732539192105</c:v>
                </c:pt>
                <c:pt idx="13">
                  <c:v>0.706905423359106</c:v>
                </c:pt>
                <c:pt idx="14">
                  <c:v>0.559275980049327</c:v>
                </c:pt>
                <c:pt idx="15">
                  <c:v>0.696687598503719</c:v>
                </c:pt>
                <c:pt idx="16">
                  <c:v>0.48999145280364</c:v>
                </c:pt>
                <c:pt idx="17">
                  <c:v>0.703777326026319</c:v>
                </c:pt>
                <c:pt idx="18">
                  <c:v>0.538311826027795</c:v>
                </c:pt>
                <c:pt idx="19">
                  <c:v>0.658619577213029</c:v>
                </c:pt>
                <c:pt idx="20">
                  <c:v>0.407653544913038</c:v>
                </c:pt>
                <c:pt idx="21">
                  <c:v>0.515876791249462</c:v>
                </c:pt>
                <c:pt idx="22">
                  <c:v>0.47404366030989</c:v>
                </c:pt>
                <c:pt idx="23">
                  <c:v>0.690137110745753</c:v>
                </c:pt>
                <c:pt idx="24">
                  <c:v>0.454708104680646</c:v>
                </c:pt>
              </c:numCache>
            </c:numRef>
          </c:yVal>
          <c:smooth val="0"/>
        </c:ser>
        <c:axId val="87932566"/>
        <c:axId val="75790558"/>
      </c:scatterChart>
      <c:valAx>
        <c:axId val="8793256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5790558"/>
        <c:crosses val="autoZero"/>
        <c:crossBetween val="midCat"/>
      </c:valAx>
      <c:valAx>
        <c:axId val="7579055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793256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inter_system_stats!$B$31</c:f>
              <c:strCache>
                <c:ptCount val="1"/>
                <c:pt idx="0">
                  <c:v>ac15p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inter_system_stats!$A$32:$A$56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inter_system_stats!$B$32:$B$56</c:f>
              <c:numCache>
                <c:formatCode>General</c:formatCode>
                <c:ptCount val="25"/>
                <c:pt idx="0">
                  <c:v>0.726604447396414</c:v>
                </c:pt>
                <c:pt idx="1">
                  <c:v>0.708959829151642</c:v>
                </c:pt>
                <c:pt idx="2">
                  <c:v>0.656250791088745</c:v>
                </c:pt>
                <c:pt idx="3">
                  <c:v>0.682480064346605</c:v>
                </c:pt>
                <c:pt idx="4">
                  <c:v>0.750666088952323</c:v>
                </c:pt>
                <c:pt idx="5">
                  <c:v>0.690037613967929</c:v>
                </c:pt>
                <c:pt idx="6">
                  <c:v>0.70889799084929</c:v>
                </c:pt>
                <c:pt idx="7">
                  <c:v>0.685546620467512</c:v>
                </c:pt>
                <c:pt idx="8">
                  <c:v>0.727629515141836</c:v>
                </c:pt>
                <c:pt idx="9">
                  <c:v>0.637485514971611</c:v>
                </c:pt>
                <c:pt idx="10">
                  <c:v>0.717989456556699</c:v>
                </c:pt>
                <c:pt idx="11">
                  <c:v>0.770906292597071</c:v>
                </c:pt>
                <c:pt idx="12">
                  <c:v>0.709827899363474</c:v>
                </c:pt>
                <c:pt idx="13">
                  <c:v>0.824775999287701</c:v>
                </c:pt>
                <c:pt idx="14">
                  <c:v>0.611331502918536</c:v>
                </c:pt>
                <c:pt idx="15">
                  <c:v>0.743473367956861</c:v>
                </c:pt>
                <c:pt idx="16">
                  <c:v>0.657769103514598</c:v>
                </c:pt>
                <c:pt idx="17">
                  <c:v>0.7336678926738</c:v>
                </c:pt>
                <c:pt idx="18">
                  <c:v>0.664769831999005</c:v>
                </c:pt>
                <c:pt idx="19">
                  <c:v>0.735511761701567</c:v>
                </c:pt>
                <c:pt idx="20">
                  <c:v>0.715466613809298</c:v>
                </c:pt>
                <c:pt idx="21">
                  <c:v>0.70902009513028</c:v>
                </c:pt>
                <c:pt idx="22">
                  <c:v>0.675856447847683</c:v>
                </c:pt>
                <c:pt idx="23">
                  <c:v>0.770886115042279</c:v>
                </c:pt>
                <c:pt idx="24">
                  <c:v>0.769586409524463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inter_system_stats!$C$31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inter_system_stats!$A$32:$A$56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inter_system_stats!$C$32:$C$56</c:f>
              <c:numCache>
                <c:formatCode>General</c:formatCode>
                <c:ptCount val="25"/>
                <c:pt idx="0">
                  <c:v>0.745618221992126</c:v>
                </c:pt>
                <c:pt idx="1">
                  <c:v>0.731965622484604</c:v>
                </c:pt>
                <c:pt idx="2">
                  <c:v>0.556349411838211</c:v>
                </c:pt>
                <c:pt idx="3">
                  <c:v>0.746961278269468</c:v>
                </c:pt>
                <c:pt idx="4">
                  <c:v>0.736303129517049</c:v>
                </c:pt>
                <c:pt idx="5">
                  <c:v>0.693060520928815</c:v>
                </c:pt>
                <c:pt idx="6">
                  <c:v>0.748597564255249</c:v>
                </c:pt>
                <c:pt idx="7">
                  <c:v>0.705165938537343</c:v>
                </c:pt>
                <c:pt idx="8">
                  <c:v>0.750368716676119</c:v>
                </c:pt>
                <c:pt idx="9">
                  <c:v>0.682432996770851</c:v>
                </c:pt>
                <c:pt idx="10">
                  <c:v>0.72387381443217</c:v>
                </c:pt>
                <c:pt idx="11">
                  <c:v>0.667701763619203</c:v>
                </c:pt>
                <c:pt idx="12">
                  <c:v>0.72995268032519</c:v>
                </c:pt>
                <c:pt idx="13">
                  <c:v>0.79516955513513</c:v>
                </c:pt>
                <c:pt idx="14">
                  <c:v>0.641361051891741</c:v>
                </c:pt>
                <c:pt idx="15">
                  <c:v>0.758550116405013</c:v>
                </c:pt>
                <c:pt idx="16">
                  <c:v>0.694176028461883</c:v>
                </c:pt>
                <c:pt idx="17">
                  <c:v>0.753547411776315</c:v>
                </c:pt>
                <c:pt idx="18">
                  <c:v>0.718473139733635</c:v>
                </c:pt>
                <c:pt idx="19">
                  <c:v>0.754538991520845</c:v>
                </c:pt>
                <c:pt idx="20">
                  <c:v>0.71601754844973</c:v>
                </c:pt>
                <c:pt idx="21">
                  <c:v>0.751876513039488</c:v>
                </c:pt>
                <c:pt idx="22">
                  <c:v>0.717330086490848</c:v>
                </c:pt>
                <c:pt idx="23">
                  <c:v>0.810165160416988</c:v>
                </c:pt>
                <c:pt idx="24">
                  <c:v>0.72772399535443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inter_system_stats!$D$31</c:f>
              <c:strCache>
                <c:ptCount val="1"/>
                <c:pt idx="0">
                  <c:v>Hybsem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inter_system_stats!$A$32:$A$56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inter_system_stats!$D$32:$D$56</c:f>
              <c:numCache>
                <c:formatCode>General</c:formatCode>
                <c:ptCount val="25"/>
                <c:pt idx="0">
                  <c:v>0.724099533668665</c:v>
                </c:pt>
                <c:pt idx="1">
                  <c:v>0.690405786547539</c:v>
                </c:pt>
                <c:pt idx="2">
                  <c:v>0.664424091143094</c:v>
                </c:pt>
                <c:pt idx="3">
                  <c:v>0.737872088358781</c:v>
                </c:pt>
                <c:pt idx="4">
                  <c:v>0.731664951542418</c:v>
                </c:pt>
                <c:pt idx="5">
                  <c:v>0.72767431707301</c:v>
                </c:pt>
                <c:pt idx="6">
                  <c:v>0.785159172931949</c:v>
                </c:pt>
                <c:pt idx="7">
                  <c:v>0.699365933104337</c:v>
                </c:pt>
                <c:pt idx="8">
                  <c:v>0.74686473255493</c:v>
                </c:pt>
                <c:pt idx="9">
                  <c:v>0.68571667055349</c:v>
                </c:pt>
                <c:pt idx="10">
                  <c:v>0.765114909147396</c:v>
                </c:pt>
                <c:pt idx="11">
                  <c:v>0.736644236479232</c:v>
                </c:pt>
                <c:pt idx="12">
                  <c:v>0.678666511575506</c:v>
                </c:pt>
                <c:pt idx="13">
                  <c:v>0.800148648147254</c:v>
                </c:pt>
                <c:pt idx="14">
                  <c:v>0.613656437383168</c:v>
                </c:pt>
                <c:pt idx="15">
                  <c:v>0.70191452728509</c:v>
                </c:pt>
                <c:pt idx="16">
                  <c:v>0.696040981259132</c:v>
                </c:pt>
                <c:pt idx="17">
                  <c:v>0.764111372525898</c:v>
                </c:pt>
                <c:pt idx="18">
                  <c:v>0.612949588021736</c:v>
                </c:pt>
                <c:pt idx="19">
                  <c:v>0.761234455225827</c:v>
                </c:pt>
                <c:pt idx="20">
                  <c:v>0.708545748319991</c:v>
                </c:pt>
                <c:pt idx="21">
                  <c:v>0.756069449327172</c:v>
                </c:pt>
                <c:pt idx="22">
                  <c:v>0.671531865451319</c:v>
                </c:pt>
                <c:pt idx="23">
                  <c:v>0.793327292068252</c:v>
                </c:pt>
                <c:pt idx="24">
                  <c:v>0.762254565867078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inter_system_stats!$E$31</c:f>
              <c:strCache>
                <c:ptCount val="1"/>
                <c:pt idx="0">
                  <c:v>ac15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inter_system_stats!$A$32:$A$56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inter_system_stats!$E$32:$E$56</c:f>
              <c:numCache>
                <c:formatCode>General</c:formatCode>
                <c:ptCount val="25"/>
                <c:pt idx="0">
                  <c:v>0.726072655509358</c:v>
                </c:pt>
                <c:pt idx="1">
                  <c:v>0.682663698456168</c:v>
                </c:pt>
                <c:pt idx="2">
                  <c:v>0.615224454504257</c:v>
                </c:pt>
                <c:pt idx="3">
                  <c:v>0.728618275572537</c:v>
                </c:pt>
                <c:pt idx="4">
                  <c:v>0.688604056934627</c:v>
                </c:pt>
                <c:pt idx="5">
                  <c:v>0.669074893749943</c:v>
                </c:pt>
                <c:pt idx="6">
                  <c:v>0.759372504405003</c:v>
                </c:pt>
                <c:pt idx="7">
                  <c:v>0.695828504681874</c:v>
                </c:pt>
                <c:pt idx="8">
                  <c:v>0.779899573323697</c:v>
                </c:pt>
                <c:pt idx="9">
                  <c:v>0.632572298876227</c:v>
                </c:pt>
                <c:pt idx="10">
                  <c:v>0.733064212818954</c:v>
                </c:pt>
                <c:pt idx="11">
                  <c:v>0.693027541837124</c:v>
                </c:pt>
                <c:pt idx="12">
                  <c:v>0.704438316359018</c:v>
                </c:pt>
                <c:pt idx="13">
                  <c:v>0.822923799196468</c:v>
                </c:pt>
                <c:pt idx="14">
                  <c:v>0.598856826351013</c:v>
                </c:pt>
                <c:pt idx="15">
                  <c:v>0.745885490309946</c:v>
                </c:pt>
                <c:pt idx="16">
                  <c:v>0.627413040342658</c:v>
                </c:pt>
                <c:pt idx="17">
                  <c:v>0.764724151507591</c:v>
                </c:pt>
                <c:pt idx="18">
                  <c:v>0.665442717582544</c:v>
                </c:pt>
                <c:pt idx="19">
                  <c:v>0.739120010292957</c:v>
                </c:pt>
                <c:pt idx="20">
                  <c:v>0.740855593294062</c:v>
                </c:pt>
                <c:pt idx="21">
                  <c:v>0.724986030339445</c:v>
                </c:pt>
                <c:pt idx="22">
                  <c:v>0.732548067807027</c:v>
                </c:pt>
                <c:pt idx="23">
                  <c:v>0.810905330263776</c:v>
                </c:pt>
                <c:pt idx="24">
                  <c:v>0.7452068576726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inter_system_stats!$F$31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inter_system_stats!$A$32:$A$56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inter_system_stats!$F$32:$F$56</c:f>
              <c:numCache>
                <c:formatCode>General</c:formatCode>
                <c:ptCount val="25"/>
                <c:pt idx="0">
                  <c:v>0.780357842803317</c:v>
                </c:pt>
                <c:pt idx="1">
                  <c:v>0.416207094658953</c:v>
                </c:pt>
                <c:pt idx="2">
                  <c:v>0.440694734258005</c:v>
                </c:pt>
                <c:pt idx="3">
                  <c:v>0.50298342709053</c:v>
                </c:pt>
                <c:pt idx="4">
                  <c:v>0.648378238204048</c:v>
                </c:pt>
                <c:pt idx="5">
                  <c:v>0.556905413484638</c:v>
                </c:pt>
                <c:pt idx="6">
                  <c:v>0.676587781456039</c:v>
                </c:pt>
                <c:pt idx="7">
                  <c:v>0.537556987618538</c:v>
                </c:pt>
                <c:pt idx="8">
                  <c:v>0.547450655337536</c:v>
                </c:pt>
                <c:pt idx="9">
                  <c:v>0.404475709994457</c:v>
                </c:pt>
                <c:pt idx="10">
                  <c:v>0.573512450710954</c:v>
                </c:pt>
                <c:pt idx="11">
                  <c:v>0.688426389427952</c:v>
                </c:pt>
                <c:pt idx="12">
                  <c:v>0.536732539192105</c:v>
                </c:pt>
                <c:pt idx="13">
                  <c:v>0.706905423359106</c:v>
                </c:pt>
                <c:pt idx="14">
                  <c:v>0.559275980049327</c:v>
                </c:pt>
                <c:pt idx="15">
                  <c:v>0.696687598503719</c:v>
                </c:pt>
                <c:pt idx="16">
                  <c:v>0.48999145280364</c:v>
                </c:pt>
                <c:pt idx="17">
                  <c:v>0.703777326026319</c:v>
                </c:pt>
                <c:pt idx="18">
                  <c:v>0.538311826027795</c:v>
                </c:pt>
                <c:pt idx="19">
                  <c:v>0.658619577213029</c:v>
                </c:pt>
                <c:pt idx="20">
                  <c:v>0.407653544913038</c:v>
                </c:pt>
                <c:pt idx="21">
                  <c:v>0.515876791249462</c:v>
                </c:pt>
                <c:pt idx="22">
                  <c:v>0.47404366030989</c:v>
                </c:pt>
                <c:pt idx="23">
                  <c:v>0.690137110745753</c:v>
                </c:pt>
                <c:pt idx="24">
                  <c:v>0.454708104680646</c:v>
                </c:pt>
              </c:numCache>
            </c:numRef>
          </c:yVal>
          <c:smooth val="0"/>
        </c:ser>
        <c:axId val="76778377"/>
        <c:axId val="40700698"/>
      </c:scatterChart>
      <c:valAx>
        <c:axId val="7677837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0700698"/>
        <c:crosses val="autoZero"/>
        <c:crossBetween val="midCat"/>
      </c:valAx>
      <c:valAx>
        <c:axId val="4070069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677837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39600</xdr:colOff>
      <xdr:row>2</xdr:row>
      <xdr:rowOff>38880</xdr:rowOff>
    </xdr:from>
    <xdr:to>
      <xdr:col>10</xdr:col>
      <xdr:colOff>101160</xdr:colOff>
      <xdr:row>22</xdr:row>
      <xdr:rowOff>21960</xdr:rowOff>
    </xdr:to>
    <xdr:graphicFrame>
      <xdr:nvGraphicFramePr>
        <xdr:cNvPr id="1" name=""/>
        <xdr:cNvGraphicFramePr/>
      </xdr:nvGraphicFramePr>
      <xdr:xfrm>
        <a:off x="2477880" y="363960"/>
        <a:ext cx="5751360" cy="323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93600</xdr:colOff>
      <xdr:row>5</xdr:row>
      <xdr:rowOff>23040</xdr:rowOff>
    </xdr:from>
    <xdr:to>
      <xdr:col>9</xdr:col>
      <xdr:colOff>863280</xdr:colOff>
      <xdr:row>25</xdr:row>
      <xdr:rowOff>6120</xdr:rowOff>
    </xdr:to>
    <xdr:graphicFrame>
      <xdr:nvGraphicFramePr>
        <xdr:cNvPr id="2" name=""/>
        <xdr:cNvGraphicFramePr/>
      </xdr:nvGraphicFramePr>
      <xdr:xfrm>
        <a:off x="4546080" y="835920"/>
        <a:ext cx="5763600" cy="323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21960</xdr:colOff>
      <xdr:row>60</xdr:row>
      <xdr:rowOff>7920</xdr:rowOff>
    </xdr:from>
    <xdr:to>
      <xdr:col>10</xdr:col>
      <xdr:colOff>22320</xdr:colOff>
      <xdr:row>93</xdr:row>
      <xdr:rowOff>153000</xdr:rowOff>
    </xdr:to>
    <xdr:graphicFrame>
      <xdr:nvGraphicFramePr>
        <xdr:cNvPr id="3" name=""/>
        <xdr:cNvGraphicFramePr/>
      </xdr:nvGraphicFramePr>
      <xdr:xfrm>
        <a:off x="834840" y="9761400"/>
        <a:ext cx="9772920" cy="550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Q2" activeCellId="0" sqref="Q2"/>
    </sheetView>
  </sheetViews>
  <sheetFormatPr defaultColWidth="10.5859375" defaultRowHeight="15" customHeight="false" zeroHeight="false" outlineLevelRow="0" outlineLevelCol="0"/>
  <cols>
    <col collapsed="false" customWidth="true" hidden="false" outlineLevel="0" max="7" min="7" style="1" width="39.93"/>
    <col collapsed="false" customWidth="true" hidden="false" outlineLevel="0" max="8" min="8" style="1" width="7.68"/>
    <col collapsed="false" customWidth="true" hidden="false" outlineLevel="0" max="9" min="9" style="1" width="19.74"/>
    <col collapsed="false" customWidth="true" hidden="false" outlineLevel="0" max="10" min="10" style="1" width="18.71"/>
    <col collapsed="false" customWidth="true" hidden="false" outlineLevel="0" max="12" min="11" style="1" width="19.22"/>
    <col collapsed="false" customWidth="true" hidden="false" outlineLevel="0" max="18" min="17" style="1" width="17.69"/>
  </cols>
  <sheetData>
    <row r="1" customFormat="false" ht="3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P1" s="2" t="s">
        <v>12</v>
      </c>
      <c r="Q1" s="2" t="s">
        <v>13</v>
      </c>
      <c r="R1" s="2" t="s">
        <v>14</v>
      </c>
      <c r="S1" s="3" t="s">
        <v>15</v>
      </c>
    </row>
    <row r="2" customFormat="false" ht="15" hidden="false" customHeight="false" outlineLevel="0" collapsed="false">
      <c r="P2" s="4" t="n">
        <f aca="false">COUNT(K3:K137)</f>
        <v>135</v>
      </c>
      <c r="Q2" s="4" t="n">
        <f aca="false">AVERAGE(K3:K137)</f>
        <v>0.0462046207247564</v>
      </c>
      <c r="R2" s="4" t="n">
        <f aca="false">CORREL(H3:H137,K3:K137)</f>
        <v>0.10836358927563</v>
      </c>
      <c r="S2" s="4" t="n">
        <v>0.211</v>
      </c>
    </row>
    <row r="3" customFormat="false" ht="15" hidden="false" customHeight="false" outlineLevel="0" collapsed="false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n">
        <v>0</v>
      </c>
      <c r="G3" s="1" t="s">
        <v>21</v>
      </c>
      <c r="H3" s="1" t="n">
        <v>0.3244</v>
      </c>
      <c r="I3" s="1" t="n">
        <v>0.253759279488436</v>
      </c>
      <c r="J3" s="1" t="n">
        <v>0.328414783655113</v>
      </c>
      <c r="K3" s="1" t="n">
        <f aca="false">J3-I3</f>
        <v>0.074655504166677</v>
      </c>
      <c r="L3" s="1" t="n">
        <v>0.726072655509358</v>
      </c>
    </row>
    <row r="4" customFormat="false" ht="15" hidden="false" customHeight="false" outlineLevel="0" collapsed="false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n">
        <v>0</v>
      </c>
      <c r="G4" s="1" t="s">
        <v>22</v>
      </c>
      <c r="H4" s="1" t="n">
        <v>0.2993</v>
      </c>
      <c r="I4" s="1" t="n">
        <v>0.234172924830168</v>
      </c>
      <c r="J4" s="1" t="n">
        <v>0.316605552950505</v>
      </c>
      <c r="K4" s="1" t="n">
        <f aca="false">J4-I4</f>
        <v>0.082432628120337</v>
      </c>
      <c r="L4" s="1" t="n">
        <v>0.726072655509358</v>
      </c>
    </row>
    <row r="5" customFormat="false" ht="15" hidden="false" customHeight="false" outlineLevel="0" collapsed="false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1" t="n">
        <v>0</v>
      </c>
      <c r="G5" s="1" t="s">
        <v>23</v>
      </c>
      <c r="H5" s="1" t="n">
        <v>0.2763</v>
      </c>
      <c r="I5" s="1" t="n">
        <v>0.216127784652688</v>
      </c>
      <c r="J5" s="1" t="n">
        <v>0.346074475396453</v>
      </c>
      <c r="K5" s="1" t="n">
        <f aca="false">J5-I5</f>
        <v>0.129946690743765</v>
      </c>
      <c r="L5" s="1" t="n">
        <v>0.726072655509358</v>
      </c>
    </row>
    <row r="6" customFormat="false" ht="15" hidden="false" customHeight="false" outlineLevel="0" collapsed="false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n">
        <v>0</v>
      </c>
      <c r="G6" s="1" t="s">
        <v>24</v>
      </c>
      <c r="H6" s="1" t="n">
        <v>0.1</v>
      </c>
      <c r="I6" s="1" t="n">
        <v>0.14119919387584</v>
      </c>
      <c r="J6" s="1" t="n">
        <v>0.228250103986654</v>
      </c>
      <c r="K6" s="1" t="n">
        <f aca="false">J6-I6</f>
        <v>0.087050910110814</v>
      </c>
      <c r="L6" s="1" t="n">
        <v>0.726072655509358</v>
      </c>
    </row>
    <row r="7" customFormat="false" ht="15" hidden="false" customHeight="false" outlineLevel="0" collapsed="false">
      <c r="A7" s="1" t="s">
        <v>25</v>
      </c>
      <c r="B7" s="1" t="s">
        <v>26</v>
      </c>
      <c r="C7" s="1" t="s">
        <v>27</v>
      </c>
      <c r="D7" s="1" t="s">
        <v>19</v>
      </c>
      <c r="E7" s="1" t="s">
        <v>20</v>
      </c>
      <c r="F7" s="1" t="n">
        <v>2</v>
      </c>
      <c r="G7" s="1" t="s">
        <v>22</v>
      </c>
      <c r="H7" s="1" t="n">
        <v>0.2074</v>
      </c>
      <c r="I7" s="1" t="n">
        <v>0.264722064665453</v>
      </c>
      <c r="J7" s="1" t="n">
        <v>0.376156618197599</v>
      </c>
      <c r="K7" s="1" t="n">
        <f aca="false">J7-I7</f>
        <v>0.111434553532146</v>
      </c>
      <c r="L7" s="1" t="n">
        <v>0.682663698456168</v>
      </c>
    </row>
    <row r="8" customFormat="false" ht="15" hidden="false" customHeight="false" outlineLevel="0" collapsed="false">
      <c r="A8" s="1" t="s">
        <v>25</v>
      </c>
      <c r="B8" s="1" t="s">
        <v>26</v>
      </c>
      <c r="C8" s="1" t="s">
        <v>27</v>
      </c>
      <c r="D8" s="1" t="s">
        <v>19</v>
      </c>
      <c r="E8" s="1" t="s">
        <v>20</v>
      </c>
      <c r="F8" s="1" t="n">
        <v>2</v>
      </c>
      <c r="G8" s="1" t="s">
        <v>21</v>
      </c>
      <c r="H8" s="1" t="n">
        <v>0.1944</v>
      </c>
      <c r="I8" s="1" t="n">
        <v>0.248101235949965</v>
      </c>
      <c r="J8" s="1" t="n">
        <v>0.350741614771328</v>
      </c>
      <c r="K8" s="1" t="n">
        <f aca="false">J8-I8</f>
        <v>0.102640378821363</v>
      </c>
      <c r="L8" s="1" t="n">
        <v>0.682663698456168</v>
      </c>
    </row>
    <row r="9" customFormat="false" ht="15" hidden="false" customHeight="false" outlineLevel="0" collapsed="false">
      <c r="A9" s="1" t="s">
        <v>25</v>
      </c>
      <c r="B9" s="1" t="s">
        <v>26</v>
      </c>
      <c r="C9" s="1" t="s">
        <v>27</v>
      </c>
      <c r="D9" s="1" t="s">
        <v>19</v>
      </c>
      <c r="E9" s="1" t="s">
        <v>20</v>
      </c>
      <c r="F9" s="1" t="n">
        <v>2</v>
      </c>
      <c r="G9" s="1" t="s">
        <v>28</v>
      </c>
      <c r="H9" s="1" t="n">
        <v>0.1699</v>
      </c>
      <c r="I9" s="1" t="n">
        <v>0.216842537030573</v>
      </c>
      <c r="J9" s="1" t="n">
        <v>0.285330896598143</v>
      </c>
      <c r="K9" s="1" t="n">
        <f aca="false">J9-I9</f>
        <v>0.06848835956757</v>
      </c>
      <c r="L9" s="1" t="n">
        <v>0.682663698456168</v>
      </c>
    </row>
    <row r="10" customFormat="false" ht="15" hidden="false" customHeight="false" outlineLevel="0" collapsed="false">
      <c r="A10" s="1" t="s">
        <v>25</v>
      </c>
      <c r="B10" s="1" t="s">
        <v>26</v>
      </c>
      <c r="C10" s="1" t="s">
        <v>27</v>
      </c>
      <c r="D10" s="1" t="s">
        <v>19</v>
      </c>
      <c r="E10" s="1" t="s">
        <v>20</v>
      </c>
      <c r="F10" s="1" t="n">
        <v>2</v>
      </c>
      <c r="G10" s="1" t="s">
        <v>23</v>
      </c>
      <c r="H10" s="1" t="n">
        <v>0.1653</v>
      </c>
      <c r="I10" s="1" t="n">
        <v>0.211001460639308</v>
      </c>
      <c r="J10" s="1" t="n">
        <v>0.320130499563586</v>
      </c>
      <c r="K10" s="1" t="n">
        <f aca="false">J10-I10</f>
        <v>0.109129038924278</v>
      </c>
      <c r="L10" s="1" t="n">
        <v>0.682663698456168</v>
      </c>
    </row>
    <row r="11" customFormat="false" ht="15" hidden="false" customHeight="false" outlineLevel="0" collapsed="false">
      <c r="A11" s="1" t="s">
        <v>25</v>
      </c>
      <c r="B11" s="1" t="s">
        <v>26</v>
      </c>
      <c r="C11" s="1" t="s">
        <v>27</v>
      </c>
      <c r="D11" s="1" t="s">
        <v>19</v>
      </c>
      <c r="E11" s="1" t="s">
        <v>20</v>
      </c>
      <c r="F11" s="1" t="n">
        <v>2</v>
      </c>
      <c r="G11" s="1" t="s">
        <v>29</v>
      </c>
      <c r="H11" s="1" t="n">
        <v>0.163</v>
      </c>
      <c r="I11" s="1" t="n">
        <v>0.208018408738657</v>
      </c>
      <c r="J11" s="1" t="n">
        <v>0.339013979733677</v>
      </c>
      <c r="K11" s="1" t="n">
        <f aca="false">J11-I11</f>
        <v>0.13099557099502</v>
      </c>
      <c r="L11" s="1" t="n">
        <v>0.682663698456168</v>
      </c>
    </row>
    <row r="12" customFormat="false" ht="15" hidden="false" customHeight="false" outlineLevel="0" collapsed="false">
      <c r="A12" s="1" t="s">
        <v>25</v>
      </c>
      <c r="B12" s="1" t="s">
        <v>26</v>
      </c>
      <c r="C12" s="1" t="s">
        <v>27</v>
      </c>
      <c r="D12" s="1" t="s">
        <v>19</v>
      </c>
      <c r="E12" s="1" t="s">
        <v>20</v>
      </c>
      <c r="F12" s="1" t="n">
        <v>2</v>
      </c>
      <c r="G12" s="1" t="s">
        <v>24</v>
      </c>
      <c r="H12" s="1" t="n">
        <v>0.1</v>
      </c>
      <c r="I12" s="1" t="n">
        <v>0.154377485332747</v>
      </c>
      <c r="J12" s="1" t="n">
        <v>0.2756581102275</v>
      </c>
      <c r="K12" s="1" t="n">
        <f aca="false">J12-I12</f>
        <v>0.121280624894753</v>
      </c>
      <c r="L12" s="1" t="n">
        <v>0.682663698456168</v>
      </c>
    </row>
    <row r="13" customFormat="false" ht="15" hidden="false" customHeight="false" outlineLevel="0" collapsed="false">
      <c r="A13" s="1" t="s">
        <v>30</v>
      </c>
      <c r="B13" s="1" t="s">
        <v>31</v>
      </c>
      <c r="C13" s="1" t="s">
        <v>32</v>
      </c>
      <c r="D13" s="1" t="s">
        <v>19</v>
      </c>
      <c r="E13" s="1" t="s">
        <v>20</v>
      </c>
      <c r="F13" s="1" t="n">
        <v>4</v>
      </c>
      <c r="G13" s="1" t="s">
        <v>22</v>
      </c>
      <c r="H13" s="1" t="n">
        <v>0.9</v>
      </c>
      <c r="I13" s="1" t="n">
        <v>0.227398283454987</v>
      </c>
      <c r="J13" s="1" t="n">
        <v>0.320084535033002</v>
      </c>
      <c r="K13" s="1" t="n">
        <f aca="false">J13-I13</f>
        <v>0.092686251578015</v>
      </c>
      <c r="L13" s="1" t="n">
        <v>0.615224454504257</v>
      </c>
    </row>
    <row r="14" customFormat="false" ht="15" hidden="false" customHeight="false" outlineLevel="0" collapsed="false">
      <c r="A14" s="1" t="s">
        <v>30</v>
      </c>
      <c r="B14" s="1" t="s">
        <v>31</v>
      </c>
      <c r="C14" s="1" t="s">
        <v>32</v>
      </c>
      <c r="D14" s="1" t="s">
        <v>19</v>
      </c>
      <c r="E14" s="1" t="s">
        <v>20</v>
      </c>
      <c r="F14" s="1" t="n">
        <v>4</v>
      </c>
      <c r="G14" s="1" t="s">
        <v>24</v>
      </c>
      <c r="H14" s="1" t="n">
        <v>0.1</v>
      </c>
      <c r="I14" s="1" t="n">
        <v>0.149597529393356</v>
      </c>
      <c r="J14" s="1" t="n">
        <v>0.255180474491996</v>
      </c>
      <c r="K14" s="1" t="n">
        <f aca="false">J14-I14</f>
        <v>0.10558294509864</v>
      </c>
      <c r="L14" s="1" t="n">
        <v>0.615224454504257</v>
      </c>
    </row>
    <row r="15" customFormat="false" ht="15" hidden="false" customHeight="false" outlineLevel="0" collapsed="false">
      <c r="A15" s="1" t="s">
        <v>33</v>
      </c>
      <c r="B15" s="1" t="s">
        <v>34</v>
      </c>
      <c r="C15" s="1" t="s">
        <v>35</v>
      </c>
      <c r="D15" s="1" t="s">
        <v>19</v>
      </c>
      <c r="E15" s="1" t="s">
        <v>20</v>
      </c>
      <c r="F15" s="1" t="n">
        <v>6</v>
      </c>
      <c r="G15" s="1" t="s">
        <v>22</v>
      </c>
      <c r="H15" s="1" t="n">
        <v>0.1918</v>
      </c>
      <c r="I15" s="1" t="n">
        <v>0.309393484797979</v>
      </c>
      <c r="J15" s="1" t="n">
        <v>0.373302811560033</v>
      </c>
      <c r="K15" s="1" t="n">
        <f aca="false">J15-I15</f>
        <v>0.063909326762054</v>
      </c>
      <c r="L15" s="1" t="n">
        <v>0.728618275572537</v>
      </c>
    </row>
    <row r="16" customFormat="false" ht="15" hidden="false" customHeight="false" outlineLevel="0" collapsed="false">
      <c r="A16" s="1" t="s">
        <v>33</v>
      </c>
      <c r="B16" s="1" t="s">
        <v>34</v>
      </c>
      <c r="C16" s="1" t="s">
        <v>35</v>
      </c>
      <c r="D16" s="1" t="s">
        <v>19</v>
      </c>
      <c r="E16" s="1" t="s">
        <v>20</v>
      </c>
      <c r="F16" s="1" t="n">
        <v>6</v>
      </c>
      <c r="G16" s="1" t="s">
        <v>23</v>
      </c>
      <c r="H16" s="1" t="n">
        <v>0.1702</v>
      </c>
      <c r="I16" s="1" t="n">
        <v>0.274534022466203</v>
      </c>
      <c r="J16" s="1" t="n">
        <v>0.376588159221037</v>
      </c>
      <c r="K16" s="1" t="n">
        <f aca="false">J16-I16</f>
        <v>0.102054136754834</v>
      </c>
      <c r="L16" s="1" t="n">
        <v>0.728618275572537</v>
      </c>
    </row>
    <row r="17" customFormat="false" ht="15" hidden="false" customHeight="false" outlineLevel="0" collapsed="false">
      <c r="A17" s="1" t="s">
        <v>33</v>
      </c>
      <c r="B17" s="1" t="s">
        <v>34</v>
      </c>
      <c r="C17" s="1" t="s">
        <v>35</v>
      </c>
      <c r="D17" s="1" t="s">
        <v>19</v>
      </c>
      <c r="E17" s="1" t="s">
        <v>20</v>
      </c>
      <c r="F17" s="1" t="n">
        <v>6</v>
      </c>
      <c r="G17" s="1" t="s">
        <v>36</v>
      </c>
      <c r="H17" s="1" t="n">
        <v>0.1683</v>
      </c>
      <c r="I17" s="1" t="n">
        <v>0.271509677668487</v>
      </c>
      <c r="J17" s="1" t="n">
        <v>0.343350731532142</v>
      </c>
      <c r="K17" s="1" t="n">
        <f aca="false">J17-I17</f>
        <v>0.071841053863655</v>
      </c>
      <c r="L17" s="1" t="n">
        <v>0.728618275572537</v>
      </c>
    </row>
    <row r="18" customFormat="false" ht="15" hidden="false" customHeight="false" outlineLevel="0" collapsed="false">
      <c r="A18" s="1" t="s">
        <v>33</v>
      </c>
      <c r="B18" s="1" t="s">
        <v>34</v>
      </c>
      <c r="C18" s="1" t="s">
        <v>35</v>
      </c>
      <c r="D18" s="1" t="s">
        <v>19</v>
      </c>
      <c r="E18" s="1" t="s">
        <v>20</v>
      </c>
      <c r="F18" s="1" t="n">
        <v>6</v>
      </c>
      <c r="G18" s="1" t="s">
        <v>21</v>
      </c>
      <c r="H18" s="1" t="n">
        <v>0.1658</v>
      </c>
      <c r="I18" s="1" t="n">
        <v>0.267550662729337</v>
      </c>
      <c r="J18" s="1" t="n">
        <v>0.371668188848804</v>
      </c>
      <c r="K18" s="1" t="n">
        <f aca="false">J18-I18</f>
        <v>0.104117526119467</v>
      </c>
      <c r="L18" s="1" t="n">
        <v>0.728618275572537</v>
      </c>
    </row>
    <row r="19" customFormat="false" ht="15" hidden="false" customHeight="false" outlineLevel="0" collapsed="false">
      <c r="A19" s="1" t="s">
        <v>33</v>
      </c>
      <c r="B19" s="1" t="s">
        <v>34</v>
      </c>
      <c r="C19" s="1" t="s">
        <v>35</v>
      </c>
      <c r="D19" s="1" t="s">
        <v>19</v>
      </c>
      <c r="E19" s="1" t="s">
        <v>20</v>
      </c>
      <c r="F19" s="1" t="n">
        <v>6</v>
      </c>
      <c r="G19" s="1" t="s">
        <v>29</v>
      </c>
      <c r="H19" s="1" t="n">
        <v>0.1521</v>
      </c>
      <c r="I19" s="1" t="n">
        <v>0.245464089518706</v>
      </c>
      <c r="J19" s="1" t="n">
        <v>0.32059958132206</v>
      </c>
      <c r="K19" s="1" t="n">
        <f aca="false">J19-I19</f>
        <v>0.075135491803354</v>
      </c>
      <c r="L19" s="1" t="n">
        <v>0.728618275572537</v>
      </c>
    </row>
    <row r="20" customFormat="false" ht="15" hidden="false" customHeight="false" outlineLevel="0" collapsed="false">
      <c r="A20" s="1" t="s">
        <v>33</v>
      </c>
      <c r="B20" s="1" t="s">
        <v>34</v>
      </c>
      <c r="C20" s="1" t="s">
        <v>35</v>
      </c>
      <c r="D20" s="1" t="s">
        <v>19</v>
      </c>
      <c r="E20" s="1" t="s">
        <v>20</v>
      </c>
      <c r="F20" s="1" t="n">
        <v>6</v>
      </c>
      <c r="G20" s="1" t="s">
        <v>24</v>
      </c>
      <c r="H20" s="1" t="n">
        <v>0.1518</v>
      </c>
      <c r="I20" s="1" t="n">
        <v>0.244947317220701</v>
      </c>
      <c r="J20" s="1" t="n">
        <v>0.327412495320706</v>
      </c>
      <c r="K20" s="1" t="n">
        <f aca="false">J20-I20</f>
        <v>0.082465178100005</v>
      </c>
      <c r="L20" s="1" t="n">
        <v>0.728618275572537</v>
      </c>
    </row>
    <row r="21" customFormat="false" ht="15" hidden="false" customHeight="false" outlineLevel="0" collapsed="false">
      <c r="A21" s="1" t="s">
        <v>37</v>
      </c>
      <c r="B21" s="1" t="s">
        <v>38</v>
      </c>
      <c r="C21" s="1" t="s">
        <v>39</v>
      </c>
      <c r="D21" s="1" t="s">
        <v>19</v>
      </c>
      <c r="E21" s="1" t="s">
        <v>20</v>
      </c>
      <c r="F21" s="1" t="n">
        <v>8</v>
      </c>
      <c r="G21" s="1" t="s">
        <v>21</v>
      </c>
      <c r="H21" s="1" t="n">
        <v>0.1821</v>
      </c>
      <c r="I21" s="1" t="n">
        <v>0.330192669017822</v>
      </c>
      <c r="J21" s="1" t="n">
        <v>0.325948501439683</v>
      </c>
      <c r="K21" s="1" t="n">
        <f aca="false">J21-I21</f>
        <v>-0.004244167578139</v>
      </c>
      <c r="L21" s="1" t="n">
        <v>0.688604056934627</v>
      </c>
    </row>
    <row r="22" customFormat="false" ht="15" hidden="false" customHeight="false" outlineLevel="0" collapsed="false">
      <c r="A22" s="1" t="s">
        <v>37</v>
      </c>
      <c r="B22" s="1" t="s">
        <v>38</v>
      </c>
      <c r="C22" s="1" t="s">
        <v>39</v>
      </c>
      <c r="D22" s="1" t="s">
        <v>19</v>
      </c>
      <c r="E22" s="1" t="s">
        <v>20</v>
      </c>
      <c r="F22" s="1" t="n">
        <v>8</v>
      </c>
      <c r="G22" s="1" t="s">
        <v>22</v>
      </c>
      <c r="H22" s="1" t="n">
        <v>0.1758</v>
      </c>
      <c r="I22" s="1" t="n">
        <v>0.318725817739378</v>
      </c>
      <c r="J22" s="1" t="n">
        <v>0.327516751916756</v>
      </c>
      <c r="K22" s="1" t="n">
        <f aca="false">J22-I22</f>
        <v>0.00879093417737797</v>
      </c>
      <c r="L22" s="1" t="n">
        <v>0.688604056934627</v>
      </c>
    </row>
    <row r="23" customFormat="false" ht="15" hidden="false" customHeight="false" outlineLevel="0" collapsed="false">
      <c r="A23" s="1" t="s">
        <v>37</v>
      </c>
      <c r="B23" s="1" t="s">
        <v>38</v>
      </c>
      <c r="C23" s="1" t="s">
        <v>39</v>
      </c>
      <c r="D23" s="1" t="s">
        <v>19</v>
      </c>
      <c r="E23" s="1" t="s">
        <v>20</v>
      </c>
      <c r="F23" s="1" t="n">
        <v>8</v>
      </c>
      <c r="G23" s="1" t="s">
        <v>36</v>
      </c>
      <c r="H23" s="1" t="n">
        <v>0.1695</v>
      </c>
      <c r="I23" s="1" t="n">
        <v>0.307394821942949</v>
      </c>
      <c r="J23" s="1" t="n">
        <v>0.322308469079501</v>
      </c>
      <c r="K23" s="1" t="n">
        <f aca="false">J23-I23</f>
        <v>0.014913647136552</v>
      </c>
      <c r="L23" s="1" t="n">
        <v>0.688604056934627</v>
      </c>
    </row>
    <row r="24" customFormat="false" ht="15" hidden="false" customHeight="false" outlineLevel="0" collapsed="false">
      <c r="A24" s="1" t="s">
        <v>37</v>
      </c>
      <c r="B24" s="1" t="s">
        <v>38</v>
      </c>
      <c r="C24" s="1" t="s">
        <v>39</v>
      </c>
      <c r="D24" s="1" t="s">
        <v>19</v>
      </c>
      <c r="E24" s="1" t="s">
        <v>20</v>
      </c>
      <c r="F24" s="1" t="n">
        <v>8</v>
      </c>
      <c r="G24" s="1" t="s">
        <v>23</v>
      </c>
      <c r="H24" s="1" t="n">
        <v>0.1652</v>
      </c>
      <c r="I24" s="1" t="n">
        <v>0.299525101749369</v>
      </c>
      <c r="J24" s="1" t="n">
        <v>0.35039318808781</v>
      </c>
      <c r="K24" s="1" t="n">
        <f aca="false">J24-I24</f>
        <v>0.050868086338441</v>
      </c>
      <c r="L24" s="1" t="n">
        <v>0.688604056934627</v>
      </c>
    </row>
    <row r="25" customFormat="false" ht="15" hidden="false" customHeight="false" outlineLevel="0" collapsed="false">
      <c r="A25" s="1" t="s">
        <v>37</v>
      </c>
      <c r="B25" s="1" t="s">
        <v>38</v>
      </c>
      <c r="C25" s="1" t="s">
        <v>39</v>
      </c>
      <c r="D25" s="1" t="s">
        <v>19</v>
      </c>
      <c r="E25" s="1" t="s">
        <v>20</v>
      </c>
      <c r="F25" s="1" t="n">
        <v>8</v>
      </c>
      <c r="G25" s="1" t="s">
        <v>24</v>
      </c>
      <c r="H25" s="1" t="n">
        <v>0.1543</v>
      </c>
      <c r="I25" s="1" t="n">
        <v>0.27970812095801</v>
      </c>
      <c r="J25" s="1" t="n">
        <v>0.283772492028924</v>
      </c>
      <c r="K25" s="1" t="n">
        <f aca="false">J25-I25</f>
        <v>0.00406437107091401</v>
      </c>
      <c r="L25" s="1" t="n">
        <v>0.688604056934627</v>
      </c>
    </row>
    <row r="26" customFormat="false" ht="15" hidden="false" customHeight="false" outlineLevel="0" collapsed="false">
      <c r="A26" s="1" t="s">
        <v>37</v>
      </c>
      <c r="B26" s="1" t="s">
        <v>38</v>
      </c>
      <c r="C26" s="1" t="s">
        <v>39</v>
      </c>
      <c r="D26" s="1" t="s">
        <v>19</v>
      </c>
      <c r="E26" s="1" t="s">
        <v>20</v>
      </c>
      <c r="F26" s="1" t="n">
        <v>8</v>
      </c>
      <c r="G26" s="1" t="s">
        <v>40</v>
      </c>
      <c r="H26" s="1" t="n">
        <v>0.153</v>
      </c>
      <c r="I26" s="1" t="n">
        <v>0.277474909676917</v>
      </c>
      <c r="J26" s="1" t="n">
        <v>0.338131358546417</v>
      </c>
      <c r="K26" s="1" t="n">
        <f aca="false">J26-I26</f>
        <v>0.0606564488695</v>
      </c>
      <c r="L26" s="1" t="n">
        <v>0.688604056934627</v>
      </c>
    </row>
    <row r="27" customFormat="false" ht="15" hidden="false" customHeight="false" outlineLevel="0" collapsed="false">
      <c r="A27" s="1" t="s">
        <v>41</v>
      </c>
      <c r="B27" s="1" t="s">
        <v>42</v>
      </c>
      <c r="C27" s="1" t="s">
        <v>43</v>
      </c>
      <c r="D27" s="1" t="s">
        <v>19</v>
      </c>
      <c r="E27" s="1" t="s">
        <v>20</v>
      </c>
      <c r="F27" s="1" t="n">
        <v>10</v>
      </c>
      <c r="G27" s="1" t="s">
        <v>21</v>
      </c>
      <c r="H27" s="1" t="n">
        <v>0.2183</v>
      </c>
      <c r="I27" s="1" t="n">
        <v>0.302700939718165</v>
      </c>
      <c r="J27" s="1" t="n">
        <v>0.320166383900198</v>
      </c>
      <c r="K27" s="1" t="n">
        <f aca="false">J27-I27</f>
        <v>0.0174654441820331</v>
      </c>
      <c r="L27" s="1" t="n">
        <v>0.669074893749943</v>
      </c>
    </row>
    <row r="28" customFormat="false" ht="15" hidden="false" customHeight="false" outlineLevel="0" collapsed="false">
      <c r="A28" s="1" t="s">
        <v>41</v>
      </c>
      <c r="B28" s="1" t="s">
        <v>42</v>
      </c>
      <c r="C28" s="1" t="s">
        <v>43</v>
      </c>
      <c r="D28" s="1" t="s">
        <v>19</v>
      </c>
      <c r="E28" s="1" t="s">
        <v>20</v>
      </c>
      <c r="F28" s="1" t="n">
        <v>10</v>
      </c>
      <c r="G28" s="1" t="s">
        <v>22</v>
      </c>
      <c r="H28" s="1" t="n">
        <v>0.1876</v>
      </c>
      <c r="I28" s="1" t="n">
        <v>0.260188881403962</v>
      </c>
      <c r="J28" s="1" t="n">
        <v>0.257778095778799</v>
      </c>
      <c r="K28" s="1" t="n">
        <f aca="false">J28-I28</f>
        <v>-0.002410785625163</v>
      </c>
      <c r="L28" s="1" t="n">
        <v>0.669074893749943</v>
      </c>
    </row>
    <row r="29" customFormat="false" ht="15" hidden="false" customHeight="false" outlineLevel="0" collapsed="false">
      <c r="A29" s="1" t="s">
        <v>41</v>
      </c>
      <c r="B29" s="1" t="s">
        <v>42</v>
      </c>
      <c r="C29" s="1" t="s">
        <v>43</v>
      </c>
      <c r="D29" s="1" t="s">
        <v>19</v>
      </c>
      <c r="E29" s="1" t="s">
        <v>20</v>
      </c>
      <c r="F29" s="1" t="n">
        <v>10</v>
      </c>
      <c r="G29" s="1" t="s">
        <v>23</v>
      </c>
      <c r="H29" s="1" t="n">
        <v>0.1728</v>
      </c>
      <c r="I29" s="1" t="n">
        <v>0.239626533950519</v>
      </c>
      <c r="J29" s="1" t="n">
        <v>0.2973994182824</v>
      </c>
      <c r="K29" s="1" t="n">
        <f aca="false">J29-I29</f>
        <v>0.057772884331881</v>
      </c>
      <c r="L29" s="1" t="n">
        <v>0.669074893749943</v>
      </c>
    </row>
    <row r="30" customFormat="false" ht="15" hidden="false" customHeight="false" outlineLevel="0" collapsed="false">
      <c r="A30" s="1" t="s">
        <v>41</v>
      </c>
      <c r="B30" s="1" t="s">
        <v>42</v>
      </c>
      <c r="C30" s="1" t="s">
        <v>43</v>
      </c>
      <c r="D30" s="1" t="s">
        <v>19</v>
      </c>
      <c r="E30" s="1" t="s">
        <v>20</v>
      </c>
      <c r="F30" s="1" t="n">
        <v>10</v>
      </c>
      <c r="G30" s="1" t="s">
        <v>36</v>
      </c>
      <c r="H30" s="1" t="n">
        <v>0.1669</v>
      </c>
      <c r="I30" s="1" t="n">
        <v>0.231479615966356</v>
      </c>
      <c r="J30" s="1" t="n">
        <v>0.249380544425121</v>
      </c>
      <c r="K30" s="1" t="n">
        <f aca="false">J30-I30</f>
        <v>0.017900928458765</v>
      </c>
      <c r="L30" s="1" t="n">
        <v>0.669074893749943</v>
      </c>
    </row>
    <row r="31" customFormat="false" ht="15" hidden="false" customHeight="false" outlineLevel="0" collapsed="false">
      <c r="A31" s="1" t="s">
        <v>41</v>
      </c>
      <c r="B31" s="1" t="s">
        <v>42</v>
      </c>
      <c r="C31" s="1" t="s">
        <v>43</v>
      </c>
      <c r="D31" s="1" t="s">
        <v>19</v>
      </c>
      <c r="E31" s="1" t="s">
        <v>20</v>
      </c>
      <c r="F31" s="1" t="n">
        <v>10</v>
      </c>
      <c r="G31" s="1" t="s">
        <v>40</v>
      </c>
      <c r="H31" s="1" t="n">
        <v>0.1545</v>
      </c>
      <c r="I31" s="1" t="n">
        <v>0.214223329058819</v>
      </c>
      <c r="J31" s="1" t="n">
        <v>0.208131199700374</v>
      </c>
      <c r="K31" s="1" t="n">
        <f aca="false">J31-I31</f>
        <v>-0.006092129358445</v>
      </c>
      <c r="L31" s="1" t="n">
        <v>0.669074893749943</v>
      </c>
    </row>
    <row r="32" customFormat="false" ht="15" hidden="false" customHeight="false" outlineLevel="0" collapsed="false">
      <c r="A32" s="1" t="s">
        <v>41</v>
      </c>
      <c r="B32" s="1" t="s">
        <v>42</v>
      </c>
      <c r="C32" s="1" t="s">
        <v>43</v>
      </c>
      <c r="D32" s="1" t="s">
        <v>19</v>
      </c>
      <c r="E32" s="1" t="s">
        <v>20</v>
      </c>
      <c r="F32" s="1" t="n">
        <v>10</v>
      </c>
      <c r="G32" s="1" t="s">
        <v>24</v>
      </c>
      <c r="H32" s="1" t="n">
        <v>0.1</v>
      </c>
      <c r="I32" s="1" t="n">
        <v>0.186440476652052</v>
      </c>
      <c r="J32" s="1" t="n">
        <v>0.175387476320135</v>
      </c>
      <c r="K32" s="1" t="n">
        <f aca="false">J32-I32</f>
        <v>-0.011053000331917</v>
      </c>
      <c r="L32" s="1" t="n">
        <v>0.669074893749943</v>
      </c>
    </row>
    <row r="33" customFormat="false" ht="15" hidden="false" customHeight="false" outlineLevel="0" collapsed="false">
      <c r="A33" s="1" t="s">
        <v>44</v>
      </c>
      <c r="B33" s="1" t="s">
        <v>45</v>
      </c>
      <c r="C33" s="1" t="s">
        <v>46</v>
      </c>
      <c r="D33" s="1" t="s">
        <v>19</v>
      </c>
      <c r="E33" s="1" t="s">
        <v>20</v>
      </c>
      <c r="F33" s="1" t="n">
        <v>12</v>
      </c>
      <c r="G33" s="1" t="s">
        <v>21</v>
      </c>
      <c r="H33" s="1" t="n">
        <v>0.491</v>
      </c>
      <c r="I33" s="1" t="n">
        <v>0.242182724193975</v>
      </c>
      <c r="J33" s="1" t="n">
        <v>0.251725633234062</v>
      </c>
      <c r="K33" s="1" t="n">
        <f aca="false">J33-I33</f>
        <v>0.00954290904008701</v>
      </c>
      <c r="L33" s="1" t="n">
        <v>0.759372504405003</v>
      </c>
    </row>
    <row r="34" customFormat="false" ht="15" hidden="false" customHeight="false" outlineLevel="0" collapsed="false">
      <c r="A34" s="1" t="s">
        <v>44</v>
      </c>
      <c r="B34" s="1" t="s">
        <v>45</v>
      </c>
      <c r="C34" s="1" t="s">
        <v>46</v>
      </c>
      <c r="D34" s="1" t="s">
        <v>19</v>
      </c>
      <c r="E34" s="1" t="s">
        <v>20</v>
      </c>
      <c r="F34" s="1" t="n">
        <v>12</v>
      </c>
      <c r="G34" s="1" t="s">
        <v>23</v>
      </c>
      <c r="H34" s="1" t="n">
        <v>0.409</v>
      </c>
      <c r="I34" s="1" t="n">
        <v>0.201704801326118</v>
      </c>
      <c r="J34" s="1" t="n">
        <v>0.283080958516234</v>
      </c>
      <c r="K34" s="1" t="n">
        <f aca="false">J34-I34</f>
        <v>0.081376157190116</v>
      </c>
      <c r="L34" s="1" t="n">
        <v>0.759372504405003</v>
      </c>
    </row>
    <row r="35" customFormat="false" ht="15" hidden="false" customHeight="false" outlineLevel="0" collapsed="false">
      <c r="A35" s="1" t="s">
        <v>44</v>
      </c>
      <c r="B35" s="1" t="s">
        <v>45</v>
      </c>
      <c r="C35" s="1" t="s">
        <v>46</v>
      </c>
      <c r="D35" s="1" t="s">
        <v>19</v>
      </c>
      <c r="E35" s="1" t="s">
        <v>20</v>
      </c>
      <c r="F35" s="1" t="n">
        <v>12</v>
      </c>
      <c r="G35" s="1" t="s">
        <v>24</v>
      </c>
      <c r="H35" s="1" t="n">
        <v>0.1</v>
      </c>
      <c r="I35" s="1" t="n">
        <v>0.0969702024359194</v>
      </c>
      <c r="J35" s="1" t="n">
        <v>0.201987780776107</v>
      </c>
      <c r="K35" s="1" t="n">
        <f aca="false">J35-I35</f>
        <v>0.105017578340188</v>
      </c>
      <c r="L35" s="1" t="n">
        <v>0.759372504405003</v>
      </c>
    </row>
    <row r="36" customFormat="false" ht="15" hidden="false" customHeight="false" outlineLevel="0" collapsed="false">
      <c r="A36" s="1" t="s">
        <v>47</v>
      </c>
      <c r="B36" s="1" t="s">
        <v>48</v>
      </c>
      <c r="C36" s="1" t="s">
        <v>49</v>
      </c>
      <c r="D36" s="1" t="s">
        <v>19</v>
      </c>
      <c r="E36" s="1" t="s">
        <v>20</v>
      </c>
      <c r="F36" s="1" t="n">
        <v>14</v>
      </c>
      <c r="G36" s="1" t="s">
        <v>50</v>
      </c>
      <c r="H36" s="1" t="n">
        <v>0.4795</v>
      </c>
      <c r="I36" s="1" t="n">
        <v>0.24082895660566</v>
      </c>
      <c r="J36" s="1" t="n">
        <v>0.276136579298099</v>
      </c>
      <c r="K36" s="1" t="n">
        <f aca="false">J36-I36</f>
        <v>0.035307622692439</v>
      </c>
      <c r="L36" s="1" t="n">
        <v>0.695828504681874</v>
      </c>
    </row>
    <row r="37" customFormat="false" ht="15" hidden="false" customHeight="false" outlineLevel="0" collapsed="false">
      <c r="A37" s="1" t="s">
        <v>47</v>
      </c>
      <c r="B37" s="1" t="s">
        <v>48</v>
      </c>
      <c r="C37" s="1" t="s">
        <v>49</v>
      </c>
      <c r="D37" s="1" t="s">
        <v>19</v>
      </c>
      <c r="E37" s="1" t="s">
        <v>20</v>
      </c>
      <c r="F37" s="1" t="n">
        <v>14</v>
      </c>
      <c r="G37" s="1" t="s">
        <v>29</v>
      </c>
      <c r="H37" s="1" t="n">
        <v>0.4205</v>
      </c>
      <c r="I37" s="1" t="n">
        <v>0.211202366893629</v>
      </c>
      <c r="J37" s="1" t="n">
        <v>0.293529107285683</v>
      </c>
      <c r="K37" s="1" t="n">
        <f aca="false">J37-I37</f>
        <v>0.082326740392054</v>
      </c>
      <c r="L37" s="1" t="n">
        <v>0.695828504681874</v>
      </c>
    </row>
    <row r="38" customFormat="false" ht="15" hidden="false" customHeight="false" outlineLevel="0" collapsed="false">
      <c r="A38" s="1" t="s">
        <v>47</v>
      </c>
      <c r="B38" s="1" t="s">
        <v>48</v>
      </c>
      <c r="C38" s="1" t="s">
        <v>49</v>
      </c>
      <c r="D38" s="1" t="s">
        <v>19</v>
      </c>
      <c r="E38" s="1" t="s">
        <v>20</v>
      </c>
      <c r="F38" s="1" t="n">
        <v>14</v>
      </c>
      <c r="G38" s="1" t="s">
        <v>24</v>
      </c>
      <c r="H38" s="1" t="n">
        <v>0.1</v>
      </c>
      <c r="I38" s="1" t="n">
        <v>0.133782544673897</v>
      </c>
      <c r="J38" s="1" t="n">
        <v>0.219304986098537</v>
      </c>
      <c r="K38" s="1" t="n">
        <f aca="false">J38-I38</f>
        <v>0.08552244142464</v>
      </c>
      <c r="L38" s="1" t="n">
        <v>0.695828504681874</v>
      </c>
    </row>
    <row r="39" customFormat="false" ht="15" hidden="false" customHeight="false" outlineLevel="0" collapsed="false">
      <c r="A39" s="1" t="s">
        <v>51</v>
      </c>
      <c r="B39" s="1" t="s">
        <v>52</v>
      </c>
      <c r="C39" s="1" t="s">
        <v>53</v>
      </c>
      <c r="D39" s="1" t="s">
        <v>19</v>
      </c>
      <c r="E39" s="1" t="s">
        <v>20</v>
      </c>
      <c r="F39" s="1" t="n">
        <v>16</v>
      </c>
      <c r="G39" s="1" t="s">
        <v>23</v>
      </c>
      <c r="H39" s="1" t="n">
        <v>0.4731</v>
      </c>
      <c r="I39" s="1" t="n">
        <v>0.224215625907083</v>
      </c>
      <c r="J39" s="1" t="n">
        <v>0.320799910979852</v>
      </c>
      <c r="K39" s="1" t="n">
        <f aca="false">J39-I39</f>
        <v>0.096584285072769</v>
      </c>
      <c r="L39" s="1" t="n">
        <v>0.779899573323697</v>
      </c>
    </row>
    <row r="40" customFormat="false" ht="15" hidden="false" customHeight="false" outlineLevel="0" collapsed="false">
      <c r="A40" s="1" t="s">
        <v>51</v>
      </c>
      <c r="B40" s="1" t="s">
        <v>52</v>
      </c>
      <c r="C40" s="1" t="s">
        <v>53</v>
      </c>
      <c r="D40" s="1" t="s">
        <v>19</v>
      </c>
      <c r="E40" s="1" t="s">
        <v>20</v>
      </c>
      <c r="F40" s="1" t="n">
        <v>16</v>
      </c>
      <c r="G40" s="1" t="s">
        <v>22</v>
      </c>
      <c r="H40" s="1" t="n">
        <v>0.4269</v>
      </c>
      <c r="I40" s="1" t="n">
        <v>0.202318650680618</v>
      </c>
      <c r="J40" s="1" t="n">
        <v>0.256848590731126</v>
      </c>
      <c r="K40" s="1" t="n">
        <f aca="false">J40-I40</f>
        <v>0.054529940050508</v>
      </c>
      <c r="L40" s="1" t="n">
        <v>0.779899573323697</v>
      </c>
    </row>
    <row r="41" customFormat="false" ht="15" hidden="false" customHeight="false" outlineLevel="0" collapsed="false">
      <c r="A41" s="1" t="s">
        <v>51</v>
      </c>
      <c r="B41" s="1" t="s">
        <v>52</v>
      </c>
      <c r="C41" s="1" t="s">
        <v>53</v>
      </c>
      <c r="D41" s="1" t="s">
        <v>19</v>
      </c>
      <c r="E41" s="1" t="s">
        <v>20</v>
      </c>
      <c r="F41" s="1" t="n">
        <v>16</v>
      </c>
      <c r="G41" s="1" t="s">
        <v>24</v>
      </c>
      <c r="H41" s="1" t="n">
        <v>0.1</v>
      </c>
      <c r="I41" s="1" t="n">
        <v>0.11237614711837</v>
      </c>
      <c r="J41" s="1" t="n">
        <v>0.175128456748945</v>
      </c>
      <c r="K41" s="1" t="n">
        <f aca="false">J41-I41</f>
        <v>0.062752309630575</v>
      </c>
      <c r="L41" s="1" t="n">
        <v>0.779899573323697</v>
      </c>
    </row>
    <row r="42" customFormat="false" ht="15" hidden="false" customHeight="false" outlineLevel="0" collapsed="false">
      <c r="A42" s="1" t="s">
        <v>54</v>
      </c>
      <c r="B42" s="1" t="s">
        <v>55</v>
      </c>
      <c r="C42" s="1" t="s">
        <v>56</v>
      </c>
      <c r="D42" s="1" t="s">
        <v>19</v>
      </c>
      <c r="E42" s="1" t="s">
        <v>20</v>
      </c>
      <c r="F42" s="1" t="n">
        <v>18</v>
      </c>
      <c r="G42" s="1" t="s">
        <v>23</v>
      </c>
      <c r="H42" s="1" t="n">
        <v>0.2118</v>
      </c>
      <c r="I42" s="1" t="n">
        <v>0.328196414339305</v>
      </c>
      <c r="J42" s="1" t="n">
        <v>0.38766209985297</v>
      </c>
      <c r="K42" s="1" t="n">
        <f aca="false">J42-I42</f>
        <v>0.059465685513665</v>
      </c>
      <c r="L42" s="1" t="n">
        <v>0.632572298876227</v>
      </c>
    </row>
    <row r="43" customFormat="false" ht="15" hidden="false" customHeight="false" outlineLevel="0" collapsed="false">
      <c r="A43" s="1" t="s">
        <v>54</v>
      </c>
      <c r="B43" s="1" t="s">
        <v>55</v>
      </c>
      <c r="C43" s="1" t="s">
        <v>56</v>
      </c>
      <c r="D43" s="1" t="s">
        <v>19</v>
      </c>
      <c r="E43" s="1" t="s">
        <v>20</v>
      </c>
      <c r="F43" s="1" t="n">
        <v>18</v>
      </c>
      <c r="G43" s="1" t="s">
        <v>22</v>
      </c>
      <c r="H43" s="1" t="n">
        <v>0.1937</v>
      </c>
      <c r="I43" s="1" t="n">
        <v>0.300240012146395</v>
      </c>
      <c r="J43" s="1" t="n">
        <v>0.353417060884819</v>
      </c>
      <c r="K43" s="1" t="n">
        <f aca="false">J43-I43</f>
        <v>0.053177048738424</v>
      </c>
      <c r="L43" s="1" t="n">
        <v>0.632572298876227</v>
      </c>
    </row>
    <row r="44" customFormat="false" ht="15" hidden="false" customHeight="false" outlineLevel="0" collapsed="false">
      <c r="A44" s="1" t="s">
        <v>54</v>
      </c>
      <c r="B44" s="1" t="s">
        <v>55</v>
      </c>
      <c r="C44" s="1" t="s">
        <v>56</v>
      </c>
      <c r="D44" s="1" t="s">
        <v>19</v>
      </c>
      <c r="E44" s="1" t="s">
        <v>20</v>
      </c>
      <c r="F44" s="1" t="n">
        <v>18</v>
      </c>
      <c r="G44" s="1" t="s">
        <v>21</v>
      </c>
      <c r="H44" s="1" t="n">
        <v>0.1798</v>
      </c>
      <c r="I44" s="1" t="n">
        <v>0.278591332890645</v>
      </c>
      <c r="J44" s="1" t="n">
        <v>0.367482160531795</v>
      </c>
      <c r="K44" s="1" t="n">
        <f aca="false">J44-I44</f>
        <v>0.08889082764115</v>
      </c>
      <c r="L44" s="1" t="n">
        <v>0.632572298876227</v>
      </c>
    </row>
    <row r="45" customFormat="false" ht="15" hidden="false" customHeight="false" outlineLevel="0" collapsed="false">
      <c r="A45" s="1" t="s">
        <v>54</v>
      </c>
      <c r="B45" s="1" t="s">
        <v>55</v>
      </c>
      <c r="C45" s="1" t="s">
        <v>56</v>
      </c>
      <c r="D45" s="1" t="s">
        <v>19</v>
      </c>
      <c r="E45" s="1" t="s">
        <v>20</v>
      </c>
      <c r="F45" s="1" t="n">
        <v>18</v>
      </c>
      <c r="G45" s="1" t="s">
        <v>29</v>
      </c>
      <c r="H45" s="1" t="n">
        <v>0.1707</v>
      </c>
      <c r="I45" s="1" t="n">
        <v>0.264487207570755</v>
      </c>
      <c r="J45" s="1" t="n">
        <v>0.30497189132898</v>
      </c>
      <c r="K45" s="1" t="n">
        <f aca="false">J45-I45</f>
        <v>0.040484683758225</v>
      </c>
      <c r="L45" s="1" t="n">
        <v>0.632572298876227</v>
      </c>
    </row>
    <row r="46" customFormat="false" ht="15" hidden="false" customHeight="false" outlineLevel="0" collapsed="false">
      <c r="A46" s="1" t="s">
        <v>54</v>
      </c>
      <c r="B46" s="1" t="s">
        <v>55</v>
      </c>
      <c r="C46" s="1" t="s">
        <v>56</v>
      </c>
      <c r="D46" s="1" t="s">
        <v>19</v>
      </c>
      <c r="E46" s="1" t="s">
        <v>20</v>
      </c>
      <c r="F46" s="1" t="n">
        <v>18</v>
      </c>
      <c r="G46" s="1" t="s">
        <v>57</v>
      </c>
      <c r="H46" s="1" t="n">
        <v>0.1441</v>
      </c>
      <c r="I46" s="1" t="n">
        <v>0.223327543878987</v>
      </c>
      <c r="J46" s="1" t="n">
        <v>0.297131836758799</v>
      </c>
      <c r="K46" s="1" t="n">
        <f aca="false">J46-I46</f>
        <v>0.073804292879812</v>
      </c>
      <c r="L46" s="1" t="n">
        <v>0.632572298876227</v>
      </c>
    </row>
    <row r="47" customFormat="false" ht="15" hidden="false" customHeight="false" outlineLevel="0" collapsed="false">
      <c r="A47" s="1" t="s">
        <v>54</v>
      </c>
      <c r="B47" s="1" t="s">
        <v>55</v>
      </c>
      <c r="C47" s="1" t="s">
        <v>56</v>
      </c>
      <c r="D47" s="1" t="s">
        <v>19</v>
      </c>
      <c r="E47" s="1" t="s">
        <v>20</v>
      </c>
      <c r="F47" s="1" t="n">
        <v>18</v>
      </c>
      <c r="G47" s="1" t="s">
        <v>24</v>
      </c>
      <c r="H47" s="1" t="n">
        <v>0.1</v>
      </c>
      <c r="I47" s="1" t="n">
        <v>0.196657402143082</v>
      </c>
      <c r="J47" s="1" t="n">
        <v>0.295042188501963</v>
      </c>
      <c r="K47" s="1" t="n">
        <f aca="false">J47-I47</f>
        <v>0.098384786358881</v>
      </c>
      <c r="L47" s="1" t="n">
        <v>0.632572298876227</v>
      </c>
    </row>
    <row r="48" customFormat="false" ht="15" hidden="false" customHeight="false" outlineLevel="0" collapsed="false">
      <c r="A48" s="1" t="s">
        <v>58</v>
      </c>
      <c r="B48" s="1" t="s">
        <v>59</v>
      </c>
      <c r="C48" s="1" t="s">
        <v>60</v>
      </c>
      <c r="D48" s="1" t="s">
        <v>19</v>
      </c>
      <c r="E48" s="1" t="s">
        <v>20</v>
      </c>
      <c r="F48" s="1" t="n">
        <v>20</v>
      </c>
      <c r="G48" s="1" t="s">
        <v>22</v>
      </c>
      <c r="H48" s="1" t="n">
        <v>0.1827</v>
      </c>
      <c r="I48" s="1" t="n">
        <v>0.27943390060014</v>
      </c>
      <c r="J48" s="1" t="n">
        <v>0.299822006971004</v>
      </c>
      <c r="K48" s="1" t="n">
        <f aca="false">J48-I48</f>
        <v>0.020388106370864</v>
      </c>
      <c r="L48" s="1" t="n">
        <v>0.733064212818954</v>
      </c>
    </row>
    <row r="49" customFormat="false" ht="15" hidden="false" customHeight="false" outlineLevel="0" collapsed="false">
      <c r="A49" s="1" t="s">
        <v>58</v>
      </c>
      <c r="B49" s="1" t="s">
        <v>59</v>
      </c>
      <c r="C49" s="1" t="s">
        <v>60</v>
      </c>
      <c r="D49" s="1" t="s">
        <v>19</v>
      </c>
      <c r="E49" s="1" t="s">
        <v>20</v>
      </c>
      <c r="F49" s="1" t="n">
        <v>20</v>
      </c>
      <c r="G49" s="1" t="s">
        <v>23</v>
      </c>
      <c r="H49" s="1" t="n">
        <v>0.175</v>
      </c>
      <c r="I49" s="1" t="n">
        <v>0.26765556849857</v>
      </c>
      <c r="J49" s="1" t="n">
        <v>0.308156477921467</v>
      </c>
      <c r="K49" s="1" t="n">
        <f aca="false">J49-I49</f>
        <v>0.040500909422897</v>
      </c>
      <c r="L49" s="1" t="n">
        <v>0.733064212818954</v>
      </c>
    </row>
    <row r="50" customFormat="false" ht="15" hidden="false" customHeight="false" outlineLevel="0" collapsed="false">
      <c r="A50" s="1" t="s">
        <v>58</v>
      </c>
      <c r="B50" s="1" t="s">
        <v>59</v>
      </c>
      <c r="C50" s="1" t="s">
        <v>60</v>
      </c>
      <c r="D50" s="1" t="s">
        <v>19</v>
      </c>
      <c r="E50" s="1" t="s">
        <v>20</v>
      </c>
      <c r="F50" s="1" t="n">
        <v>20</v>
      </c>
      <c r="G50" s="1" t="s">
        <v>21</v>
      </c>
      <c r="H50" s="1" t="n">
        <v>0.1747</v>
      </c>
      <c r="I50" s="1" t="n">
        <v>0.267103812371632</v>
      </c>
      <c r="J50" s="1" t="n">
        <v>0.293954394372423</v>
      </c>
      <c r="K50" s="1" t="n">
        <f aca="false">J50-I50</f>
        <v>0.026850582000791</v>
      </c>
      <c r="L50" s="1" t="n">
        <v>0.733064212818954</v>
      </c>
    </row>
    <row r="51" customFormat="false" ht="15" hidden="false" customHeight="false" outlineLevel="0" collapsed="false">
      <c r="A51" s="1" t="s">
        <v>58</v>
      </c>
      <c r="B51" s="1" t="s">
        <v>59</v>
      </c>
      <c r="C51" s="1" t="s">
        <v>60</v>
      </c>
      <c r="D51" s="1" t="s">
        <v>19</v>
      </c>
      <c r="E51" s="1" t="s">
        <v>20</v>
      </c>
      <c r="F51" s="1" t="n">
        <v>20</v>
      </c>
      <c r="G51" s="1" t="s">
        <v>24</v>
      </c>
      <c r="H51" s="1" t="n">
        <v>0.1595</v>
      </c>
      <c r="I51" s="1" t="n">
        <v>0.243871810358592</v>
      </c>
      <c r="J51" s="1" t="n">
        <v>0.263250678168006</v>
      </c>
      <c r="K51" s="1" t="n">
        <f aca="false">J51-I51</f>
        <v>0.019378867809414</v>
      </c>
      <c r="L51" s="1" t="n">
        <v>0.733064212818954</v>
      </c>
    </row>
    <row r="52" customFormat="false" ht="15" hidden="false" customHeight="false" outlineLevel="0" collapsed="false">
      <c r="A52" s="1" t="s">
        <v>58</v>
      </c>
      <c r="B52" s="1" t="s">
        <v>59</v>
      </c>
      <c r="C52" s="1" t="s">
        <v>60</v>
      </c>
      <c r="D52" s="1" t="s">
        <v>19</v>
      </c>
      <c r="E52" s="1" t="s">
        <v>20</v>
      </c>
      <c r="F52" s="1" t="n">
        <v>20</v>
      </c>
      <c r="G52" s="1" t="s">
        <v>50</v>
      </c>
      <c r="H52" s="1" t="n">
        <v>0.1565</v>
      </c>
      <c r="I52" s="1" t="n">
        <v>0.239387465228452</v>
      </c>
      <c r="J52" s="1" t="n">
        <v>0.261444109695705</v>
      </c>
      <c r="K52" s="1" t="n">
        <f aca="false">J52-I52</f>
        <v>0.022056644467253</v>
      </c>
      <c r="L52" s="1" t="n">
        <v>0.733064212818954</v>
      </c>
    </row>
    <row r="53" customFormat="false" ht="15" hidden="false" customHeight="false" outlineLevel="0" collapsed="false">
      <c r="A53" s="1" t="s">
        <v>58</v>
      </c>
      <c r="B53" s="1" t="s">
        <v>59</v>
      </c>
      <c r="C53" s="1" t="s">
        <v>60</v>
      </c>
      <c r="D53" s="1" t="s">
        <v>19</v>
      </c>
      <c r="E53" s="1" t="s">
        <v>20</v>
      </c>
      <c r="F53" s="1" t="n">
        <v>20</v>
      </c>
      <c r="G53" s="1" t="s">
        <v>36</v>
      </c>
      <c r="H53" s="1" t="n">
        <v>0.1516</v>
      </c>
      <c r="I53" s="1" t="n">
        <v>0.23191025030849</v>
      </c>
      <c r="J53" s="1" t="n">
        <v>0.28574124507405</v>
      </c>
      <c r="K53" s="1" t="n">
        <f aca="false">J53-I53</f>
        <v>0.05383099476556</v>
      </c>
      <c r="L53" s="1" t="n">
        <v>0.733064212818954</v>
      </c>
    </row>
    <row r="54" customFormat="false" ht="15" hidden="false" customHeight="false" outlineLevel="0" collapsed="false">
      <c r="A54" s="1" t="s">
        <v>61</v>
      </c>
      <c r="B54" s="1" t="s">
        <v>62</v>
      </c>
      <c r="C54" s="1" t="s">
        <v>63</v>
      </c>
      <c r="D54" s="1" t="s">
        <v>19</v>
      </c>
      <c r="E54" s="1" t="s">
        <v>20</v>
      </c>
      <c r="F54" s="1" t="n">
        <v>22</v>
      </c>
      <c r="G54" s="1" t="s">
        <v>22</v>
      </c>
      <c r="H54" s="1" t="n">
        <v>0.1889</v>
      </c>
      <c r="I54" s="1" t="n">
        <v>0.243805355530018</v>
      </c>
      <c r="J54" s="1" t="n">
        <v>0.324933723657908</v>
      </c>
      <c r="K54" s="1" t="n">
        <f aca="false">J54-I54</f>
        <v>0.08112836812789</v>
      </c>
      <c r="L54" s="1" t="n">
        <v>0.693027541837124</v>
      </c>
    </row>
    <row r="55" customFormat="false" ht="15" hidden="false" customHeight="false" outlineLevel="0" collapsed="false">
      <c r="A55" s="1" t="s">
        <v>61</v>
      </c>
      <c r="B55" s="1" t="s">
        <v>62</v>
      </c>
      <c r="C55" s="1" t="s">
        <v>63</v>
      </c>
      <c r="D55" s="1" t="s">
        <v>19</v>
      </c>
      <c r="E55" s="1" t="s">
        <v>20</v>
      </c>
      <c r="F55" s="1" t="n">
        <v>22</v>
      </c>
      <c r="G55" s="1" t="s">
        <v>23</v>
      </c>
      <c r="H55" s="1" t="n">
        <v>0.1864</v>
      </c>
      <c r="I55" s="1" t="n">
        <v>0.240590954801521</v>
      </c>
      <c r="J55" s="1" t="n">
        <v>0.365910503771095</v>
      </c>
      <c r="K55" s="1" t="n">
        <f aca="false">J55-I55</f>
        <v>0.125319548969574</v>
      </c>
      <c r="L55" s="1" t="n">
        <v>0.693027541837124</v>
      </c>
    </row>
    <row r="56" customFormat="false" ht="15" hidden="false" customHeight="false" outlineLevel="0" collapsed="false">
      <c r="A56" s="1" t="s">
        <v>61</v>
      </c>
      <c r="B56" s="1" t="s">
        <v>62</v>
      </c>
      <c r="C56" s="1" t="s">
        <v>63</v>
      </c>
      <c r="D56" s="1" t="s">
        <v>19</v>
      </c>
      <c r="E56" s="1" t="s">
        <v>20</v>
      </c>
      <c r="F56" s="1" t="n">
        <v>22</v>
      </c>
      <c r="G56" s="1" t="s">
        <v>36</v>
      </c>
      <c r="H56" s="1" t="n">
        <v>0.1797</v>
      </c>
      <c r="I56" s="1" t="n">
        <v>0.231972108833047</v>
      </c>
      <c r="J56" s="1" t="n">
        <v>0.342899566148494</v>
      </c>
      <c r="K56" s="1" t="n">
        <f aca="false">J56-I56</f>
        <v>0.110927457315447</v>
      </c>
      <c r="L56" s="1" t="n">
        <v>0.693027541837124</v>
      </c>
    </row>
    <row r="57" customFormat="false" ht="15" hidden="false" customHeight="false" outlineLevel="0" collapsed="false">
      <c r="A57" s="1" t="s">
        <v>61</v>
      </c>
      <c r="B57" s="1" t="s">
        <v>62</v>
      </c>
      <c r="C57" s="1" t="s">
        <v>63</v>
      </c>
      <c r="D57" s="1" t="s">
        <v>19</v>
      </c>
      <c r="E57" s="1" t="s">
        <v>20</v>
      </c>
      <c r="F57" s="1" t="n">
        <v>22</v>
      </c>
      <c r="G57" s="1" t="s">
        <v>64</v>
      </c>
      <c r="H57" s="1" t="n">
        <v>0.1768</v>
      </c>
      <c r="I57" s="1" t="n">
        <v>0.228202534050452</v>
      </c>
      <c r="J57" s="1" t="n">
        <v>0.287405324320377</v>
      </c>
      <c r="K57" s="1" t="n">
        <f aca="false">J57-I57</f>
        <v>0.059202790269925</v>
      </c>
      <c r="L57" s="1" t="n">
        <v>0.693027541837124</v>
      </c>
    </row>
    <row r="58" customFormat="false" ht="15" hidden="false" customHeight="false" outlineLevel="0" collapsed="false">
      <c r="A58" s="1" t="s">
        <v>61</v>
      </c>
      <c r="B58" s="1" t="s">
        <v>62</v>
      </c>
      <c r="C58" s="1" t="s">
        <v>63</v>
      </c>
      <c r="D58" s="1" t="s">
        <v>19</v>
      </c>
      <c r="E58" s="1" t="s">
        <v>20</v>
      </c>
      <c r="F58" s="1" t="n">
        <v>22</v>
      </c>
      <c r="G58" s="1" t="s">
        <v>21</v>
      </c>
      <c r="H58" s="1" t="n">
        <v>0.1682</v>
      </c>
      <c r="I58" s="1" t="n">
        <v>0.217123345674971</v>
      </c>
      <c r="J58" s="1" t="n">
        <v>0.317185174667392</v>
      </c>
      <c r="K58" s="1" t="n">
        <f aca="false">J58-I58</f>
        <v>0.100061828992421</v>
      </c>
      <c r="L58" s="1" t="n">
        <v>0.693027541837124</v>
      </c>
    </row>
    <row r="59" customFormat="false" ht="15" hidden="false" customHeight="false" outlineLevel="0" collapsed="false">
      <c r="A59" s="1" t="s">
        <v>61</v>
      </c>
      <c r="B59" s="1" t="s">
        <v>62</v>
      </c>
      <c r="C59" s="1" t="s">
        <v>63</v>
      </c>
      <c r="D59" s="1" t="s">
        <v>19</v>
      </c>
      <c r="E59" s="1" t="s">
        <v>20</v>
      </c>
      <c r="F59" s="1" t="n">
        <v>22</v>
      </c>
      <c r="G59" s="1" t="s">
        <v>24</v>
      </c>
      <c r="H59" s="1" t="n">
        <v>0.1</v>
      </c>
      <c r="I59" s="1" t="n">
        <v>0.209298070590632</v>
      </c>
      <c r="J59" s="1" t="n">
        <v>0.272987548335829</v>
      </c>
      <c r="K59" s="1" t="n">
        <f aca="false">J59-I59</f>
        <v>0.063689477745197</v>
      </c>
      <c r="L59" s="1" t="n">
        <v>0.693027541837124</v>
      </c>
    </row>
    <row r="60" customFormat="false" ht="15" hidden="false" customHeight="false" outlineLevel="0" collapsed="false">
      <c r="A60" s="1" t="s">
        <v>65</v>
      </c>
      <c r="B60" s="1" t="s">
        <v>66</v>
      </c>
      <c r="C60" s="1" t="s">
        <v>67</v>
      </c>
      <c r="D60" s="1" t="s">
        <v>19</v>
      </c>
      <c r="E60" s="1" t="s">
        <v>20</v>
      </c>
      <c r="F60" s="1" t="n">
        <v>24</v>
      </c>
      <c r="G60" s="1" t="s">
        <v>22</v>
      </c>
      <c r="H60" s="1" t="n">
        <v>0.196</v>
      </c>
      <c r="I60" s="1" t="n">
        <v>0.287472666518208</v>
      </c>
      <c r="J60" s="1" t="n">
        <v>0.348915873940916</v>
      </c>
      <c r="K60" s="1" t="n">
        <f aca="false">J60-I60</f>
        <v>0.061443207422708</v>
      </c>
      <c r="L60" s="1" t="n">
        <v>0.704438316359018</v>
      </c>
    </row>
    <row r="61" customFormat="false" ht="15" hidden="false" customHeight="false" outlineLevel="0" collapsed="false">
      <c r="A61" s="1" t="s">
        <v>65</v>
      </c>
      <c r="B61" s="1" t="s">
        <v>66</v>
      </c>
      <c r="C61" s="1" t="s">
        <v>67</v>
      </c>
      <c r="D61" s="1" t="s">
        <v>19</v>
      </c>
      <c r="E61" s="1" t="s">
        <v>20</v>
      </c>
      <c r="F61" s="1" t="n">
        <v>24</v>
      </c>
      <c r="G61" s="1" t="s">
        <v>23</v>
      </c>
      <c r="H61" s="1" t="n">
        <v>0.1935</v>
      </c>
      <c r="I61" s="1" t="n">
        <v>0.283887313669402</v>
      </c>
      <c r="J61" s="1" t="n">
        <v>0.365318857306675</v>
      </c>
      <c r="K61" s="1" t="n">
        <f aca="false">J61-I61</f>
        <v>0.081431543637273</v>
      </c>
      <c r="L61" s="1" t="n">
        <v>0.704438316359018</v>
      </c>
    </row>
    <row r="62" customFormat="false" ht="15" hidden="false" customHeight="false" outlineLevel="0" collapsed="false">
      <c r="A62" s="1" t="s">
        <v>65</v>
      </c>
      <c r="B62" s="1" t="s">
        <v>66</v>
      </c>
      <c r="C62" s="1" t="s">
        <v>67</v>
      </c>
      <c r="D62" s="1" t="s">
        <v>19</v>
      </c>
      <c r="E62" s="1" t="s">
        <v>20</v>
      </c>
      <c r="F62" s="1" t="n">
        <v>24</v>
      </c>
      <c r="G62" s="1" t="s">
        <v>21</v>
      </c>
      <c r="H62" s="1" t="n">
        <v>0.1803</v>
      </c>
      <c r="I62" s="1" t="n">
        <v>0.264518115483791</v>
      </c>
      <c r="J62" s="1" t="n">
        <v>0.381588170224166</v>
      </c>
      <c r="K62" s="1" t="n">
        <f aca="false">J62-I62</f>
        <v>0.117070054740375</v>
      </c>
      <c r="L62" s="1" t="n">
        <v>0.704438316359018</v>
      </c>
    </row>
    <row r="63" customFormat="false" ht="15" hidden="false" customHeight="false" outlineLevel="0" collapsed="false">
      <c r="A63" s="1" t="s">
        <v>65</v>
      </c>
      <c r="B63" s="1" t="s">
        <v>66</v>
      </c>
      <c r="C63" s="1" t="s">
        <v>67</v>
      </c>
      <c r="D63" s="1" t="s">
        <v>19</v>
      </c>
      <c r="E63" s="1" t="s">
        <v>20</v>
      </c>
      <c r="F63" s="1" t="n">
        <v>24</v>
      </c>
      <c r="G63" s="1" t="s">
        <v>36</v>
      </c>
      <c r="H63" s="1" t="n">
        <v>0.1667</v>
      </c>
      <c r="I63" s="1" t="n">
        <v>0.244566603520687</v>
      </c>
      <c r="J63" s="1" t="n">
        <v>0.281056558557308</v>
      </c>
      <c r="K63" s="1" t="n">
        <f aca="false">J63-I63</f>
        <v>0.036489955036621</v>
      </c>
      <c r="L63" s="1" t="n">
        <v>0.704438316359018</v>
      </c>
    </row>
    <row r="64" customFormat="false" ht="15" hidden="false" customHeight="false" outlineLevel="0" collapsed="false">
      <c r="A64" s="1" t="s">
        <v>65</v>
      </c>
      <c r="B64" s="1" t="s">
        <v>66</v>
      </c>
      <c r="C64" s="1" t="s">
        <v>67</v>
      </c>
      <c r="D64" s="1" t="s">
        <v>19</v>
      </c>
      <c r="E64" s="1" t="s">
        <v>20</v>
      </c>
      <c r="F64" s="1" t="n">
        <v>24</v>
      </c>
      <c r="G64" s="1" t="s">
        <v>29</v>
      </c>
      <c r="H64" s="1" t="n">
        <v>0.1635</v>
      </c>
      <c r="I64" s="1" t="n">
        <v>0.239815001957158</v>
      </c>
      <c r="J64" s="1" t="n">
        <v>0.33074204226719</v>
      </c>
      <c r="K64" s="1" t="n">
        <f aca="false">J64-I64</f>
        <v>0.090927040310032</v>
      </c>
      <c r="L64" s="1" t="n">
        <v>0.704438316359018</v>
      </c>
    </row>
    <row r="65" customFormat="false" ht="15" hidden="false" customHeight="false" outlineLevel="0" collapsed="false">
      <c r="A65" s="1" t="s">
        <v>65</v>
      </c>
      <c r="B65" s="1" t="s">
        <v>66</v>
      </c>
      <c r="C65" s="1" t="s">
        <v>67</v>
      </c>
      <c r="D65" s="1" t="s">
        <v>19</v>
      </c>
      <c r="E65" s="1" t="s">
        <v>20</v>
      </c>
      <c r="F65" s="1" t="n">
        <v>24</v>
      </c>
      <c r="G65" s="1" t="s">
        <v>24</v>
      </c>
      <c r="H65" s="1" t="n">
        <v>0.1</v>
      </c>
      <c r="I65" s="1" t="n">
        <v>0.198606256360677</v>
      </c>
      <c r="J65" s="1" t="n">
        <v>0.278639992053962</v>
      </c>
      <c r="K65" s="1" t="n">
        <f aca="false">J65-I65</f>
        <v>0.080033735693285</v>
      </c>
      <c r="L65" s="1" t="n">
        <v>0.704438316359018</v>
      </c>
    </row>
    <row r="66" customFormat="false" ht="15" hidden="false" customHeight="false" outlineLevel="0" collapsed="false">
      <c r="A66" s="1" t="s">
        <v>68</v>
      </c>
      <c r="B66" s="1" t="s">
        <v>69</v>
      </c>
      <c r="C66" s="1" t="s">
        <v>70</v>
      </c>
      <c r="D66" s="1" t="s">
        <v>19</v>
      </c>
      <c r="E66" s="1" t="s">
        <v>20</v>
      </c>
      <c r="F66" s="1" t="n">
        <v>26</v>
      </c>
      <c r="G66" s="1" t="s">
        <v>21</v>
      </c>
      <c r="H66" s="1" t="n">
        <v>0.1923</v>
      </c>
      <c r="I66" s="1" t="n">
        <v>0.389739646798937</v>
      </c>
      <c r="J66" s="1" t="n">
        <v>0.429675476432382</v>
      </c>
      <c r="K66" s="1" t="n">
        <f aca="false">J66-I66</f>
        <v>0.039935829633445</v>
      </c>
      <c r="L66" s="1" t="n">
        <v>0.822923799196468</v>
      </c>
    </row>
    <row r="67" customFormat="false" ht="15" hidden="false" customHeight="false" outlineLevel="0" collapsed="false">
      <c r="A67" s="1" t="s">
        <v>68</v>
      </c>
      <c r="B67" s="1" t="s">
        <v>69</v>
      </c>
      <c r="C67" s="1" t="s">
        <v>70</v>
      </c>
      <c r="D67" s="1" t="s">
        <v>19</v>
      </c>
      <c r="E67" s="1" t="s">
        <v>20</v>
      </c>
      <c r="F67" s="1" t="n">
        <v>26</v>
      </c>
      <c r="G67" s="1" t="s">
        <v>23</v>
      </c>
      <c r="H67" s="1" t="n">
        <v>0.1754</v>
      </c>
      <c r="I67" s="1" t="n">
        <v>0.355551684561141</v>
      </c>
      <c r="J67" s="1" t="n">
        <v>0.391146488918535</v>
      </c>
      <c r="K67" s="1" t="n">
        <f aca="false">J67-I67</f>
        <v>0.035594804357394</v>
      </c>
      <c r="L67" s="1" t="n">
        <v>0.822923799196468</v>
      </c>
    </row>
    <row r="68" customFormat="false" ht="15" hidden="false" customHeight="false" outlineLevel="0" collapsed="false">
      <c r="A68" s="1" t="s">
        <v>68</v>
      </c>
      <c r="B68" s="1" t="s">
        <v>69</v>
      </c>
      <c r="C68" s="1" t="s">
        <v>70</v>
      </c>
      <c r="D68" s="1" t="s">
        <v>19</v>
      </c>
      <c r="E68" s="1" t="s">
        <v>20</v>
      </c>
      <c r="F68" s="1" t="n">
        <v>26</v>
      </c>
      <c r="G68" s="1" t="s">
        <v>22</v>
      </c>
      <c r="H68" s="1" t="n">
        <v>0.1694</v>
      </c>
      <c r="I68" s="1" t="n">
        <v>0.343428325495215</v>
      </c>
      <c r="J68" s="1" t="n">
        <v>0.369567090278255</v>
      </c>
      <c r="K68" s="1" t="n">
        <f aca="false">J68-I68</f>
        <v>0.02613876478304</v>
      </c>
      <c r="L68" s="1" t="n">
        <v>0.822923799196468</v>
      </c>
    </row>
    <row r="69" customFormat="false" ht="15" hidden="false" customHeight="false" outlineLevel="0" collapsed="false">
      <c r="A69" s="1" t="s">
        <v>68</v>
      </c>
      <c r="B69" s="1" t="s">
        <v>69</v>
      </c>
      <c r="C69" s="1" t="s">
        <v>70</v>
      </c>
      <c r="D69" s="1" t="s">
        <v>19</v>
      </c>
      <c r="E69" s="1" t="s">
        <v>20</v>
      </c>
      <c r="F69" s="1" t="n">
        <v>26</v>
      </c>
      <c r="G69" s="1" t="s">
        <v>29</v>
      </c>
      <c r="H69" s="1" t="n">
        <v>0.1682</v>
      </c>
      <c r="I69" s="1" t="n">
        <v>0.34095580902351</v>
      </c>
      <c r="J69" s="1" t="n">
        <v>0.373366170191793</v>
      </c>
      <c r="K69" s="1" t="n">
        <f aca="false">J69-I69</f>
        <v>0.032410361168283</v>
      </c>
      <c r="L69" s="1" t="n">
        <v>0.822923799196468</v>
      </c>
    </row>
    <row r="70" customFormat="false" ht="15" hidden="false" customHeight="false" outlineLevel="0" collapsed="false">
      <c r="A70" s="1" t="s">
        <v>68</v>
      </c>
      <c r="B70" s="1" t="s">
        <v>69</v>
      </c>
      <c r="C70" s="1" t="s">
        <v>70</v>
      </c>
      <c r="D70" s="1" t="s">
        <v>19</v>
      </c>
      <c r="E70" s="1" t="s">
        <v>20</v>
      </c>
      <c r="F70" s="1" t="n">
        <v>26</v>
      </c>
      <c r="G70" s="1" t="s">
        <v>24</v>
      </c>
      <c r="H70" s="1" t="n">
        <v>0.1498</v>
      </c>
      <c r="I70" s="1" t="n">
        <v>0.303592700791098</v>
      </c>
      <c r="J70" s="1" t="n">
        <v>0.310600557622643</v>
      </c>
      <c r="K70" s="1" t="n">
        <f aca="false">J70-I70</f>
        <v>0.00700785683154498</v>
      </c>
      <c r="L70" s="1" t="n">
        <v>0.822923799196468</v>
      </c>
    </row>
    <row r="71" customFormat="false" ht="15" hidden="false" customHeight="false" outlineLevel="0" collapsed="false">
      <c r="A71" s="1" t="s">
        <v>68</v>
      </c>
      <c r="B71" s="1" t="s">
        <v>69</v>
      </c>
      <c r="C71" s="1" t="s">
        <v>70</v>
      </c>
      <c r="D71" s="1" t="s">
        <v>19</v>
      </c>
      <c r="E71" s="1" t="s">
        <v>20</v>
      </c>
      <c r="F71" s="1" t="n">
        <v>26</v>
      </c>
      <c r="G71" s="1" t="s">
        <v>40</v>
      </c>
      <c r="H71" s="1" t="n">
        <v>0.1448</v>
      </c>
      <c r="I71" s="1" t="n">
        <v>0.293533480009734</v>
      </c>
      <c r="J71" s="1" t="n">
        <v>0.339152172132795</v>
      </c>
      <c r="K71" s="1" t="n">
        <f aca="false">J71-I71</f>
        <v>0.045618692123061</v>
      </c>
      <c r="L71" s="1" t="n">
        <v>0.822923799196468</v>
      </c>
    </row>
    <row r="72" customFormat="false" ht="15" hidden="false" customHeight="false" outlineLevel="0" collapsed="false">
      <c r="A72" s="1" t="s">
        <v>71</v>
      </c>
      <c r="B72" s="1" t="s">
        <v>72</v>
      </c>
      <c r="C72" s="1" t="s">
        <v>73</v>
      </c>
      <c r="D72" s="1" t="s">
        <v>19</v>
      </c>
      <c r="E72" s="1" t="s">
        <v>20</v>
      </c>
      <c r="F72" s="1" t="n">
        <v>28</v>
      </c>
      <c r="G72" s="1" t="s">
        <v>21</v>
      </c>
      <c r="H72" s="1" t="n">
        <v>0.1933</v>
      </c>
      <c r="I72" s="1" t="n">
        <v>0.413047506465436</v>
      </c>
      <c r="J72" s="1" t="n">
        <v>0.372707785708628</v>
      </c>
      <c r="K72" s="1" t="n">
        <f aca="false">J72-I72</f>
        <v>-0.040339720756808</v>
      </c>
      <c r="L72" s="1" t="n">
        <v>0.598856826351013</v>
      </c>
    </row>
    <row r="73" customFormat="false" ht="15" hidden="false" customHeight="false" outlineLevel="0" collapsed="false">
      <c r="A73" s="1" t="s">
        <v>71</v>
      </c>
      <c r="B73" s="1" t="s">
        <v>72</v>
      </c>
      <c r="C73" s="1" t="s">
        <v>73</v>
      </c>
      <c r="D73" s="1" t="s">
        <v>19</v>
      </c>
      <c r="E73" s="1" t="s">
        <v>20</v>
      </c>
      <c r="F73" s="1" t="n">
        <v>28</v>
      </c>
      <c r="G73" s="1" t="s">
        <v>23</v>
      </c>
      <c r="H73" s="1" t="n">
        <v>0.1871</v>
      </c>
      <c r="I73" s="1" t="n">
        <v>0.399929703993911</v>
      </c>
      <c r="J73" s="1" t="n">
        <v>0.404100869629386</v>
      </c>
      <c r="K73" s="1" t="n">
        <f aca="false">J73-I73</f>
        <v>0.00417116563547504</v>
      </c>
      <c r="L73" s="1" t="n">
        <v>0.598856826351013</v>
      </c>
    </row>
    <row r="74" customFormat="false" ht="15" hidden="false" customHeight="false" outlineLevel="0" collapsed="false">
      <c r="A74" s="1" t="s">
        <v>71</v>
      </c>
      <c r="B74" s="1" t="s">
        <v>72</v>
      </c>
      <c r="C74" s="1" t="s">
        <v>73</v>
      </c>
      <c r="D74" s="1" t="s">
        <v>19</v>
      </c>
      <c r="E74" s="1" t="s">
        <v>20</v>
      </c>
      <c r="F74" s="1" t="n">
        <v>28</v>
      </c>
      <c r="G74" s="1" t="s">
        <v>22</v>
      </c>
      <c r="H74" s="1" t="n">
        <v>0.1791</v>
      </c>
      <c r="I74" s="1" t="n">
        <v>0.382820245875835</v>
      </c>
      <c r="J74" s="1" t="n">
        <v>0.359288566111784</v>
      </c>
      <c r="K74" s="1" t="n">
        <f aca="false">J74-I74</f>
        <v>-0.023531679764051</v>
      </c>
      <c r="L74" s="1" t="n">
        <v>0.598856826351013</v>
      </c>
    </row>
    <row r="75" customFormat="false" ht="15" hidden="false" customHeight="false" outlineLevel="0" collapsed="false">
      <c r="A75" s="1" t="s">
        <v>71</v>
      </c>
      <c r="B75" s="1" t="s">
        <v>72</v>
      </c>
      <c r="C75" s="1" t="s">
        <v>73</v>
      </c>
      <c r="D75" s="1" t="s">
        <v>19</v>
      </c>
      <c r="E75" s="1" t="s">
        <v>20</v>
      </c>
      <c r="F75" s="1" t="n">
        <v>28</v>
      </c>
      <c r="G75" s="1" t="s">
        <v>29</v>
      </c>
      <c r="H75" s="1" t="n">
        <v>0.1758</v>
      </c>
      <c r="I75" s="1" t="n">
        <v>0.37579082495292</v>
      </c>
      <c r="J75" s="1" t="n">
        <v>0.338585229330902</v>
      </c>
      <c r="K75" s="1" t="n">
        <f aca="false">J75-I75</f>
        <v>-0.037205595622018</v>
      </c>
      <c r="L75" s="1" t="n">
        <v>0.598856826351013</v>
      </c>
    </row>
    <row r="76" customFormat="false" ht="15" hidden="false" customHeight="false" outlineLevel="0" collapsed="false">
      <c r="A76" s="1" t="s">
        <v>71</v>
      </c>
      <c r="B76" s="1" t="s">
        <v>72</v>
      </c>
      <c r="C76" s="1" t="s">
        <v>73</v>
      </c>
      <c r="D76" s="1" t="s">
        <v>19</v>
      </c>
      <c r="E76" s="1" t="s">
        <v>20</v>
      </c>
      <c r="F76" s="1" t="n">
        <v>28</v>
      </c>
      <c r="G76" s="1" t="s">
        <v>40</v>
      </c>
      <c r="H76" s="1" t="n">
        <v>0.1646</v>
      </c>
      <c r="I76" s="1" t="n">
        <v>0.35175058871353</v>
      </c>
      <c r="J76" s="1" t="n">
        <v>0.332370058715867</v>
      </c>
      <c r="K76" s="1" t="n">
        <f aca="false">J76-I76</f>
        <v>-0.019380529997663</v>
      </c>
      <c r="L76" s="1" t="n">
        <v>0.598856826351013</v>
      </c>
    </row>
    <row r="77" customFormat="false" ht="15" hidden="false" customHeight="false" outlineLevel="0" collapsed="false">
      <c r="A77" s="1" t="s">
        <v>71</v>
      </c>
      <c r="B77" s="1" t="s">
        <v>72</v>
      </c>
      <c r="C77" s="1" t="s">
        <v>73</v>
      </c>
      <c r="D77" s="1" t="s">
        <v>19</v>
      </c>
      <c r="E77" s="1" t="s">
        <v>20</v>
      </c>
      <c r="F77" s="1" t="n">
        <v>28</v>
      </c>
      <c r="G77" s="1" t="s">
        <v>24</v>
      </c>
      <c r="H77" s="1" t="n">
        <v>0.1</v>
      </c>
      <c r="I77" s="1" t="n">
        <v>0.315948748556354</v>
      </c>
      <c r="J77" s="1" t="n">
        <v>0.289772567097403</v>
      </c>
      <c r="K77" s="1" t="n">
        <f aca="false">J77-I77</f>
        <v>-0.026176181458951</v>
      </c>
      <c r="L77" s="1" t="n">
        <v>0.598856826351013</v>
      </c>
    </row>
    <row r="78" customFormat="false" ht="15" hidden="false" customHeight="false" outlineLevel="0" collapsed="false">
      <c r="A78" s="1" t="s">
        <v>74</v>
      </c>
      <c r="B78" s="1" t="s">
        <v>75</v>
      </c>
      <c r="C78" s="1" t="s">
        <v>76</v>
      </c>
      <c r="D78" s="1" t="s">
        <v>19</v>
      </c>
      <c r="E78" s="1" t="s">
        <v>20</v>
      </c>
      <c r="F78" s="1" t="n">
        <v>30</v>
      </c>
      <c r="G78" s="1" t="s">
        <v>21</v>
      </c>
      <c r="H78" s="1" t="n">
        <v>0.1964</v>
      </c>
      <c r="I78" s="1" t="n">
        <v>0.27807837448217</v>
      </c>
      <c r="J78" s="1" t="n">
        <v>0.328261528487223</v>
      </c>
      <c r="K78" s="1" t="n">
        <f aca="false">J78-I78</f>
        <v>0.050183154005053</v>
      </c>
      <c r="L78" s="1" t="n">
        <v>0.745885490309946</v>
      </c>
    </row>
    <row r="79" customFormat="false" ht="15" hidden="false" customHeight="false" outlineLevel="0" collapsed="false">
      <c r="A79" s="1" t="s">
        <v>74</v>
      </c>
      <c r="B79" s="1" t="s">
        <v>75</v>
      </c>
      <c r="C79" s="1" t="s">
        <v>76</v>
      </c>
      <c r="D79" s="1" t="s">
        <v>19</v>
      </c>
      <c r="E79" s="1" t="s">
        <v>20</v>
      </c>
      <c r="F79" s="1" t="n">
        <v>30</v>
      </c>
      <c r="G79" s="1" t="s">
        <v>23</v>
      </c>
      <c r="H79" s="1" t="n">
        <v>0.1901</v>
      </c>
      <c r="I79" s="1" t="n">
        <v>0.269188170259748</v>
      </c>
      <c r="J79" s="1" t="n">
        <v>0.353163487281532</v>
      </c>
      <c r="K79" s="1" t="n">
        <f aca="false">J79-I79</f>
        <v>0.083975317021784</v>
      </c>
      <c r="L79" s="1" t="n">
        <v>0.745885490309946</v>
      </c>
    </row>
    <row r="80" customFormat="false" ht="15" hidden="false" customHeight="false" outlineLevel="0" collapsed="false">
      <c r="A80" s="1" t="s">
        <v>74</v>
      </c>
      <c r="B80" s="1" t="s">
        <v>75</v>
      </c>
      <c r="C80" s="1" t="s">
        <v>76</v>
      </c>
      <c r="D80" s="1" t="s">
        <v>19</v>
      </c>
      <c r="E80" s="1" t="s">
        <v>20</v>
      </c>
      <c r="F80" s="1" t="n">
        <v>30</v>
      </c>
      <c r="G80" s="1" t="s">
        <v>22</v>
      </c>
      <c r="H80" s="1" t="n">
        <v>0.1786</v>
      </c>
      <c r="I80" s="1" t="n">
        <v>0.252901663204387</v>
      </c>
      <c r="J80" s="1" t="n">
        <v>0.323410900873644</v>
      </c>
      <c r="K80" s="1" t="n">
        <f aca="false">J80-I80</f>
        <v>0.070509237669257</v>
      </c>
      <c r="L80" s="1" t="n">
        <v>0.745885490309946</v>
      </c>
    </row>
    <row r="81" customFormat="false" ht="15" hidden="false" customHeight="false" outlineLevel="0" collapsed="false">
      <c r="A81" s="1" t="s">
        <v>74</v>
      </c>
      <c r="B81" s="1" t="s">
        <v>75</v>
      </c>
      <c r="C81" s="1" t="s">
        <v>76</v>
      </c>
      <c r="D81" s="1" t="s">
        <v>19</v>
      </c>
      <c r="E81" s="1" t="s">
        <v>20</v>
      </c>
      <c r="F81" s="1" t="n">
        <v>30</v>
      </c>
      <c r="G81" s="1" t="s">
        <v>36</v>
      </c>
      <c r="H81" s="1" t="n">
        <v>0.1751</v>
      </c>
      <c r="I81" s="1" t="n">
        <v>0.247875000196182</v>
      </c>
      <c r="J81" s="1" t="n">
        <v>0.346730283193809</v>
      </c>
      <c r="K81" s="1" t="n">
        <f aca="false">J81-I81</f>
        <v>0.098855282997627</v>
      </c>
      <c r="L81" s="1" t="n">
        <v>0.745885490309946</v>
      </c>
    </row>
    <row r="82" customFormat="false" ht="15" hidden="false" customHeight="false" outlineLevel="0" collapsed="false">
      <c r="A82" s="1" t="s">
        <v>74</v>
      </c>
      <c r="B82" s="1" t="s">
        <v>75</v>
      </c>
      <c r="C82" s="1" t="s">
        <v>76</v>
      </c>
      <c r="D82" s="1" t="s">
        <v>19</v>
      </c>
      <c r="E82" s="1" t="s">
        <v>20</v>
      </c>
      <c r="F82" s="1" t="n">
        <v>30</v>
      </c>
      <c r="G82" s="1" t="s">
        <v>29</v>
      </c>
      <c r="H82" s="1" t="n">
        <v>0.1597</v>
      </c>
      <c r="I82" s="1" t="n">
        <v>0.226162997350944</v>
      </c>
      <c r="J82" s="1" t="n">
        <v>0.271763198480744</v>
      </c>
      <c r="K82" s="1" t="n">
        <f aca="false">J82-I82</f>
        <v>0.0456002011298</v>
      </c>
      <c r="L82" s="1" t="n">
        <v>0.745885490309946</v>
      </c>
    </row>
    <row r="83" customFormat="false" ht="15" hidden="false" customHeight="false" outlineLevel="0" collapsed="false">
      <c r="A83" s="1" t="s">
        <v>74</v>
      </c>
      <c r="B83" s="1" t="s">
        <v>75</v>
      </c>
      <c r="C83" s="1" t="s">
        <v>76</v>
      </c>
      <c r="D83" s="1" t="s">
        <v>19</v>
      </c>
      <c r="E83" s="1" t="s">
        <v>20</v>
      </c>
      <c r="F83" s="1" t="n">
        <v>30</v>
      </c>
      <c r="G83" s="1" t="s">
        <v>24</v>
      </c>
      <c r="H83" s="1" t="n">
        <v>0.1</v>
      </c>
      <c r="I83" s="1" t="n">
        <v>0.221340332648909</v>
      </c>
      <c r="J83" s="1" t="n">
        <v>0.263380239787805</v>
      </c>
      <c r="K83" s="1" t="n">
        <f aca="false">J83-I83</f>
        <v>0.042039907138896</v>
      </c>
      <c r="L83" s="1" t="n">
        <v>0.745885490309946</v>
      </c>
    </row>
    <row r="84" customFormat="false" ht="15" hidden="false" customHeight="false" outlineLevel="0" collapsed="false">
      <c r="A84" s="1" t="s">
        <v>77</v>
      </c>
      <c r="B84" s="1" t="s">
        <v>78</v>
      </c>
      <c r="C84" s="1" t="s">
        <v>79</v>
      </c>
      <c r="D84" s="1" t="s">
        <v>19</v>
      </c>
      <c r="E84" s="1" t="s">
        <v>20</v>
      </c>
      <c r="F84" s="1" t="n">
        <v>32</v>
      </c>
      <c r="G84" s="1" t="s">
        <v>36</v>
      </c>
      <c r="H84" s="1" t="n">
        <v>0.1927</v>
      </c>
      <c r="I84" s="1" t="n">
        <v>0.348728324877277</v>
      </c>
      <c r="J84" s="1" t="n">
        <v>0.377768986899317</v>
      </c>
      <c r="K84" s="1" t="n">
        <f aca="false">J84-I84</f>
        <v>0.02904066202204</v>
      </c>
      <c r="L84" s="1" t="n">
        <v>0.627413040342658</v>
      </c>
    </row>
    <row r="85" customFormat="false" ht="15" hidden="false" customHeight="false" outlineLevel="0" collapsed="false">
      <c r="A85" s="1" t="s">
        <v>77</v>
      </c>
      <c r="B85" s="1" t="s">
        <v>78</v>
      </c>
      <c r="C85" s="1" t="s">
        <v>79</v>
      </c>
      <c r="D85" s="1" t="s">
        <v>19</v>
      </c>
      <c r="E85" s="1" t="s">
        <v>20</v>
      </c>
      <c r="F85" s="1" t="n">
        <v>32</v>
      </c>
      <c r="G85" s="1" t="s">
        <v>23</v>
      </c>
      <c r="H85" s="1" t="n">
        <v>0.1805</v>
      </c>
      <c r="I85" s="1" t="n">
        <v>0.326734691100601</v>
      </c>
      <c r="J85" s="1" t="n">
        <v>0.38092416761969</v>
      </c>
      <c r="K85" s="1" t="n">
        <f aca="false">J85-I85</f>
        <v>0.054189476519089</v>
      </c>
      <c r="L85" s="1" t="n">
        <v>0.627413040342658</v>
      </c>
    </row>
    <row r="86" customFormat="false" ht="15" hidden="false" customHeight="false" outlineLevel="0" collapsed="false">
      <c r="A86" s="1" t="s">
        <v>77</v>
      </c>
      <c r="B86" s="1" t="s">
        <v>78</v>
      </c>
      <c r="C86" s="1" t="s">
        <v>79</v>
      </c>
      <c r="D86" s="1" t="s">
        <v>19</v>
      </c>
      <c r="E86" s="1" t="s">
        <v>20</v>
      </c>
      <c r="F86" s="1" t="n">
        <v>32</v>
      </c>
      <c r="G86" s="1" t="s">
        <v>22</v>
      </c>
      <c r="H86" s="1" t="n">
        <v>0.1685</v>
      </c>
      <c r="I86" s="1" t="n">
        <v>0.305019576383624</v>
      </c>
      <c r="J86" s="1" t="n">
        <v>0.355167373674355</v>
      </c>
      <c r="K86" s="1" t="n">
        <f aca="false">J86-I86</f>
        <v>0.050147797290731</v>
      </c>
      <c r="L86" s="1" t="n">
        <v>0.627413040342658</v>
      </c>
    </row>
    <row r="87" customFormat="false" ht="15" hidden="false" customHeight="false" outlineLevel="0" collapsed="false">
      <c r="A87" s="1" t="s">
        <v>77</v>
      </c>
      <c r="B87" s="1" t="s">
        <v>78</v>
      </c>
      <c r="C87" s="1" t="s">
        <v>79</v>
      </c>
      <c r="D87" s="1" t="s">
        <v>19</v>
      </c>
      <c r="E87" s="1" t="s">
        <v>20</v>
      </c>
      <c r="F87" s="1" t="n">
        <v>32</v>
      </c>
      <c r="G87" s="1" t="s">
        <v>24</v>
      </c>
      <c r="H87" s="1" t="n">
        <v>0.1602</v>
      </c>
      <c r="I87" s="1" t="n">
        <v>0.289950631152634</v>
      </c>
      <c r="J87" s="1" t="n">
        <v>0.361022654767852</v>
      </c>
      <c r="K87" s="1" t="n">
        <f aca="false">J87-I87</f>
        <v>0.071072023615218</v>
      </c>
      <c r="L87" s="1" t="n">
        <v>0.627413040342658</v>
      </c>
    </row>
    <row r="88" customFormat="false" ht="15" hidden="false" customHeight="false" outlineLevel="0" collapsed="false">
      <c r="A88" s="1" t="s">
        <v>77</v>
      </c>
      <c r="B88" s="1" t="s">
        <v>78</v>
      </c>
      <c r="C88" s="1" t="s">
        <v>79</v>
      </c>
      <c r="D88" s="1" t="s">
        <v>19</v>
      </c>
      <c r="E88" s="1" t="s">
        <v>20</v>
      </c>
      <c r="F88" s="1" t="n">
        <v>32</v>
      </c>
      <c r="G88" s="1" t="s">
        <v>57</v>
      </c>
      <c r="H88" s="1" t="n">
        <v>0.1518</v>
      </c>
      <c r="I88" s="1" t="n">
        <v>0.274693151786658</v>
      </c>
      <c r="J88" s="1" t="n">
        <v>0.359352178906912</v>
      </c>
      <c r="K88" s="1" t="n">
        <f aca="false">J88-I88</f>
        <v>0.084659027120254</v>
      </c>
      <c r="L88" s="1" t="n">
        <v>0.627413040342658</v>
      </c>
    </row>
    <row r="89" customFormat="false" ht="15" hidden="false" customHeight="false" outlineLevel="0" collapsed="false">
      <c r="A89" s="1" t="s">
        <v>77</v>
      </c>
      <c r="B89" s="1" t="s">
        <v>78</v>
      </c>
      <c r="C89" s="1" t="s">
        <v>79</v>
      </c>
      <c r="D89" s="1" t="s">
        <v>19</v>
      </c>
      <c r="E89" s="1" t="s">
        <v>20</v>
      </c>
      <c r="F89" s="1" t="n">
        <v>32</v>
      </c>
      <c r="G89" s="1" t="s">
        <v>21</v>
      </c>
      <c r="H89" s="1" t="n">
        <v>0.1464</v>
      </c>
      <c r="I89" s="1" t="n">
        <v>0.264920933663566</v>
      </c>
      <c r="J89" s="1" t="n">
        <v>0.384130723738642</v>
      </c>
      <c r="K89" s="1" t="n">
        <f aca="false">J89-I89</f>
        <v>0.119209790075076</v>
      </c>
      <c r="L89" s="1" t="n">
        <v>0.627413040342658</v>
      </c>
    </row>
    <row r="90" customFormat="false" ht="15" hidden="false" customHeight="false" outlineLevel="0" collapsed="false">
      <c r="A90" s="1" t="s">
        <v>80</v>
      </c>
      <c r="B90" s="1" t="s">
        <v>81</v>
      </c>
      <c r="C90" s="1" t="s">
        <v>82</v>
      </c>
      <c r="D90" s="1" t="s">
        <v>19</v>
      </c>
      <c r="E90" s="1" t="s">
        <v>20</v>
      </c>
      <c r="F90" s="1" t="n">
        <v>34</v>
      </c>
      <c r="G90" s="1" t="s">
        <v>23</v>
      </c>
      <c r="H90" s="1" t="n">
        <v>0.1752</v>
      </c>
      <c r="I90" s="1" t="n">
        <v>0.23987981457547</v>
      </c>
      <c r="J90" s="1" t="n">
        <v>0.230041218450622</v>
      </c>
      <c r="K90" s="1" t="n">
        <f aca="false">J90-I90</f>
        <v>-0.009838596124848</v>
      </c>
      <c r="L90" s="1" t="n">
        <v>0.764724151507591</v>
      </c>
    </row>
    <row r="91" customFormat="false" ht="15" hidden="false" customHeight="false" outlineLevel="0" collapsed="false">
      <c r="A91" s="1" t="s">
        <v>80</v>
      </c>
      <c r="B91" s="1" t="s">
        <v>81</v>
      </c>
      <c r="C91" s="1" t="s">
        <v>82</v>
      </c>
      <c r="D91" s="1" t="s">
        <v>19</v>
      </c>
      <c r="E91" s="1" t="s">
        <v>20</v>
      </c>
      <c r="F91" s="1" t="n">
        <v>34</v>
      </c>
      <c r="G91" s="1" t="s">
        <v>21</v>
      </c>
      <c r="H91" s="1" t="n">
        <v>0.1715</v>
      </c>
      <c r="I91" s="1" t="n">
        <v>0.234937363655842</v>
      </c>
      <c r="J91" s="1" t="n">
        <v>0.244275607409972</v>
      </c>
      <c r="K91" s="1" t="n">
        <f aca="false">J91-I91</f>
        <v>0.00933824375413001</v>
      </c>
      <c r="L91" s="1" t="n">
        <v>0.764724151507591</v>
      </c>
    </row>
    <row r="92" customFormat="false" ht="15" hidden="false" customHeight="false" outlineLevel="0" collapsed="false">
      <c r="A92" s="1" t="s">
        <v>80</v>
      </c>
      <c r="B92" s="1" t="s">
        <v>81</v>
      </c>
      <c r="C92" s="1" t="s">
        <v>82</v>
      </c>
      <c r="D92" s="1" t="s">
        <v>19</v>
      </c>
      <c r="E92" s="1" t="s">
        <v>20</v>
      </c>
      <c r="F92" s="1" t="n">
        <v>34</v>
      </c>
      <c r="G92" s="1" t="s">
        <v>22</v>
      </c>
      <c r="H92" s="1" t="n">
        <v>0.1704</v>
      </c>
      <c r="I92" s="1" t="n">
        <v>0.233358060236097</v>
      </c>
      <c r="J92" s="1" t="n">
        <v>0.242905157640307</v>
      </c>
      <c r="K92" s="1" t="n">
        <f aca="false">J92-I92</f>
        <v>0.00954709740421</v>
      </c>
      <c r="L92" s="1" t="n">
        <v>0.764724151507591</v>
      </c>
    </row>
    <row r="93" customFormat="false" ht="15" hidden="false" customHeight="false" outlineLevel="0" collapsed="false">
      <c r="A93" s="1" t="s">
        <v>80</v>
      </c>
      <c r="B93" s="1" t="s">
        <v>81</v>
      </c>
      <c r="C93" s="1" t="s">
        <v>82</v>
      </c>
      <c r="D93" s="1" t="s">
        <v>19</v>
      </c>
      <c r="E93" s="1" t="s">
        <v>20</v>
      </c>
      <c r="F93" s="1" t="n">
        <v>34</v>
      </c>
      <c r="G93" s="1" t="s">
        <v>36</v>
      </c>
      <c r="H93" s="1" t="n">
        <v>0.1676</v>
      </c>
      <c r="I93" s="1" t="n">
        <v>0.229546691565056</v>
      </c>
      <c r="J93" s="1" t="n">
        <v>0.246290568193681</v>
      </c>
      <c r="K93" s="1" t="n">
        <f aca="false">J93-I93</f>
        <v>0.016743876628625</v>
      </c>
      <c r="L93" s="1" t="n">
        <v>0.764724151507591</v>
      </c>
    </row>
    <row r="94" customFormat="false" ht="15" hidden="false" customHeight="false" outlineLevel="0" collapsed="false">
      <c r="A94" s="1" t="s">
        <v>80</v>
      </c>
      <c r="B94" s="1" t="s">
        <v>81</v>
      </c>
      <c r="C94" s="1" t="s">
        <v>82</v>
      </c>
      <c r="D94" s="1" t="s">
        <v>19</v>
      </c>
      <c r="E94" s="1" t="s">
        <v>20</v>
      </c>
      <c r="F94" s="1" t="n">
        <v>34</v>
      </c>
      <c r="G94" s="1" t="s">
        <v>24</v>
      </c>
      <c r="H94" s="1" t="n">
        <v>0.1604</v>
      </c>
      <c r="I94" s="1" t="n">
        <v>0.219682206210284</v>
      </c>
      <c r="J94" s="1" t="n">
        <v>0.222838703264548</v>
      </c>
      <c r="K94" s="1" t="n">
        <f aca="false">J94-I94</f>
        <v>0.00315649705426399</v>
      </c>
      <c r="L94" s="1" t="n">
        <v>0.764724151507591</v>
      </c>
    </row>
    <row r="95" customFormat="false" ht="15" hidden="false" customHeight="false" outlineLevel="0" collapsed="false">
      <c r="A95" s="1" t="s">
        <v>80</v>
      </c>
      <c r="B95" s="1" t="s">
        <v>81</v>
      </c>
      <c r="C95" s="1" t="s">
        <v>82</v>
      </c>
      <c r="D95" s="1" t="s">
        <v>19</v>
      </c>
      <c r="E95" s="1" t="s">
        <v>20</v>
      </c>
      <c r="F95" s="1" t="n">
        <v>34</v>
      </c>
      <c r="G95" s="1" t="s">
        <v>50</v>
      </c>
      <c r="H95" s="1" t="n">
        <v>0.1549</v>
      </c>
      <c r="I95" s="1" t="n">
        <v>0.212110082872207</v>
      </c>
      <c r="J95" s="1" t="n">
        <v>0.235332269722361</v>
      </c>
      <c r="K95" s="1" t="n">
        <f aca="false">J95-I95</f>
        <v>0.023222186850154</v>
      </c>
      <c r="L95" s="1" t="n">
        <v>0.764724151507591</v>
      </c>
    </row>
    <row r="96" customFormat="false" ht="15" hidden="false" customHeight="false" outlineLevel="0" collapsed="false">
      <c r="A96" s="1" t="s">
        <v>83</v>
      </c>
      <c r="B96" s="1" t="s">
        <v>84</v>
      </c>
      <c r="C96" s="1" t="s">
        <v>85</v>
      </c>
      <c r="D96" s="1" t="s">
        <v>19</v>
      </c>
      <c r="E96" s="1" t="s">
        <v>20</v>
      </c>
      <c r="F96" s="1" t="n">
        <v>36</v>
      </c>
      <c r="G96" s="1" t="s">
        <v>21</v>
      </c>
      <c r="H96" s="1" t="n">
        <v>0.2001</v>
      </c>
      <c r="I96" s="1" t="n">
        <v>0.249638776899004</v>
      </c>
      <c r="J96" s="1" t="n">
        <v>0.301111554350413</v>
      </c>
      <c r="K96" s="1" t="n">
        <f aca="false">J96-I96</f>
        <v>0.051472777451409</v>
      </c>
      <c r="L96" s="1" t="n">
        <v>0.665442717582544</v>
      </c>
    </row>
    <row r="97" customFormat="false" ht="15" hidden="false" customHeight="false" outlineLevel="0" collapsed="false">
      <c r="A97" s="1" t="s">
        <v>83</v>
      </c>
      <c r="B97" s="1" t="s">
        <v>84</v>
      </c>
      <c r="C97" s="1" t="s">
        <v>85</v>
      </c>
      <c r="D97" s="1" t="s">
        <v>19</v>
      </c>
      <c r="E97" s="1" t="s">
        <v>20</v>
      </c>
      <c r="F97" s="1" t="n">
        <v>36</v>
      </c>
      <c r="G97" s="1" t="s">
        <v>36</v>
      </c>
      <c r="H97" s="1" t="n">
        <v>0.1804</v>
      </c>
      <c r="I97" s="1" t="n">
        <v>0.225058329773442</v>
      </c>
      <c r="J97" s="1" t="n">
        <v>0.310303930047026</v>
      </c>
      <c r="K97" s="1" t="n">
        <f aca="false">J97-I97</f>
        <v>0.085245600273584</v>
      </c>
      <c r="L97" s="1" t="n">
        <v>0.665442717582544</v>
      </c>
    </row>
    <row r="98" customFormat="false" ht="15" hidden="false" customHeight="false" outlineLevel="0" collapsed="false">
      <c r="A98" s="1" t="s">
        <v>83</v>
      </c>
      <c r="B98" s="1" t="s">
        <v>84</v>
      </c>
      <c r="C98" s="1" t="s">
        <v>85</v>
      </c>
      <c r="D98" s="1" t="s">
        <v>19</v>
      </c>
      <c r="E98" s="1" t="s">
        <v>20</v>
      </c>
      <c r="F98" s="1" t="n">
        <v>36</v>
      </c>
      <c r="G98" s="1" t="s">
        <v>22</v>
      </c>
      <c r="H98" s="1" t="n">
        <v>0.1765</v>
      </c>
      <c r="I98" s="1" t="n">
        <v>0.220220420766769</v>
      </c>
      <c r="J98" s="1" t="n">
        <v>0.288518372252775</v>
      </c>
      <c r="K98" s="1" t="n">
        <f aca="false">J98-I98</f>
        <v>0.068297951486006</v>
      </c>
      <c r="L98" s="1" t="n">
        <v>0.665442717582544</v>
      </c>
    </row>
    <row r="99" customFormat="false" ht="15" hidden="false" customHeight="false" outlineLevel="0" collapsed="false">
      <c r="A99" s="1" t="s">
        <v>83</v>
      </c>
      <c r="B99" s="1" t="s">
        <v>84</v>
      </c>
      <c r="C99" s="1" t="s">
        <v>85</v>
      </c>
      <c r="D99" s="1" t="s">
        <v>19</v>
      </c>
      <c r="E99" s="1" t="s">
        <v>20</v>
      </c>
      <c r="F99" s="1" t="n">
        <v>36</v>
      </c>
      <c r="G99" s="1" t="s">
        <v>23</v>
      </c>
      <c r="H99" s="1" t="n">
        <v>0.1719</v>
      </c>
      <c r="I99" s="1" t="n">
        <v>0.214466214338713</v>
      </c>
      <c r="J99" s="1" t="n">
        <v>0.320574443692054</v>
      </c>
      <c r="K99" s="1" t="n">
        <f aca="false">J99-I99</f>
        <v>0.106108229353341</v>
      </c>
      <c r="L99" s="1" t="n">
        <v>0.665442717582544</v>
      </c>
    </row>
    <row r="100" customFormat="false" ht="15" hidden="false" customHeight="false" outlineLevel="0" collapsed="false">
      <c r="A100" s="1" t="s">
        <v>83</v>
      </c>
      <c r="B100" s="1" t="s">
        <v>84</v>
      </c>
      <c r="C100" s="1" t="s">
        <v>85</v>
      </c>
      <c r="D100" s="1" t="s">
        <v>19</v>
      </c>
      <c r="E100" s="1" t="s">
        <v>20</v>
      </c>
      <c r="F100" s="1" t="n">
        <v>36</v>
      </c>
      <c r="G100" s="1" t="s">
        <v>29</v>
      </c>
      <c r="H100" s="1" t="n">
        <v>0.171</v>
      </c>
      <c r="I100" s="1" t="n">
        <v>0.213376672585156</v>
      </c>
      <c r="J100" s="1" t="n">
        <v>0.261876855762574</v>
      </c>
      <c r="K100" s="1" t="n">
        <f aca="false">J100-I100</f>
        <v>0.048500183177418</v>
      </c>
      <c r="L100" s="1" t="n">
        <v>0.665442717582544</v>
      </c>
    </row>
    <row r="101" customFormat="false" ht="15" hidden="false" customHeight="false" outlineLevel="0" collapsed="false">
      <c r="A101" s="1" t="s">
        <v>83</v>
      </c>
      <c r="B101" s="1" t="s">
        <v>84</v>
      </c>
      <c r="C101" s="1" t="s">
        <v>85</v>
      </c>
      <c r="D101" s="1" t="s">
        <v>19</v>
      </c>
      <c r="E101" s="1" t="s">
        <v>20</v>
      </c>
      <c r="F101" s="1" t="n">
        <v>36</v>
      </c>
      <c r="G101" s="1" t="s">
        <v>24</v>
      </c>
      <c r="H101" s="1" t="n">
        <v>0.1</v>
      </c>
      <c r="I101" s="1" t="n">
        <v>0.189468098010374</v>
      </c>
      <c r="J101" s="1" t="n">
        <v>0.225939001325725</v>
      </c>
      <c r="K101" s="1" t="n">
        <f aca="false">J101-I101</f>
        <v>0.036470903315351</v>
      </c>
      <c r="L101" s="1" t="n">
        <v>0.665442717582544</v>
      </c>
    </row>
    <row r="102" customFormat="false" ht="15" hidden="false" customHeight="false" outlineLevel="0" collapsed="false">
      <c r="A102" s="1" t="s">
        <v>86</v>
      </c>
      <c r="B102" s="1" t="s">
        <v>87</v>
      </c>
      <c r="C102" s="1" t="s">
        <v>88</v>
      </c>
      <c r="D102" s="1" t="s">
        <v>19</v>
      </c>
      <c r="E102" s="1" t="s">
        <v>20</v>
      </c>
      <c r="F102" s="1" t="n">
        <v>38</v>
      </c>
      <c r="G102" s="1" t="s">
        <v>21</v>
      </c>
      <c r="H102" s="1" t="n">
        <v>0.2012</v>
      </c>
      <c r="I102" s="1" t="n">
        <v>0.284386640926385</v>
      </c>
      <c r="J102" s="1" t="n">
        <v>0.333444063256666</v>
      </c>
      <c r="K102" s="1" t="n">
        <f aca="false">J102-I102</f>
        <v>0.049057422330281</v>
      </c>
      <c r="L102" s="1" t="n">
        <v>0.739120010292957</v>
      </c>
    </row>
    <row r="103" customFormat="false" ht="15" hidden="false" customHeight="false" outlineLevel="0" collapsed="false">
      <c r="A103" s="1" t="s">
        <v>86</v>
      </c>
      <c r="B103" s="1" t="s">
        <v>87</v>
      </c>
      <c r="C103" s="1" t="s">
        <v>88</v>
      </c>
      <c r="D103" s="1" t="s">
        <v>19</v>
      </c>
      <c r="E103" s="1" t="s">
        <v>20</v>
      </c>
      <c r="F103" s="1" t="n">
        <v>38</v>
      </c>
      <c r="G103" s="1" t="s">
        <v>23</v>
      </c>
      <c r="H103" s="1" t="n">
        <v>0.184</v>
      </c>
      <c r="I103" s="1" t="n">
        <v>0.260062189384145</v>
      </c>
      <c r="J103" s="1" t="n">
        <v>0.362165198237086</v>
      </c>
      <c r="K103" s="1" t="n">
        <f aca="false">J103-I103</f>
        <v>0.102103008852941</v>
      </c>
      <c r="L103" s="1" t="n">
        <v>0.739120010292957</v>
      </c>
    </row>
    <row r="104" customFormat="false" ht="15" hidden="false" customHeight="false" outlineLevel="0" collapsed="false">
      <c r="A104" s="1" t="s">
        <v>86</v>
      </c>
      <c r="B104" s="1" t="s">
        <v>87</v>
      </c>
      <c r="C104" s="1" t="s">
        <v>88</v>
      </c>
      <c r="D104" s="1" t="s">
        <v>19</v>
      </c>
      <c r="E104" s="1" t="s">
        <v>20</v>
      </c>
      <c r="F104" s="1" t="n">
        <v>38</v>
      </c>
      <c r="G104" s="1" t="s">
        <v>22</v>
      </c>
      <c r="H104" s="1" t="n">
        <v>0.1818</v>
      </c>
      <c r="I104" s="1" t="n">
        <v>0.256912659014119</v>
      </c>
      <c r="J104" s="1" t="n">
        <v>0.314692141221291</v>
      </c>
      <c r="K104" s="1" t="n">
        <f aca="false">J104-I104</f>
        <v>0.057779482207172</v>
      </c>
      <c r="L104" s="1" t="n">
        <v>0.739120010292957</v>
      </c>
    </row>
    <row r="105" customFormat="false" ht="15" hidden="false" customHeight="false" outlineLevel="0" collapsed="false">
      <c r="A105" s="1" t="s">
        <v>86</v>
      </c>
      <c r="B105" s="1" t="s">
        <v>87</v>
      </c>
      <c r="C105" s="1" t="s">
        <v>88</v>
      </c>
      <c r="D105" s="1" t="s">
        <v>19</v>
      </c>
      <c r="E105" s="1" t="s">
        <v>20</v>
      </c>
      <c r="F105" s="1" t="n">
        <v>38</v>
      </c>
      <c r="G105" s="1" t="s">
        <v>29</v>
      </c>
      <c r="H105" s="1" t="n">
        <v>0.1747</v>
      </c>
      <c r="I105" s="1" t="n">
        <v>0.246964227686493</v>
      </c>
      <c r="J105" s="1" t="n">
        <v>0.298212530328474</v>
      </c>
      <c r="K105" s="1" t="n">
        <f aca="false">J105-I105</f>
        <v>0.051248302641981</v>
      </c>
      <c r="L105" s="1" t="n">
        <v>0.739120010292957</v>
      </c>
    </row>
    <row r="106" customFormat="false" ht="15" hidden="false" customHeight="false" outlineLevel="0" collapsed="false">
      <c r="A106" s="1" t="s">
        <v>86</v>
      </c>
      <c r="B106" s="1" t="s">
        <v>87</v>
      </c>
      <c r="C106" s="1" t="s">
        <v>88</v>
      </c>
      <c r="D106" s="1" t="s">
        <v>19</v>
      </c>
      <c r="E106" s="1" t="s">
        <v>20</v>
      </c>
      <c r="F106" s="1" t="n">
        <v>38</v>
      </c>
      <c r="G106" s="1" t="s">
        <v>50</v>
      </c>
      <c r="H106" s="1" t="n">
        <v>0.1583</v>
      </c>
      <c r="I106" s="1" t="n">
        <v>0.223756433263253</v>
      </c>
      <c r="J106" s="1" t="n">
        <v>0.267413370225567</v>
      </c>
      <c r="K106" s="1" t="n">
        <f aca="false">J106-I106</f>
        <v>0.043656936962314</v>
      </c>
      <c r="L106" s="1" t="n">
        <v>0.739120010292957</v>
      </c>
    </row>
    <row r="107" customFormat="false" ht="15" hidden="false" customHeight="false" outlineLevel="0" collapsed="false">
      <c r="A107" s="1" t="s">
        <v>86</v>
      </c>
      <c r="B107" s="1" t="s">
        <v>87</v>
      </c>
      <c r="C107" s="1" t="s">
        <v>88</v>
      </c>
      <c r="D107" s="1" t="s">
        <v>19</v>
      </c>
      <c r="E107" s="1" t="s">
        <v>20</v>
      </c>
      <c r="F107" s="1" t="n">
        <v>38</v>
      </c>
      <c r="G107" s="1" t="s">
        <v>24</v>
      </c>
      <c r="H107" s="1" t="n">
        <v>0.1</v>
      </c>
      <c r="I107" s="1" t="n">
        <v>0.188281854215518</v>
      </c>
      <c r="J107" s="1" t="n">
        <v>0.240095850169651</v>
      </c>
      <c r="K107" s="1" t="n">
        <f aca="false">J107-I107</f>
        <v>0.051813995954133</v>
      </c>
      <c r="L107" s="1" t="n">
        <v>0.739120010292957</v>
      </c>
    </row>
    <row r="108" customFormat="false" ht="15" hidden="false" customHeight="false" outlineLevel="0" collapsed="false">
      <c r="A108" s="1" t="s">
        <v>89</v>
      </c>
      <c r="B108" s="1" t="s">
        <v>90</v>
      </c>
      <c r="C108" s="1" t="s">
        <v>91</v>
      </c>
      <c r="D108" s="1" t="s">
        <v>19</v>
      </c>
      <c r="E108" s="1" t="s">
        <v>20</v>
      </c>
      <c r="F108" s="1" t="n">
        <v>40</v>
      </c>
      <c r="G108" s="1" t="s">
        <v>23</v>
      </c>
      <c r="H108" s="1" t="n">
        <v>0.1967</v>
      </c>
      <c r="I108" s="1" t="n">
        <v>0.347947541676281</v>
      </c>
      <c r="J108" s="1" t="n">
        <v>0.382359925478491</v>
      </c>
      <c r="K108" s="1" t="n">
        <f aca="false">J108-I108</f>
        <v>0.03441238380221</v>
      </c>
      <c r="L108" s="1" t="n">
        <v>0.740855593294062</v>
      </c>
    </row>
    <row r="109" customFormat="false" ht="15" hidden="false" customHeight="false" outlineLevel="0" collapsed="false">
      <c r="A109" s="1" t="s">
        <v>89</v>
      </c>
      <c r="B109" s="1" t="s">
        <v>90</v>
      </c>
      <c r="C109" s="1" t="s">
        <v>91</v>
      </c>
      <c r="D109" s="1" t="s">
        <v>19</v>
      </c>
      <c r="E109" s="1" t="s">
        <v>20</v>
      </c>
      <c r="F109" s="1" t="n">
        <v>40</v>
      </c>
      <c r="G109" s="1" t="s">
        <v>21</v>
      </c>
      <c r="H109" s="1" t="n">
        <v>0.1804</v>
      </c>
      <c r="I109" s="1" t="n">
        <v>0.319058734581146</v>
      </c>
      <c r="J109" s="1" t="n">
        <v>0.359889640151391</v>
      </c>
      <c r="K109" s="1" t="n">
        <f aca="false">J109-I109</f>
        <v>0.040830905570245</v>
      </c>
      <c r="L109" s="1" t="n">
        <v>0.740855593294062</v>
      </c>
    </row>
    <row r="110" customFormat="false" ht="15" hidden="false" customHeight="false" outlineLevel="0" collapsed="false">
      <c r="A110" s="1" t="s">
        <v>89</v>
      </c>
      <c r="B110" s="1" t="s">
        <v>90</v>
      </c>
      <c r="C110" s="1" t="s">
        <v>91</v>
      </c>
      <c r="D110" s="1" t="s">
        <v>19</v>
      </c>
      <c r="E110" s="1" t="s">
        <v>20</v>
      </c>
      <c r="F110" s="1" t="n">
        <v>40</v>
      </c>
      <c r="G110" s="1" t="s">
        <v>22</v>
      </c>
      <c r="H110" s="1" t="n">
        <v>0.1777</v>
      </c>
      <c r="I110" s="1" t="n">
        <v>0.314219695469954</v>
      </c>
      <c r="J110" s="1" t="n">
        <v>0.333771712467768</v>
      </c>
      <c r="K110" s="1" t="n">
        <f aca="false">J110-I110</f>
        <v>0.019552016997814</v>
      </c>
      <c r="L110" s="1" t="n">
        <v>0.740855593294062</v>
      </c>
    </row>
    <row r="111" customFormat="false" ht="15" hidden="false" customHeight="false" outlineLevel="0" collapsed="false">
      <c r="A111" s="1" t="s">
        <v>89</v>
      </c>
      <c r="B111" s="1" t="s">
        <v>90</v>
      </c>
      <c r="C111" s="1" t="s">
        <v>91</v>
      </c>
      <c r="D111" s="1" t="s">
        <v>19</v>
      </c>
      <c r="E111" s="1" t="s">
        <v>20</v>
      </c>
      <c r="F111" s="1" t="n">
        <v>40</v>
      </c>
      <c r="G111" s="1" t="s">
        <v>29</v>
      </c>
      <c r="H111" s="1" t="n">
        <v>0.1683</v>
      </c>
      <c r="I111" s="1" t="n">
        <v>0.297661098014991</v>
      </c>
      <c r="J111" s="1" t="n">
        <v>0.338326271328952</v>
      </c>
      <c r="K111" s="1" t="n">
        <f aca="false">J111-I111</f>
        <v>0.040665173313961</v>
      </c>
      <c r="L111" s="1" t="n">
        <v>0.740855593294062</v>
      </c>
    </row>
    <row r="112" customFormat="false" ht="15" hidden="false" customHeight="false" outlineLevel="0" collapsed="false">
      <c r="A112" s="1" t="s">
        <v>89</v>
      </c>
      <c r="B112" s="1" t="s">
        <v>90</v>
      </c>
      <c r="C112" s="1" t="s">
        <v>91</v>
      </c>
      <c r="D112" s="1" t="s">
        <v>19</v>
      </c>
      <c r="E112" s="1" t="s">
        <v>20</v>
      </c>
      <c r="F112" s="1" t="n">
        <v>40</v>
      </c>
      <c r="G112" s="1" t="s">
        <v>24</v>
      </c>
      <c r="H112" s="1" t="n">
        <v>0.1391</v>
      </c>
      <c r="I112" s="1" t="n">
        <v>0.245985847061914</v>
      </c>
      <c r="J112" s="1" t="n">
        <v>0.278022545964625</v>
      </c>
      <c r="K112" s="1" t="n">
        <f aca="false">J112-I112</f>
        <v>0.032036698902711</v>
      </c>
      <c r="L112" s="1" t="n">
        <v>0.740855593294062</v>
      </c>
    </row>
    <row r="113" customFormat="false" ht="15" hidden="false" customHeight="false" outlineLevel="0" collapsed="false">
      <c r="A113" s="1" t="s">
        <v>89</v>
      </c>
      <c r="B113" s="1" t="s">
        <v>90</v>
      </c>
      <c r="C113" s="1" t="s">
        <v>91</v>
      </c>
      <c r="D113" s="1" t="s">
        <v>19</v>
      </c>
      <c r="E113" s="1" t="s">
        <v>20</v>
      </c>
      <c r="F113" s="1" t="n">
        <v>40</v>
      </c>
      <c r="G113" s="1" t="s">
        <v>92</v>
      </c>
      <c r="H113" s="1" t="n">
        <v>0.1378</v>
      </c>
      <c r="I113" s="1" t="n">
        <v>0.243678177526333</v>
      </c>
      <c r="J113" s="1" t="n">
        <v>0.301157711888089</v>
      </c>
      <c r="K113" s="1" t="n">
        <f aca="false">J113-I113</f>
        <v>0.057479534361756</v>
      </c>
      <c r="L113" s="1" t="n">
        <v>0.740855593294062</v>
      </c>
    </row>
    <row r="114" customFormat="false" ht="15" hidden="false" customHeight="false" outlineLevel="0" collapsed="false">
      <c r="A114" s="1" t="s">
        <v>93</v>
      </c>
      <c r="B114" s="1" t="s">
        <v>94</v>
      </c>
      <c r="C114" s="1" t="s">
        <v>95</v>
      </c>
      <c r="D114" s="1" t="s">
        <v>19</v>
      </c>
      <c r="E114" s="1" t="s">
        <v>20</v>
      </c>
      <c r="F114" s="1" t="n">
        <v>42</v>
      </c>
      <c r="G114" s="1" t="s">
        <v>22</v>
      </c>
      <c r="H114" s="1" t="n">
        <v>0.1979</v>
      </c>
      <c r="I114" s="1" t="n">
        <v>0.347847724306265</v>
      </c>
      <c r="J114" s="1" t="n">
        <v>0.350656260351237</v>
      </c>
      <c r="K114" s="1" t="n">
        <f aca="false">J114-I114</f>
        <v>0.002808536044972</v>
      </c>
      <c r="L114" s="1" t="n">
        <v>0.724986030339445</v>
      </c>
    </row>
    <row r="115" customFormat="false" ht="15" hidden="false" customHeight="false" outlineLevel="0" collapsed="false">
      <c r="A115" s="1" t="s">
        <v>93</v>
      </c>
      <c r="B115" s="1" t="s">
        <v>94</v>
      </c>
      <c r="C115" s="1" t="s">
        <v>95</v>
      </c>
      <c r="D115" s="1" t="s">
        <v>19</v>
      </c>
      <c r="E115" s="1" t="s">
        <v>20</v>
      </c>
      <c r="F115" s="1" t="n">
        <v>42</v>
      </c>
      <c r="G115" s="1" t="s">
        <v>21</v>
      </c>
      <c r="H115" s="1" t="n">
        <v>0.1876</v>
      </c>
      <c r="I115" s="1" t="n">
        <v>0.329704445580453</v>
      </c>
      <c r="J115" s="1" t="n">
        <v>0.354579510281846</v>
      </c>
      <c r="K115" s="1" t="n">
        <f aca="false">J115-I115</f>
        <v>0.024875064701393</v>
      </c>
      <c r="L115" s="1" t="n">
        <v>0.724986030339445</v>
      </c>
    </row>
    <row r="116" customFormat="false" ht="15" hidden="false" customHeight="false" outlineLevel="0" collapsed="false">
      <c r="A116" s="1" t="s">
        <v>93</v>
      </c>
      <c r="B116" s="1" t="s">
        <v>94</v>
      </c>
      <c r="C116" s="1" t="s">
        <v>95</v>
      </c>
      <c r="D116" s="1" t="s">
        <v>19</v>
      </c>
      <c r="E116" s="1" t="s">
        <v>20</v>
      </c>
      <c r="F116" s="1" t="n">
        <v>42</v>
      </c>
      <c r="G116" s="1" t="s">
        <v>23</v>
      </c>
      <c r="H116" s="1" t="n">
        <v>0.1868</v>
      </c>
      <c r="I116" s="1" t="n">
        <v>0.328233084817004</v>
      </c>
      <c r="J116" s="1" t="n">
        <v>0.341047567273007</v>
      </c>
      <c r="K116" s="1" t="n">
        <f aca="false">J116-I116</f>
        <v>0.012814482456003</v>
      </c>
      <c r="L116" s="1" t="n">
        <v>0.724986030339445</v>
      </c>
    </row>
    <row r="117" customFormat="false" ht="15" hidden="false" customHeight="false" outlineLevel="0" collapsed="false">
      <c r="A117" s="1" t="s">
        <v>93</v>
      </c>
      <c r="B117" s="1" t="s">
        <v>94</v>
      </c>
      <c r="C117" s="1" t="s">
        <v>95</v>
      </c>
      <c r="D117" s="1" t="s">
        <v>19</v>
      </c>
      <c r="E117" s="1" t="s">
        <v>20</v>
      </c>
      <c r="F117" s="1" t="n">
        <v>42</v>
      </c>
      <c r="G117" s="1" t="s">
        <v>29</v>
      </c>
      <c r="H117" s="1" t="n">
        <v>0.1817</v>
      </c>
      <c r="I117" s="1" t="n">
        <v>0.319328030596833</v>
      </c>
      <c r="J117" s="1" t="n">
        <v>0.308032940026645</v>
      </c>
      <c r="K117" s="1" t="n">
        <f aca="false">J117-I117</f>
        <v>-0.011295090570188</v>
      </c>
      <c r="L117" s="1" t="n">
        <v>0.724986030339445</v>
      </c>
    </row>
    <row r="118" customFormat="false" ht="15" hidden="false" customHeight="false" outlineLevel="0" collapsed="false">
      <c r="A118" s="1" t="s">
        <v>93</v>
      </c>
      <c r="B118" s="1" t="s">
        <v>94</v>
      </c>
      <c r="C118" s="1" t="s">
        <v>95</v>
      </c>
      <c r="D118" s="1" t="s">
        <v>19</v>
      </c>
      <c r="E118" s="1" t="s">
        <v>20</v>
      </c>
      <c r="F118" s="1" t="n">
        <v>42</v>
      </c>
      <c r="G118" s="1" t="s">
        <v>36</v>
      </c>
      <c r="H118" s="1" t="n">
        <v>0.146</v>
      </c>
      <c r="I118" s="1" t="n">
        <v>0.256654768739134</v>
      </c>
      <c r="J118" s="1" t="n">
        <v>0.321998937359979</v>
      </c>
      <c r="K118" s="1" t="n">
        <f aca="false">J118-I118</f>
        <v>0.065344168620845</v>
      </c>
      <c r="L118" s="1" t="n">
        <v>0.724986030339445</v>
      </c>
    </row>
    <row r="119" customFormat="false" ht="15" hidden="false" customHeight="false" outlineLevel="0" collapsed="false">
      <c r="A119" s="1" t="s">
        <v>93</v>
      </c>
      <c r="B119" s="1" t="s">
        <v>94</v>
      </c>
      <c r="C119" s="1" t="s">
        <v>95</v>
      </c>
      <c r="D119" s="1" t="s">
        <v>19</v>
      </c>
      <c r="E119" s="1" t="s">
        <v>20</v>
      </c>
      <c r="F119" s="1" t="n">
        <v>42</v>
      </c>
      <c r="G119" s="1" t="s">
        <v>24</v>
      </c>
      <c r="H119" s="1" t="n">
        <v>0.1</v>
      </c>
      <c r="I119" s="1" t="n">
        <v>0.241994758917463</v>
      </c>
      <c r="J119" s="1" t="n">
        <v>0.264974941077163</v>
      </c>
      <c r="K119" s="1" t="n">
        <f aca="false">J119-I119</f>
        <v>0.0229801821597</v>
      </c>
      <c r="L119" s="1" t="n">
        <v>0.724986030339445</v>
      </c>
    </row>
    <row r="120" customFormat="false" ht="15" hidden="false" customHeight="false" outlineLevel="0" collapsed="false">
      <c r="A120" s="1" t="s">
        <v>96</v>
      </c>
      <c r="B120" s="1" t="s">
        <v>97</v>
      </c>
      <c r="C120" s="1" t="s">
        <v>98</v>
      </c>
      <c r="D120" s="1" t="s">
        <v>19</v>
      </c>
      <c r="E120" s="1" t="s">
        <v>20</v>
      </c>
      <c r="F120" s="1" t="n">
        <v>44</v>
      </c>
      <c r="G120" s="1" t="s">
        <v>21</v>
      </c>
      <c r="H120" s="1" t="n">
        <v>0.1941</v>
      </c>
      <c r="I120" s="1" t="n">
        <v>0.367951136104975</v>
      </c>
      <c r="J120" s="1" t="n">
        <v>0.316253893145581</v>
      </c>
      <c r="K120" s="1" t="n">
        <f aca="false">J120-I120</f>
        <v>-0.051697242959394</v>
      </c>
      <c r="L120" s="1" t="n">
        <v>0.732548067807027</v>
      </c>
    </row>
    <row r="121" customFormat="false" ht="15" hidden="false" customHeight="false" outlineLevel="0" collapsed="false">
      <c r="A121" s="1" t="s">
        <v>96</v>
      </c>
      <c r="B121" s="1" t="s">
        <v>97</v>
      </c>
      <c r="C121" s="1" t="s">
        <v>98</v>
      </c>
      <c r="D121" s="1" t="s">
        <v>19</v>
      </c>
      <c r="E121" s="1" t="s">
        <v>20</v>
      </c>
      <c r="F121" s="1" t="n">
        <v>44</v>
      </c>
      <c r="G121" s="1" t="s">
        <v>23</v>
      </c>
      <c r="H121" s="1" t="n">
        <v>0.1777</v>
      </c>
      <c r="I121" s="1" t="n">
        <v>0.336921785351416</v>
      </c>
      <c r="J121" s="1" t="n">
        <v>0.346167287543159</v>
      </c>
      <c r="K121" s="1" t="n">
        <f aca="false">J121-I121</f>
        <v>0.00924550219174303</v>
      </c>
      <c r="L121" s="1" t="n">
        <v>0.732548067807027</v>
      </c>
    </row>
    <row r="122" customFormat="false" ht="15" hidden="false" customHeight="false" outlineLevel="0" collapsed="false">
      <c r="A122" s="1" t="s">
        <v>96</v>
      </c>
      <c r="B122" s="1" t="s">
        <v>97</v>
      </c>
      <c r="C122" s="1" t="s">
        <v>98</v>
      </c>
      <c r="D122" s="1" t="s">
        <v>19</v>
      </c>
      <c r="E122" s="1" t="s">
        <v>20</v>
      </c>
      <c r="F122" s="1" t="n">
        <v>44</v>
      </c>
      <c r="G122" s="1" t="s">
        <v>22</v>
      </c>
      <c r="H122" s="1" t="n">
        <v>0.1772</v>
      </c>
      <c r="I122" s="1" t="n">
        <v>0.335897911393003</v>
      </c>
      <c r="J122" s="1" t="n">
        <v>0.323787321438209</v>
      </c>
      <c r="K122" s="1" t="n">
        <f aca="false">J122-I122</f>
        <v>-0.012110589954794</v>
      </c>
      <c r="L122" s="1" t="n">
        <v>0.732548067807027</v>
      </c>
    </row>
    <row r="123" customFormat="false" ht="15" hidden="false" customHeight="false" outlineLevel="0" collapsed="false">
      <c r="A123" s="1" t="s">
        <v>96</v>
      </c>
      <c r="B123" s="1" t="s">
        <v>97</v>
      </c>
      <c r="C123" s="1" t="s">
        <v>98</v>
      </c>
      <c r="D123" s="1" t="s">
        <v>19</v>
      </c>
      <c r="E123" s="1" t="s">
        <v>20</v>
      </c>
      <c r="F123" s="1" t="n">
        <v>44</v>
      </c>
      <c r="G123" s="1" t="s">
        <v>36</v>
      </c>
      <c r="H123" s="1" t="n">
        <v>0.1548</v>
      </c>
      <c r="I123" s="1" t="n">
        <v>0.293447853166625</v>
      </c>
      <c r="J123" s="1" t="n">
        <v>0.280345482256406</v>
      </c>
      <c r="K123" s="1" t="n">
        <f aca="false">J123-I123</f>
        <v>-0.013102370910219</v>
      </c>
      <c r="L123" s="1" t="n">
        <v>0.732548067807027</v>
      </c>
    </row>
    <row r="124" customFormat="false" ht="15" hidden="false" customHeight="false" outlineLevel="0" collapsed="false">
      <c r="A124" s="1" t="s">
        <v>96</v>
      </c>
      <c r="B124" s="1" t="s">
        <v>97</v>
      </c>
      <c r="C124" s="1" t="s">
        <v>98</v>
      </c>
      <c r="D124" s="1" t="s">
        <v>19</v>
      </c>
      <c r="E124" s="1" t="s">
        <v>20</v>
      </c>
      <c r="F124" s="1" t="n">
        <v>44</v>
      </c>
      <c r="G124" s="1" t="s">
        <v>29</v>
      </c>
      <c r="H124" s="1" t="n">
        <v>0.1548</v>
      </c>
      <c r="I124" s="1" t="n">
        <v>0.2935776454861</v>
      </c>
      <c r="J124" s="1" t="n">
        <v>0.285807522587285</v>
      </c>
      <c r="K124" s="1" t="n">
        <f aca="false">J124-I124</f>
        <v>-0.00777012289881501</v>
      </c>
      <c r="L124" s="1" t="n">
        <v>0.732548067807027</v>
      </c>
    </row>
    <row r="125" customFormat="false" ht="15" hidden="false" customHeight="false" outlineLevel="0" collapsed="false">
      <c r="A125" s="1" t="s">
        <v>96</v>
      </c>
      <c r="B125" s="1" t="s">
        <v>97</v>
      </c>
      <c r="C125" s="1" t="s">
        <v>98</v>
      </c>
      <c r="D125" s="1" t="s">
        <v>19</v>
      </c>
      <c r="E125" s="1" t="s">
        <v>20</v>
      </c>
      <c r="F125" s="1" t="n">
        <v>44</v>
      </c>
      <c r="G125" s="1" t="s">
        <v>24</v>
      </c>
      <c r="H125" s="1" t="n">
        <v>0.1415</v>
      </c>
      <c r="I125" s="1" t="n">
        <v>0.268227777647905</v>
      </c>
      <c r="J125" s="1" t="n">
        <v>0.258039800926304</v>
      </c>
      <c r="K125" s="1" t="n">
        <f aca="false">J125-I125</f>
        <v>-0.010187976721601</v>
      </c>
      <c r="L125" s="1" t="n">
        <v>0.732548067807027</v>
      </c>
    </row>
    <row r="126" customFormat="false" ht="15" hidden="false" customHeight="false" outlineLevel="0" collapsed="false">
      <c r="A126" s="1" t="s">
        <v>99</v>
      </c>
      <c r="B126" s="1" t="s">
        <v>100</v>
      </c>
      <c r="C126" s="1" t="s">
        <v>101</v>
      </c>
      <c r="D126" s="1" t="s">
        <v>19</v>
      </c>
      <c r="E126" s="1" t="s">
        <v>20</v>
      </c>
      <c r="F126" s="1" t="n">
        <v>46</v>
      </c>
      <c r="G126" s="1" t="s">
        <v>23</v>
      </c>
      <c r="H126" s="1" t="n">
        <v>0.1886</v>
      </c>
      <c r="I126" s="1" t="n">
        <v>0.337896900779733</v>
      </c>
      <c r="J126" s="1" t="n">
        <v>0.402571208670781</v>
      </c>
      <c r="K126" s="1" t="n">
        <f aca="false">J126-I126</f>
        <v>0.064674307891048</v>
      </c>
      <c r="L126" s="1" t="n">
        <v>0.810905330263776</v>
      </c>
    </row>
    <row r="127" customFormat="false" ht="15" hidden="false" customHeight="false" outlineLevel="0" collapsed="false">
      <c r="A127" s="1" t="s">
        <v>99</v>
      </c>
      <c r="B127" s="1" t="s">
        <v>100</v>
      </c>
      <c r="C127" s="1" t="s">
        <v>101</v>
      </c>
      <c r="D127" s="1" t="s">
        <v>19</v>
      </c>
      <c r="E127" s="1" t="s">
        <v>20</v>
      </c>
      <c r="F127" s="1" t="n">
        <v>46</v>
      </c>
      <c r="G127" s="1" t="s">
        <v>22</v>
      </c>
      <c r="H127" s="1" t="n">
        <v>0.1753</v>
      </c>
      <c r="I127" s="1" t="n">
        <v>0.314065700417702</v>
      </c>
      <c r="J127" s="1" t="n">
        <v>0.359699770388819</v>
      </c>
      <c r="K127" s="1" t="n">
        <f aca="false">J127-I127</f>
        <v>0.045634069971117</v>
      </c>
      <c r="L127" s="1" t="n">
        <v>0.810905330263776</v>
      </c>
    </row>
    <row r="128" customFormat="false" ht="15" hidden="false" customHeight="false" outlineLevel="0" collapsed="false">
      <c r="A128" s="1" t="s">
        <v>99</v>
      </c>
      <c r="B128" s="1" t="s">
        <v>100</v>
      </c>
      <c r="C128" s="1" t="s">
        <v>101</v>
      </c>
      <c r="D128" s="1" t="s">
        <v>19</v>
      </c>
      <c r="E128" s="1" t="s">
        <v>20</v>
      </c>
      <c r="F128" s="1" t="n">
        <v>46</v>
      </c>
      <c r="G128" s="1" t="s">
        <v>21</v>
      </c>
      <c r="H128" s="1" t="n">
        <v>0.1713</v>
      </c>
      <c r="I128" s="1" t="n">
        <v>0.306824589104378</v>
      </c>
      <c r="J128" s="1" t="n">
        <v>0.357233718858144</v>
      </c>
      <c r="K128" s="1" t="n">
        <f aca="false">J128-I128</f>
        <v>0.050409129753766</v>
      </c>
      <c r="L128" s="1" t="n">
        <v>0.810905330263776</v>
      </c>
    </row>
    <row r="129" customFormat="false" ht="15" hidden="false" customHeight="false" outlineLevel="0" collapsed="false">
      <c r="A129" s="1" t="s">
        <v>99</v>
      </c>
      <c r="B129" s="1" t="s">
        <v>100</v>
      </c>
      <c r="C129" s="1" t="s">
        <v>101</v>
      </c>
      <c r="D129" s="1" t="s">
        <v>19</v>
      </c>
      <c r="E129" s="1" t="s">
        <v>20</v>
      </c>
      <c r="F129" s="1" t="n">
        <v>46</v>
      </c>
      <c r="G129" s="1" t="s">
        <v>40</v>
      </c>
      <c r="H129" s="1" t="n">
        <v>0.1584</v>
      </c>
      <c r="I129" s="1" t="n">
        <v>0.283663731586472</v>
      </c>
      <c r="J129" s="1" t="n">
        <v>0.343972686836469</v>
      </c>
      <c r="K129" s="1" t="n">
        <f aca="false">J129-I129</f>
        <v>0.060308955249997</v>
      </c>
      <c r="L129" s="1" t="n">
        <v>0.810905330263776</v>
      </c>
    </row>
    <row r="130" customFormat="false" ht="15" hidden="false" customHeight="false" outlineLevel="0" collapsed="false">
      <c r="A130" s="1" t="s">
        <v>99</v>
      </c>
      <c r="B130" s="1" t="s">
        <v>100</v>
      </c>
      <c r="C130" s="1" t="s">
        <v>101</v>
      </c>
      <c r="D130" s="1" t="s">
        <v>19</v>
      </c>
      <c r="E130" s="1" t="s">
        <v>20</v>
      </c>
      <c r="F130" s="1" t="n">
        <v>46</v>
      </c>
      <c r="G130" s="1" t="s">
        <v>29</v>
      </c>
      <c r="H130" s="1" t="n">
        <v>0.1583</v>
      </c>
      <c r="I130" s="1" t="n">
        <v>0.283623158895505</v>
      </c>
      <c r="J130" s="1" t="n">
        <v>0.347554887600024</v>
      </c>
      <c r="K130" s="1" t="n">
        <f aca="false">J130-I130</f>
        <v>0.063931728704519</v>
      </c>
      <c r="L130" s="1" t="n">
        <v>0.810905330263776</v>
      </c>
    </row>
    <row r="131" customFormat="false" ht="15" hidden="false" customHeight="false" outlineLevel="0" collapsed="false">
      <c r="A131" s="1" t="s">
        <v>99</v>
      </c>
      <c r="B131" s="1" t="s">
        <v>100</v>
      </c>
      <c r="C131" s="1" t="s">
        <v>101</v>
      </c>
      <c r="D131" s="1" t="s">
        <v>19</v>
      </c>
      <c r="E131" s="1" t="s">
        <v>20</v>
      </c>
      <c r="F131" s="1" t="n">
        <v>46</v>
      </c>
      <c r="G131" s="1" t="s">
        <v>24</v>
      </c>
      <c r="H131" s="1" t="n">
        <v>0.1481</v>
      </c>
      <c r="I131" s="1" t="n">
        <v>0.265247758817368</v>
      </c>
      <c r="J131" s="1" t="n">
        <v>0.319237108804514</v>
      </c>
      <c r="K131" s="1" t="n">
        <f aca="false">J131-I131</f>
        <v>0.053989349987146</v>
      </c>
      <c r="L131" s="1" t="n">
        <v>0.810905330263776</v>
      </c>
    </row>
    <row r="132" customFormat="false" ht="15" hidden="false" customHeight="false" outlineLevel="0" collapsed="false">
      <c r="A132" s="1" t="s">
        <v>102</v>
      </c>
      <c r="B132" s="1" t="s">
        <v>103</v>
      </c>
      <c r="C132" s="1" t="s">
        <v>104</v>
      </c>
      <c r="D132" s="1" t="s">
        <v>19</v>
      </c>
      <c r="E132" s="1" t="s">
        <v>20</v>
      </c>
      <c r="F132" s="1" t="n">
        <v>48</v>
      </c>
      <c r="G132" s="1" t="s">
        <v>23</v>
      </c>
      <c r="H132" s="1" t="n">
        <v>0.1943</v>
      </c>
      <c r="I132" s="1" t="n">
        <v>0.369457341390466</v>
      </c>
      <c r="J132" s="1" t="n">
        <v>0.365878216975115</v>
      </c>
      <c r="K132" s="1" t="n">
        <f aca="false">J132-I132</f>
        <v>-0.00357912441535097</v>
      </c>
      <c r="L132" s="1" t="n">
        <v>0.7452068576726</v>
      </c>
    </row>
    <row r="133" customFormat="false" ht="15" hidden="false" customHeight="false" outlineLevel="0" collapsed="false">
      <c r="A133" s="1" t="s">
        <v>102</v>
      </c>
      <c r="B133" s="1" t="s">
        <v>103</v>
      </c>
      <c r="C133" s="1" t="s">
        <v>104</v>
      </c>
      <c r="D133" s="1" t="s">
        <v>19</v>
      </c>
      <c r="E133" s="1" t="s">
        <v>20</v>
      </c>
      <c r="F133" s="1" t="n">
        <v>48</v>
      </c>
      <c r="G133" s="1" t="s">
        <v>21</v>
      </c>
      <c r="H133" s="1" t="n">
        <v>0.1937</v>
      </c>
      <c r="I133" s="1" t="n">
        <v>0.368210669938156</v>
      </c>
      <c r="J133" s="1" t="n">
        <v>0.340997770405119</v>
      </c>
      <c r="K133" s="1" t="n">
        <f aca="false">J133-I133</f>
        <v>-0.027212899533037</v>
      </c>
      <c r="L133" s="1" t="n">
        <v>0.7452068576726</v>
      </c>
    </row>
    <row r="134" customFormat="false" ht="15" hidden="false" customHeight="false" outlineLevel="0" collapsed="false">
      <c r="A134" s="1" t="s">
        <v>102</v>
      </c>
      <c r="B134" s="1" t="s">
        <v>103</v>
      </c>
      <c r="C134" s="1" t="s">
        <v>104</v>
      </c>
      <c r="D134" s="1" t="s">
        <v>19</v>
      </c>
      <c r="E134" s="1" t="s">
        <v>20</v>
      </c>
      <c r="F134" s="1" t="n">
        <v>48</v>
      </c>
      <c r="G134" s="1" t="s">
        <v>40</v>
      </c>
      <c r="H134" s="1" t="n">
        <v>0.1712</v>
      </c>
      <c r="I134" s="1" t="n">
        <v>0.325442996731895</v>
      </c>
      <c r="J134" s="1" t="n">
        <v>0.322254053319732</v>
      </c>
      <c r="K134" s="1" t="n">
        <f aca="false">J134-I134</f>
        <v>-0.00318894341216297</v>
      </c>
      <c r="L134" s="1" t="n">
        <v>0.7452068576726</v>
      </c>
    </row>
    <row r="135" customFormat="false" ht="15" hidden="false" customHeight="false" outlineLevel="0" collapsed="false">
      <c r="A135" s="1" t="s">
        <v>102</v>
      </c>
      <c r="B135" s="1" t="s">
        <v>103</v>
      </c>
      <c r="C135" s="1" t="s">
        <v>104</v>
      </c>
      <c r="D135" s="1" t="s">
        <v>19</v>
      </c>
      <c r="E135" s="1" t="s">
        <v>20</v>
      </c>
      <c r="F135" s="1" t="n">
        <v>48</v>
      </c>
      <c r="G135" s="1" t="s">
        <v>22</v>
      </c>
      <c r="H135" s="1" t="n">
        <v>0.1705</v>
      </c>
      <c r="I135" s="1" t="n">
        <v>0.324130555107981</v>
      </c>
      <c r="J135" s="1" t="n">
        <v>0.291662836281131</v>
      </c>
      <c r="K135" s="1" t="n">
        <f aca="false">J135-I135</f>
        <v>-0.03246771882685</v>
      </c>
      <c r="L135" s="1" t="n">
        <v>0.7452068576726</v>
      </c>
    </row>
    <row r="136" customFormat="false" ht="15" hidden="false" customHeight="false" outlineLevel="0" collapsed="false">
      <c r="A136" s="1" t="s">
        <v>102</v>
      </c>
      <c r="B136" s="1" t="s">
        <v>103</v>
      </c>
      <c r="C136" s="1" t="s">
        <v>104</v>
      </c>
      <c r="D136" s="1" t="s">
        <v>19</v>
      </c>
      <c r="E136" s="1" t="s">
        <v>20</v>
      </c>
      <c r="F136" s="1" t="n">
        <v>48</v>
      </c>
      <c r="G136" s="1" t="s">
        <v>29</v>
      </c>
      <c r="H136" s="1" t="n">
        <v>0.1703</v>
      </c>
      <c r="I136" s="1" t="n">
        <v>0.323679108640517</v>
      </c>
      <c r="J136" s="1" t="n">
        <v>0.275238425595271</v>
      </c>
      <c r="K136" s="1" t="n">
        <f aca="false">J136-I136</f>
        <v>-0.048440683045246</v>
      </c>
      <c r="L136" s="1" t="n">
        <v>0.7452068576726</v>
      </c>
    </row>
    <row r="137" customFormat="false" ht="15" hidden="false" customHeight="false" outlineLevel="0" collapsed="false">
      <c r="A137" s="1" t="s">
        <v>102</v>
      </c>
      <c r="B137" s="1" t="s">
        <v>103</v>
      </c>
      <c r="C137" s="1" t="s">
        <v>104</v>
      </c>
      <c r="D137" s="1" t="s">
        <v>19</v>
      </c>
      <c r="E137" s="1" t="s">
        <v>20</v>
      </c>
      <c r="F137" s="1" t="n">
        <v>48</v>
      </c>
      <c r="G137" s="1" t="s">
        <v>24</v>
      </c>
      <c r="H137" s="1" t="n">
        <v>0.1</v>
      </c>
      <c r="I137" s="1" t="n">
        <v>0.281602925094106</v>
      </c>
      <c r="J137" s="1" t="n">
        <v>0.248260298943282</v>
      </c>
      <c r="K137" s="1" t="n">
        <f aca="false">J137-I137</f>
        <v>-0.033342626150824</v>
      </c>
      <c r="L137" s="1" t="n">
        <v>0.7452068576726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F13" activeCellId="0" sqref="F13"/>
    </sheetView>
  </sheetViews>
  <sheetFormatPr defaultColWidth="14.0703125" defaultRowHeight="12.8" customHeight="false" zeroHeight="false" outlineLevelRow="0" outlineLevelCol="0"/>
  <sheetData>
    <row r="1" customFormat="false" ht="12.8" hidden="false" customHeight="false" outlineLevel="0" collapsed="false">
      <c r="A1" s="5" t="s">
        <v>105</v>
      </c>
      <c r="B1" s="5"/>
    </row>
    <row r="2" customFormat="false" ht="12.8" hidden="false" customHeight="false" outlineLevel="0" collapsed="false">
      <c r="A2" s="5"/>
      <c r="B2" s="5"/>
    </row>
    <row r="3" customFormat="false" ht="12.8" hidden="false" customHeight="false" outlineLevel="0" collapsed="false">
      <c r="A3" s="5" t="s">
        <v>106</v>
      </c>
      <c r="B3" s="6" t="n">
        <f aca="false">scen7_ac15!P2</f>
        <v>135</v>
      </c>
    </row>
    <row r="4" customFormat="false" ht="12.8" hidden="false" customHeight="false" outlineLevel="0" collapsed="false">
      <c r="A4" s="5" t="s">
        <v>107</v>
      </c>
      <c r="B4" s="5" t="n">
        <f aca="false">B10*SQRT((B3-2)/(1-B10^2))</f>
        <v>1.25711260003426</v>
      </c>
    </row>
    <row r="5" customFormat="false" ht="12.8" hidden="false" customHeight="false" outlineLevel="0" collapsed="false">
      <c r="A5" s="5" t="s">
        <v>108</v>
      </c>
      <c r="B5" s="5" t="n">
        <f aca="false">_xlfn.T.DIST.2T(ABS(B4),B3-2)</f>
        <v>0.210915991830991</v>
      </c>
    </row>
    <row r="6" customFormat="false" ht="12.8" hidden="false" customHeight="false" outlineLevel="0" collapsed="false">
      <c r="A6" s="5"/>
      <c r="B6" s="7"/>
    </row>
    <row r="7" customFormat="false" ht="12.8" hidden="false" customHeight="false" outlineLevel="0" collapsed="false">
      <c r="A7" s="5"/>
      <c r="B7" s="7"/>
    </row>
    <row r="8" customFormat="false" ht="12.8" hidden="false" customHeight="false" outlineLevel="0" collapsed="false">
      <c r="A8" s="5"/>
      <c r="B8" s="7"/>
    </row>
    <row r="9" customFormat="false" ht="32.8" hidden="false" customHeight="false" outlineLevel="0" collapsed="false">
      <c r="A9" s="2" t="s">
        <v>12</v>
      </c>
      <c r="B9" s="2" t="s">
        <v>14</v>
      </c>
    </row>
    <row r="10" customFormat="false" ht="12.8" hidden="false" customHeight="false" outlineLevel="0" collapsed="false">
      <c r="A10" s="8" t="n">
        <f aca="false">B3</f>
        <v>135</v>
      </c>
      <c r="B10" s="8" t="n">
        <f aca="false">scen7_ac15!R2</f>
        <v>0.10836358927563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B2" activeCellId="0" sqref="B2"/>
    </sheetView>
  </sheetViews>
  <sheetFormatPr defaultColWidth="14.0703125" defaultRowHeight="12.8" customHeight="false" zeroHeight="false" outlineLevelRow="0" outlineLevelCol="0"/>
  <sheetData>
    <row r="1" customFormat="false" ht="12.8" hidden="false" customHeight="false" outlineLevel="0" collapsed="false">
      <c r="A1" s="9" t="s">
        <v>109</v>
      </c>
      <c r="B1" s="9"/>
    </row>
    <row r="2" customFormat="false" ht="12.8" hidden="false" customHeight="false" outlineLevel="0" collapsed="false">
      <c r="A2" s="10" t="s">
        <v>110</v>
      </c>
      <c r="B2" s="1" t="s">
        <v>111</v>
      </c>
    </row>
    <row r="3" customFormat="false" ht="12.8" hidden="false" customHeight="false" outlineLevel="0" collapsed="false">
      <c r="A3" s="7" t="n">
        <v>1</v>
      </c>
      <c r="B3" s="1" t="n">
        <v>0.726072655509358</v>
      </c>
    </row>
    <row r="4" customFormat="false" ht="12.8" hidden="false" customHeight="false" outlineLevel="0" collapsed="false">
      <c r="A4" s="7" t="n">
        <v>2</v>
      </c>
      <c r="B4" s="1" t="n">
        <v>0.682663698456168</v>
      </c>
    </row>
    <row r="5" customFormat="false" ht="12.8" hidden="false" customHeight="false" outlineLevel="0" collapsed="false">
      <c r="A5" s="7" t="n">
        <v>3</v>
      </c>
      <c r="B5" s="1" t="n">
        <v>0.615224454504257</v>
      </c>
    </row>
    <row r="6" customFormat="false" ht="12.8" hidden="false" customHeight="false" outlineLevel="0" collapsed="false">
      <c r="A6" s="7" t="n">
        <v>4</v>
      </c>
      <c r="B6" s="1" t="n">
        <v>0.728618275572537</v>
      </c>
    </row>
    <row r="7" customFormat="false" ht="12.8" hidden="false" customHeight="false" outlineLevel="0" collapsed="false">
      <c r="A7" s="7" t="n">
        <v>5</v>
      </c>
      <c r="B7" s="1" t="n">
        <v>0.688604056934627</v>
      </c>
    </row>
    <row r="8" customFormat="false" ht="12.8" hidden="false" customHeight="false" outlineLevel="0" collapsed="false">
      <c r="A8" s="7" t="n">
        <v>6</v>
      </c>
      <c r="B8" s="1" t="n">
        <v>0.669074893749943</v>
      </c>
    </row>
    <row r="9" customFormat="false" ht="12.8" hidden="false" customHeight="false" outlineLevel="0" collapsed="false">
      <c r="A9" s="7" t="n">
        <v>7</v>
      </c>
      <c r="B9" s="1" t="n">
        <v>0.759372504405003</v>
      </c>
    </row>
    <row r="10" customFormat="false" ht="12.8" hidden="false" customHeight="false" outlineLevel="0" collapsed="false">
      <c r="A10" s="7" t="n">
        <v>8</v>
      </c>
      <c r="B10" s="1" t="n">
        <v>0.695828504681874</v>
      </c>
    </row>
    <row r="11" customFormat="false" ht="12.8" hidden="false" customHeight="false" outlineLevel="0" collapsed="false">
      <c r="A11" s="7" t="n">
        <v>9</v>
      </c>
      <c r="B11" s="1" t="n">
        <v>0.779899573323697</v>
      </c>
    </row>
    <row r="12" customFormat="false" ht="12.8" hidden="false" customHeight="false" outlineLevel="0" collapsed="false">
      <c r="A12" s="7" t="n">
        <v>10</v>
      </c>
      <c r="B12" s="1" t="n">
        <v>0.632572298876227</v>
      </c>
    </row>
    <row r="13" customFormat="false" ht="12.8" hidden="false" customHeight="false" outlineLevel="0" collapsed="false">
      <c r="A13" s="7" t="n">
        <v>11</v>
      </c>
      <c r="B13" s="1" t="n">
        <v>0.733064212818954</v>
      </c>
    </row>
    <row r="14" customFormat="false" ht="12.8" hidden="false" customHeight="false" outlineLevel="0" collapsed="false">
      <c r="A14" s="7" t="n">
        <v>12</v>
      </c>
      <c r="B14" s="1" t="n">
        <v>0.693027541837124</v>
      </c>
    </row>
    <row r="15" customFormat="false" ht="12.8" hidden="false" customHeight="false" outlineLevel="0" collapsed="false">
      <c r="A15" s="7" t="n">
        <v>13</v>
      </c>
      <c r="B15" s="1" t="n">
        <v>0.704438316359018</v>
      </c>
    </row>
    <row r="16" customFormat="false" ht="12.8" hidden="false" customHeight="false" outlineLevel="0" collapsed="false">
      <c r="A16" s="7" t="n">
        <v>14</v>
      </c>
      <c r="B16" s="1" t="n">
        <v>0.822923799196468</v>
      </c>
    </row>
    <row r="17" customFormat="false" ht="12.8" hidden="false" customHeight="false" outlineLevel="0" collapsed="false">
      <c r="A17" s="7" t="n">
        <v>15</v>
      </c>
      <c r="B17" s="1" t="n">
        <v>0.598856826351013</v>
      </c>
    </row>
    <row r="18" customFormat="false" ht="12.8" hidden="false" customHeight="false" outlineLevel="0" collapsed="false">
      <c r="A18" s="7" t="n">
        <v>16</v>
      </c>
      <c r="B18" s="1" t="n">
        <v>0.745885490309946</v>
      </c>
    </row>
    <row r="19" customFormat="false" ht="12.8" hidden="false" customHeight="false" outlineLevel="0" collapsed="false">
      <c r="A19" s="7" t="n">
        <v>17</v>
      </c>
      <c r="B19" s="1" t="n">
        <v>0.627413040342658</v>
      </c>
    </row>
    <row r="20" customFormat="false" ht="12.8" hidden="false" customHeight="false" outlineLevel="0" collapsed="false">
      <c r="A20" s="7" t="n">
        <v>18</v>
      </c>
      <c r="B20" s="1" t="n">
        <v>0.764724151507591</v>
      </c>
    </row>
    <row r="21" customFormat="false" ht="12.8" hidden="false" customHeight="false" outlineLevel="0" collapsed="false">
      <c r="A21" s="7" t="n">
        <v>19</v>
      </c>
      <c r="B21" s="1" t="n">
        <v>0.665442717582544</v>
      </c>
    </row>
    <row r="22" customFormat="false" ht="12.8" hidden="false" customHeight="false" outlineLevel="0" collapsed="false">
      <c r="A22" s="7" t="n">
        <v>20</v>
      </c>
      <c r="B22" s="1" t="n">
        <v>0.739120010292957</v>
      </c>
    </row>
    <row r="23" customFormat="false" ht="12.8" hidden="false" customHeight="false" outlineLevel="0" collapsed="false">
      <c r="A23" s="7" t="n">
        <v>21</v>
      </c>
      <c r="B23" s="1" t="n">
        <v>0.740855593294062</v>
      </c>
    </row>
    <row r="24" customFormat="false" ht="12.8" hidden="false" customHeight="false" outlineLevel="0" collapsed="false">
      <c r="A24" s="7" t="n">
        <v>22</v>
      </c>
      <c r="B24" s="1" t="n">
        <v>0.724986030339445</v>
      </c>
    </row>
    <row r="25" customFormat="false" ht="12.8" hidden="false" customHeight="false" outlineLevel="0" collapsed="false">
      <c r="A25" s="7" t="n">
        <v>23</v>
      </c>
      <c r="B25" s="1" t="n">
        <v>0.732548067807027</v>
      </c>
    </row>
    <row r="26" customFormat="false" ht="12.8" hidden="false" customHeight="false" outlineLevel="0" collapsed="false">
      <c r="A26" s="7" t="n">
        <v>24</v>
      </c>
      <c r="B26" s="1" t="n">
        <v>0.810905330263776</v>
      </c>
    </row>
    <row r="27" customFormat="false" ht="12.8" hidden="false" customHeight="false" outlineLevel="0" collapsed="false">
      <c r="A27" s="3" t="n">
        <v>25</v>
      </c>
      <c r="B27" s="1" t="n">
        <v>0.7452068576726</v>
      </c>
    </row>
  </sheetData>
  <mergeCells count="1">
    <mergeCell ref="A1:B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9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G30" activeCellId="0" sqref="G30"/>
    </sheetView>
  </sheetViews>
  <sheetFormatPr defaultColWidth="14.0703125" defaultRowHeight="12.8" customHeight="false" zeroHeight="false" outlineLevelRow="0" outlineLevelCol="0"/>
  <cols>
    <col collapsed="false" customWidth="true" hidden="false" outlineLevel="0" max="5" min="5" style="1" width="20.79"/>
    <col collapsed="false" customWidth="true" hidden="false" outlineLevel="0" max="6" min="6" style="1" width="19.71"/>
    <col collapsed="false" customWidth="true" hidden="false" outlineLevel="0" max="7" min="7" style="1" width="21.87"/>
    <col collapsed="false" customWidth="true" hidden="false" outlineLevel="0" max="9" min="8" style="1" width="22.42"/>
    <col collapsed="false" customWidth="true" hidden="false" outlineLevel="0" max="10" min="10" style="1" width="19.71"/>
  </cols>
  <sheetData>
    <row r="1" customFormat="false" ht="12.8" hidden="false" customHeight="false" outlineLevel="0" collapsed="false">
      <c r="A1" s="9" t="s">
        <v>109</v>
      </c>
      <c r="B1" s="9"/>
    </row>
    <row r="2" customFormat="false" ht="12.8" hidden="false" customHeight="false" outlineLevel="0" collapsed="false">
      <c r="A2" s="10" t="s">
        <v>110</v>
      </c>
      <c r="B2" s="1" t="s">
        <v>111</v>
      </c>
      <c r="C2" s="1" t="s">
        <v>112</v>
      </c>
      <c r="D2" s="1" t="s">
        <v>10</v>
      </c>
      <c r="E2" s="0" t="s">
        <v>113</v>
      </c>
      <c r="F2" s="3" t="s">
        <v>114</v>
      </c>
      <c r="G2" s="3" t="s">
        <v>115</v>
      </c>
      <c r="H2" s="3" t="s">
        <v>116</v>
      </c>
      <c r="I2" s="3" t="s">
        <v>117</v>
      </c>
      <c r="J2" s="3" t="s">
        <v>118</v>
      </c>
      <c r="K2" s="3" t="s">
        <v>119</v>
      </c>
      <c r="L2" s="1" t="s">
        <v>120</v>
      </c>
      <c r="M2" s="1" t="s">
        <v>121</v>
      </c>
    </row>
    <row r="3" customFormat="false" ht="12.8" hidden="false" customHeight="false" outlineLevel="0" collapsed="false">
      <c r="A3" s="7" t="n">
        <v>1</v>
      </c>
      <c r="B3" s="1" t="n">
        <v>0.726072655509358</v>
      </c>
      <c r="C3" s="1" t="n">
        <v>0.780357842803317</v>
      </c>
      <c r="D3" s="1" t="n">
        <f aca="false">B3-C3</f>
        <v>-0.054285187293959</v>
      </c>
      <c r="E3" s="0"/>
      <c r="F3" s="3" t="n">
        <f aca="false">_xlfn.STDEV.S(B3:B27)</f>
        <v>0.0572807534055345</v>
      </c>
      <c r="G3" s="3" t="n">
        <f aca="false">_xlfn.STDEV.S(C3:C27)</f>
        <v>0.108991128921815</v>
      </c>
      <c r="H3" s="3" t="n">
        <f aca="false">_xlfn.F.TEST(B3:B27,C3:C27)</f>
        <v>0.00251652386976941</v>
      </c>
      <c r="I3" s="3" t="n">
        <f aca="false">_xlfn.T.TEST(B3:B27, C3:C27, 2,2)</f>
        <v>3.79672741519443E-007</v>
      </c>
      <c r="J3" s="3" t="n">
        <f aca="false">_xlfn.T.TEST(B3:B27,C3:C27, 2,3)</f>
        <v>9.68930300783584E-007</v>
      </c>
      <c r="K3" s="3" t="n">
        <f aca="false">AVERAGE(B3:B27)-AVERAGE(C3:C27)</f>
        <v>0.144842849674803</v>
      </c>
      <c r="L3" s="1" t="n">
        <f aca="false">AVERAGE(B3:B27)</f>
        <v>0.713093156079555</v>
      </c>
      <c r="M3" s="1" t="n">
        <f aca="false">AVERAGE(C3:C27)</f>
        <v>0.568250306404752</v>
      </c>
    </row>
    <row r="4" customFormat="false" ht="12.8" hidden="false" customHeight="false" outlineLevel="0" collapsed="false">
      <c r="A4" s="7" t="n">
        <v>2</v>
      </c>
      <c r="B4" s="1" t="n">
        <v>0.682663698456168</v>
      </c>
      <c r="C4" s="1" t="n">
        <v>0.416207094658953</v>
      </c>
      <c r="D4" s="1" t="n">
        <f aca="false">B4-C4</f>
        <v>0.266456603797215</v>
      </c>
      <c r="E4" s="1" t="s">
        <v>122</v>
      </c>
    </row>
    <row r="5" customFormat="false" ht="12.8" hidden="false" customHeight="false" outlineLevel="0" collapsed="false">
      <c r="A5" s="7" t="n">
        <v>3</v>
      </c>
      <c r="B5" s="1" t="n">
        <v>0.615224454504257</v>
      </c>
      <c r="C5" s="1" t="n">
        <v>0.440694734258005</v>
      </c>
      <c r="D5" s="1" t="n">
        <f aca="false">B5-C5</f>
        <v>0.174529720246252</v>
      </c>
      <c r="E5" s="1" t="s">
        <v>122</v>
      </c>
    </row>
    <row r="6" customFormat="false" ht="12.8" hidden="false" customHeight="false" outlineLevel="0" collapsed="false">
      <c r="A6" s="7" t="n">
        <v>4</v>
      </c>
      <c r="B6" s="1" t="n">
        <v>0.728618275572537</v>
      </c>
      <c r="C6" s="1" t="n">
        <v>0.50298342709053</v>
      </c>
      <c r="D6" s="1" t="n">
        <f aca="false">B6-C6</f>
        <v>0.225634848482007</v>
      </c>
      <c r="E6" s="1" t="s">
        <v>122</v>
      </c>
    </row>
    <row r="7" customFormat="false" ht="12.8" hidden="false" customHeight="false" outlineLevel="0" collapsed="false">
      <c r="A7" s="7" t="n">
        <v>5</v>
      </c>
      <c r="B7" s="1" t="n">
        <v>0.688604056934627</v>
      </c>
      <c r="C7" s="1" t="n">
        <v>0.648378238204048</v>
      </c>
      <c r="D7" s="1" t="n">
        <f aca="false">B7-C7</f>
        <v>0.040225818730579</v>
      </c>
    </row>
    <row r="8" customFormat="false" ht="12.8" hidden="false" customHeight="false" outlineLevel="0" collapsed="false">
      <c r="A8" s="7" t="n">
        <v>6</v>
      </c>
      <c r="B8" s="1" t="n">
        <v>0.669074893749943</v>
      </c>
      <c r="C8" s="1" t="n">
        <v>0.556905413484638</v>
      </c>
      <c r="D8" s="1" t="n">
        <f aca="false">B8-C8</f>
        <v>0.112169480265305</v>
      </c>
    </row>
    <row r="9" customFormat="false" ht="12.8" hidden="false" customHeight="false" outlineLevel="0" collapsed="false">
      <c r="A9" s="7" t="n">
        <v>7</v>
      </c>
      <c r="B9" s="1" t="n">
        <v>0.759372504405003</v>
      </c>
      <c r="C9" s="1" t="n">
        <v>0.676587781456039</v>
      </c>
      <c r="D9" s="1" t="n">
        <f aca="false">B9-C9</f>
        <v>0.082784722948964</v>
      </c>
    </row>
    <row r="10" customFormat="false" ht="12.8" hidden="false" customHeight="false" outlineLevel="0" collapsed="false">
      <c r="A10" s="7" t="n">
        <v>8</v>
      </c>
      <c r="B10" s="1" t="n">
        <v>0.695828504681874</v>
      </c>
      <c r="C10" s="1" t="n">
        <v>0.537556987618538</v>
      </c>
      <c r="D10" s="1" t="n">
        <f aca="false">B10-C10</f>
        <v>0.158271517063336</v>
      </c>
    </row>
    <row r="11" customFormat="false" ht="12.8" hidden="false" customHeight="false" outlineLevel="0" collapsed="false">
      <c r="A11" s="7" t="n">
        <v>9</v>
      </c>
      <c r="B11" s="1" t="n">
        <v>0.779899573323697</v>
      </c>
      <c r="C11" s="1" t="n">
        <v>0.547450655337536</v>
      </c>
      <c r="D11" s="1" t="n">
        <f aca="false">B11-C11</f>
        <v>0.232448917986161</v>
      </c>
      <c r="E11" s="1" t="s">
        <v>122</v>
      </c>
    </row>
    <row r="12" customFormat="false" ht="12.8" hidden="false" customHeight="false" outlineLevel="0" collapsed="false">
      <c r="A12" s="7" t="n">
        <v>10</v>
      </c>
      <c r="B12" s="1" t="n">
        <v>0.632572298876227</v>
      </c>
      <c r="C12" s="1" t="n">
        <v>0.404475709994457</v>
      </c>
      <c r="D12" s="1" t="n">
        <f aca="false">B12-C12</f>
        <v>0.22809658888177</v>
      </c>
      <c r="E12" s="1" t="s">
        <v>122</v>
      </c>
    </row>
    <row r="13" customFormat="false" ht="12.8" hidden="false" customHeight="false" outlineLevel="0" collapsed="false">
      <c r="A13" s="7" t="n">
        <v>11</v>
      </c>
      <c r="B13" s="1" t="n">
        <v>0.733064212818954</v>
      </c>
      <c r="C13" s="1" t="n">
        <v>0.573512450710954</v>
      </c>
      <c r="D13" s="1" t="n">
        <f aca="false">B13-C13</f>
        <v>0.159551762108</v>
      </c>
    </row>
    <row r="14" customFormat="false" ht="12.8" hidden="false" customHeight="false" outlineLevel="0" collapsed="false">
      <c r="A14" s="7" t="n">
        <v>12</v>
      </c>
      <c r="B14" s="1" t="n">
        <v>0.693027541837124</v>
      </c>
      <c r="C14" s="1" t="n">
        <v>0.688426389427952</v>
      </c>
      <c r="D14" s="1" t="n">
        <f aca="false">B14-C14</f>
        <v>0.00460115240917203</v>
      </c>
    </row>
    <row r="15" customFormat="false" ht="12.8" hidden="false" customHeight="false" outlineLevel="0" collapsed="false">
      <c r="A15" s="7" t="n">
        <v>13</v>
      </c>
      <c r="B15" s="1" t="n">
        <v>0.704438316359018</v>
      </c>
      <c r="C15" s="1" t="n">
        <v>0.536732539192105</v>
      </c>
      <c r="D15" s="1" t="n">
        <f aca="false">B15-C15</f>
        <v>0.167705777166913</v>
      </c>
    </row>
    <row r="16" customFormat="false" ht="12.8" hidden="false" customHeight="false" outlineLevel="0" collapsed="false">
      <c r="A16" s="7" t="n">
        <v>14</v>
      </c>
      <c r="B16" s="1" t="n">
        <v>0.822923799196468</v>
      </c>
      <c r="C16" s="1" t="n">
        <v>0.706905423359106</v>
      </c>
      <c r="D16" s="1" t="n">
        <f aca="false">B16-C16</f>
        <v>0.116018375837362</v>
      </c>
    </row>
    <row r="17" customFormat="false" ht="12.8" hidden="false" customHeight="false" outlineLevel="0" collapsed="false">
      <c r="A17" s="7" t="n">
        <v>15</v>
      </c>
      <c r="B17" s="1" t="n">
        <v>0.598856826351013</v>
      </c>
      <c r="C17" s="1" t="n">
        <v>0.559275980049327</v>
      </c>
      <c r="D17" s="1" t="n">
        <f aca="false">B17-C17</f>
        <v>0.039580846301686</v>
      </c>
    </row>
    <row r="18" customFormat="false" ht="12.8" hidden="false" customHeight="false" outlineLevel="0" collapsed="false">
      <c r="A18" s="7" t="n">
        <v>16</v>
      </c>
      <c r="B18" s="1" t="n">
        <v>0.745885490309946</v>
      </c>
      <c r="C18" s="1" t="n">
        <v>0.696687598503719</v>
      </c>
      <c r="D18" s="1" t="n">
        <f aca="false">B18-C18</f>
        <v>0.049197891806227</v>
      </c>
    </row>
    <row r="19" customFormat="false" ht="12.8" hidden="false" customHeight="false" outlineLevel="0" collapsed="false">
      <c r="A19" s="7" t="n">
        <v>17</v>
      </c>
      <c r="B19" s="1" t="n">
        <v>0.627413040342658</v>
      </c>
      <c r="C19" s="1" t="n">
        <v>0.48999145280364</v>
      </c>
      <c r="D19" s="1" t="n">
        <f aca="false">B19-C19</f>
        <v>0.137421587539018</v>
      </c>
    </row>
    <row r="20" customFormat="false" ht="12.8" hidden="false" customHeight="false" outlineLevel="0" collapsed="false">
      <c r="A20" s="7" t="n">
        <v>18</v>
      </c>
      <c r="B20" s="1" t="n">
        <v>0.764724151507591</v>
      </c>
      <c r="C20" s="1" t="n">
        <v>0.703777326026319</v>
      </c>
      <c r="D20" s="1" t="n">
        <f aca="false">B20-C20</f>
        <v>0.060946825481272</v>
      </c>
    </row>
    <row r="21" customFormat="false" ht="12.8" hidden="false" customHeight="false" outlineLevel="0" collapsed="false">
      <c r="A21" s="7" t="n">
        <v>19</v>
      </c>
      <c r="B21" s="1" t="n">
        <v>0.665442717582544</v>
      </c>
      <c r="C21" s="1" t="n">
        <v>0.538311826027795</v>
      </c>
      <c r="D21" s="1" t="n">
        <f aca="false">B21-C21</f>
        <v>0.127130891554749</v>
      </c>
    </row>
    <row r="22" customFormat="false" ht="12.8" hidden="false" customHeight="false" outlineLevel="0" collapsed="false">
      <c r="A22" s="7" t="n">
        <v>20</v>
      </c>
      <c r="B22" s="1" t="n">
        <v>0.739120010292957</v>
      </c>
      <c r="C22" s="1" t="n">
        <v>0.658619577213029</v>
      </c>
      <c r="D22" s="1" t="n">
        <f aca="false">B22-C22</f>
        <v>0.0805004330799281</v>
      </c>
    </row>
    <row r="23" customFormat="false" ht="12.8" hidden="false" customHeight="false" outlineLevel="0" collapsed="false">
      <c r="A23" s="7" t="n">
        <v>21</v>
      </c>
      <c r="B23" s="1" t="n">
        <v>0.740855593294062</v>
      </c>
      <c r="C23" s="1" t="n">
        <v>0.407653544913038</v>
      </c>
      <c r="D23" s="1" t="n">
        <f aca="false">B23-C23</f>
        <v>0.333202048381024</v>
      </c>
      <c r="E23" s="1" t="s">
        <v>122</v>
      </c>
    </row>
    <row r="24" customFormat="false" ht="12.8" hidden="false" customHeight="false" outlineLevel="0" collapsed="false">
      <c r="A24" s="7" t="n">
        <v>22</v>
      </c>
      <c r="B24" s="1" t="n">
        <v>0.724986030339445</v>
      </c>
      <c r="C24" s="1" t="n">
        <v>0.515876791249462</v>
      </c>
      <c r="D24" s="1" t="n">
        <f aca="false">B24-C24</f>
        <v>0.209109239089983</v>
      </c>
    </row>
    <row r="25" customFormat="false" ht="12.8" hidden="false" customHeight="false" outlineLevel="0" collapsed="false">
      <c r="A25" s="7" t="n">
        <v>23</v>
      </c>
      <c r="B25" s="1" t="n">
        <v>0.732548067807027</v>
      </c>
      <c r="C25" s="1" t="n">
        <v>0.47404366030989</v>
      </c>
      <c r="D25" s="1" t="n">
        <f aca="false">B25-C25</f>
        <v>0.258504407497137</v>
      </c>
      <c r="E25" s="1" t="s">
        <v>122</v>
      </c>
    </row>
    <row r="26" customFormat="false" ht="12.8" hidden="false" customHeight="false" outlineLevel="0" collapsed="false">
      <c r="A26" s="7" t="n">
        <v>24</v>
      </c>
      <c r="B26" s="1" t="n">
        <v>0.810905330263776</v>
      </c>
      <c r="C26" s="1" t="n">
        <v>0.690137110745753</v>
      </c>
      <c r="D26" s="1" t="n">
        <f aca="false">B26-C26</f>
        <v>0.120768219518023</v>
      </c>
    </row>
    <row r="27" customFormat="false" ht="12.8" hidden="false" customHeight="false" outlineLevel="0" collapsed="false">
      <c r="A27" s="3" t="n">
        <v>25</v>
      </c>
      <c r="B27" s="1" t="n">
        <v>0.7452068576726</v>
      </c>
      <c r="C27" s="1" t="n">
        <v>0.454708104680646</v>
      </c>
      <c r="D27" s="1" t="n">
        <f aca="false">B27-C27</f>
        <v>0.290498752991954</v>
      </c>
      <c r="E27" s="1" t="s">
        <v>122</v>
      </c>
    </row>
    <row r="29" customFormat="false" ht="12.8" hidden="false" customHeight="false" outlineLevel="0" collapsed="false">
      <c r="A29" s="1" t="s">
        <v>123</v>
      </c>
    </row>
    <row r="31" customFormat="false" ht="12.8" hidden="false" customHeight="false" outlineLevel="0" collapsed="false">
      <c r="A31" s="10" t="s">
        <v>110</v>
      </c>
      <c r="B31" s="4" t="s">
        <v>124</v>
      </c>
      <c r="C31" s="4" t="s">
        <v>125</v>
      </c>
      <c r="D31" s="4" t="s">
        <v>126</v>
      </c>
      <c r="E31" s="1" t="s">
        <v>111</v>
      </c>
      <c r="F31" s="1" t="s">
        <v>112</v>
      </c>
      <c r="H31" s="11" t="s">
        <v>127</v>
      </c>
    </row>
    <row r="32" customFormat="false" ht="12.8" hidden="false" customHeight="false" outlineLevel="0" collapsed="false">
      <c r="A32" s="7" t="n">
        <v>1</v>
      </c>
      <c r="B32" s="1" t="n">
        <v>0.726604447396414</v>
      </c>
      <c r="C32" s="1" t="n">
        <v>0.745618221992126</v>
      </c>
      <c r="D32" s="1" t="n">
        <v>0.724099533668665</v>
      </c>
      <c r="E32" s="1" t="n">
        <v>0.726072655509358</v>
      </c>
      <c r="F32" s="1" t="n">
        <v>0.780357842803317</v>
      </c>
      <c r="H32" s="1" t="s">
        <v>128</v>
      </c>
      <c r="I32" s="1" t="n">
        <v>0.05</v>
      </c>
    </row>
    <row r="33" customFormat="false" ht="12.8" hidden="false" customHeight="false" outlineLevel="0" collapsed="false">
      <c r="A33" s="7" t="n">
        <v>2</v>
      </c>
      <c r="B33" s="1" t="n">
        <v>0.708959829151642</v>
      </c>
      <c r="C33" s="1" t="n">
        <v>0.731965622484604</v>
      </c>
      <c r="D33" s="1" t="n">
        <v>0.690405786547539</v>
      </c>
      <c r="E33" s="1" t="n">
        <v>0.682663698456168</v>
      </c>
      <c r="F33" s="1" t="n">
        <v>0.416207094658953</v>
      </c>
    </row>
    <row r="34" customFormat="false" ht="12.8" hidden="false" customHeight="false" outlineLevel="0" collapsed="false">
      <c r="A34" s="7" t="n">
        <v>3</v>
      </c>
      <c r="B34" s="1" t="n">
        <v>0.656250791088745</v>
      </c>
      <c r="C34" s="1" t="n">
        <v>0.556349411838211</v>
      </c>
      <c r="D34" s="1" t="n">
        <v>0.664424091143094</v>
      </c>
      <c r="E34" s="1" t="n">
        <v>0.615224454504257</v>
      </c>
      <c r="F34" s="1" t="n">
        <v>0.440694734258005</v>
      </c>
      <c r="H34" s="1" t="s">
        <v>129</v>
      </c>
      <c r="I34" s="1" t="s">
        <v>130</v>
      </c>
      <c r="J34" s="1" t="s">
        <v>131</v>
      </c>
      <c r="K34" s="1" t="s">
        <v>132</v>
      </c>
      <c r="L34" s="1" t="s">
        <v>133</v>
      </c>
    </row>
    <row r="35" customFormat="false" ht="12.8" hidden="false" customHeight="false" outlineLevel="0" collapsed="false">
      <c r="A35" s="7" t="n">
        <v>4</v>
      </c>
      <c r="B35" s="1" t="n">
        <v>0.682480064346605</v>
      </c>
      <c r="C35" s="1" t="n">
        <v>0.746961278269468</v>
      </c>
      <c r="D35" s="1" t="n">
        <v>0.737872088358781</v>
      </c>
      <c r="E35" s="1" t="n">
        <v>0.728618275572537</v>
      </c>
      <c r="F35" s="1" t="n">
        <v>0.50298342709053</v>
      </c>
      <c r="H35" s="1" t="s">
        <v>134</v>
      </c>
      <c r="I35" s="1" t="n">
        <f aca="false">COUNT(inter_system_stats!$B$31:$B$56)</f>
        <v>25</v>
      </c>
      <c r="J35" s="1" t="n">
        <f aca="false">SUM(inter_system_stats!$B$31:$B$56)</f>
        <v>17.7853972662572</v>
      </c>
      <c r="K35" s="1" t="n">
        <f aca="false">AVERAGE(inter_system_stats!$B$31:$B$56)</f>
        <v>0.711415890650289</v>
      </c>
      <c r="L35" s="1" t="n">
        <f aca="false">VAR(inter_system_stats!$B$31:$B$56)</f>
        <v>0.0022639833703396</v>
      </c>
    </row>
    <row r="36" customFormat="false" ht="12.8" hidden="false" customHeight="false" outlineLevel="0" collapsed="false">
      <c r="A36" s="7" t="n">
        <v>5</v>
      </c>
      <c r="B36" s="1" t="n">
        <v>0.750666088952323</v>
      </c>
      <c r="C36" s="1" t="n">
        <v>0.736303129517049</v>
      </c>
      <c r="D36" s="1" t="n">
        <v>0.731664951542418</v>
      </c>
      <c r="E36" s="1" t="n">
        <v>0.688604056934627</v>
      </c>
      <c r="F36" s="1" t="n">
        <v>0.648378238204048</v>
      </c>
      <c r="H36" s="1" t="s">
        <v>135</v>
      </c>
      <c r="I36" s="1" t="n">
        <f aca="false">COUNT(inter_system_stats!$C$31:$C$56)</f>
        <v>25</v>
      </c>
      <c r="J36" s="1" t="n">
        <f aca="false">SUM(inter_system_stats!$C$31:$C$56)</f>
        <v>18.0572812583224</v>
      </c>
      <c r="K36" s="1" t="n">
        <f aca="false">AVERAGE(inter_system_stats!$C$31:$C$56)</f>
        <v>0.722291250332898</v>
      </c>
      <c r="L36" s="1" t="n">
        <f aca="false">VAR(inter_system_stats!$C$31:$C$56)</f>
        <v>0.00253856280434981</v>
      </c>
    </row>
    <row r="37" customFormat="false" ht="12.8" hidden="false" customHeight="false" outlineLevel="0" collapsed="false">
      <c r="A37" s="7" t="n">
        <v>6</v>
      </c>
      <c r="B37" s="1" t="n">
        <v>0.690037613967929</v>
      </c>
      <c r="C37" s="1" t="n">
        <v>0.693060520928815</v>
      </c>
      <c r="D37" s="1" t="n">
        <v>0.72767431707301</v>
      </c>
      <c r="E37" s="1" t="n">
        <v>0.669074893749943</v>
      </c>
      <c r="F37" s="1" t="n">
        <v>0.556905413484638</v>
      </c>
      <c r="H37" s="1" t="s">
        <v>136</v>
      </c>
      <c r="I37" s="1" t="n">
        <f aca="false">COUNT(inter_system_stats!$D$31:$D$56)</f>
        <v>25</v>
      </c>
      <c r="J37" s="1" t="n">
        <f aca="false">SUM(inter_system_stats!$D$31:$D$56)</f>
        <v>18.0154578655623</v>
      </c>
      <c r="K37" s="1" t="n">
        <f aca="false">AVERAGE(inter_system_stats!$D$31:$D$56)</f>
        <v>0.720618314622491</v>
      </c>
      <c r="L37" s="1" t="n">
        <f aca="false">VAR(inter_system_stats!$D$31:$D$56)</f>
        <v>0.00248995744319227</v>
      </c>
    </row>
    <row r="38" customFormat="false" ht="12.8" hidden="false" customHeight="false" outlineLevel="0" collapsed="false">
      <c r="A38" s="7" t="n">
        <v>7</v>
      </c>
      <c r="B38" s="1" t="n">
        <v>0.70889799084929</v>
      </c>
      <c r="C38" s="1" t="n">
        <v>0.748597564255249</v>
      </c>
      <c r="D38" s="1" t="n">
        <v>0.785159172931949</v>
      </c>
      <c r="E38" s="1" t="n">
        <v>0.759372504405003</v>
      </c>
      <c r="F38" s="1" t="n">
        <v>0.676587781456039</v>
      </c>
      <c r="H38" s="1" t="s">
        <v>137</v>
      </c>
      <c r="I38" s="1" t="n">
        <f aca="false">COUNT(inter_system_stats!$E$31:$E$56)</f>
        <v>25</v>
      </c>
      <c r="J38" s="1" t="n">
        <f aca="false">SUM(inter_system_stats!$E$31:$E$56)</f>
        <v>17.8273289019889</v>
      </c>
      <c r="K38" s="1" t="n">
        <f aca="false">AVERAGE(inter_system_stats!$E$31:$E$56)</f>
        <v>0.713093156079555</v>
      </c>
      <c r="L38" s="1" t="n">
        <f aca="false">VAR(inter_system_stats!$E$31:$E$56)</f>
        <v>0.00328108471070565</v>
      </c>
    </row>
    <row r="39" customFormat="false" ht="12.8" hidden="false" customHeight="false" outlineLevel="0" collapsed="false">
      <c r="A39" s="7" t="n">
        <v>8</v>
      </c>
      <c r="B39" s="1" t="n">
        <v>0.685546620467512</v>
      </c>
      <c r="C39" s="1" t="n">
        <v>0.705165938537343</v>
      </c>
      <c r="D39" s="1" t="n">
        <v>0.699365933104337</v>
      </c>
      <c r="E39" s="1" t="n">
        <v>0.695828504681874</v>
      </c>
      <c r="F39" s="1" t="n">
        <v>0.537556987618538</v>
      </c>
    </row>
    <row r="40" customFormat="false" ht="12.8" hidden="false" customHeight="false" outlineLevel="0" collapsed="false">
      <c r="A40" s="7" t="n">
        <v>9</v>
      </c>
      <c r="B40" s="1" t="n">
        <v>0.727629515141836</v>
      </c>
      <c r="C40" s="1" t="n">
        <v>0.750368716676119</v>
      </c>
      <c r="D40" s="1" t="n">
        <v>0.74686473255493</v>
      </c>
      <c r="E40" s="1" t="n">
        <v>0.779899573323697</v>
      </c>
      <c r="F40" s="1" t="n">
        <v>0.547450655337536</v>
      </c>
      <c r="H40" s="1" t="s">
        <v>138</v>
      </c>
      <c r="I40" s="1" t="s">
        <v>139</v>
      </c>
      <c r="J40" s="1" t="s">
        <v>140</v>
      </c>
      <c r="K40" s="1" t="s">
        <v>141</v>
      </c>
      <c r="L40" s="1" t="s">
        <v>142</v>
      </c>
      <c r="M40" s="1" t="s">
        <v>143</v>
      </c>
      <c r="N40" s="1" t="s">
        <v>144</v>
      </c>
    </row>
    <row r="41" customFormat="false" ht="12.8" hidden="false" customHeight="false" outlineLevel="0" collapsed="false">
      <c r="A41" s="7" t="n">
        <v>10</v>
      </c>
      <c r="B41" s="1" t="n">
        <v>0.637485514971611</v>
      </c>
      <c r="C41" s="1" t="n">
        <v>0.682432996770851</v>
      </c>
      <c r="D41" s="1" t="n">
        <v>0.68571667055349</v>
      </c>
      <c r="E41" s="1" t="n">
        <v>0.632572298876227</v>
      </c>
      <c r="F41" s="1" t="n">
        <v>0.404475709994457</v>
      </c>
      <c r="H41" s="1" t="s">
        <v>145</v>
      </c>
      <c r="I41" s="1" t="n">
        <f aca="false">SUMPRODUCT(inter_system_stats!$J$35:$J$38,inter_system_stats!$K$35:$K$38)-SUM(inter_system_stats!$J$35:$J$38)^2/SUM(inter_system_stats!$I$35:$I$38)</f>
        <v>0.00218626835869884</v>
      </c>
      <c r="J41" s="1" t="n">
        <f aca="false">COUNT(inter_system_stats!$J$35:$J$38)-1</f>
        <v>3</v>
      </c>
      <c r="K41" s="1" t="n">
        <f aca="false">inter_system_stats!$I$41 / inter_system_stats!$J$41</f>
        <v>0.00072875611956628</v>
      </c>
      <c r="L41" s="1" t="n">
        <f aca="false">inter_system_stats!$K$41 / inter_system_stats!$K$42</f>
        <v>0.275689235071116</v>
      </c>
      <c r="M41" s="1" t="n">
        <f aca="false">FDIST(inter_system_stats!$L$41, inter_system_stats!$J$41, inter_system_stats!$J$42)</f>
        <v>0.842808428173721</v>
      </c>
      <c r="N41" s="1" t="n">
        <f aca="false">FINV(inter_system_stats!$I$32, inter_system_stats!$J$41, inter_system_stats!$J$42)</f>
        <v>2.69939259755218</v>
      </c>
    </row>
    <row r="42" customFormat="false" ht="12.8" hidden="false" customHeight="false" outlineLevel="0" collapsed="false">
      <c r="A42" s="7" t="n">
        <v>11</v>
      </c>
      <c r="B42" s="1" t="n">
        <v>0.717989456556699</v>
      </c>
      <c r="C42" s="1" t="n">
        <v>0.72387381443217</v>
      </c>
      <c r="D42" s="1" t="n">
        <v>0.765114909147396</v>
      </c>
      <c r="E42" s="1" t="n">
        <v>0.733064212818954</v>
      </c>
      <c r="F42" s="1" t="n">
        <v>0.573512450710954</v>
      </c>
      <c r="H42" s="1" t="s">
        <v>146</v>
      </c>
      <c r="I42" s="1" t="n">
        <f aca="false">SUM(DEVSQ(inter_system_stats!$B$31:$B$56),DEVSQ(inter_system_stats!$C$31:$C$56),DEVSQ(inter_system_stats!$D$31:$D$56),DEVSQ(inter_system_stats!$E$31:$E$56))</f>
        <v>0.253766119886096</v>
      </c>
      <c r="J42" s="1" t="n">
        <f aca="false">SUM(inter_system_stats!$I$35:$I$38)-COUNT(inter_system_stats!$I$35:$I$38)</f>
        <v>96</v>
      </c>
      <c r="K42" s="1" t="n">
        <f aca="false">inter_system_stats!$I$42 / inter_system_stats!$J$42</f>
        <v>0.00264339708214683</v>
      </c>
    </row>
    <row r="43" customFormat="false" ht="12.8" hidden="false" customHeight="false" outlineLevel="0" collapsed="false">
      <c r="A43" s="7" t="n">
        <v>12</v>
      </c>
      <c r="B43" s="1" t="n">
        <v>0.770906292597071</v>
      </c>
      <c r="C43" s="1" t="n">
        <v>0.667701763619203</v>
      </c>
      <c r="D43" s="1" t="n">
        <v>0.736644236479232</v>
      </c>
      <c r="E43" s="1" t="n">
        <v>0.693027541837124</v>
      </c>
      <c r="F43" s="1" t="n">
        <v>0.688426389427952</v>
      </c>
      <c r="H43" s="1" t="s">
        <v>147</v>
      </c>
      <c r="I43" s="1" t="n">
        <f aca="false">DEVSQ(inter_system_stats!$B$31:$B$56,inter_system_stats!$C$31:$C$56,inter_system_stats!$D$31:$D$56,inter_system_stats!$E$31:$E$56)</f>
        <v>0.255952388244792</v>
      </c>
      <c r="J43" s="1" t="n">
        <f aca="false">SUM(inter_system_stats!$I$35:$I$38) - 1</f>
        <v>99</v>
      </c>
    </row>
    <row r="44" customFormat="false" ht="12.8" hidden="false" customHeight="false" outlineLevel="0" collapsed="false">
      <c r="A44" s="7" t="n">
        <v>13</v>
      </c>
      <c r="B44" s="1" t="n">
        <v>0.709827899363474</v>
      </c>
      <c r="C44" s="1" t="n">
        <v>0.72995268032519</v>
      </c>
      <c r="D44" s="1" t="n">
        <v>0.678666511575506</v>
      </c>
      <c r="E44" s="1" t="n">
        <v>0.704438316359018</v>
      </c>
      <c r="F44" s="1" t="n">
        <v>0.536732539192105</v>
      </c>
    </row>
    <row r="45" customFormat="false" ht="12.8" hidden="false" customHeight="false" outlineLevel="0" collapsed="false">
      <c r="A45" s="7" t="n">
        <v>14</v>
      </c>
      <c r="B45" s="1" t="n">
        <v>0.824775999287701</v>
      </c>
      <c r="C45" s="1" t="n">
        <v>0.79516955513513</v>
      </c>
      <c r="D45" s="1" t="n">
        <v>0.800148648147254</v>
      </c>
      <c r="E45" s="1" t="n">
        <v>0.822923799196468</v>
      </c>
      <c r="F45" s="1" t="n">
        <v>0.706905423359106</v>
      </c>
    </row>
    <row r="46" customFormat="false" ht="12.8" hidden="false" customHeight="false" outlineLevel="0" collapsed="false">
      <c r="A46" s="7" t="n">
        <v>15</v>
      </c>
      <c r="B46" s="1" t="n">
        <v>0.611331502918536</v>
      </c>
      <c r="C46" s="1" t="n">
        <v>0.641361051891741</v>
      </c>
      <c r="D46" s="1" t="n">
        <v>0.613656437383168</v>
      </c>
      <c r="E46" s="1" t="n">
        <v>0.598856826351013</v>
      </c>
      <c r="F46" s="1" t="n">
        <v>0.559275980049327</v>
      </c>
      <c r="H46" s="11" t="s">
        <v>127</v>
      </c>
    </row>
    <row r="47" customFormat="false" ht="12.8" hidden="false" customHeight="false" outlineLevel="0" collapsed="false">
      <c r="A47" s="7" t="n">
        <v>16</v>
      </c>
      <c r="B47" s="1" t="n">
        <v>0.743473367956861</v>
      </c>
      <c r="C47" s="1" t="n">
        <v>0.758550116405013</v>
      </c>
      <c r="D47" s="1" t="n">
        <v>0.70191452728509</v>
      </c>
      <c r="E47" s="1" t="n">
        <v>0.745885490309946</v>
      </c>
      <c r="F47" s="1" t="n">
        <v>0.696687598503719</v>
      </c>
      <c r="H47" s="1" t="s">
        <v>128</v>
      </c>
      <c r="I47" s="1" t="n">
        <v>0.05</v>
      </c>
    </row>
    <row r="48" customFormat="false" ht="12.8" hidden="false" customHeight="false" outlineLevel="0" collapsed="false">
      <c r="A48" s="7" t="n">
        <v>17</v>
      </c>
      <c r="B48" s="1" t="n">
        <v>0.657769103514598</v>
      </c>
      <c r="C48" s="1" t="n">
        <v>0.694176028461883</v>
      </c>
      <c r="D48" s="1" t="n">
        <v>0.696040981259132</v>
      </c>
      <c r="E48" s="1" t="n">
        <v>0.627413040342658</v>
      </c>
      <c r="F48" s="1" t="n">
        <v>0.48999145280364</v>
      </c>
    </row>
    <row r="49" customFormat="false" ht="12.8" hidden="false" customHeight="false" outlineLevel="0" collapsed="false">
      <c r="A49" s="7" t="n">
        <v>18</v>
      </c>
      <c r="B49" s="1" t="n">
        <v>0.7336678926738</v>
      </c>
      <c r="C49" s="1" t="n">
        <v>0.753547411776315</v>
      </c>
      <c r="D49" s="1" t="n">
        <v>0.764111372525898</v>
      </c>
      <c r="E49" s="1" t="n">
        <v>0.764724151507591</v>
      </c>
      <c r="F49" s="1" t="n">
        <v>0.703777326026319</v>
      </c>
      <c r="H49" s="1" t="s">
        <v>129</v>
      </c>
      <c r="I49" s="1" t="s">
        <v>130</v>
      </c>
      <c r="J49" s="1" t="s">
        <v>131</v>
      </c>
      <c r="K49" s="1" t="s">
        <v>132</v>
      </c>
      <c r="L49" s="1" t="s">
        <v>133</v>
      </c>
    </row>
    <row r="50" customFormat="false" ht="12.8" hidden="false" customHeight="false" outlineLevel="0" collapsed="false">
      <c r="A50" s="7" t="n">
        <v>19</v>
      </c>
      <c r="B50" s="1" t="n">
        <v>0.664769831999005</v>
      </c>
      <c r="C50" s="1" t="n">
        <v>0.718473139733635</v>
      </c>
      <c r="D50" s="1" t="n">
        <v>0.612949588021736</v>
      </c>
      <c r="E50" s="1" t="n">
        <v>0.665442717582544</v>
      </c>
      <c r="F50" s="1" t="n">
        <v>0.538311826027795</v>
      </c>
      <c r="H50" s="1" t="s">
        <v>134</v>
      </c>
      <c r="I50" s="1" t="n">
        <f aca="false">COUNT(inter_system_stats!$B$31:$B$56)</f>
        <v>25</v>
      </c>
      <c r="J50" s="1" t="n">
        <f aca="false">SUM(inter_system_stats!$B$31:$B$56)</f>
        <v>17.7853972662572</v>
      </c>
      <c r="K50" s="1" t="n">
        <f aca="false">AVERAGE(inter_system_stats!$B$31:$B$56)</f>
        <v>0.711415890650289</v>
      </c>
      <c r="L50" s="1" t="n">
        <f aca="false">VAR(inter_system_stats!$B$31:$B$56)</f>
        <v>0.0022639833703396</v>
      </c>
    </row>
    <row r="51" customFormat="false" ht="12.8" hidden="false" customHeight="false" outlineLevel="0" collapsed="false">
      <c r="A51" s="7" t="n">
        <v>20</v>
      </c>
      <c r="B51" s="1" t="n">
        <v>0.735511761701567</v>
      </c>
      <c r="C51" s="1" t="n">
        <v>0.754538991520845</v>
      </c>
      <c r="D51" s="1" t="n">
        <v>0.761234455225827</v>
      </c>
      <c r="E51" s="1" t="n">
        <v>0.739120010292957</v>
      </c>
      <c r="F51" s="1" t="n">
        <v>0.658619577213029</v>
      </c>
      <c r="H51" s="1" t="s">
        <v>135</v>
      </c>
      <c r="I51" s="1" t="n">
        <f aca="false">COUNT(inter_system_stats!$C$31:$C$56)</f>
        <v>25</v>
      </c>
      <c r="J51" s="1" t="n">
        <f aca="false">SUM(inter_system_stats!$C$31:$C$56)</f>
        <v>18.0572812583224</v>
      </c>
      <c r="K51" s="1" t="n">
        <f aca="false">AVERAGE(inter_system_stats!$C$31:$C$56)</f>
        <v>0.722291250332898</v>
      </c>
      <c r="L51" s="1" t="n">
        <f aca="false">VAR(inter_system_stats!$C$31:$C$56)</f>
        <v>0.00253856280434981</v>
      </c>
    </row>
    <row r="52" customFormat="false" ht="12.8" hidden="false" customHeight="false" outlineLevel="0" collapsed="false">
      <c r="A52" s="7" t="n">
        <v>21</v>
      </c>
      <c r="B52" s="1" t="n">
        <v>0.715466613809298</v>
      </c>
      <c r="C52" s="1" t="n">
        <v>0.71601754844973</v>
      </c>
      <c r="D52" s="1" t="n">
        <v>0.708545748319991</v>
      </c>
      <c r="E52" s="1" t="n">
        <v>0.740855593294062</v>
      </c>
      <c r="F52" s="1" t="n">
        <v>0.407653544913038</v>
      </c>
      <c r="H52" s="1" t="s">
        <v>136</v>
      </c>
      <c r="I52" s="1" t="n">
        <f aca="false">COUNT(inter_system_stats!$D$31:$D$56)</f>
        <v>25</v>
      </c>
      <c r="J52" s="1" t="n">
        <f aca="false">SUM(inter_system_stats!$D$31:$D$56)</f>
        <v>18.0154578655623</v>
      </c>
      <c r="K52" s="1" t="n">
        <f aca="false">AVERAGE(inter_system_stats!$D$31:$D$56)</f>
        <v>0.720618314622491</v>
      </c>
      <c r="L52" s="1" t="n">
        <f aca="false">VAR(inter_system_stats!$D$31:$D$56)</f>
        <v>0.00248995744319227</v>
      </c>
    </row>
    <row r="53" customFormat="false" ht="12.8" hidden="false" customHeight="false" outlineLevel="0" collapsed="false">
      <c r="A53" s="7" t="n">
        <v>22</v>
      </c>
      <c r="B53" s="1" t="n">
        <v>0.70902009513028</v>
      </c>
      <c r="C53" s="1" t="n">
        <v>0.751876513039488</v>
      </c>
      <c r="D53" s="1" t="n">
        <v>0.756069449327172</v>
      </c>
      <c r="E53" s="1" t="n">
        <v>0.724986030339445</v>
      </c>
      <c r="F53" s="1" t="n">
        <v>0.515876791249462</v>
      </c>
      <c r="H53" s="1" t="s">
        <v>137</v>
      </c>
      <c r="I53" s="1" t="n">
        <f aca="false">COUNT(inter_system_stats!$E$31:$E$56)</f>
        <v>25</v>
      </c>
      <c r="J53" s="1" t="n">
        <f aca="false">SUM(inter_system_stats!$E$31:$E$56)</f>
        <v>17.8273289019889</v>
      </c>
      <c r="K53" s="1" t="n">
        <f aca="false">AVERAGE(inter_system_stats!$E$31:$E$56)</f>
        <v>0.713093156079555</v>
      </c>
      <c r="L53" s="1" t="n">
        <f aca="false">VAR(inter_system_stats!$E$31:$E$56)</f>
        <v>0.00328108471070565</v>
      </c>
    </row>
    <row r="54" customFormat="false" ht="12.8" hidden="false" customHeight="false" outlineLevel="0" collapsed="false">
      <c r="A54" s="7" t="n">
        <v>23</v>
      </c>
      <c r="B54" s="1" t="n">
        <v>0.675856447847683</v>
      </c>
      <c r="C54" s="1" t="n">
        <v>0.717330086490848</v>
      </c>
      <c r="D54" s="1" t="n">
        <v>0.671531865451319</v>
      </c>
      <c r="E54" s="1" t="n">
        <v>0.732548067807027</v>
      </c>
      <c r="F54" s="1" t="n">
        <v>0.47404366030989</v>
      </c>
      <c r="H54" s="1" t="s">
        <v>148</v>
      </c>
      <c r="I54" s="1" t="n">
        <f aca="false">COUNT(inter_system_stats!$F$31:$F$56)</f>
        <v>25</v>
      </c>
      <c r="J54" s="1" t="n">
        <f aca="false">SUM(inter_system_stats!$F$31:$F$56)</f>
        <v>14.2062576601188</v>
      </c>
      <c r="K54" s="1" t="n">
        <f aca="false">AVERAGE(inter_system_stats!$F$31:$F$56)</f>
        <v>0.568250306404752</v>
      </c>
      <c r="L54" s="1" t="n">
        <f aca="false">VAR(inter_system_stats!$F$31:$F$56)</f>
        <v>0.0118790661836517</v>
      </c>
    </row>
    <row r="55" customFormat="false" ht="12.8" hidden="false" customHeight="false" outlineLevel="0" collapsed="false">
      <c r="A55" s="7" t="n">
        <v>24</v>
      </c>
      <c r="B55" s="1" t="n">
        <v>0.770886115042279</v>
      </c>
      <c r="C55" s="1" t="n">
        <v>0.810165160416988</v>
      </c>
      <c r="D55" s="1" t="n">
        <v>0.793327292068252</v>
      </c>
      <c r="E55" s="1" t="n">
        <v>0.810905330263776</v>
      </c>
      <c r="F55" s="1" t="n">
        <v>0.690137110745753</v>
      </c>
    </row>
    <row r="56" customFormat="false" ht="12.8" hidden="false" customHeight="false" outlineLevel="0" collapsed="false">
      <c r="A56" s="3" t="n">
        <v>25</v>
      </c>
      <c r="B56" s="1" t="n">
        <v>0.769586409524463</v>
      </c>
      <c r="C56" s="1" t="n">
        <v>0.72772399535443</v>
      </c>
      <c r="D56" s="1" t="n">
        <v>0.762254565867078</v>
      </c>
      <c r="E56" s="1" t="n">
        <v>0.7452068576726</v>
      </c>
      <c r="F56" s="1" t="n">
        <v>0.454708104680646</v>
      </c>
      <c r="H56" s="1" t="s">
        <v>138</v>
      </c>
      <c r="I56" s="1" t="s">
        <v>139</v>
      </c>
      <c r="J56" s="1" t="s">
        <v>140</v>
      </c>
      <c r="K56" s="1" t="s">
        <v>141</v>
      </c>
      <c r="L56" s="1" t="s">
        <v>142</v>
      </c>
      <c r="M56" s="1" t="s">
        <v>143</v>
      </c>
      <c r="N56" s="1" t="s">
        <v>144</v>
      </c>
    </row>
    <row r="57" customFormat="false" ht="12.8" hidden="false" customHeight="false" outlineLevel="0" collapsed="false">
      <c r="H57" s="1" t="s">
        <v>145</v>
      </c>
      <c r="I57" s="1" t="n">
        <f aca="false">SUMPRODUCT(inter_system_stats!$J$50:$J$54,inter_system_stats!$K$50:$K$54)-SUM(inter_system_stats!$J$50:$J$54)^2/SUM(inter_system_stats!$I$50:$I$54)</f>
        <v>0.443851304430957</v>
      </c>
      <c r="J57" s="1" t="n">
        <f aca="false">COUNT(inter_system_stats!$J$50:$J$54)-1</f>
        <v>4</v>
      </c>
      <c r="K57" s="1" t="n">
        <f aca="false">inter_system_stats!$I$57 / inter_system_stats!$J$57</f>
        <v>0.110962826107739</v>
      </c>
      <c r="L57" s="1" t="n">
        <f aca="false">inter_system_stats!$K$57 / inter_system_stats!$K$58</f>
        <v>24.7104025154916</v>
      </c>
      <c r="M57" s="1" t="n">
        <f aca="false">FDIST(inter_system_stats!$L$57, inter_system_stats!$J$57, inter_system_stats!$J$58)</f>
        <v>6.19126171690371E-015</v>
      </c>
      <c r="N57" s="1" t="n">
        <f aca="false">FINV(inter_system_stats!$I$47, inter_system_stats!$J$57, inter_system_stats!$J$58)</f>
        <v>2.4472365114693</v>
      </c>
    </row>
    <row r="58" customFormat="false" ht="12.8" hidden="false" customHeight="false" outlineLevel="0" collapsed="false">
      <c r="H58" s="1" t="s">
        <v>146</v>
      </c>
      <c r="I58" s="1" t="n">
        <f aca="false">SUM(DEVSQ(inter_system_stats!$B$31:$B$56),DEVSQ(inter_system_stats!$C$31:$C$56),DEVSQ(inter_system_stats!$D$31:$D$56),DEVSQ(inter_system_stats!$E$31:$E$56),DEVSQ(inter_system_stats!$F$31:$F$56))</f>
        <v>0.538863708293738</v>
      </c>
      <c r="J58" s="1" t="n">
        <f aca="false">SUM(inter_system_stats!$I$50:$I$54)-COUNT(inter_system_stats!$I$50:$I$54)</f>
        <v>120</v>
      </c>
      <c r="K58" s="1" t="n">
        <f aca="false">inter_system_stats!$I$58 / inter_system_stats!$J$58</f>
        <v>0.00449053090244781</v>
      </c>
    </row>
    <row r="59" customFormat="false" ht="12.8" hidden="false" customHeight="false" outlineLevel="0" collapsed="false">
      <c r="H59" s="1" t="s">
        <v>147</v>
      </c>
      <c r="I59" s="1" t="n">
        <f aca="false">DEVSQ(inter_system_stats!$B$31:$B$56,inter_system_stats!$C$31:$C$56,inter_system_stats!$D$31:$D$56,inter_system_stats!$E$31:$E$56,inter_system_stats!$F$31:$F$56)</f>
        <v>0.982715012724687</v>
      </c>
      <c r="J59" s="1" t="n">
        <f aca="false">SUM(inter_system_stats!$I$50:$I$54) - 1</f>
        <v>124</v>
      </c>
    </row>
  </sheetData>
  <mergeCells count="1">
    <mergeCell ref="A1:B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56"/>
  <sheetViews>
    <sheetView showFormulas="false" showGridLines="true" showRowColHeaders="true" showZeros="true" rightToLeft="false" tabSelected="false" showOutlineSymbols="true" defaultGridColor="true" view="normal" topLeftCell="A31" colorId="64" zoomScale="125" zoomScaleNormal="125" zoomScalePageLayoutView="100" workbookViewId="0">
      <selection pane="topLeft" activeCell="A42" activeCellId="0" sqref="A42"/>
    </sheetView>
  </sheetViews>
  <sheetFormatPr defaultColWidth="14.0703125" defaultRowHeight="12.8" customHeight="false" zeroHeight="false" outlineLevelRow="0" outlineLevelCol="0"/>
  <cols>
    <col collapsed="false" customWidth="true" hidden="false" outlineLevel="0" max="2" min="2" style="1" width="12.35"/>
    <col collapsed="false" customWidth="true" hidden="false" outlineLevel="0" max="6" min="3" style="1" width="19.71"/>
  </cols>
  <sheetData>
    <row r="2" customFormat="false" ht="12.8" hidden="false" customHeight="false" outlineLevel="0" collapsed="false">
      <c r="B2" s="10" t="s">
        <v>110</v>
      </c>
      <c r="C2" s="4" t="s">
        <v>124</v>
      </c>
      <c r="D2" s="4" t="s">
        <v>125</v>
      </c>
      <c r="E2" s="4" t="s">
        <v>126</v>
      </c>
      <c r="F2" s="1" t="s">
        <v>111</v>
      </c>
    </row>
    <row r="3" customFormat="false" ht="12.8" hidden="false" customHeight="false" outlineLevel="0" collapsed="false">
      <c r="B3" s="7" t="n">
        <v>1</v>
      </c>
      <c r="C3" s="1" t="n">
        <v>0.726604447396414</v>
      </c>
      <c r="D3" s="1" t="n">
        <v>0.745618221992126</v>
      </c>
      <c r="E3" s="1" t="n">
        <v>0.724099533668665</v>
      </c>
      <c r="F3" s="1" t="n">
        <v>0.726072655509358</v>
      </c>
    </row>
    <row r="4" customFormat="false" ht="12.8" hidden="false" customHeight="false" outlineLevel="0" collapsed="false">
      <c r="B4" s="7" t="n">
        <v>2</v>
      </c>
      <c r="C4" s="1" t="n">
        <v>0.708959829151642</v>
      </c>
      <c r="D4" s="1" t="n">
        <v>0.731965622484604</v>
      </c>
      <c r="E4" s="1" t="n">
        <v>0.690405786547539</v>
      </c>
      <c r="F4" s="1" t="n">
        <v>0.682663698456168</v>
      </c>
    </row>
    <row r="5" customFormat="false" ht="12.8" hidden="false" customHeight="false" outlineLevel="0" collapsed="false">
      <c r="B5" s="7" t="n">
        <v>3</v>
      </c>
      <c r="C5" s="1" t="n">
        <v>0.656250791088745</v>
      </c>
      <c r="D5" s="1" t="n">
        <v>0.556349411838211</v>
      </c>
      <c r="E5" s="1" t="n">
        <v>0.664424091143094</v>
      </c>
      <c r="F5" s="1" t="n">
        <v>0.615224454504257</v>
      </c>
    </row>
    <row r="6" customFormat="false" ht="12.8" hidden="false" customHeight="false" outlineLevel="0" collapsed="false">
      <c r="B6" s="7" t="n">
        <v>4</v>
      </c>
      <c r="C6" s="1" t="n">
        <v>0.682480064346605</v>
      </c>
      <c r="D6" s="1" t="n">
        <v>0.746961278269468</v>
      </c>
      <c r="E6" s="1" t="n">
        <v>0.737872088358781</v>
      </c>
      <c r="F6" s="1" t="n">
        <v>0.728618275572537</v>
      </c>
    </row>
    <row r="7" customFormat="false" ht="12.8" hidden="false" customHeight="false" outlineLevel="0" collapsed="false">
      <c r="B7" s="7" t="n">
        <v>5</v>
      </c>
      <c r="C7" s="1" t="n">
        <v>0.750666088952323</v>
      </c>
      <c r="D7" s="1" t="n">
        <v>0.736303129517049</v>
      </c>
      <c r="E7" s="1" t="n">
        <v>0.731664951542418</v>
      </c>
      <c r="F7" s="1" t="n">
        <v>0.688604056934627</v>
      </c>
    </row>
    <row r="8" customFormat="false" ht="12.8" hidden="false" customHeight="false" outlineLevel="0" collapsed="false">
      <c r="B8" s="7" t="n">
        <v>6</v>
      </c>
      <c r="C8" s="1" t="n">
        <v>0.690037613967929</v>
      </c>
      <c r="D8" s="1" t="n">
        <v>0.693060520928815</v>
      </c>
      <c r="E8" s="1" t="n">
        <v>0.72767431707301</v>
      </c>
      <c r="F8" s="1" t="n">
        <v>0.669074893749943</v>
      </c>
    </row>
    <row r="9" customFormat="false" ht="12.8" hidden="false" customHeight="false" outlineLevel="0" collapsed="false">
      <c r="B9" s="7" t="n">
        <v>7</v>
      </c>
      <c r="C9" s="1" t="n">
        <v>0.70889799084929</v>
      </c>
      <c r="D9" s="1" t="n">
        <v>0.748597564255249</v>
      </c>
      <c r="E9" s="1" t="n">
        <v>0.785159172931949</v>
      </c>
      <c r="F9" s="1" t="n">
        <v>0.759372504405003</v>
      </c>
    </row>
    <row r="10" customFormat="false" ht="12.8" hidden="false" customHeight="false" outlineLevel="0" collapsed="false">
      <c r="B10" s="7" t="n">
        <v>8</v>
      </c>
      <c r="C10" s="1" t="n">
        <v>0.685546620467512</v>
      </c>
      <c r="D10" s="1" t="n">
        <v>0.705165938537343</v>
      </c>
      <c r="E10" s="1" t="n">
        <v>0.699365933104337</v>
      </c>
      <c r="F10" s="1" t="n">
        <v>0.695828504681874</v>
      </c>
    </row>
    <row r="11" customFormat="false" ht="12.8" hidden="false" customHeight="false" outlineLevel="0" collapsed="false">
      <c r="B11" s="7" t="n">
        <v>9</v>
      </c>
      <c r="C11" s="1" t="n">
        <v>0.727629515141836</v>
      </c>
      <c r="D11" s="1" t="n">
        <v>0.750368716676119</v>
      </c>
      <c r="E11" s="1" t="n">
        <v>0.74686473255493</v>
      </c>
      <c r="F11" s="1" t="n">
        <v>0.779899573323697</v>
      </c>
    </row>
    <row r="12" customFormat="false" ht="12.8" hidden="false" customHeight="false" outlineLevel="0" collapsed="false">
      <c r="B12" s="7" t="n">
        <v>10</v>
      </c>
      <c r="C12" s="1" t="n">
        <v>0.637485514971611</v>
      </c>
      <c r="D12" s="1" t="n">
        <v>0.682432996770851</v>
      </c>
      <c r="E12" s="1" t="n">
        <v>0.68571667055349</v>
      </c>
      <c r="F12" s="1" t="n">
        <v>0.632572298876227</v>
      </c>
    </row>
    <row r="13" customFormat="false" ht="12.8" hidden="false" customHeight="false" outlineLevel="0" collapsed="false">
      <c r="B13" s="7" t="n">
        <v>11</v>
      </c>
      <c r="C13" s="1" t="n">
        <v>0.717989456556699</v>
      </c>
      <c r="D13" s="1" t="n">
        <v>0.72387381443217</v>
      </c>
      <c r="E13" s="1" t="n">
        <v>0.765114909147396</v>
      </c>
      <c r="F13" s="1" t="n">
        <v>0.733064212818954</v>
      </c>
    </row>
    <row r="14" customFormat="false" ht="12.8" hidden="false" customHeight="false" outlineLevel="0" collapsed="false">
      <c r="B14" s="7" t="n">
        <v>12</v>
      </c>
      <c r="C14" s="1" t="n">
        <v>0.770906292597071</v>
      </c>
      <c r="D14" s="1" t="n">
        <v>0.667701763619203</v>
      </c>
      <c r="E14" s="1" t="n">
        <v>0.736644236479232</v>
      </c>
      <c r="F14" s="1" t="n">
        <v>0.693027541837124</v>
      </c>
    </row>
    <row r="15" customFormat="false" ht="12.8" hidden="false" customHeight="false" outlineLevel="0" collapsed="false">
      <c r="B15" s="7" t="n">
        <v>13</v>
      </c>
      <c r="C15" s="1" t="n">
        <v>0.709827899363474</v>
      </c>
      <c r="D15" s="1" t="n">
        <v>0.72995268032519</v>
      </c>
      <c r="E15" s="1" t="n">
        <v>0.678666511575506</v>
      </c>
      <c r="F15" s="1" t="n">
        <v>0.704438316359018</v>
      </c>
    </row>
    <row r="16" customFormat="false" ht="12.8" hidden="false" customHeight="false" outlineLevel="0" collapsed="false">
      <c r="B16" s="7" t="n">
        <v>14</v>
      </c>
      <c r="C16" s="1" t="n">
        <v>0.824775999287701</v>
      </c>
      <c r="D16" s="1" t="n">
        <v>0.79516955513513</v>
      </c>
      <c r="E16" s="1" t="n">
        <v>0.800148648147254</v>
      </c>
      <c r="F16" s="1" t="n">
        <v>0.822923799196468</v>
      </c>
    </row>
    <row r="17" customFormat="false" ht="12.8" hidden="false" customHeight="false" outlineLevel="0" collapsed="false">
      <c r="B17" s="7" t="n">
        <v>15</v>
      </c>
      <c r="C17" s="1" t="n">
        <v>0.611331502918536</v>
      </c>
      <c r="D17" s="1" t="n">
        <v>0.641361051891741</v>
      </c>
      <c r="E17" s="1" t="n">
        <v>0.613656437383168</v>
      </c>
      <c r="F17" s="1" t="n">
        <v>0.598856826351013</v>
      </c>
    </row>
    <row r="18" customFormat="false" ht="12.8" hidden="false" customHeight="false" outlineLevel="0" collapsed="false">
      <c r="B18" s="7" t="n">
        <v>16</v>
      </c>
      <c r="C18" s="1" t="n">
        <v>0.743473367956861</v>
      </c>
      <c r="D18" s="1" t="n">
        <v>0.758550116405013</v>
      </c>
      <c r="E18" s="1" t="n">
        <v>0.70191452728509</v>
      </c>
      <c r="F18" s="1" t="n">
        <v>0.745885490309946</v>
      </c>
    </row>
    <row r="19" customFormat="false" ht="12.8" hidden="false" customHeight="false" outlineLevel="0" collapsed="false">
      <c r="B19" s="7" t="n">
        <v>17</v>
      </c>
      <c r="C19" s="1" t="n">
        <v>0.657769103514598</v>
      </c>
      <c r="D19" s="1" t="n">
        <v>0.694176028461883</v>
      </c>
      <c r="E19" s="1" t="n">
        <v>0.696040981259132</v>
      </c>
      <c r="F19" s="1" t="n">
        <v>0.627413040342658</v>
      </c>
    </row>
    <row r="20" customFormat="false" ht="12.8" hidden="false" customHeight="false" outlineLevel="0" collapsed="false">
      <c r="B20" s="7" t="n">
        <v>18</v>
      </c>
      <c r="C20" s="1" t="n">
        <v>0.7336678926738</v>
      </c>
      <c r="D20" s="1" t="n">
        <v>0.753547411776315</v>
      </c>
      <c r="E20" s="1" t="n">
        <v>0.764111372525898</v>
      </c>
      <c r="F20" s="1" t="n">
        <v>0.764724151507591</v>
      </c>
    </row>
    <row r="21" customFormat="false" ht="12.8" hidden="false" customHeight="false" outlineLevel="0" collapsed="false">
      <c r="B21" s="7" t="n">
        <v>19</v>
      </c>
      <c r="C21" s="1" t="n">
        <v>0.664769831999005</v>
      </c>
      <c r="D21" s="1" t="n">
        <v>0.718473139733635</v>
      </c>
      <c r="E21" s="1" t="n">
        <v>0.612949588021736</v>
      </c>
      <c r="F21" s="1" t="n">
        <v>0.665442717582544</v>
      </c>
    </row>
    <row r="22" customFormat="false" ht="12.8" hidden="false" customHeight="false" outlineLevel="0" collapsed="false">
      <c r="B22" s="7" t="n">
        <v>20</v>
      </c>
      <c r="C22" s="1" t="n">
        <v>0.735511761701567</v>
      </c>
      <c r="D22" s="1" t="n">
        <v>0.754538991520845</v>
      </c>
      <c r="E22" s="1" t="n">
        <v>0.761234455225827</v>
      </c>
      <c r="F22" s="1" t="n">
        <v>0.739120010292957</v>
      </c>
    </row>
    <row r="23" customFormat="false" ht="12.8" hidden="false" customHeight="false" outlineLevel="0" collapsed="false">
      <c r="B23" s="7" t="n">
        <v>21</v>
      </c>
      <c r="C23" s="1" t="n">
        <v>0.715466613809298</v>
      </c>
      <c r="D23" s="1" t="n">
        <v>0.71601754844973</v>
      </c>
      <c r="E23" s="1" t="n">
        <v>0.708545748319991</v>
      </c>
      <c r="F23" s="1" t="n">
        <v>0.740855593294062</v>
      </c>
    </row>
    <row r="24" customFormat="false" ht="12.8" hidden="false" customHeight="false" outlineLevel="0" collapsed="false">
      <c r="B24" s="7" t="n">
        <v>22</v>
      </c>
      <c r="C24" s="1" t="n">
        <v>0.70902009513028</v>
      </c>
      <c r="D24" s="1" t="n">
        <v>0.751876513039488</v>
      </c>
      <c r="E24" s="1" t="n">
        <v>0.756069449327172</v>
      </c>
      <c r="F24" s="1" t="n">
        <v>0.724986030339445</v>
      </c>
    </row>
    <row r="25" customFormat="false" ht="12.8" hidden="false" customHeight="false" outlineLevel="0" collapsed="false">
      <c r="B25" s="7" t="n">
        <v>23</v>
      </c>
      <c r="C25" s="1" t="n">
        <v>0.675856447847683</v>
      </c>
      <c r="D25" s="1" t="n">
        <v>0.717330086490848</v>
      </c>
      <c r="E25" s="1" t="n">
        <v>0.671531865451319</v>
      </c>
      <c r="F25" s="1" t="n">
        <v>0.732548067807027</v>
      </c>
    </row>
    <row r="26" customFormat="false" ht="12.8" hidden="false" customHeight="false" outlineLevel="0" collapsed="false">
      <c r="B26" s="7" t="n">
        <v>24</v>
      </c>
      <c r="C26" s="1" t="n">
        <v>0.770886115042279</v>
      </c>
      <c r="D26" s="1" t="n">
        <v>0.810165160416988</v>
      </c>
      <c r="E26" s="1" t="n">
        <v>0.793327292068252</v>
      </c>
      <c r="F26" s="1" t="n">
        <v>0.810905330263776</v>
      </c>
    </row>
    <row r="27" customFormat="false" ht="12.8" hidden="false" customHeight="false" outlineLevel="0" collapsed="false">
      <c r="B27" s="3" t="n">
        <v>25</v>
      </c>
      <c r="C27" s="1" t="n">
        <v>0.769586409524463</v>
      </c>
      <c r="D27" s="1" t="n">
        <v>0.72772399535443</v>
      </c>
      <c r="E27" s="1" t="n">
        <v>0.762254565867078</v>
      </c>
      <c r="F27" s="1" t="n">
        <v>0.7452068576726</v>
      </c>
    </row>
    <row r="30" customFormat="false" ht="12.8" hidden="false" customHeight="false" outlineLevel="0" collapsed="false">
      <c r="H30" s="1" t="s">
        <v>149</v>
      </c>
    </row>
    <row r="31" customFormat="false" ht="12.8" hidden="false" customHeight="false" outlineLevel="0" collapsed="false">
      <c r="A31" s="1" t="s">
        <v>150</v>
      </c>
    </row>
    <row r="32" customFormat="false" ht="12.8" hidden="false" customHeight="false" outlineLevel="0" collapsed="false">
      <c r="C32" s="4" t="s">
        <v>124</v>
      </c>
      <c r="D32" s="4" t="s">
        <v>125</v>
      </c>
      <c r="E32" s="4" t="s">
        <v>126</v>
      </c>
      <c r="F32" s="1" t="s">
        <v>111</v>
      </c>
      <c r="H32" s="4" t="s">
        <v>124</v>
      </c>
      <c r="I32" s="4" t="s">
        <v>125</v>
      </c>
      <c r="J32" s="4" t="s">
        <v>126</v>
      </c>
      <c r="K32" s="1" t="s">
        <v>111</v>
      </c>
    </row>
    <row r="33" customFormat="false" ht="12.8" hidden="false" customHeight="false" outlineLevel="0" collapsed="false">
      <c r="C33" s="1" t="n">
        <f aca="false">C4-C3</f>
        <v>-0.017644618244772</v>
      </c>
      <c r="D33" s="1" t="n">
        <f aca="false">D4-D3</f>
        <v>-0.0136525995075221</v>
      </c>
      <c r="E33" s="1" t="n">
        <f aca="false">E4-E3</f>
        <v>-0.0336937471211259</v>
      </c>
      <c r="F33" s="1" t="n">
        <f aca="false">F4-F3</f>
        <v>-0.0434089570531899</v>
      </c>
      <c r="H33" s="1" t="n">
        <f aca="false">_xlfn.STDEV.S(C33:C56)</f>
        <v>0.0795370020385004</v>
      </c>
      <c r="I33" s="1" t="n">
        <f aca="false">_xlfn.STDEV.S(D33:D56)</f>
        <v>0.0836475979659124</v>
      </c>
      <c r="J33" s="1" t="n">
        <f aca="false">_xlfn.STDEV.S(E33:E56)</f>
        <v>0.0857572307159665</v>
      </c>
      <c r="K33" s="1" t="n">
        <f aca="false">_xlfn.STDEV.S(F33:F56)</f>
        <v>0.09754820390663</v>
      </c>
    </row>
    <row r="34" customFormat="false" ht="12.8" hidden="false" customHeight="false" outlineLevel="0" collapsed="false">
      <c r="C34" s="1" t="n">
        <f aca="false">C5-C4</f>
        <v>-0.0527090380628971</v>
      </c>
      <c r="D34" s="1" t="n">
        <f aca="false">D5-D4</f>
        <v>-0.175616210646393</v>
      </c>
      <c r="E34" s="1" t="n">
        <f aca="false">E5-E4</f>
        <v>-0.0259816954044451</v>
      </c>
      <c r="F34" s="1" t="n">
        <f aca="false">F5-F4</f>
        <v>-0.067439243951911</v>
      </c>
    </row>
    <row r="35" customFormat="false" ht="12.8" hidden="false" customHeight="false" outlineLevel="0" collapsed="false">
      <c r="C35" s="1" t="n">
        <f aca="false">C6-C5</f>
        <v>0.0262292732578601</v>
      </c>
      <c r="D35" s="1" t="n">
        <f aca="false">D6-D5</f>
        <v>0.190611866431257</v>
      </c>
      <c r="E35" s="1" t="n">
        <f aca="false">E6-E5</f>
        <v>0.0734479972156871</v>
      </c>
      <c r="F35" s="1" t="n">
        <f aca="false">F6-F5</f>
        <v>0.11339382106828</v>
      </c>
    </row>
    <row r="36" customFormat="false" ht="12.8" hidden="false" customHeight="false" outlineLevel="0" collapsed="false">
      <c r="C36" s="1" t="n">
        <f aca="false">C7-C6</f>
        <v>0.068186024605718</v>
      </c>
      <c r="D36" s="1" t="n">
        <f aca="false">D7-D6</f>
        <v>-0.010658148752419</v>
      </c>
      <c r="E36" s="1" t="n">
        <f aca="false">E7-E6</f>
        <v>-0.00620713681636309</v>
      </c>
      <c r="F36" s="1" t="n">
        <f aca="false">F7-F6</f>
        <v>-0.04001421863791</v>
      </c>
    </row>
    <row r="37" customFormat="false" ht="12.8" hidden="false" customHeight="false" outlineLevel="0" collapsed="false">
      <c r="C37" s="1" t="n">
        <f aca="false">C8-C7</f>
        <v>-0.0606284749843941</v>
      </c>
      <c r="D37" s="1" t="n">
        <f aca="false">D8-D7</f>
        <v>-0.043242608588234</v>
      </c>
      <c r="E37" s="1" t="n">
        <f aca="false">E8-E7</f>
        <v>-0.00399063446940795</v>
      </c>
      <c r="F37" s="1" t="n">
        <f aca="false">F8-F7</f>
        <v>-0.019529163184684</v>
      </c>
    </row>
    <row r="38" customFormat="false" ht="12.8" hidden="false" customHeight="false" outlineLevel="0" collapsed="false">
      <c r="C38" s="1" t="n">
        <f aca="false">C9-C8</f>
        <v>0.018860376881361</v>
      </c>
      <c r="D38" s="1" t="n">
        <f aca="false">D9-D8</f>
        <v>0.0555370433264341</v>
      </c>
      <c r="E38" s="1" t="n">
        <f aca="false">E9-E8</f>
        <v>0.057484855858939</v>
      </c>
      <c r="F38" s="1" t="n">
        <f aca="false">F9-F8</f>
        <v>0.09029761065506</v>
      </c>
    </row>
    <row r="39" customFormat="false" ht="12.8" hidden="false" customHeight="false" outlineLevel="0" collapsed="false">
      <c r="C39" s="1" t="n">
        <f aca="false">C10-C9</f>
        <v>-0.0233513703817779</v>
      </c>
      <c r="D39" s="1" t="n">
        <f aca="false">D10-D9</f>
        <v>-0.043431625717906</v>
      </c>
      <c r="E39" s="1" t="n">
        <f aca="false">E10-E9</f>
        <v>-0.085793239827612</v>
      </c>
      <c r="F39" s="1" t="n">
        <f aca="false">F10-F9</f>
        <v>-0.0635439997231291</v>
      </c>
    </row>
    <row r="40" customFormat="false" ht="12.8" hidden="false" customHeight="false" outlineLevel="0" collapsed="false">
      <c r="C40" s="1" t="n">
        <f aca="false">C11-C10</f>
        <v>0.042082894674324</v>
      </c>
      <c r="D40" s="1" t="n">
        <f aca="false">D11-D10</f>
        <v>0.045202778138776</v>
      </c>
      <c r="E40" s="1" t="n">
        <f aca="false">E11-E10</f>
        <v>0.047498799450593</v>
      </c>
      <c r="F40" s="1" t="n">
        <f aca="false">F11-F10</f>
        <v>0.084071068641823</v>
      </c>
    </row>
    <row r="41" customFormat="false" ht="12.8" hidden="false" customHeight="false" outlineLevel="0" collapsed="false">
      <c r="C41" s="1" t="n">
        <f aca="false">C12-C11</f>
        <v>-0.0901440001702251</v>
      </c>
      <c r="D41" s="1" t="n">
        <f aca="false">D12-D11</f>
        <v>-0.067935719905268</v>
      </c>
      <c r="E41" s="1" t="n">
        <f aca="false">E12-E11</f>
        <v>-0.0611480620014401</v>
      </c>
      <c r="F41" s="1" t="n">
        <f aca="false">F12-F11</f>
        <v>-0.14732727444747</v>
      </c>
    </row>
    <row r="42" customFormat="false" ht="12.8" hidden="false" customHeight="false" outlineLevel="0" collapsed="false">
      <c r="C42" s="1" t="n">
        <f aca="false">C13-C12</f>
        <v>0.080503941585088</v>
      </c>
      <c r="D42" s="1" t="n">
        <f aca="false">D13-D12</f>
        <v>0.041440817661319</v>
      </c>
      <c r="E42" s="1" t="n">
        <f aca="false">E13-E12</f>
        <v>0.0793982385939061</v>
      </c>
      <c r="F42" s="1" t="n">
        <f aca="false">F13-F12</f>
        <v>0.100491913942727</v>
      </c>
    </row>
    <row r="43" customFormat="false" ht="12.8" hidden="false" customHeight="false" outlineLevel="0" collapsed="false">
      <c r="C43" s="1" t="n">
        <f aca="false">C14-C13</f>
        <v>0.052916836040372</v>
      </c>
      <c r="D43" s="1" t="n">
        <f aca="false">D14-D13</f>
        <v>-0.0561720508129671</v>
      </c>
      <c r="E43" s="1" t="n">
        <f aca="false">E14-E13</f>
        <v>-0.0284706726681639</v>
      </c>
      <c r="F43" s="1" t="n">
        <f aca="false">F14-F13</f>
        <v>-0.04003667098183</v>
      </c>
    </row>
    <row r="44" customFormat="false" ht="12.8" hidden="false" customHeight="false" outlineLevel="0" collapsed="false">
      <c r="C44" s="1" t="n">
        <f aca="false">C15-C14</f>
        <v>-0.061078393233597</v>
      </c>
      <c r="D44" s="1" t="n">
        <f aca="false">D15-D14</f>
        <v>0.062250916705987</v>
      </c>
      <c r="E44" s="1" t="n">
        <f aca="false">E15-E14</f>
        <v>-0.0579777249037261</v>
      </c>
      <c r="F44" s="1" t="n">
        <f aca="false">F15-F14</f>
        <v>0.011410774521894</v>
      </c>
    </row>
    <row r="45" customFormat="false" ht="12.8" hidden="false" customHeight="false" outlineLevel="0" collapsed="false">
      <c r="C45" s="1" t="n">
        <f aca="false">C16-C15</f>
        <v>0.114948099924227</v>
      </c>
      <c r="D45" s="1" t="n">
        <f aca="false">D16-D15</f>
        <v>0.06521687480994</v>
      </c>
      <c r="E45" s="1" t="n">
        <f aca="false">E16-E15</f>
        <v>0.121482136571748</v>
      </c>
      <c r="F45" s="1" t="n">
        <f aca="false">F16-F15</f>
        <v>0.11848548283745</v>
      </c>
    </row>
    <row r="46" customFormat="false" ht="12.8" hidden="false" customHeight="false" outlineLevel="0" collapsed="false">
      <c r="C46" s="1" t="n">
        <f aca="false">C17-C16</f>
        <v>-0.213444496369165</v>
      </c>
      <c r="D46" s="1" t="n">
        <f aca="false">D17-D16</f>
        <v>-0.153808503243389</v>
      </c>
      <c r="E46" s="1" t="n">
        <f aca="false">E17-E16</f>
        <v>-0.186492210764086</v>
      </c>
      <c r="F46" s="1" t="n">
        <f aca="false">F17-F16</f>
        <v>-0.224066972845455</v>
      </c>
    </row>
    <row r="47" customFormat="false" ht="12.8" hidden="false" customHeight="false" outlineLevel="0" collapsed="false">
      <c r="C47" s="1" t="n">
        <f aca="false">C18-C17</f>
        <v>0.132141865038325</v>
      </c>
      <c r="D47" s="1" t="n">
        <f aca="false">D18-D17</f>
        <v>0.117189064513272</v>
      </c>
      <c r="E47" s="1" t="n">
        <f aca="false">E18-E17</f>
        <v>0.088258089901922</v>
      </c>
      <c r="F47" s="1" t="n">
        <f aca="false">F18-F17</f>
        <v>0.147028663958933</v>
      </c>
    </row>
    <row r="48" customFormat="false" ht="12.8" hidden="false" customHeight="false" outlineLevel="0" collapsed="false">
      <c r="C48" s="1" t="n">
        <f aca="false">C19-C18</f>
        <v>-0.085704264442263</v>
      </c>
      <c r="D48" s="1" t="n">
        <f aca="false">D19-D18</f>
        <v>-0.06437408794313</v>
      </c>
      <c r="E48" s="1" t="n">
        <f aca="false">E19-E18</f>
        <v>-0.00587354602595791</v>
      </c>
      <c r="F48" s="1" t="n">
        <f aca="false">F19-F18</f>
        <v>-0.118472449967288</v>
      </c>
    </row>
    <row r="49" customFormat="false" ht="12.8" hidden="false" customHeight="false" outlineLevel="0" collapsed="false">
      <c r="C49" s="1" t="n">
        <f aca="false">C20-C19</f>
        <v>0.0758987891592019</v>
      </c>
      <c r="D49" s="1" t="n">
        <f aca="false">D20-D19</f>
        <v>0.059371383314432</v>
      </c>
      <c r="E49" s="1" t="n">
        <f aca="false">E20-E19</f>
        <v>0.068070391266766</v>
      </c>
      <c r="F49" s="1" t="n">
        <f aca="false">F20-F19</f>
        <v>0.137311111164933</v>
      </c>
    </row>
    <row r="50" customFormat="false" ht="12.8" hidden="false" customHeight="false" outlineLevel="0" collapsed="false">
      <c r="C50" s="1" t="n">
        <f aca="false">C21-C20</f>
        <v>-0.068898060674795</v>
      </c>
      <c r="D50" s="1" t="n">
        <f aca="false">D21-D20</f>
        <v>-0.03507427204268</v>
      </c>
      <c r="E50" s="1" t="n">
        <f aca="false">E21-E20</f>
        <v>-0.151161784504162</v>
      </c>
      <c r="F50" s="1" t="n">
        <f aca="false">F21-F20</f>
        <v>-0.099281433925047</v>
      </c>
    </row>
    <row r="51" customFormat="false" ht="12.8" hidden="false" customHeight="false" outlineLevel="0" collapsed="false">
      <c r="C51" s="1" t="n">
        <f aca="false">C22-C21</f>
        <v>0.070741929702562</v>
      </c>
      <c r="D51" s="1" t="n">
        <f aca="false">D22-D21</f>
        <v>0.03606585178721</v>
      </c>
      <c r="E51" s="1" t="n">
        <f aca="false">E22-E21</f>
        <v>0.148284867204091</v>
      </c>
      <c r="F51" s="1" t="n">
        <f aca="false">F22-F21</f>
        <v>0.073677292710413</v>
      </c>
    </row>
    <row r="52" customFormat="false" ht="12.8" hidden="false" customHeight="false" outlineLevel="0" collapsed="false">
      <c r="C52" s="1" t="n">
        <f aca="false">C23-C22</f>
        <v>-0.020045147892269</v>
      </c>
      <c r="D52" s="1" t="n">
        <f aca="false">D23-D22</f>
        <v>-0.0385214430711151</v>
      </c>
      <c r="E52" s="1" t="n">
        <f aca="false">E23-E22</f>
        <v>-0.0526887069058361</v>
      </c>
      <c r="F52" s="1" t="n">
        <f aca="false">F23-F22</f>
        <v>0.00173558300110499</v>
      </c>
    </row>
    <row r="53" customFormat="false" ht="12.8" hidden="false" customHeight="false" outlineLevel="0" collapsed="false">
      <c r="C53" s="1" t="n">
        <f aca="false">C24-C23</f>
        <v>-0.00644651867901802</v>
      </c>
      <c r="D53" s="1" t="n">
        <f aca="false">D24-D23</f>
        <v>0.035858964589758</v>
      </c>
      <c r="E53" s="1" t="n">
        <f aca="false">E24-E23</f>
        <v>0.0475237010071811</v>
      </c>
      <c r="F53" s="1" t="n">
        <f aca="false">F24-F23</f>
        <v>-0.0158695629546171</v>
      </c>
    </row>
    <row r="54" customFormat="false" ht="12.8" hidden="false" customHeight="false" outlineLevel="0" collapsed="false">
      <c r="C54" s="1" t="n">
        <f aca="false">C25-C24</f>
        <v>-0.033163647282597</v>
      </c>
      <c r="D54" s="1" t="n">
        <f aca="false">D25-D24</f>
        <v>-0.03454642654864</v>
      </c>
      <c r="E54" s="1" t="n">
        <f aca="false">E25-E24</f>
        <v>-0.084537583875853</v>
      </c>
      <c r="F54" s="1" t="n">
        <f aca="false">F25-F24</f>
        <v>0.007562037467582</v>
      </c>
    </row>
    <row r="55" customFormat="false" ht="12.8" hidden="false" customHeight="false" outlineLevel="0" collapsed="false">
      <c r="C55" s="1" t="n">
        <f aca="false">C26-C25</f>
        <v>0.0950296671945961</v>
      </c>
      <c r="D55" s="1" t="n">
        <f aca="false">D26-D25</f>
        <v>0.0928350739261401</v>
      </c>
      <c r="E55" s="1" t="n">
        <f aca="false">E26-E25</f>
        <v>0.121795426616933</v>
      </c>
      <c r="F55" s="1" t="n">
        <f aca="false">F26-F25</f>
        <v>0.078357262456749</v>
      </c>
    </row>
    <row r="56" customFormat="false" ht="12.8" hidden="false" customHeight="false" outlineLevel="0" collapsed="false">
      <c r="C56" s="1" t="n">
        <f aca="false">C27-C26</f>
        <v>-0.001299705517816</v>
      </c>
      <c r="D56" s="1" t="n">
        <f aca="false">D27-D26</f>
        <v>-0.0824411650625581</v>
      </c>
      <c r="E56" s="1" t="n">
        <f aca="false">E27-E26</f>
        <v>-0.0310727262011741</v>
      </c>
      <c r="F56" s="1" t="n">
        <f aca="false">F27-F26</f>
        <v>-0.065698472591176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LibreOffice/26.2.2.2$Linux_X86_64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2026-02-11T16:41:08Z</dcterms:created>
  <dc:creator>openpyxl</dc:creator>
  <dc:description/>
  <dc:language>en-US</dc:language>
  <cp:lastModifiedBy/>
  <dcterms:modified xsi:type="dcterms:W3CDTF">2026-04-29T16:46:54Z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
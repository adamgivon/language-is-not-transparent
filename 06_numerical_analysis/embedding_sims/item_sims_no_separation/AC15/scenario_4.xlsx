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en4_ac15" sheetId="1" state="visible" r:id="rId3"/>
    <sheet name="notes" sheetId="2" state="visible" r:id="rId4"/>
    <sheet name="actdel_prompt_response" sheetId="3" state="visible" r:id="rId5"/>
    <sheet name="inter_system_stats" sheetId="4" state="visible" r:id="rId6"/>
    <sheet name="delta si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<sst xmlns="http://schemas.openxmlformats.org/spreadsheetml/2006/main" count="1001" uniqueCount="148">
  <si>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</si>
  <si>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</si>
  <si>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</si>
  <si>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</si>
  <si>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</si>
  <si>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</si>
  <si>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</si>
  <si>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</si>
  <si>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</si>
  <si>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</si>
  <si>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</si>
  <si>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</si>
  <si>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</si>
  <si>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average</t>
  </si>
  <si>
    <t xml:space="preserve">correlation weights / activation delta</t>
  </si>
  <si>
    <t xml:space="preserve">p</t>
  </si>
  <si>
    <t xml:space="preserve">1dd2a4d9-93a4-4e86-b9aa-29d39510a6b4</t>
  </si>
  <si>
    <t xml:space="preserve">cmjcmn5de000qzc7e7yayzu6e</t>
  </si>
  <si>
    <t xml:space="preserve">cmjcmo69c0017zc7er2t20j86</t>
  </si>
  <si>
    <t xml:space="preserve">test_ac15</t>
  </si>
  <si>
    <t xml:space="preserve">scenario_4</t>
  </si>
  <si>
    <t xml:space="preserve">practicality_and_feasibility</t>
  </si>
  <si>
    <t xml:space="preserve">mathematics_computer_science_engineering</t>
  </si>
  <si>
    <t xml:space="preserve">imagination_and_possibility</t>
  </si>
  <si>
    <t xml:space="preserve">identity</t>
  </si>
  <si>
    <t xml:space="preserve">metaphorical_scaffolding</t>
  </si>
  <si>
    <t xml:space="preserve">truth_and_fact</t>
  </si>
  <si>
    <t xml:space="preserve">add942e5-787b-4707-823f-28c69c101556</t>
  </si>
  <si>
    <t xml:space="preserve">cmjcmoqhn001bzc7e8gce6ia4</t>
  </si>
  <si>
    <t xml:space="preserve">cmjcmpecp001szc7ehemr30k1</t>
  </si>
  <si>
    <t xml:space="preserve">affective_interface</t>
  </si>
  <si>
    <t xml:space="preserve">5e5c7b0a-92cc-499f-9579-0ec4cb5fa239</t>
  </si>
  <si>
    <t xml:space="preserve">cmjcmq6xt001wzc7eiljp5p38</t>
  </si>
  <si>
    <t xml:space="preserve">cmjcmqt5f002dzc7e0zmqww7d</t>
  </si>
  <si>
    <t xml:space="preserve">sovereignty</t>
  </si>
  <si>
    <t xml:space="preserve">95cf596c-20bd-426f-ac1a-007fe180198c</t>
  </si>
  <si>
    <t xml:space="preserve">cmjcmr0by002hzc7e5opvhbl9</t>
  </si>
  <si>
    <t xml:space="preserve">cmjcmroim002yzc7ebpfaz8sw</t>
  </si>
  <si>
    <t xml:space="preserve">f83aa698-b1b7-4232-850c-2661ddfa1a59</t>
  </si>
  <si>
    <t xml:space="preserve">cmjcmsay50032zc7edzpf7oqu</t>
  </si>
  <si>
    <t xml:space="preserve">cmjcmsqrk003jzc7epqc0m82a</t>
  </si>
  <si>
    <t xml:space="preserve">freedom_and_limitations</t>
  </si>
  <si>
    <t xml:space="preserve">science</t>
  </si>
  <si>
    <t xml:space="preserve">bd381352-6b1d-4d8b-b931-9b0ab983674e</t>
  </si>
  <si>
    <t xml:space="preserve">cmjcmt136003nzc7eq0egw5bg</t>
  </si>
  <si>
    <t xml:space="preserve">cmjcmtu4r0044zc7e3ofdgtef</t>
  </si>
  <si>
    <t xml:space="preserve">0b617553-91cc-48e4-aad8-cebafad53dfe</t>
  </si>
  <si>
    <t xml:space="preserve">cmjcmu8eo0048zc7ewoc5lop9</t>
  </si>
  <si>
    <t xml:space="preserve">cmjcmuw8o004pzc7exyndav8f</t>
  </si>
  <si>
    <t xml:space="preserve">ea5ccdf0-d0fc-4742-af5f-ba1fd816b356</t>
  </si>
  <si>
    <t xml:space="preserve">cmjcmvj15004tzc7e7qhqwc9m</t>
  </si>
  <si>
    <t xml:space="preserve">cmjcmw5nx005azc7eortfhfsk</t>
  </si>
  <si>
    <t xml:space="preserve">1a455dac-460e-4815-8d33-86814c74aa89</t>
  </si>
  <si>
    <t xml:space="preserve">cmjcmx4rq005ezc7eqnqwbyu4</t>
  </si>
  <si>
    <t xml:space="preserve">cmjcmy1he005vzc7eskdmjy3e</t>
  </si>
  <si>
    <t xml:space="preserve">temporal_dynamics</t>
  </si>
  <si>
    <t xml:space="preserve">288d7b84-79a6-4b8d-8c1b-c7004a50a530</t>
  </si>
  <si>
    <t xml:space="preserve">cmjcmyc2o005zzc7e4x0rfv23</t>
  </si>
  <si>
    <t xml:space="preserve">cmjcmylc9006gzc7e5d03mnfg</t>
  </si>
  <si>
    <t xml:space="preserve">1cbfc57f-b5b9-48b7-b856-bb5bc7e673c0</t>
  </si>
  <si>
    <t xml:space="preserve">cmjcmyzpw006kzc7ewbuxs3qf</t>
  </si>
  <si>
    <t xml:space="preserve">cmjcmzogj0071zc7e2vulo2cf</t>
  </si>
  <si>
    <t xml:space="preserve">5deafd5d-4458-48f3-8eef-0cf49cfeaa51</t>
  </si>
  <si>
    <t xml:space="preserve">cmjcmztz70075zc7eugg4y79e</t>
  </si>
  <si>
    <t xml:space="preserve">cmjcn0d9t007mzc7e03pjpaur</t>
  </si>
  <si>
    <t xml:space="preserve">fab8a98a-758b-4d59-9b90-0eb580d1050f</t>
  </si>
  <si>
    <t xml:space="preserve">cmjcn0s1t007qzc7e54ikhe4i</t>
  </si>
  <si>
    <t xml:space="preserve">cmjcn1rk60087zc7etn97318k</t>
  </si>
  <si>
    <t xml:space="preserve">9594a64b-eb97-4505-a452-fae397fc2614</t>
  </si>
  <si>
    <t xml:space="preserve">cmjcn27p3008bzc7e6adquo24</t>
  </si>
  <si>
    <t xml:space="preserve">cmjcn2wd4008szc7ec5ptlwr4</t>
  </si>
  <si>
    <t xml:space="preserve">d8f181f0-133e-409b-a18d-1e364cf956ad</t>
  </si>
  <si>
    <t xml:space="preserve">cmjcn3blf008wzc7e2xys29zz</t>
  </si>
  <si>
    <t xml:space="preserve">cmjcn44mz009dzc7ehz2vobc9</t>
  </si>
  <si>
    <t xml:space="preserve">1ab03795-1b36-4892-a72a-2de1ea5057c3</t>
  </si>
  <si>
    <t xml:space="preserve">cmjcn4mgt009hzc7e8ohy0rhd</t>
  </si>
  <si>
    <t xml:space="preserve">cmjcn59tn009yzc7exib708k0</t>
  </si>
  <si>
    <t xml:space="preserve">cf0a90e1-ca30-4f90-b96c-5256b5b57d9d</t>
  </si>
  <si>
    <t xml:space="preserve">cmjcn5i3700a2zc7egy4d42b5</t>
  </si>
  <si>
    <t xml:space="preserve">cmjcn5v5g00ajzc7e2fet35l2</t>
  </si>
  <si>
    <t xml:space="preserve">7803ee0b-1d7d-4cc2-91fb-0394bf528834</t>
  </si>
  <si>
    <t xml:space="preserve">cmjcn64yd00anzc7eyepvdife</t>
  </si>
  <si>
    <t xml:space="preserve">cmjcn6x6100b4zc7eexwzuz8j</t>
  </si>
  <si>
    <t xml:space="preserve">20cbde7b-eefa-47d8-8abe-2f719f9b12a9</t>
  </si>
  <si>
    <t xml:space="preserve">cmjcn7isq00b8zc7et1gdn8ns</t>
  </si>
  <si>
    <t xml:space="preserve">cmjcn82g100bpzc7euwopqm47</t>
  </si>
  <si>
    <t xml:space="preserve">35be329f-4089-4edb-a1a9-8828ef82e01c</t>
  </si>
  <si>
    <t xml:space="preserve">cmjcn8b6r00btzc7ekr91p739</t>
  </si>
  <si>
    <t xml:space="preserve">cmjcn8t3l00cazc7en56v4uxw</t>
  </si>
  <si>
    <t xml:space="preserve">8a95f8a9-6555-4d90-86af-8ea03e42c495</t>
  </si>
  <si>
    <t xml:space="preserve">cmjcn917v00cezc7e8zzafxwm</t>
  </si>
  <si>
    <t xml:space="preserve">cmjcn9lmc00cvzc7edho2sr9l</t>
  </si>
  <si>
    <t xml:space="preserve">60b25645-ca74-4a6b-8e90-b85d5ee93312</t>
  </si>
  <si>
    <t xml:space="preserve">cmjcnabz200czzc7eyb9zu2mt</t>
  </si>
  <si>
    <t xml:space="preserve">cmjcnau9x00dgzc7eac41g7pq</t>
  </si>
  <si>
    <t xml:space="preserve">a3830482-3690-4193-b6e9-d858575ac82a</t>
  </si>
  <si>
    <t xml:space="preserve">cmjcnb16g00dkzc7eph261x9f</t>
  </si>
  <si>
    <t xml:space="preserve">cmjcnbl3300e1zc7e3rrl8u2k</t>
  </si>
  <si>
    <t xml:space="preserve">cc6be370-5145-442e-a628-bf918685a8bf</t>
  </si>
  <si>
    <t xml:space="preserve">cmjcnbwok00e5zc7envxt0cac</t>
  </si>
  <si>
    <t xml:space="preserve">cmjcncdri00emzc7eciit6imm</t>
  </si>
  <si>
    <t xml:space="preserve">9fcca688-86ed-4128-8f1b-feee7d030f5b</t>
  </si>
  <si>
    <t xml:space="preserve">cmjcncs8z00eqzc7e4e8bgseh</t>
  </si>
  <si>
    <t xml:space="preserve">cmjcnd3oi00f7zc7exonh7e43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</si>
  <si>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</si>
  <si>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</si>
  <si>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</si>
  <si>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</si>
  <si>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</si>
  <si>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</si>
  <si>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</t>
  </si>
  <si>
    <t xml:space="preserve">control</t>
  </si>
  <si>
    <t xml:space="preserve">std.ac15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</si>
  <si>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</si>
  <si>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</si>
  <si>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</si>
  <si>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</si>
  <si>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</si>
  <si>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Scenario</t>
  </si>
  <si>
    <t xml:space="preserve">Average Control</t>
  </si>
  <si>
    <t xml:space="preserve">General</t>
  </si>
  <si>
    <t xml:space="preserve">ac15p</t>
  </si>
  <si>
    <t xml:space="preserve">hybrid</t>
  </si>
  <si>
    <t xml:space="preserve">hybsem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</si>
  <si>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</si>
  <si>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</si>
  <si>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</si>
  <si>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</si>
  <si>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</si>
  <si>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</si>
  <si>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</si>
  <si>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</si>
  <si>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</si>
  <si>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</si>
  <si>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Column 4</t>
  </si>
  <si>
    <t xml:space="preserve">Column 5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</si>
  <si>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</si>
  <si>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</si>
  <si>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</si>
  <si>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</si>
  <si>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</si>
  <si>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</si>
  <si>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</si>
  <si>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</si>
  <si>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</si>
  <si>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</si>
  <si>
    <t xml:space="preserve">deltas:</t>
  </si>
  <si>
    <t xml:space="preserve">stdev</t>
  </si>
</sst>
</file>

<file path=xl/styles.xml><?xml version="1.0" encoding="utf-8"?>
<styleSheet xmlns="http://schemas.openxmlformats.org/spreadsheetml/2006/main">
  <numFmts count="3">
    <numFmt numFmtId="164" formatCode="0.000000;[RED]\-0.000000"/>
    <numFmt numFmtId="165" formatCode="0;[RED]\-0"/>
    <numFmt numFmtId="166" formatCode="General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7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0.000000;[RED]\-0.000000</c:formatCode>
                <c:ptCount val="25"/>
                <c:pt idx="0">
                  <c:v>0.772576965117032</c:v>
                </c:pt>
                <c:pt idx="1">
                  <c:v>0.680958683894326</c:v>
                </c:pt>
                <c:pt idx="2">
                  <c:v>0.771466699638375</c:v>
                </c:pt>
                <c:pt idx="3">
                  <c:v>0.746803660511214</c:v>
                </c:pt>
                <c:pt idx="4">
                  <c:v>0.737980761526421</c:v>
                </c:pt>
                <c:pt idx="5">
                  <c:v>0.69925918619606</c:v>
                </c:pt>
                <c:pt idx="6">
                  <c:v>0.735139079782349</c:v>
                </c:pt>
                <c:pt idx="7">
                  <c:v>0.694325378562934</c:v>
                </c:pt>
                <c:pt idx="8">
                  <c:v>0.754953984633863</c:v>
                </c:pt>
                <c:pt idx="9">
                  <c:v>0.780131624434666</c:v>
                </c:pt>
                <c:pt idx="10">
                  <c:v>0.741371410255129</c:v>
                </c:pt>
                <c:pt idx="11">
                  <c:v>0.752430545440722</c:v>
                </c:pt>
                <c:pt idx="12">
                  <c:v>0.658697413887377</c:v>
                </c:pt>
                <c:pt idx="13">
                  <c:v>0.81359317699571</c:v>
                </c:pt>
                <c:pt idx="14">
                  <c:v>0.75883989362582</c:v>
                </c:pt>
                <c:pt idx="15">
                  <c:v>0.648642368618967</c:v>
                </c:pt>
                <c:pt idx="16">
                  <c:v>0.779837433316897</c:v>
                </c:pt>
                <c:pt idx="17">
                  <c:v>0.572089176041892</c:v>
                </c:pt>
                <c:pt idx="18">
                  <c:v>0.763968943789392</c:v>
                </c:pt>
                <c:pt idx="19">
                  <c:v>0.624304602360581</c:v>
                </c:pt>
                <c:pt idx="20">
                  <c:v>0.659893215109107</c:v>
                </c:pt>
                <c:pt idx="21">
                  <c:v>0.689045902907548</c:v>
                </c:pt>
                <c:pt idx="22">
                  <c:v>0.746678659986203</c:v>
                </c:pt>
                <c:pt idx="23">
                  <c:v>0.795702405915841</c:v>
                </c:pt>
                <c:pt idx="24">
                  <c:v>0.71620655928944</c:v>
                </c:pt>
              </c:numCache>
            </c:numRef>
          </c:yVal>
          <c:smooth val="0"/>
        </c:ser>
        <c:axId val="24145594"/>
        <c:axId val="20795623"/>
      </c:scatterChart>
      <c:valAx>
        <c:axId val="241455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795623"/>
        <c:crosses val="autoZero"/>
        <c:crossBetween val="midCat"/>
      </c:valAx>
      <c:valAx>
        <c:axId val="207956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414559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inter_system_stats!$B$34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inter_system_stats!$B$35:$B$59</c:f>
              <c:numCache>
                <c:formatCode>0.000000;[RED]\-0.000000</c:formatCode>
                <c:ptCount val="25"/>
                <c:pt idx="0">
                  <c:v>0.782943341241136</c:v>
                </c:pt>
                <c:pt idx="1">
                  <c:v>0.72616787514369</c:v>
                </c:pt>
                <c:pt idx="2">
                  <c:v>0.762384843564062</c:v>
                </c:pt>
                <c:pt idx="3">
                  <c:v>0.703293963123335</c:v>
                </c:pt>
                <c:pt idx="4">
                  <c:v>0.729690702766813</c:v>
                </c:pt>
                <c:pt idx="5">
                  <c:v>0.752076127330993</c:v>
                </c:pt>
                <c:pt idx="6">
                  <c:v>0.811772559323065</c:v>
                </c:pt>
                <c:pt idx="7">
                  <c:v>0.718329243982785</c:v>
                </c:pt>
                <c:pt idx="8">
                  <c:v>0.750898507673254</c:v>
                </c:pt>
                <c:pt idx="9">
                  <c:v>0.712335367494729</c:v>
                </c:pt>
                <c:pt idx="10">
                  <c:v>0.77617002993037</c:v>
                </c:pt>
                <c:pt idx="11">
                  <c:v>0.770418007906113</c:v>
                </c:pt>
                <c:pt idx="12">
                  <c:v>0.687181835442281</c:v>
                </c:pt>
                <c:pt idx="13">
                  <c:v>0.81381364646817</c:v>
                </c:pt>
                <c:pt idx="14">
                  <c:v>0.78154173279719</c:v>
                </c:pt>
                <c:pt idx="15">
                  <c:v>0.679973262997131</c:v>
                </c:pt>
                <c:pt idx="16">
                  <c:v>0.804539740964931</c:v>
                </c:pt>
                <c:pt idx="17">
                  <c:v>0.575788380252692</c:v>
                </c:pt>
                <c:pt idx="18">
                  <c:v>0.808293439836629</c:v>
                </c:pt>
                <c:pt idx="19">
                  <c:v>0.631098700615939</c:v>
                </c:pt>
                <c:pt idx="20">
                  <c:v>0.723521456744309</c:v>
                </c:pt>
                <c:pt idx="21">
                  <c:v>0.667636089020494</c:v>
                </c:pt>
                <c:pt idx="22">
                  <c:v>0.729145136576755</c:v>
                </c:pt>
                <c:pt idx="23">
                  <c:v>0.768909591560026</c:v>
                </c:pt>
                <c:pt idx="24">
                  <c:v>0.694335761858647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inter_system_stats!$C$34</c:f>
              <c:strCache>
                <c:ptCount val="1"/>
                <c:pt idx="0">
                  <c:v>hybrid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inter_system_stats!$C$35:$C$59</c:f>
              <c:numCache>
                <c:formatCode>0.000000;[RED]\-0.000000</c:formatCode>
                <c:ptCount val="25"/>
                <c:pt idx="0">
                  <c:v>0.796298769133089</c:v>
                </c:pt>
                <c:pt idx="1">
                  <c:v>0.739558549996658</c:v>
                </c:pt>
                <c:pt idx="2">
                  <c:v>0.739544897773702</c:v>
                </c:pt>
                <c:pt idx="3">
                  <c:v>0.743029391601184</c:v>
                </c:pt>
                <c:pt idx="4">
                  <c:v>0.725502046355756</c:v>
                </c:pt>
                <c:pt idx="5">
                  <c:v>0.74855685096753</c:v>
                </c:pt>
                <c:pt idx="6">
                  <c:v>0.734138467252432</c:v>
                </c:pt>
                <c:pt idx="7">
                  <c:v>0.668701341307149</c:v>
                </c:pt>
                <c:pt idx="8">
                  <c:v>0.786880036989265</c:v>
                </c:pt>
                <c:pt idx="9">
                  <c:v>0.80994865911664</c:v>
                </c:pt>
                <c:pt idx="10">
                  <c:v>0.690171891444283</c:v>
                </c:pt>
                <c:pt idx="11">
                  <c:v>0.749125347769507</c:v>
                </c:pt>
                <c:pt idx="12">
                  <c:v>0.677480782400821</c:v>
                </c:pt>
                <c:pt idx="13">
                  <c:v>0.792919049793641</c:v>
                </c:pt>
                <c:pt idx="14">
                  <c:v>0.800884410132615</c:v>
                </c:pt>
                <c:pt idx="15">
                  <c:v>0.645399166816264</c:v>
                </c:pt>
                <c:pt idx="16">
                  <c:v>0.773016224974695</c:v>
                </c:pt>
                <c:pt idx="17">
                  <c:v>0.583045440245199</c:v>
                </c:pt>
                <c:pt idx="18">
                  <c:v>0.795481203585273</c:v>
                </c:pt>
                <c:pt idx="19">
                  <c:v>0.652507768318238</c:v>
                </c:pt>
                <c:pt idx="20">
                  <c:v>0.613427900388095</c:v>
                </c:pt>
                <c:pt idx="21">
                  <c:v>0.656999422835807</c:v>
                </c:pt>
                <c:pt idx="22">
                  <c:v>0.779435389877834</c:v>
                </c:pt>
                <c:pt idx="23">
                  <c:v>0.795672429591334</c:v>
                </c:pt>
                <c:pt idx="24">
                  <c:v>0.695664418244049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inter_system_stats!$D$34</c:f>
              <c:strCache>
                <c:ptCount val="1"/>
                <c:pt idx="0">
                  <c:v>hybsem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inter_system_stats!$D$35:$D$59</c:f>
              <c:numCache>
                <c:formatCode>0.000000;[RED]\-0.000000</c:formatCode>
                <c:ptCount val="25"/>
                <c:pt idx="0">
                  <c:v>0.802858105976441</c:v>
                </c:pt>
                <c:pt idx="1">
                  <c:v>0.723830722485877</c:v>
                </c:pt>
                <c:pt idx="2">
                  <c:v>0.720096923539769</c:v>
                </c:pt>
                <c:pt idx="3">
                  <c:v>0.744563645027981</c:v>
                </c:pt>
                <c:pt idx="4">
                  <c:v>0.67114667173556</c:v>
                </c:pt>
                <c:pt idx="5">
                  <c:v>0.740698706746506</c:v>
                </c:pt>
                <c:pt idx="6">
                  <c:v>0.773772436552573</c:v>
                </c:pt>
                <c:pt idx="7">
                  <c:v>0.669131289751387</c:v>
                </c:pt>
                <c:pt idx="8">
                  <c:v>0.76936357772334</c:v>
                </c:pt>
                <c:pt idx="9">
                  <c:v>0.795393600984621</c:v>
                </c:pt>
                <c:pt idx="10">
                  <c:v>0.750280009673556</c:v>
                </c:pt>
                <c:pt idx="11">
                  <c:v>0.791112051354437</c:v>
                </c:pt>
                <c:pt idx="12">
                  <c:v>0.684900718861709</c:v>
                </c:pt>
                <c:pt idx="13">
                  <c:v>0.81196411023973</c:v>
                </c:pt>
                <c:pt idx="14">
                  <c:v>0.793315446960825</c:v>
                </c:pt>
                <c:pt idx="15">
                  <c:v>0.677622741253111</c:v>
                </c:pt>
                <c:pt idx="16">
                  <c:v>0.775090547764</c:v>
                </c:pt>
                <c:pt idx="17">
                  <c:v>0.608910195539342</c:v>
                </c:pt>
                <c:pt idx="18">
                  <c:v>0.816339008116756</c:v>
                </c:pt>
                <c:pt idx="19">
                  <c:v>0.675912922731983</c:v>
                </c:pt>
                <c:pt idx="20">
                  <c:v>0.748125732839088</c:v>
                </c:pt>
                <c:pt idx="21">
                  <c:v>0.66618628675421</c:v>
                </c:pt>
                <c:pt idx="22">
                  <c:v>0.757211026307674</c:v>
                </c:pt>
                <c:pt idx="23">
                  <c:v>0.74821765393045</c:v>
                </c:pt>
                <c:pt idx="24">
                  <c:v>0.748732725295858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inter_system_stats!$E$34</c:f>
              <c:strCache>
                <c:ptCount val="1"/>
                <c:pt idx="0">
                  <c:v>ac15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triangle"/>
            <c:size val="8"/>
            <c:spPr>
              <a:solidFill>
                <a:srgbClr val="579D1C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inter_system_stats!$E$35:$E$59</c:f>
              <c:numCache>
                <c:formatCode>0.000000;[RED]\-0.000000</c:formatCode>
                <c:ptCount val="25"/>
                <c:pt idx="0">
                  <c:v>0.772576965117032</c:v>
                </c:pt>
                <c:pt idx="1">
                  <c:v>0.680958683894326</c:v>
                </c:pt>
                <c:pt idx="2">
                  <c:v>0.771466699638375</c:v>
                </c:pt>
                <c:pt idx="3">
                  <c:v>0.746803660511214</c:v>
                </c:pt>
                <c:pt idx="4">
                  <c:v>0.737980761526421</c:v>
                </c:pt>
                <c:pt idx="5">
                  <c:v>0.69925918619606</c:v>
                </c:pt>
                <c:pt idx="6">
                  <c:v>0.735139079782349</c:v>
                </c:pt>
                <c:pt idx="7">
                  <c:v>0.694325378562934</c:v>
                </c:pt>
                <c:pt idx="8">
                  <c:v>0.754953984633863</c:v>
                </c:pt>
                <c:pt idx="9">
                  <c:v>0.780131624434666</c:v>
                </c:pt>
                <c:pt idx="10">
                  <c:v>0.741371410255129</c:v>
                </c:pt>
                <c:pt idx="11">
                  <c:v>0.752430545440722</c:v>
                </c:pt>
                <c:pt idx="12">
                  <c:v>0.658697413887377</c:v>
                </c:pt>
                <c:pt idx="13">
                  <c:v>0.81359317699571</c:v>
                </c:pt>
                <c:pt idx="14">
                  <c:v>0.75883989362582</c:v>
                </c:pt>
                <c:pt idx="15">
                  <c:v>0.648642368618967</c:v>
                </c:pt>
                <c:pt idx="16">
                  <c:v>0.779837433316897</c:v>
                </c:pt>
                <c:pt idx="17">
                  <c:v>0.572089176041892</c:v>
                </c:pt>
                <c:pt idx="18">
                  <c:v>0.763968943789392</c:v>
                </c:pt>
                <c:pt idx="19">
                  <c:v>0.624304602360581</c:v>
                </c:pt>
                <c:pt idx="20">
                  <c:v>0.659893215109107</c:v>
                </c:pt>
                <c:pt idx="21">
                  <c:v>0.689045902907548</c:v>
                </c:pt>
                <c:pt idx="22">
                  <c:v>0.746678659986203</c:v>
                </c:pt>
                <c:pt idx="23">
                  <c:v>0.795702405915841</c:v>
                </c:pt>
                <c:pt idx="24">
                  <c:v>0.71620655928944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inter_system_stats!$F$34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triangle"/>
            <c:size val="8"/>
            <c:spPr>
              <a:solidFill>
                <a:srgbClr val="7E002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inter_system_stats!$A$35:$A$59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inter_system_stats!$F$35:$F$59</c:f>
              <c:numCache>
                <c:formatCode>0.000000;[RED]\-0.000000</c:formatCode>
                <c:ptCount val="25"/>
                <c:pt idx="0">
                  <c:v>0.820620353982448</c:v>
                </c:pt>
                <c:pt idx="1">
                  <c:v>0.677850780887192</c:v>
                </c:pt>
                <c:pt idx="2">
                  <c:v>0.677952285287439</c:v>
                </c:pt>
                <c:pt idx="3">
                  <c:v>0.661353165434158</c:v>
                </c:pt>
                <c:pt idx="4">
                  <c:v>0.593991040073877</c:v>
                </c:pt>
                <c:pt idx="5">
                  <c:v>0.608645298556612</c:v>
                </c:pt>
                <c:pt idx="6">
                  <c:v>0.574818823501635</c:v>
                </c:pt>
                <c:pt idx="7">
                  <c:v>0.522250049685591</c:v>
                </c:pt>
                <c:pt idx="8">
                  <c:v>0.763435630553549</c:v>
                </c:pt>
                <c:pt idx="9">
                  <c:v>0.690362904205506</c:v>
                </c:pt>
                <c:pt idx="10">
                  <c:v>0.669616305799924</c:v>
                </c:pt>
                <c:pt idx="11">
                  <c:v>0.750515577717232</c:v>
                </c:pt>
                <c:pt idx="12">
                  <c:v>0.709222966214306</c:v>
                </c:pt>
                <c:pt idx="13">
                  <c:v>0.526107506619162</c:v>
                </c:pt>
                <c:pt idx="14">
                  <c:v>0.568606644280233</c:v>
                </c:pt>
                <c:pt idx="15">
                  <c:v>0.495011712365797</c:v>
                </c:pt>
                <c:pt idx="16">
                  <c:v>0.672995011679508</c:v>
                </c:pt>
                <c:pt idx="17">
                  <c:v>0.637832242885566</c:v>
                </c:pt>
                <c:pt idx="18">
                  <c:v>0.677348078562667</c:v>
                </c:pt>
                <c:pt idx="19">
                  <c:v>0.675947228908232</c:v>
                </c:pt>
                <c:pt idx="20">
                  <c:v>0.610943329404948</c:v>
                </c:pt>
                <c:pt idx="21">
                  <c:v>0.750091190228488</c:v>
                </c:pt>
                <c:pt idx="22">
                  <c:v>0.569584008433566</c:v>
                </c:pt>
                <c:pt idx="23">
                  <c:v>0.517039819129782</c:v>
                </c:pt>
                <c:pt idx="24">
                  <c:v>0.629656577085868</c:v>
                </c:pt>
              </c:numCache>
            </c:numRef>
          </c:yVal>
          <c:smooth val="0"/>
        </c:ser>
        <c:axId val="86101744"/>
        <c:axId val="38154344"/>
      </c:scatterChart>
      <c:valAx>
        <c:axId val="86101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154344"/>
        <c:crosses val="autoZero"/>
        <c:crossBetween val="midCat"/>
      </c:valAx>
      <c:valAx>
        <c:axId val="381543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;[RED]\-0.00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10174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702360</xdr:colOff>
      <xdr:row>4</xdr:row>
      <xdr:rowOff>360</xdr:rowOff>
    </xdr:from>
    <xdr:to>
      <xdr:col>9</xdr:col>
      <xdr:colOff>716040</xdr:colOff>
      <xdr:row>23</xdr:row>
      <xdr:rowOff>150120</xdr:rowOff>
    </xdr:to>
    <xdr:graphicFrame>
      <xdr:nvGraphicFramePr>
        <xdr:cNvPr id="1" name=""/>
        <xdr:cNvGraphicFramePr/>
      </xdr:nvGraphicFramePr>
      <xdr:xfrm>
        <a:off x="2138760" y="650520"/>
        <a:ext cx="504108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32760</xdr:colOff>
      <xdr:row>48</xdr:row>
      <xdr:rowOff>146880</xdr:rowOff>
    </xdr:from>
    <xdr:to>
      <xdr:col>11</xdr:col>
      <xdr:colOff>549360</xdr:colOff>
      <xdr:row>68</xdr:row>
      <xdr:rowOff>137160</xdr:rowOff>
    </xdr:to>
    <xdr:graphicFrame>
      <xdr:nvGraphicFramePr>
        <xdr:cNvPr id="2" name=""/>
        <xdr:cNvGraphicFramePr/>
      </xdr:nvGraphicFramePr>
      <xdr:xfrm>
        <a:off x="6777000" y="7949880"/>
        <a:ext cx="508860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2.63"/>
    <col collapsed="false" customWidth="true" hidden="false" outlineLevel="0" max="5" min="5" style="1" width="13.09"/>
    <col collapsed="false" customWidth="false" hidden="false" outlineLevel="0" max="6" min="6" style="2" width="10.5"/>
    <col collapsed="false" customWidth="true" hidden="false" outlineLevel="0" max="7" min="7" style="3" width="41.39"/>
    <col collapsed="false" customWidth="true" hidden="false" outlineLevel="0" max="8" min="8" style="1" width="9.48"/>
    <col collapsed="false" customWidth="true" hidden="false" outlineLevel="0" max="9" min="9" style="1" width="10.99"/>
    <col collapsed="false" customWidth="true" hidden="false" outlineLevel="0" max="10" min="10" style="1" width="12.63"/>
    <col collapsed="false" customWidth="true" hidden="false" outlineLevel="0" max="12" min="11" style="1" width="18.79"/>
    <col collapsed="false" customWidth="true" hidden="false" outlineLevel="0" max="16" min="16" style="1" width="14.09"/>
    <col collapsed="false" customWidth="true" hidden="false" outlineLevel="0" max="18" min="17" style="1" width="19.98"/>
    <col collapsed="false" customWidth="true" hidden="false" outlineLevel="0" max="19" min="19" style="1" width="18.9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4" t="s">
        <v>12</v>
      </c>
      <c r="Q1" s="4" t="s">
        <v>13</v>
      </c>
      <c r="R1" s="4" t="s">
        <v>14</v>
      </c>
      <c r="S1" s="5" t="s">
        <v>15</v>
      </c>
    </row>
    <row r="2" customFormat="false" ht="15" hidden="false" customHeight="false" outlineLevel="0" collapsed="false">
      <c r="P2" s="6" t="n">
        <f aca="false">COUNT(K3:K152)</f>
        <v>150</v>
      </c>
      <c r="Q2" s="6" t="n">
        <f aca="false">AVERAGE(K3:K152)</f>
        <v>0.055958910898612</v>
      </c>
      <c r="R2" s="6" t="n">
        <f aca="false">CORREL(H3:H152,K3:K152)</f>
        <v>0.0340705437434528</v>
      </c>
      <c r="S2" s="6" t="n">
        <v>0.68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2" t="n">
        <v>0</v>
      </c>
      <c r="G3" s="3" t="s">
        <v>21</v>
      </c>
      <c r="H3" s="1" t="n">
        <v>0.2132</v>
      </c>
      <c r="I3" s="1" t="n">
        <v>0.381873862612659</v>
      </c>
      <c r="J3" s="1" t="n">
        <v>0.464286202272899</v>
      </c>
      <c r="K3" s="1" t="n">
        <f aca="false">J3-I3</f>
        <v>0.08241233966024</v>
      </c>
      <c r="L3" s="1" t="n">
        <v>0.772576965117032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2" t="n">
        <v>0</v>
      </c>
      <c r="G4" s="3" t="s">
        <v>22</v>
      </c>
      <c r="H4" s="1" t="n">
        <v>0.191</v>
      </c>
      <c r="I4" s="1" t="n">
        <v>0.342122053055438</v>
      </c>
      <c r="J4" s="1" t="n">
        <v>0.407517783516851</v>
      </c>
      <c r="K4" s="1" t="n">
        <f aca="false">J4-I4</f>
        <v>0.065395730461413</v>
      </c>
      <c r="L4" s="1" t="n">
        <v>0.772576965117032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2" t="n">
        <v>0</v>
      </c>
      <c r="G5" s="3" t="s">
        <v>23</v>
      </c>
      <c r="H5" s="1" t="n">
        <v>0.1783</v>
      </c>
      <c r="I5" s="1" t="n">
        <v>0.319465504115719</v>
      </c>
      <c r="J5" s="1" t="n">
        <v>0.394015359210402</v>
      </c>
      <c r="K5" s="1" t="n">
        <f aca="false">J5-I5</f>
        <v>0.074549855094683</v>
      </c>
      <c r="L5" s="1" t="n">
        <v>0.772576965117032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2" t="n">
        <v>0</v>
      </c>
      <c r="G6" s="3" t="s">
        <v>24</v>
      </c>
      <c r="H6" s="1" t="n">
        <v>0.1622</v>
      </c>
      <c r="I6" s="1" t="n">
        <v>0.290524084952206</v>
      </c>
      <c r="J6" s="1" t="n">
        <v>0.332729076014232</v>
      </c>
      <c r="K6" s="1" t="n">
        <f aca="false">J6-I6</f>
        <v>0.042204991062026</v>
      </c>
      <c r="L6" s="1" t="n">
        <v>0.772576965117032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2" t="n">
        <v>0</v>
      </c>
      <c r="G7" s="3" t="s">
        <v>25</v>
      </c>
      <c r="H7" s="1" t="n">
        <v>0.1553</v>
      </c>
      <c r="I7" s="1" t="n">
        <v>0.278261151738282</v>
      </c>
      <c r="J7" s="1" t="n">
        <v>0.360868247985641</v>
      </c>
      <c r="K7" s="1" t="n">
        <f aca="false">J7-I7</f>
        <v>0.082607096247359</v>
      </c>
      <c r="L7" s="1" t="n">
        <v>0.772576965117032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2" t="n">
        <v>0</v>
      </c>
      <c r="G8" s="3" t="s">
        <v>26</v>
      </c>
      <c r="H8" s="1" t="n">
        <v>0.1</v>
      </c>
      <c r="I8" s="1" t="n">
        <v>0.232970079634157</v>
      </c>
      <c r="J8" s="1" t="n">
        <v>0.306671915256113</v>
      </c>
      <c r="K8" s="1" t="n">
        <f aca="false">J8-I8</f>
        <v>0.073701835621956</v>
      </c>
      <c r="L8" s="1" t="n">
        <v>0.772576965117032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2" t="n">
        <v>2</v>
      </c>
      <c r="G9" s="3" t="s">
        <v>21</v>
      </c>
      <c r="H9" s="1" t="n">
        <v>0.2164</v>
      </c>
      <c r="I9" s="1" t="n">
        <v>0.427890924435393</v>
      </c>
      <c r="J9" s="1" t="n">
        <v>0.409623402029986</v>
      </c>
      <c r="K9" s="1" t="n">
        <f aca="false">J9-I9</f>
        <v>-0.018267522405407</v>
      </c>
      <c r="L9" s="1" t="n">
        <v>0.680958683894326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2" t="n">
        <v>2</v>
      </c>
      <c r="G10" s="3" t="s">
        <v>22</v>
      </c>
      <c r="H10" s="1" t="n">
        <v>0.1772</v>
      </c>
      <c r="I10" s="1" t="n">
        <v>0.350256111854136</v>
      </c>
      <c r="J10" s="1" t="n">
        <v>0.369618350482805</v>
      </c>
      <c r="K10" s="1" t="n">
        <f aca="false">J10-I10</f>
        <v>0.019362238628669</v>
      </c>
      <c r="L10" s="1" t="n">
        <v>0.680958683894326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2" t="n">
        <v>2</v>
      </c>
      <c r="G11" s="3" t="s">
        <v>23</v>
      </c>
      <c r="H11" s="1" t="n">
        <v>0.1767</v>
      </c>
      <c r="I11" s="1" t="n">
        <v>0.349280309110961</v>
      </c>
      <c r="J11" s="1" t="n">
        <v>0.33783698474527</v>
      </c>
      <c r="K11" s="1" t="n">
        <f aca="false">J11-I11</f>
        <v>-0.011443324365691</v>
      </c>
      <c r="L11" s="1" t="n">
        <v>0.680958683894326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2" t="n">
        <v>2</v>
      </c>
      <c r="G12" s="3" t="s">
        <v>30</v>
      </c>
      <c r="H12" s="1" t="n">
        <v>0.165</v>
      </c>
      <c r="I12" s="1" t="n">
        <v>0.326186952192216</v>
      </c>
      <c r="J12" s="1" t="n">
        <v>0.376153997305156</v>
      </c>
      <c r="K12" s="1" t="n">
        <f aca="false">J12-I12</f>
        <v>0.04996704511294</v>
      </c>
      <c r="L12" s="1" t="n">
        <v>0.680958683894326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2" t="n">
        <v>2</v>
      </c>
      <c r="G13" s="3" t="s">
        <v>25</v>
      </c>
      <c r="H13" s="1" t="n">
        <v>0.1647</v>
      </c>
      <c r="I13" s="1" t="n">
        <v>0.325688276087247</v>
      </c>
      <c r="J13" s="1" t="n">
        <v>0.324335536677122</v>
      </c>
      <c r="K13" s="1" t="n">
        <f aca="false">J13-I13</f>
        <v>-0.00135273941012498</v>
      </c>
      <c r="L13" s="1" t="n">
        <v>0.680958683894326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2" t="n">
        <v>2</v>
      </c>
      <c r="G14" s="3" t="s">
        <v>26</v>
      </c>
      <c r="H14" s="1" t="n">
        <v>0.1</v>
      </c>
      <c r="I14" s="1" t="n">
        <v>0.31289025222723</v>
      </c>
      <c r="J14" s="1" t="n">
        <v>0.286334247336407</v>
      </c>
      <c r="K14" s="1" t="n">
        <f aca="false">J14-I14</f>
        <v>-0.026556004890823</v>
      </c>
      <c r="L14" s="1" t="n">
        <v>0.680958683894326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2" t="n">
        <v>4</v>
      </c>
      <c r="G15" s="3" t="s">
        <v>21</v>
      </c>
      <c r="H15" s="1" t="n">
        <v>0.2034</v>
      </c>
      <c r="I15" s="1" t="n">
        <v>0.337346866919783</v>
      </c>
      <c r="J15" s="1" t="n">
        <v>0.41177967280811</v>
      </c>
      <c r="K15" s="1" t="n">
        <f aca="false">J15-I15</f>
        <v>0.074432805888327</v>
      </c>
      <c r="L15" s="1" t="n">
        <v>0.771466699638375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2" t="n">
        <v>4</v>
      </c>
      <c r="G16" s="3" t="s">
        <v>34</v>
      </c>
      <c r="H16" s="1" t="n">
        <v>0.1946</v>
      </c>
      <c r="I16" s="1" t="n">
        <v>0.322670288539993</v>
      </c>
      <c r="J16" s="1" t="n">
        <v>0.35975845422</v>
      </c>
      <c r="K16" s="1" t="n">
        <f aca="false">J16-I16</f>
        <v>0.037088165680007</v>
      </c>
      <c r="L16" s="1" t="n">
        <v>0.771466699638375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2" t="n">
        <v>4</v>
      </c>
      <c r="G17" s="3" t="s">
        <v>23</v>
      </c>
      <c r="H17" s="1" t="n">
        <v>0.1736</v>
      </c>
      <c r="I17" s="1" t="n">
        <v>0.287856083999449</v>
      </c>
      <c r="J17" s="1" t="n">
        <v>0.380895032282133</v>
      </c>
      <c r="K17" s="1" t="n">
        <f aca="false">J17-I17</f>
        <v>0.093038948282684</v>
      </c>
      <c r="L17" s="1" t="n">
        <v>0.771466699638375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2" t="n">
        <v>4</v>
      </c>
      <c r="G18" s="3" t="s">
        <v>30</v>
      </c>
      <c r="H18" s="1" t="n">
        <v>0.1705</v>
      </c>
      <c r="I18" s="1" t="n">
        <v>0.282702819261763</v>
      </c>
      <c r="J18" s="1" t="n">
        <v>0.361451493691476</v>
      </c>
      <c r="K18" s="1" t="n">
        <f aca="false">J18-I18</f>
        <v>0.078748674429713</v>
      </c>
      <c r="L18" s="1" t="n">
        <v>0.771466699638375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2" t="n">
        <v>4</v>
      </c>
      <c r="G19" s="3" t="s">
        <v>22</v>
      </c>
      <c r="H19" s="1" t="n">
        <v>0.1579</v>
      </c>
      <c r="I19" s="1" t="n">
        <v>0.261830416615273</v>
      </c>
      <c r="J19" s="1" t="n">
        <v>0.354551815746068</v>
      </c>
      <c r="K19" s="1" t="n">
        <f aca="false">J19-I19</f>
        <v>0.092721399130795</v>
      </c>
      <c r="L19" s="1" t="n">
        <v>0.771466699638375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2" t="n">
        <v>4</v>
      </c>
      <c r="G20" s="3" t="s">
        <v>26</v>
      </c>
      <c r="H20" s="1" t="n">
        <v>0.1</v>
      </c>
      <c r="I20" s="1" t="n">
        <v>0.21441675970832</v>
      </c>
      <c r="J20" s="1" t="n">
        <v>0.288903856511473</v>
      </c>
      <c r="K20" s="1" t="n">
        <f aca="false">J20-I20</f>
        <v>0.074487096803153</v>
      </c>
      <c r="L20" s="1" t="n">
        <v>0.771466699638375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2" t="n">
        <v>6</v>
      </c>
      <c r="G21" s="3" t="s">
        <v>21</v>
      </c>
      <c r="H21" s="1" t="n">
        <v>0.1956</v>
      </c>
      <c r="I21" s="1" t="n">
        <v>0.391241047523269</v>
      </c>
      <c r="J21" s="1" t="n">
        <v>0.445494265933178</v>
      </c>
      <c r="K21" s="1" t="n">
        <f aca="false">J21-I21</f>
        <v>0.054253218409909</v>
      </c>
      <c r="L21" s="1" t="n">
        <v>0.746803660511214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2" t="n">
        <v>6</v>
      </c>
      <c r="G22" s="3" t="s">
        <v>22</v>
      </c>
      <c r="H22" s="1" t="n">
        <v>0.1792</v>
      </c>
      <c r="I22" s="1" t="n">
        <v>0.358459201831843</v>
      </c>
      <c r="J22" s="1" t="n">
        <v>0.371312747779029</v>
      </c>
      <c r="K22" s="1" t="n">
        <f aca="false">J22-I22</f>
        <v>0.012853545947186</v>
      </c>
      <c r="L22" s="1" t="n">
        <v>0.746803660511214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2" t="n">
        <v>6</v>
      </c>
      <c r="G23" s="3" t="s">
        <v>23</v>
      </c>
      <c r="H23" s="1" t="n">
        <v>0.1775</v>
      </c>
      <c r="I23" s="1" t="n">
        <v>0.354918558542774</v>
      </c>
      <c r="J23" s="1" t="n">
        <v>0.369905734327777</v>
      </c>
      <c r="K23" s="1" t="n">
        <f aca="false">J23-I23</f>
        <v>0.014987175785003</v>
      </c>
      <c r="L23" s="1" t="n">
        <v>0.746803660511214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2" t="n">
        <v>6</v>
      </c>
      <c r="G24" s="3" t="s">
        <v>24</v>
      </c>
      <c r="H24" s="1" t="n">
        <v>0.1748</v>
      </c>
      <c r="I24" s="1" t="n">
        <v>0.349574408261624</v>
      </c>
      <c r="J24" s="1" t="n">
        <v>0.336704386204311</v>
      </c>
      <c r="K24" s="1" t="n">
        <f aca="false">J24-I24</f>
        <v>-0.012870022057313</v>
      </c>
      <c r="L24" s="1" t="n">
        <v>0.746803660511214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2" t="n">
        <v>6</v>
      </c>
      <c r="G25" s="3" t="s">
        <v>30</v>
      </c>
      <c r="H25" s="1" t="n">
        <v>0.1729</v>
      </c>
      <c r="I25" s="1" t="n">
        <v>0.345866655329012</v>
      </c>
      <c r="J25" s="1" t="n">
        <v>0.366020527380401</v>
      </c>
      <c r="K25" s="1" t="n">
        <f aca="false">J25-I25</f>
        <v>0.020153872051389</v>
      </c>
      <c r="L25" s="1" t="n">
        <v>0.746803660511214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2" t="n">
        <v>6</v>
      </c>
      <c r="G26" s="3" t="s">
        <v>26</v>
      </c>
      <c r="H26" s="1" t="n">
        <v>0.1</v>
      </c>
      <c r="I26" s="1" t="n">
        <v>0.276923225126766</v>
      </c>
      <c r="J26" s="1" t="n">
        <v>0.292641322002935</v>
      </c>
      <c r="K26" s="1" t="n">
        <f aca="false">J26-I26</f>
        <v>0.015718096876169</v>
      </c>
      <c r="L26" s="1" t="n">
        <v>0.746803660511214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19</v>
      </c>
      <c r="E27" s="1" t="s">
        <v>20</v>
      </c>
      <c r="F27" s="2" t="n">
        <v>8</v>
      </c>
      <c r="G27" s="3" t="s">
        <v>21</v>
      </c>
      <c r="H27" s="1" t="n">
        <v>0.2239</v>
      </c>
      <c r="I27" s="1" t="n">
        <v>0.416273952662571</v>
      </c>
      <c r="J27" s="1" t="n">
        <v>0.486653273684805</v>
      </c>
      <c r="K27" s="1" t="n">
        <f aca="false">J27-I27</f>
        <v>0.070379321022234</v>
      </c>
      <c r="L27" s="1" t="n">
        <v>0.737980761526421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1" t="s">
        <v>19</v>
      </c>
      <c r="E28" s="1" t="s">
        <v>20</v>
      </c>
      <c r="F28" s="2" t="n">
        <v>8</v>
      </c>
      <c r="G28" s="3" t="s">
        <v>22</v>
      </c>
      <c r="H28" s="1" t="n">
        <v>0.1777</v>
      </c>
      <c r="I28" s="1" t="n">
        <v>0.330340721888287</v>
      </c>
      <c r="J28" s="1" t="n">
        <v>0.403805186282159</v>
      </c>
      <c r="K28" s="1" t="n">
        <f aca="false">J28-I28</f>
        <v>0.073464464393872</v>
      </c>
      <c r="L28" s="1" t="n">
        <v>0.737980761526421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1" t="s">
        <v>19</v>
      </c>
      <c r="E29" s="1" t="s">
        <v>20</v>
      </c>
      <c r="F29" s="2" t="n">
        <v>8</v>
      </c>
      <c r="G29" s="3" t="s">
        <v>23</v>
      </c>
      <c r="H29" s="1" t="n">
        <v>0.1708</v>
      </c>
      <c r="I29" s="1" t="n">
        <v>0.317493739462231</v>
      </c>
      <c r="J29" s="1" t="n">
        <v>0.376112677356545</v>
      </c>
      <c r="K29" s="1" t="n">
        <f aca="false">J29-I29</f>
        <v>0.0586189378943141</v>
      </c>
      <c r="L29" s="1" t="n">
        <v>0.737980761526421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19</v>
      </c>
      <c r="E30" s="1" t="s">
        <v>20</v>
      </c>
      <c r="F30" s="2" t="n">
        <v>8</v>
      </c>
      <c r="G30" s="3" t="s">
        <v>41</v>
      </c>
      <c r="H30" s="1" t="n">
        <v>0.1645</v>
      </c>
      <c r="I30" s="1" t="n">
        <v>0.305755371854115</v>
      </c>
      <c r="J30" s="1" t="n">
        <v>0.326576491558646</v>
      </c>
      <c r="K30" s="1" t="n">
        <f aca="false">J30-I30</f>
        <v>0.020821119704531</v>
      </c>
      <c r="L30" s="1" t="n">
        <v>0.737980761526421</v>
      </c>
    </row>
    <row r="31" customFormat="false" ht="15" hidden="false" customHeight="false" outlineLevel="0" collapsed="false">
      <c r="A31" s="1" t="s">
        <v>38</v>
      </c>
      <c r="B31" s="1" t="s">
        <v>39</v>
      </c>
      <c r="C31" s="1" t="s">
        <v>40</v>
      </c>
      <c r="D31" s="1" t="s">
        <v>19</v>
      </c>
      <c r="E31" s="1" t="s">
        <v>20</v>
      </c>
      <c r="F31" s="2" t="n">
        <v>8</v>
      </c>
      <c r="G31" s="3" t="s">
        <v>42</v>
      </c>
      <c r="H31" s="1" t="n">
        <v>0.163</v>
      </c>
      <c r="I31" s="1" t="n">
        <v>0.303075577241687</v>
      </c>
      <c r="J31" s="1" t="n">
        <v>0.368375689175348</v>
      </c>
      <c r="K31" s="1" t="n">
        <f aca="false">J31-I31</f>
        <v>0.065300111933661</v>
      </c>
      <c r="L31" s="1" t="n">
        <v>0.737980761526421</v>
      </c>
    </row>
    <row r="32" customFormat="false" ht="15" hidden="false" customHeight="false" outlineLevel="0" collapsed="false">
      <c r="A32" s="1" t="s">
        <v>38</v>
      </c>
      <c r="B32" s="1" t="s">
        <v>39</v>
      </c>
      <c r="C32" s="1" t="s">
        <v>40</v>
      </c>
      <c r="D32" s="1" t="s">
        <v>19</v>
      </c>
      <c r="E32" s="1" t="s">
        <v>20</v>
      </c>
      <c r="F32" s="2" t="n">
        <v>8</v>
      </c>
      <c r="G32" s="3" t="s">
        <v>26</v>
      </c>
      <c r="H32" s="1" t="n">
        <v>0.1</v>
      </c>
      <c r="I32" s="1" t="n">
        <v>0.253130878407128</v>
      </c>
      <c r="J32" s="1" t="n">
        <v>0.299218050664641</v>
      </c>
      <c r="K32" s="1" t="n">
        <f aca="false">J32-I32</f>
        <v>0.046087172257513</v>
      </c>
      <c r="L32" s="1" t="n">
        <v>0.737980761526421</v>
      </c>
    </row>
    <row r="33" customFormat="false" ht="15" hidden="false" customHeight="false" outlineLevel="0" collapsed="false">
      <c r="A33" s="1" t="s">
        <v>43</v>
      </c>
      <c r="B33" s="1" t="s">
        <v>44</v>
      </c>
      <c r="C33" s="1" t="s">
        <v>45</v>
      </c>
      <c r="D33" s="1" t="s">
        <v>19</v>
      </c>
      <c r="E33" s="1" t="s">
        <v>20</v>
      </c>
      <c r="F33" s="2" t="n">
        <v>10</v>
      </c>
      <c r="G33" s="3" t="s">
        <v>21</v>
      </c>
      <c r="H33" s="1" t="n">
        <v>0.2186</v>
      </c>
      <c r="I33" s="1" t="n">
        <v>0.382900691845346</v>
      </c>
      <c r="J33" s="1" t="n">
        <v>0.489702879506499</v>
      </c>
      <c r="K33" s="1" t="n">
        <f aca="false">J33-I33</f>
        <v>0.106802187661153</v>
      </c>
      <c r="L33" s="1" t="n">
        <v>0.69925918619606</v>
      </c>
    </row>
    <row r="34" customFormat="false" ht="15" hidden="false" customHeight="false" outlineLevel="0" collapsed="false">
      <c r="A34" s="1" t="s">
        <v>43</v>
      </c>
      <c r="B34" s="1" t="s">
        <v>44</v>
      </c>
      <c r="C34" s="1" t="s">
        <v>45</v>
      </c>
      <c r="D34" s="1" t="s">
        <v>19</v>
      </c>
      <c r="E34" s="1" t="s">
        <v>20</v>
      </c>
      <c r="F34" s="2" t="n">
        <v>10</v>
      </c>
      <c r="G34" s="3" t="s">
        <v>22</v>
      </c>
      <c r="H34" s="1" t="n">
        <v>0.1819</v>
      </c>
      <c r="I34" s="1" t="n">
        <v>0.318670984910896</v>
      </c>
      <c r="J34" s="1" t="n">
        <v>0.432297616326667</v>
      </c>
      <c r="K34" s="1" t="n">
        <f aca="false">J34-I34</f>
        <v>0.113626631415771</v>
      </c>
      <c r="L34" s="1" t="n">
        <v>0.69925918619606</v>
      </c>
    </row>
    <row r="35" customFormat="false" ht="15" hidden="false" customHeight="false" outlineLevel="0" collapsed="false">
      <c r="A35" s="1" t="s">
        <v>43</v>
      </c>
      <c r="B35" s="1" t="s">
        <v>44</v>
      </c>
      <c r="C35" s="1" t="s">
        <v>45</v>
      </c>
      <c r="D35" s="1" t="s">
        <v>19</v>
      </c>
      <c r="E35" s="1" t="s">
        <v>20</v>
      </c>
      <c r="F35" s="2" t="n">
        <v>10</v>
      </c>
      <c r="G35" s="3" t="s">
        <v>30</v>
      </c>
      <c r="H35" s="1" t="n">
        <v>0.1726</v>
      </c>
      <c r="I35" s="1" t="n">
        <v>0.302324819329175</v>
      </c>
      <c r="J35" s="1" t="n">
        <v>0.429395685186572</v>
      </c>
      <c r="K35" s="1" t="n">
        <f aca="false">J35-I35</f>
        <v>0.127070865857397</v>
      </c>
      <c r="L35" s="1" t="n">
        <v>0.69925918619606</v>
      </c>
    </row>
    <row r="36" customFormat="false" ht="15" hidden="false" customHeight="false" outlineLevel="0" collapsed="false">
      <c r="A36" s="1" t="s">
        <v>43</v>
      </c>
      <c r="B36" s="1" t="s">
        <v>44</v>
      </c>
      <c r="C36" s="1" t="s">
        <v>45</v>
      </c>
      <c r="D36" s="1" t="s">
        <v>19</v>
      </c>
      <c r="E36" s="1" t="s">
        <v>20</v>
      </c>
      <c r="F36" s="2" t="n">
        <v>10</v>
      </c>
      <c r="G36" s="3" t="s">
        <v>42</v>
      </c>
      <c r="H36" s="1" t="n">
        <v>0.1673</v>
      </c>
      <c r="I36" s="1" t="n">
        <v>0.292996262332621</v>
      </c>
      <c r="J36" s="1" t="n">
        <v>0.384181061641999</v>
      </c>
      <c r="K36" s="1" t="n">
        <f aca="false">J36-I36</f>
        <v>0.091184799309378</v>
      </c>
      <c r="L36" s="1" t="n">
        <v>0.69925918619606</v>
      </c>
    </row>
    <row r="37" customFormat="false" ht="15" hidden="false" customHeight="false" outlineLevel="0" collapsed="false">
      <c r="A37" s="1" t="s">
        <v>43</v>
      </c>
      <c r="B37" s="1" t="s">
        <v>44</v>
      </c>
      <c r="C37" s="1" t="s">
        <v>45</v>
      </c>
      <c r="D37" s="1" t="s">
        <v>19</v>
      </c>
      <c r="E37" s="1" t="s">
        <v>20</v>
      </c>
      <c r="F37" s="2" t="n">
        <v>10</v>
      </c>
      <c r="G37" s="3" t="s">
        <v>34</v>
      </c>
      <c r="H37" s="1" t="n">
        <v>0.1596</v>
      </c>
      <c r="I37" s="1" t="n">
        <v>0.279644353414292</v>
      </c>
      <c r="J37" s="1" t="n">
        <v>0.404242492526962</v>
      </c>
      <c r="K37" s="1" t="n">
        <f aca="false">J37-I37</f>
        <v>0.12459813911267</v>
      </c>
      <c r="L37" s="1" t="n">
        <v>0.69925918619606</v>
      </c>
    </row>
    <row r="38" customFormat="false" ht="15" hidden="false" customHeight="false" outlineLevel="0" collapsed="false">
      <c r="A38" s="1" t="s">
        <v>43</v>
      </c>
      <c r="B38" s="1" t="s">
        <v>44</v>
      </c>
      <c r="C38" s="1" t="s">
        <v>45</v>
      </c>
      <c r="D38" s="1" t="s">
        <v>19</v>
      </c>
      <c r="E38" s="1" t="s">
        <v>20</v>
      </c>
      <c r="F38" s="2" t="n">
        <v>10</v>
      </c>
      <c r="G38" s="3" t="s">
        <v>26</v>
      </c>
      <c r="H38" s="1" t="n">
        <v>0.1</v>
      </c>
      <c r="I38" s="1" t="n">
        <v>0.241014989087876</v>
      </c>
      <c r="J38" s="1" t="n">
        <v>0.341601495751236</v>
      </c>
      <c r="K38" s="1" t="n">
        <f aca="false">J38-I38</f>
        <v>0.10058650666336</v>
      </c>
      <c r="L38" s="1" t="n">
        <v>0.69925918619606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19</v>
      </c>
      <c r="E39" s="1" t="s">
        <v>20</v>
      </c>
      <c r="F39" s="2" t="n">
        <v>12</v>
      </c>
      <c r="G39" s="3" t="s">
        <v>21</v>
      </c>
      <c r="H39" s="1" t="n">
        <v>0.2105</v>
      </c>
      <c r="I39" s="1" t="n">
        <v>0.378857665640652</v>
      </c>
      <c r="J39" s="1" t="n">
        <v>0.461713042262342</v>
      </c>
      <c r="K39" s="1" t="n">
        <f aca="false">J39-I39</f>
        <v>0.08285537662169</v>
      </c>
      <c r="L39" s="1" t="n">
        <v>0.735139079782349</v>
      </c>
    </row>
    <row r="40" customFormat="false" ht="15" hidden="false" customHeight="false" outlineLevel="0" collapsed="false">
      <c r="A40" s="1" t="s">
        <v>46</v>
      </c>
      <c r="B40" s="1" t="s">
        <v>47</v>
      </c>
      <c r="C40" s="1" t="s">
        <v>48</v>
      </c>
      <c r="D40" s="1" t="s">
        <v>19</v>
      </c>
      <c r="E40" s="1" t="s">
        <v>20</v>
      </c>
      <c r="F40" s="2" t="n">
        <v>12</v>
      </c>
      <c r="G40" s="3" t="s">
        <v>30</v>
      </c>
      <c r="H40" s="1" t="n">
        <v>0.1755</v>
      </c>
      <c r="I40" s="1" t="n">
        <v>0.315859900067279</v>
      </c>
      <c r="J40" s="1" t="n">
        <v>0.40833997134599</v>
      </c>
      <c r="K40" s="1" t="n">
        <f aca="false">J40-I40</f>
        <v>0.092480071278711</v>
      </c>
      <c r="L40" s="1" t="n">
        <v>0.735139079782349</v>
      </c>
    </row>
    <row r="41" customFormat="false" ht="15" hidden="false" customHeight="false" outlineLevel="0" collapsed="false">
      <c r="A41" s="1" t="s">
        <v>46</v>
      </c>
      <c r="B41" s="1" t="s">
        <v>47</v>
      </c>
      <c r="C41" s="1" t="s">
        <v>48</v>
      </c>
      <c r="D41" s="1" t="s">
        <v>19</v>
      </c>
      <c r="E41" s="1" t="s">
        <v>20</v>
      </c>
      <c r="F41" s="2" t="n">
        <v>12</v>
      </c>
      <c r="G41" s="3" t="s">
        <v>22</v>
      </c>
      <c r="H41" s="1" t="n">
        <v>0.1755</v>
      </c>
      <c r="I41" s="1" t="n">
        <v>0.315983553343532</v>
      </c>
      <c r="J41" s="1" t="n">
        <v>0.391444035562581</v>
      </c>
      <c r="K41" s="1" t="n">
        <f aca="false">J41-I41</f>
        <v>0.075460482219049</v>
      </c>
      <c r="L41" s="1" t="n">
        <v>0.735139079782349</v>
      </c>
    </row>
    <row r="42" customFormat="false" ht="15" hidden="false" customHeight="false" outlineLevel="0" collapsed="false">
      <c r="A42" s="1" t="s">
        <v>46</v>
      </c>
      <c r="B42" s="1" t="s">
        <v>47</v>
      </c>
      <c r="C42" s="1" t="s">
        <v>48</v>
      </c>
      <c r="D42" s="1" t="s">
        <v>19</v>
      </c>
      <c r="E42" s="1" t="s">
        <v>20</v>
      </c>
      <c r="F42" s="2" t="n">
        <v>12</v>
      </c>
      <c r="G42" s="3" t="s">
        <v>23</v>
      </c>
      <c r="H42" s="1" t="n">
        <v>0.1722</v>
      </c>
      <c r="I42" s="1" t="n">
        <v>0.309977808320255</v>
      </c>
      <c r="J42" s="1" t="n">
        <v>0.415251337521022</v>
      </c>
      <c r="K42" s="1" t="n">
        <f aca="false">J42-I42</f>
        <v>0.105273529200767</v>
      </c>
      <c r="L42" s="1" t="n">
        <v>0.735139079782349</v>
      </c>
    </row>
    <row r="43" customFormat="false" ht="15" hidden="false" customHeight="false" outlineLevel="0" collapsed="false">
      <c r="A43" s="1" t="s">
        <v>46</v>
      </c>
      <c r="B43" s="1" t="s">
        <v>47</v>
      </c>
      <c r="C43" s="1" t="s">
        <v>48</v>
      </c>
      <c r="D43" s="1" t="s">
        <v>19</v>
      </c>
      <c r="E43" s="1" t="s">
        <v>20</v>
      </c>
      <c r="F43" s="2" t="n">
        <v>12</v>
      </c>
      <c r="G43" s="3" t="s">
        <v>34</v>
      </c>
      <c r="H43" s="1" t="n">
        <v>0.1663</v>
      </c>
      <c r="I43" s="1" t="n">
        <v>0.299434998805987</v>
      </c>
      <c r="J43" s="1" t="n">
        <v>0.373306649356241</v>
      </c>
      <c r="K43" s="1" t="n">
        <f aca="false">J43-I43</f>
        <v>0.073871650550254</v>
      </c>
      <c r="L43" s="1" t="n">
        <v>0.735139079782349</v>
      </c>
    </row>
    <row r="44" customFormat="false" ht="15" hidden="false" customHeight="false" outlineLevel="0" collapsed="false">
      <c r="A44" s="1" t="s">
        <v>46</v>
      </c>
      <c r="B44" s="1" t="s">
        <v>47</v>
      </c>
      <c r="C44" s="1" t="s">
        <v>48</v>
      </c>
      <c r="D44" s="1" t="s">
        <v>19</v>
      </c>
      <c r="E44" s="1" t="s">
        <v>20</v>
      </c>
      <c r="F44" s="2" t="n">
        <v>12</v>
      </c>
      <c r="G44" s="3" t="s">
        <v>26</v>
      </c>
      <c r="H44" s="1" t="n">
        <v>0.1</v>
      </c>
      <c r="I44" s="1" t="n">
        <v>0.260994086742095</v>
      </c>
      <c r="J44" s="1" t="n">
        <v>0.30830122416232</v>
      </c>
      <c r="K44" s="1" t="n">
        <f aca="false">J44-I44</f>
        <v>0.047307137420225</v>
      </c>
      <c r="L44" s="1" t="n">
        <v>0.735139079782349</v>
      </c>
    </row>
    <row r="45" customFormat="false" ht="15" hidden="false" customHeight="false" outlineLevel="0" collapsed="false">
      <c r="A45" s="1" t="s">
        <v>49</v>
      </c>
      <c r="B45" s="1" t="s">
        <v>50</v>
      </c>
      <c r="C45" s="1" t="s">
        <v>51</v>
      </c>
      <c r="D45" s="1" t="s">
        <v>19</v>
      </c>
      <c r="E45" s="1" t="s">
        <v>20</v>
      </c>
      <c r="F45" s="2" t="n">
        <v>14</v>
      </c>
      <c r="G45" s="3" t="s">
        <v>21</v>
      </c>
      <c r="H45" s="1" t="n">
        <v>0.1983</v>
      </c>
      <c r="I45" s="1" t="n">
        <v>0.364073700261553</v>
      </c>
      <c r="J45" s="1" t="n">
        <v>0.42377399907447</v>
      </c>
      <c r="K45" s="1" t="n">
        <f aca="false">J45-I45</f>
        <v>0.059700298812917</v>
      </c>
      <c r="L45" s="1" t="n">
        <v>0.694325378562934</v>
      </c>
    </row>
    <row r="46" customFormat="false" ht="15" hidden="false" customHeight="false" outlineLevel="0" collapsed="false">
      <c r="A46" s="1" t="s">
        <v>49</v>
      </c>
      <c r="B46" s="1" t="s">
        <v>50</v>
      </c>
      <c r="C46" s="1" t="s">
        <v>51</v>
      </c>
      <c r="D46" s="1" t="s">
        <v>19</v>
      </c>
      <c r="E46" s="1" t="s">
        <v>20</v>
      </c>
      <c r="F46" s="2" t="n">
        <v>14</v>
      </c>
      <c r="G46" s="3" t="s">
        <v>22</v>
      </c>
      <c r="H46" s="1" t="n">
        <v>0.1808</v>
      </c>
      <c r="I46" s="1" t="n">
        <v>0.33193330399046</v>
      </c>
      <c r="J46" s="1" t="n">
        <v>0.405432695532939</v>
      </c>
      <c r="K46" s="1" t="n">
        <f aca="false">J46-I46</f>
        <v>0.073499391542479</v>
      </c>
      <c r="L46" s="1" t="n">
        <v>0.694325378562934</v>
      </c>
    </row>
    <row r="47" customFormat="false" ht="15" hidden="false" customHeight="false" outlineLevel="0" collapsed="false">
      <c r="A47" s="1" t="s">
        <v>49</v>
      </c>
      <c r="B47" s="1" t="s">
        <v>50</v>
      </c>
      <c r="C47" s="1" t="s">
        <v>51</v>
      </c>
      <c r="D47" s="1" t="s">
        <v>19</v>
      </c>
      <c r="E47" s="1" t="s">
        <v>20</v>
      </c>
      <c r="F47" s="2" t="n">
        <v>14</v>
      </c>
      <c r="G47" s="3" t="s">
        <v>23</v>
      </c>
      <c r="H47" s="1" t="n">
        <v>0.1772</v>
      </c>
      <c r="I47" s="1" t="n">
        <v>0.325377832068908</v>
      </c>
      <c r="J47" s="1" t="n">
        <v>0.381316100113698</v>
      </c>
      <c r="K47" s="1" t="n">
        <f aca="false">J47-I47</f>
        <v>0.05593826804479</v>
      </c>
      <c r="L47" s="1" t="n">
        <v>0.694325378562934</v>
      </c>
    </row>
    <row r="48" customFormat="false" ht="15" hidden="false" customHeight="false" outlineLevel="0" collapsed="false">
      <c r="A48" s="1" t="s">
        <v>49</v>
      </c>
      <c r="B48" s="1" t="s">
        <v>50</v>
      </c>
      <c r="C48" s="1" t="s">
        <v>51</v>
      </c>
      <c r="D48" s="1" t="s">
        <v>19</v>
      </c>
      <c r="E48" s="1" t="s">
        <v>20</v>
      </c>
      <c r="F48" s="2" t="n">
        <v>14</v>
      </c>
      <c r="G48" s="3" t="s">
        <v>25</v>
      </c>
      <c r="H48" s="1" t="n">
        <v>0.1726</v>
      </c>
      <c r="I48" s="1" t="n">
        <v>0.316829864270245</v>
      </c>
      <c r="J48" s="1" t="n">
        <v>0.396725620550218</v>
      </c>
      <c r="K48" s="1" t="n">
        <f aca="false">J48-I48</f>
        <v>0.079895756279973</v>
      </c>
      <c r="L48" s="1" t="n">
        <v>0.694325378562934</v>
      </c>
    </row>
    <row r="49" customFormat="false" ht="15" hidden="false" customHeight="false" outlineLevel="0" collapsed="false">
      <c r="A49" s="1" t="s">
        <v>49</v>
      </c>
      <c r="B49" s="1" t="s">
        <v>50</v>
      </c>
      <c r="C49" s="1" t="s">
        <v>51</v>
      </c>
      <c r="D49" s="1" t="s">
        <v>19</v>
      </c>
      <c r="E49" s="1" t="s">
        <v>20</v>
      </c>
      <c r="F49" s="2" t="n">
        <v>14</v>
      </c>
      <c r="G49" s="3" t="s">
        <v>41</v>
      </c>
      <c r="H49" s="1" t="n">
        <v>0.1712</v>
      </c>
      <c r="I49" s="1" t="n">
        <v>0.314259024356607</v>
      </c>
      <c r="J49" s="1" t="n">
        <v>0.386496151093936</v>
      </c>
      <c r="K49" s="1" t="n">
        <f aca="false">J49-I49</f>
        <v>0.072237126737329</v>
      </c>
      <c r="L49" s="1" t="n">
        <v>0.694325378562934</v>
      </c>
    </row>
    <row r="50" customFormat="false" ht="15" hidden="false" customHeight="false" outlineLevel="0" collapsed="false">
      <c r="A50" s="1" t="s">
        <v>49</v>
      </c>
      <c r="B50" s="1" t="s">
        <v>50</v>
      </c>
      <c r="C50" s="1" t="s">
        <v>51</v>
      </c>
      <c r="D50" s="1" t="s">
        <v>19</v>
      </c>
      <c r="E50" s="1" t="s">
        <v>20</v>
      </c>
      <c r="F50" s="2" t="n">
        <v>14</v>
      </c>
      <c r="G50" s="3" t="s">
        <v>26</v>
      </c>
      <c r="H50" s="1" t="n">
        <v>0.1</v>
      </c>
      <c r="I50" s="1" t="n">
        <v>0.260228009434011</v>
      </c>
      <c r="J50" s="1" t="n">
        <v>0.319905321449391</v>
      </c>
      <c r="K50" s="1" t="n">
        <f aca="false">J50-I50</f>
        <v>0.05967731201538</v>
      </c>
      <c r="L50" s="1" t="n">
        <v>0.694325378562934</v>
      </c>
    </row>
    <row r="51" customFormat="false" ht="15" hidden="false" customHeight="false" outlineLevel="0" collapsed="false">
      <c r="A51" s="1" t="s">
        <v>52</v>
      </c>
      <c r="B51" s="1" t="s">
        <v>53</v>
      </c>
      <c r="C51" s="1" t="s">
        <v>54</v>
      </c>
      <c r="D51" s="1" t="s">
        <v>19</v>
      </c>
      <c r="E51" s="1" t="s">
        <v>20</v>
      </c>
      <c r="F51" s="2" t="n">
        <v>16</v>
      </c>
      <c r="G51" s="3" t="s">
        <v>21</v>
      </c>
      <c r="H51" s="1" t="n">
        <v>0.1898</v>
      </c>
      <c r="I51" s="1" t="n">
        <v>0.3591522512197</v>
      </c>
      <c r="J51" s="1" t="n">
        <v>0.457787844222775</v>
      </c>
      <c r="K51" s="1" t="n">
        <f aca="false">J51-I51</f>
        <v>0.098635593003075</v>
      </c>
      <c r="L51" s="1" t="n">
        <v>0.754953984633863</v>
      </c>
    </row>
    <row r="52" customFormat="false" ht="15" hidden="false" customHeight="false" outlineLevel="0" collapsed="false">
      <c r="A52" s="1" t="s">
        <v>52</v>
      </c>
      <c r="B52" s="1" t="s">
        <v>53</v>
      </c>
      <c r="C52" s="1" t="s">
        <v>54</v>
      </c>
      <c r="D52" s="1" t="s">
        <v>19</v>
      </c>
      <c r="E52" s="1" t="s">
        <v>20</v>
      </c>
      <c r="F52" s="2" t="n">
        <v>16</v>
      </c>
      <c r="G52" s="3" t="s">
        <v>22</v>
      </c>
      <c r="H52" s="1" t="n">
        <v>0.18</v>
      </c>
      <c r="I52" s="1" t="n">
        <v>0.340598181471472</v>
      </c>
      <c r="J52" s="1" t="n">
        <v>0.476970262139004</v>
      </c>
      <c r="K52" s="1" t="n">
        <f aca="false">J52-I52</f>
        <v>0.136372080667532</v>
      </c>
      <c r="L52" s="1" t="n">
        <v>0.754953984633863</v>
      </c>
    </row>
    <row r="53" customFormat="false" ht="15" hidden="false" customHeight="false" outlineLevel="0" collapsed="false">
      <c r="A53" s="1" t="s">
        <v>52</v>
      </c>
      <c r="B53" s="1" t="s">
        <v>53</v>
      </c>
      <c r="C53" s="1" t="s">
        <v>54</v>
      </c>
      <c r="D53" s="1" t="s">
        <v>19</v>
      </c>
      <c r="E53" s="1" t="s">
        <v>20</v>
      </c>
      <c r="F53" s="2" t="n">
        <v>16</v>
      </c>
      <c r="G53" s="3" t="s">
        <v>34</v>
      </c>
      <c r="H53" s="1" t="n">
        <v>0.1785</v>
      </c>
      <c r="I53" s="1" t="n">
        <v>0.337907338217123</v>
      </c>
      <c r="J53" s="1" t="n">
        <v>0.404720990151669</v>
      </c>
      <c r="K53" s="1" t="n">
        <f aca="false">J53-I53</f>
        <v>0.066813651934546</v>
      </c>
      <c r="L53" s="1" t="n">
        <v>0.754953984633863</v>
      </c>
    </row>
    <row r="54" customFormat="false" ht="15" hidden="false" customHeight="false" outlineLevel="0" collapsed="false">
      <c r="A54" s="1" t="s">
        <v>52</v>
      </c>
      <c r="B54" s="1" t="s">
        <v>53</v>
      </c>
      <c r="C54" s="1" t="s">
        <v>54</v>
      </c>
      <c r="D54" s="1" t="s">
        <v>19</v>
      </c>
      <c r="E54" s="1" t="s">
        <v>20</v>
      </c>
      <c r="F54" s="2" t="n">
        <v>16</v>
      </c>
      <c r="G54" s="3" t="s">
        <v>24</v>
      </c>
      <c r="H54" s="1" t="n">
        <v>0.1768</v>
      </c>
      <c r="I54" s="1" t="n">
        <v>0.334670872738583</v>
      </c>
      <c r="J54" s="1" t="n">
        <v>0.413167151926178</v>
      </c>
      <c r="K54" s="1" t="n">
        <f aca="false">J54-I54</f>
        <v>0.078496279187595</v>
      </c>
      <c r="L54" s="1" t="n">
        <v>0.754953984633863</v>
      </c>
    </row>
    <row r="55" customFormat="false" ht="15" hidden="false" customHeight="false" outlineLevel="0" collapsed="false">
      <c r="A55" s="1" t="s">
        <v>52</v>
      </c>
      <c r="B55" s="1" t="s">
        <v>53</v>
      </c>
      <c r="C55" s="1" t="s">
        <v>54</v>
      </c>
      <c r="D55" s="1" t="s">
        <v>19</v>
      </c>
      <c r="E55" s="1" t="s">
        <v>20</v>
      </c>
      <c r="F55" s="2" t="n">
        <v>16</v>
      </c>
      <c r="G55" s="3" t="s">
        <v>55</v>
      </c>
      <c r="H55" s="1" t="n">
        <v>0.1749</v>
      </c>
      <c r="I55" s="1" t="n">
        <v>0.330972585493375</v>
      </c>
      <c r="J55" s="1" t="n">
        <v>0.406967854720746</v>
      </c>
      <c r="K55" s="1" t="n">
        <f aca="false">J55-I55</f>
        <v>0.075995269227371</v>
      </c>
      <c r="L55" s="1" t="n">
        <v>0.754953984633863</v>
      </c>
    </row>
    <row r="56" customFormat="false" ht="15" hidden="false" customHeight="false" outlineLevel="0" collapsed="false">
      <c r="A56" s="1" t="s">
        <v>52</v>
      </c>
      <c r="B56" s="1" t="s">
        <v>53</v>
      </c>
      <c r="C56" s="1" t="s">
        <v>54</v>
      </c>
      <c r="D56" s="1" t="s">
        <v>19</v>
      </c>
      <c r="E56" s="1" t="s">
        <v>20</v>
      </c>
      <c r="F56" s="2" t="n">
        <v>16</v>
      </c>
      <c r="G56" s="3" t="s">
        <v>26</v>
      </c>
      <c r="H56" s="1" t="n">
        <v>0.1</v>
      </c>
      <c r="I56" s="1" t="n">
        <v>0.269793703753605</v>
      </c>
      <c r="J56" s="1" t="n">
        <v>0.368453363854705</v>
      </c>
      <c r="K56" s="1" t="n">
        <f aca="false">J56-I56</f>
        <v>0.0986596601011</v>
      </c>
      <c r="L56" s="1" t="n">
        <v>0.754953984633863</v>
      </c>
    </row>
    <row r="57" customFormat="false" ht="15" hidden="false" customHeight="false" outlineLevel="0" collapsed="false">
      <c r="A57" s="1" t="s">
        <v>56</v>
      </c>
      <c r="B57" s="1" t="s">
        <v>57</v>
      </c>
      <c r="C57" s="1" t="s">
        <v>58</v>
      </c>
      <c r="D57" s="1" t="s">
        <v>19</v>
      </c>
      <c r="E57" s="1" t="s">
        <v>20</v>
      </c>
      <c r="F57" s="2" t="n">
        <v>18</v>
      </c>
      <c r="G57" s="3" t="s">
        <v>21</v>
      </c>
      <c r="H57" s="1" t="n">
        <v>0.1975</v>
      </c>
      <c r="I57" s="1" t="n">
        <v>0.402445194863027</v>
      </c>
      <c r="J57" s="1" t="n">
        <v>0.449415300325915</v>
      </c>
      <c r="K57" s="1" t="n">
        <f aca="false">J57-I57</f>
        <v>0.046970105462888</v>
      </c>
      <c r="L57" s="1" t="n">
        <v>0.780131624434666</v>
      </c>
    </row>
    <row r="58" customFormat="false" ht="15" hidden="false" customHeight="false" outlineLevel="0" collapsed="false">
      <c r="A58" s="1" t="s">
        <v>56</v>
      </c>
      <c r="B58" s="1" t="s">
        <v>57</v>
      </c>
      <c r="C58" s="1" t="s">
        <v>58</v>
      </c>
      <c r="D58" s="1" t="s">
        <v>19</v>
      </c>
      <c r="E58" s="1" t="s">
        <v>20</v>
      </c>
      <c r="F58" s="2" t="n">
        <v>18</v>
      </c>
      <c r="G58" s="3" t="s">
        <v>22</v>
      </c>
      <c r="H58" s="1" t="n">
        <v>0.1834</v>
      </c>
      <c r="I58" s="1" t="n">
        <v>0.373894911935043</v>
      </c>
      <c r="J58" s="1" t="n">
        <v>0.413770226834241</v>
      </c>
      <c r="K58" s="1" t="n">
        <f aca="false">J58-I58</f>
        <v>0.039875314899198</v>
      </c>
      <c r="L58" s="1" t="n">
        <v>0.780131624434666</v>
      </c>
    </row>
    <row r="59" customFormat="false" ht="15" hidden="false" customHeight="false" outlineLevel="0" collapsed="false">
      <c r="A59" s="1" t="s">
        <v>56</v>
      </c>
      <c r="B59" s="1" t="s">
        <v>57</v>
      </c>
      <c r="C59" s="1" t="s">
        <v>58</v>
      </c>
      <c r="D59" s="1" t="s">
        <v>19</v>
      </c>
      <c r="E59" s="1" t="s">
        <v>20</v>
      </c>
      <c r="F59" s="2" t="n">
        <v>18</v>
      </c>
      <c r="G59" s="3" t="s">
        <v>30</v>
      </c>
      <c r="H59" s="1" t="n">
        <v>0.1743</v>
      </c>
      <c r="I59" s="1" t="n">
        <v>0.355325236395007</v>
      </c>
      <c r="J59" s="1" t="n">
        <v>0.38006819771503</v>
      </c>
      <c r="K59" s="1" t="n">
        <f aca="false">J59-I59</f>
        <v>0.024742961320023</v>
      </c>
      <c r="L59" s="1" t="n">
        <v>0.780131624434666</v>
      </c>
    </row>
    <row r="60" customFormat="false" ht="15" hidden="false" customHeight="false" outlineLevel="0" collapsed="false">
      <c r="A60" s="1" t="s">
        <v>56</v>
      </c>
      <c r="B60" s="1" t="s">
        <v>57</v>
      </c>
      <c r="C60" s="1" t="s">
        <v>58</v>
      </c>
      <c r="D60" s="1" t="s">
        <v>19</v>
      </c>
      <c r="E60" s="1" t="s">
        <v>20</v>
      </c>
      <c r="F60" s="2" t="n">
        <v>18</v>
      </c>
      <c r="G60" s="3" t="s">
        <v>24</v>
      </c>
      <c r="H60" s="1" t="n">
        <v>0.1733</v>
      </c>
      <c r="I60" s="1" t="n">
        <v>0.353222643822725</v>
      </c>
      <c r="J60" s="1" t="n">
        <v>0.406985489058565</v>
      </c>
      <c r="K60" s="1" t="n">
        <f aca="false">J60-I60</f>
        <v>0.05376284523584</v>
      </c>
      <c r="L60" s="1" t="n">
        <v>0.780131624434666</v>
      </c>
    </row>
    <row r="61" customFormat="false" ht="15" hidden="false" customHeight="false" outlineLevel="0" collapsed="false">
      <c r="A61" s="1" t="s">
        <v>56</v>
      </c>
      <c r="B61" s="1" t="s">
        <v>57</v>
      </c>
      <c r="C61" s="1" t="s">
        <v>58</v>
      </c>
      <c r="D61" s="1" t="s">
        <v>19</v>
      </c>
      <c r="E61" s="1" t="s">
        <v>20</v>
      </c>
      <c r="F61" s="2" t="n">
        <v>18</v>
      </c>
      <c r="G61" s="3" t="s">
        <v>23</v>
      </c>
      <c r="H61" s="1" t="n">
        <v>0.1715</v>
      </c>
      <c r="I61" s="1" t="n">
        <v>0.349475520377671</v>
      </c>
      <c r="J61" s="1" t="n">
        <v>0.408967741465509</v>
      </c>
      <c r="K61" s="1" t="n">
        <f aca="false">J61-I61</f>
        <v>0.059492221087838</v>
      </c>
      <c r="L61" s="1" t="n">
        <v>0.780131624434666</v>
      </c>
    </row>
    <row r="62" customFormat="false" ht="15" hidden="false" customHeight="false" outlineLevel="0" collapsed="false">
      <c r="A62" s="1" t="s">
        <v>56</v>
      </c>
      <c r="B62" s="1" t="s">
        <v>57</v>
      </c>
      <c r="C62" s="1" t="s">
        <v>58</v>
      </c>
      <c r="D62" s="1" t="s">
        <v>19</v>
      </c>
      <c r="E62" s="1" t="s">
        <v>20</v>
      </c>
      <c r="F62" s="2" t="n">
        <v>18</v>
      </c>
      <c r="G62" s="3" t="s">
        <v>26</v>
      </c>
      <c r="H62" s="1" t="n">
        <v>0.1</v>
      </c>
      <c r="I62" s="1" t="n">
        <v>0.264301665524232</v>
      </c>
      <c r="J62" s="1" t="n">
        <v>0.325722942329044</v>
      </c>
      <c r="K62" s="1" t="n">
        <f aca="false">J62-I62</f>
        <v>0.061421276804812</v>
      </c>
      <c r="L62" s="1" t="n">
        <v>0.780131624434666</v>
      </c>
    </row>
    <row r="63" customFormat="false" ht="15" hidden="false" customHeight="false" outlineLevel="0" collapsed="false">
      <c r="A63" s="1" t="s">
        <v>59</v>
      </c>
      <c r="B63" s="1" t="s">
        <v>60</v>
      </c>
      <c r="C63" s="1" t="s">
        <v>61</v>
      </c>
      <c r="D63" s="1" t="s">
        <v>19</v>
      </c>
      <c r="E63" s="1" t="s">
        <v>20</v>
      </c>
      <c r="F63" s="2" t="n">
        <v>20</v>
      </c>
      <c r="G63" s="3" t="s">
        <v>21</v>
      </c>
      <c r="H63" s="1" t="n">
        <v>0.2035</v>
      </c>
      <c r="I63" s="1" t="n">
        <v>0.411571218721033</v>
      </c>
      <c r="J63" s="1" t="n">
        <v>0.39882158490155</v>
      </c>
      <c r="K63" s="1" t="n">
        <f aca="false">J63-I63</f>
        <v>-0.012749633819483</v>
      </c>
      <c r="L63" s="1" t="n">
        <v>0.741371410255129</v>
      </c>
    </row>
    <row r="64" customFormat="false" ht="15" hidden="false" customHeight="false" outlineLevel="0" collapsed="false">
      <c r="A64" s="1" t="s">
        <v>59</v>
      </c>
      <c r="B64" s="1" t="s">
        <v>60</v>
      </c>
      <c r="C64" s="1" t="s">
        <v>61</v>
      </c>
      <c r="D64" s="1" t="s">
        <v>19</v>
      </c>
      <c r="E64" s="1" t="s">
        <v>20</v>
      </c>
      <c r="F64" s="2" t="n">
        <v>20</v>
      </c>
      <c r="G64" s="3" t="s">
        <v>22</v>
      </c>
      <c r="H64" s="1" t="n">
        <v>0.1805</v>
      </c>
      <c r="I64" s="1" t="n">
        <v>0.365030715347977</v>
      </c>
      <c r="J64" s="1" t="n">
        <v>0.360614415416712</v>
      </c>
      <c r="K64" s="1" t="n">
        <f aca="false">J64-I64</f>
        <v>-0.00441629993126497</v>
      </c>
      <c r="L64" s="1" t="n">
        <v>0.741371410255129</v>
      </c>
    </row>
    <row r="65" customFormat="false" ht="15" hidden="false" customHeight="false" outlineLevel="0" collapsed="false">
      <c r="A65" s="1" t="s">
        <v>59</v>
      </c>
      <c r="B65" s="1" t="s">
        <v>60</v>
      </c>
      <c r="C65" s="1" t="s">
        <v>61</v>
      </c>
      <c r="D65" s="1" t="s">
        <v>19</v>
      </c>
      <c r="E65" s="1" t="s">
        <v>20</v>
      </c>
      <c r="F65" s="2" t="n">
        <v>20</v>
      </c>
      <c r="G65" s="3" t="s">
        <v>34</v>
      </c>
      <c r="H65" s="1" t="n">
        <v>0.1735</v>
      </c>
      <c r="I65" s="1" t="n">
        <v>0.350919444319657</v>
      </c>
      <c r="J65" s="1" t="n">
        <v>0.27467776958216</v>
      </c>
      <c r="K65" s="1" t="n">
        <f aca="false">J65-I65</f>
        <v>-0.076241674737497</v>
      </c>
      <c r="L65" s="1" t="n">
        <v>0.741371410255129</v>
      </c>
    </row>
    <row r="66" customFormat="false" ht="15" hidden="false" customHeight="false" outlineLevel="0" collapsed="false">
      <c r="A66" s="1" t="s">
        <v>59</v>
      </c>
      <c r="B66" s="1" t="s">
        <v>60</v>
      </c>
      <c r="C66" s="1" t="s">
        <v>61</v>
      </c>
      <c r="D66" s="1" t="s">
        <v>19</v>
      </c>
      <c r="E66" s="1" t="s">
        <v>20</v>
      </c>
      <c r="F66" s="2" t="n">
        <v>20</v>
      </c>
      <c r="G66" s="3" t="s">
        <v>24</v>
      </c>
      <c r="H66" s="1" t="n">
        <v>0.1734</v>
      </c>
      <c r="I66" s="1" t="n">
        <v>0.350662819253033</v>
      </c>
      <c r="J66" s="1" t="n">
        <v>0.287518962483457</v>
      </c>
      <c r="K66" s="1" t="n">
        <f aca="false">J66-I66</f>
        <v>-0.063143856769576</v>
      </c>
      <c r="L66" s="1" t="n">
        <v>0.741371410255129</v>
      </c>
    </row>
    <row r="67" customFormat="false" ht="15" hidden="false" customHeight="false" outlineLevel="0" collapsed="false">
      <c r="A67" s="1" t="s">
        <v>59</v>
      </c>
      <c r="B67" s="1" t="s">
        <v>60</v>
      </c>
      <c r="C67" s="1" t="s">
        <v>61</v>
      </c>
      <c r="D67" s="1" t="s">
        <v>19</v>
      </c>
      <c r="E67" s="1" t="s">
        <v>20</v>
      </c>
      <c r="F67" s="2" t="n">
        <v>20</v>
      </c>
      <c r="G67" s="3" t="s">
        <v>23</v>
      </c>
      <c r="H67" s="1" t="n">
        <v>0.169</v>
      </c>
      <c r="I67" s="1" t="n">
        <v>0.341811499072241</v>
      </c>
      <c r="J67" s="1" t="n">
        <v>0.293476863326633</v>
      </c>
      <c r="K67" s="1" t="n">
        <f aca="false">J67-I67</f>
        <v>-0.048334635745608</v>
      </c>
      <c r="L67" s="1" t="n">
        <v>0.741371410255129</v>
      </c>
    </row>
    <row r="68" customFormat="false" ht="15" hidden="false" customHeight="false" outlineLevel="0" collapsed="false">
      <c r="A68" s="1" t="s">
        <v>59</v>
      </c>
      <c r="B68" s="1" t="s">
        <v>60</v>
      </c>
      <c r="C68" s="1" t="s">
        <v>61</v>
      </c>
      <c r="D68" s="1" t="s">
        <v>19</v>
      </c>
      <c r="E68" s="1" t="s">
        <v>20</v>
      </c>
      <c r="F68" s="2" t="n">
        <v>20</v>
      </c>
      <c r="G68" s="3" t="s">
        <v>26</v>
      </c>
      <c r="H68" s="1" t="n">
        <v>0.1</v>
      </c>
      <c r="I68" s="1" t="n">
        <v>0.279957877792072</v>
      </c>
      <c r="J68" s="1" t="n">
        <v>0.228034438186229</v>
      </c>
      <c r="K68" s="1" t="n">
        <f aca="false">J68-I68</f>
        <v>-0.051923439605843</v>
      </c>
      <c r="L68" s="1" t="n">
        <v>0.741371410255129</v>
      </c>
    </row>
    <row r="69" customFormat="false" ht="15" hidden="false" customHeight="false" outlineLevel="0" collapsed="false">
      <c r="A69" s="1" t="s">
        <v>62</v>
      </c>
      <c r="B69" s="1" t="s">
        <v>63</v>
      </c>
      <c r="C69" s="1" t="s">
        <v>64</v>
      </c>
      <c r="D69" s="1" t="s">
        <v>19</v>
      </c>
      <c r="E69" s="1" t="s">
        <v>20</v>
      </c>
      <c r="F69" s="2" t="n">
        <v>22</v>
      </c>
      <c r="G69" s="3" t="s">
        <v>21</v>
      </c>
      <c r="H69" s="1" t="n">
        <v>0.2187</v>
      </c>
      <c r="I69" s="1" t="n">
        <v>0.329972604165127</v>
      </c>
      <c r="J69" s="1" t="n">
        <v>0.422353317242022</v>
      </c>
      <c r="K69" s="1" t="n">
        <f aca="false">J69-I69</f>
        <v>0.092380713076895</v>
      </c>
      <c r="L69" s="1" t="n">
        <v>0.752430545440722</v>
      </c>
    </row>
    <row r="70" customFormat="false" ht="15" hidden="false" customHeight="false" outlineLevel="0" collapsed="false">
      <c r="A70" s="1" t="s">
        <v>62</v>
      </c>
      <c r="B70" s="1" t="s">
        <v>63</v>
      </c>
      <c r="C70" s="1" t="s">
        <v>64</v>
      </c>
      <c r="D70" s="1" t="s">
        <v>19</v>
      </c>
      <c r="E70" s="1" t="s">
        <v>20</v>
      </c>
      <c r="F70" s="2" t="n">
        <v>22</v>
      </c>
      <c r="G70" s="3" t="s">
        <v>22</v>
      </c>
      <c r="H70" s="1" t="n">
        <v>0.1921</v>
      </c>
      <c r="I70" s="1" t="n">
        <v>0.289849580287998</v>
      </c>
      <c r="J70" s="1" t="n">
        <v>0.373285078940513</v>
      </c>
      <c r="K70" s="1" t="n">
        <f aca="false">J70-I70</f>
        <v>0.083435498652515</v>
      </c>
      <c r="L70" s="1" t="n">
        <v>0.752430545440722</v>
      </c>
    </row>
    <row r="71" customFormat="false" ht="15" hidden="false" customHeight="false" outlineLevel="0" collapsed="false">
      <c r="A71" s="1" t="s">
        <v>62</v>
      </c>
      <c r="B71" s="1" t="s">
        <v>63</v>
      </c>
      <c r="C71" s="1" t="s">
        <v>64</v>
      </c>
      <c r="D71" s="1" t="s">
        <v>19</v>
      </c>
      <c r="E71" s="1" t="s">
        <v>20</v>
      </c>
      <c r="F71" s="2" t="n">
        <v>22</v>
      </c>
      <c r="G71" s="3" t="s">
        <v>55</v>
      </c>
      <c r="H71" s="1" t="n">
        <v>0.1665</v>
      </c>
      <c r="I71" s="1" t="n">
        <v>0.251125968974204</v>
      </c>
      <c r="J71" s="1" t="n">
        <v>0.342332180079921</v>
      </c>
      <c r="K71" s="1" t="n">
        <f aca="false">J71-I71</f>
        <v>0.091206211105717</v>
      </c>
      <c r="L71" s="1" t="n">
        <v>0.752430545440722</v>
      </c>
    </row>
    <row r="72" customFormat="false" ht="15" hidden="false" customHeight="false" outlineLevel="0" collapsed="false">
      <c r="A72" s="1" t="s">
        <v>62</v>
      </c>
      <c r="B72" s="1" t="s">
        <v>63</v>
      </c>
      <c r="C72" s="1" t="s">
        <v>64</v>
      </c>
      <c r="D72" s="1" t="s">
        <v>19</v>
      </c>
      <c r="E72" s="1" t="s">
        <v>20</v>
      </c>
      <c r="F72" s="2" t="n">
        <v>22</v>
      </c>
      <c r="G72" s="3" t="s">
        <v>41</v>
      </c>
      <c r="H72" s="1" t="n">
        <v>0.1618</v>
      </c>
      <c r="I72" s="1" t="n">
        <v>0.244104758332163</v>
      </c>
      <c r="J72" s="1" t="n">
        <v>0.316294214106609</v>
      </c>
      <c r="K72" s="1" t="n">
        <f aca="false">J72-I72</f>
        <v>0.072189455774446</v>
      </c>
      <c r="L72" s="1" t="n">
        <v>0.752430545440722</v>
      </c>
    </row>
    <row r="73" customFormat="false" ht="15" hidden="false" customHeight="false" outlineLevel="0" collapsed="false">
      <c r="A73" s="1" t="s">
        <v>62</v>
      </c>
      <c r="B73" s="1" t="s">
        <v>63</v>
      </c>
      <c r="C73" s="1" t="s">
        <v>64</v>
      </c>
      <c r="D73" s="1" t="s">
        <v>19</v>
      </c>
      <c r="E73" s="1" t="s">
        <v>20</v>
      </c>
      <c r="F73" s="2" t="n">
        <v>22</v>
      </c>
      <c r="G73" s="3" t="s">
        <v>23</v>
      </c>
      <c r="H73" s="1" t="n">
        <v>0.1609</v>
      </c>
      <c r="I73" s="1" t="n">
        <v>0.242732968163326</v>
      </c>
      <c r="J73" s="1" t="n">
        <v>0.347424369270916</v>
      </c>
      <c r="K73" s="1" t="n">
        <f aca="false">J73-I73</f>
        <v>0.10469140110759</v>
      </c>
      <c r="L73" s="1" t="n">
        <v>0.752430545440722</v>
      </c>
    </row>
    <row r="74" customFormat="false" ht="15" hidden="false" customHeight="false" outlineLevel="0" collapsed="false">
      <c r="A74" s="1" t="s">
        <v>62</v>
      </c>
      <c r="B74" s="1" t="s">
        <v>63</v>
      </c>
      <c r="C74" s="1" t="s">
        <v>64</v>
      </c>
      <c r="D74" s="1" t="s">
        <v>19</v>
      </c>
      <c r="E74" s="1" t="s">
        <v>20</v>
      </c>
      <c r="F74" s="2" t="n">
        <v>22</v>
      </c>
      <c r="G74" s="3" t="s">
        <v>26</v>
      </c>
      <c r="H74" s="1" t="n">
        <v>0.1</v>
      </c>
      <c r="I74" s="1" t="n">
        <v>0.180756980183934</v>
      </c>
      <c r="J74" s="1" t="n">
        <v>0.276831430753765</v>
      </c>
      <c r="K74" s="1" t="n">
        <f aca="false">J74-I74</f>
        <v>0.096074450569831</v>
      </c>
      <c r="L74" s="1" t="n">
        <v>0.752430545440722</v>
      </c>
    </row>
    <row r="75" customFormat="false" ht="15" hidden="false" customHeight="false" outlineLevel="0" collapsed="false">
      <c r="A75" s="1" t="s">
        <v>65</v>
      </c>
      <c r="B75" s="1" t="s">
        <v>66</v>
      </c>
      <c r="C75" s="1" t="s">
        <v>67</v>
      </c>
      <c r="D75" s="1" t="s">
        <v>19</v>
      </c>
      <c r="E75" s="1" t="s">
        <v>20</v>
      </c>
      <c r="F75" s="2" t="n">
        <v>24</v>
      </c>
      <c r="G75" s="3" t="s">
        <v>21</v>
      </c>
      <c r="H75" s="1" t="n">
        <v>0.2145</v>
      </c>
      <c r="I75" s="1" t="n">
        <v>0.334807011638113</v>
      </c>
      <c r="J75" s="1" t="n">
        <v>0.356627875310338</v>
      </c>
      <c r="K75" s="1" t="n">
        <f aca="false">J75-I75</f>
        <v>0.021820863672225</v>
      </c>
      <c r="L75" s="1" t="n">
        <v>0.658697413887377</v>
      </c>
    </row>
    <row r="76" customFormat="false" ht="15" hidden="false" customHeight="false" outlineLevel="0" collapsed="false">
      <c r="A76" s="1" t="s">
        <v>65</v>
      </c>
      <c r="B76" s="1" t="s">
        <v>66</v>
      </c>
      <c r="C76" s="1" t="s">
        <v>67</v>
      </c>
      <c r="D76" s="1" t="s">
        <v>19</v>
      </c>
      <c r="E76" s="1" t="s">
        <v>20</v>
      </c>
      <c r="F76" s="2" t="n">
        <v>24</v>
      </c>
      <c r="G76" s="3" t="s">
        <v>22</v>
      </c>
      <c r="H76" s="1" t="n">
        <v>0.1866</v>
      </c>
      <c r="I76" s="1" t="n">
        <v>0.291288594542287</v>
      </c>
      <c r="J76" s="1" t="n">
        <v>0.320386963830287</v>
      </c>
      <c r="K76" s="1" t="n">
        <f aca="false">J76-I76</f>
        <v>0.029098369288</v>
      </c>
      <c r="L76" s="1" t="n">
        <v>0.658697413887377</v>
      </c>
    </row>
    <row r="77" customFormat="false" ht="15" hidden="false" customHeight="false" outlineLevel="0" collapsed="false">
      <c r="A77" s="1" t="s">
        <v>65</v>
      </c>
      <c r="B77" s="1" t="s">
        <v>66</v>
      </c>
      <c r="C77" s="1" t="s">
        <v>67</v>
      </c>
      <c r="D77" s="1" t="s">
        <v>19</v>
      </c>
      <c r="E77" s="1" t="s">
        <v>20</v>
      </c>
      <c r="F77" s="2" t="n">
        <v>24</v>
      </c>
      <c r="G77" s="3" t="s">
        <v>34</v>
      </c>
      <c r="H77" s="1" t="n">
        <v>0.1739</v>
      </c>
      <c r="I77" s="1" t="n">
        <v>0.271526274423584</v>
      </c>
      <c r="J77" s="1" t="n">
        <v>0.320259266773497</v>
      </c>
      <c r="K77" s="1" t="n">
        <f aca="false">J77-I77</f>
        <v>0.048732992349913</v>
      </c>
      <c r="L77" s="1" t="n">
        <v>0.658697413887377</v>
      </c>
    </row>
    <row r="78" customFormat="false" ht="15" hidden="false" customHeight="false" outlineLevel="0" collapsed="false">
      <c r="A78" s="1" t="s">
        <v>65</v>
      </c>
      <c r="B78" s="1" t="s">
        <v>66</v>
      </c>
      <c r="C78" s="1" t="s">
        <v>67</v>
      </c>
      <c r="D78" s="1" t="s">
        <v>19</v>
      </c>
      <c r="E78" s="1" t="s">
        <v>20</v>
      </c>
      <c r="F78" s="2" t="n">
        <v>24</v>
      </c>
      <c r="G78" s="3" t="s">
        <v>41</v>
      </c>
      <c r="H78" s="1" t="n">
        <v>0.1654</v>
      </c>
      <c r="I78" s="1" t="n">
        <v>0.258259175956947</v>
      </c>
      <c r="J78" s="1" t="n">
        <v>0.300002066403925</v>
      </c>
      <c r="K78" s="1" t="n">
        <f aca="false">J78-I78</f>
        <v>0.041742890446978</v>
      </c>
      <c r="L78" s="1" t="n">
        <v>0.658697413887377</v>
      </c>
    </row>
    <row r="79" customFormat="false" ht="15" hidden="false" customHeight="false" outlineLevel="0" collapsed="false">
      <c r="A79" s="1" t="s">
        <v>65</v>
      </c>
      <c r="B79" s="1" t="s">
        <v>66</v>
      </c>
      <c r="C79" s="1" t="s">
        <v>67</v>
      </c>
      <c r="D79" s="1" t="s">
        <v>19</v>
      </c>
      <c r="E79" s="1" t="s">
        <v>20</v>
      </c>
      <c r="F79" s="2" t="n">
        <v>24</v>
      </c>
      <c r="G79" s="3" t="s">
        <v>55</v>
      </c>
      <c r="H79" s="1" t="n">
        <v>0.1595</v>
      </c>
      <c r="I79" s="1" t="n">
        <v>0.249031453485751</v>
      </c>
      <c r="J79" s="1" t="n">
        <v>0.293910994898076</v>
      </c>
      <c r="K79" s="1" t="n">
        <f aca="false">J79-I79</f>
        <v>0.044879541412325</v>
      </c>
      <c r="L79" s="1" t="n">
        <v>0.658697413887377</v>
      </c>
    </row>
    <row r="80" customFormat="false" ht="15" hidden="false" customHeight="false" outlineLevel="0" collapsed="false">
      <c r="A80" s="1" t="s">
        <v>65</v>
      </c>
      <c r="B80" s="1" t="s">
        <v>66</v>
      </c>
      <c r="C80" s="1" t="s">
        <v>67</v>
      </c>
      <c r="D80" s="1" t="s">
        <v>19</v>
      </c>
      <c r="E80" s="1" t="s">
        <v>20</v>
      </c>
      <c r="F80" s="2" t="n">
        <v>24</v>
      </c>
      <c r="G80" s="3" t="s">
        <v>26</v>
      </c>
      <c r="H80" s="1" t="n">
        <v>0.1</v>
      </c>
      <c r="I80" s="1" t="n">
        <v>0.19630799540539</v>
      </c>
      <c r="J80" s="1" t="n">
        <v>0.238873892837983</v>
      </c>
      <c r="K80" s="1" t="n">
        <f aca="false">J80-I80</f>
        <v>0.042565897432593</v>
      </c>
      <c r="L80" s="1" t="n">
        <v>0.658697413887377</v>
      </c>
    </row>
    <row r="81" customFormat="false" ht="15" hidden="false" customHeight="false" outlineLevel="0" collapsed="false">
      <c r="A81" s="1" t="s">
        <v>68</v>
      </c>
      <c r="B81" s="1" t="s">
        <v>69</v>
      </c>
      <c r="C81" s="1" t="s">
        <v>70</v>
      </c>
      <c r="D81" s="1" t="s">
        <v>19</v>
      </c>
      <c r="E81" s="1" t="s">
        <v>20</v>
      </c>
      <c r="F81" s="2" t="n">
        <v>26</v>
      </c>
      <c r="G81" s="3" t="s">
        <v>21</v>
      </c>
      <c r="H81" s="1" t="n">
        <v>0.2037</v>
      </c>
      <c r="I81" s="1" t="n">
        <v>0.259695869688864</v>
      </c>
      <c r="J81" s="1" t="n">
        <v>0.371653347169306</v>
      </c>
      <c r="K81" s="1" t="n">
        <f aca="false">J81-I81</f>
        <v>0.111957477480442</v>
      </c>
      <c r="L81" s="1" t="n">
        <v>0.81359317699571</v>
      </c>
    </row>
    <row r="82" customFormat="false" ht="15" hidden="false" customHeight="false" outlineLevel="0" collapsed="false">
      <c r="A82" s="1" t="s">
        <v>68</v>
      </c>
      <c r="B82" s="1" t="s">
        <v>69</v>
      </c>
      <c r="C82" s="1" t="s">
        <v>70</v>
      </c>
      <c r="D82" s="1" t="s">
        <v>19</v>
      </c>
      <c r="E82" s="1" t="s">
        <v>20</v>
      </c>
      <c r="F82" s="2" t="n">
        <v>26</v>
      </c>
      <c r="G82" s="3" t="s">
        <v>55</v>
      </c>
      <c r="H82" s="1" t="n">
        <v>0.1844</v>
      </c>
      <c r="I82" s="1" t="n">
        <v>0.235073965059034</v>
      </c>
      <c r="J82" s="1" t="n">
        <v>0.311334062742908</v>
      </c>
      <c r="K82" s="1" t="n">
        <f aca="false">J82-I82</f>
        <v>0.076260097683874</v>
      </c>
      <c r="L82" s="1" t="n">
        <v>0.81359317699571</v>
      </c>
    </row>
    <row r="83" customFormat="false" ht="15" hidden="false" customHeight="false" outlineLevel="0" collapsed="false">
      <c r="A83" s="1" t="s">
        <v>68</v>
      </c>
      <c r="B83" s="1" t="s">
        <v>69</v>
      </c>
      <c r="C83" s="1" t="s">
        <v>70</v>
      </c>
      <c r="D83" s="1" t="s">
        <v>19</v>
      </c>
      <c r="E83" s="1" t="s">
        <v>20</v>
      </c>
      <c r="F83" s="2" t="n">
        <v>26</v>
      </c>
      <c r="G83" s="3" t="s">
        <v>34</v>
      </c>
      <c r="H83" s="1" t="n">
        <v>0.1786</v>
      </c>
      <c r="I83" s="1" t="n">
        <v>0.227741355999865</v>
      </c>
      <c r="J83" s="1" t="n">
        <v>0.338745318568202</v>
      </c>
      <c r="K83" s="1" t="n">
        <f aca="false">J83-I83</f>
        <v>0.111003962568337</v>
      </c>
      <c r="L83" s="1" t="n">
        <v>0.81359317699571</v>
      </c>
    </row>
    <row r="84" customFormat="false" ht="15" hidden="false" customHeight="false" outlineLevel="0" collapsed="false">
      <c r="A84" s="1" t="s">
        <v>68</v>
      </c>
      <c r="B84" s="1" t="s">
        <v>69</v>
      </c>
      <c r="C84" s="1" t="s">
        <v>70</v>
      </c>
      <c r="D84" s="1" t="s">
        <v>19</v>
      </c>
      <c r="E84" s="1" t="s">
        <v>20</v>
      </c>
      <c r="F84" s="2" t="n">
        <v>26</v>
      </c>
      <c r="G84" s="3" t="s">
        <v>41</v>
      </c>
      <c r="H84" s="1" t="n">
        <v>0.1748</v>
      </c>
      <c r="I84" s="1" t="n">
        <v>0.222935203847787</v>
      </c>
      <c r="J84" s="1" t="n">
        <v>0.322200995697165</v>
      </c>
      <c r="K84" s="1" t="n">
        <f aca="false">J84-I84</f>
        <v>0.099265791849378</v>
      </c>
      <c r="L84" s="1" t="n">
        <v>0.81359317699571</v>
      </c>
    </row>
    <row r="85" customFormat="false" ht="15" hidden="false" customHeight="false" outlineLevel="0" collapsed="false">
      <c r="A85" s="1" t="s">
        <v>68</v>
      </c>
      <c r="B85" s="1" t="s">
        <v>69</v>
      </c>
      <c r="C85" s="1" t="s">
        <v>70</v>
      </c>
      <c r="D85" s="1" t="s">
        <v>19</v>
      </c>
      <c r="E85" s="1" t="s">
        <v>20</v>
      </c>
      <c r="F85" s="2" t="n">
        <v>26</v>
      </c>
      <c r="G85" s="3" t="s">
        <v>23</v>
      </c>
      <c r="H85" s="1" t="n">
        <v>0.1585</v>
      </c>
      <c r="I85" s="1" t="n">
        <v>0.202088736264155</v>
      </c>
      <c r="J85" s="1" t="n">
        <v>0.290285542935026</v>
      </c>
      <c r="K85" s="1" t="n">
        <f aca="false">J85-I85</f>
        <v>0.088196806670871</v>
      </c>
      <c r="L85" s="1" t="n">
        <v>0.81359317699571</v>
      </c>
    </row>
    <row r="86" customFormat="false" ht="15" hidden="false" customHeight="false" outlineLevel="0" collapsed="false">
      <c r="A86" s="1" t="s">
        <v>68</v>
      </c>
      <c r="B86" s="1" t="s">
        <v>69</v>
      </c>
      <c r="C86" s="1" t="s">
        <v>70</v>
      </c>
      <c r="D86" s="1" t="s">
        <v>19</v>
      </c>
      <c r="E86" s="1" t="s">
        <v>20</v>
      </c>
      <c r="F86" s="2" t="n">
        <v>26</v>
      </c>
      <c r="G86" s="3" t="s">
        <v>26</v>
      </c>
      <c r="H86" s="1" t="n">
        <v>0.1</v>
      </c>
      <c r="I86" s="1" t="n">
        <v>0.154143479884629</v>
      </c>
      <c r="J86" s="1" t="n">
        <v>0.240720571674731</v>
      </c>
      <c r="K86" s="1" t="n">
        <f aca="false">J86-I86</f>
        <v>0.086577091790102</v>
      </c>
      <c r="L86" s="1" t="n">
        <v>0.81359317699571</v>
      </c>
    </row>
    <row r="87" customFormat="false" ht="15" hidden="false" customHeight="false" outlineLevel="0" collapsed="false">
      <c r="A87" s="1" t="s">
        <v>71</v>
      </c>
      <c r="B87" s="1" t="s">
        <v>72</v>
      </c>
      <c r="C87" s="1" t="s">
        <v>73</v>
      </c>
      <c r="D87" s="1" t="s">
        <v>19</v>
      </c>
      <c r="E87" s="1" t="s">
        <v>20</v>
      </c>
      <c r="F87" s="2" t="n">
        <v>28</v>
      </c>
      <c r="G87" s="3" t="s">
        <v>21</v>
      </c>
      <c r="H87" s="1" t="n">
        <v>0.2</v>
      </c>
      <c r="I87" s="1" t="n">
        <v>0.325185468378538</v>
      </c>
      <c r="J87" s="1" t="n">
        <v>0.382936845591093</v>
      </c>
      <c r="K87" s="1" t="n">
        <f aca="false">J87-I87</f>
        <v>0.057751377212555</v>
      </c>
      <c r="L87" s="1" t="n">
        <v>0.75883989362582</v>
      </c>
    </row>
    <row r="88" customFormat="false" ht="15" hidden="false" customHeight="false" outlineLevel="0" collapsed="false">
      <c r="A88" s="1" t="s">
        <v>71</v>
      </c>
      <c r="B88" s="1" t="s">
        <v>72</v>
      </c>
      <c r="C88" s="1" t="s">
        <v>73</v>
      </c>
      <c r="D88" s="1" t="s">
        <v>19</v>
      </c>
      <c r="E88" s="1" t="s">
        <v>20</v>
      </c>
      <c r="F88" s="2" t="n">
        <v>28</v>
      </c>
      <c r="G88" s="3" t="s">
        <v>41</v>
      </c>
      <c r="H88" s="1" t="n">
        <v>0.1866</v>
      </c>
      <c r="I88" s="1" t="n">
        <v>0.303423649391753</v>
      </c>
      <c r="J88" s="1" t="n">
        <v>0.353006123888198</v>
      </c>
      <c r="K88" s="1" t="n">
        <f aca="false">J88-I88</f>
        <v>0.049582474496445</v>
      </c>
      <c r="L88" s="1" t="n">
        <v>0.75883989362582</v>
      </c>
    </row>
    <row r="89" customFormat="false" ht="15" hidden="false" customHeight="false" outlineLevel="0" collapsed="false">
      <c r="A89" s="1" t="s">
        <v>71</v>
      </c>
      <c r="B89" s="1" t="s">
        <v>72</v>
      </c>
      <c r="C89" s="1" t="s">
        <v>73</v>
      </c>
      <c r="D89" s="1" t="s">
        <v>19</v>
      </c>
      <c r="E89" s="1" t="s">
        <v>20</v>
      </c>
      <c r="F89" s="2" t="n">
        <v>28</v>
      </c>
      <c r="G89" s="3" t="s">
        <v>34</v>
      </c>
      <c r="H89" s="1" t="n">
        <v>0.1717</v>
      </c>
      <c r="I89" s="1" t="n">
        <v>0.279272218029882</v>
      </c>
      <c r="J89" s="1" t="n">
        <v>0.340750423646051</v>
      </c>
      <c r="K89" s="1" t="n">
        <f aca="false">J89-I89</f>
        <v>0.061478205616169</v>
      </c>
      <c r="L89" s="1" t="n">
        <v>0.75883989362582</v>
      </c>
    </row>
    <row r="90" customFormat="false" ht="15" hidden="false" customHeight="false" outlineLevel="0" collapsed="false">
      <c r="A90" s="1" t="s">
        <v>71</v>
      </c>
      <c r="B90" s="1" t="s">
        <v>72</v>
      </c>
      <c r="C90" s="1" t="s">
        <v>73</v>
      </c>
      <c r="D90" s="1" t="s">
        <v>19</v>
      </c>
      <c r="E90" s="1" t="s">
        <v>20</v>
      </c>
      <c r="F90" s="2" t="n">
        <v>28</v>
      </c>
      <c r="G90" s="3" t="s">
        <v>23</v>
      </c>
      <c r="H90" s="1" t="n">
        <v>0.1715</v>
      </c>
      <c r="I90" s="1" t="n">
        <v>0.278881364672468</v>
      </c>
      <c r="J90" s="1" t="n">
        <v>0.306698458649552</v>
      </c>
      <c r="K90" s="1" t="n">
        <f aca="false">J90-I90</f>
        <v>0.027817093977084</v>
      </c>
      <c r="L90" s="1" t="n">
        <v>0.75883989362582</v>
      </c>
    </row>
    <row r="91" customFormat="false" ht="15" hidden="false" customHeight="false" outlineLevel="0" collapsed="false">
      <c r="A91" s="1" t="s">
        <v>71</v>
      </c>
      <c r="B91" s="1" t="s">
        <v>72</v>
      </c>
      <c r="C91" s="1" t="s">
        <v>73</v>
      </c>
      <c r="D91" s="1" t="s">
        <v>19</v>
      </c>
      <c r="E91" s="1" t="s">
        <v>20</v>
      </c>
      <c r="F91" s="2" t="n">
        <v>28</v>
      </c>
      <c r="G91" s="3" t="s">
        <v>55</v>
      </c>
      <c r="H91" s="1" t="n">
        <v>0.1703</v>
      </c>
      <c r="I91" s="1" t="n">
        <v>0.276933438437446</v>
      </c>
      <c r="J91" s="1" t="n">
        <v>0.339597521883326</v>
      </c>
      <c r="K91" s="1" t="n">
        <f aca="false">J91-I91</f>
        <v>0.06266408344588</v>
      </c>
      <c r="L91" s="1" t="n">
        <v>0.75883989362582</v>
      </c>
    </row>
    <row r="92" customFormat="false" ht="15" hidden="false" customHeight="false" outlineLevel="0" collapsed="false">
      <c r="A92" s="1" t="s">
        <v>71</v>
      </c>
      <c r="B92" s="1" t="s">
        <v>72</v>
      </c>
      <c r="C92" s="1" t="s">
        <v>73</v>
      </c>
      <c r="D92" s="1" t="s">
        <v>19</v>
      </c>
      <c r="E92" s="1" t="s">
        <v>20</v>
      </c>
      <c r="F92" s="2" t="n">
        <v>28</v>
      </c>
      <c r="G92" s="3" t="s">
        <v>26</v>
      </c>
      <c r="H92" s="1" t="n">
        <v>0.1</v>
      </c>
      <c r="I92" s="1" t="n">
        <v>0.214916947692037</v>
      </c>
      <c r="J92" s="1" t="n">
        <v>0.258840447084127</v>
      </c>
      <c r="K92" s="1" t="n">
        <f aca="false">J92-I92</f>
        <v>0.04392349939209</v>
      </c>
      <c r="L92" s="1" t="n">
        <v>0.75883989362582</v>
      </c>
    </row>
    <row r="93" customFormat="false" ht="15" hidden="false" customHeight="false" outlineLevel="0" collapsed="false">
      <c r="A93" s="1" t="s">
        <v>74</v>
      </c>
      <c r="B93" s="1" t="s">
        <v>75</v>
      </c>
      <c r="C93" s="1" t="s">
        <v>76</v>
      </c>
      <c r="D93" s="1" t="s">
        <v>19</v>
      </c>
      <c r="E93" s="1" t="s">
        <v>20</v>
      </c>
      <c r="F93" s="2" t="n">
        <v>30</v>
      </c>
      <c r="G93" s="3" t="s">
        <v>21</v>
      </c>
      <c r="H93" s="1" t="n">
        <v>0.1938</v>
      </c>
      <c r="I93" s="1" t="n">
        <v>0.33823776677349</v>
      </c>
      <c r="J93" s="1" t="n">
        <v>0.416653677068981</v>
      </c>
      <c r="K93" s="1" t="n">
        <f aca="false">J93-I93</f>
        <v>0.078415910295491</v>
      </c>
      <c r="L93" s="1" t="n">
        <v>0.648642368618967</v>
      </c>
    </row>
    <row r="94" customFormat="false" ht="15" hidden="false" customHeight="false" outlineLevel="0" collapsed="false">
      <c r="A94" s="1" t="s">
        <v>74</v>
      </c>
      <c r="B94" s="1" t="s">
        <v>75</v>
      </c>
      <c r="C94" s="1" t="s">
        <v>76</v>
      </c>
      <c r="D94" s="1" t="s">
        <v>19</v>
      </c>
      <c r="E94" s="1" t="s">
        <v>20</v>
      </c>
      <c r="F94" s="2" t="n">
        <v>30</v>
      </c>
      <c r="G94" s="3" t="s">
        <v>23</v>
      </c>
      <c r="H94" s="1" t="n">
        <v>0.1935</v>
      </c>
      <c r="I94" s="1" t="n">
        <v>0.337815675680694</v>
      </c>
      <c r="J94" s="1" t="n">
        <v>0.344161948532358</v>
      </c>
      <c r="K94" s="1" t="n">
        <f aca="false">J94-I94</f>
        <v>0.006346272851664</v>
      </c>
      <c r="L94" s="1" t="n">
        <v>0.648642368618967</v>
      </c>
    </row>
    <row r="95" customFormat="false" ht="15" hidden="false" customHeight="false" outlineLevel="0" collapsed="false">
      <c r="A95" s="1" t="s">
        <v>74</v>
      </c>
      <c r="B95" s="1" t="s">
        <v>75</v>
      </c>
      <c r="C95" s="1" t="s">
        <v>76</v>
      </c>
      <c r="D95" s="1" t="s">
        <v>19</v>
      </c>
      <c r="E95" s="1" t="s">
        <v>20</v>
      </c>
      <c r="F95" s="2" t="n">
        <v>30</v>
      </c>
      <c r="G95" s="3" t="s">
        <v>55</v>
      </c>
      <c r="H95" s="1" t="n">
        <v>0.1768</v>
      </c>
      <c r="I95" s="1" t="n">
        <v>0.30868753238025</v>
      </c>
      <c r="J95" s="1" t="n">
        <v>0.331161391516869</v>
      </c>
      <c r="K95" s="1" t="n">
        <f aca="false">J95-I95</f>
        <v>0.022473859136619</v>
      </c>
      <c r="L95" s="1" t="n">
        <v>0.648642368618967</v>
      </c>
    </row>
    <row r="96" customFormat="false" ht="15" hidden="false" customHeight="false" outlineLevel="0" collapsed="false">
      <c r="A96" s="1" t="s">
        <v>74</v>
      </c>
      <c r="B96" s="1" t="s">
        <v>75</v>
      </c>
      <c r="C96" s="1" t="s">
        <v>76</v>
      </c>
      <c r="D96" s="1" t="s">
        <v>19</v>
      </c>
      <c r="E96" s="1" t="s">
        <v>20</v>
      </c>
      <c r="F96" s="2" t="n">
        <v>30</v>
      </c>
      <c r="G96" s="3" t="s">
        <v>41</v>
      </c>
      <c r="H96" s="1" t="n">
        <v>0.1724</v>
      </c>
      <c r="I96" s="1" t="n">
        <v>0.301012257182239</v>
      </c>
      <c r="J96" s="1" t="n">
        <v>0.292414558655016</v>
      </c>
      <c r="K96" s="1" t="n">
        <f aca="false">J96-I96</f>
        <v>-0.00859769852722303</v>
      </c>
      <c r="L96" s="1" t="n">
        <v>0.648642368618967</v>
      </c>
    </row>
    <row r="97" customFormat="false" ht="15" hidden="false" customHeight="false" outlineLevel="0" collapsed="false">
      <c r="A97" s="1" t="s">
        <v>74</v>
      </c>
      <c r="B97" s="1" t="s">
        <v>75</v>
      </c>
      <c r="C97" s="1" t="s">
        <v>76</v>
      </c>
      <c r="D97" s="1" t="s">
        <v>19</v>
      </c>
      <c r="E97" s="1" t="s">
        <v>20</v>
      </c>
      <c r="F97" s="2" t="n">
        <v>30</v>
      </c>
      <c r="G97" s="3" t="s">
        <v>22</v>
      </c>
      <c r="H97" s="1" t="n">
        <v>0.1634</v>
      </c>
      <c r="I97" s="1" t="n">
        <v>0.285230707048389</v>
      </c>
      <c r="J97" s="1" t="n">
        <v>0.363425904688259</v>
      </c>
      <c r="K97" s="1" t="n">
        <f aca="false">J97-I97</f>
        <v>0.07819519763987</v>
      </c>
      <c r="L97" s="1" t="n">
        <v>0.648642368618967</v>
      </c>
    </row>
    <row r="98" customFormat="false" ht="15" hidden="false" customHeight="false" outlineLevel="0" collapsed="false">
      <c r="A98" s="1" t="s">
        <v>74</v>
      </c>
      <c r="B98" s="1" t="s">
        <v>75</v>
      </c>
      <c r="C98" s="1" t="s">
        <v>76</v>
      </c>
      <c r="D98" s="1" t="s">
        <v>19</v>
      </c>
      <c r="E98" s="1" t="s">
        <v>20</v>
      </c>
      <c r="F98" s="2" t="n">
        <v>30</v>
      </c>
      <c r="G98" s="3" t="s">
        <v>26</v>
      </c>
      <c r="H98" s="1" t="n">
        <v>0.1</v>
      </c>
      <c r="I98" s="1" t="n">
        <v>0.213438200610878</v>
      </c>
      <c r="J98" s="1" t="n">
        <v>0.275074476360885</v>
      </c>
      <c r="K98" s="1" t="n">
        <f aca="false">J98-I98</f>
        <v>0.061636275750007</v>
      </c>
      <c r="L98" s="1" t="n">
        <v>0.648642368618967</v>
      </c>
    </row>
    <row r="99" customFormat="false" ht="15" hidden="false" customHeight="false" outlineLevel="0" collapsed="false">
      <c r="A99" s="1" t="s">
        <v>77</v>
      </c>
      <c r="B99" s="1" t="s">
        <v>78</v>
      </c>
      <c r="C99" s="1" t="s">
        <v>79</v>
      </c>
      <c r="D99" s="1" t="s">
        <v>19</v>
      </c>
      <c r="E99" s="1" t="s">
        <v>20</v>
      </c>
      <c r="F99" s="2" t="n">
        <v>32</v>
      </c>
      <c r="G99" s="3" t="s">
        <v>21</v>
      </c>
      <c r="H99" s="1" t="n">
        <v>0.2136</v>
      </c>
      <c r="I99" s="1" t="n">
        <v>0.324933885850141</v>
      </c>
      <c r="J99" s="1" t="n">
        <v>0.365553985092556</v>
      </c>
      <c r="K99" s="1" t="n">
        <f aca="false">J99-I99</f>
        <v>0.040620099242415</v>
      </c>
      <c r="L99" s="1" t="n">
        <v>0.779837433316897</v>
      </c>
    </row>
    <row r="100" customFormat="false" ht="15" hidden="false" customHeight="false" outlineLevel="0" collapsed="false">
      <c r="A100" s="1" t="s">
        <v>77</v>
      </c>
      <c r="B100" s="1" t="s">
        <v>78</v>
      </c>
      <c r="C100" s="1" t="s">
        <v>79</v>
      </c>
      <c r="D100" s="1" t="s">
        <v>19</v>
      </c>
      <c r="E100" s="1" t="s">
        <v>20</v>
      </c>
      <c r="F100" s="2" t="n">
        <v>32</v>
      </c>
      <c r="G100" s="3" t="s">
        <v>22</v>
      </c>
      <c r="H100" s="1" t="n">
        <v>0.1797</v>
      </c>
      <c r="I100" s="1" t="n">
        <v>0.273403957789735</v>
      </c>
      <c r="J100" s="1" t="n">
        <v>0.313707979817541</v>
      </c>
      <c r="K100" s="1" t="n">
        <f aca="false">J100-I100</f>
        <v>0.040304022027806</v>
      </c>
      <c r="L100" s="1" t="n">
        <v>0.779837433316897</v>
      </c>
    </row>
    <row r="101" customFormat="false" ht="15" hidden="false" customHeight="false" outlineLevel="0" collapsed="false">
      <c r="A101" s="1" t="s">
        <v>77</v>
      </c>
      <c r="B101" s="1" t="s">
        <v>78</v>
      </c>
      <c r="C101" s="1" t="s">
        <v>79</v>
      </c>
      <c r="D101" s="1" t="s">
        <v>19</v>
      </c>
      <c r="E101" s="1" t="s">
        <v>20</v>
      </c>
      <c r="F101" s="2" t="n">
        <v>32</v>
      </c>
      <c r="G101" s="3" t="s">
        <v>55</v>
      </c>
      <c r="H101" s="1" t="n">
        <v>0.1732</v>
      </c>
      <c r="I101" s="1" t="n">
        <v>0.263534891034813</v>
      </c>
      <c r="J101" s="1" t="n">
        <v>0.317886093358856</v>
      </c>
      <c r="K101" s="1" t="n">
        <f aca="false">J101-I101</f>
        <v>0.054351202324043</v>
      </c>
      <c r="L101" s="1" t="n">
        <v>0.779837433316897</v>
      </c>
    </row>
    <row r="102" customFormat="false" ht="15" hidden="false" customHeight="false" outlineLevel="0" collapsed="false">
      <c r="A102" s="1" t="s">
        <v>77</v>
      </c>
      <c r="B102" s="1" t="s">
        <v>78</v>
      </c>
      <c r="C102" s="1" t="s">
        <v>79</v>
      </c>
      <c r="D102" s="1" t="s">
        <v>19</v>
      </c>
      <c r="E102" s="1" t="s">
        <v>20</v>
      </c>
      <c r="F102" s="2" t="n">
        <v>32</v>
      </c>
      <c r="G102" s="3" t="s">
        <v>23</v>
      </c>
      <c r="H102" s="1" t="n">
        <v>0.1667</v>
      </c>
      <c r="I102" s="1" t="n">
        <v>0.253668010932393</v>
      </c>
      <c r="J102" s="1" t="n">
        <v>0.311832234551647</v>
      </c>
      <c r="K102" s="1" t="n">
        <f aca="false">J102-I102</f>
        <v>0.058164223619254</v>
      </c>
      <c r="L102" s="1" t="n">
        <v>0.779837433316897</v>
      </c>
    </row>
    <row r="103" customFormat="false" ht="15" hidden="false" customHeight="false" outlineLevel="0" collapsed="false">
      <c r="A103" s="1" t="s">
        <v>77</v>
      </c>
      <c r="B103" s="1" t="s">
        <v>78</v>
      </c>
      <c r="C103" s="1" t="s">
        <v>79</v>
      </c>
      <c r="D103" s="1" t="s">
        <v>19</v>
      </c>
      <c r="E103" s="1" t="s">
        <v>20</v>
      </c>
      <c r="F103" s="2" t="n">
        <v>32</v>
      </c>
      <c r="G103" s="3" t="s">
        <v>34</v>
      </c>
      <c r="H103" s="1" t="n">
        <v>0.1667</v>
      </c>
      <c r="I103" s="1" t="n">
        <v>0.253624252917614</v>
      </c>
      <c r="J103" s="1" t="n">
        <v>0.296700928762536</v>
      </c>
      <c r="K103" s="1" t="n">
        <f aca="false">J103-I103</f>
        <v>0.043076675844922</v>
      </c>
      <c r="L103" s="1" t="n">
        <v>0.779837433316897</v>
      </c>
    </row>
    <row r="104" customFormat="false" ht="15" hidden="false" customHeight="false" outlineLevel="0" collapsed="false">
      <c r="A104" s="1" t="s">
        <v>77</v>
      </c>
      <c r="B104" s="1" t="s">
        <v>78</v>
      </c>
      <c r="C104" s="1" t="s">
        <v>79</v>
      </c>
      <c r="D104" s="1" t="s">
        <v>19</v>
      </c>
      <c r="E104" s="1" t="s">
        <v>20</v>
      </c>
      <c r="F104" s="2" t="n">
        <v>32</v>
      </c>
      <c r="G104" s="3" t="s">
        <v>26</v>
      </c>
      <c r="H104" s="1" t="n">
        <v>0.1</v>
      </c>
      <c r="I104" s="1" t="n">
        <v>0.228005497688323</v>
      </c>
      <c r="J104" s="1" t="n">
        <v>0.224439784876219</v>
      </c>
      <c r="K104" s="1" t="n">
        <f aca="false">J104-I104</f>
        <v>-0.00356571281210402</v>
      </c>
      <c r="L104" s="1" t="n">
        <v>0.779837433316897</v>
      </c>
    </row>
    <row r="105" customFormat="false" ht="15" hidden="false" customHeight="false" outlineLevel="0" collapsed="false">
      <c r="A105" s="1" t="s">
        <v>80</v>
      </c>
      <c r="B105" s="1" t="s">
        <v>81</v>
      </c>
      <c r="C105" s="1" t="s">
        <v>82</v>
      </c>
      <c r="D105" s="1" t="s">
        <v>19</v>
      </c>
      <c r="E105" s="1" t="s">
        <v>20</v>
      </c>
      <c r="F105" s="2" t="n">
        <v>34</v>
      </c>
      <c r="G105" s="3" t="s">
        <v>21</v>
      </c>
      <c r="H105" s="1" t="n">
        <v>0.2058</v>
      </c>
      <c r="I105" s="1" t="n">
        <v>0.355477052864622</v>
      </c>
      <c r="J105" s="1" t="n">
        <v>0.470289575029456</v>
      </c>
      <c r="K105" s="1" t="n">
        <f aca="false">J105-I105</f>
        <v>0.114812522164834</v>
      </c>
      <c r="L105" s="1" t="n">
        <v>0.572089176041892</v>
      </c>
    </row>
    <row r="106" customFormat="false" ht="15" hidden="false" customHeight="false" outlineLevel="0" collapsed="false">
      <c r="A106" s="1" t="s">
        <v>80</v>
      </c>
      <c r="B106" s="1" t="s">
        <v>81</v>
      </c>
      <c r="C106" s="1" t="s">
        <v>82</v>
      </c>
      <c r="D106" s="1" t="s">
        <v>19</v>
      </c>
      <c r="E106" s="1" t="s">
        <v>20</v>
      </c>
      <c r="F106" s="2" t="n">
        <v>34</v>
      </c>
      <c r="G106" s="3" t="s">
        <v>23</v>
      </c>
      <c r="H106" s="1" t="n">
        <v>0.1838</v>
      </c>
      <c r="I106" s="1" t="n">
        <v>0.317417871375838</v>
      </c>
      <c r="J106" s="1" t="n">
        <v>0.40370010114096</v>
      </c>
      <c r="K106" s="1" t="n">
        <f aca="false">J106-I106</f>
        <v>0.086282229765122</v>
      </c>
      <c r="L106" s="1" t="n">
        <v>0.572089176041892</v>
      </c>
    </row>
    <row r="107" customFormat="false" ht="15" hidden="false" customHeight="false" outlineLevel="0" collapsed="false">
      <c r="A107" s="1" t="s">
        <v>80</v>
      </c>
      <c r="B107" s="1" t="s">
        <v>81</v>
      </c>
      <c r="C107" s="1" t="s">
        <v>82</v>
      </c>
      <c r="D107" s="1" t="s">
        <v>19</v>
      </c>
      <c r="E107" s="1" t="s">
        <v>20</v>
      </c>
      <c r="F107" s="2" t="n">
        <v>34</v>
      </c>
      <c r="G107" s="3" t="s">
        <v>30</v>
      </c>
      <c r="H107" s="1" t="n">
        <v>0.1722</v>
      </c>
      <c r="I107" s="1" t="n">
        <v>0.297501474678034</v>
      </c>
      <c r="J107" s="1" t="n">
        <v>0.427702235555267</v>
      </c>
      <c r="K107" s="1" t="n">
        <f aca="false">J107-I107</f>
        <v>0.130200760877233</v>
      </c>
      <c r="L107" s="1" t="n">
        <v>0.572089176041892</v>
      </c>
    </row>
    <row r="108" customFormat="false" ht="15" hidden="false" customHeight="false" outlineLevel="0" collapsed="false">
      <c r="A108" s="1" t="s">
        <v>80</v>
      </c>
      <c r="B108" s="1" t="s">
        <v>81</v>
      </c>
      <c r="C108" s="1" t="s">
        <v>82</v>
      </c>
      <c r="D108" s="1" t="s">
        <v>19</v>
      </c>
      <c r="E108" s="1" t="s">
        <v>20</v>
      </c>
      <c r="F108" s="2" t="n">
        <v>34</v>
      </c>
      <c r="G108" s="3" t="s">
        <v>22</v>
      </c>
      <c r="H108" s="1" t="n">
        <v>0.1715</v>
      </c>
      <c r="I108" s="1" t="n">
        <v>0.296145526060039</v>
      </c>
      <c r="J108" s="1" t="n">
        <v>0.432081971619532</v>
      </c>
      <c r="K108" s="1" t="n">
        <f aca="false">J108-I108</f>
        <v>0.135936445559493</v>
      </c>
      <c r="L108" s="1" t="n">
        <v>0.572089176041892</v>
      </c>
    </row>
    <row r="109" customFormat="false" ht="15" hidden="false" customHeight="false" outlineLevel="0" collapsed="false">
      <c r="A109" s="1" t="s">
        <v>80</v>
      </c>
      <c r="B109" s="1" t="s">
        <v>81</v>
      </c>
      <c r="C109" s="1" t="s">
        <v>82</v>
      </c>
      <c r="D109" s="1" t="s">
        <v>19</v>
      </c>
      <c r="E109" s="1" t="s">
        <v>20</v>
      </c>
      <c r="F109" s="2" t="n">
        <v>34</v>
      </c>
      <c r="G109" s="3" t="s">
        <v>55</v>
      </c>
      <c r="H109" s="1" t="n">
        <v>0.1667</v>
      </c>
      <c r="I109" s="1" t="n">
        <v>0.287937690522565</v>
      </c>
      <c r="J109" s="1" t="n">
        <v>0.406620979642352</v>
      </c>
      <c r="K109" s="1" t="n">
        <f aca="false">J109-I109</f>
        <v>0.118683289119787</v>
      </c>
      <c r="L109" s="1" t="n">
        <v>0.572089176041892</v>
      </c>
    </row>
    <row r="110" customFormat="false" ht="15" hidden="false" customHeight="false" outlineLevel="0" collapsed="false">
      <c r="A110" s="1" t="s">
        <v>80</v>
      </c>
      <c r="B110" s="1" t="s">
        <v>81</v>
      </c>
      <c r="C110" s="1" t="s">
        <v>82</v>
      </c>
      <c r="D110" s="1" t="s">
        <v>19</v>
      </c>
      <c r="E110" s="1" t="s">
        <v>20</v>
      </c>
      <c r="F110" s="2" t="n">
        <v>34</v>
      </c>
      <c r="G110" s="3" t="s">
        <v>26</v>
      </c>
      <c r="H110" s="1" t="n">
        <v>0.1</v>
      </c>
      <c r="I110" s="1" t="n">
        <v>0.203880376234325</v>
      </c>
      <c r="J110" s="1" t="n">
        <v>0.347635758252128</v>
      </c>
      <c r="K110" s="1" t="n">
        <f aca="false">J110-I110</f>
        <v>0.143755382017803</v>
      </c>
      <c r="L110" s="1" t="n">
        <v>0.572089176041892</v>
      </c>
    </row>
    <row r="111" customFormat="false" ht="15" hidden="false" customHeight="false" outlineLevel="0" collapsed="false">
      <c r="A111" s="1" t="s">
        <v>83</v>
      </c>
      <c r="B111" s="1" t="s">
        <v>84</v>
      </c>
      <c r="C111" s="1" t="s">
        <v>85</v>
      </c>
      <c r="D111" s="1" t="s">
        <v>19</v>
      </c>
      <c r="E111" s="1" t="s">
        <v>20</v>
      </c>
      <c r="F111" s="2" t="n">
        <v>36</v>
      </c>
      <c r="G111" s="3" t="s">
        <v>21</v>
      </c>
      <c r="H111" s="1" t="n">
        <v>0.1899</v>
      </c>
      <c r="I111" s="1" t="n">
        <v>0.401565741875607</v>
      </c>
      <c r="J111" s="1" t="n">
        <v>0.514121976997532</v>
      </c>
      <c r="K111" s="1" t="n">
        <f aca="false">J111-I111</f>
        <v>0.112556235121925</v>
      </c>
      <c r="L111" s="1" t="n">
        <v>0.763968943789392</v>
      </c>
    </row>
    <row r="112" customFormat="false" ht="15" hidden="false" customHeight="false" outlineLevel="0" collapsed="false">
      <c r="A112" s="1" t="s">
        <v>83</v>
      </c>
      <c r="B112" s="1" t="s">
        <v>84</v>
      </c>
      <c r="C112" s="1" t="s">
        <v>85</v>
      </c>
      <c r="D112" s="1" t="s">
        <v>19</v>
      </c>
      <c r="E112" s="1" t="s">
        <v>20</v>
      </c>
      <c r="F112" s="2" t="n">
        <v>36</v>
      </c>
      <c r="G112" s="3" t="s">
        <v>30</v>
      </c>
      <c r="H112" s="1" t="n">
        <v>0.1817</v>
      </c>
      <c r="I112" s="1" t="n">
        <v>0.384124412092587</v>
      </c>
      <c r="J112" s="1" t="n">
        <v>0.453513905102499</v>
      </c>
      <c r="K112" s="1" t="n">
        <f aca="false">J112-I112</f>
        <v>0.069389493009912</v>
      </c>
      <c r="L112" s="1" t="n">
        <v>0.763968943789392</v>
      </c>
    </row>
    <row r="113" customFormat="false" ht="15" hidden="false" customHeight="false" outlineLevel="0" collapsed="false">
      <c r="A113" s="1" t="s">
        <v>83</v>
      </c>
      <c r="B113" s="1" t="s">
        <v>84</v>
      </c>
      <c r="C113" s="1" t="s">
        <v>85</v>
      </c>
      <c r="D113" s="1" t="s">
        <v>19</v>
      </c>
      <c r="E113" s="1" t="s">
        <v>20</v>
      </c>
      <c r="F113" s="2" t="n">
        <v>36</v>
      </c>
      <c r="G113" s="3" t="s">
        <v>55</v>
      </c>
      <c r="H113" s="1" t="n">
        <v>0.1801</v>
      </c>
      <c r="I113" s="1" t="n">
        <v>0.380906074408631</v>
      </c>
      <c r="J113" s="1" t="n">
        <v>0.466092003784311</v>
      </c>
      <c r="K113" s="1" t="n">
        <f aca="false">J113-I113</f>
        <v>0.08518592937568</v>
      </c>
      <c r="L113" s="1" t="n">
        <v>0.763968943789392</v>
      </c>
    </row>
    <row r="114" customFormat="false" ht="15" hidden="false" customHeight="false" outlineLevel="0" collapsed="false">
      <c r="A114" s="1" t="s">
        <v>83</v>
      </c>
      <c r="B114" s="1" t="s">
        <v>84</v>
      </c>
      <c r="C114" s="1" t="s">
        <v>85</v>
      </c>
      <c r="D114" s="1" t="s">
        <v>19</v>
      </c>
      <c r="E114" s="1" t="s">
        <v>20</v>
      </c>
      <c r="F114" s="2" t="n">
        <v>36</v>
      </c>
      <c r="G114" s="3" t="s">
        <v>41</v>
      </c>
      <c r="H114" s="1" t="n">
        <v>0.1766</v>
      </c>
      <c r="I114" s="1" t="n">
        <v>0.373472128320157</v>
      </c>
      <c r="J114" s="1" t="n">
        <v>0.431166782883481</v>
      </c>
      <c r="K114" s="1" t="n">
        <f aca="false">J114-I114</f>
        <v>0.057694654563324</v>
      </c>
      <c r="L114" s="1" t="n">
        <v>0.763968943789392</v>
      </c>
    </row>
    <row r="115" customFormat="false" ht="15" hidden="false" customHeight="false" outlineLevel="0" collapsed="false">
      <c r="A115" s="1" t="s">
        <v>83</v>
      </c>
      <c r="B115" s="1" t="s">
        <v>84</v>
      </c>
      <c r="C115" s="1" t="s">
        <v>85</v>
      </c>
      <c r="D115" s="1" t="s">
        <v>19</v>
      </c>
      <c r="E115" s="1" t="s">
        <v>20</v>
      </c>
      <c r="F115" s="2" t="n">
        <v>36</v>
      </c>
      <c r="G115" s="3" t="s">
        <v>23</v>
      </c>
      <c r="H115" s="1" t="n">
        <v>0.1717</v>
      </c>
      <c r="I115" s="1" t="n">
        <v>0.362989572241698</v>
      </c>
      <c r="J115" s="1" t="n">
        <v>0.437505117753911</v>
      </c>
      <c r="K115" s="1" t="n">
        <f aca="false">J115-I115</f>
        <v>0.074515545512213</v>
      </c>
      <c r="L115" s="1" t="n">
        <v>0.763968943789392</v>
      </c>
    </row>
    <row r="116" customFormat="false" ht="15" hidden="false" customHeight="false" outlineLevel="0" collapsed="false">
      <c r="A116" s="1" t="s">
        <v>83</v>
      </c>
      <c r="B116" s="1" t="s">
        <v>84</v>
      </c>
      <c r="C116" s="1" t="s">
        <v>85</v>
      </c>
      <c r="D116" s="1" t="s">
        <v>19</v>
      </c>
      <c r="E116" s="1" t="s">
        <v>20</v>
      </c>
      <c r="F116" s="2" t="n">
        <v>36</v>
      </c>
      <c r="G116" s="3" t="s">
        <v>26</v>
      </c>
      <c r="H116" s="1" t="n">
        <v>0.1</v>
      </c>
      <c r="I116" s="1" t="n">
        <v>0.318293351272488</v>
      </c>
      <c r="J116" s="1" t="n">
        <v>0.390121987717579</v>
      </c>
      <c r="K116" s="1" t="n">
        <f aca="false">J116-I116</f>
        <v>0.071828636445091</v>
      </c>
      <c r="L116" s="1" t="n">
        <v>0.763968943789392</v>
      </c>
    </row>
    <row r="117" customFormat="false" ht="15" hidden="false" customHeight="false" outlineLevel="0" collapsed="false">
      <c r="A117" s="1" t="s">
        <v>86</v>
      </c>
      <c r="B117" s="1" t="s">
        <v>87</v>
      </c>
      <c r="C117" s="1" t="s">
        <v>88</v>
      </c>
      <c r="D117" s="1" t="s">
        <v>19</v>
      </c>
      <c r="E117" s="1" t="s">
        <v>20</v>
      </c>
      <c r="F117" s="2" t="n">
        <v>38</v>
      </c>
      <c r="G117" s="3" t="s">
        <v>21</v>
      </c>
      <c r="H117" s="1" t="n">
        <v>0.1914</v>
      </c>
      <c r="I117" s="1" t="n">
        <v>0.344290129064071</v>
      </c>
      <c r="J117" s="1" t="n">
        <v>0.378609515205348</v>
      </c>
      <c r="K117" s="1" t="n">
        <f aca="false">J117-I117</f>
        <v>0.034319386141277</v>
      </c>
      <c r="L117" s="1" t="n">
        <v>0.624304602360581</v>
      </c>
    </row>
    <row r="118" customFormat="false" ht="15" hidden="false" customHeight="false" outlineLevel="0" collapsed="false">
      <c r="A118" s="1" t="s">
        <v>86</v>
      </c>
      <c r="B118" s="1" t="s">
        <v>87</v>
      </c>
      <c r="C118" s="1" t="s">
        <v>88</v>
      </c>
      <c r="D118" s="1" t="s">
        <v>19</v>
      </c>
      <c r="E118" s="1" t="s">
        <v>20</v>
      </c>
      <c r="F118" s="2" t="n">
        <v>38</v>
      </c>
      <c r="G118" s="3" t="s">
        <v>41</v>
      </c>
      <c r="H118" s="1" t="n">
        <v>0.1906</v>
      </c>
      <c r="I118" s="1" t="n">
        <v>0.342820848331598</v>
      </c>
      <c r="J118" s="1" t="n">
        <v>0.329516046534682</v>
      </c>
      <c r="K118" s="1" t="n">
        <f aca="false">J118-I118</f>
        <v>-0.013304801796916</v>
      </c>
      <c r="L118" s="1" t="n">
        <v>0.624304602360581</v>
      </c>
    </row>
    <row r="119" customFormat="false" ht="15" hidden="false" customHeight="false" outlineLevel="0" collapsed="false">
      <c r="A119" s="1" t="s">
        <v>86</v>
      </c>
      <c r="B119" s="1" t="s">
        <v>87</v>
      </c>
      <c r="C119" s="1" t="s">
        <v>88</v>
      </c>
      <c r="D119" s="1" t="s">
        <v>19</v>
      </c>
      <c r="E119" s="1" t="s">
        <v>20</v>
      </c>
      <c r="F119" s="2" t="n">
        <v>38</v>
      </c>
      <c r="G119" s="3" t="s">
        <v>22</v>
      </c>
      <c r="H119" s="1" t="n">
        <v>0.1737</v>
      </c>
      <c r="I119" s="1" t="n">
        <v>0.312534344540645</v>
      </c>
      <c r="J119" s="1" t="n">
        <v>0.329534736177611</v>
      </c>
      <c r="K119" s="1" t="n">
        <f aca="false">J119-I119</f>
        <v>0.017000391636966</v>
      </c>
      <c r="L119" s="1" t="n">
        <v>0.624304602360581</v>
      </c>
    </row>
    <row r="120" customFormat="false" ht="15" hidden="false" customHeight="false" outlineLevel="0" collapsed="false">
      <c r="A120" s="1" t="s">
        <v>86</v>
      </c>
      <c r="B120" s="1" t="s">
        <v>87</v>
      </c>
      <c r="C120" s="1" t="s">
        <v>88</v>
      </c>
      <c r="D120" s="1" t="s">
        <v>19</v>
      </c>
      <c r="E120" s="1" t="s">
        <v>20</v>
      </c>
      <c r="F120" s="2" t="n">
        <v>38</v>
      </c>
      <c r="G120" s="3" t="s">
        <v>30</v>
      </c>
      <c r="H120" s="1" t="n">
        <v>0.1733</v>
      </c>
      <c r="I120" s="1" t="n">
        <v>0.311711132596406</v>
      </c>
      <c r="J120" s="1" t="n">
        <v>0.300249061174019</v>
      </c>
      <c r="K120" s="1" t="n">
        <f aca="false">J120-I120</f>
        <v>-0.011462071422387</v>
      </c>
      <c r="L120" s="1" t="n">
        <v>0.624304602360581</v>
      </c>
    </row>
    <row r="121" customFormat="false" ht="15" hidden="false" customHeight="false" outlineLevel="0" collapsed="false">
      <c r="A121" s="1" t="s">
        <v>86</v>
      </c>
      <c r="B121" s="1" t="s">
        <v>87</v>
      </c>
      <c r="C121" s="1" t="s">
        <v>88</v>
      </c>
      <c r="D121" s="1" t="s">
        <v>19</v>
      </c>
      <c r="E121" s="1" t="s">
        <v>20</v>
      </c>
      <c r="F121" s="2" t="n">
        <v>38</v>
      </c>
      <c r="G121" s="3" t="s">
        <v>23</v>
      </c>
      <c r="H121" s="1" t="n">
        <v>0.171</v>
      </c>
      <c r="I121" s="1" t="n">
        <v>0.307669647511326</v>
      </c>
      <c r="J121" s="1" t="n">
        <v>0.310656621306309</v>
      </c>
      <c r="K121" s="1" t="n">
        <f aca="false">J121-I121</f>
        <v>0.00298697379498297</v>
      </c>
      <c r="L121" s="1" t="n">
        <v>0.624304602360581</v>
      </c>
    </row>
    <row r="122" customFormat="false" ht="15" hidden="false" customHeight="false" outlineLevel="0" collapsed="false">
      <c r="A122" s="1" t="s">
        <v>86</v>
      </c>
      <c r="B122" s="1" t="s">
        <v>87</v>
      </c>
      <c r="C122" s="1" t="s">
        <v>88</v>
      </c>
      <c r="D122" s="1" t="s">
        <v>19</v>
      </c>
      <c r="E122" s="1" t="s">
        <v>20</v>
      </c>
      <c r="F122" s="2" t="n">
        <v>38</v>
      </c>
      <c r="G122" s="3" t="s">
        <v>26</v>
      </c>
      <c r="H122" s="1" t="n">
        <v>0.1</v>
      </c>
      <c r="I122" s="1" t="n">
        <v>0.283034484149406</v>
      </c>
      <c r="J122" s="1" t="n">
        <v>0.268024155300172</v>
      </c>
      <c r="K122" s="1" t="n">
        <f aca="false">J122-I122</f>
        <v>-0.015010328849234</v>
      </c>
      <c r="L122" s="1" t="n">
        <v>0.624304602360581</v>
      </c>
    </row>
    <row r="123" customFormat="false" ht="15" hidden="false" customHeight="false" outlineLevel="0" collapsed="false">
      <c r="A123" s="1" t="s">
        <v>89</v>
      </c>
      <c r="B123" s="1" t="s">
        <v>90</v>
      </c>
      <c r="C123" s="1" t="s">
        <v>91</v>
      </c>
      <c r="D123" s="1" t="s">
        <v>19</v>
      </c>
      <c r="E123" s="1" t="s">
        <v>20</v>
      </c>
      <c r="F123" s="2" t="n">
        <v>40</v>
      </c>
      <c r="G123" s="3" t="s">
        <v>21</v>
      </c>
      <c r="H123" s="1" t="n">
        <v>0.2092</v>
      </c>
      <c r="I123" s="1" t="n">
        <v>0.289135438385779</v>
      </c>
      <c r="J123" s="1" t="n">
        <v>0.336537556453105</v>
      </c>
      <c r="K123" s="1" t="n">
        <f aca="false">J123-I123</f>
        <v>0.047402118067326</v>
      </c>
      <c r="L123" s="1" t="n">
        <v>0.659893215109107</v>
      </c>
    </row>
    <row r="124" customFormat="false" ht="15" hidden="false" customHeight="false" outlineLevel="0" collapsed="false">
      <c r="A124" s="1" t="s">
        <v>89</v>
      </c>
      <c r="B124" s="1" t="s">
        <v>90</v>
      </c>
      <c r="C124" s="1" t="s">
        <v>91</v>
      </c>
      <c r="D124" s="1" t="s">
        <v>19</v>
      </c>
      <c r="E124" s="1" t="s">
        <v>20</v>
      </c>
      <c r="F124" s="2" t="n">
        <v>40</v>
      </c>
      <c r="G124" s="3" t="s">
        <v>34</v>
      </c>
      <c r="H124" s="1" t="n">
        <v>0.1942</v>
      </c>
      <c r="I124" s="1" t="n">
        <v>0.268465882753257</v>
      </c>
      <c r="J124" s="1" t="n">
        <v>0.230082025077256</v>
      </c>
      <c r="K124" s="1" t="n">
        <f aca="false">J124-I124</f>
        <v>-0.038383857676001</v>
      </c>
      <c r="L124" s="1" t="n">
        <v>0.659893215109107</v>
      </c>
    </row>
    <row r="125" customFormat="false" ht="15" hidden="false" customHeight="false" outlineLevel="0" collapsed="false">
      <c r="A125" s="1" t="s">
        <v>89</v>
      </c>
      <c r="B125" s="1" t="s">
        <v>90</v>
      </c>
      <c r="C125" s="1" t="s">
        <v>91</v>
      </c>
      <c r="D125" s="1" t="s">
        <v>19</v>
      </c>
      <c r="E125" s="1" t="s">
        <v>20</v>
      </c>
      <c r="F125" s="2" t="n">
        <v>40</v>
      </c>
      <c r="G125" s="3" t="s">
        <v>23</v>
      </c>
      <c r="H125" s="1" t="n">
        <v>0.1753</v>
      </c>
      <c r="I125" s="1" t="n">
        <v>0.242351423319241</v>
      </c>
      <c r="J125" s="1" t="n">
        <v>0.294029977382383</v>
      </c>
      <c r="K125" s="1" t="n">
        <f aca="false">J125-I125</f>
        <v>0.051678554063142</v>
      </c>
      <c r="L125" s="1" t="n">
        <v>0.659893215109107</v>
      </c>
    </row>
    <row r="126" customFormat="false" ht="15" hidden="false" customHeight="false" outlineLevel="0" collapsed="false">
      <c r="A126" s="1" t="s">
        <v>89</v>
      </c>
      <c r="B126" s="1" t="s">
        <v>90</v>
      </c>
      <c r="C126" s="1" t="s">
        <v>91</v>
      </c>
      <c r="D126" s="1" t="s">
        <v>19</v>
      </c>
      <c r="E126" s="1" t="s">
        <v>20</v>
      </c>
      <c r="F126" s="2" t="n">
        <v>40</v>
      </c>
      <c r="G126" s="3" t="s">
        <v>55</v>
      </c>
      <c r="H126" s="1" t="n">
        <v>0.1625</v>
      </c>
      <c r="I126" s="1" t="n">
        <v>0.224624818851736</v>
      </c>
      <c r="J126" s="1" t="n">
        <v>0.245003183379416</v>
      </c>
      <c r="K126" s="1" t="n">
        <f aca="false">J126-I126</f>
        <v>0.02037836452768</v>
      </c>
      <c r="L126" s="1" t="n">
        <v>0.659893215109107</v>
      </c>
    </row>
    <row r="127" customFormat="false" ht="15" hidden="false" customHeight="false" outlineLevel="0" collapsed="false">
      <c r="A127" s="1" t="s">
        <v>89</v>
      </c>
      <c r="B127" s="1" t="s">
        <v>90</v>
      </c>
      <c r="C127" s="1" t="s">
        <v>91</v>
      </c>
      <c r="D127" s="1" t="s">
        <v>19</v>
      </c>
      <c r="E127" s="1" t="s">
        <v>20</v>
      </c>
      <c r="F127" s="2" t="n">
        <v>40</v>
      </c>
      <c r="G127" s="3" t="s">
        <v>22</v>
      </c>
      <c r="H127" s="1" t="n">
        <v>0.1588</v>
      </c>
      <c r="I127" s="1" t="n">
        <v>0.219529676520954</v>
      </c>
      <c r="J127" s="1" t="n">
        <v>0.275362475676822</v>
      </c>
      <c r="K127" s="1" t="n">
        <f aca="false">J127-I127</f>
        <v>0.055832799155868</v>
      </c>
      <c r="L127" s="1" t="n">
        <v>0.659893215109107</v>
      </c>
    </row>
    <row r="128" customFormat="false" ht="15" hidden="false" customHeight="false" outlineLevel="0" collapsed="false">
      <c r="A128" s="1" t="s">
        <v>89</v>
      </c>
      <c r="B128" s="1" t="s">
        <v>90</v>
      </c>
      <c r="C128" s="1" t="s">
        <v>91</v>
      </c>
      <c r="D128" s="1" t="s">
        <v>19</v>
      </c>
      <c r="E128" s="1" t="s">
        <v>20</v>
      </c>
      <c r="F128" s="2" t="n">
        <v>40</v>
      </c>
      <c r="G128" s="3" t="s">
        <v>26</v>
      </c>
      <c r="H128" s="1" t="n">
        <v>0.1</v>
      </c>
      <c r="I128" s="1" t="n">
        <v>0.165791434059462</v>
      </c>
      <c r="J128" s="1" t="n">
        <v>0.200572397298638</v>
      </c>
      <c r="K128" s="1" t="n">
        <f aca="false">J128-I128</f>
        <v>0.034780963239176</v>
      </c>
      <c r="L128" s="1" t="n">
        <v>0.659893215109107</v>
      </c>
    </row>
    <row r="129" customFormat="false" ht="15" hidden="false" customHeight="false" outlineLevel="0" collapsed="false">
      <c r="A129" s="1" t="s">
        <v>92</v>
      </c>
      <c r="B129" s="1" t="s">
        <v>93</v>
      </c>
      <c r="C129" s="1" t="s">
        <v>94</v>
      </c>
      <c r="D129" s="1" t="s">
        <v>19</v>
      </c>
      <c r="E129" s="1" t="s">
        <v>20</v>
      </c>
      <c r="F129" s="2" t="n">
        <v>42</v>
      </c>
      <c r="G129" s="3" t="s">
        <v>21</v>
      </c>
      <c r="H129" s="1" t="n">
        <v>0.2124</v>
      </c>
      <c r="I129" s="1" t="n">
        <v>0.320022832670962</v>
      </c>
      <c r="J129" s="1" t="n">
        <v>0.383725888364429</v>
      </c>
      <c r="K129" s="1" t="n">
        <f aca="false">J129-I129</f>
        <v>0.063703055693467</v>
      </c>
      <c r="L129" s="1" t="n">
        <v>0.689045902907548</v>
      </c>
    </row>
    <row r="130" customFormat="false" ht="15" hidden="false" customHeight="false" outlineLevel="0" collapsed="false">
      <c r="A130" s="1" t="s">
        <v>92</v>
      </c>
      <c r="B130" s="1" t="s">
        <v>93</v>
      </c>
      <c r="C130" s="1" t="s">
        <v>94</v>
      </c>
      <c r="D130" s="1" t="s">
        <v>19</v>
      </c>
      <c r="E130" s="1" t="s">
        <v>20</v>
      </c>
      <c r="F130" s="2" t="n">
        <v>42</v>
      </c>
      <c r="G130" s="3" t="s">
        <v>23</v>
      </c>
      <c r="H130" s="1" t="n">
        <v>0.1858</v>
      </c>
      <c r="I130" s="1" t="n">
        <v>0.279874969757886</v>
      </c>
      <c r="J130" s="1" t="n">
        <v>0.329041751087092</v>
      </c>
      <c r="K130" s="1" t="n">
        <f aca="false">J130-I130</f>
        <v>0.049166781329206</v>
      </c>
      <c r="L130" s="1" t="n">
        <v>0.689045902907548</v>
      </c>
    </row>
    <row r="131" customFormat="false" ht="15" hidden="false" customHeight="false" outlineLevel="0" collapsed="false">
      <c r="A131" s="1" t="s">
        <v>92</v>
      </c>
      <c r="B131" s="1" t="s">
        <v>93</v>
      </c>
      <c r="C131" s="1" t="s">
        <v>94</v>
      </c>
      <c r="D131" s="1" t="s">
        <v>19</v>
      </c>
      <c r="E131" s="1" t="s">
        <v>20</v>
      </c>
      <c r="F131" s="2" t="n">
        <v>42</v>
      </c>
      <c r="G131" s="3" t="s">
        <v>22</v>
      </c>
      <c r="H131" s="1" t="n">
        <v>0.1743</v>
      </c>
      <c r="I131" s="1" t="n">
        <v>0.262646055487349</v>
      </c>
      <c r="J131" s="1" t="n">
        <v>0.335094436458349</v>
      </c>
      <c r="K131" s="1" t="n">
        <f aca="false">J131-I131</f>
        <v>0.072448380971</v>
      </c>
      <c r="L131" s="1" t="n">
        <v>0.689045902907548</v>
      </c>
    </row>
    <row r="132" customFormat="false" ht="15" hidden="false" customHeight="false" outlineLevel="0" collapsed="false">
      <c r="A132" s="1" t="s">
        <v>92</v>
      </c>
      <c r="B132" s="1" t="s">
        <v>93</v>
      </c>
      <c r="C132" s="1" t="s">
        <v>94</v>
      </c>
      <c r="D132" s="1" t="s">
        <v>19</v>
      </c>
      <c r="E132" s="1" t="s">
        <v>20</v>
      </c>
      <c r="F132" s="2" t="n">
        <v>42</v>
      </c>
      <c r="G132" s="3" t="s">
        <v>42</v>
      </c>
      <c r="H132" s="1" t="n">
        <v>0.1639</v>
      </c>
      <c r="I132" s="1" t="n">
        <v>0.246977774389063</v>
      </c>
      <c r="J132" s="1" t="n">
        <v>0.292925418694956</v>
      </c>
      <c r="K132" s="1" t="n">
        <f aca="false">J132-I132</f>
        <v>0.045947644305893</v>
      </c>
      <c r="L132" s="1" t="n">
        <v>0.689045902907548</v>
      </c>
    </row>
    <row r="133" customFormat="false" ht="15" hidden="false" customHeight="false" outlineLevel="0" collapsed="false">
      <c r="A133" s="1" t="s">
        <v>92</v>
      </c>
      <c r="B133" s="1" t="s">
        <v>93</v>
      </c>
      <c r="C133" s="1" t="s">
        <v>94</v>
      </c>
      <c r="D133" s="1" t="s">
        <v>19</v>
      </c>
      <c r="E133" s="1" t="s">
        <v>20</v>
      </c>
      <c r="F133" s="2" t="n">
        <v>42</v>
      </c>
      <c r="G133" s="3" t="s">
        <v>34</v>
      </c>
      <c r="H133" s="1" t="n">
        <v>0.1636</v>
      </c>
      <c r="I133" s="1" t="n">
        <v>0.246461047196749</v>
      </c>
      <c r="J133" s="1" t="n">
        <v>0.323165042972796</v>
      </c>
      <c r="K133" s="1" t="n">
        <f aca="false">J133-I133</f>
        <v>0.076703995776047</v>
      </c>
      <c r="L133" s="1" t="n">
        <v>0.689045902907548</v>
      </c>
    </row>
    <row r="134" customFormat="false" ht="15" hidden="false" customHeight="false" outlineLevel="0" collapsed="false">
      <c r="A134" s="1" t="s">
        <v>92</v>
      </c>
      <c r="B134" s="1" t="s">
        <v>93</v>
      </c>
      <c r="C134" s="1" t="s">
        <v>94</v>
      </c>
      <c r="D134" s="1" t="s">
        <v>19</v>
      </c>
      <c r="E134" s="1" t="s">
        <v>20</v>
      </c>
      <c r="F134" s="2" t="n">
        <v>42</v>
      </c>
      <c r="G134" s="3" t="s">
        <v>26</v>
      </c>
      <c r="H134" s="1" t="n">
        <v>0.1</v>
      </c>
      <c r="I134" s="1" t="n">
        <v>0.20932251746454</v>
      </c>
      <c r="J134" s="1" t="n">
        <v>0.26374474314554</v>
      </c>
      <c r="K134" s="1" t="n">
        <f aca="false">J134-I134</f>
        <v>0.054422225681</v>
      </c>
      <c r="L134" s="1" t="n">
        <v>0.689045902907548</v>
      </c>
    </row>
    <row r="135" customFormat="false" ht="15" hidden="false" customHeight="false" outlineLevel="0" collapsed="false">
      <c r="A135" s="1" t="s">
        <v>95</v>
      </c>
      <c r="B135" s="1" t="s">
        <v>96</v>
      </c>
      <c r="C135" s="1" t="s">
        <v>97</v>
      </c>
      <c r="D135" s="1" t="s">
        <v>19</v>
      </c>
      <c r="E135" s="1" t="s">
        <v>20</v>
      </c>
      <c r="F135" s="2" t="n">
        <v>44</v>
      </c>
      <c r="G135" s="3" t="s">
        <v>21</v>
      </c>
      <c r="H135" s="1" t="n">
        <v>0.1939</v>
      </c>
      <c r="I135" s="1" t="n">
        <v>0.322000102456286</v>
      </c>
      <c r="J135" s="1" t="n">
        <v>0.39889261650172</v>
      </c>
      <c r="K135" s="1" t="n">
        <f aca="false">J135-I135</f>
        <v>0.076892514045434</v>
      </c>
      <c r="L135" s="1" t="n">
        <v>0.746678659986203</v>
      </c>
    </row>
    <row r="136" customFormat="false" ht="15" hidden="false" customHeight="false" outlineLevel="0" collapsed="false">
      <c r="A136" s="1" t="s">
        <v>95</v>
      </c>
      <c r="B136" s="1" t="s">
        <v>96</v>
      </c>
      <c r="C136" s="1" t="s">
        <v>97</v>
      </c>
      <c r="D136" s="1" t="s">
        <v>19</v>
      </c>
      <c r="E136" s="1" t="s">
        <v>20</v>
      </c>
      <c r="F136" s="2" t="n">
        <v>44</v>
      </c>
      <c r="G136" s="3" t="s">
        <v>34</v>
      </c>
      <c r="H136" s="1" t="n">
        <v>0.1859</v>
      </c>
      <c r="I136" s="1" t="n">
        <v>0.308630854303215</v>
      </c>
      <c r="J136" s="1" t="n">
        <v>0.356134299474713</v>
      </c>
      <c r="K136" s="1" t="n">
        <f aca="false">J136-I136</f>
        <v>0.047503445171498</v>
      </c>
      <c r="L136" s="1" t="n">
        <v>0.746678659986203</v>
      </c>
    </row>
    <row r="137" customFormat="false" ht="15" hidden="false" customHeight="false" outlineLevel="0" collapsed="false">
      <c r="A137" s="1" t="s">
        <v>95</v>
      </c>
      <c r="B137" s="1" t="s">
        <v>96</v>
      </c>
      <c r="C137" s="1" t="s">
        <v>97</v>
      </c>
      <c r="D137" s="1" t="s">
        <v>19</v>
      </c>
      <c r="E137" s="1" t="s">
        <v>20</v>
      </c>
      <c r="F137" s="2" t="n">
        <v>44</v>
      </c>
      <c r="G137" s="3" t="s">
        <v>22</v>
      </c>
      <c r="H137" s="1" t="n">
        <v>0.1808</v>
      </c>
      <c r="I137" s="1" t="n">
        <v>0.30027408257978</v>
      </c>
      <c r="J137" s="1" t="n">
        <v>0.376537771497729</v>
      </c>
      <c r="K137" s="1" t="n">
        <f aca="false">J137-I137</f>
        <v>0.076263688917949</v>
      </c>
      <c r="L137" s="1" t="n">
        <v>0.746678659986203</v>
      </c>
    </row>
    <row r="138" customFormat="false" ht="15" hidden="false" customHeight="false" outlineLevel="0" collapsed="false">
      <c r="A138" s="1" t="s">
        <v>95</v>
      </c>
      <c r="B138" s="1" t="s">
        <v>96</v>
      </c>
      <c r="C138" s="1" t="s">
        <v>97</v>
      </c>
      <c r="D138" s="1" t="s">
        <v>19</v>
      </c>
      <c r="E138" s="1" t="s">
        <v>20</v>
      </c>
      <c r="F138" s="2" t="n">
        <v>44</v>
      </c>
      <c r="G138" s="3" t="s">
        <v>24</v>
      </c>
      <c r="H138" s="1" t="n">
        <v>0.17</v>
      </c>
      <c r="I138" s="1" t="n">
        <v>0.282269437077322</v>
      </c>
      <c r="J138" s="1" t="n">
        <v>0.309340855078571</v>
      </c>
      <c r="K138" s="1" t="n">
        <f aca="false">J138-I138</f>
        <v>0.027071418001249</v>
      </c>
      <c r="L138" s="1" t="n">
        <v>0.746678659986203</v>
      </c>
    </row>
    <row r="139" customFormat="false" ht="15" hidden="false" customHeight="false" outlineLevel="0" collapsed="false">
      <c r="A139" s="1" t="s">
        <v>95</v>
      </c>
      <c r="B139" s="1" t="s">
        <v>96</v>
      </c>
      <c r="C139" s="1" t="s">
        <v>97</v>
      </c>
      <c r="D139" s="1" t="s">
        <v>19</v>
      </c>
      <c r="E139" s="1" t="s">
        <v>20</v>
      </c>
      <c r="F139" s="2" t="n">
        <v>44</v>
      </c>
      <c r="G139" s="3" t="s">
        <v>41</v>
      </c>
      <c r="H139" s="1" t="n">
        <v>0.1693</v>
      </c>
      <c r="I139" s="1" t="n">
        <v>0.281185771364066</v>
      </c>
      <c r="J139" s="1" t="n">
        <v>0.332597614462527</v>
      </c>
      <c r="K139" s="1" t="n">
        <f aca="false">J139-I139</f>
        <v>0.051411843098461</v>
      </c>
      <c r="L139" s="1" t="n">
        <v>0.746678659986203</v>
      </c>
    </row>
    <row r="140" customFormat="false" ht="15" hidden="false" customHeight="false" outlineLevel="0" collapsed="false">
      <c r="A140" s="1" t="s">
        <v>95</v>
      </c>
      <c r="B140" s="1" t="s">
        <v>96</v>
      </c>
      <c r="C140" s="1" t="s">
        <v>97</v>
      </c>
      <c r="D140" s="1" t="s">
        <v>19</v>
      </c>
      <c r="E140" s="1" t="s">
        <v>20</v>
      </c>
      <c r="F140" s="2" t="n">
        <v>44</v>
      </c>
      <c r="G140" s="3" t="s">
        <v>26</v>
      </c>
      <c r="H140" s="1" t="n">
        <v>0.1</v>
      </c>
      <c r="I140" s="1" t="n">
        <v>0.237974127585466</v>
      </c>
      <c r="J140" s="1" t="n">
        <v>0.291159111397564</v>
      </c>
      <c r="K140" s="1" t="n">
        <f aca="false">J140-I140</f>
        <v>0.053184983812098</v>
      </c>
      <c r="L140" s="1" t="n">
        <v>0.746678659986203</v>
      </c>
    </row>
    <row r="141" customFormat="false" ht="15" hidden="false" customHeight="false" outlineLevel="0" collapsed="false">
      <c r="A141" s="1" t="s">
        <v>98</v>
      </c>
      <c r="B141" s="1" t="s">
        <v>99</v>
      </c>
      <c r="C141" s="1" t="s">
        <v>100</v>
      </c>
      <c r="D141" s="1" t="s">
        <v>19</v>
      </c>
      <c r="E141" s="1" t="s">
        <v>20</v>
      </c>
      <c r="F141" s="2" t="n">
        <v>46</v>
      </c>
      <c r="G141" s="3" t="s">
        <v>21</v>
      </c>
      <c r="H141" s="1" t="n">
        <v>0.196</v>
      </c>
      <c r="I141" s="1" t="n">
        <v>0.251940102426451</v>
      </c>
      <c r="J141" s="1" t="n">
        <v>0.393794044399964</v>
      </c>
      <c r="K141" s="1" t="n">
        <f aca="false">J141-I141</f>
        <v>0.141853941973513</v>
      </c>
      <c r="L141" s="1" t="n">
        <v>0.795702405915841</v>
      </c>
    </row>
    <row r="142" customFormat="false" ht="15" hidden="false" customHeight="false" outlineLevel="0" collapsed="false">
      <c r="A142" s="1" t="s">
        <v>98</v>
      </c>
      <c r="B142" s="1" t="s">
        <v>99</v>
      </c>
      <c r="C142" s="1" t="s">
        <v>100</v>
      </c>
      <c r="D142" s="1" t="s">
        <v>19</v>
      </c>
      <c r="E142" s="1" t="s">
        <v>20</v>
      </c>
      <c r="F142" s="2" t="n">
        <v>46</v>
      </c>
      <c r="G142" s="3" t="s">
        <v>34</v>
      </c>
      <c r="H142" s="1" t="n">
        <v>0.1831</v>
      </c>
      <c r="I142" s="1" t="n">
        <v>0.235321917026459</v>
      </c>
      <c r="J142" s="1" t="n">
        <v>0.33740453584441</v>
      </c>
      <c r="K142" s="1" t="n">
        <f aca="false">J142-I142</f>
        <v>0.102082618817951</v>
      </c>
      <c r="L142" s="1" t="n">
        <v>0.795702405915841</v>
      </c>
    </row>
    <row r="143" customFormat="false" ht="15" hidden="false" customHeight="false" outlineLevel="0" collapsed="false">
      <c r="A143" s="1" t="s">
        <v>98</v>
      </c>
      <c r="B143" s="1" t="s">
        <v>99</v>
      </c>
      <c r="C143" s="1" t="s">
        <v>100</v>
      </c>
      <c r="D143" s="1" t="s">
        <v>19</v>
      </c>
      <c r="E143" s="1" t="s">
        <v>20</v>
      </c>
      <c r="F143" s="2" t="n">
        <v>46</v>
      </c>
      <c r="G143" s="3" t="s">
        <v>24</v>
      </c>
      <c r="H143" s="1" t="n">
        <v>0.1797</v>
      </c>
      <c r="I143" s="1" t="n">
        <v>0.231025385013849</v>
      </c>
      <c r="J143" s="1" t="n">
        <v>0.324865408443448</v>
      </c>
      <c r="K143" s="1" t="n">
        <f aca="false">J143-I143</f>
        <v>0.093840023429599</v>
      </c>
      <c r="L143" s="1" t="n">
        <v>0.795702405915841</v>
      </c>
    </row>
    <row r="144" customFormat="false" ht="15" hidden="false" customHeight="false" outlineLevel="0" collapsed="false">
      <c r="A144" s="1" t="s">
        <v>98</v>
      </c>
      <c r="B144" s="1" t="s">
        <v>99</v>
      </c>
      <c r="C144" s="1" t="s">
        <v>100</v>
      </c>
      <c r="D144" s="1" t="s">
        <v>19</v>
      </c>
      <c r="E144" s="1" t="s">
        <v>20</v>
      </c>
      <c r="F144" s="2" t="n">
        <v>46</v>
      </c>
      <c r="G144" s="3" t="s">
        <v>22</v>
      </c>
      <c r="H144" s="1" t="n">
        <v>0.1761</v>
      </c>
      <c r="I144" s="1" t="n">
        <v>0.226346037400314</v>
      </c>
      <c r="J144" s="1" t="n">
        <v>0.352279376035391</v>
      </c>
      <c r="K144" s="1" t="n">
        <f aca="false">J144-I144</f>
        <v>0.125933338635077</v>
      </c>
      <c r="L144" s="1" t="n">
        <v>0.795702405915841</v>
      </c>
    </row>
    <row r="145" customFormat="false" ht="15" hidden="false" customHeight="false" outlineLevel="0" collapsed="false">
      <c r="A145" s="1" t="s">
        <v>98</v>
      </c>
      <c r="B145" s="1" t="s">
        <v>99</v>
      </c>
      <c r="C145" s="1" t="s">
        <v>100</v>
      </c>
      <c r="D145" s="1" t="s">
        <v>19</v>
      </c>
      <c r="E145" s="1" t="s">
        <v>20</v>
      </c>
      <c r="F145" s="2" t="n">
        <v>46</v>
      </c>
      <c r="G145" s="3" t="s">
        <v>23</v>
      </c>
      <c r="H145" s="1" t="n">
        <v>0.1651</v>
      </c>
      <c r="I145" s="1" t="n">
        <v>0.212203474958617</v>
      </c>
      <c r="J145" s="1" t="n">
        <v>0.33328076536189</v>
      </c>
      <c r="K145" s="1" t="n">
        <f aca="false">J145-I145</f>
        <v>0.121077290403273</v>
      </c>
      <c r="L145" s="1" t="n">
        <v>0.795702405915841</v>
      </c>
    </row>
    <row r="146" customFormat="false" ht="15" hidden="false" customHeight="false" outlineLevel="0" collapsed="false">
      <c r="A146" s="1" t="s">
        <v>98</v>
      </c>
      <c r="B146" s="1" t="s">
        <v>99</v>
      </c>
      <c r="C146" s="1" t="s">
        <v>100</v>
      </c>
      <c r="D146" s="1" t="s">
        <v>19</v>
      </c>
      <c r="E146" s="1" t="s">
        <v>20</v>
      </c>
      <c r="F146" s="2" t="n">
        <v>46</v>
      </c>
      <c r="G146" s="3" t="s">
        <v>26</v>
      </c>
      <c r="H146" s="1" t="n">
        <v>0.1</v>
      </c>
      <c r="I146" s="1" t="n">
        <v>0.16265864907859</v>
      </c>
      <c r="J146" s="1" t="n">
        <v>0.289299507397137</v>
      </c>
      <c r="K146" s="1" t="n">
        <f aca="false">J146-I146</f>
        <v>0.126640858318547</v>
      </c>
      <c r="L146" s="1" t="n">
        <v>0.795702405915841</v>
      </c>
    </row>
    <row r="147" customFormat="false" ht="15" hidden="false" customHeight="false" outlineLevel="0" collapsed="false">
      <c r="A147" s="1" t="s">
        <v>101</v>
      </c>
      <c r="B147" s="1" t="s">
        <v>102</v>
      </c>
      <c r="C147" s="1" t="s">
        <v>103</v>
      </c>
      <c r="D147" s="1" t="s">
        <v>19</v>
      </c>
      <c r="E147" s="1" t="s">
        <v>20</v>
      </c>
      <c r="F147" s="2" t="n">
        <v>48</v>
      </c>
      <c r="G147" s="3" t="s">
        <v>21</v>
      </c>
      <c r="H147" s="1" t="n">
        <v>0.209</v>
      </c>
      <c r="I147" s="1" t="n">
        <v>0.374180266739721</v>
      </c>
      <c r="J147" s="1" t="n">
        <v>0.371527054001995</v>
      </c>
      <c r="K147" s="1" t="n">
        <f aca="false">J147-I147</f>
        <v>-0.00265321273772601</v>
      </c>
      <c r="L147" s="1" t="n">
        <v>0.71620655928944</v>
      </c>
    </row>
    <row r="148" customFormat="false" ht="15" hidden="false" customHeight="false" outlineLevel="0" collapsed="false">
      <c r="A148" s="1" t="s">
        <v>101</v>
      </c>
      <c r="B148" s="1" t="s">
        <v>102</v>
      </c>
      <c r="C148" s="1" t="s">
        <v>103</v>
      </c>
      <c r="D148" s="1" t="s">
        <v>19</v>
      </c>
      <c r="E148" s="1" t="s">
        <v>20</v>
      </c>
      <c r="F148" s="2" t="n">
        <v>48</v>
      </c>
      <c r="G148" s="3" t="s">
        <v>22</v>
      </c>
      <c r="H148" s="1" t="n">
        <v>0.1889</v>
      </c>
      <c r="I148" s="1" t="n">
        <v>0.338238052516952</v>
      </c>
      <c r="J148" s="1" t="n">
        <v>0.373382920287515</v>
      </c>
      <c r="K148" s="1" t="n">
        <f aca="false">J148-I148</f>
        <v>0.035144867770563</v>
      </c>
      <c r="L148" s="1" t="n">
        <v>0.71620655928944</v>
      </c>
    </row>
    <row r="149" customFormat="false" ht="15" hidden="false" customHeight="false" outlineLevel="0" collapsed="false">
      <c r="A149" s="1" t="s">
        <v>101</v>
      </c>
      <c r="B149" s="1" t="s">
        <v>102</v>
      </c>
      <c r="C149" s="1" t="s">
        <v>103</v>
      </c>
      <c r="D149" s="1" t="s">
        <v>19</v>
      </c>
      <c r="E149" s="1" t="s">
        <v>20</v>
      </c>
      <c r="F149" s="2" t="n">
        <v>48</v>
      </c>
      <c r="G149" s="3" t="s">
        <v>34</v>
      </c>
      <c r="H149" s="1" t="n">
        <v>0.1782</v>
      </c>
      <c r="I149" s="1" t="n">
        <v>0.319130402011688</v>
      </c>
      <c r="J149" s="1" t="n">
        <v>0.294585183491672</v>
      </c>
      <c r="K149" s="1" t="n">
        <f aca="false">J149-I149</f>
        <v>-0.024545218520016</v>
      </c>
      <c r="L149" s="1" t="n">
        <v>0.71620655928944</v>
      </c>
    </row>
    <row r="150" customFormat="false" ht="15" hidden="false" customHeight="false" outlineLevel="0" collapsed="false">
      <c r="A150" s="1" t="s">
        <v>101</v>
      </c>
      <c r="B150" s="1" t="s">
        <v>102</v>
      </c>
      <c r="C150" s="1" t="s">
        <v>103</v>
      </c>
      <c r="D150" s="1" t="s">
        <v>19</v>
      </c>
      <c r="E150" s="1" t="s">
        <v>20</v>
      </c>
      <c r="F150" s="2" t="n">
        <v>48</v>
      </c>
      <c r="G150" s="3" t="s">
        <v>23</v>
      </c>
      <c r="H150" s="1" t="n">
        <v>0.1624</v>
      </c>
      <c r="I150" s="1" t="n">
        <v>0.290783805639237</v>
      </c>
      <c r="J150" s="1" t="n">
        <v>0.313311585232098</v>
      </c>
      <c r="K150" s="1" t="n">
        <f aca="false">J150-I150</f>
        <v>0.022527779592861</v>
      </c>
      <c r="L150" s="1" t="n">
        <v>0.71620655928944</v>
      </c>
    </row>
    <row r="151" customFormat="false" ht="15" hidden="false" customHeight="false" outlineLevel="0" collapsed="false">
      <c r="A151" s="1" t="s">
        <v>101</v>
      </c>
      <c r="B151" s="1" t="s">
        <v>102</v>
      </c>
      <c r="C151" s="1" t="s">
        <v>103</v>
      </c>
      <c r="D151" s="1" t="s">
        <v>19</v>
      </c>
      <c r="E151" s="1" t="s">
        <v>20</v>
      </c>
      <c r="F151" s="2" t="n">
        <v>48</v>
      </c>
      <c r="G151" s="3" t="s">
        <v>41</v>
      </c>
      <c r="H151" s="1" t="n">
        <v>0.1615</v>
      </c>
      <c r="I151" s="1" t="n">
        <v>0.289116233077387</v>
      </c>
      <c r="J151" s="1" t="n">
        <v>0.287126472597343</v>
      </c>
      <c r="K151" s="1" t="n">
        <f aca="false">J151-I151</f>
        <v>-0.00198976048004401</v>
      </c>
      <c r="L151" s="1" t="n">
        <v>0.71620655928944</v>
      </c>
    </row>
    <row r="152" customFormat="false" ht="15" hidden="false" customHeight="false" outlineLevel="0" collapsed="false">
      <c r="A152" s="1" t="s">
        <v>101</v>
      </c>
      <c r="B152" s="1" t="s">
        <v>102</v>
      </c>
      <c r="C152" s="1" t="s">
        <v>103</v>
      </c>
      <c r="D152" s="1" t="s">
        <v>19</v>
      </c>
      <c r="E152" s="1" t="s">
        <v>20</v>
      </c>
      <c r="F152" s="2" t="n">
        <v>48</v>
      </c>
      <c r="G152" s="3" t="s">
        <v>26</v>
      </c>
      <c r="H152" s="1" t="n">
        <v>0.1</v>
      </c>
      <c r="I152" s="1" t="n">
        <v>0.26148267564489</v>
      </c>
      <c r="J152" s="1" t="n">
        <v>0.267551723234243</v>
      </c>
      <c r="K152" s="1" t="n">
        <f aca="false">J152-I152</f>
        <v>0.00606904758935301</v>
      </c>
      <c r="L152" s="1" t="n">
        <v>0.71620655928944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0" sqref="B5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94"/>
  </cols>
  <sheetData>
    <row r="1" customFormat="false" ht="12.8" hidden="false" customHeight="false" outlineLevel="0" collapsed="false">
      <c r="A1" s="7" t="s">
        <v>104</v>
      </c>
      <c r="B1" s="7"/>
    </row>
    <row r="2" customFormat="false" ht="12.8" hidden="false" customHeight="false" outlineLevel="0" collapsed="false">
      <c r="A2" s="7"/>
      <c r="B2" s="7"/>
    </row>
    <row r="3" customFormat="false" ht="12.8" hidden="false" customHeight="false" outlineLevel="0" collapsed="false">
      <c r="A3" s="7" t="s">
        <v>105</v>
      </c>
      <c r="B3" s="8" t="n">
        <f aca="false">scen4_ac15!P2</f>
        <v>150</v>
      </c>
    </row>
    <row r="4" customFormat="false" ht="12.8" hidden="false" customHeight="false" outlineLevel="0" collapsed="false">
      <c r="A4" s="7" t="s">
        <v>106</v>
      </c>
      <c r="B4" s="7" t="n">
        <f aca="false">B10*SQRT((B3-2)/(1-B10^2))</f>
        <v>0.41472683149079</v>
      </c>
    </row>
    <row r="5" customFormat="false" ht="12.8" hidden="false" customHeight="false" outlineLevel="0" collapsed="false">
      <c r="A5" s="7" t="s">
        <v>107</v>
      </c>
      <c r="B5" s="7" t="n">
        <f aca="false">_xlfn.T.DIST.2T(ABS(B4),B3-2)</f>
        <v>0.678942415519556</v>
      </c>
    </row>
    <row r="6" customFormat="false" ht="12.8" hidden="false" customHeight="false" outlineLevel="0" collapsed="false">
      <c r="A6" s="7"/>
      <c r="B6" s="9"/>
    </row>
    <row r="7" customFormat="false" ht="12.8" hidden="false" customHeight="false" outlineLevel="0" collapsed="false">
      <c r="A7" s="7"/>
      <c r="B7" s="9"/>
    </row>
    <row r="8" customFormat="false" ht="12.8" hidden="false" customHeight="false" outlineLevel="0" collapsed="false">
      <c r="A8" s="7"/>
      <c r="B8" s="9"/>
    </row>
    <row r="9" customFormat="false" ht="19.4" hidden="false" customHeight="false" outlineLevel="0" collapsed="false">
      <c r="A9" s="4" t="s">
        <v>12</v>
      </c>
      <c r="B9" s="4" t="s">
        <v>14</v>
      </c>
    </row>
    <row r="10" customFormat="false" ht="12.8" hidden="false" customHeight="false" outlineLevel="0" collapsed="false">
      <c r="A10" s="10" t="n">
        <f aca="false">B3</f>
        <v>150</v>
      </c>
      <c r="B10" s="10" t="n">
        <f aca="false">scen4_ac15!R2</f>
        <v>0.0340705437434528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4" activeCellId="0" sqref="B4"/>
    </sheetView>
  </sheetViews>
  <sheetFormatPr defaultColWidth="12.43359375" defaultRowHeight="12.8" customHeight="false" zeroHeight="false" outlineLevelRow="0" outlineLevelCol="0"/>
  <sheetData>
    <row r="1" customFormat="false" ht="12.8" hidden="false" customHeight="false" outlineLevel="0" collapsed="false">
      <c r="B1" s="11"/>
    </row>
    <row r="2" customFormat="false" ht="12.8" hidden="false" customHeight="false" outlineLevel="0" collapsed="false">
      <c r="B2" s="11" t="s">
        <v>108</v>
      </c>
    </row>
    <row r="3" customFormat="false" ht="12.8" hidden="false" customHeight="false" outlineLevel="0" collapsed="false">
      <c r="A3" s="12" t="s">
        <v>109</v>
      </c>
      <c r="B3" s="6" t="s">
        <v>110</v>
      </c>
    </row>
    <row r="4" customFormat="false" ht="12.8" hidden="false" customHeight="false" outlineLevel="0" collapsed="false">
      <c r="A4" s="9" t="n">
        <v>1</v>
      </c>
      <c r="B4" s="1" t="n">
        <v>0.772576965117032</v>
      </c>
    </row>
    <row r="5" customFormat="false" ht="12.8" hidden="false" customHeight="false" outlineLevel="0" collapsed="false">
      <c r="A5" s="9" t="n">
        <v>2</v>
      </c>
      <c r="B5" s="1" t="n">
        <v>0.680958683894326</v>
      </c>
    </row>
    <row r="6" customFormat="false" ht="12.8" hidden="false" customHeight="false" outlineLevel="0" collapsed="false">
      <c r="A6" s="9" t="n">
        <v>3</v>
      </c>
      <c r="B6" s="1" t="n">
        <v>0.771466699638375</v>
      </c>
    </row>
    <row r="7" customFormat="false" ht="12.8" hidden="false" customHeight="false" outlineLevel="0" collapsed="false">
      <c r="A7" s="9" t="n">
        <v>4</v>
      </c>
      <c r="B7" s="1" t="n">
        <v>0.746803660511214</v>
      </c>
    </row>
    <row r="8" customFormat="false" ht="12.8" hidden="false" customHeight="false" outlineLevel="0" collapsed="false">
      <c r="A8" s="9" t="n">
        <v>5</v>
      </c>
      <c r="B8" s="1" t="n">
        <v>0.737980761526421</v>
      </c>
    </row>
    <row r="9" customFormat="false" ht="12.8" hidden="false" customHeight="false" outlineLevel="0" collapsed="false">
      <c r="A9" s="9" t="n">
        <v>6</v>
      </c>
      <c r="B9" s="1" t="n">
        <v>0.69925918619606</v>
      </c>
    </row>
    <row r="10" customFormat="false" ht="12.8" hidden="false" customHeight="false" outlineLevel="0" collapsed="false">
      <c r="A10" s="9" t="n">
        <v>7</v>
      </c>
      <c r="B10" s="1" t="n">
        <v>0.735139079782349</v>
      </c>
    </row>
    <row r="11" customFormat="false" ht="12.8" hidden="false" customHeight="false" outlineLevel="0" collapsed="false">
      <c r="A11" s="9" t="n">
        <v>8</v>
      </c>
      <c r="B11" s="1" t="n">
        <v>0.694325378562934</v>
      </c>
    </row>
    <row r="12" customFormat="false" ht="12.8" hidden="false" customHeight="false" outlineLevel="0" collapsed="false">
      <c r="A12" s="9" t="n">
        <v>9</v>
      </c>
      <c r="B12" s="1" t="n">
        <v>0.754953984633863</v>
      </c>
    </row>
    <row r="13" customFormat="false" ht="12.8" hidden="false" customHeight="false" outlineLevel="0" collapsed="false">
      <c r="A13" s="9" t="n">
        <v>10</v>
      </c>
      <c r="B13" s="1" t="n">
        <v>0.780131624434666</v>
      </c>
    </row>
    <row r="14" customFormat="false" ht="12.8" hidden="false" customHeight="false" outlineLevel="0" collapsed="false">
      <c r="A14" s="9" t="n">
        <v>11</v>
      </c>
      <c r="B14" s="1" t="n">
        <v>0.741371410255129</v>
      </c>
    </row>
    <row r="15" customFormat="false" ht="12.8" hidden="false" customHeight="false" outlineLevel="0" collapsed="false">
      <c r="A15" s="9" t="n">
        <v>12</v>
      </c>
      <c r="B15" s="1" t="n">
        <v>0.752430545440722</v>
      </c>
    </row>
    <row r="16" customFormat="false" ht="12.8" hidden="false" customHeight="false" outlineLevel="0" collapsed="false">
      <c r="A16" s="9" t="n">
        <v>13</v>
      </c>
      <c r="B16" s="1" t="n">
        <v>0.658697413887377</v>
      </c>
    </row>
    <row r="17" customFormat="false" ht="12.8" hidden="false" customHeight="false" outlineLevel="0" collapsed="false">
      <c r="A17" s="9" t="n">
        <v>14</v>
      </c>
      <c r="B17" s="1" t="n">
        <v>0.81359317699571</v>
      </c>
    </row>
    <row r="18" customFormat="false" ht="12.8" hidden="false" customHeight="false" outlineLevel="0" collapsed="false">
      <c r="A18" s="9" t="n">
        <v>15</v>
      </c>
      <c r="B18" s="1" t="n">
        <v>0.75883989362582</v>
      </c>
    </row>
    <row r="19" customFormat="false" ht="12.8" hidden="false" customHeight="false" outlineLevel="0" collapsed="false">
      <c r="A19" s="9" t="n">
        <v>16</v>
      </c>
      <c r="B19" s="1" t="n">
        <v>0.648642368618967</v>
      </c>
    </row>
    <row r="20" customFormat="false" ht="12.8" hidden="false" customHeight="false" outlineLevel="0" collapsed="false">
      <c r="A20" s="9" t="n">
        <v>17</v>
      </c>
      <c r="B20" s="1" t="n">
        <v>0.779837433316897</v>
      </c>
    </row>
    <row r="21" customFormat="false" ht="12.8" hidden="false" customHeight="false" outlineLevel="0" collapsed="false">
      <c r="A21" s="9" t="n">
        <v>18</v>
      </c>
      <c r="B21" s="1" t="n">
        <v>0.572089176041892</v>
      </c>
    </row>
    <row r="22" customFormat="false" ht="12.8" hidden="false" customHeight="false" outlineLevel="0" collapsed="false">
      <c r="A22" s="9" t="n">
        <v>19</v>
      </c>
      <c r="B22" s="1" t="n">
        <v>0.763968943789392</v>
      </c>
    </row>
    <row r="23" customFormat="false" ht="12.8" hidden="false" customHeight="false" outlineLevel="0" collapsed="false">
      <c r="A23" s="9" t="n">
        <v>20</v>
      </c>
      <c r="B23" s="1" t="n">
        <v>0.624304602360581</v>
      </c>
    </row>
    <row r="24" customFormat="false" ht="12.8" hidden="false" customHeight="false" outlineLevel="0" collapsed="false">
      <c r="A24" s="9" t="n">
        <v>21</v>
      </c>
      <c r="B24" s="1" t="n">
        <v>0.659893215109107</v>
      </c>
    </row>
    <row r="25" customFormat="false" ht="12.8" hidden="false" customHeight="false" outlineLevel="0" collapsed="false">
      <c r="A25" s="9" t="n">
        <v>22</v>
      </c>
      <c r="B25" s="1" t="n">
        <v>0.689045902907548</v>
      </c>
    </row>
    <row r="26" customFormat="false" ht="12.8" hidden="false" customHeight="false" outlineLevel="0" collapsed="false">
      <c r="A26" s="9" t="n">
        <v>23</v>
      </c>
      <c r="B26" s="1" t="n">
        <v>0.746678659986203</v>
      </c>
    </row>
    <row r="27" customFormat="false" ht="12.8" hidden="false" customHeight="false" outlineLevel="0" collapsed="false">
      <c r="A27" s="9" t="n">
        <v>24</v>
      </c>
      <c r="B27" s="1" t="n">
        <v>0.795702405915841</v>
      </c>
    </row>
    <row r="28" customFormat="false" ht="12.8" hidden="false" customHeight="false" outlineLevel="0" collapsed="false">
      <c r="A28" s="13" t="n">
        <v>25</v>
      </c>
      <c r="B28" s="1" t="n">
        <v>0.71620655928944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83"/>
  <sheetViews>
    <sheetView showFormulas="false" showGridLines="true" showRowColHeaders="true" showZeros="true" rightToLeft="false" tabSelected="false" showOutlineSymbols="true" defaultGridColor="true" view="normal" topLeftCell="A19" colorId="64" zoomScale="125" zoomScaleNormal="125" zoomScalePageLayoutView="100" workbookViewId="0">
      <selection pane="topLeft" activeCell="B34" activeCellId="0" sqref="B3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32"/>
    <col collapsed="false" customWidth="true" hidden="false" outlineLevel="0" max="6" min="5" style="1" width="20.4"/>
    <col collapsed="false" customWidth="true" hidden="false" outlineLevel="0" max="7" min="7" style="1" width="19.32"/>
    <col collapsed="false" customWidth="true" hidden="false" outlineLevel="0" max="9" min="8" style="1" width="21.48"/>
    <col collapsed="false" customWidth="true" hidden="false" outlineLevel="0" max="10" min="10" style="1" width="20.4"/>
    <col collapsed="false" customWidth="true" hidden="false" outlineLevel="0" max="11" min="11" style="1" width="15.76"/>
    <col collapsed="false" customWidth="true" hidden="false" outlineLevel="0" max="12" min="12" style="1" width="14.07"/>
  </cols>
  <sheetData>
    <row r="2" customFormat="false" ht="12.8" hidden="false" customHeight="true" outlineLevel="0" collapsed="false">
      <c r="B2" s="14" t="s">
        <v>11</v>
      </c>
      <c r="C2" s="14"/>
    </row>
    <row r="3" customFormat="false" ht="12.8" hidden="false" customHeight="false" outlineLevel="0" collapsed="false">
      <c r="A3" s="12" t="s">
        <v>109</v>
      </c>
      <c r="B3" s="6" t="s">
        <v>110</v>
      </c>
      <c r="C3" s="13" t="s">
        <v>111</v>
      </c>
      <c r="E3" s="13" t="s">
        <v>112</v>
      </c>
      <c r="F3" s="13" t="s">
        <v>113</v>
      </c>
      <c r="G3" s="13" t="s">
        <v>114</v>
      </c>
      <c r="H3" s="13" t="s">
        <v>115</v>
      </c>
      <c r="I3" s="13" t="s">
        <v>116</v>
      </c>
      <c r="J3" s="13" t="s">
        <v>117</v>
      </c>
      <c r="K3" s="1" t="s">
        <v>118</v>
      </c>
      <c r="L3" s="1" t="s">
        <v>119</v>
      </c>
    </row>
    <row r="4" customFormat="false" ht="12.8" hidden="false" customHeight="false" outlineLevel="0" collapsed="false">
      <c r="A4" s="9" t="n">
        <v>1</v>
      </c>
      <c r="B4" s="1" t="n">
        <v>0.772576965117032</v>
      </c>
      <c r="C4" s="1" t="n">
        <v>0.820620353982448</v>
      </c>
      <c r="E4" s="13" t="n">
        <f aca="false">_xlfn.STDEV.S(B4:B28)</f>
        <v>0.058444652191189</v>
      </c>
      <c r="F4" s="13" t="n">
        <f aca="false">_xlfn.STDEV.S(C4:C28)</f>
        <v>0.0838485560603297</v>
      </c>
      <c r="G4" s="13" t="n">
        <f aca="false">_xlfn.F.TEST(B4:B28,C4:C28)</f>
        <v>0.0833417313184239</v>
      </c>
      <c r="H4" s="13" t="n">
        <f aca="false">_xlfn.T.TEST(B4:B28, C4:C28, 2,2)</f>
        <v>0.000219433138307485</v>
      </c>
      <c r="I4" s="13" t="n">
        <f aca="false">_xlfn.T.TEST(B4:B28,C4:C28, 2,3)</f>
        <v>0.000247474789640634</v>
      </c>
      <c r="J4" s="13" t="n">
        <f aca="false">AVERAGE(B4:B28)-AVERAGE(C4:C28)</f>
        <v>0.0817239680141831</v>
      </c>
      <c r="K4" s="1" t="n">
        <f aca="false">AVERAGE(B4:B28)</f>
        <v>0.723795909273515</v>
      </c>
      <c r="L4" s="1" t="n">
        <f aca="false">AVERAGE(C4:C28)</f>
        <v>0.642071941259331</v>
      </c>
    </row>
    <row r="5" customFormat="false" ht="12.8" hidden="false" customHeight="false" outlineLevel="0" collapsed="false">
      <c r="A5" s="9" t="n">
        <v>2</v>
      </c>
      <c r="B5" s="1" t="n">
        <v>0.680958683894326</v>
      </c>
      <c r="C5" s="1" t="n">
        <v>0.677850780887192</v>
      </c>
    </row>
    <row r="6" customFormat="false" ht="12.8" hidden="false" customHeight="false" outlineLevel="0" collapsed="false">
      <c r="A6" s="9" t="n">
        <v>3</v>
      </c>
      <c r="B6" s="1" t="n">
        <v>0.771466699638375</v>
      </c>
      <c r="C6" s="1" t="n">
        <v>0.677952285287439</v>
      </c>
    </row>
    <row r="7" customFormat="false" ht="12.8" hidden="false" customHeight="false" outlineLevel="0" collapsed="false">
      <c r="A7" s="9" t="n">
        <v>4</v>
      </c>
      <c r="B7" s="1" t="n">
        <v>0.746803660511214</v>
      </c>
      <c r="C7" s="1" t="n">
        <v>0.661353165434158</v>
      </c>
    </row>
    <row r="8" customFormat="false" ht="12.8" hidden="false" customHeight="false" outlineLevel="0" collapsed="false">
      <c r="A8" s="9" t="n">
        <v>5</v>
      </c>
      <c r="B8" s="1" t="n">
        <v>0.737980761526421</v>
      </c>
      <c r="C8" s="1" t="n">
        <v>0.593991040073877</v>
      </c>
    </row>
    <row r="9" customFormat="false" ht="12.8" hidden="false" customHeight="false" outlineLevel="0" collapsed="false">
      <c r="A9" s="9" t="n">
        <v>6</v>
      </c>
      <c r="B9" s="1" t="n">
        <v>0.69925918619606</v>
      </c>
      <c r="C9" s="1" t="n">
        <v>0.608645298556612</v>
      </c>
    </row>
    <row r="10" customFormat="false" ht="12.8" hidden="false" customHeight="false" outlineLevel="0" collapsed="false">
      <c r="A10" s="9" t="n">
        <v>7</v>
      </c>
      <c r="B10" s="1" t="n">
        <v>0.735139079782349</v>
      </c>
      <c r="C10" s="1" t="n">
        <v>0.574818823501635</v>
      </c>
    </row>
    <row r="11" customFormat="false" ht="12.8" hidden="false" customHeight="false" outlineLevel="0" collapsed="false">
      <c r="A11" s="9" t="n">
        <v>8</v>
      </c>
      <c r="B11" s="1" t="n">
        <v>0.694325378562934</v>
      </c>
      <c r="C11" s="1" t="n">
        <v>0.522250049685591</v>
      </c>
    </row>
    <row r="12" customFormat="false" ht="12.8" hidden="false" customHeight="false" outlineLevel="0" collapsed="false">
      <c r="A12" s="9" t="n">
        <v>9</v>
      </c>
      <c r="B12" s="1" t="n">
        <v>0.754953984633863</v>
      </c>
      <c r="C12" s="1" t="n">
        <v>0.763435630553549</v>
      </c>
    </row>
    <row r="13" customFormat="false" ht="12.8" hidden="false" customHeight="false" outlineLevel="0" collapsed="false">
      <c r="A13" s="9" t="n">
        <v>10</v>
      </c>
      <c r="B13" s="1" t="n">
        <v>0.780131624434666</v>
      </c>
      <c r="C13" s="1" t="n">
        <v>0.690362904205506</v>
      </c>
    </row>
    <row r="14" customFormat="false" ht="12.8" hidden="false" customHeight="false" outlineLevel="0" collapsed="false">
      <c r="A14" s="9" t="n">
        <v>11</v>
      </c>
      <c r="B14" s="1" t="n">
        <v>0.741371410255129</v>
      </c>
      <c r="C14" s="1" t="n">
        <v>0.669616305799924</v>
      </c>
    </row>
    <row r="15" customFormat="false" ht="12.8" hidden="false" customHeight="false" outlineLevel="0" collapsed="false">
      <c r="A15" s="9" t="n">
        <v>12</v>
      </c>
      <c r="B15" s="1" t="n">
        <v>0.752430545440722</v>
      </c>
      <c r="C15" s="1" t="n">
        <v>0.750515577717232</v>
      </c>
    </row>
    <row r="16" customFormat="false" ht="12.8" hidden="false" customHeight="false" outlineLevel="0" collapsed="false">
      <c r="A16" s="9" t="n">
        <v>13</v>
      </c>
      <c r="B16" s="1" t="n">
        <v>0.658697413887377</v>
      </c>
      <c r="C16" s="1" t="n">
        <v>0.709222966214306</v>
      </c>
    </row>
    <row r="17" customFormat="false" ht="12.8" hidden="false" customHeight="false" outlineLevel="0" collapsed="false">
      <c r="A17" s="9" t="n">
        <v>14</v>
      </c>
      <c r="B17" s="1" t="n">
        <v>0.81359317699571</v>
      </c>
      <c r="C17" s="1" t="n">
        <v>0.526107506619162</v>
      </c>
    </row>
    <row r="18" customFormat="false" ht="12.8" hidden="false" customHeight="false" outlineLevel="0" collapsed="false">
      <c r="A18" s="9" t="n">
        <v>15</v>
      </c>
      <c r="B18" s="1" t="n">
        <v>0.75883989362582</v>
      </c>
      <c r="C18" s="1" t="n">
        <v>0.568606644280233</v>
      </c>
    </row>
    <row r="19" customFormat="false" ht="12.8" hidden="false" customHeight="false" outlineLevel="0" collapsed="false">
      <c r="A19" s="9" t="n">
        <v>16</v>
      </c>
      <c r="B19" s="1" t="n">
        <v>0.648642368618967</v>
      </c>
      <c r="C19" s="1" t="n">
        <v>0.495011712365797</v>
      </c>
    </row>
    <row r="20" customFormat="false" ht="12.8" hidden="false" customHeight="false" outlineLevel="0" collapsed="false">
      <c r="A20" s="9" t="n">
        <v>17</v>
      </c>
      <c r="B20" s="1" t="n">
        <v>0.779837433316897</v>
      </c>
      <c r="C20" s="1" t="n">
        <v>0.672995011679508</v>
      </c>
    </row>
    <row r="21" customFormat="false" ht="12.8" hidden="false" customHeight="false" outlineLevel="0" collapsed="false">
      <c r="A21" s="9" t="n">
        <v>18</v>
      </c>
      <c r="B21" s="1" t="n">
        <v>0.572089176041892</v>
      </c>
      <c r="C21" s="1" t="n">
        <v>0.637832242885566</v>
      </c>
    </row>
    <row r="22" customFormat="false" ht="12.8" hidden="false" customHeight="false" outlineLevel="0" collapsed="false">
      <c r="A22" s="9" t="n">
        <v>19</v>
      </c>
      <c r="B22" s="1" t="n">
        <v>0.763968943789392</v>
      </c>
      <c r="C22" s="1" t="n">
        <v>0.677348078562667</v>
      </c>
    </row>
    <row r="23" customFormat="false" ht="12.8" hidden="false" customHeight="false" outlineLevel="0" collapsed="false">
      <c r="A23" s="9" t="n">
        <v>20</v>
      </c>
      <c r="B23" s="1" t="n">
        <v>0.624304602360581</v>
      </c>
      <c r="C23" s="1" t="n">
        <v>0.675947228908232</v>
      </c>
    </row>
    <row r="24" customFormat="false" ht="12.8" hidden="false" customHeight="false" outlineLevel="0" collapsed="false">
      <c r="A24" s="9" t="n">
        <v>21</v>
      </c>
      <c r="B24" s="1" t="n">
        <v>0.659893215109107</v>
      </c>
      <c r="C24" s="1" t="n">
        <v>0.610943329404948</v>
      </c>
    </row>
    <row r="25" customFormat="false" ht="12.8" hidden="false" customHeight="false" outlineLevel="0" collapsed="false">
      <c r="A25" s="9" t="n">
        <v>22</v>
      </c>
      <c r="B25" s="1" t="n">
        <v>0.689045902907548</v>
      </c>
      <c r="C25" s="1" t="n">
        <v>0.750091190228488</v>
      </c>
    </row>
    <row r="26" customFormat="false" ht="12.8" hidden="false" customHeight="false" outlineLevel="0" collapsed="false">
      <c r="A26" s="9" t="n">
        <v>23</v>
      </c>
      <c r="B26" s="1" t="n">
        <v>0.746678659986203</v>
      </c>
      <c r="C26" s="1" t="n">
        <v>0.569584008433566</v>
      </c>
    </row>
    <row r="27" customFormat="false" ht="12.8" hidden="false" customHeight="false" outlineLevel="0" collapsed="false">
      <c r="A27" s="9" t="n">
        <v>24</v>
      </c>
      <c r="B27" s="1" t="n">
        <v>0.795702405915841</v>
      </c>
      <c r="C27" s="1" t="n">
        <v>0.517039819129782</v>
      </c>
    </row>
    <row r="28" customFormat="false" ht="12.8" hidden="false" customHeight="false" outlineLevel="0" collapsed="false">
      <c r="A28" s="13" t="n">
        <v>25</v>
      </c>
      <c r="B28" s="1" t="n">
        <v>0.71620655928944</v>
      </c>
      <c r="C28" s="1" t="n">
        <v>0.629656577085868</v>
      </c>
    </row>
    <row r="32" customFormat="false" ht="12.8" hidden="false" customHeight="false" outlineLevel="0" collapsed="false">
      <c r="A32" s="1" t="s">
        <v>120</v>
      </c>
    </row>
    <row r="34" customFormat="false" ht="12.8" hidden="false" customHeight="false" outlineLevel="0" collapsed="false">
      <c r="A34" s="12" t="s">
        <v>109</v>
      </c>
      <c r="B34" s="15" t="s">
        <v>121</v>
      </c>
      <c r="C34" s="6" t="s">
        <v>122</v>
      </c>
      <c r="D34" s="6" t="s">
        <v>123</v>
      </c>
      <c r="E34" s="6" t="s">
        <v>110</v>
      </c>
      <c r="F34" s="13" t="s">
        <v>111</v>
      </c>
      <c r="H34" s="16" t="s">
        <v>124</v>
      </c>
    </row>
    <row r="35" customFormat="false" ht="12.8" hidden="false" customHeight="false" outlineLevel="0" collapsed="false">
      <c r="A35" s="9" t="n">
        <v>1</v>
      </c>
      <c r="B35" s="1" t="n">
        <v>0.782943341241136</v>
      </c>
      <c r="C35" s="1" t="n">
        <v>0.796298769133089</v>
      </c>
      <c r="D35" s="1" t="n">
        <v>0.802858105976441</v>
      </c>
      <c r="E35" s="1" t="n">
        <v>0.772576965117032</v>
      </c>
      <c r="F35" s="1" t="n">
        <v>0.820620353982448</v>
      </c>
      <c r="H35" s="1" t="s">
        <v>125</v>
      </c>
      <c r="I35" s="1" t="n">
        <v>0.05</v>
      </c>
    </row>
    <row r="36" customFormat="false" ht="12.8" hidden="false" customHeight="false" outlineLevel="0" collapsed="false">
      <c r="A36" s="9" t="n">
        <v>2</v>
      </c>
      <c r="B36" s="1" t="n">
        <v>0.72616787514369</v>
      </c>
      <c r="C36" s="1" t="n">
        <v>0.739558549996658</v>
      </c>
      <c r="D36" s="1" t="n">
        <v>0.723830722485877</v>
      </c>
      <c r="E36" s="1" t="n">
        <v>0.680958683894326</v>
      </c>
      <c r="F36" s="1" t="n">
        <v>0.677850780887192</v>
      </c>
    </row>
    <row r="37" customFormat="false" ht="12.8" hidden="false" customHeight="false" outlineLevel="0" collapsed="false">
      <c r="A37" s="9" t="n">
        <v>3</v>
      </c>
      <c r="B37" s="1" t="n">
        <v>0.762384843564062</v>
      </c>
      <c r="C37" s="1" t="n">
        <v>0.739544897773702</v>
      </c>
      <c r="D37" s="1" t="n">
        <v>0.720096923539769</v>
      </c>
      <c r="E37" s="1" t="n">
        <v>0.771466699638375</v>
      </c>
      <c r="F37" s="1" t="n">
        <v>0.677952285287439</v>
      </c>
      <c r="H37" s="1" t="s">
        <v>126</v>
      </c>
      <c r="I37" s="1" t="s">
        <v>127</v>
      </c>
      <c r="J37" s="1" t="s">
        <v>128</v>
      </c>
      <c r="K37" s="1" t="s">
        <v>129</v>
      </c>
      <c r="L37" s="1" t="s">
        <v>130</v>
      </c>
    </row>
    <row r="38" customFormat="false" ht="12.8" hidden="false" customHeight="false" outlineLevel="0" collapsed="false">
      <c r="A38" s="9" t="n">
        <v>4</v>
      </c>
      <c r="B38" s="1" t="n">
        <v>0.703293963123335</v>
      </c>
      <c r="C38" s="1" t="n">
        <v>0.743029391601184</v>
      </c>
      <c r="D38" s="1" t="n">
        <v>0.744563645027981</v>
      </c>
      <c r="E38" s="1" t="n">
        <v>0.746803660511214</v>
      </c>
      <c r="F38" s="1" t="n">
        <v>0.661353165434158</v>
      </c>
      <c r="H38" s="1" t="s">
        <v>131</v>
      </c>
      <c r="I38" s="1" t="n">
        <f aca="false">COUNT(inter_system_stats!$B$34:$B$59)</f>
        <v>25</v>
      </c>
      <c r="J38" s="1" t="n">
        <f aca="false">SUM(inter_system_stats!$B$34:$B$59)</f>
        <v>18.3622593446155</v>
      </c>
      <c r="K38" s="1" t="n">
        <f aca="false">AVERAGE(inter_system_stats!$B$34:$B$59)</f>
        <v>0.734490373784622</v>
      </c>
      <c r="L38" s="1" t="n">
        <f aca="false">VAR(inter_system_stats!$B$34:$B$59)</f>
        <v>0.00341183321168499</v>
      </c>
    </row>
    <row r="39" customFormat="false" ht="12.8" hidden="false" customHeight="false" outlineLevel="0" collapsed="false">
      <c r="A39" s="9" t="n">
        <v>5</v>
      </c>
      <c r="B39" s="1" t="n">
        <v>0.729690702766813</v>
      </c>
      <c r="C39" s="1" t="n">
        <v>0.725502046355756</v>
      </c>
      <c r="D39" s="1" t="n">
        <v>0.67114667173556</v>
      </c>
      <c r="E39" s="1" t="n">
        <v>0.737980761526421</v>
      </c>
      <c r="F39" s="1" t="n">
        <v>0.593991040073877</v>
      </c>
      <c r="H39" s="1" t="s">
        <v>132</v>
      </c>
      <c r="I39" s="1" t="n">
        <f aca="false">COUNT(inter_system_stats!$C$34:$C$59)</f>
        <v>25</v>
      </c>
      <c r="J39" s="1" t="n">
        <f aca="false">SUM(inter_system_stats!$C$34:$C$59)</f>
        <v>18.1933898569111</v>
      </c>
      <c r="K39" s="1" t="n">
        <f aca="false">AVERAGE(inter_system_stats!$C$34:$C$59)</f>
        <v>0.727735594276442</v>
      </c>
      <c r="L39" s="1" t="n">
        <f aca="false">VAR(inter_system_stats!$C$34:$C$59)</f>
        <v>0.00415956848228219</v>
      </c>
    </row>
    <row r="40" customFormat="false" ht="12.8" hidden="false" customHeight="false" outlineLevel="0" collapsed="false">
      <c r="A40" s="9" t="n">
        <v>6</v>
      </c>
      <c r="B40" s="1" t="n">
        <v>0.752076127330993</v>
      </c>
      <c r="C40" s="1" t="n">
        <v>0.74855685096753</v>
      </c>
      <c r="D40" s="1" t="n">
        <v>0.740698706746506</v>
      </c>
      <c r="E40" s="1" t="n">
        <v>0.69925918619606</v>
      </c>
      <c r="F40" s="1" t="n">
        <v>0.608645298556612</v>
      </c>
      <c r="H40" s="1" t="s">
        <v>133</v>
      </c>
      <c r="I40" s="1" t="n">
        <f aca="false">COUNT(inter_system_stats!$D$34:$D$59)</f>
        <v>25</v>
      </c>
      <c r="J40" s="1" t="n">
        <f aca="false">SUM(inter_system_stats!$D$34:$D$59)</f>
        <v>18.4647768581468</v>
      </c>
      <c r="K40" s="1" t="n">
        <f aca="false">AVERAGE(inter_system_stats!$D$34:$D$59)</f>
        <v>0.738591074325871</v>
      </c>
      <c r="L40" s="1" t="n">
        <f aca="false">VAR(inter_system_stats!$D$34:$D$59)</f>
        <v>0.00297443070943292</v>
      </c>
    </row>
    <row r="41" customFormat="false" ht="12.8" hidden="false" customHeight="false" outlineLevel="0" collapsed="false">
      <c r="A41" s="9" t="n">
        <v>7</v>
      </c>
      <c r="B41" s="1" t="n">
        <v>0.811772559323065</v>
      </c>
      <c r="C41" s="1" t="n">
        <v>0.734138467252432</v>
      </c>
      <c r="D41" s="1" t="n">
        <v>0.773772436552573</v>
      </c>
      <c r="E41" s="1" t="n">
        <v>0.735139079782349</v>
      </c>
      <c r="F41" s="1" t="n">
        <v>0.574818823501635</v>
      </c>
      <c r="H41" s="1" t="s">
        <v>134</v>
      </c>
      <c r="I41" s="1" t="n">
        <f aca="false">COUNT(inter_system_stats!$E$34:$E$59)</f>
        <v>25</v>
      </c>
      <c r="J41" s="1" t="n">
        <f aca="false">SUM(inter_system_stats!$E$34:$E$59)</f>
        <v>18.0948977318379</v>
      </c>
      <c r="K41" s="1" t="n">
        <f aca="false">AVERAGE(inter_system_stats!$E$34:$E$59)</f>
        <v>0.723795909273515</v>
      </c>
      <c r="L41" s="1" t="n">
        <f aca="false">VAR(inter_system_stats!$E$34:$E$59)</f>
        <v>0.00341577736974905</v>
      </c>
    </row>
    <row r="42" customFormat="false" ht="12.8" hidden="false" customHeight="false" outlineLevel="0" collapsed="false">
      <c r="A42" s="9" t="n">
        <v>8</v>
      </c>
      <c r="B42" s="1" t="n">
        <v>0.718329243982785</v>
      </c>
      <c r="C42" s="1" t="n">
        <v>0.668701341307149</v>
      </c>
      <c r="D42" s="1" t="n">
        <v>0.669131289751387</v>
      </c>
      <c r="E42" s="1" t="n">
        <v>0.694325378562934</v>
      </c>
      <c r="F42" s="1" t="n">
        <v>0.522250049685591</v>
      </c>
      <c r="H42" s="1" t="s">
        <v>135</v>
      </c>
      <c r="I42" s="1" t="n">
        <f aca="false">COUNT(inter_system_stats!$F$34:$F$59)</f>
        <v>25</v>
      </c>
      <c r="J42" s="1" t="n">
        <f aca="false">SUM(inter_system_stats!$F$34:$F$59)</f>
        <v>16.0517985314833</v>
      </c>
      <c r="K42" s="1" t="n">
        <f aca="false">AVERAGE(inter_system_stats!$F$34:$F$59)</f>
        <v>0.642071941259331</v>
      </c>
      <c r="L42" s="1" t="n">
        <f aca="false">VAR(inter_system_stats!$F$34:$F$59)</f>
        <v>0.00703058035340226</v>
      </c>
    </row>
    <row r="43" customFormat="false" ht="12.8" hidden="false" customHeight="false" outlineLevel="0" collapsed="false">
      <c r="A43" s="9" t="n">
        <v>9</v>
      </c>
      <c r="B43" s="1" t="n">
        <v>0.750898507673254</v>
      </c>
      <c r="C43" s="1" t="n">
        <v>0.786880036989265</v>
      </c>
      <c r="D43" s="1" t="n">
        <v>0.76936357772334</v>
      </c>
      <c r="E43" s="1" t="n">
        <v>0.754953984633863</v>
      </c>
      <c r="F43" s="1" t="n">
        <v>0.763435630553549</v>
      </c>
    </row>
    <row r="44" customFormat="false" ht="12.8" hidden="false" customHeight="false" outlineLevel="0" collapsed="false">
      <c r="A44" s="9" t="n">
        <v>10</v>
      </c>
      <c r="B44" s="1" t="n">
        <v>0.712335367494729</v>
      </c>
      <c r="C44" s="1" t="n">
        <v>0.80994865911664</v>
      </c>
      <c r="D44" s="1" t="n">
        <v>0.795393600984621</v>
      </c>
      <c r="E44" s="1" t="n">
        <v>0.780131624434666</v>
      </c>
      <c r="F44" s="1" t="n">
        <v>0.690362904205506</v>
      </c>
      <c r="H44" s="1" t="s">
        <v>136</v>
      </c>
      <c r="I44" s="1" t="s">
        <v>137</v>
      </c>
      <c r="J44" s="1" t="s">
        <v>138</v>
      </c>
      <c r="K44" s="1" t="s">
        <v>139</v>
      </c>
      <c r="L44" s="1" t="s">
        <v>140</v>
      </c>
      <c r="M44" s="1" t="s">
        <v>141</v>
      </c>
      <c r="N44" s="1" t="s">
        <v>142</v>
      </c>
    </row>
    <row r="45" customFormat="false" ht="12.8" hidden="false" customHeight="false" outlineLevel="0" collapsed="false">
      <c r="A45" s="9" t="n">
        <v>11</v>
      </c>
      <c r="B45" s="1" t="n">
        <v>0.77617002993037</v>
      </c>
      <c r="C45" s="1" t="n">
        <v>0.690171891444283</v>
      </c>
      <c r="D45" s="1" t="n">
        <v>0.750280009673556</v>
      </c>
      <c r="E45" s="1" t="n">
        <v>0.741371410255129</v>
      </c>
      <c r="F45" s="1" t="n">
        <v>0.669616305799924</v>
      </c>
      <c r="H45" s="1" t="s">
        <v>143</v>
      </c>
      <c r="I45" s="1" t="n">
        <f aca="false">SUMPRODUCT(inter_system_stats!$J$38:$J$42,inter_system_stats!$K$38:$K$42)-SUM(inter_system_stats!$J$38:$J$42)^2/SUM(inter_system_stats!$I$38:$I$42)</f>
        <v>0.162016259754168</v>
      </c>
      <c r="J45" s="1" t="n">
        <f aca="false">COUNT(inter_system_stats!$J$38:$J$42)-1</f>
        <v>4</v>
      </c>
      <c r="K45" s="1" t="n">
        <f aca="false">inter_system_stats!$I$45 / inter_system_stats!$J$45</f>
        <v>0.040504064938542</v>
      </c>
      <c r="L45" s="1" t="n">
        <f aca="false">inter_system_stats!$K$45 / inter_system_stats!$K$46</f>
        <v>9.64741284600683</v>
      </c>
      <c r="M45" s="1" t="n">
        <f aca="false">FDIST(inter_system_stats!$L$45, inter_system_stats!$J$45, inter_system_stats!$J$46)</f>
        <v>8.46259309123851E-007</v>
      </c>
      <c r="N45" s="1" t="n">
        <f aca="false">FINV(inter_system_stats!$I$35, inter_system_stats!$J$45, inter_system_stats!$J$46)</f>
        <v>2.4472365114693</v>
      </c>
    </row>
    <row r="46" customFormat="false" ht="12.8" hidden="false" customHeight="false" outlineLevel="0" collapsed="false">
      <c r="A46" s="9" t="n">
        <v>12</v>
      </c>
      <c r="B46" s="1" t="n">
        <v>0.770418007906113</v>
      </c>
      <c r="C46" s="1" t="n">
        <v>0.749125347769507</v>
      </c>
      <c r="D46" s="1" t="n">
        <v>0.791112051354437</v>
      </c>
      <c r="E46" s="1" t="n">
        <v>0.752430545440722</v>
      </c>
      <c r="F46" s="1" t="n">
        <v>0.750515577717232</v>
      </c>
      <c r="H46" s="1" t="s">
        <v>144</v>
      </c>
      <c r="I46" s="1" t="n">
        <f aca="false">SUM(DEVSQ(inter_system_stats!$B$34:$B$59),DEVSQ(inter_system_stats!$C$34:$C$59),DEVSQ(inter_system_stats!$D$34:$D$59),DEVSQ(inter_system_stats!$E$34:$E$59),DEVSQ(inter_system_stats!$F$34:$F$59))</f>
        <v>0.503812563037234</v>
      </c>
      <c r="J46" s="1" t="n">
        <f aca="false">SUM(inter_system_stats!$I$38:$I$42)-COUNT(inter_system_stats!$I$38:$I$42)</f>
        <v>120</v>
      </c>
      <c r="K46" s="1" t="n">
        <f aca="false">inter_system_stats!$I$46 / inter_system_stats!$J$46</f>
        <v>0.00419843802531028</v>
      </c>
    </row>
    <row r="47" customFormat="false" ht="12.8" hidden="false" customHeight="false" outlineLevel="0" collapsed="false">
      <c r="A47" s="9" t="n">
        <v>13</v>
      </c>
      <c r="B47" s="1" t="n">
        <v>0.687181835442281</v>
      </c>
      <c r="C47" s="1" t="n">
        <v>0.677480782400821</v>
      </c>
      <c r="D47" s="1" t="n">
        <v>0.684900718861709</v>
      </c>
      <c r="E47" s="1" t="n">
        <v>0.658697413887377</v>
      </c>
      <c r="F47" s="1" t="n">
        <v>0.709222966214306</v>
      </c>
      <c r="H47" s="1" t="s">
        <v>145</v>
      </c>
      <c r="I47" s="1" t="n">
        <f aca="false">DEVSQ(inter_system_stats!$B$34:$B$59,inter_system_stats!$C$34:$C$59,inter_system_stats!$D$34:$D$59,inter_system_stats!$E$34:$E$59,inter_system_stats!$F$34:$F$59)</f>
        <v>0.665828822791394</v>
      </c>
      <c r="J47" s="1" t="n">
        <f aca="false">SUM(inter_system_stats!$I$38:$I$42) - 1</f>
        <v>124</v>
      </c>
    </row>
    <row r="48" customFormat="false" ht="12.8" hidden="false" customHeight="false" outlineLevel="0" collapsed="false">
      <c r="A48" s="9" t="n">
        <v>14</v>
      </c>
      <c r="B48" s="1" t="n">
        <v>0.81381364646817</v>
      </c>
      <c r="C48" s="1" t="n">
        <v>0.792919049793641</v>
      </c>
      <c r="D48" s="1" t="n">
        <v>0.81196411023973</v>
      </c>
      <c r="E48" s="1" t="n">
        <v>0.81359317699571</v>
      </c>
      <c r="F48" s="1" t="n">
        <v>0.526107506619162</v>
      </c>
    </row>
    <row r="49" customFormat="false" ht="12.8" hidden="false" customHeight="false" outlineLevel="0" collapsed="false">
      <c r="A49" s="9" t="n">
        <v>15</v>
      </c>
      <c r="B49" s="1" t="n">
        <v>0.78154173279719</v>
      </c>
      <c r="C49" s="1" t="n">
        <v>0.800884410132615</v>
      </c>
      <c r="D49" s="1" t="n">
        <v>0.793315446960825</v>
      </c>
      <c r="E49" s="1" t="n">
        <v>0.75883989362582</v>
      </c>
      <c r="F49" s="1" t="n">
        <v>0.568606644280233</v>
      </c>
    </row>
    <row r="50" customFormat="false" ht="12.8" hidden="false" customHeight="false" outlineLevel="0" collapsed="false">
      <c r="A50" s="9" t="n">
        <v>16</v>
      </c>
      <c r="B50" s="1" t="n">
        <v>0.679973262997131</v>
      </c>
      <c r="C50" s="1" t="n">
        <v>0.645399166816264</v>
      </c>
      <c r="D50" s="1" t="n">
        <v>0.677622741253111</v>
      </c>
      <c r="E50" s="1" t="n">
        <v>0.648642368618967</v>
      </c>
      <c r="F50" s="1" t="n">
        <v>0.495011712365797</v>
      </c>
    </row>
    <row r="51" customFormat="false" ht="12.8" hidden="false" customHeight="false" outlineLevel="0" collapsed="false">
      <c r="A51" s="9" t="n">
        <v>17</v>
      </c>
      <c r="B51" s="1" t="n">
        <v>0.804539740964931</v>
      </c>
      <c r="C51" s="1" t="n">
        <v>0.773016224974695</v>
      </c>
      <c r="D51" s="1" t="n">
        <v>0.775090547764</v>
      </c>
      <c r="E51" s="1" t="n">
        <v>0.779837433316897</v>
      </c>
      <c r="F51" s="1" t="n">
        <v>0.672995011679508</v>
      </c>
    </row>
    <row r="52" customFormat="false" ht="12.8" hidden="false" customHeight="false" outlineLevel="0" collapsed="false">
      <c r="A52" s="9" t="n">
        <v>18</v>
      </c>
      <c r="B52" s="1" t="n">
        <v>0.575788380252692</v>
      </c>
      <c r="C52" s="1" t="n">
        <v>0.583045440245199</v>
      </c>
      <c r="D52" s="1" t="n">
        <v>0.608910195539342</v>
      </c>
      <c r="E52" s="1" t="n">
        <v>0.572089176041892</v>
      </c>
      <c r="F52" s="1" t="n">
        <v>0.637832242885566</v>
      </c>
    </row>
    <row r="53" customFormat="false" ht="12.8" hidden="false" customHeight="false" outlineLevel="0" collapsed="false">
      <c r="A53" s="9" t="n">
        <v>19</v>
      </c>
      <c r="B53" s="1" t="n">
        <v>0.808293439836629</v>
      </c>
      <c r="C53" s="1" t="n">
        <v>0.795481203585273</v>
      </c>
      <c r="D53" s="1" t="n">
        <v>0.816339008116756</v>
      </c>
      <c r="E53" s="1" t="n">
        <v>0.763968943789392</v>
      </c>
      <c r="F53" s="1" t="n">
        <v>0.677348078562667</v>
      </c>
    </row>
    <row r="54" customFormat="false" ht="12.8" hidden="false" customHeight="false" outlineLevel="0" collapsed="false">
      <c r="A54" s="9" t="n">
        <v>20</v>
      </c>
      <c r="B54" s="1" t="n">
        <v>0.631098700615939</v>
      </c>
      <c r="C54" s="1" t="n">
        <v>0.652507768318238</v>
      </c>
      <c r="D54" s="1" t="n">
        <v>0.675912922731983</v>
      </c>
      <c r="E54" s="1" t="n">
        <v>0.624304602360581</v>
      </c>
      <c r="F54" s="1" t="n">
        <v>0.675947228908232</v>
      </c>
    </row>
    <row r="55" customFormat="false" ht="12.8" hidden="false" customHeight="false" outlineLevel="0" collapsed="false">
      <c r="A55" s="9" t="n">
        <v>21</v>
      </c>
      <c r="B55" s="1" t="n">
        <v>0.723521456744309</v>
      </c>
      <c r="C55" s="1" t="n">
        <v>0.613427900388095</v>
      </c>
      <c r="D55" s="1" t="n">
        <v>0.748125732839088</v>
      </c>
      <c r="E55" s="1" t="n">
        <v>0.659893215109107</v>
      </c>
      <c r="F55" s="1" t="n">
        <v>0.610943329404948</v>
      </c>
    </row>
    <row r="56" customFormat="false" ht="12.8" hidden="false" customHeight="false" outlineLevel="0" collapsed="false">
      <c r="A56" s="9" t="n">
        <v>22</v>
      </c>
      <c r="B56" s="1" t="n">
        <v>0.667636089020494</v>
      </c>
      <c r="C56" s="1" t="n">
        <v>0.656999422835807</v>
      </c>
      <c r="D56" s="1" t="n">
        <v>0.66618628675421</v>
      </c>
      <c r="E56" s="1" t="n">
        <v>0.689045902907548</v>
      </c>
      <c r="F56" s="1" t="n">
        <v>0.750091190228488</v>
      </c>
    </row>
    <row r="57" customFormat="false" ht="12.8" hidden="false" customHeight="false" outlineLevel="0" collapsed="false">
      <c r="A57" s="9" t="n">
        <v>23</v>
      </c>
      <c r="B57" s="1" t="n">
        <v>0.729145136576755</v>
      </c>
      <c r="C57" s="1" t="n">
        <v>0.779435389877834</v>
      </c>
      <c r="D57" s="1" t="n">
        <v>0.757211026307674</v>
      </c>
      <c r="E57" s="1" t="n">
        <v>0.746678659986203</v>
      </c>
      <c r="F57" s="1" t="n">
        <v>0.569584008433566</v>
      </c>
    </row>
    <row r="58" customFormat="false" ht="12.8" hidden="false" customHeight="false" outlineLevel="0" collapsed="false">
      <c r="A58" s="9" t="n">
        <v>24</v>
      </c>
      <c r="B58" s="1" t="n">
        <v>0.768909591560026</v>
      </c>
      <c r="C58" s="1" t="n">
        <v>0.795672429591334</v>
      </c>
      <c r="D58" s="1" t="n">
        <v>0.74821765393045</v>
      </c>
      <c r="E58" s="1" t="n">
        <v>0.795702405915841</v>
      </c>
      <c r="F58" s="1" t="n">
        <v>0.517039819129782</v>
      </c>
    </row>
    <row r="59" customFormat="false" ht="12.8" hidden="false" customHeight="false" outlineLevel="0" collapsed="false">
      <c r="A59" s="13" t="n">
        <v>25</v>
      </c>
      <c r="B59" s="1" t="n">
        <v>0.694335761858647</v>
      </c>
      <c r="C59" s="1" t="n">
        <v>0.695664418244049</v>
      </c>
      <c r="D59" s="1" t="n">
        <v>0.748732725295858</v>
      </c>
      <c r="E59" s="1" t="n">
        <v>0.71620655928944</v>
      </c>
      <c r="F59" s="1" t="n">
        <v>0.629656577085868</v>
      </c>
    </row>
    <row r="71" customFormat="false" ht="12.8" hidden="false" customHeight="false" outlineLevel="0" collapsed="false">
      <c r="B71" s="16" t="s">
        <v>124</v>
      </c>
    </row>
    <row r="72" customFormat="false" ht="12.8" hidden="false" customHeight="false" outlineLevel="0" collapsed="false">
      <c r="B72" s="1" t="s">
        <v>125</v>
      </c>
      <c r="C72" s="1" t="n">
        <v>0.05</v>
      </c>
    </row>
    <row r="74" customFormat="false" ht="12.8" hidden="false" customHeight="false" outlineLevel="0" collapsed="false">
      <c r="B74" s="1" t="s">
        <v>126</v>
      </c>
      <c r="C74" s="1" t="s">
        <v>127</v>
      </c>
      <c r="D74" s="1" t="s">
        <v>128</v>
      </c>
      <c r="E74" s="1" t="s">
        <v>129</v>
      </c>
      <c r="F74" s="1" t="s">
        <v>130</v>
      </c>
    </row>
    <row r="75" customFormat="false" ht="12.8" hidden="false" customHeight="false" outlineLevel="0" collapsed="false">
      <c r="B75" s="1" t="s">
        <v>131</v>
      </c>
      <c r="C75" s="1" t="n">
        <f aca="false">COUNT(inter_system_stats!$B$34:$B$59)</f>
        <v>25</v>
      </c>
      <c r="D75" s="1" t="n">
        <f aca="false">SUM(inter_system_stats!$B$34:$B$59)</f>
        <v>18.3622593446155</v>
      </c>
      <c r="E75" s="1" t="n">
        <f aca="false">AVERAGE(inter_system_stats!$B$34:$B$59)</f>
        <v>0.734490373784622</v>
      </c>
      <c r="F75" s="1" t="n">
        <f aca="false">VAR(inter_system_stats!$B$34:$B$59)</f>
        <v>0.00341183321168499</v>
      </c>
    </row>
    <row r="76" customFormat="false" ht="12.8" hidden="false" customHeight="false" outlineLevel="0" collapsed="false">
      <c r="B76" s="1" t="s">
        <v>132</v>
      </c>
      <c r="C76" s="1" t="n">
        <f aca="false">COUNT(inter_system_stats!$C$34:$C$59)</f>
        <v>25</v>
      </c>
      <c r="D76" s="1" t="n">
        <f aca="false">SUM(inter_system_stats!$C$34:$C$59)</f>
        <v>18.1933898569111</v>
      </c>
      <c r="E76" s="1" t="n">
        <f aca="false">AVERAGE(inter_system_stats!$C$34:$C$59)</f>
        <v>0.727735594276442</v>
      </c>
      <c r="F76" s="1" t="n">
        <f aca="false">VAR(inter_system_stats!$C$34:$C$59)</f>
        <v>0.00415956848228219</v>
      </c>
    </row>
    <row r="77" customFormat="false" ht="12.8" hidden="false" customHeight="false" outlineLevel="0" collapsed="false">
      <c r="B77" s="1" t="s">
        <v>133</v>
      </c>
      <c r="C77" s="1" t="n">
        <f aca="false">COUNT(inter_system_stats!$D$34:$D$59)</f>
        <v>25</v>
      </c>
      <c r="D77" s="1" t="n">
        <f aca="false">SUM(inter_system_stats!$D$34:$D$59)</f>
        <v>18.4647768581468</v>
      </c>
      <c r="E77" s="1" t="n">
        <f aca="false">AVERAGE(inter_system_stats!$D$34:$D$59)</f>
        <v>0.738591074325871</v>
      </c>
      <c r="F77" s="1" t="n">
        <f aca="false">VAR(inter_system_stats!$D$34:$D$59)</f>
        <v>0.00297443070943292</v>
      </c>
    </row>
    <row r="78" customFormat="false" ht="12.8" hidden="false" customHeight="false" outlineLevel="0" collapsed="false">
      <c r="B78" s="1" t="s">
        <v>134</v>
      </c>
      <c r="C78" s="1" t="n">
        <f aca="false">COUNT(inter_system_stats!$E$34:$E$59)</f>
        <v>25</v>
      </c>
      <c r="D78" s="1" t="n">
        <f aca="false">SUM(inter_system_stats!$E$34:$E$59)</f>
        <v>18.0948977318379</v>
      </c>
      <c r="E78" s="1" t="n">
        <f aca="false">AVERAGE(inter_system_stats!$E$34:$E$59)</f>
        <v>0.723795909273515</v>
      </c>
      <c r="F78" s="1" t="n">
        <f aca="false">VAR(inter_system_stats!$E$34:$E$59)</f>
        <v>0.00341577736974905</v>
      </c>
    </row>
    <row r="80" customFormat="false" ht="12.8" hidden="false" customHeight="false" outlineLevel="0" collapsed="false">
      <c r="B80" s="1" t="s">
        <v>136</v>
      </c>
      <c r="C80" s="1" t="s">
        <v>137</v>
      </c>
      <c r="D80" s="1" t="s">
        <v>138</v>
      </c>
      <c r="E80" s="1" t="s">
        <v>139</v>
      </c>
      <c r="F80" s="1" t="s">
        <v>140</v>
      </c>
      <c r="G80" s="1" t="s">
        <v>141</v>
      </c>
      <c r="H80" s="1" t="s">
        <v>142</v>
      </c>
    </row>
    <row r="81" customFormat="false" ht="12.8" hidden="false" customHeight="false" outlineLevel="0" collapsed="false">
      <c r="B81" s="1" t="s">
        <v>143</v>
      </c>
      <c r="C81" s="1" t="n">
        <f aca="false">SUMPRODUCT(inter_system_stats!$D$75:$D$78,inter_system_stats!$E$75:$E$78)-SUM(inter_system_stats!$D$75:$D$78)^2/SUM(inter_system_stats!$C$75:$C$78)</f>
        <v>0.00330671147666095</v>
      </c>
      <c r="D81" s="1" t="n">
        <f aca="false">COUNT(inter_system_stats!$D$75:$D$78)-1</f>
        <v>3</v>
      </c>
      <c r="E81" s="1" t="n">
        <f aca="false">inter_system_stats!$C$81 / inter_system_stats!$D$81</f>
        <v>0.00110223715888698</v>
      </c>
      <c r="F81" s="1" t="n">
        <f aca="false">inter_system_stats!$E$81 / inter_system_stats!$E$82</f>
        <v>0.315790851283294</v>
      </c>
      <c r="G81" s="1" t="n">
        <f aca="false">FDIST(inter_system_stats!$F$81, inter_system_stats!$D$81, inter_system_stats!$D$82)</f>
        <v>0.813925015322071</v>
      </c>
      <c r="H81" s="1" t="n">
        <f aca="false">FINV(inter_system_stats!$C$72, inter_system_stats!$D$81, inter_system_stats!$D$82)</f>
        <v>2.69939259755218</v>
      </c>
    </row>
    <row r="82" customFormat="false" ht="12.8" hidden="false" customHeight="false" outlineLevel="0" collapsed="false">
      <c r="B82" s="1" t="s">
        <v>144</v>
      </c>
      <c r="C82" s="1" t="n">
        <f aca="false">SUM(DEVSQ(inter_system_stats!$B$34:$B$59),DEVSQ(inter_system_stats!$C$34:$C$59),DEVSQ(inter_system_stats!$D$34:$D$59),DEVSQ(inter_system_stats!$E$34:$E$59))</f>
        <v>0.33507863455558</v>
      </c>
      <c r="D82" s="1" t="n">
        <f aca="false">SUM(inter_system_stats!$C$75:$C$78)-COUNT(inter_system_stats!$C$75:$C$78)</f>
        <v>96</v>
      </c>
      <c r="E82" s="1" t="n">
        <f aca="false">inter_system_stats!$C$82 / inter_system_stats!$D$82</f>
        <v>0.00349040244328729</v>
      </c>
    </row>
    <row r="83" customFormat="false" ht="12.8" hidden="false" customHeight="false" outlineLevel="0" collapsed="false">
      <c r="B83" s="1" t="s">
        <v>145</v>
      </c>
      <c r="C83" s="1" t="n">
        <f aca="false">DEVSQ(inter_system_stats!$B$34:$B$59,inter_system_stats!$C$34:$C$59,inter_system_stats!$D$34:$D$59,inter_system_stats!$E$34:$E$59)</f>
        <v>0.338385346032234</v>
      </c>
      <c r="D83" s="1" t="n">
        <f aca="false">SUM(inter_system_stats!$C$75:$C$78) - 1</f>
        <v>99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56"/>
  <sheetViews>
    <sheetView showFormulas="false" showGridLines="true" showRowColHeaders="true" showZeros="true" rightToLeft="false" tabSelected="true" showOutlineSymbols="true" defaultGridColor="true" view="normal" topLeftCell="A10" colorId="64" zoomScale="125" zoomScaleNormal="125" zoomScalePageLayoutView="100" workbookViewId="0">
      <selection pane="topLeft" activeCell="K47" activeCellId="0" sqref="K47"/>
    </sheetView>
  </sheetViews>
  <sheetFormatPr defaultColWidth="14.0703125" defaultRowHeight="12.8" customHeight="false" zeroHeight="false" outlineLevelRow="0" outlineLevelCol="0"/>
  <sheetData>
    <row r="3" customFormat="false" ht="12.8" hidden="false" customHeight="false" outlineLevel="0" collapsed="false">
      <c r="B3" s="15" t="s">
        <v>121</v>
      </c>
      <c r="C3" s="6" t="s">
        <v>122</v>
      </c>
      <c r="D3" s="6" t="s">
        <v>123</v>
      </c>
      <c r="E3" s="6" t="s">
        <v>110</v>
      </c>
    </row>
    <row r="4" customFormat="false" ht="12.8" hidden="false" customHeight="false" outlineLevel="0" collapsed="false">
      <c r="B4" s="1" t="n">
        <v>0.782943341241136</v>
      </c>
      <c r="C4" s="1" t="n">
        <v>0.796298769133089</v>
      </c>
      <c r="D4" s="1" t="n">
        <v>0.802858105976441</v>
      </c>
      <c r="E4" s="1" t="n">
        <v>0.772576965117032</v>
      </c>
    </row>
    <row r="5" customFormat="false" ht="12.8" hidden="false" customHeight="false" outlineLevel="0" collapsed="false">
      <c r="B5" s="1" t="n">
        <v>0.72616787514369</v>
      </c>
      <c r="C5" s="1" t="n">
        <v>0.739558549996658</v>
      </c>
      <c r="D5" s="1" t="n">
        <v>0.723830722485877</v>
      </c>
      <c r="E5" s="1" t="n">
        <v>0.680958683894326</v>
      </c>
    </row>
    <row r="6" customFormat="false" ht="12.8" hidden="false" customHeight="false" outlineLevel="0" collapsed="false">
      <c r="B6" s="1" t="n">
        <v>0.762384843564062</v>
      </c>
      <c r="C6" s="1" t="n">
        <v>0.739544897773702</v>
      </c>
      <c r="D6" s="1" t="n">
        <v>0.720096923539769</v>
      </c>
      <c r="E6" s="1" t="n">
        <v>0.771466699638375</v>
      </c>
    </row>
    <row r="7" customFormat="false" ht="12.8" hidden="false" customHeight="false" outlineLevel="0" collapsed="false">
      <c r="B7" s="1" t="n">
        <v>0.703293963123335</v>
      </c>
      <c r="C7" s="1" t="n">
        <v>0.743029391601184</v>
      </c>
      <c r="D7" s="1" t="n">
        <v>0.744563645027981</v>
      </c>
      <c r="E7" s="1" t="n">
        <v>0.746803660511214</v>
      </c>
    </row>
    <row r="8" customFormat="false" ht="12.8" hidden="false" customHeight="false" outlineLevel="0" collapsed="false">
      <c r="B8" s="1" t="n">
        <v>0.729690702766813</v>
      </c>
      <c r="C8" s="1" t="n">
        <v>0.725502046355756</v>
      </c>
      <c r="D8" s="1" t="n">
        <v>0.67114667173556</v>
      </c>
      <c r="E8" s="1" t="n">
        <v>0.737980761526421</v>
      </c>
    </row>
    <row r="9" customFormat="false" ht="12.8" hidden="false" customHeight="false" outlineLevel="0" collapsed="false">
      <c r="B9" s="1" t="n">
        <v>0.752076127330993</v>
      </c>
      <c r="C9" s="1" t="n">
        <v>0.74855685096753</v>
      </c>
      <c r="D9" s="1" t="n">
        <v>0.740698706746506</v>
      </c>
      <c r="E9" s="1" t="n">
        <v>0.69925918619606</v>
      </c>
    </row>
    <row r="10" customFormat="false" ht="12.8" hidden="false" customHeight="false" outlineLevel="0" collapsed="false">
      <c r="B10" s="1" t="n">
        <v>0.811772559323065</v>
      </c>
      <c r="C10" s="1" t="n">
        <v>0.734138467252432</v>
      </c>
      <c r="D10" s="1" t="n">
        <v>0.773772436552573</v>
      </c>
      <c r="E10" s="1" t="n">
        <v>0.735139079782349</v>
      </c>
    </row>
    <row r="11" customFormat="false" ht="12.8" hidden="false" customHeight="false" outlineLevel="0" collapsed="false">
      <c r="B11" s="1" t="n">
        <v>0.718329243982785</v>
      </c>
      <c r="C11" s="1" t="n">
        <v>0.668701341307149</v>
      </c>
      <c r="D11" s="1" t="n">
        <v>0.669131289751387</v>
      </c>
      <c r="E11" s="1" t="n">
        <v>0.694325378562934</v>
      </c>
    </row>
    <row r="12" customFormat="false" ht="12.8" hidden="false" customHeight="false" outlineLevel="0" collapsed="false">
      <c r="B12" s="1" t="n">
        <v>0.750898507673254</v>
      </c>
      <c r="C12" s="1" t="n">
        <v>0.786880036989265</v>
      </c>
      <c r="D12" s="1" t="n">
        <v>0.76936357772334</v>
      </c>
      <c r="E12" s="1" t="n">
        <v>0.754953984633863</v>
      </c>
    </row>
    <row r="13" customFormat="false" ht="12.8" hidden="false" customHeight="false" outlineLevel="0" collapsed="false">
      <c r="B13" s="1" t="n">
        <v>0.712335367494729</v>
      </c>
      <c r="C13" s="1" t="n">
        <v>0.80994865911664</v>
      </c>
      <c r="D13" s="1" t="n">
        <v>0.795393600984621</v>
      </c>
      <c r="E13" s="1" t="n">
        <v>0.780131624434666</v>
      </c>
    </row>
    <row r="14" customFormat="false" ht="12.8" hidden="false" customHeight="false" outlineLevel="0" collapsed="false">
      <c r="B14" s="1" t="n">
        <v>0.77617002993037</v>
      </c>
      <c r="C14" s="1" t="n">
        <v>0.690171891444283</v>
      </c>
      <c r="D14" s="1" t="n">
        <v>0.750280009673556</v>
      </c>
      <c r="E14" s="1" t="n">
        <v>0.741371410255129</v>
      </c>
    </row>
    <row r="15" customFormat="false" ht="12.8" hidden="false" customHeight="false" outlineLevel="0" collapsed="false">
      <c r="B15" s="1" t="n">
        <v>0.770418007906113</v>
      </c>
      <c r="C15" s="1" t="n">
        <v>0.749125347769507</v>
      </c>
      <c r="D15" s="1" t="n">
        <v>0.791112051354437</v>
      </c>
      <c r="E15" s="1" t="n">
        <v>0.752430545440722</v>
      </c>
    </row>
    <row r="16" customFormat="false" ht="12.8" hidden="false" customHeight="false" outlineLevel="0" collapsed="false">
      <c r="B16" s="1" t="n">
        <v>0.687181835442281</v>
      </c>
      <c r="C16" s="1" t="n">
        <v>0.677480782400821</v>
      </c>
      <c r="D16" s="1" t="n">
        <v>0.684900718861709</v>
      </c>
      <c r="E16" s="1" t="n">
        <v>0.658697413887377</v>
      </c>
    </row>
    <row r="17" customFormat="false" ht="12.8" hidden="false" customHeight="false" outlineLevel="0" collapsed="false">
      <c r="B17" s="1" t="n">
        <v>0.81381364646817</v>
      </c>
      <c r="C17" s="1" t="n">
        <v>0.792919049793641</v>
      </c>
      <c r="D17" s="1" t="n">
        <v>0.81196411023973</v>
      </c>
      <c r="E17" s="1" t="n">
        <v>0.81359317699571</v>
      </c>
    </row>
    <row r="18" customFormat="false" ht="12.8" hidden="false" customHeight="false" outlineLevel="0" collapsed="false">
      <c r="B18" s="1" t="n">
        <v>0.78154173279719</v>
      </c>
      <c r="C18" s="1" t="n">
        <v>0.800884410132615</v>
      </c>
      <c r="D18" s="1" t="n">
        <v>0.793315446960825</v>
      </c>
      <c r="E18" s="1" t="n">
        <v>0.75883989362582</v>
      </c>
    </row>
    <row r="19" customFormat="false" ht="12.8" hidden="false" customHeight="false" outlineLevel="0" collapsed="false">
      <c r="B19" s="1" t="n">
        <v>0.679973262997131</v>
      </c>
      <c r="C19" s="1" t="n">
        <v>0.645399166816264</v>
      </c>
      <c r="D19" s="1" t="n">
        <v>0.677622741253111</v>
      </c>
      <c r="E19" s="1" t="n">
        <v>0.648642368618967</v>
      </c>
    </row>
    <row r="20" customFormat="false" ht="12.8" hidden="false" customHeight="false" outlineLevel="0" collapsed="false">
      <c r="B20" s="1" t="n">
        <v>0.804539740964931</v>
      </c>
      <c r="C20" s="1" t="n">
        <v>0.773016224974695</v>
      </c>
      <c r="D20" s="1" t="n">
        <v>0.775090547764</v>
      </c>
      <c r="E20" s="1" t="n">
        <v>0.779837433316897</v>
      </c>
    </row>
    <row r="21" customFormat="false" ht="12.8" hidden="false" customHeight="false" outlineLevel="0" collapsed="false">
      <c r="B21" s="1" t="n">
        <v>0.575788380252692</v>
      </c>
      <c r="C21" s="1" t="n">
        <v>0.583045440245199</v>
      </c>
      <c r="D21" s="1" t="n">
        <v>0.608910195539342</v>
      </c>
      <c r="E21" s="1" t="n">
        <v>0.572089176041892</v>
      </c>
    </row>
    <row r="22" customFormat="false" ht="12.8" hidden="false" customHeight="false" outlineLevel="0" collapsed="false">
      <c r="B22" s="1" t="n">
        <v>0.808293439836629</v>
      </c>
      <c r="C22" s="1" t="n">
        <v>0.795481203585273</v>
      </c>
      <c r="D22" s="1" t="n">
        <v>0.816339008116756</v>
      </c>
      <c r="E22" s="1" t="n">
        <v>0.763968943789392</v>
      </c>
    </row>
    <row r="23" customFormat="false" ht="12.8" hidden="false" customHeight="false" outlineLevel="0" collapsed="false">
      <c r="B23" s="1" t="n">
        <v>0.631098700615939</v>
      </c>
      <c r="C23" s="1" t="n">
        <v>0.652507768318238</v>
      </c>
      <c r="D23" s="1" t="n">
        <v>0.675912922731983</v>
      </c>
      <c r="E23" s="1" t="n">
        <v>0.624304602360581</v>
      </c>
    </row>
    <row r="24" customFormat="false" ht="12.8" hidden="false" customHeight="false" outlineLevel="0" collapsed="false">
      <c r="B24" s="1" t="n">
        <v>0.723521456744309</v>
      </c>
      <c r="C24" s="1" t="n">
        <v>0.613427900388095</v>
      </c>
      <c r="D24" s="1" t="n">
        <v>0.748125732839088</v>
      </c>
      <c r="E24" s="1" t="n">
        <v>0.659893215109107</v>
      </c>
    </row>
    <row r="25" customFormat="false" ht="12.8" hidden="false" customHeight="false" outlineLevel="0" collapsed="false">
      <c r="B25" s="1" t="n">
        <v>0.667636089020494</v>
      </c>
      <c r="C25" s="1" t="n">
        <v>0.656999422835807</v>
      </c>
      <c r="D25" s="1" t="n">
        <v>0.66618628675421</v>
      </c>
      <c r="E25" s="1" t="n">
        <v>0.689045902907548</v>
      </c>
    </row>
    <row r="26" customFormat="false" ht="12.8" hidden="false" customHeight="false" outlineLevel="0" collapsed="false">
      <c r="B26" s="1" t="n">
        <v>0.729145136576755</v>
      </c>
      <c r="C26" s="1" t="n">
        <v>0.779435389877834</v>
      </c>
      <c r="D26" s="1" t="n">
        <v>0.757211026307674</v>
      </c>
      <c r="E26" s="1" t="n">
        <v>0.746678659986203</v>
      </c>
    </row>
    <row r="27" customFormat="false" ht="12.8" hidden="false" customHeight="false" outlineLevel="0" collapsed="false">
      <c r="B27" s="1" t="n">
        <v>0.768909591560026</v>
      </c>
      <c r="C27" s="1" t="n">
        <v>0.795672429591334</v>
      </c>
      <c r="D27" s="1" t="n">
        <v>0.74821765393045</v>
      </c>
      <c r="E27" s="1" t="n">
        <v>0.795702405915841</v>
      </c>
    </row>
    <row r="28" customFormat="false" ht="12.8" hidden="false" customHeight="false" outlineLevel="0" collapsed="false">
      <c r="B28" s="1" t="n">
        <v>0.694335761858647</v>
      </c>
      <c r="C28" s="1" t="n">
        <v>0.695664418244049</v>
      </c>
      <c r="D28" s="1" t="n">
        <v>0.748732725295858</v>
      </c>
      <c r="E28" s="1" t="n">
        <v>0.71620655928944</v>
      </c>
    </row>
    <row r="31" customFormat="false" ht="12.8" hidden="false" customHeight="false" outlineLevel="0" collapsed="false">
      <c r="A31" s="0" t="s">
        <v>146</v>
      </c>
      <c r="G31" s="0" t="s">
        <v>147</v>
      </c>
    </row>
    <row r="32" customFormat="false" ht="12.8" hidden="false" customHeight="false" outlineLevel="0" collapsed="false">
      <c r="B32" s="15" t="s">
        <v>121</v>
      </c>
      <c r="C32" s="6" t="s">
        <v>122</v>
      </c>
      <c r="D32" s="6" t="s">
        <v>123</v>
      </c>
      <c r="E32" s="6" t="s">
        <v>110</v>
      </c>
      <c r="G32" s="15" t="s">
        <v>121</v>
      </c>
      <c r="H32" s="6" t="s">
        <v>122</v>
      </c>
      <c r="I32" s="6" t="s">
        <v>123</v>
      </c>
      <c r="J32" s="6" t="s">
        <v>110</v>
      </c>
    </row>
    <row r="33" customFormat="false" ht="12.8" hidden="false" customHeight="false" outlineLevel="0" collapsed="false">
      <c r="B33" s="0" t="n">
        <f aca="false">B5-B4</f>
        <v>-0.056775466097446</v>
      </c>
      <c r="C33" s="0" t="n">
        <f aca="false">C5-C4</f>
        <v>-0.0567402191364309</v>
      </c>
      <c r="D33" s="0" t="n">
        <f aca="false">D5-D4</f>
        <v>-0.079027383490564</v>
      </c>
      <c r="E33" s="0" t="n">
        <f aca="false">E5-E4</f>
        <v>-0.091618281222706</v>
      </c>
      <c r="G33" s="0" t="n">
        <f aca="false">_xlfn.STDEV.S(B33:B56)</f>
        <v>0.101737471197817</v>
      </c>
      <c r="H33" s="0" t="n">
        <f aca="false">_xlfn.STDEV.S(C33:C56)</f>
        <v>0.0999529348462077</v>
      </c>
      <c r="I33" s="0" t="n">
        <f aca="false">_xlfn.STDEV.S(D33:D56)</f>
        <v>0.0943512374663387</v>
      </c>
      <c r="J33" s="0" t="n">
        <f aca="false">_xlfn.STDEV.S(E33:E56)</f>
        <v>0.0947083751301571</v>
      </c>
    </row>
    <row r="34" customFormat="false" ht="12.8" hidden="false" customHeight="false" outlineLevel="0" collapsed="false">
      <c r="B34" s="0" t="n">
        <f aca="false">B6-B5</f>
        <v>0.036216968420372</v>
      </c>
      <c r="C34" s="0" t="n">
        <f aca="false">C6-C5</f>
        <v>-1.36522229560176E-005</v>
      </c>
      <c r="D34" s="0" t="n">
        <f aca="false">D6-D5</f>
        <v>-0.00373379894610804</v>
      </c>
      <c r="E34" s="0" t="n">
        <f aca="false">E6-E5</f>
        <v>0.090508015744049</v>
      </c>
    </row>
    <row r="35" customFormat="false" ht="12.8" hidden="false" customHeight="false" outlineLevel="0" collapsed="false">
      <c r="B35" s="0" t="n">
        <f aca="false">B7-B6</f>
        <v>-0.059090880440727</v>
      </c>
      <c r="C35" s="0" t="n">
        <f aca="false">C7-C6</f>
        <v>0.00348449382748195</v>
      </c>
      <c r="D35" s="0" t="n">
        <f aca="false">D7-D6</f>
        <v>0.0244667214882121</v>
      </c>
      <c r="E35" s="0" t="n">
        <f aca="false">E7-E6</f>
        <v>-0.0246630391271609</v>
      </c>
    </row>
    <row r="36" customFormat="false" ht="12.8" hidden="false" customHeight="false" outlineLevel="0" collapsed="false">
      <c r="B36" s="0" t="n">
        <f aca="false">B8-B7</f>
        <v>0.026396739643478</v>
      </c>
      <c r="C36" s="0" t="n">
        <f aca="false">C8-C7</f>
        <v>-0.017527345245428</v>
      </c>
      <c r="D36" s="0" t="n">
        <f aca="false">D8-D7</f>
        <v>-0.073416973292421</v>
      </c>
      <c r="E36" s="0" t="n">
        <f aca="false">E8-E7</f>
        <v>-0.00882289898479305</v>
      </c>
    </row>
    <row r="37" customFormat="false" ht="12.8" hidden="false" customHeight="false" outlineLevel="0" collapsed="false">
      <c r="B37" s="0" t="n">
        <f aca="false">B9-B8</f>
        <v>0.02238542456418</v>
      </c>
      <c r="C37" s="0" t="n">
        <f aca="false">C9-C8</f>
        <v>0.023054804611774</v>
      </c>
      <c r="D37" s="0" t="n">
        <f aca="false">D9-D8</f>
        <v>0.069552035010946</v>
      </c>
      <c r="E37" s="0" t="n">
        <f aca="false">E9-E8</f>
        <v>-0.038721575330361</v>
      </c>
    </row>
    <row r="38" customFormat="false" ht="12.8" hidden="false" customHeight="false" outlineLevel="0" collapsed="false">
      <c r="B38" s="0" t="n">
        <f aca="false">B10-B9</f>
        <v>0.059696431992072</v>
      </c>
      <c r="C38" s="0" t="n">
        <f aca="false">C10-C9</f>
        <v>-0.014418383715098</v>
      </c>
      <c r="D38" s="0" t="n">
        <f aca="false">D10-D9</f>
        <v>0.033073729806067</v>
      </c>
      <c r="E38" s="0" t="n">
        <f aca="false">E10-E9</f>
        <v>0.0358798935862891</v>
      </c>
    </row>
    <row r="39" customFormat="false" ht="12.8" hidden="false" customHeight="false" outlineLevel="0" collapsed="false">
      <c r="B39" s="0" t="n">
        <f aca="false">B11-B10</f>
        <v>-0.0934433153402801</v>
      </c>
      <c r="C39" s="0" t="n">
        <f aca="false">C11-C10</f>
        <v>-0.0654371259452831</v>
      </c>
      <c r="D39" s="0" t="n">
        <f aca="false">D11-D10</f>
        <v>-0.104641146801186</v>
      </c>
      <c r="E39" s="0" t="n">
        <f aca="false">E11-E10</f>
        <v>-0.0408137012194151</v>
      </c>
    </row>
    <row r="40" customFormat="false" ht="12.8" hidden="false" customHeight="false" outlineLevel="0" collapsed="false">
      <c r="B40" s="0" t="n">
        <f aca="false">B12-B11</f>
        <v>0.032569263690469</v>
      </c>
      <c r="C40" s="0" t="n">
        <f aca="false">C12-C11</f>
        <v>0.118178695682116</v>
      </c>
      <c r="D40" s="0" t="n">
        <f aca="false">D12-D11</f>
        <v>0.100232287971953</v>
      </c>
      <c r="E40" s="0" t="n">
        <f aca="false">E12-E11</f>
        <v>0.060628606070929</v>
      </c>
    </row>
    <row r="41" customFormat="false" ht="12.8" hidden="false" customHeight="false" outlineLevel="0" collapsed="false">
      <c r="B41" s="0" t="n">
        <f aca="false">B13-B12</f>
        <v>-0.0385631401785249</v>
      </c>
      <c r="C41" s="0" t="n">
        <f aca="false">C13-C12</f>
        <v>0.023068622127375</v>
      </c>
      <c r="D41" s="0" t="n">
        <f aca="false">D13-D12</f>
        <v>0.026030023261281</v>
      </c>
      <c r="E41" s="0" t="n">
        <f aca="false">E13-E12</f>
        <v>0.025177639800803</v>
      </c>
    </row>
    <row r="42" customFormat="false" ht="12.8" hidden="false" customHeight="false" outlineLevel="0" collapsed="false">
      <c r="B42" s="0" t="n">
        <f aca="false">B14-B13</f>
        <v>0.063834662435641</v>
      </c>
      <c r="C42" s="0" t="n">
        <f aca="false">C14-C13</f>
        <v>-0.119776767672357</v>
      </c>
      <c r="D42" s="0" t="n">
        <f aca="false">D14-D13</f>
        <v>-0.045113591311065</v>
      </c>
      <c r="E42" s="0" t="n">
        <f aca="false">E14-E13</f>
        <v>-0.038760214179537</v>
      </c>
    </row>
    <row r="43" customFormat="false" ht="12.8" hidden="false" customHeight="false" outlineLevel="0" collapsed="false">
      <c r="B43" s="0" t="n">
        <f aca="false">B15-B14</f>
        <v>-0.00575202202425695</v>
      </c>
      <c r="C43" s="0" t="n">
        <f aca="false">C15-C14</f>
        <v>0.058953456325224</v>
      </c>
      <c r="D43" s="0" t="n">
        <f aca="false">D15-D14</f>
        <v>0.040832041680881</v>
      </c>
      <c r="E43" s="0" t="n">
        <f aca="false">E15-E14</f>
        <v>0.011059135185593</v>
      </c>
    </row>
    <row r="44" customFormat="false" ht="12.8" hidden="false" customHeight="false" outlineLevel="0" collapsed="false">
      <c r="B44" s="0" t="n">
        <f aca="false">B16-B15</f>
        <v>-0.0832361724638321</v>
      </c>
      <c r="C44" s="0" t="n">
        <f aca="false">C16-C15</f>
        <v>-0.071644565368686</v>
      </c>
      <c r="D44" s="0" t="n">
        <f aca="false">D16-D15</f>
        <v>-0.106211332492728</v>
      </c>
      <c r="E44" s="0" t="n">
        <f aca="false">E16-E15</f>
        <v>-0.093733131553345</v>
      </c>
    </row>
    <row r="45" customFormat="false" ht="12.8" hidden="false" customHeight="false" outlineLevel="0" collapsed="false">
      <c r="B45" s="0" t="n">
        <f aca="false">B17-B16</f>
        <v>0.126631811025889</v>
      </c>
      <c r="C45" s="0" t="n">
        <f aca="false">C17-C16</f>
        <v>0.11543826739282</v>
      </c>
      <c r="D45" s="0" t="n">
        <f aca="false">D17-D16</f>
        <v>0.127063391378021</v>
      </c>
      <c r="E45" s="0" t="n">
        <f aca="false">E17-E16</f>
        <v>0.154895763108333</v>
      </c>
    </row>
    <row r="46" customFormat="false" ht="12.8" hidden="false" customHeight="false" outlineLevel="0" collapsed="false">
      <c r="B46" s="0" t="n">
        <f aca="false">B18-B17</f>
        <v>-0.03227191367098</v>
      </c>
      <c r="C46" s="0" t="n">
        <f aca="false">C18-C17</f>
        <v>0.00796536033897399</v>
      </c>
      <c r="D46" s="0" t="n">
        <f aca="false">D18-D17</f>
        <v>-0.018648663278905</v>
      </c>
      <c r="E46" s="0" t="n">
        <f aca="false">E18-E17</f>
        <v>-0.0547532833698899</v>
      </c>
    </row>
    <row r="47" customFormat="false" ht="12.8" hidden="false" customHeight="false" outlineLevel="0" collapsed="false">
      <c r="B47" s="0" t="n">
        <f aca="false">B19-B18</f>
        <v>-0.101568469800059</v>
      </c>
      <c r="C47" s="0" t="n">
        <f aca="false">C19-C18</f>
        <v>-0.155485243316351</v>
      </c>
      <c r="D47" s="0" t="n">
        <f aca="false">D19-D18</f>
        <v>-0.115692705707714</v>
      </c>
      <c r="E47" s="0" t="n">
        <f aca="false">E19-E18</f>
        <v>-0.110197525006853</v>
      </c>
    </row>
    <row r="48" customFormat="false" ht="12.8" hidden="false" customHeight="false" outlineLevel="0" collapsed="false">
      <c r="B48" s="0" t="n">
        <f aca="false">B20-B19</f>
        <v>0.1245664779678</v>
      </c>
      <c r="C48" s="0" t="n">
        <f aca="false">C20-C19</f>
        <v>0.127617058158431</v>
      </c>
      <c r="D48" s="0" t="n">
        <f aca="false">D20-D19</f>
        <v>0.097467806510889</v>
      </c>
      <c r="E48" s="0" t="n">
        <f aca="false">E20-E19</f>
        <v>0.13119506469793</v>
      </c>
    </row>
    <row r="49" customFormat="false" ht="12.8" hidden="false" customHeight="false" outlineLevel="0" collapsed="false">
      <c r="B49" s="0" t="n">
        <f aca="false">B21-B20</f>
        <v>-0.228751360712239</v>
      </c>
      <c r="C49" s="0" t="n">
        <f aca="false">C21-C20</f>
        <v>-0.189970784729496</v>
      </c>
      <c r="D49" s="0" t="n">
        <f aca="false">D21-D20</f>
        <v>-0.166180352224658</v>
      </c>
      <c r="E49" s="0" t="n">
        <f aca="false">E21-E20</f>
        <v>-0.207748257275005</v>
      </c>
    </row>
    <row r="50" customFormat="false" ht="12.8" hidden="false" customHeight="false" outlineLevel="0" collapsed="false">
      <c r="B50" s="0" t="n">
        <f aca="false">B22-B21</f>
        <v>0.232505059583937</v>
      </c>
      <c r="C50" s="0" t="n">
        <f aca="false">C22-C21</f>
        <v>0.212435763340074</v>
      </c>
      <c r="D50" s="0" t="n">
        <f aca="false">D22-D21</f>
        <v>0.207428812577414</v>
      </c>
      <c r="E50" s="0" t="n">
        <f aca="false">E22-E21</f>
        <v>0.1918797677475</v>
      </c>
    </row>
    <row r="51" customFormat="false" ht="12.8" hidden="false" customHeight="false" outlineLevel="0" collapsed="false">
      <c r="B51" s="0" t="n">
        <f aca="false">B23-B22</f>
        <v>-0.17719473922069</v>
      </c>
      <c r="C51" s="0" t="n">
        <f aca="false">C23-C22</f>
        <v>-0.142973435267035</v>
      </c>
      <c r="D51" s="0" t="n">
        <f aca="false">D23-D22</f>
        <v>-0.140426085384773</v>
      </c>
      <c r="E51" s="0" t="n">
        <f aca="false">E23-E22</f>
        <v>-0.139664341428811</v>
      </c>
    </row>
    <row r="52" customFormat="false" ht="12.8" hidden="false" customHeight="false" outlineLevel="0" collapsed="false">
      <c r="B52" s="0" t="n">
        <f aca="false">B24-B23</f>
        <v>0.09242275612837</v>
      </c>
      <c r="C52" s="0" t="n">
        <f aca="false">C24-C23</f>
        <v>-0.039079867930143</v>
      </c>
      <c r="D52" s="0" t="n">
        <f aca="false">D24-D23</f>
        <v>0.072212810107105</v>
      </c>
      <c r="E52" s="0" t="n">
        <f aca="false">E24-E23</f>
        <v>0.035588612748526</v>
      </c>
    </row>
    <row r="53" customFormat="false" ht="12.8" hidden="false" customHeight="false" outlineLevel="0" collapsed="false">
      <c r="B53" s="0" t="n">
        <f aca="false">B25-B24</f>
        <v>-0.055885367723815</v>
      </c>
      <c r="C53" s="0" t="n">
        <f aca="false">C25-C24</f>
        <v>0.043571522447712</v>
      </c>
      <c r="D53" s="0" t="n">
        <f aca="false">D25-D24</f>
        <v>-0.081939446084878</v>
      </c>
      <c r="E53" s="0" t="n">
        <f aca="false">E25-E24</f>
        <v>0.0291526877984409</v>
      </c>
    </row>
    <row r="54" customFormat="false" ht="12.8" hidden="false" customHeight="false" outlineLevel="0" collapsed="false">
      <c r="B54" s="0" t="n">
        <f aca="false">B26-B25</f>
        <v>0.061509047556261</v>
      </c>
      <c r="C54" s="0" t="n">
        <f aca="false">C26-C25</f>
        <v>0.122435967042027</v>
      </c>
      <c r="D54" s="0" t="n">
        <f aca="false">D26-D25</f>
        <v>0.091024739553464</v>
      </c>
      <c r="E54" s="0" t="n">
        <f aca="false">E26-E25</f>
        <v>0.057632757078655</v>
      </c>
    </row>
    <row r="55" customFormat="false" ht="12.8" hidden="false" customHeight="false" outlineLevel="0" collapsed="false">
      <c r="B55" s="0" t="n">
        <f aca="false">B27-B26</f>
        <v>0.0397644549832711</v>
      </c>
      <c r="C55" s="0" t="n">
        <f aca="false">C27-C26</f>
        <v>0.0162370397135</v>
      </c>
      <c r="D55" s="0" t="n">
        <f aca="false">D27-D26</f>
        <v>-0.00899337237722397</v>
      </c>
      <c r="E55" s="0" t="n">
        <f aca="false">E27-E26</f>
        <v>0.049023745929638</v>
      </c>
    </row>
    <row r="56" customFormat="false" ht="12.8" hidden="false" customHeight="false" outlineLevel="0" collapsed="false">
      <c r="B56" s="0" t="n">
        <f aca="false">B28-B27</f>
        <v>-0.0745738297013791</v>
      </c>
      <c r="C56" s="0" t="n">
        <f aca="false">C28-C27</f>
        <v>-0.100008011347285</v>
      </c>
      <c r="D56" s="0" t="n">
        <f aca="false">D28-D27</f>
        <v>0.00051507136540796</v>
      </c>
      <c r="E56" s="0" t="n">
        <f aca="false">E28-E27</f>
        <v>-0.079495846626401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2026-02-11T16:41:08Z</dcterms:created>
  <dc:creator>openpyxl</dc:creator>
  <dc:description/>
  <dc:language>en-US</dc:language>
  <cp:lastModifiedBy/>
  <dcterms:modified xsi:type="dcterms:W3CDTF">2026-02-20T23:32:25Z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
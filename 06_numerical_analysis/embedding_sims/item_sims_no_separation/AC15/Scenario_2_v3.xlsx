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en2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std delta(sim)-delta(sim-1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<sst xmlns="http://schemas.openxmlformats.org/spreadsheetml/2006/main" count="946" uniqueCount="151">
  <si>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</si>
  <si>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</si>
  <si>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</si>
  <si>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</si>
  <si>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</si>
  <si>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</si>
  <si>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</si>
  <si>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</si>
  <si>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</si>
  <si>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</si>
  <si>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</si>
  <si>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</si>
  <si>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activation/turn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</si>
  <si>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</si>
  <si>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</si>
  <si>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</si>
  <si>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</si>
  <si>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ff6ef636-b021-4a05-94dc-76edced40e73</t>
  </si>
  <si>
    <t xml:space="preserve">cmja7ntys00i5zc4ends3iomi</t>
  </si>
  <si>
    <t xml:space="preserve">cmja7ova500imzc4e50vzek16</t>
  </si>
  <si>
    <t xml:space="preserve">test_ac15</t>
  </si>
  <si>
    <t xml:space="preserve">Scenario_2_v3</t>
  </si>
  <si>
    <t xml:space="preserve">practicality_and_feasibility</t>
  </si>
  <si>
    <t xml:space="preserve">temporal_dynamics</t>
  </si>
  <si>
    <t xml:space="preserve">mathematics_computer_science_engineering</t>
  </si>
  <si>
    <t xml:space="preserve">affective_interface</t>
  </si>
  <si>
    <t xml:space="preserve">imagination_and_possibility</t>
  </si>
  <si>
    <t xml:space="preserve">truth_and_fact</t>
  </si>
  <si>
    <t xml:space="preserve">0d240f00-4508-4047-aeca-047390fb69a8</t>
  </si>
  <si>
    <t xml:space="preserve">cmja7qae200iqzc4ew0sy3lwo</t>
  </si>
  <si>
    <t xml:space="preserve">cmja7rchl00j7zc4euomo3uvl</t>
  </si>
  <si>
    <t xml:space="preserve">sovereignty</t>
  </si>
  <si>
    <t xml:space="preserve">1e00989b-8ba5-4412-a0ae-4469a1cd26c1</t>
  </si>
  <si>
    <t xml:space="preserve">cmja7t05a00jbzc4e2nb0abl1</t>
  </si>
  <si>
    <t xml:space="preserve">cmja7tojr00jszc4estitmwv5</t>
  </si>
  <si>
    <t xml:space="preserve">science</t>
  </si>
  <si>
    <t xml:space="preserve">fa9c1b06-b05c-413d-b833-abca412700af</t>
  </si>
  <si>
    <t xml:space="preserve">cmja7vdp100jwzc4ehwy2mydu</t>
  </si>
  <si>
    <t xml:space="preserve">cmja7vz2100kdzc4exo90gnds</t>
  </si>
  <si>
    <t xml:space="preserve">context_dependent_expression</t>
  </si>
  <si>
    <t xml:space="preserve">648500d2-4c59-4a0d-81e6-00a10821f3c3</t>
  </si>
  <si>
    <t xml:space="preserve">cmja7x49y00khzc4eryu1vt7s</t>
  </si>
  <si>
    <t xml:space="preserve">cmja7xwnn00kyzc4ee1ce55tn</t>
  </si>
  <si>
    <t xml:space="preserve">fd036cb9-f09f-4656-a8c0-d2620210c5e3</t>
  </si>
  <si>
    <t xml:space="preserve">cmja7zjod00l2zc4e4ehcsf1d</t>
  </si>
  <si>
    <t xml:space="preserve">cmja80ksn00ljzc4ew6crt6c2</t>
  </si>
  <si>
    <t xml:space="preserve">4547fea3-1318-4582-85e4-048adcfac381</t>
  </si>
  <si>
    <t xml:space="preserve">cmja8222100lnzc4edmcsvl6c</t>
  </si>
  <si>
    <t xml:space="preserve">cmja82of700m4zc4ecssmiz4k</t>
  </si>
  <si>
    <t xml:space="preserve">492f0c53-da3a-4012-8f68-5163dfe3e618</t>
  </si>
  <si>
    <t xml:space="preserve">cmja84fgp00m8zc4ejqn4x9jj</t>
  </si>
  <si>
    <t xml:space="preserve">cmja84xsk00mpzc4eaph27xee</t>
  </si>
  <si>
    <t xml:space="preserve">560b638f-cc3b-4c15-bf7d-14e910ff851d</t>
  </si>
  <si>
    <t xml:space="preserve">cmja86hjz00mtzc4eg3c5sdh3</t>
  </si>
  <si>
    <t xml:space="preserve">cmja871y000nazc4ee2kwl9ya</t>
  </si>
  <si>
    <t xml:space="preserve">53d512bf-f89f-4c70-802d-3505a2265929</t>
  </si>
  <si>
    <t xml:space="preserve">cmja883fc00nezc4er57q28n1</t>
  </si>
  <si>
    <t xml:space="preserve">cmja88pg700nvzc4eca97ej9j</t>
  </si>
  <si>
    <t xml:space="preserve">9be3713a-6f3a-4aa6-bf2a-b95fa4f958cc</t>
  </si>
  <si>
    <t xml:space="preserve">cmja89xif00nzzc4evk799uta</t>
  </si>
  <si>
    <t xml:space="preserve">cmja8aee300ogzc4eip5re0rk</t>
  </si>
  <si>
    <t xml:space="preserve">ac6d74d0-28b8-42a7-b5ce-5fe6d68a8ee0</t>
  </si>
  <si>
    <t xml:space="preserve">cmja8jg7t00okzc4eteqijkt9</t>
  </si>
  <si>
    <t xml:space="preserve">cmja8jz1o00p1zc4e6caap9at</t>
  </si>
  <si>
    <t xml:space="preserve">f3834b84-fee7-4052-bc2c-c0887655e5ac</t>
  </si>
  <si>
    <t xml:space="preserve">cmja8n7pf00p5zc4evq3ycg38</t>
  </si>
  <si>
    <t xml:space="preserve">cmja8npp800pmzc4ei3limsku</t>
  </si>
  <si>
    <t xml:space="preserve">08d84c6f-a397-47ae-a9c4-c0d9277c7511</t>
  </si>
  <si>
    <t xml:space="preserve">cmja8sp9z00pqzc4epif918vv</t>
  </si>
  <si>
    <t xml:space="preserve">cmja8tcq100q7zc4ed2tn2cdr</t>
  </si>
  <si>
    <t xml:space="preserve">f78dc437-2e58-48a0-8461-f5ef02d8858e</t>
  </si>
  <si>
    <t xml:space="preserve">cmja8xd7p00qbzc4e05whg6ks</t>
  </si>
  <si>
    <t xml:space="preserve">cmja8y5id00qszc4ewlbr9lv4</t>
  </si>
  <si>
    <t xml:space="preserve">c90a8df3-ed0c-48c9-b806-6bf702ca06ab</t>
  </si>
  <si>
    <t xml:space="preserve">cmja8zqbh00qwzc4e5xc47zux</t>
  </si>
  <si>
    <t xml:space="preserve">cmja90dt200rdzc4e3ahnoqiu</t>
  </si>
  <si>
    <t xml:space="preserve">36c4857e-f8ba-4592-adfc-4ccc57d5625b</t>
  </si>
  <si>
    <t xml:space="preserve">cmja91z1d00rhzc4ecszpwo1i</t>
  </si>
  <si>
    <t xml:space="preserve">cmja92rpl00ryzc4e8ry634w5</t>
  </si>
  <si>
    <t xml:space="preserve">1bb49172-ddf4-48fa-a52c-1f4b83272908</t>
  </si>
  <si>
    <t xml:space="preserve">cmja950w800s2zc4evhlzprsj</t>
  </si>
  <si>
    <t xml:space="preserve">cmja95sba00sjzc4e1aqhburv</t>
  </si>
  <si>
    <t xml:space="preserve">220ee5fa-d5ed-4df1-8425-38e1afa337f2</t>
  </si>
  <si>
    <t xml:space="preserve">cmja97dn200snzc4el70u9r18</t>
  </si>
  <si>
    <t xml:space="preserve">cmja988kp00t4zc4el3rczwcb</t>
  </si>
  <si>
    <t xml:space="preserve">8fe4265f-55bd-464a-bb0f-dd6c62980fb8</t>
  </si>
  <si>
    <t xml:space="preserve">cmja99klh00t8zc4en6wec4d1</t>
  </si>
  <si>
    <t xml:space="preserve">cmja99rp700tpzc4ea63nzolm</t>
  </si>
  <si>
    <t xml:space="preserve">bc9afa8f-c350-4e9e-b294-3d7e69ae9a5d</t>
  </si>
  <si>
    <t xml:space="preserve">cmja9c9q300ttzc4eqm4g7yga</t>
  </si>
  <si>
    <t xml:space="preserve">cmja9crco00uazc4edefmnoge</t>
  </si>
  <si>
    <t xml:space="preserve">c97eb31f-73b8-47fd-a836-c909eea35f6a</t>
  </si>
  <si>
    <t xml:space="preserve">cmja9f3c700uezc4edw87mrh1</t>
  </si>
  <si>
    <t xml:space="preserve">cmja9fpjr00uvzc4erpqc7eya</t>
  </si>
  <si>
    <t xml:space="preserve">metaphorical_scaffolding</t>
  </si>
  <si>
    <t xml:space="preserve">89d980bb-d06f-4436-b42b-6a07663b6427</t>
  </si>
  <si>
    <t xml:space="preserve">cmja9i9oc00uzzc4eqjlpi140</t>
  </si>
  <si>
    <t xml:space="preserve">cmja9ihqr00vgzc4eeev3bro0</t>
  </si>
  <si>
    <t xml:space="preserve">2b4af486-f8ee-4d2d-93b6-8145c34211c6</t>
  </si>
  <si>
    <t xml:space="preserve">cmja9khsu00vkzc4emuiix2qy</t>
  </si>
  <si>
    <t xml:space="preserve">cmja9l7mt00w1zc4evjf5f8o4</t>
  </si>
  <si>
    <t xml:space="preserve">e59d97f5-252b-437f-85bd-45c4e1444eb2</t>
  </si>
  <si>
    <t xml:space="preserve">cmja9mh6v00w5zc4e8wuc9onm</t>
  </si>
  <si>
    <t xml:space="preserve">cmja9mr9r00wmzc4ezc9ys5zj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</si>
  <si>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</si>
  <si>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</si>
  <si>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</si>
  <si>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</si>
  <si>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Correlation</t>
  </si>
  <si>
    <t xml:space="preserve">T-statistic</t>
  </si>
  <si>
    <t xml:space="preserve">Turn</t>
  </si>
  <si>
    <t xml:space="preserve">Prompt-response</t>
  </si>
  <si>
    <t xml:space="preserve">turns</t>
  </si>
  <si>
    <t xml:space="preserve">ac15</t>
  </si>
  <si>
    <t xml:space="preserve">control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</si>
  <si>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</si>
  <si>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</si>
  <si>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</si>
  <si>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</si>
  <si>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</si>
  <si>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</si>
  <si>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</si>
  <si>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</si>
  <si>
    <t xml:space="preserve">hybrid</t>
  </si>
  <si>
    <t xml:space="preserve">ac15p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</si>
  <si>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</si>
  <si>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</si>
  <si>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</si>
  <si>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</si>
  <si>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</si>
  <si>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</si>
  <si>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</si>
  <si>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</si>
  <si>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</si>
  <si>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</si>
  <si>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</si>
  <si>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</si>
  <si>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</si>
  <si>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</si>
  <si>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</si>
  <si>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</si>
  <si>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</si>
  <si>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</si>
  <si>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</si>
  <si>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</si>
  <si>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</si>
  <si>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</si>
  <si>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Graphs</t>
  </si>
  <si>
    <t xml:space="preserve">Column 5</t>
  </si>
  <si>
    <t xml:space="preserve">deltas:</t>
  </si>
  <si>
    <t xml:space="preserve">stdev: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</si>
</sst>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actdel_prompt_response!$A$3:$A$27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actdel_prompt_response!$B$3:$B$27</c:f>
              <c:numCache>
                <c:formatCode>General</c:formatCode>
                <c:ptCount val="25"/>
                <c:pt idx="0">
                  <c:v>0.820228412658582</c:v>
                </c:pt>
                <c:pt idx="1">
                  <c:v>0.764592146543124</c:v>
                </c:pt>
                <c:pt idx="2">
                  <c:v>0.723011363854634</c:v>
                </c:pt>
                <c:pt idx="3">
                  <c:v>0.756420441420714</c:v>
                </c:pt>
                <c:pt idx="4">
                  <c:v>0.620462176144914</c:v>
                </c:pt>
                <c:pt idx="5">
                  <c:v>0.798549003615991</c:v>
                </c:pt>
                <c:pt idx="6">
                  <c:v>0.754603762692231</c:v>
                </c:pt>
                <c:pt idx="7">
                  <c:v>0.786128366374384</c:v>
                </c:pt>
                <c:pt idx="8">
                  <c:v>0.753257435556755</c:v>
                </c:pt>
                <c:pt idx="9">
                  <c:v>0.807843832088534</c:v>
                </c:pt>
                <c:pt idx="10">
                  <c:v>0.778100841853998</c:v>
                </c:pt>
                <c:pt idx="11">
                  <c:v>0.762452458306693</c:v>
                </c:pt>
                <c:pt idx="12">
                  <c:v>0.720022272820606</c:v>
                </c:pt>
                <c:pt idx="13">
                  <c:v>0.738694358646482</c:v>
                </c:pt>
                <c:pt idx="14">
                  <c:v>0.743421830265577</c:v>
                </c:pt>
                <c:pt idx="15">
                  <c:v>0.763479689807917</c:v>
                </c:pt>
                <c:pt idx="16">
                  <c:v>0.744667994911406</c:v>
                </c:pt>
                <c:pt idx="17">
                  <c:v>0.695089950294851</c:v>
                </c:pt>
                <c:pt idx="18">
                  <c:v>0.719748414663605</c:v>
                </c:pt>
                <c:pt idx="19">
                  <c:v>0.850110132917837</c:v>
                </c:pt>
                <c:pt idx="20">
                  <c:v>0.734658481254958</c:v>
                </c:pt>
                <c:pt idx="21">
                  <c:v>0.702205596693105</c:v>
                </c:pt>
                <c:pt idx="22">
                  <c:v>0.723021317867517</c:v>
                </c:pt>
                <c:pt idx="23">
                  <c:v>0.790978057596565</c:v>
                </c:pt>
                <c:pt idx="24">
                  <c:v>0.730577483299618</c:v>
                </c:pt>
              </c:numCache>
            </c:numRef>
          </c:yVal>
          <c:smooth val="0"/>
        </c:ser>
        <c:axId val="38524628"/>
        <c:axId val="22790329"/>
      </c:scatterChart>
      <c:valAx>
        <c:axId val="385246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790329"/>
        <c:crosses val="autoZero"/>
        <c:crossBetween val="midCat"/>
      </c:valAx>
      <c:valAx>
        <c:axId val="227903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5246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inter_system_stats!$B$66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inter_system_stats!$A$67:$A$91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inter_system_stats!$B$67:$B$91</c:f>
              <c:numCache>
                <c:formatCode>General</c:formatCode>
                <c:ptCount val="25"/>
                <c:pt idx="0">
                  <c:v>0.820228412658582</c:v>
                </c:pt>
                <c:pt idx="1">
                  <c:v>0.764592146543124</c:v>
                </c:pt>
                <c:pt idx="2">
                  <c:v>0.723011363854634</c:v>
                </c:pt>
                <c:pt idx="3">
                  <c:v>0.756420441420714</c:v>
                </c:pt>
                <c:pt idx="4">
                  <c:v>0.620462176144914</c:v>
                </c:pt>
                <c:pt idx="5">
                  <c:v>0.798549003615991</c:v>
                </c:pt>
                <c:pt idx="6">
                  <c:v>0.754603762692231</c:v>
                </c:pt>
                <c:pt idx="7">
                  <c:v>0.786128366374384</c:v>
                </c:pt>
                <c:pt idx="8">
                  <c:v>0.753257435556755</c:v>
                </c:pt>
                <c:pt idx="9">
                  <c:v>0.807843832088534</c:v>
                </c:pt>
                <c:pt idx="10">
                  <c:v>0.778100841853998</c:v>
                </c:pt>
                <c:pt idx="11">
                  <c:v>0.762452458306693</c:v>
                </c:pt>
                <c:pt idx="12">
                  <c:v>0.720022272820606</c:v>
                </c:pt>
                <c:pt idx="13">
                  <c:v>0.738694358646482</c:v>
                </c:pt>
                <c:pt idx="14">
                  <c:v>0.743421830265577</c:v>
                </c:pt>
                <c:pt idx="15">
                  <c:v>0.763479689807917</c:v>
                </c:pt>
                <c:pt idx="16">
                  <c:v>0.744667994911406</c:v>
                </c:pt>
                <c:pt idx="17">
                  <c:v>0.695089950294851</c:v>
                </c:pt>
                <c:pt idx="18">
                  <c:v>0.719748414663605</c:v>
                </c:pt>
                <c:pt idx="19">
                  <c:v>0.850110132917837</c:v>
                </c:pt>
                <c:pt idx="20">
                  <c:v>0.734658481254958</c:v>
                </c:pt>
                <c:pt idx="21">
                  <c:v>0.702205596693105</c:v>
                </c:pt>
                <c:pt idx="22">
                  <c:v>0.723021317867517</c:v>
                </c:pt>
                <c:pt idx="23">
                  <c:v>0.790978057596565</c:v>
                </c:pt>
                <c:pt idx="24">
                  <c:v>0.730577483299618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inter_system_stats!$C$66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inter_system_stats!$A$67:$A$91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inter_system_stats!$C$67:$C$91</c:f>
              <c:numCache>
                <c:formatCode>General</c:formatCode>
                <c:ptCount val="25"/>
                <c:pt idx="0">
                  <c:v>0.825587383221469</c:v>
                </c:pt>
                <c:pt idx="1">
                  <c:v>0.784325401049142</c:v>
                </c:pt>
                <c:pt idx="2">
                  <c:v>0.74701543366489</c:v>
                </c:pt>
                <c:pt idx="3">
                  <c:v>0.742572987280356</c:v>
                </c:pt>
                <c:pt idx="4">
                  <c:v>0.638291604257815</c:v>
                </c:pt>
                <c:pt idx="5">
                  <c:v>0.770021861028678</c:v>
                </c:pt>
                <c:pt idx="6">
                  <c:v>0.776708177030339</c:v>
                </c:pt>
                <c:pt idx="7">
                  <c:v>0.766895136055456</c:v>
                </c:pt>
                <c:pt idx="8">
                  <c:v>0.726865282761305</c:v>
                </c:pt>
                <c:pt idx="9">
                  <c:v>0.76670385944117</c:v>
                </c:pt>
                <c:pt idx="10">
                  <c:v>0.826512142391129</c:v>
                </c:pt>
                <c:pt idx="11">
                  <c:v>0.762736139690589</c:v>
                </c:pt>
                <c:pt idx="12">
                  <c:v>0.710160103406143</c:v>
                </c:pt>
                <c:pt idx="13">
                  <c:v>0.734376384357835</c:v>
                </c:pt>
                <c:pt idx="14">
                  <c:v>0.756542240061655</c:v>
                </c:pt>
                <c:pt idx="15">
                  <c:v>0.773732018127407</c:v>
                </c:pt>
                <c:pt idx="16">
                  <c:v>0.812690613075421</c:v>
                </c:pt>
                <c:pt idx="17">
                  <c:v>0.726488853152379</c:v>
                </c:pt>
                <c:pt idx="18">
                  <c:v>0.763300559740396</c:v>
                </c:pt>
                <c:pt idx="19">
                  <c:v>0.816538134208694</c:v>
                </c:pt>
                <c:pt idx="20">
                  <c:v>0.643391428768254</c:v>
                </c:pt>
                <c:pt idx="21">
                  <c:v>0.769255872522075</c:v>
                </c:pt>
                <c:pt idx="22">
                  <c:v>0.684670543211604</c:v>
                </c:pt>
                <c:pt idx="23">
                  <c:v>0.758491886581855</c:v>
                </c:pt>
                <c:pt idx="24">
                  <c:v>0.727230413998473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inter_system_stats!$D$66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inter_system_stats!$A$67:$A$91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inter_system_stats!$D$67:$D$91</c:f>
              <c:numCache>
                <c:formatCode>General</c:formatCode>
                <c:ptCount val="25"/>
                <c:pt idx="0">
                  <c:v>0.842837131615738</c:v>
                </c:pt>
                <c:pt idx="1">
                  <c:v>0.75574434703051</c:v>
                </c:pt>
                <c:pt idx="2">
                  <c:v>0.75246138552499</c:v>
                </c:pt>
                <c:pt idx="3">
                  <c:v>0.755239937675953</c:v>
                </c:pt>
                <c:pt idx="4">
                  <c:v>0.68196906691827</c:v>
                </c:pt>
                <c:pt idx="5">
                  <c:v>0.805094582904182</c:v>
                </c:pt>
                <c:pt idx="6">
                  <c:v>0.731449097356676</c:v>
                </c:pt>
                <c:pt idx="7">
                  <c:v>0.798699397007465</c:v>
                </c:pt>
                <c:pt idx="8">
                  <c:v>0.751181065835833</c:v>
                </c:pt>
                <c:pt idx="9">
                  <c:v>0.780317010541866</c:v>
                </c:pt>
                <c:pt idx="10">
                  <c:v>0.788964918757002</c:v>
                </c:pt>
                <c:pt idx="11">
                  <c:v>0.744429655439828</c:v>
                </c:pt>
                <c:pt idx="12">
                  <c:v>0.764347939487069</c:v>
                </c:pt>
                <c:pt idx="13">
                  <c:v>0.716647920997565</c:v>
                </c:pt>
                <c:pt idx="14">
                  <c:v>0.761929247616581</c:v>
                </c:pt>
                <c:pt idx="15">
                  <c:v>0.742748731630287</c:v>
                </c:pt>
                <c:pt idx="16">
                  <c:v>0.764209873398772</c:v>
                </c:pt>
                <c:pt idx="17">
                  <c:v>0.700796274261234</c:v>
                </c:pt>
                <c:pt idx="18">
                  <c:v>0.716284059047156</c:v>
                </c:pt>
                <c:pt idx="19">
                  <c:v>0.839023541568098</c:v>
                </c:pt>
                <c:pt idx="20">
                  <c:v>0.704024831920364</c:v>
                </c:pt>
                <c:pt idx="21">
                  <c:v>0.684998594155911</c:v>
                </c:pt>
                <c:pt idx="22">
                  <c:v>0.69681187759039</c:v>
                </c:pt>
                <c:pt idx="23">
                  <c:v>0.809836609324266</c:v>
                </c:pt>
                <c:pt idx="24">
                  <c:v>0.715111970099327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inter_system_stats!$E$66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inter_system_stats!$A$67:$A$91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inter_system_stats!$E$67:$E$91</c:f>
              <c:numCache>
                <c:formatCode>General</c:formatCode>
                <c:ptCount val="25"/>
                <c:pt idx="0">
                  <c:v>0.826465743120003</c:v>
                </c:pt>
                <c:pt idx="1">
                  <c:v>0.760295791016544</c:v>
                </c:pt>
                <c:pt idx="2">
                  <c:v>0.745513104503565</c:v>
                </c:pt>
                <c:pt idx="3">
                  <c:v>0.740237977344109</c:v>
                </c:pt>
                <c:pt idx="4">
                  <c:v>0.701417807349544</c:v>
                </c:pt>
                <c:pt idx="5">
                  <c:v>0.764412269319662</c:v>
                </c:pt>
                <c:pt idx="6">
                  <c:v>0.704629188099325</c:v>
                </c:pt>
                <c:pt idx="7">
                  <c:v>0.77201186291984</c:v>
                </c:pt>
                <c:pt idx="8">
                  <c:v>0.72188407789367</c:v>
                </c:pt>
                <c:pt idx="9">
                  <c:v>0.801799093845666</c:v>
                </c:pt>
                <c:pt idx="10">
                  <c:v>0.82639186986707</c:v>
                </c:pt>
                <c:pt idx="11">
                  <c:v>0.74557662237038</c:v>
                </c:pt>
                <c:pt idx="12">
                  <c:v>0.739304791041697</c:v>
                </c:pt>
                <c:pt idx="13">
                  <c:v>0.716775890381091</c:v>
                </c:pt>
                <c:pt idx="14">
                  <c:v>0.72335469896996</c:v>
                </c:pt>
                <c:pt idx="15">
                  <c:v>0.74148150305735</c:v>
                </c:pt>
                <c:pt idx="16">
                  <c:v>0.782813226803677</c:v>
                </c:pt>
                <c:pt idx="17">
                  <c:v>0.683924726356955</c:v>
                </c:pt>
                <c:pt idx="18">
                  <c:v>0.741861628869437</c:v>
                </c:pt>
                <c:pt idx="19">
                  <c:v>0.861291025455911</c:v>
                </c:pt>
                <c:pt idx="20">
                  <c:v>0.726997779119958</c:v>
                </c:pt>
                <c:pt idx="21">
                  <c:v>0.665221956623617</c:v>
                </c:pt>
                <c:pt idx="22">
                  <c:v>0.761746926827647</c:v>
                </c:pt>
                <c:pt idx="23">
                  <c:v>0.746216792553118</c:v>
                </c:pt>
                <c:pt idx="24">
                  <c:v>0.725032419587978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inter_system_stats!$F$66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inter_system_stats!$A$67:$A$91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inter_system_stats!$F$67:$F$91</c:f>
              <c:numCache>
                <c:formatCode>General</c:formatCode>
                <c:ptCount val="25"/>
                <c:pt idx="0">
                  <c:v>0.814239110206597</c:v>
                </c:pt>
                <c:pt idx="1">
                  <c:v>0.490374312148473</c:v>
                </c:pt>
                <c:pt idx="2">
                  <c:v>0.511020333673144</c:v>
                </c:pt>
                <c:pt idx="3">
                  <c:v>0.732127465170909</c:v>
                </c:pt>
                <c:pt idx="4">
                  <c:v>0.504587895177563</c:v>
                </c:pt>
                <c:pt idx="5">
                  <c:v>0.622216951394874</c:v>
                </c:pt>
                <c:pt idx="6">
                  <c:v>0.568213401724064</c:v>
                </c:pt>
                <c:pt idx="7">
                  <c:v>0.41336820596451</c:v>
                </c:pt>
                <c:pt idx="8">
                  <c:v>0.469619098748715</c:v>
                </c:pt>
                <c:pt idx="9">
                  <c:v>0.702597542452374</c:v>
                </c:pt>
                <c:pt idx="10">
                  <c:v>0.535746887825282</c:v>
                </c:pt>
                <c:pt idx="11">
                  <c:v>0.616806330672693</c:v>
                </c:pt>
                <c:pt idx="12">
                  <c:v>0.526308913298082</c:v>
                </c:pt>
                <c:pt idx="13">
                  <c:v>0.427683818632696</c:v>
                </c:pt>
                <c:pt idx="14">
                  <c:v>0.575658160345531</c:v>
                </c:pt>
                <c:pt idx="15">
                  <c:v>0.577045877569951</c:v>
                </c:pt>
                <c:pt idx="16">
                  <c:v>0.651295774227774</c:v>
                </c:pt>
                <c:pt idx="17">
                  <c:v>0.599275891539331</c:v>
                </c:pt>
                <c:pt idx="18">
                  <c:v>0.50621471844151</c:v>
                </c:pt>
                <c:pt idx="19">
                  <c:v>0.478099594542392</c:v>
                </c:pt>
                <c:pt idx="20">
                  <c:v>0.382151937725075</c:v>
                </c:pt>
                <c:pt idx="21">
                  <c:v>0.428068760639408</c:v>
                </c:pt>
                <c:pt idx="22">
                  <c:v>0.344371087443739</c:v>
                </c:pt>
                <c:pt idx="23">
                  <c:v>0.582850658814915</c:v>
                </c:pt>
                <c:pt idx="24">
                  <c:v>0.365408773309983</c:v>
                </c:pt>
              </c:numCache>
            </c:numRef>
          </c:yVal>
          <c:smooth val="0"/>
        </c:ser>
        <c:axId val="61263181"/>
        <c:axId val="34557621"/>
      </c:scatterChart>
      <c:valAx>
        <c:axId val="6126318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557621"/>
        <c:crosses val="autoZero"/>
        <c:crossBetween val="midCat"/>
      </c:valAx>
      <c:valAx>
        <c:axId val="345576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26318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33120</xdr:colOff>
      <xdr:row>6</xdr:row>
      <xdr:rowOff>108360</xdr:rowOff>
    </xdr:from>
    <xdr:to>
      <xdr:col>11</xdr:col>
      <xdr:colOff>713880</xdr:colOff>
      <xdr:row>26</xdr:row>
      <xdr:rowOff>90720</xdr:rowOff>
    </xdr:to>
    <xdr:graphicFrame>
      <xdr:nvGraphicFramePr>
        <xdr:cNvPr id="1" name=""/>
        <xdr:cNvGraphicFramePr/>
      </xdr:nvGraphicFramePr>
      <xdr:xfrm>
        <a:off x="5413320" y="1083600"/>
        <a:ext cx="5096880" cy="32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501840</xdr:colOff>
      <xdr:row>65</xdr:row>
      <xdr:rowOff>160200</xdr:rowOff>
    </xdr:from>
    <xdr:to>
      <xdr:col>10</xdr:col>
      <xdr:colOff>615240</xdr:colOff>
      <xdr:row>85</xdr:row>
      <xdr:rowOff>151200</xdr:rowOff>
    </xdr:to>
    <xdr:graphicFrame>
      <xdr:nvGraphicFramePr>
        <xdr:cNvPr id="2" name=""/>
        <xdr:cNvGraphicFramePr/>
      </xdr:nvGraphicFramePr>
      <xdr:xfrm>
        <a:off x="7052040" y="10730520"/>
        <a:ext cx="508392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" activeCellId="0" sqref="O3"/>
    </sheetView>
  </sheetViews>
  <sheetFormatPr defaultColWidth="10.48828125" defaultRowHeight="15" customHeight="false" zeroHeight="false" outlineLevelRow="0" outlineLevelCol="0"/>
  <cols>
    <col collapsed="false" customWidth="true" hidden="false" outlineLevel="0" max="4" min="4" style="1" width="14.99"/>
    <col collapsed="false" customWidth="true" hidden="false" outlineLevel="0" max="5" min="5" style="1" width="16.5"/>
    <col collapsed="false" customWidth="false" hidden="false" outlineLevel="0" max="6" min="6" style="1" width="10.47"/>
    <col collapsed="false" customWidth="true" hidden="false" outlineLevel="0" max="7" min="7" style="2" width="48.02"/>
    <col collapsed="false" customWidth="true" hidden="false" outlineLevel="0" max="8" min="8" style="1" width="27.65"/>
    <col collapsed="false" customWidth="true" hidden="false" outlineLevel="0" max="9" min="9" style="1" width="26.46"/>
    <col collapsed="false" customWidth="true" hidden="false" outlineLevel="0" max="10" min="10" style="1" width="27.65"/>
    <col collapsed="false" customWidth="true" hidden="false" outlineLevel="0" max="12" min="11" style="1" width="31.08"/>
    <col collapsed="false" customWidth="true" hidden="false" outlineLevel="0" max="14" min="14" style="3" width="25.16"/>
  </cols>
  <sheetData>
    <row r="1" s="1" customFormat="true" ht="37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6" t="s">
        <v>12</v>
      </c>
      <c r="O1" s="6" t="s">
        <v>13</v>
      </c>
      <c r="P1" s="6" t="s">
        <v>14</v>
      </c>
      <c r="Q1" s="6" t="s">
        <v>15</v>
      </c>
      <c r="R1" s="4" t="s">
        <v>16</v>
      </c>
    </row>
    <row r="2" customFormat="false" ht="15" hidden="false" customHeight="false" outlineLevel="0" collapsed="false">
      <c r="N2" s="1"/>
      <c r="R2" s="1"/>
    </row>
    <row r="3" customFormat="false" ht="15" hidden="false" customHeight="true" outlineLevel="0" collapsed="false">
      <c r="A3" s="3" t="s">
        <v>17</v>
      </c>
      <c r="B3" s="3" t="s">
        <v>18</v>
      </c>
      <c r="C3" s="3" t="s">
        <v>19</v>
      </c>
      <c r="D3" s="1" t="s">
        <v>20</v>
      </c>
      <c r="E3" s="1" t="s">
        <v>21</v>
      </c>
      <c r="F3" s="1" t="n">
        <v>1</v>
      </c>
      <c r="G3" s="2" t="s">
        <v>22</v>
      </c>
      <c r="H3" s="1" t="n">
        <v>0.2058</v>
      </c>
      <c r="I3" s="1" t="n">
        <v>0.303378502449231</v>
      </c>
      <c r="J3" s="1" t="n">
        <v>0.387000112371794</v>
      </c>
      <c r="K3" s="1" t="n">
        <f aca="false">J3-I3</f>
        <v>0.083621609922563</v>
      </c>
      <c r="L3" s="1" t="n">
        <v>0.820228412658582</v>
      </c>
      <c r="N3" s="1" t="n">
        <f aca="false">AVERAGE(K3:K8)</f>
        <v>0.0960938693677492</v>
      </c>
      <c r="O3" s="1" t="n">
        <f aca="false">AVERAGE(K3:K141)</f>
        <v>0.0660822102343728</v>
      </c>
      <c r="P3" s="1" t="n">
        <f aca="false">COUNT(K3:K141)</f>
        <v>139</v>
      </c>
      <c r="Q3" s="1" t="n">
        <f aca="false">CORREL(H3:H141,K3:K141)</f>
        <v>0.165592380440762</v>
      </c>
      <c r="R3" s="1" t="n">
        <v>0.088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1" t="s">
        <v>20</v>
      </c>
      <c r="E4" s="1" t="s">
        <v>21</v>
      </c>
      <c r="F4" s="1" t="n">
        <v>1</v>
      </c>
      <c r="G4" s="2" t="s">
        <v>23</v>
      </c>
      <c r="H4" s="1" t="n">
        <v>0.1919</v>
      </c>
      <c r="I4" s="1" t="n">
        <v>0.282843320577506</v>
      </c>
      <c r="J4" s="1" t="n">
        <v>0.38817382657277</v>
      </c>
      <c r="K4" s="1" t="n">
        <f aca="false">J4-I4</f>
        <v>0.105330505995264</v>
      </c>
      <c r="L4" s="1" t="n">
        <v>0.820228412658582</v>
      </c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1" t="s">
        <v>20</v>
      </c>
      <c r="E5" s="1" t="s">
        <v>21</v>
      </c>
      <c r="F5" s="1" t="n">
        <v>1</v>
      </c>
      <c r="G5" s="2" t="s">
        <v>24</v>
      </c>
      <c r="H5" s="1" t="n">
        <v>0.182</v>
      </c>
      <c r="I5" s="1" t="n">
        <v>0.268347660316153</v>
      </c>
      <c r="J5" s="1" t="n">
        <v>0.359836031051483</v>
      </c>
      <c r="K5" s="1" t="n">
        <f aca="false">J5-I5</f>
        <v>0.09148837073533</v>
      </c>
      <c r="L5" s="1" t="n">
        <v>0.820228412658582</v>
      </c>
    </row>
    <row r="6" customFormat="false" ht="15" hidden="false" customHeight="false" outlineLevel="0" collapsed="false">
      <c r="A6" s="3" t="s">
        <v>17</v>
      </c>
      <c r="B6" s="3" t="s">
        <v>18</v>
      </c>
      <c r="C6" s="3" t="s">
        <v>19</v>
      </c>
      <c r="D6" s="1" t="s">
        <v>20</v>
      </c>
      <c r="E6" s="1" t="s">
        <v>21</v>
      </c>
      <c r="F6" s="1" t="n">
        <v>1</v>
      </c>
      <c r="G6" s="2" t="s">
        <v>25</v>
      </c>
      <c r="H6" s="1" t="n">
        <v>0.1602</v>
      </c>
      <c r="I6" s="1" t="n">
        <v>0.236178108091993</v>
      </c>
      <c r="J6" s="1" t="n">
        <v>0.32420732986226</v>
      </c>
      <c r="K6" s="1" t="n">
        <f aca="false">J6-I6</f>
        <v>0.088029221770267</v>
      </c>
      <c r="L6" s="1" t="n">
        <v>0.820228412658582</v>
      </c>
    </row>
    <row r="7" customFormat="false" ht="15" hidden="false" customHeight="false" outlineLevel="0" collapsed="false">
      <c r="A7" s="3" t="s">
        <v>17</v>
      </c>
      <c r="B7" s="3" t="s">
        <v>18</v>
      </c>
      <c r="C7" s="3" t="s">
        <v>19</v>
      </c>
      <c r="D7" s="1" t="s">
        <v>20</v>
      </c>
      <c r="E7" s="1" t="s">
        <v>21</v>
      </c>
      <c r="F7" s="1" t="n">
        <v>1</v>
      </c>
      <c r="G7" s="2" t="s">
        <v>26</v>
      </c>
      <c r="H7" s="1" t="n">
        <v>0.1601</v>
      </c>
      <c r="I7" s="1" t="n">
        <v>0.236084189796847</v>
      </c>
      <c r="J7" s="1" t="n">
        <v>0.327844895476319</v>
      </c>
      <c r="K7" s="1" t="n">
        <f aca="false">J7-I7</f>
        <v>0.091760705679472</v>
      </c>
      <c r="L7" s="1" t="n">
        <v>0.820228412658582</v>
      </c>
    </row>
    <row r="8" customFormat="false" ht="15" hidden="false" customHeight="false" outlineLevel="0" collapsed="false">
      <c r="A8" s="3" t="s">
        <v>17</v>
      </c>
      <c r="B8" s="3" t="s">
        <v>18</v>
      </c>
      <c r="C8" s="3" t="s">
        <v>19</v>
      </c>
      <c r="D8" s="1" t="s">
        <v>20</v>
      </c>
      <c r="E8" s="1" t="s">
        <v>21</v>
      </c>
      <c r="F8" s="1" t="n">
        <v>1</v>
      </c>
      <c r="G8" s="2" t="s">
        <v>27</v>
      </c>
      <c r="H8" s="1" t="n">
        <v>0.1</v>
      </c>
      <c r="I8" s="1" t="n">
        <v>0.122442517792081</v>
      </c>
      <c r="J8" s="1" t="n">
        <v>0.23877531989568</v>
      </c>
      <c r="K8" s="1" t="n">
        <f aca="false">J8-I8</f>
        <v>0.116332802103599</v>
      </c>
      <c r="L8" s="1" t="n">
        <v>0.820228412658582</v>
      </c>
    </row>
    <row r="9" customFormat="false" ht="15" hidden="false" customHeight="false" outlineLevel="0" collapsed="false">
      <c r="A9" s="3" t="s">
        <v>28</v>
      </c>
      <c r="B9" s="3" t="s">
        <v>29</v>
      </c>
      <c r="C9" s="3" t="s">
        <v>30</v>
      </c>
      <c r="D9" s="1" t="s">
        <v>20</v>
      </c>
      <c r="E9" s="1" t="s">
        <v>21</v>
      </c>
      <c r="F9" s="1" t="n">
        <v>3</v>
      </c>
      <c r="G9" s="2" t="s">
        <v>22</v>
      </c>
      <c r="H9" s="1" t="n">
        <v>0.1939</v>
      </c>
      <c r="I9" s="1" t="n">
        <v>0.291851022060507</v>
      </c>
      <c r="J9" s="1" t="n">
        <v>0.390817585356656</v>
      </c>
      <c r="K9" s="1" t="n">
        <f aca="false">J9-I9</f>
        <v>0.098966563296149</v>
      </c>
      <c r="L9" s="1" t="n">
        <v>0.764592146543124</v>
      </c>
      <c r="N9" s="3" t="n">
        <f aca="false">AVERAGE(K9:K14)</f>
        <v>0.0929193373825279</v>
      </c>
    </row>
    <row r="10" customFormat="false" ht="15" hidden="false" customHeight="false" outlineLevel="0" collapsed="false">
      <c r="A10" s="3" t="s">
        <v>28</v>
      </c>
      <c r="B10" s="3" t="s">
        <v>29</v>
      </c>
      <c r="C10" s="3" t="s">
        <v>30</v>
      </c>
      <c r="D10" s="1" t="s">
        <v>20</v>
      </c>
      <c r="E10" s="1" t="s">
        <v>21</v>
      </c>
      <c r="F10" s="1" t="n">
        <v>3</v>
      </c>
      <c r="G10" s="2" t="s">
        <v>23</v>
      </c>
      <c r="H10" s="1" t="n">
        <v>0.1889</v>
      </c>
      <c r="I10" s="1" t="n">
        <v>0.284447444955153</v>
      </c>
      <c r="J10" s="1" t="n">
        <v>0.364885152426135</v>
      </c>
      <c r="K10" s="1" t="n">
        <f aca="false">J10-I10</f>
        <v>0.080437707470982</v>
      </c>
      <c r="L10" s="1" t="n">
        <v>0.764592146543124</v>
      </c>
    </row>
    <row r="11" customFormat="false" ht="15" hidden="false" customHeight="false" outlineLevel="0" collapsed="false">
      <c r="A11" s="3" t="s">
        <v>28</v>
      </c>
      <c r="B11" s="3" t="s">
        <v>29</v>
      </c>
      <c r="C11" s="3" t="s">
        <v>30</v>
      </c>
      <c r="D11" s="1" t="s">
        <v>20</v>
      </c>
      <c r="E11" s="1" t="s">
        <v>21</v>
      </c>
      <c r="F11" s="1" t="n">
        <v>3</v>
      </c>
      <c r="G11" s="2" t="s">
        <v>24</v>
      </c>
      <c r="H11" s="1" t="n">
        <v>0.1848</v>
      </c>
      <c r="I11" s="1" t="n">
        <v>0.278142841261292</v>
      </c>
      <c r="J11" s="1" t="n">
        <v>0.372353561470673</v>
      </c>
      <c r="K11" s="1" t="n">
        <f aca="false">J11-I11</f>
        <v>0.094210720209381</v>
      </c>
      <c r="L11" s="1" t="n">
        <v>0.764592146543124</v>
      </c>
    </row>
    <row r="12" customFormat="false" ht="15" hidden="false" customHeight="false" outlineLevel="0" collapsed="false">
      <c r="A12" s="3" t="s">
        <v>28</v>
      </c>
      <c r="B12" s="3" t="s">
        <v>29</v>
      </c>
      <c r="C12" s="3" t="s">
        <v>30</v>
      </c>
      <c r="D12" s="1" t="s">
        <v>20</v>
      </c>
      <c r="E12" s="1" t="s">
        <v>21</v>
      </c>
      <c r="F12" s="1" t="n">
        <v>3</v>
      </c>
      <c r="G12" s="2" t="s">
        <v>31</v>
      </c>
      <c r="H12" s="1" t="n">
        <v>0.1733</v>
      </c>
      <c r="I12" s="1" t="n">
        <v>0.26090257012023</v>
      </c>
      <c r="J12" s="1" t="n">
        <v>0.319730552797838</v>
      </c>
      <c r="K12" s="1" t="n">
        <f aca="false">J12-I12</f>
        <v>0.058827982677608</v>
      </c>
      <c r="L12" s="1" t="n">
        <v>0.764592146543124</v>
      </c>
    </row>
    <row r="13" customFormat="false" ht="15" hidden="false" customHeight="false" outlineLevel="0" collapsed="false">
      <c r="A13" s="3" t="s">
        <v>28</v>
      </c>
      <c r="B13" s="3" t="s">
        <v>29</v>
      </c>
      <c r="C13" s="3" t="s">
        <v>30</v>
      </c>
      <c r="D13" s="1" t="s">
        <v>20</v>
      </c>
      <c r="E13" s="1" t="s">
        <v>21</v>
      </c>
      <c r="F13" s="1" t="n">
        <v>3</v>
      </c>
      <c r="G13" s="2" t="s">
        <v>25</v>
      </c>
      <c r="H13" s="1" t="n">
        <v>0.1591</v>
      </c>
      <c r="I13" s="1" t="n">
        <v>0.23953964590127</v>
      </c>
      <c r="J13" s="1" t="n">
        <v>0.355786049436744</v>
      </c>
      <c r="K13" s="1" t="n">
        <f aca="false">J13-I13</f>
        <v>0.116246403535474</v>
      </c>
      <c r="L13" s="1" t="n">
        <v>0.764592146543124</v>
      </c>
    </row>
    <row r="14" customFormat="false" ht="15" hidden="false" customHeight="false" outlineLevel="0" collapsed="false">
      <c r="A14" s="3" t="s">
        <v>28</v>
      </c>
      <c r="B14" s="3" t="s">
        <v>29</v>
      </c>
      <c r="C14" s="3" t="s">
        <v>30</v>
      </c>
      <c r="D14" s="1" t="s">
        <v>20</v>
      </c>
      <c r="E14" s="1" t="s">
        <v>21</v>
      </c>
      <c r="F14" s="1" t="n">
        <v>3</v>
      </c>
      <c r="G14" s="2" t="s">
        <v>27</v>
      </c>
      <c r="H14" s="1" t="n">
        <v>0.1</v>
      </c>
      <c r="I14" s="1" t="n">
        <v>0.170499077100961</v>
      </c>
      <c r="J14" s="1" t="n">
        <v>0.279325724206534</v>
      </c>
      <c r="K14" s="1" t="n">
        <f aca="false">J14-I14</f>
        <v>0.108826647105573</v>
      </c>
      <c r="L14" s="1" t="n">
        <v>0.764592146543124</v>
      </c>
    </row>
    <row r="15" customFormat="false" ht="15" hidden="false" customHeight="false" outlineLevel="0" collapsed="false">
      <c r="A15" s="3" t="s">
        <v>32</v>
      </c>
      <c r="B15" s="3" t="s">
        <v>33</v>
      </c>
      <c r="C15" s="3" t="s">
        <v>34</v>
      </c>
      <c r="D15" s="1" t="s">
        <v>20</v>
      </c>
      <c r="E15" s="1" t="s">
        <v>21</v>
      </c>
      <c r="F15" s="1" t="n">
        <v>5</v>
      </c>
      <c r="G15" s="2" t="s">
        <v>22</v>
      </c>
      <c r="H15" s="1" t="n">
        <v>0.1939</v>
      </c>
      <c r="I15" s="1" t="n">
        <v>0.358335665133455</v>
      </c>
      <c r="J15" s="1" t="n">
        <v>0.417269126231858</v>
      </c>
      <c r="K15" s="1" t="n">
        <f aca="false">J15-I15</f>
        <v>0.058933461098403</v>
      </c>
      <c r="L15" s="1" t="n">
        <v>0.723011363854634</v>
      </c>
      <c r="N15" s="3" t="n">
        <f aca="false">AVERAGE(K15:K20)</f>
        <v>0.0450963751660037</v>
      </c>
    </row>
    <row r="16" customFormat="false" ht="15" hidden="false" customHeight="false" outlineLevel="0" collapsed="false">
      <c r="A16" s="3" t="s">
        <v>32</v>
      </c>
      <c r="B16" s="3" t="s">
        <v>33</v>
      </c>
      <c r="C16" s="3" t="s">
        <v>34</v>
      </c>
      <c r="D16" s="1" t="s">
        <v>20</v>
      </c>
      <c r="E16" s="1" t="s">
        <v>21</v>
      </c>
      <c r="F16" s="1" t="n">
        <v>5</v>
      </c>
      <c r="G16" s="2" t="s">
        <v>23</v>
      </c>
      <c r="H16" s="1" t="n">
        <v>0.1901</v>
      </c>
      <c r="I16" s="1" t="n">
        <v>0.351251024201016</v>
      </c>
      <c r="J16" s="1" t="n">
        <v>0.3915016240939</v>
      </c>
      <c r="K16" s="1" t="n">
        <f aca="false">J16-I16</f>
        <v>0.040250599892884</v>
      </c>
      <c r="L16" s="1" t="n">
        <v>0.723011363854634</v>
      </c>
    </row>
    <row r="17" customFormat="false" ht="15" hidden="false" customHeight="false" outlineLevel="0" collapsed="false">
      <c r="A17" s="3" t="s">
        <v>32</v>
      </c>
      <c r="B17" s="3" t="s">
        <v>33</v>
      </c>
      <c r="C17" s="3" t="s">
        <v>34</v>
      </c>
      <c r="D17" s="1" t="s">
        <v>20</v>
      </c>
      <c r="E17" s="1" t="s">
        <v>21</v>
      </c>
      <c r="F17" s="1" t="n">
        <v>5</v>
      </c>
      <c r="G17" s="2" t="s">
        <v>24</v>
      </c>
      <c r="H17" s="1" t="n">
        <v>0.1834</v>
      </c>
      <c r="I17" s="1" t="n">
        <v>0.338787255167828</v>
      </c>
      <c r="J17" s="1" t="n">
        <v>0.396998142661514</v>
      </c>
      <c r="K17" s="1" t="n">
        <f aca="false">J17-I17</f>
        <v>0.058210887493686</v>
      </c>
      <c r="L17" s="1" t="n">
        <v>0.723011363854634</v>
      </c>
    </row>
    <row r="18" customFormat="false" ht="15" hidden="false" customHeight="false" outlineLevel="0" collapsed="false">
      <c r="A18" s="3" t="s">
        <v>32</v>
      </c>
      <c r="B18" s="3" t="s">
        <v>33</v>
      </c>
      <c r="C18" s="3" t="s">
        <v>34</v>
      </c>
      <c r="D18" s="1" t="s">
        <v>20</v>
      </c>
      <c r="E18" s="1" t="s">
        <v>21</v>
      </c>
      <c r="F18" s="1" t="n">
        <v>5</v>
      </c>
      <c r="G18" s="2" t="s">
        <v>25</v>
      </c>
      <c r="H18" s="1" t="n">
        <v>0.1777</v>
      </c>
      <c r="I18" s="1" t="n">
        <v>0.328393006338436</v>
      </c>
      <c r="J18" s="1" t="n">
        <v>0.361926868544637</v>
      </c>
      <c r="K18" s="1" t="n">
        <f aca="false">J18-I18</f>
        <v>0.033533862206201</v>
      </c>
      <c r="L18" s="1" t="n">
        <v>0.723011363854634</v>
      </c>
    </row>
    <row r="19" customFormat="false" ht="15" hidden="false" customHeight="false" outlineLevel="0" collapsed="false">
      <c r="A19" s="3" t="s">
        <v>32</v>
      </c>
      <c r="B19" s="3" t="s">
        <v>33</v>
      </c>
      <c r="C19" s="3" t="s">
        <v>34</v>
      </c>
      <c r="D19" s="1" t="s">
        <v>20</v>
      </c>
      <c r="E19" s="1" t="s">
        <v>21</v>
      </c>
      <c r="F19" s="1" t="n">
        <v>5</v>
      </c>
      <c r="G19" s="2" t="s">
        <v>35</v>
      </c>
      <c r="H19" s="1" t="n">
        <v>0.1549</v>
      </c>
      <c r="I19" s="1" t="n">
        <v>0.286200548446908</v>
      </c>
      <c r="J19" s="1" t="n">
        <v>0.325927751876871</v>
      </c>
      <c r="K19" s="1" t="n">
        <f aca="false">J19-I19</f>
        <v>0.039727203429963</v>
      </c>
      <c r="L19" s="1" t="n">
        <v>0.723011363854634</v>
      </c>
    </row>
    <row r="20" customFormat="false" ht="15" hidden="false" customHeight="false" outlineLevel="0" collapsed="false">
      <c r="A20" s="3" t="s">
        <v>32</v>
      </c>
      <c r="B20" s="3" t="s">
        <v>33</v>
      </c>
      <c r="C20" s="3" t="s">
        <v>34</v>
      </c>
      <c r="D20" s="1" t="s">
        <v>20</v>
      </c>
      <c r="E20" s="1" t="s">
        <v>21</v>
      </c>
      <c r="F20" s="1" t="n">
        <v>5</v>
      </c>
      <c r="G20" s="2" t="s">
        <v>27</v>
      </c>
      <c r="H20" s="1" t="n">
        <v>0.1</v>
      </c>
      <c r="I20" s="1" t="n">
        <v>0.203230695079922</v>
      </c>
      <c r="J20" s="1" t="n">
        <v>0.243152931954807</v>
      </c>
      <c r="K20" s="1" t="n">
        <f aca="false">J20-I20</f>
        <v>0.039922236874885</v>
      </c>
      <c r="L20" s="1" t="n">
        <v>0.723011363854634</v>
      </c>
    </row>
    <row r="21" customFormat="false" ht="15" hidden="false" customHeight="false" outlineLevel="0" collapsed="false">
      <c r="A21" s="3" t="s">
        <v>36</v>
      </c>
      <c r="B21" s="3" t="s">
        <v>37</v>
      </c>
      <c r="C21" s="3" t="s">
        <v>38</v>
      </c>
      <c r="D21" s="1" t="s">
        <v>20</v>
      </c>
      <c r="E21" s="1" t="s">
        <v>21</v>
      </c>
      <c r="F21" s="1" t="n">
        <v>7</v>
      </c>
      <c r="G21" s="2" t="s">
        <v>23</v>
      </c>
      <c r="H21" s="1" t="n">
        <v>0.2088</v>
      </c>
      <c r="I21" s="1" t="n">
        <v>0.328131414151036</v>
      </c>
      <c r="J21" s="1" t="n">
        <v>0.33525450463278</v>
      </c>
      <c r="K21" s="1" t="n">
        <f aca="false">J21-I21</f>
        <v>0.00712309048174398</v>
      </c>
      <c r="L21" s="1" t="n">
        <v>0.756420441420714</v>
      </c>
      <c r="N21" s="3" t="n">
        <f aca="false">AVERAGE(K21:K26)</f>
        <v>0.052580262436704</v>
      </c>
    </row>
    <row r="22" customFormat="false" ht="15" hidden="false" customHeight="false" outlineLevel="0" collapsed="false">
      <c r="A22" s="3" t="s">
        <v>36</v>
      </c>
      <c r="B22" s="3" t="s">
        <v>37</v>
      </c>
      <c r="C22" s="3" t="s">
        <v>38</v>
      </c>
      <c r="D22" s="1" t="s">
        <v>20</v>
      </c>
      <c r="E22" s="1" t="s">
        <v>21</v>
      </c>
      <c r="F22" s="1" t="n">
        <v>7</v>
      </c>
      <c r="G22" s="2" t="s">
        <v>22</v>
      </c>
      <c r="H22" s="1" t="n">
        <v>0.1939</v>
      </c>
      <c r="I22" s="1" t="n">
        <v>0.304637045670893</v>
      </c>
      <c r="J22" s="1" t="n">
        <v>0.378848465347075</v>
      </c>
      <c r="K22" s="1" t="n">
        <f aca="false">J22-I22</f>
        <v>0.074211419676182</v>
      </c>
      <c r="L22" s="1" t="n">
        <v>0.756420441420714</v>
      </c>
    </row>
    <row r="23" customFormat="false" ht="15" hidden="false" customHeight="false" outlineLevel="0" collapsed="false">
      <c r="A23" s="3" t="s">
        <v>36</v>
      </c>
      <c r="B23" s="3" t="s">
        <v>37</v>
      </c>
      <c r="C23" s="3" t="s">
        <v>38</v>
      </c>
      <c r="D23" s="1" t="s">
        <v>20</v>
      </c>
      <c r="E23" s="1" t="s">
        <v>21</v>
      </c>
      <c r="F23" s="1" t="n">
        <v>7</v>
      </c>
      <c r="G23" s="2" t="s">
        <v>24</v>
      </c>
      <c r="H23" s="1" t="n">
        <v>0.1743</v>
      </c>
      <c r="I23" s="1" t="n">
        <v>0.27386519894677</v>
      </c>
      <c r="J23" s="1" t="n">
        <v>0.341344692360179</v>
      </c>
      <c r="K23" s="1" t="n">
        <f aca="false">J23-I23</f>
        <v>0.067479493413409</v>
      </c>
      <c r="L23" s="1" t="n">
        <v>0.756420441420714</v>
      </c>
    </row>
    <row r="24" customFormat="false" ht="15" hidden="false" customHeight="false" outlineLevel="0" collapsed="false">
      <c r="A24" s="3" t="s">
        <v>36</v>
      </c>
      <c r="B24" s="3" t="s">
        <v>37</v>
      </c>
      <c r="C24" s="3" t="s">
        <v>38</v>
      </c>
      <c r="D24" s="1" t="s">
        <v>20</v>
      </c>
      <c r="E24" s="1" t="s">
        <v>21</v>
      </c>
      <c r="F24" s="1" t="n">
        <v>7</v>
      </c>
      <c r="G24" s="2" t="s">
        <v>26</v>
      </c>
      <c r="H24" s="1" t="n">
        <v>0.1635</v>
      </c>
      <c r="I24" s="1" t="n">
        <v>0.256918419753383</v>
      </c>
      <c r="J24" s="1" t="n">
        <v>0.305835891883325</v>
      </c>
      <c r="K24" s="1" t="n">
        <f aca="false">J24-I24</f>
        <v>0.048917472129942</v>
      </c>
      <c r="L24" s="1" t="n">
        <v>0.756420441420714</v>
      </c>
    </row>
    <row r="25" customFormat="false" ht="15" hidden="false" customHeight="false" outlineLevel="0" collapsed="false">
      <c r="A25" s="3" t="s">
        <v>36</v>
      </c>
      <c r="B25" s="3" t="s">
        <v>37</v>
      </c>
      <c r="C25" s="3" t="s">
        <v>38</v>
      </c>
      <c r="D25" s="1" t="s">
        <v>20</v>
      </c>
      <c r="E25" s="1" t="s">
        <v>21</v>
      </c>
      <c r="F25" s="1" t="n">
        <v>7</v>
      </c>
      <c r="G25" s="2" t="s">
        <v>39</v>
      </c>
      <c r="H25" s="1" t="n">
        <v>0.1595</v>
      </c>
      <c r="I25" s="1" t="n">
        <v>0.250610476187388</v>
      </c>
      <c r="J25" s="1" t="n">
        <v>0.264417873962518</v>
      </c>
      <c r="K25" s="1" t="n">
        <f aca="false">J25-I25</f>
        <v>0.01380739777513</v>
      </c>
      <c r="L25" s="1" t="n">
        <v>0.756420441420714</v>
      </c>
    </row>
    <row r="26" customFormat="false" ht="15" hidden="false" customHeight="false" outlineLevel="0" collapsed="false">
      <c r="A26" s="3" t="s">
        <v>36</v>
      </c>
      <c r="B26" s="3" t="s">
        <v>37</v>
      </c>
      <c r="C26" s="3" t="s">
        <v>38</v>
      </c>
      <c r="D26" s="1" t="s">
        <v>20</v>
      </c>
      <c r="E26" s="1" t="s">
        <v>21</v>
      </c>
      <c r="F26" s="1" t="n">
        <v>7</v>
      </c>
      <c r="G26" s="2" t="s">
        <v>27</v>
      </c>
      <c r="H26" s="1" t="n">
        <v>0.1</v>
      </c>
      <c r="I26" s="1" t="n">
        <v>0.149902234556613</v>
      </c>
      <c r="J26" s="1" t="n">
        <v>0.25384493570043</v>
      </c>
      <c r="K26" s="1" t="n">
        <f aca="false">J26-I26</f>
        <v>0.103942701143817</v>
      </c>
      <c r="L26" s="1" t="n">
        <v>0.756420441420714</v>
      </c>
    </row>
    <row r="27" customFormat="false" ht="15" hidden="false" customHeight="false" outlineLevel="0" collapsed="false">
      <c r="A27" s="3" t="s">
        <v>40</v>
      </c>
      <c r="B27" s="3" t="s">
        <v>41</v>
      </c>
      <c r="C27" s="3" t="s">
        <v>42</v>
      </c>
      <c r="D27" s="1" t="s">
        <v>20</v>
      </c>
      <c r="E27" s="1" t="s">
        <v>21</v>
      </c>
      <c r="F27" s="1" t="n">
        <v>9</v>
      </c>
      <c r="G27" s="2" t="s">
        <v>22</v>
      </c>
      <c r="H27" s="1" t="n">
        <v>0.1979</v>
      </c>
      <c r="I27" s="1" t="n">
        <v>0.302178628332639</v>
      </c>
      <c r="J27" s="1" t="n">
        <v>0.380980002629537</v>
      </c>
      <c r="K27" s="1" t="n">
        <f aca="false">J27-I27</f>
        <v>0.078801374296898</v>
      </c>
      <c r="L27" s="1" t="n">
        <v>0.620462176144914</v>
      </c>
      <c r="N27" s="3" t="n">
        <f aca="false">AVERAGE(K27:K32)</f>
        <v>0.0787934826065585</v>
      </c>
    </row>
    <row r="28" customFormat="false" ht="15" hidden="false" customHeight="false" outlineLevel="0" collapsed="false">
      <c r="A28" s="3" t="s">
        <v>40</v>
      </c>
      <c r="B28" s="3" t="s">
        <v>41</v>
      </c>
      <c r="C28" s="3" t="s">
        <v>42</v>
      </c>
      <c r="D28" s="1" t="s">
        <v>20</v>
      </c>
      <c r="E28" s="1" t="s">
        <v>21</v>
      </c>
      <c r="F28" s="1" t="n">
        <v>9</v>
      </c>
      <c r="G28" s="2" t="s">
        <v>23</v>
      </c>
      <c r="H28" s="1" t="n">
        <v>0.1907</v>
      </c>
      <c r="I28" s="1" t="n">
        <v>0.291103242926587</v>
      </c>
      <c r="J28" s="1" t="n">
        <v>0.351691464613425</v>
      </c>
      <c r="K28" s="1" t="n">
        <f aca="false">J28-I28</f>
        <v>0.060588221686838</v>
      </c>
      <c r="L28" s="1" t="n">
        <v>0.620462176144914</v>
      </c>
    </row>
    <row r="29" customFormat="false" ht="15" hidden="false" customHeight="false" outlineLevel="0" collapsed="false">
      <c r="A29" s="3" t="s">
        <v>40</v>
      </c>
      <c r="B29" s="3" t="s">
        <v>41</v>
      </c>
      <c r="C29" s="3" t="s">
        <v>42</v>
      </c>
      <c r="D29" s="1" t="s">
        <v>20</v>
      </c>
      <c r="E29" s="1" t="s">
        <v>21</v>
      </c>
      <c r="F29" s="1" t="n">
        <v>9</v>
      </c>
      <c r="G29" s="2" t="s">
        <v>31</v>
      </c>
      <c r="H29" s="1" t="n">
        <v>0.1757</v>
      </c>
      <c r="I29" s="1" t="n">
        <v>0.268199934428776</v>
      </c>
      <c r="J29" s="1" t="n">
        <v>0.314635351098268</v>
      </c>
      <c r="K29" s="1" t="n">
        <f aca="false">J29-I29</f>
        <v>0.046435416669492</v>
      </c>
      <c r="L29" s="1" t="n">
        <v>0.620462176144914</v>
      </c>
    </row>
    <row r="30" customFormat="false" ht="15" hidden="false" customHeight="false" outlineLevel="0" collapsed="false">
      <c r="A30" s="3" t="s">
        <v>40</v>
      </c>
      <c r="B30" s="3" t="s">
        <v>41</v>
      </c>
      <c r="C30" s="3" t="s">
        <v>42</v>
      </c>
      <c r="D30" s="1" t="s">
        <v>20</v>
      </c>
      <c r="E30" s="1" t="s">
        <v>21</v>
      </c>
      <c r="F30" s="1" t="n">
        <v>9</v>
      </c>
      <c r="G30" s="2" t="s">
        <v>25</v>
      </c>
      <c r="H30" s="1" t="n">
        <v>0.1723</v>
      </c>
      <c r="I30" s="1" t="n">
        <v>0.263094949640027</v>
      </c>
      <c r="J30" s="1" t="n">
        <v>0.332185561460515</v>
      </c>
      <c r="K30" s="1" t="n">
        <f aca="false">J30-I30</f>
        <v>0.069090611820488</v>
      </c>
      <c r="L30" s="1" t="n">
        <v>0.620462176144914</v>
      </c>
    </row>
    <row r="31" customFormat="false" ht="15" hidden="false" customHeight="false" outlineLevel="0" collapsed="false">
      <c r="A31" s="3" t="s">
        <v>40</v>
      </c>
      <c r="B31" s="3" t="s">
        <v>41</v>
      </c>
      <c r="C31" s="3" t="s">
        <v>42</v>
      </c>
      <c r="D31" s="1" t="s">
        <v>20</v>
      </c>
      <c r="E31" s="1" t="s">
        <v>21</v>
      </c>
      <c r="F31" s="1" t="n">
        <v>9</v>
      </c>
      <c r="G31" s="2" t="s">
        <v>24</v>
      </c>
      <c r="H31" s="1" t="n">
        <v>0.1634</v>
      </c>
      <c r="I31" s="1" t="n">
        <v>0.249518477212689</v>
      </c>
      <c r="J31" s="1" t="n">
        <v>0.372660032076758</v>
      </c>
      <c r="K31" s="1" t="n">
        <f aca="false">J31-I31</f>
        <v>0.123141554864069</v>
      </c>
      <c r="L31" s="1" t="n">
        <v>0.620462176144914</v>
      </c>
    </row>
    <row r="32" customFormat="false" ht="15" hidden="false" customHeight="false" outlineLevel="0" collapsed="false">
      <c r="A32" s="3" t="s">
        <v>40</v>
      </c>
      <c r="B32" s="3" t="s">
        <v>41</v>
      </c>
      <c r="C32" s="3" t="s">
        <v>42</v>
      </c>
      <c r="D32" s="1" t="s">
        <v>20</v>
      </c>
      <c r="E32" s="1" t="s">
        <v>21</v>
      </c>
      <c r="F32" s="1" t="n">
        <v>9</v>
      </c>
      <c r="G32" s="2" t="s">
        <v>27</v>
      </c>
      <c r="H32" s="1" t="n">
        <v>0.1</v>
      </c>
      <c r="I32" s="1" t="n">
        <v>0.188923196277631</v>
      </c>
      <c r="J32" s="1" t="n">
        <v>0.283626912579197</v>
      </c>
      <c r="K32" s="1" t="n">
        <f aca="false">J32-I32</f>
        <v>0.094703716301566</v>
      </c>
      <c r="L32" s="1" t="n">
        <v>0.620462176144914</v>
      </c>
    </row>
    <row r="33" customFormat="false" ht="15" hidden="false" customHeight="false" outlineLevel="0" collapsed="false">
      <c r="A33" s="3" t="s">
        <v>43</v>
      </c>
      <c r="B33" s="3" t="s">
        <v>44</v>
      </c>
      <c r="C33" s="3" t="s">
        <v>45</v>
      </c>
      <c r="D33" s="1" t="s">
        <v>20</v>
      </c>
      <c r="E33" s="1" t="s">
        <v>21</v>
      </c>
      <c r="F33" s="1" t="n">
        <v>11</v>
      </c>
      <c r="G33" s="2" t="s">
        <v>22</v>
      </c>
      <c r="H33" s="1" t="n">
        <v>0.3091</v>
      </c>
      <c r="I33" s="1" t="n">
        <v>0.263718502859111</v>
      </c>
      <c r="J33" s="1" t="n">
        <v>0.367670046674205</v>
      </c>
      <c r="K33" s="1" t="n">
        <f aca="false">J33-I33</f>
        <v>0.103951543815094</v>
      </c>
      <c r="L33" s="1" t="n">
        <v>0.798549003615991</v>
      </c>
      <c r="N33" s="3" t="n">
        <f aca="false">AVERAGE(K33:K36)</f>
        <v>0.0926025879506197</v>
      </c>
    </row>
    <row r="34" customFormat="false" ht="15" hidden="false" customHeight="false" outlineLevel="0" collapsed="false">
      <c r="A34" s="3" t="s">
        <v>43</v>
      </c>
      <c r="B34" s="3" t="s">
        <v>44</v>
      </c>
      <c r="C34" s="3" t="s">
        <v>45</v>
      </c>
      <c r="D34" s="1" t="s">
        <v>20</v>
      </c>
      <c r="E34" s="1" t="s">
        <v>21</v>
      </c>
      <c r="F34" s="1" t="n">
        <v>11</v>
      </c>
      <c r="G34" s="2" t="s">
        <v>23</v>
      </c>
      <c r="H34" s="1" t="n">
        <v>0.3023</v>
      </c>
      <c r="I34" s="1" t="n">
        <v>0.257881278495188</v>
      </c>
      <c r="J34" s="1" t="n">
        <v>0.349455934220501</v>
      </c>
      <c r="K34" s="1" t="n">
        <f aca="false">J34-I34</f>
        <v>0.091574655725313</v>
      </c>
      <c r="L34" s="1" t="n">
        <v>0.798549003615991</v>
      </c>
    </row>
    <row r="35" customFormat="false" ht="15" hidden="false" customHeight="false" outlineLevel="0" collapsed="false">
      <c r="A35" s="3" t="s">
        <v>43</v>
      </c>
      <c r="B35" s="3" t="s">
        <v>44</v>
      </c>
      <c r="C35" s="3" t="s">
        <v>45</v>
      </c>
      <c r="D35" s="1" t="s">
        <v>20</v>
      </c>
      <c r="E35" s="1" t="s">
        <v>21</v>
      </c>
      <c r="F35" s="1" t="n">
        <v>11</v>
      </c>
      <c r="G35" s="2" t="s">
        <v>24</v>
      </c>
      <c r="H35" s="1" t="n">
        <v>0.2886</v>
      </c>
      <c r="I35" s="1" t="n">
        <v>0.246245924468699</v>
      </c>
      <c r="J35" s="1" t="n">
        <v>0.336906309903628</v>
      </c>
      <c r="K35" s="1" t="n">
        <f aca="false">J35-I35</f>
        <v>0.090660385434929</v>
      </c>
      <c r="L35" s="1" t="n">
        <v>0.798549003615991</v>
      </c>
    </row>
    <row r="36" customFormat="false" ht="15" hidden="false" customHeight="false" outlineLevel="0" collapsed="false">
      <c r="A36" s="3" t="s">
        <v>43</v>
      </c>
      <c r="B36" s="3" t="s">
        <v>44</v>
      </c>
      <c r="C36" s="3" t="s">
        <v>45</v>
      </c>
      <c r="D36" s="1" t="s">
        <v>20</v>
      </c>
      <c r="E36" s="1" t="s">
        <v>21</v>
      </c>
      <c r="F36" s="1" t="n">
        <v>11</v>
      </c>
      <c r="G36" s="2" t="s">
        <v>27</v>
      </c>
      <c r="H36" s="1" t="n">
        <v>0.1</v>
      </c>
      <c r="I36" s="1" t="n">
        <v>0.151959086896075</v>
      </c>
      <c r="J36" s="1" t="n">
        <v>0.236182853723218</v>
      </c>
      <c r="K36" s="1" t="n">
        <f aca="false">J36-I36</f>
        <v>0.084223766827143</v>
      </c>
      <c r="L36" s="1" t="n">
        <v>0.798549003615991</v>
      </c>
    </row>
    <row r="37" customFormat="false" ht="15" hidden="false" customHeight="false" outlineLevel="0" collapsed="false">
      <c r="A37" s="3" t="s">
        <v>46</v>
      </c>
      <c r="B37" s="3" t="s">
        <v>47</v>
      </c>
      <c r="C37" s="3" t="s">
        <v>48</v>
      </c>
      <c r="D37" s="1" t="s">
        <v>20</v>
      </c>
      <c r="E37" s="1" t="s">
        <v>21</v>
      </c>
      <c r="F37" s="1" t="n">
        <v>13</v>
      </c>
      <c r="G37" s="2" t="s">
        <v>22</v>
      </c>
      <c r="H37" s="1" t="n">
        <v>0.2042</v>
      </c>
      <c r="I37" s="1" t="n">
        <v>0.266078464034303</v>
      </c>
      <c r="J37" s="1" t="n">
        <v>0.34001096475009</v>
      </c>
      <c r="K37" s="1" t="n">
        <f aca="false">J37-I37</f>
        <v>0.073932500715787</v>
      </c>
      <c r="L37" s="1" t="n">
        <v>0.754603762692231</v>
      </c>
      <c r="N37" s="3" t="n">
        <f aca="false">AVERAGE(K37:K42)</f>
        <v>0.101846605226806</v>
      </c>
    </row>
    <row r="38" customFormat="false" ht="15" hidden="false" customHeight="false" outlineLevel="0" collapsed="false">
      <c r="A38" s="3" t="s">
        <v>46</v>
      </c>
      <c r="B38" s="3" t="s">
        <v>47</v>
      </c>
      <c r="C38" s="3" t="s">
        <v>48</v>
      </c>
      <c r="D38" s="1" t="s">
        <v>20</v>
      </c>
      <c r="E38" s="1" t="s">
        <v>21</v>
      </c>
      <c r="F38" s="1" t="n">
        <v>13</v>
      </c>
      <c r="G38" s="2" t="s">
        <v>24</v>
      </c>
      <c r="H38" s="1" t="n">
        <v>0.1944</v>
      </c>
      <c r="I38" s="1" t="n">
        <v>0.25340394750774</v>
      </c>
      <c r="J38" s="1" t="n">
        <v>0.341691389346788</v>
      </c>
      <c r="K38" s="1" t="n">
        <f aca="false">J38-I38</f>
        <v>0.088287441839048</v>
      </c>
      <c r="L38" s="1" t="n">
        <v>0.754603762692231</v>
      </c>
    </row>
    <row r="39" customFormat="false" ht="15" hidden="false" customHeight="false" outlineLevel="0" collapsed="false">
      <c r="A39" s="3" t="s">
        <v>46</v>
      </c>
      <c r="B39" s="3" t="s">
        <v>47</v>
      </c>
      <c r="C39" s="3" t="s">
        <v>48</v>
      </c>
      <c r="D39" s="1" t="s">
        <v>20</v>
      </c>
      <c r="E39" s="1" t="s">
        <v>21</v>
      </c>
      <c r="F39" s="1" t="n">
        <v>13</v>
      </c>
      <c r="G39" s="2" t="s">
        <v>23</v>
      </c>
      <c r="H39" s="1" t="n">
        <v>0.1911</v>
      </c>
      <c r="I39" s="1" t="n">
        <v>0.24908621797316</v>
      </c>
      <c r="J39" s="1" t="n">
        <v>0.319875932192708</v>
      </c>
      <c r="K39" s="1" t="n">
        <f aca="false">J39-I39</f>
        <v>0.070789714219548</v>
      </c>
      <c r="L39" s="1" t="n">
        <v>0.754603762692231</v>
      </c>
    </row>
    <row r="40" customFormat="false" ht="15" hidden="false" customHeight="false" outlineLevel="0" collapsed="false">
      <c r="A40" s="3" t="s">
        <v>46</v>
      </c>
      <c r="B40" s="3" t="s">
        <v>47</v>
      </c>
      <c r="C40" s="3" t="s">
        <v>48</v>
      </c>
      <c r="D40" s="1" t="s">
        <v>20</v>
      </c>
      <c r="E40" s="1" t="s">
        <v>21</v>
      </c>
      <c r="F40" s="1" t="n">
        <v>13</v>
      </c>
      <c r="G40" s="2" t="s">
        <v>25</v>
      </c>
      <c r="H40" s="1" t="n">
        <v>0.1553</v>
      </c>
      <c r="I40" s="1" t="n">
        <v>0.202447943909261</v>
      </c>
      <c r="J40" s="1" t="n">
        <v>0.330992982205634</v>
      </c>
      <c r="K40" s="1" t="n">
        <f aca="false">J40-I40</f>
        <v>0.128545038296373</v>
      </c>
      <c r="L40" s="1" t="n">
        <v>0.754603762692231</v>
      </c>
    </row>
    <row r="41" customFormat="false" ht="15" hidden="false" customHeight="false" outlineLevel="0" collapsed="false">
      <c r="A41" s="3" t="s">
        <v>46</v>
      </c>
      <c r="B41" s="3" t="s">
        <v>47</v>
      </c>
      <c r="C41" s="3" t="s">
        <v>48</v>
      </c>
      <c r="D41" s="1" t="s">
        <v>20</v>
      </c>
      <c r="E41" s="1" t="s">
        <v>21</v>
      </c>
      <c r="F41" s="1" t="n">
        <v>13</v>
      </c>
      <c r="G41" s="2" t="s">
        <v>31</v>
      </c>
      <c r="H41" s="1" t="n">
        <v>0.1549</v>
      </c>
      <c r="I41" s="1" t="n">
        <v>0.201897467137391</v>
      </c>
      <c r="J41" s="1" t="n">
        <v>0.344935066399891</v>
      </c>
      <c r="K41" s="1" t="n">
        <f aca="false">J41-I41</f>
        <v>0.1430375992625</v>
      </c>
      <c r="L41" s="1" t="n">
        <v>0.754603762692231</v>
      </c>
    </row>
    <row r="42" customFormat="false" ht="15" hidden="false" customHeight="false" outlineLevel="0" collapsed="false">
      <c r="A42" s="3" t="s">
        <v>46</v>
      </c>
      <c r="B42" s="3" t="s">
        <v>47</v>
      </c>
      <c r="C42" s="3" t="s">
        <v>48</v>
      </c>
      <c r="D42" s="1" t="s">
        <v>20</v>
      </c>
      <c r="E42" s="1" t="s">
        <v>21</v>
      </c>
      <c r="F42" s="1" t="n">
        <v>13</v>
      </c>
      <c r="G42" s="2" t="s">
        <v>27</v>
      </c>
      <c r="H42" s="1" t="n">
        <v>0.1</v>
      </c>
      <c r="I42" s="1" t="n">
        <v>0.133836296485739</v>
      </c>
      <c r="J42" s="1" t="n">
        <v>0.240323633513319</v>
      </c>
      <c r="K42" s="1" t="n">
        <f aca="false">J42-I42</f>
        <v>0.10648733702758</v>
      </c>
      <c r="L42" s="1" t="n">
        <v>0.754603762692231</v>
      </c>
    </row>
    <row r="43" customFormat="false" ht="15" hidden="false" customHeight="false" outlineLevel="0" collapsed="false">
      <c r="A43" s="3" t="s">
        <v>49</v>
      </c>
      <c r="B43" s="3" t="s">
        <v>50</v>
      </c>
      <c r="C43" s="3" t="s">
        <v>51</v>
      </c>
      <c r="D43" s="1" t="s">
        <v>20</v>
      </c>
      <c r="E43" s="1" t="s">
        <v>21</v>
      </c>
      <c r="F43" s="1" t="n">
        <v>15</v>
      </c>
      <c r="G43" s="2" t="s">
        <v>25</v>
      </c>
      <c r="H43" s="1" t="n">
        <v>0.186</v>
      </c>
      <c r="I43" s="1" t="n">
        <v>0.322266377789438</v>
      </c>
      <c r="J43" s="1" t="n">
        <v>0.38561638430556</v>
      </c>
      <c r="K43" s="1" t="n">
        <f aca="false">J43-I43</f>
        <v>0.063350006516122</v>
      </c>
      <c r="L43" s="1" t="n">
        <v>0.786128366374384</v>
      </c>
      <c r="N43" s="3" t="n">
        <f aca="false">AVERAGE(K43:K48)</f>
        <v>0.0987953317772712</v>
      </c>
    </row>
    <row r="44" customFormat="false" ht="15" hidden="false" customHeight="false" outlineLevel="0" collapsed="false">
      <c r="A44" s="3" t="s">
        <v>49</v>
      </c>
      <c r="B44" s="3" t="s">
        <v>50</v>
      </c>
      <c r="C44" s="3" t="s">
        <v>51</v>
      </c>
      <c r="D44" s="1" t="s">
        <v>20</v>
      </c>
      <c r="E44" s="1" t="s">
        <v>21</v>
      </c>
      <c r="F44" s="1" t="n">
        <v>15</v>
      </c>
      <c r="G44" s="2" t="s">
        <v>22</v>
      </c>
      <c r="H44" s="1" t="n">
        <v>0.184</v>
      </c>
      <c r="I44" s="1" t="n">
        <v>0.318842276900387</v>
      </c>
      <c r="J44" s="1" t="n">
        <v>0.44025918202008</v>
      </c>
      <c r="K44" s="1" t="n">
        <f aca="false">J44-I44</f>
        <v>0.121416905119693</v>
      </c>
      <c r="L44" s="1" t="n">
        <v>0.786128366374384</v>
      </c>
    </row>
    <row r="45" customFormat="false" ht="15" hidden="false" customHeight="false" outlineLevel="0" collapsed="false">
      <c r="A45" s="3" t="s">
        <v>49</v>
      </c>
      <c r="B45" s="3" t="s">
        <v>50</v>
      </c>
      <c r="C45" s="3" t="s">
        <v>51</v>
      </c>
      <c r="D45" s="1" t="s">
        <v>20</v>
      </c>
      <c r="E45" s="1" t="s">
        <v>21</v>
      </c>
      <c r="F45" s="1" t="n">
        <v>15</v>
      </c>
      <c r="G45" s="2" t="s">
        <v>23</v>
      </c>
      <c r="H45" s="1" t="n">
        <v>0.1797</v>
      </c>
      <c r="I45" s="1" t="n">
        <v>0.311307363421618</v>
      </c>
      <c r="J45" s="1" t="n">
        <v>0.402308025802783</v>
      </c>
      <c r="K45" s="1" t="n">
        <f aca="false">J45-I45</f>
        <v>0.091000662381165</v>
      </c>
      <c r="L45" s="1" t="n">
        <v>0.786128366374384</v>
      </c>
    </row>
    <row r="46" customFormat="false" ht="15" hidden="false" customHeight="false" outlineLevel="0" collapsed="false">
      <c r="A46" s="3" t="s">
        <v>49</v>
      </c>
      <c r="B46" s="3" t="s">
        <v>50</v>
      </c>
      <c r="C46" s="3" t="s">
        <v>51</v>
      </c>
      <c r="D46" s="1" t="s">
        <v>20</v>
      </c>
      <c r="E46" s="1" t="s">
        <v>21</v>
      </c>
      <c r="F46" s="1" t="n">
        <v>15</v>
      </c>
      <c r="G46" s="2" t="s">
        <v>24</v>
      </c>
      <c r="H46" s="1" t="n">
        <v>0.1787</v>
      </c>
      <c r="I46" s="1" t="n">
        <v>0.309515871345392</v>
      </c>
      <c r="J46" s="1" t="n">
        <v>0.427117683876761</v>
      </c>
      <c r="K46" s="1" t="n">
        <f aca="false">J46-I46</f>
        <v>0.117601812531369</v>
      </c>
      <c r="L46" s="1" t="n">
        <v>0.786128366374384</v>
      </c>
    </row>
    <row r="47" customFormat="false" ht="15" hidden="false" customHeight="false" outlineLevel="0" collapsed="false">
      <c r="A47" s="3" t="s">
        <v>49</v>
      </c>
      <c r="B47" s="3" t="s">
        <v>50</v>
      </c>
      <c r="C47" s="3" t="s">
        <v>51</v>
      </c>
      <c r="D47" s="1" t="s">
        <v>20</v>
      </c>
      <c r="E47" s="1" t="s">
        <v>21</v>
      </c>
      <c r="F47" s="1" t="n">
        <v>15</v>
      </c>
      <c r="G47" s="2" t="s">
        <v>31</v>
      </c>
      <c r="H47" s="1" t="n">
        <v>0.1716</v>
      </c>
      <c r="I47" s="1" t="n">
        <v>0.297277000343705</v>
      </c>
      <c r="J47" s="1" t="n">
        <v>0.379102625708517</v>
      </c>
      <c r="K47" s="1" t="n">
        <f aca="false">J47-I47</f>
        <v>0.081825625364812</v>
      </c>
      <c r="L47" s="1" t="n">
        <v>0.786128366374384</v>
      </c>
    </row>
    <row r="48" customFormat="false" ht="15" hidden="false" customHeight="false" outlineLevel="0" collapsed="false">
      <c r="A48" s="3" t="s">
        <v>49</v>
      </c>
      <c r="B48" s="3" t="s">
        <v>50</v>
      </c>
      <c r="C48" s="3" t="s">
        <v>51</v>
      </c>
      <c r="D48" s="1" t="s">
        <v>20</v>
      </c>
      <c r="E48" s="1" t="s">
        <v>21</v>
      </c>
      <c r="F48" s="1" t="n">
        <v>15</v>
      </c>
      <c r="G48" s="2" t="s">
        <v>27</v>
      </c>
      <c r="H48" s="1" t="n">
        <v>0.1</v>
      </c>
      <c r="I48" s="1" t="n">
        <v>0.198801977023109</v>
      </c>
      <c r="J48" s="1" t="n">
        <v>0.316378955773575</v>
      </c>
      <c r="K48" s="1" t="n">
        <f aca="false">J48-I48</f>
        <v>0.117576978750466</v>
      </c>
      <c r="L48" s="1" t="n">
        <v>0.786128366374384</v>
      </c>
    </row>
    <row r="49" customFormat="false" ht="15" hidden="false" customHeight="false" outlineLevel="0" collapsed="false">
      <c r="A49" s="3" t="s">
        <v>52</v>
      </c>
      <c r="B49" s="3" t="s">
        <v>53</v>
      </c>
      <c r="C49" s="3" t="s">
        <v>54</v>
      </c>
      <c r="D49" s="1" t="s">
        <v>20</v>
      </c>
      <c r="E49" s="1" t="s">
        <v>21</v>
      </c>
      <c r="F49" s="1" t="n">
        <v>17</v>
      </c>
      <c r="G49" s="2" t="s">
        <v>23</v>
      </c>
      <c r="H49" s="1" t="n">
        <v>0.2097</v>
      </c>
      <c r="I49" s="1" t="n">
        <v>0.396562366621644</v>
      </c>
      <c r="J49" s="1" t="n">
        <v>0.404820678341306</v>
      </c>
      <c r="K49" s="1" t="n">
        <f aca="false">J49-I49</f>
        <v>0.00825831171966196</v>
      </c>
      <c r="L49" s="1" t="n">
        <v>0.753257435556755</v>
      </c>
      <c r="N49" s="3" t="n">
        <f aca="false">AVERAGE(K49:K54)</f>
        <v>0.0240836286961572</v>
      </c>
    </row>
    <row r="50" customFormat="false" ht="15" hidden="false" customHeight="false" outlineLevel="0" collapsed="false">
      <c r="A50" s="3" t="s">
        <v>52</v>
      </c>
      <c r="B50" s="3" t="s">
        <v>53</v>
      </c>
      <c r="C50" s="3" t="s">
        <v>54</v>
      </c>
      <c r="D50" s="1" t="s">
        <v>20</v>
      </c>
      <c r="E50" s="1" t="s">
        <v>21</v>
      </c>
      <c r="F50" s="1" t="n">
        <v>17</v>
      </c>
      <c r="G50" s="2" t="s">
        <v>22</v>
      </c>
      <c r="H50" s="1" t="n">
        <v>0.1892</v>
      </c>
      <c r="I50" s="1" t="n">
        <v>0.357911771613339</v>
      </c>
      <c r="J50" s="1" t="n">
        <v>0.406608213740498</v>
      </c>
      <c r="K50" s="1" t="n">
        <f aca="false">J50-I50</f>
        <v>0.048696442127159</v>
      </c>
      <c r="L50" s="1" t="n">
        <v>0.753257435556755</v>
      </c>
    </row>
    <row r="51" customFormat="false" ht="15" hidden="false" customHeight="false" outlineLevel="0" collapsed="false">
      <c r="A51" s="3" t="s">
        <v>52</v>
      </c>
      <c r="B51" s="3" t="s">
        <v>53</v>
      </c>
      <c r="C51" s="3" t="s">
        <v>54</v>
      </c>
      <c r="D51" s="1" t="s">
        <v>20</v>
      </c>
      <c r="E51" s="1" t="s">
        <v>21</v>
      </c>
      <c r="F51" s="1" t="n">
        <v>17</v>
      </c>
      <c r="G51" s="2" t="s">
        <v>24</v>
      </c>
      <c r="H51" s="1" t="n">
        <v>0.1689</v>
      </c>
      <c r="I51" s="1" t="n">
        <v>0.319501881452367</v>
      </c>
      <c r="J51" s="1" t="n">
        <v>0.377683128466184</v>
      </c>
      <c r="K51" s="1" t="n">
        <f aca="false">J51-I51</f>
        <v>0.058181247013817</v>
      </c>
      <c r="L51" s="1" t="n">
        <v>0.753257435556755</v>
      </c>
    </row>
    <row r="52" customFormat="false" ht="15" hidden="false" customHeight="false" outlineLevel="0" collapsed="false">
      <c r="A52" s="3" t="s">
        <v>52</v>
      </c>
      <c r="B52" s="3" t="s">
        <v>53</v>
      </c>
      <c r="C52" s="3" t="s">
        <v>54</v>
      </c>
      <c r="D52" s="1" t="s">
        <v>20</v>
      </c>
      <c r="E52" s="1" t="s">
        <v>21</v>
      </c>
      <c r="F52" s="1" t="n">
        <v>17</v>
      </c>
      <c r="G52" s="2" t="s">
        <v>25</v>
      </c>
      <c r="H52" s="1" t="n">
        <v>0.1672</v>
      </c>
      <c r="I52" s="1" t="n">
        <v>0.316279260136979</v>
      </c>
      <c r="J52" s="1" t="n">
        <v>0.313441084084166</v>
      </c>
      <c r="K52" s="1" t="n">
        <f aca="false">J52-I52</f>
        <v>-0.002838176052813</v>
      </c>
      <c r="L52" s="1" t="n">
        <v>0.753257435556755</v>
      </c>
    </row>
    <row r="53" customFormat="false" ht="15" hidden="false" customHeight="false" outlineLevel="0" collapsed="false">
      <c r="A53" s="3" t="s">
        <v>52</v>
      </c>
      <c r="B53" s="3" t="s">
        <v>53</v>
      </c>
      <c r="C53" s="3" t="s">
        <v>54</v>
      </c>
      <c r="D53" s="1" t="s">
        <v>20</v>
      </c>
      <c r="E53" s="1" t="s">
        <v>21</v>
      </c>
      <c r="F53" s="1" t="n">
        <v>17</v>
      </c>
      <c r="G53" s="2" t="s">
        <v>26</v>
      </c>
      <c r="H53" s="1" t="n">
        <v>0.1649</v>
      </c>
      <c r="I53" s="1" t="n">
        <v>0.311896611022931</v>
      </c>
      <c r="J53" s="1" t="n">
        <v>0.354094898148649</v>
      </c>
      <c r="K53" s="1" t="n">
        <f aca="false">J53-I53</f>
        <v>0.042198287125718</v>
      </c>
      <c r="L53" s="1" t="n">
        <v>0.753257435556755</v>
      </c>
    </row>
    <row r="54" customFormat="false" ht="15" hidden="false" customHeight="false" outlineLevel="0" collapsed="false">
      <c r="A54" s="3" t="s">
        <v>52</v>
      </c>
      <c r="B54" s="3" t="s">
        <v>53</v>
      </c>
      <c r="C54" s="3" t="s">
        <v>54</v>
      </c>
      <c r="D54" s="1" t="s">
        <v>20</v>
      </c>
      <c r="E54" s="1" t="s">
        <v>21</v>
      </c>
      <c r="F54" s="1" t="n">
        <v>17</v>
      </c>
      <c r="G54" s="2" t="s">
        <v>27</v>
      </c>
      <c r="H54" s="1" t="n">
        <v>0.1</v>
      </c>
      <c r="I54" s="1" t="n">
        <v>0.279560421211864</v>
      </c>
      <c r="J54" s="1" t="n">
        <v>0.269566081455264</v>
      </c>
      <c r="K54" s="1" t="n">
        <f aca="false">J54-I54</f>
        <v>-0.00999433975659997</v>
      </c>
      <c r="L54" s="1" t="n">
        <v>0.753257435556755</v>
      </c>
    </row>
    <row r="55" customFormat="false" ht="15" hidden="false" customHeight="false" outlineLevel="0" collapsed="false">
      <c r="A55" s="3" t="s">
        <v>55</v>
      </c>
      <c r="B55" s="3" t="s">
        <v>56</v>
      </c>
      <c r="C55" s="3" t="s">
        <v>57</v>
      </c>
      <c r="D55" s="1" t="s">
        <v>20</v>
      </c>
      <c r="E55" s="1" t="s">
        <v>21</v>
      </c>
      <c r="F55" s="1" t="n">
        <v>19</v>
      </c>
      <c r="G55" s="2" t="s">
        <v>23</v>
      </c>
      <c r="H55" s="1" t="n">
        <v>0.2016</v>
      </c>
      <c r="I55" s="1" t="n">
        <v>0.335377899984154</v>
      </c>
      <c r="J55" s="1" t="n">
        <v>0.3591673979369</v>
      </c>
      <c r="K55" s="1" t="n">
        <f aca="false">J55-I55</f>
        <v>0.023789497952746</v>
      </c>
      <c r="L55" s="1" t="n">
        <v>0.807843832088534</v>
      </c>
      <c r="N55" s="3" t="n">
        <f aca="false">AVERAGE(K55:K60)</f>
        <v>0.0584896241984568</v>
      </c>
    </row>
    <row r="56" customFormat="false" ht="15" hidden="false" customHeight="false" outlineLevel="0" collapsed="false">
      <c r="A56" s="3" t="s">
        <v>55</v>
      </c>
      <c r="B56" s="3" t="s">
        <v>56</v>
      </c>
      <c r="C56" s="3" t="s">
        <v>57</v>
      </c>
      <c r="D56" s="1" t="s">
        <v>20</v>
      </c>
      <c r="E56" s="1" t="s">
        <v>21</v>
      </c>
      <c r="F56" s="1" t="n">
        <v>19</v>
      </c>
      <c r="G56" s="2" t="s">
        <v>22</v>
      </c>
      <c r="H56" s="1" t="n">
        <v>0.1941</v>
      </c>
      <c r="I56" s="1" t="n">
        <v>0.322785728704776</v>
      </c>
      <c r="J56" s="1" t="n">
        <v>0.382466402449741</v>
      </c>
      <c r="K56" s="1" t="n">
        <f aca="false">J56-I56</f>
        <v>0.059680673744965</v>
      </c>
      <c r="L56" s="1" t="n">
        <v>0.807843832088534</v>
      </c>
    </row>
    <row r="57" customFormat="false" ht="15" hidden="false" customHeight="false" outlineLevel="0" collapsed="false">
      <c r="A57" s="3" t="s">
        <v>55</v>
      </c>
      <c r="B57" s="3" t="s">
        <v>56</v>
      </c>
      <c r="C57" s="3" t="s">
        <v>57</v>
      </c>
      <c r="D57" s="1" t="s">
        <v>20</v>
      </c>
      <c r="E57" s="1" t="s">
        <v>21</v>
      </c>
      <c r="F57" s="1" t="n">
        <v>19</v>
      </c>
      <c r="G57" s="2" t="s">
        <v>24</v>
      </c>
      <c r="H57" s="1" t="n">
        <v>0.1864</v>
      </c>
      <c r="I57" s="1" t="n">
        <v>0.310083444274094</v>
      </c>
      <c r="J57" s="1" t="n">
        <v>0.367615291691545</v>
      </c>
      <c r="K57" s="1" t="n">
        <f aca="false">J57-I57</f>
        <v>0.057531847417451</v>
      </c>
      <c r="L57" s="1" t="n">
        <v>0.807843832088534</v>
      </c>
    </row>
    <row r="58" customFormat="false" ht="15" hidden="false" customHeight="false" outlineLevel="0" collapsed="false">
      <c r="A58" s="3" t="s">
        <v>55</v>
      </c>
      <c r="B58" s="3" t="s">
        <v>56</v>
      </c>
      <c r="C58" s="3" t="s">
        <v>57</v>
      </c>
      <c r="D58" s="1" t="s">
        <v>20</v>
      </c>
      <c r="E58" s="1" t="s">
        <v>21</v>
      </c>
      <c r="F58" s="1" t="n">
        <v>19</v>
      </c>
      <c r="G58" s="2" t="s">
        <v>26</v>
      </c>
      <c r="H58" s="1" t="n">
        <v>0.1594</v>
      </c>
      <c r="I58" s="1" t="n">
        <v>0.265107829543247</v>
      </c>
      <c r="J58" s="1" t="n">
        <v>0.32183272311986</v>
      </c>
      <c r="K58" s="1" t="n">
        <f aca="false">J58-I58</f>
        <v>0.056724893576613</v>
      </c>
      <c r="L58" s="1" t="n">
        <v>0.807843832088534</v>
      </c>
    </row>
    <row r="59" customFormat="false" ht="15" hidden="false" customHeight="false" outlineLevel="0" collapsed="false">
      <c r="A59" s="3" t="s">
        <v>55</v>
      </c>
      <c r="B59" s="3" t="s">
        <v>56</v>
      </c>
      <c r="C59" s="3" t="s">
        <v>57</v>
      </c>
      <c r="D59" s="1" t="s">
        <v>20</v>
      </c>
      <c r="E59" s="1" t="s">
        <v>21</v>
      </c>
      <c r="F59" s="1" t="n">
        <v>19</v>
      </c>
      <c r="G59" s="2" t="s">
        <v>25</v>
      </c>
      <c r="H59" s="1" t="n">
        <v>0.1585</v>
      </c>
      <c r="I59" s="1" t="n">
        <v>0.263704352986965</v>
      </c>
      <c r="J59" s="1" t="n">
        <v>0.350254680787006</v>
      </c>
      <c r="K59" s="1" t="n">
        <f aca="false">J59-I59</f>
        <v>0.086550327800041</v>
      </c>
      <c r="L59" s="1" t="n">
        <v>0.807843832088534</v>
      </c>
    </row>
    <row r="60" customFormat="false" ht="15" hidden="false" customHeight="false" outlineLevel="0" collapsed="false">
      <c r="A60" s="3" t="s">
        <v>55</v>
      </c>
      <c r="B60" s="3" t="s">
        <v>56</v>
      </c>
      <c r="C60" s="3" t="s">
        <v>57</v>
      </c>
      <c r="D60" s="1" t="s">
        <v>20</v>
      </c>
      <c r="E60" s="1" t="s">
        <v>21</v>
      </c>
      <c r="F60" s="1" t="n">
        <v>19</v>
      </c>
      <c r="G60" s="2" t="s">
        <v>27</v>
      </c>
      <c r="H60" s="1" t="n">
        <v>0.1</v>
      </c>
      <c r="I60" s="1" t="n">
        <v>0.191920501332663</v>
      </c>
      <c r="J60" s="1" t="n">
        <v>0.258581006031588</v>
      </c>
      <c r="K60" s="1" t="n">
        <f aca="false">J60-I60</f>
        <v>0.066660504698925</v>
      </c>
      <c r="L60" s="1" t="n">
        <v>0.807843832088534</v>
      </c>
    </row>
    <row r="61" customFormat="false" ht="15" hidden="false" customHeight="false" outlineLevel="0" collapsed="false">
      <c r="A61" s="3" t="s">
        <v>58</v>
      </c>
      <c r="B61" s="3" t="s">
        <v>59</v>
      </c>
      <c r="C61" s="3" t="s">
        <v>60</v>
      </c>
      <c r="D61" s="1" t="s">
        <v>20</v>
      </c>
      <c r="E61" s="1" t="s">
        <v>21</v>
      </c>
      <c r="F61" s="1" t="n">
        <v>21</v>
      </c>
      <c r="G61" s="2" t="s">
        <v>23</v>
      </c>
      <c r="H61" s="1" t="n">
        <v>0.1996</v>
      </c>
      <c r="I61" s="1" t="n">
        <v>0.263376199734838</v>
      </c>
      <c r="J61" s="1" t="n">
        <v>0.384045113697115</v>
      </c>
      <c r="K61" s="1" t="n">
        <f aca="false">J61-I61</f>
        <v>0.120668913962277</v>
      </c>
      <c r="L61" s="1" t="n">
        <v>0.778100841853998</v>
      </c>
      <c r="N61" s="3" t="n">
        <f aca="false">AVERAGE(K61:K66)</f>
        <v>0.10713841837133</v>
      </c>
    </row>
    <row r="62" customFormat="false" ht="15" hidden="false" customHeight="false" outlineLevel="0" collapsed="false">
      <c r="A62" s="3" t="s">
        <v>58</v>
      </c>
      <c r="B62" s="3" t="s">
        <v>59</v>
      </c>
      <c r="C62" s="3" t="s">
        <v>60</v>
      </c>
      <c r="D62" s="1" t="s">
        <v>20</v>
      </c>
      <c r="E62" s="1" t="s">
        <v>21</v>
      </c>
      <c r="F62" s="1" t="n">
        <v>21</v>
      </c>
      <c r="G62" s="2" t="s">
        <v>24</v>
      </c>
      <c r="H62" s="1" t="n">
        <v>0.1852</v>
      </c>
      <c r="I62" s="1" t="n">
        <v>0.24437402769893</v>
      </c>
      <c r="J62" s="1" t="n">
        <v>0.35277471690954</v>
      </c>
      <c r="K62" s="1" t="n">
        <f aca="false">J62-I62</f>
        <v>0.10840068921061</v>
      </c>
      <c r="L62" s="1" t="n">
        <v>0.778100841853998</v>
      </c>
    </row>
    <row r="63" customFormat="false" ht="15" hidden="false" customHeight="false" outlineLevel="0" collapsed="false">
      <c r="A63" s="3" t="s">
        <v>58</v>
      </c>
      <c r="B63" s="3" t="s">
        <v>59</v>
      </c>
      <c r="C63" s="3" t="s">
        <v>60</v>
      </c>
      <c r="D63" s="1" t="s">
        <v>20</v>
      </c>
      <c r="E63" s="1" t="s">
        <v>21</v>
      </c>
      <c r="F63" s="1" t="n">
        <v>21</v>
      </c>
      <c r="G63" s="2" t="s">
        <v>22</v>
      </c>
      <c r="H63" s="1" t="n">
        <v>0.176</v>
      </c>
      <c r="I63" s="1" t="n">
        <v>0.232273164024963</v>
      </c>
      <c r="J63" s="1" t="n">
        <v>0.368878313265054</v>
      </c>
      <c r="K63" s="1" t="n">
        <f aca="false">J63-I63</f>
        <v>0.136605149240091</v>
      </c>
      <c r="L63" s="1" t="n">
        <v>0.778100841853998</v>
      </c>
    </row>
    <row r="64" customFormat="false" ht="15" hidden="false" customHeight="false" outlineLevel="0" collapsed="false">
      <c r="A64" s="3" t="s">
        <v>58</v>
      </c>
      <c r="B64" s="3" t="s">
        <v>59</v>
      </c>
      <c r="C64" s="3" t="s">
        <v>60</v>
      </c>
      <c r="D64" s="1" t="s">
        <v>20</v>
      </c>
      <c r="E64" s="1" t="s">
        <v>21</v>
      </c>
      <c r="F64" s="1" t="n">
        <v>21</v>
      </c>
      <c r="G64" s="2" t="s">
        <v>25</v>
      </c>
      <c r="H64" s="1" t="n">
        <v>0.171</v>
      </c>
      <c r="I64" s="1" t="n">
        <v>0.225589205958775</v>
      </c>
      <c r="J64" s="1" t="n">
        <v>0.320921172619087</v>
      </c>
      <c r="K64" s="1" t="n">
        <f aca="false">J64-I64</f>
        <v>0.095331966660312</v>
      </c>
      <c r="L64" s="1" t="n">
        <v>0.778100841853998</v>
      </c>
    </row>
    <row r="65" customFormat="false" ht="15" hidden="false" customHeight="false" outlineLevel="0" collapsed="false">
      <c r="A65" s="3" t="s">
        <v>58</v>
      </c>
      <c r="B65" s="3" t="s">
        <v>59</v>
      </c>
      <c r="C65" s="3" t="s">
        <v>60</v>
      </c>
      <c r="D65" s="1" t="s">
        <v>20</v>
      </c>
      <c r="E65" s="1" t="s">
        <v>21</v>
      </c>
      <c r="F65" s="1" t="n">
        <v>21</v>
      </c>
      <c r="G65" s="2" t="s">
        <v>39</v>
      </c>
      <c r="H65" s="1" t="n">
        <v>0.1682</v>
      </c>
      <c r="I65" s="1" t="n">
        <v>0.221979643597427</v>
      </c>
      <c r="J65" s="1" t="n">
        <v>0.289592874219681</v>
      </c>
      <c r="K65" s="1" t="n">
        <f aca="false">J65-I65</f>
        <v>0.067613230622254</v>
      </c>
      <c r="L65" s="1" t="n">
        <v>0.778100841853998</v>
      </c>
    </row>
    <row r="66" customFormat="false" ht="15" hidden="false" customHeight="false" outlineLevel="0" collapsed="false">
      <c r="A66" s="3" t="s">
        <v>58</v>
      </c>
      <c r="B66" s="3" t="s">
        <v>59</v>
      </c>
      <c r="C66" s="3" t="s">
        <v>60</v>
      </c>
      <c r="D66" s="1" t="s">
        <v>20</v>
      </c>
      <c r="E66" s="1" t="s">
        <v>21</v>
      </c>
      <c r="F66" s="1" t="n">
        <v>21</v>
      </c>
      <c r="G66" s="2" t="s">
        <v>27</v>
      </c>
      <c r="H66" s="1" t="n">
        <v>0.1</v>
      </c>
      <c r="I66" s="1" t="n">
        <v>0.124708225549517</v>
      </c>
      <c r="J66" s="1" t="n">
        <v>0.238918786081952</v>
      </c>
      <c r="K66" s="1" t="n">
        <f aca="false">J66-I66</f>
        <v>0.114210560532435</v>
      </c>
      <c r="L66" s="1" t="n">
        <v>0.778100841853998</v>
      </c>
    </row>
    <row r="67" customFormat="false" ht="15" hidden="false" customHeight="false" outlineLevel="0" collapsed="false">
      <c r="A67" s="3" t="s">
        <v>61</v>
      </c>
      <c r="B67" s="3" t="s">
        <v>62</v>
      </c>
      <c r="C67" s="3" t="s">
        <v>63</v>
      </c>
      <c r="D67" s="1" t="s">
        <v>20</v>
      </c>
      <c r="E67" s="1" t="s">
        <v>21</v>
      </c>
      <c r="F67" s="1" t="n">
        <v>23</v>
      </c>
      <c r="G67" s="2" t="s">
        <v>23</v>
      </c>
      <c r="H67" s="1" t="n">
        <v>0.2474</v>
      </c>
      <c r="I67" s="1" t="n">
        <v>0.253976629158017</v>
      </c>
      <c r="J67" s="1" t="n">
        <v>0.336716557846923</v>
      </c>
      <c r="K67" s="1" t="n">
        <f aca="false">J67-I67</f>
        <v>0.082739928688906</v>
      </c>
      <c r="L67" s="1" t="n">
        <v>0.762452458306693</v>
      </c>
      <c r="N67" s="3" t="n">
        <f aca="false">AVERAGE(K67:K71)</f>
        <v>0.115867513655038</v>
      </c>
    </row>
    <row r="68" customFormat="false" ht="15" hidden="false" customHeight="false" outlineLevel="0" collapsed="false">
      <c r="A68" s="3" t="s">
        <v>61</v>
      </c>
      <c r="B68" s="3" t="s">
        <v>62</v>
      </c>
      <c r="C68" s="3" t="s">
        <v>63</v>
      </c>
      <c r="D68" s="1" t="s">
        <v>20</v>
      </c>
      <c r="E68" s="1" t="s">
        <v>21</v>
      </c>
      <c r="F68" s="1" t="n">
        <v>23</v>
      </c>
      <c r="G68" s="2" t="s">
        <v>22</v>
      </c>
      <c r="H68" s="1" t="n">
        <v>0.2317</v>
      </c>
      <c r="I68" s="1" t="n">
        <v>0.237937895502612</v>
      </c>
      <c r="J68" s="1" t="n">
        <v>0.374251315634418</v>
      </c>
      <c r="K68" s="1" t="n">
        <f aca="false">J68-I68</f>
        <v>0.136313420131806</v>
      </c>
      <c r="L68" s="1" t="n">
        <v>0.762452458306693</v>
      </c>
    </row>
    <row r="69" customFormat="false" ht="15" hidden="false" customHeight="false" outlineLevel="0" collapsed="false">
      <c r="A69" s="3" t="s">
        <v>61</v>
      </c>
      <c r="B69" s="3" t="s">
        <v>62</v>
      </c>
      <c r="C69" s="3" t="s">
        <v>63</v>
      </c>
      <c r="D69" s="1" t="s">
        <v>20</v>
      </c>
      <c r="E69" s="1" t="s">
        <v>21</v>
      </c>
      <c r="F69" s="1" t="n">
        <v>23</v>
      </c>
      <c r="G69" s="2" t="s">
        <v>25</v>
      </c>
      <c r="H69" s="1" t="n">
        <v>0.2172</v>
      </c>
      <c r="I69" s="1" t="n">
        <v>0.222964533965891</v>
      </c>
      <c r="J69" s="1" t="n">
        <v>0.349731849330498</v>
      </c>
      <c r="K69" s="1" t="n">
        <f aca="false">J69-I69</f>
        <v>0.126767315364607</v>
      </c>
      <c r="L69" s="1" t="n">
        <v>0.762452458306693</v>
      </c>
    </row>
    <row r="70" customFormat="false" ht="15" hidden="false" customHeight="false" outlineLevel="0" collapsed="false">
      <c r="A70" s="3" t="s">
        <v>61</v>
      </c>
      <c r="B70" s="3" t="s">
        <v>62</v>
      </c>
      <c r="C70" s="3" t="s">
        <v>63</v>
      </c>
      <c r="D70" s="1" t="s">
        <v>20</v>
      </c>
      <c r="E70" s="1" t="s">
        <v>21</v>
      </c>
      <c r="F70" s="1" t="n">
        <v>23</v>
      </c>
      <c r="G70" s="2" t="s">
        <v>24</v>
      </c>
      <c r="H70" s="1" t="n">
        <v>0.2037</v>
      </c>
      <c r="I70" s="1" t="n">
        <v>0.209162296347838</v>
      </c>
      <c r="J70" s="1" t="n">
        <v>0.328335631197399</v>
      </c>
      <c r="K70" s="1" t="n">
        <f aca="false">J70-I70</f>
        <v>0.119173334849561</v>
      </c>
      <c r="L70" s="1" t="n">
        <v>0.762452458306693</v>
      </c>
    </row>
    <row r="71" customFormat="false" ht="15" hidden="false" customHeight="false" outlineLevel="0" collapsed="false">
      <c r="A71" s="3" t="s">
        <v>61</v>
      </c>
      <c r="B71" s="3" t="s">
        <v>62</v>
      </c>
      <c r="C71" s="3" t="s">
        <v>63</v>
      </c>
      <c r="D71" s="1" t="s">
        <v>20</v>
      </c>
      <c r="E71" s="1" t="s">
        <v>21</v>
      </c>
      <c r="F71" s="1" t="n">
        <v>23</v>
      </c>
      <c r="G71" s="2" t="s">
        <v>27</v>
      </c>
      <c r="H71" s="1" t="n">
        <v>0.1</v>
      </c>
      <c r="I71" s="1" t="n">
        <v>0.110124832242495</v>
      </c>
      <c r="J71" s="1" t="n">
        <v>0.224468401482807</v>
      </c>
      <c r="K71" s="1" t="n">
        <f aca="false">J71-I71</f>
        <v>0.114343569240312</v>
      </c>
      <c r="L71" s="1" t="n">
        <v>0.762452458306693</v>
      </c>
    </row>
    <row r="72" customFormat="false" ht="15" hidden="false" customHeight="false" outlineLevel="0" collapsed="false">
      <c r="A72" s="3" t="s">
        <v>64</v>
      </c>
      <c r="B72" s="3" t="s">
        <v>65</v>
      </c>
      <c r="C72" s="3" t="s">
        <v>66</v>
      </c>
      <c r="D72" s="1" t="s">
        <v>20</v>
      </c>
      <c r="E72" s="1" t="s">
        <v>21</v>
      </c>
      <c r="F72" s="1" t="n">
        <v>25</v>
      </c>
      <c r="G72" s="2" t="s">
        <v>22</v>
      </c>
      <c r="H72" s="1" t="n">
        <v>0.3191</v>
      </c>
      <c r="I72" s="1" t="n">
        <v>0.253672929738681</v>
      </c>
      <c r="J72" s="1" t="n">
        <v>0.369599100480386</v>
      </c>
      <c r="K72" s="1" t="n">
        <f aca="false">J72-I72</f>
        <v>0.115926170741705</v>
      </c>
      <c r="L72" s="1" t="n">
        <v>0.720022272820606</v>
      </c>
      <c r="N72" s="3" t="n">
        <f aca="false">AVERAGE(K72:K75)</f>
        <v>0.106836277399438</v>
      </c>
    </row>
    <row r="73" customFormat="false" ht="15" hidden="false" customHeight="false" outlineLevel="0" collapsed="false">
      <c r="A73" s="3" t="s">
        <v>64</v>
      </c>
      <c r="B73" s="3" t="s">
        <v>65</v>
      </c>
      <c r="C73" s="3" t="s">
        <v>66</v>
      </c>
      <c r="D73" s="1" t="s">
        <v>20</v>
      </c>
      <c r="E73" s="1" t="s">
        <v>21</v>
      </c>
      <c r="F73" s="1" t="n">
        <v>25</v>
      </c>
      <c r="G73" s="2" t="s">
        <v>23</v>
      </c>
      <c r="H73" s="1" t="n">
        <v>0.2965</v>
      </c>
      <c r="I73" s="1" t="n">
        <v>0.23570694505953</v>
      </c>
      <c r="J73" s="1" t="n">
        <v>0.332013947416782</v>
      </c>
      <c r="K73" s="1" t="n">
        <f aca="false">J73-I73</f>
        <v>0.096307002357252</v>
      </c>
      <c r="L73" s="1" t="n">
        <v>0.720022272820606</v>
      </c>
    </row>
    <row r="74" customFormat="false" ht="15" hidden="false" customHeight="false" outlineLevel="0" collapsed="false">
      <c r="A74" s="3" t="s">
        <v>64</v>
      </c>
      <c r="B74" s="3" t="s">
        <v>65</v>
      </c>
      <c r="C74" s="3" t="s">
        <v>66</v>
      </c>
      <c r="D74" s="1" t="s">
        <v>20</v>
      </c>
      <c r="E74" s="1" t="s">
        <v>21</v>
      </c>
      <c r="F74" s="1" t="n">
        <v>25</v>
      </c>
      <c r="G74" s="2" t="s">
        <v>25</v>
      </c>
      <c r="H74" s="1" t="n">
        <v>0.2844</v>
      </c>
      <c r="I74" s="1" t="n">
        <v>0.226116674494814</v>
      </c>
      <c r="J74" s="1" t="n">
        <v>0.336147443815414</v>
      </c>
      <c r="K74" s="1" t="n">
        <f aca="false">J74-I74</f>
        <v>0.1100307693206</v>
      </c>
      <c r="L74" s="1" t="n">
        <v>0.720022272820606</v>
      </c>
    </row>
    <row r="75" customFormat="false" ht="15" hidden="false" customHeight="false" outlineLevel="0" collapsed="false">
      <c r="A75" s="3" t="s">
        <v>64</v>
      </c>
      <c r="B75" s="3" t="s">
        <v>65</v>
      </c>
      <c r="C75" s="3" t="s">
        <v>66</v>
      </c>
      <c r="D75" s="1" t="s">
        <v>20</v>
      </c>
      <c r="E75" s="1" t="s">
        <v>21</v>
      </c>
      <c r="F75" s="1" t="n">
        <v>25</v>
      </c>
      <c r="G75" s="2" t="s">
        <v>27</v>
      </c>
      <c r="H75" s="1" t="n">
        <v>0.1</v>
      </c>
      <c r="I75" s="1" t="n">
        <v>0.1218422988097</v>
      </c>
      <c r="J75" s="1" t="n">
        <v>0.226923465987896</v>
      </c>
      <c r="K75" s="1" t="n">
        <f aca="false">J75-I75</f>
        <v>0.105081167178196</v>
      </c>
      <c r="L75" s="1" t="n">
        <v>0.720022272820606</v>
      </c>
    </row>
    <row r="76" customFormat="false" ht="15" hidden="false" customHeight="false" outlineLevel="0" collapsed="false">
      <c r="A76" s="3" t="s">
        <v>67</v>
      </c>
      <c r="B76" s="3" t="s">
        <v>68</v>
      </c>
      <c r="C76" s="3" t="s">
        <v>69</v>
      </c>
      <c r="D76" s="1" t="s">
        <v>20</v>
      </c>
      <c r="E76" s="1" t="s">
        <v>21</v>
      </c>
      <c r="F76" s="1" t="n">
        <v>27</v>
      </c>
      <c r="G76" s="2" t="s">
        <v>22</v>
      </c>
      <c r="H76" s="1" t="n">
        <v>0.2111</v>
      </c>
      <c r="I76" s="1" t="n">
        <v>0.348558005171018</v>
      </c>
      <c r="J76" s="1" t="n">
        <v>0.426521309536027</v>
      </c>
      <c r="K76" s="1" t="n">
        <f aca="false">J76-I76</f>
        <v>0.077963304365009</v>
      </c>
      <c r="L76" s="1" t="n">
        <v>0.738694358646482</v>
      </c>
      <c r="N76" s="3" t="n">
        <f aca="false">AVERAGE(K76:K81)</f>
        <v>0.0773989407174832</v>
      </c>
    </row>
    <row r="77" customFormat="false" ht="15" hidden="false" customHeight="false" outlineLevel="0" collapsed="false">
      <c r="A77" s="3" t="s">
        <v>67</v>
      </c>
      <c r="B77" s="3" t="s">
        <v>68</v>
      </c>
      <c r="C77" s="3" t="s">
        <v>69</v>
      </c>
      <c r="D77" s="1" t="s">
        <v>20</v>
      </c>
      <c r="E77" s="1" t="s">
        <v>21</v>
      </c>
      <c r="F77" s="1" t="n">
        <v>27</v>
      </c>
      <c r="G77" s="2" t="s">
        <v>23</v>
      </c>
      <c r="H77" s="1" t="n">
        <v>0.196</v>
      </c>
      <c r="I77" s="1" t="n">
        <v>0.323567492818586</v>
      </c>
      <c r="J77" s="1" t="n">
        <v>0.377740139059979</v>
      </c>
      <c r="K77" s="1" t="n">
        <f aca="false">J77-I77</f>
        <v>0.054172646241393</v>
      </c>
      <c r="L77" s="1" t="n">
        <v>0.738694358646482</v>
      </c>
    </row>
    <row r="78" customFormat="false" ht="15" hidden="false" customHeight="false" outlineLevel="0" collapsed="false">
      <c r="A78" s="3" t="s">
        <v>67</v>
      </c>
      <c r="B78" s="3" t="s">
        <v>68</v>
      </c>
      <c r="C78" s="3" t="s">
        <v>69</v>
      </c>
      <c r="D78" s="1" t="s">
        <v>20</v>
      </c>
      <c r="E78" s="1" t="s">
        <v>21</v>
      </c>
      <c r="F78" s="1" t="n">
        <v>27</v>
      </c>
      <c r="G78" s="2" t="s">
        <v>24</v>
      </c>
      <c r="H78" s="1" t="n">
        <v>0.1686</v>
      </c>
      <c r="I78" s="1" t="n">
        <v>0.278393943412307</v>
      </c>
      <c r="J78" s="1" t="n">
        <v>0.408051663985742</v>
      </c>
      <c r="K78" s="1" t="n">
        <f aca="false">J78-I78</f>
        <v>0.129657720573435</v>
      </c>
      <c r="L78" s="1" t="n">
        <v>0.738694358646482</v>
      </c>
    </row>
    <row r="79" customFormat="false" ht="15" hidden="false" customHeight="false" outlineLevel="0" collapsed="false">
      <c r="A79" s="3" t="s">
        <v>67</v>
      </c>
      <c r="B79" s="3" t="s">
        <v>68</v>
      </c>
      <c r="C79" s="3" t="s">
        <v>69</v>
      </c>
      <c r="D79" s="1" t="s">
        <v>20</v>
      </c>
      <c r="E79" s="1" t="s">
        <v>21</v>
      </c>
      <c r="F79" s="1" t="n">
        <v>27</v>
      </c>
      <c r="G79" s="2" t="s">
        <v>26</v>
      </c>
      <c r="H79" s="1" t="n">
        <v>0.1634</v>
      </c>
      <c r="I79" s="1" t="n">
        <v>0.269756593070503</v>
      </c>
      <c r="J79" s="1" t="n">
        <v>0.341493475340142</v>
      </c>
      <c r="K79" s="1" t="n">
        <f aca="false">J79-I79</f>
        <v>0.071736882269639</v>
      </c>
      <c r="L79" s="1" t="n">
        <v>0.738694358646482</v>
      </c>
    </row>
    <row r="80" customFormat="false" ht="15" hidden="false" customHeight="false" outlineLevel="0" collapsed="false">
      <c r="A80" s="3" t="s">
        <v>67</v>
      </c>
      <c r="B80" s="3" t="s">
        <v>68</v>
      </c>
      <c r="C80" s="3" t="s">
        <v>69</v>
      </c>
      <c r="D80" s="1" t="s">
        <v>20</v>
      </c>
      <c r="E80" s="1" t="s">
        <v>21</v>
      </c>
      <c r="F80" s="1" t="n">
        <v>27</v>
      </c>
      <c r="G80" s="2" t="s">
        <v>25</v>
      </c>
      <c r="H80" s="1" t="n">
        <v>0.161</v>
      </c>
      <c r="I80" s="1" t="n">
        <v>0.265866063371401</v>
      </c>
      <c r="J80" s="1" t="n">
        <v>0.325562429942309</v>
      </c>
      <c r="K80" s="1" t="n">
        <f aca="false">J80-I80</f>
        <v>0.059696366570908</v>
      </c>
      <c r="L80" s="1" t="n">
        <v>0.738694358646482</v>
      </c>
    </row>
    <row r="81" customFormat="false" ht="15" hidden="false" customHeight="false" outlineLevel="0" collapsed="false">
      <c r="A81" s="3" t="s">
        <v>67</v>
      </c>
      <c r="B81" s="3" t="s">
        <v>68</v>
      </c>
      <c r="C81" s="3" t="s">
        <v>69</v>
      </c>
      <c r="D81" s="1" t="s">
        <v>20</v>
      </c>
      <c r="E81" s="1" t="s">
        <v>21</v>
      </c>
      <c r="F81" s="1" t="n">
        <v>27</v>
      </c>
      <c r="G81" s="2" t="s">
        <v>27</v>
      </c>
      <c r="H81" s="1" t="n">
        <v>0.1</v>
      </c>
      <c r="I81" s="1" t="n">
        <v>0.185388921411853</v>
      </c>
      <c r="J81" s="1" t="n">
        <v>0.256555645696368</v>
      </c>
      <c r="K81" s="1" t="n">
        <f aca="false">J81-I81</f>
        <v>0.071166724284515</v>
      </c>
      <c r="L81" s="1" t="n">
        <v>0.738694358646482</v>
      </c>
    </row>
    <row r="82" customFormat="false" ht="15" hidden="false" customHeight="false" outlineLevel="0" collapsed="false">
      <c r="A82" s="3" t="s">
        <v>70</v>
      </c>
      <c r="B82" s="3" t="s">
        <v>71</v>
      </c>
      <c r="C82" s="3" t="s">
        <v>72</v>
      </c>
      <c r="D82" s="1" t="s">
        <v>20</v>
      </c>
      <c r="E82" s="1" t="s">
        <v>21</v>
      </c>
      <c r="F82" s="1" t="n">
        <v>29</v>
      </c>
      <c r="G82" s="2" t="s">
        <v>22</v>
      </c>
      <c r="H82" s="1" t="n">
        <v>0.2028</v>
      </c>
      <c r="I82" s="1" t="n">
        <v>0.333274683205062</v>
      </c>
      <c r="J82" s="1" t="n">
        <v>0.383768240740879</v>
      </c>
      <c r="K82" s="1" t="n">
        <f aca="false">J82-I82</f>
        <v>0.050493557535817</v>
      </c>
      <c r="L82" s="1" t="n">
        <v>0.743421830265577</v>
      </c>
      <c r="N82" s="3" t="n">
        <f aca="false">AVERAGE(K82:K87)</f>
        <v>0.0229517815096924</v>
      </c>
    </row>
    <row r="83" customFormat="false" ht="15" hidden="false" customHeight="false" outlineLevel="0" collapsed="false">
      <c r="A83" s="3" t="s">
        <v>70</v>
      </c>
      <c r="B83" s="3" t="s">
        <v>71</v>
      </c>
      <c r="C83" s="3" t="s">
        <v>72</v>
      </c>
      <c r="D83" s="1" t="s">
        <v>20</v>
      </c>
      <c r="E83" s="1" t="s">
        <v>21</v>
      </c>
      <c r="F83" s="1" t="n">
        <v>29</v>
      </c>
      <c r="G83" s="2" t="s">
        <v>24</v>
      </c>
      <c r="H83" s="1" t="n">
        <v>0.1828</v>
      </c>
      <c r="I83" s="1" t="n">
        <v>0.300428324450932</v>
      </c>
      <c r="J83" s="1" t="n">
        <v>0.332714369589434</v>
      </c>
      <c r="K83" s="1" t="n">
        <f aca="false">J83-I83</f>
        <v>0.032286045138502</v>
      </c>
      <c r="L83" s="1" t="n">
        <v>0.743421830265577</v>
      </c>
    </row>
    <row r="84" customFormat="false" ht="15" hidden="false" customHeight="false" outlineLevel="0" collapsed="false">
      <c r="A84" s="3" t="s">
        <v>70</v>
      </c>
      <c r="B84" s="3" t="s">
        <v>71</v>
      </c>
      <c r="C84" s="3" t="s">
        <v>72</v>
      </c>
      <c r="D84" s="1" t="s">
        <v>20</v>
      </c>
      <c r="E84" s="1" t="s">
        <v>21</v>
      </c>
      <c r="F84" s="1" t="n">
        <v>29</v>
      </c>
      <c r="G84" s="2" t="s">
        <v>23</v>
      </c>
      <c r="H84" s="1" t="n">
        <v>0.1819</v>
      </c>
      <c r="I84" s="1" t="n">
        <v>0.298979319478857</v>
      </c>
      <c r="J84" s="1" t="n">
        <v>0.319222658666014</v>
      </c>
      <c r="K84" s="1" t="n">
        <f aca="false">J84-I84</f>
        <v>0.020243339187157</v>
      </c>
      <c r="L84" s="1" t="n">
        <v>0.743421830265577</v>
      </c>
    </row>
    <row r="85" customFormat="false" ht="15" hidden="false" customHeight="false" outlineLevel="0" collapsed="false">
      <c r="A85" s="3" t="s">
        <v>70</v>
      </c>
      <c r="B85" s="3" t="s">
        <v>71</v>
      </c>
      <c r="C85" s="3" t="s">
        <v>72</v>
      </c>
      <c r="D85" s="1" t="s">
        <v>20</v>
      </c>
      <c r="E85" s="1" t="s">
        <v>21</v>
      </c>
      <c r="F85" s="1" t="n">
        <v>29</v>
      </c>
      <c r="G85" s="2" t="s">
        <v>26</v>
      </c>
      <c r="H85" s="1" t="n">
        <v>0.17</v>
      </c>
      <c r="I85" s="1" t="n">
        <v>0.279360823942464</v>
      </c>
      <c r="J85" s="1" t="n">
        <v>0.291514493043256</v>
      </c>
      <c r="K85" s="1" t="n">
        <f aca="false">J85-I85</f>
        <v>0.012153669100792</v>
      </c>
      <c r="L85" s="1" t="n">
        <v>0.743421830265577</v>
      </c>
    </row>
    <row r="86" customFormat="false" ht="15" hidden="false" customHeight="false" outlineLevel="0" collapsed="false">
      <c r="A86" s="3" t="s">
        <v>70</v>
      </c>
      <c r="B86" s="3" t="s">
        <v>71</v>
      </c>
      <c r="C86" s="3" t="s">
        <v>72</v>
      </c>
      <c r="D86" s="1" t="s">
        <v>20</v>
      </c>
      <c r="E86" s="1" t="s">
        <v>21</v>
      </c>
      <c r="F86" s="1" t="n">
        <v>29</v>
      </c>
      <c r="G86" s="2" t="s">
        <v>31</v>
      </c>
      <c r="H86" s="1" t="n">
        <v>0.1624</v>
      </c>
      <c r="I86" s="1" t="n">
        <v>0.266885950357954</v>
      </c>
      <c r="J86" s="1" t="n">
        <v>0.263921826423509</v>
      </c>
      <c r="K86" s="1" t="n">
        <f aca="false">J86-I86</f>
        <v>-0.00296412393444501</v>
      </c>
      <c r="L86" s="1" t="n">
        <v>0.743421830265577</v>
      </c>
    </row>
    <row r="87" customFormat="false" ht="15" hidden="false" customHeight="false" outlineLevel="0" collapsed="false">
      <c r="A87" s="3" t="s">
        <v>70</v>
      </c>
      <c r="B87" s="3" t="s">
        <v>71</v>
      </c>
      <c r="C87" s="3" t="s">
        <v>72</v>
      </c>
      <c r="D87" s="1" t="s">
        <v>20</v>
      </c>
      <c r="E87" s="1" t="s">
        <v>21</v>
      </c>
      <c r="F87" s="1" t="n">
        <v>29</v>
      </c>
      <c r="G87" s="2" t="s">
        <v>27</v>
      </c>
      <c r="H87" s="1" t="n">
        <v>0.1</v>
      </c>
      <c r="I87" s="1" t="n">
        <v>0.174100969841712</v>
      </c>
      <c r="J87" s="1" t="n">
        <v>0.199599171872043</v>
      </c>
      <c r="K87" s="1" t="n">
        <f aca="false">J87-I87</f>
        <v>0.025498202030331</v>
      </c>
      <c r="L87" s="1" t="n">
        <v>0.743421830265577</v>
      </c>
    </row>
    <row r="88" customFormat="false" ht="15" hidden="false" customHeight="false" outlineLevel="0" collapsed="false">
      <c r="A88" s="3" t="s">
        <v>73</v>
      </c>
      <c r="B88" s="3" t="s">
        <v>74</v>
      </c>
      <c r="C88" s="3" t="s">
        <v>75</v>
      </c>
      <c r="D88" s="1" t="s">
        <v>20</v>
      </c>
      <c r="E88" s="1" t="s">
        <v>21</v>
      </c>
      <c r="F88" s="1" t="n">
        <v>31</v>
      </c>
      <c r="G88" s="2" t="s">
        <v>23</v>
      </c>
      <c r="H88" s="1" t="n">
        <v>0.3088</v>
      </c>
      <c r="I88" s="1" t="n">
        <v>0.23701023535918</v>
      </c>
      <c r="J88" s="1" t="n">
        <v>0.368558330513304</v>
      </c>
      <c r="K88" s="1" t="n">
        <f aca="false">J88-I88</f>
        <v>0.131548095154124</v>
      </c>
      <c r="L88" s="1" t="n">
        <v>0.763479689807917</v>
      </c>
      <c r="N88" s="3" t="n">
        <f aca="false">AVERAGE(K88:K91)</f>
        <v>0.11429276991713</v>
      </c>
    </row>
    <row r="89" customFormat="false" ht="15" hidden="false" customHeight="false" outlineLevel="0" collapsed="false">
      <c r="A89" s="3" t="s">
        <v>73</v>
      </c>
      <c r="B89" s="3" t="s">
        <v>74</v>
      </c>
      <c r="C89" s="3" t="s">
        <v>75</v>
      </c>
      <c r="D89" s="1" t="s">
        <v>20</v>
      </c>
      <c r="E89" s="1" t="s">
        <v>21</v>
      </c>
      <c r="F89" s="1" t="n">
        <v>31</v>
      </c>
      <c r="G89" s="2" t="s">
        <v>24</v>
      </c>
      <c r="H89" s="1" t="n">
        <v>0.2969</v>
      </c>
      <c r="I89" s="1" t="n">
        <v>0.227861516036182</v>
      </c>
      <c r="J89" s="1" t="n">
        <v>0.333254195912353</v>
      </c>
      <c r="K89" s="1" t="n">
        <f aca="false">J89-I89</f>
        <v>0.105392679876171</v>
      </c>
      <c r="L89" s="1" t="n">
        <v>0.763479689807917</v>
      </c>
    </row>
    <row r="90" customFormat="false" ht="15" hidden="false" customHeight="false" outlineLevel="0" collapsed="false">
      <c r="A90" s="3" t="s">
        <v>73</v>
      </c>
      <c r="B90" s="3" t="s">
        <v>74</v>
      </c>
      <c r="C90" s="3" t="s">
        <v>75</v>
      </c>
      <c r="D90" s="1" t="s">
        <v>20</v>
      </c>
      <c r="E90" s="1" t="s">
        <v>21</v>
      </c>
      <c r="F90" s="1" t="n">
        <v>31</v>
      </c>
      <c r="G90" s="2" t="s">
        <v>22</v>
      </c>
      <c r="H90" s="1" t="n">
        <v>0.2944</v>
      </c>
      <c r="I90" s="1" t="n">
        <v>0.225937422365432</v>
      </c>
      <c r="J90" s="1" t="n">
        <v>0.342549985281143</v>
      </c>
      <c r="K90" s="1" t="n">
        <f aca="false">J90-I90</f>
        <v>0.116612562915711</v>
      </c>
      <c r="L90" s="1" t="n">
        <v>0.763479689807917</v>
      </c>
    </row>
    <row r="91" customFormat="false" ht="15" hidden="false" customHeight="false" outlineLevel="0" collapsed="false">
      <c r="A91" s="3" t="s">
        <v>73</v>
      </c>
      <c r="B91" s="3" t="s">
        <v>74</v>
      </c>
      <c r="C91" s="3" t="s">
        <v>75</v>
      </c>
      <c r="D91" s="1" t="s">
        <v>20</v>
      </c>
      <c r="E91" s="1" t="s">
        <v>21</v>
      </c>
      <c r="F91" s="1" t="n">
        <v>31</v>
      </c>
      <c r="G91" s="2" t="s">
        <v>27</v>
      </c>
      <c r="H91" s="1" t="n">
        <v>0.1</v>
      </c>
      <c r="I91" s="1" t="n">
        <v>0.121182323996407</v>
      </c>
      <c r="J91" s="1" t="n">
        <v>0.22480006571892</v>
      </c>
      <c r="K91" s="1" t="n">
        <f aca="false">J91-I91</f>
        <v>0.103617741722513</v>
      </c>
      <c r="L91" s="1" t="n">
        <v>0.763479689807917</v>
      </c>
    </row>
    <row r="92" customFormat="false" ht="15" hidden="false" customHeight="false" outlineLevel="0" collapsed="false">
      <c r="A92" s="3" t="s">
        <v>76</v>
      </c>
      <c r="B92" s="3" t="s">
        <v>77</v>
      </c>
      <c r="C92" s="3" t="s">
        <v>78</v>
      </c>
      <c r="D92" s="1" t="s">
        <v>20</v>
      </c>
      <c r="E92" s="1" t="s">
        <v>21</v>
      </c>
      <c r="F92" s="1" t="n">
        <v>33</v>
      </c>
      <c r="G92" s="2" t="s">
        <v>23</v>
      </c>
      <c r="H92" s="1" t="n">
        <v>0.2515</v>
      </c>
      <c r="I92" s="1" t="n">
        <v>0.267120498284986</v>
      </c>
      <c r="J92" s="1" t="n">
        <v>0.351796135602684</v>
      </c>
      <c r="K92" s="1" t="n">
        <f aca="false">J92-I92</f>
        <v>0.084675637317698</v>
      </c>
      <c r="L92" s="1" t="n">
        <v>0.744667994911406</v>
      </c>
      <c r="N92" s="3" t="n">
        <f aca="false">AVERAGE(K92:K96)</f>
        <v>0.0918516750680698</v>
      </c>
    </row>
    <row r="93" customFormat="false" ht="15" hidden="false" customHeight="false" outlineLevel="0" collapsed="false">
      <c r="A93" s="3" t="s">
        <v>76</v>
      </c>
      <c r="B93" s="3" t="s">
        <v>77</v>
      </c>
      <c r="C93" s="3" t="s">
        <v>78</v>
      </c>
      <c r="D93" s="1" t="s">
        <v>20</v>
      </c>
      <c r="E93" s="1" t="s">
        <v>21</v>
      </c>
      <c r="F93" s="1" t="n">
        <v>33</v>
      </c>
      <c r="G93" s="2" t="s">
        <v>22</v>
      </c>
      <c r="H93" s="1" t="n">
        <v>0.2233</v>
      </c>
      <c r="I93" s="1" t="n">
        <v>0.237192857129845</v>
      </c>
      <c r="J93" s="1" t="n">
        <v>0.348685570873743</v>
      </c>
      <c r="K93" s="1" t="n">
        <f aca="false">J93-I93</f>
        <v>0.111492713743898</v>
      </c>
      <c r="L93" s="1" t="n">
        <v>0.744667994911406</v>
      </c>
    </row>
    <row r="94" customFormat="false" ht="15" hidden="false" customHeight="false" outlineLevel="0" collapsed="false">
      <c r="A94" s="3" t="s">
        <v>76</v>
      </c>
      <c r="B94" s="3" t="s">
        <v>77</v>
      </c>
      <c r="C94" s="3" t="s">
        <v>78</v>
      </c>
      <c r="D94" s="1" t="s">
        <v>20</v>
      </c>
      <c r="E94" s="1" t="s">
        <v>21</v>
      </c>
      <c r="F94" s="1" t="n">
        <v>33</v>
      </c>
      <c r="G94" s="2" t="s">
        <v>24</v>
      </c>
      <c r="H94" s="1" t="n">
        <v>0.2167</v>
      </c>
      <c r="I94" s="1" t="n">
        <v>0.230099023191533</v>
      </c>
      <c r="J94" s="1" t="n">
        <v>0.333760577992197</v>
      </c>
      <c r="K94" s="1" t="n">
        <f aca="false">J94-I94</f>
        <v>0.103661554800664</v>
      </c>
      <c r="L94" s="1" t="n">
        <v>0.744667994911406</v>
      </c>
    </row>
    <row r="95" customFormat="false" ht="15" hidden="false" customHeight="false" outlineLevel="0" collapsed="false">
      <c r="A95" s="3" t="s">
        <v>76</v>
      </c>
      <c r="B95" s="3" t="s">
        <v>77</v>
      </c>
      <c r="C95" s="3" t="s">
        <v>78</v>
      </c>
      <c r="D95" s="1" t="s">
        <v>20</v>
      </c>
      <c r="E95" s="1" t="s">
        <v>21</v>
      </c>
      <c r="F95" s="1" t="n">
        <v>33</v>
      </c>
      <c r="G95" s="2" t="s">
        <v>25</v>
      </c>
      <c r="H95" s="1" t="n">
        <v>0.2085</v>
      </c>
      <c r="I95" s="1" t="n">
        <v>0.221435630568269</v>
      </c>
      <c r="J95" s="1" t="n">
        <v>0.308808387580441</v>
      </c>
      <c r="K95" s="1" t="n">
        <f aca="false">J95-I95</f>
        <v>0.087372757012172</v>
      </c>
      <c r="L95" s="1" t="n">
        <v>0.744667994911406</v>
      </c>
    </row>
    <row r="96" customFormat="false" ht="15" hidden="false" customHeight="false" outlineLevel="0" collapsed="false">
      <c r="A96" s="3" t="s">
        <v>76</v>
      </c>
      <c r="B96" s="3" t="s">
        <v>77</v>
      </c>
      <c r="C96" s="3" t="s">
        <v>78</v>
      </c>
      <c r="D96" s="1" t="s">
        <v>20</v>
      </c>
      <c r="E96" s="1" t="s">
        <v>21</v>
      </c>
      <c r="F96" s="1" t="n">
        <v>33</v>
      </c>
      <c r="G96" s="2" t="s">
        <v>27</v>
      </c>
      <c r="H96" s="1" t="n">
        <v>0.1</v>
      </c>
      <c r="I96" s="1" t="n">
        <v>0.128249743603708</v>
      </c>
      <c r="J96" s="1" t="n">
        <v>0.200305456069625</v>
      </c>
      <c r="K96" s="1" t="n">
        <f aca="false">J96-I96</f>
        <v>0.072055712465917</v>
      </c>
      <c r="L96" s="1" t="n">
        <v>0.744667994911406</v>
      </c>
    </row>
    <row r="97" customFormat="false" ht="15" hidden="false" customHeight="false" outlineLevel="0" collapsed="false">
      <c r="A97" s="3" t="s">
        <v>79</v>
      </c>
      <c r="B97" s="3" t="s">
        <v>80</v>
      </c>
      <c r="C97" s="3" t="s">
        <v>81</v>
      </c>
      <c r="D97" s="1" t="s">
        <v>20</v>
      </c>
      <c r="E97" s="1" t="s">
        <v>21</v>
      </c>
      <c r="F97" s="1" t="n">
        <v>35</v>
      </c>
      <c r="G97" s="2" t="s">
        <v>23</v>
      </c>
      <c r="H97" s="1" t="n">
        <v>0.1973</v>
      </c>
      <c r="I97" s="1" t="n">
        <v>0.334768025925705</v>
      </c>
      <c r="J97" s="1" t="n">
        <v>0.424908061815009</v>
      </c>
      <c r="K97" s="1" t="n">
        <f aca="false">J97-I97</f>
        <v>0.090140035889304</v>
      </c>
      <c r="L97" s="1" t="n">
        <v>0.695089950294851</v>
      </c>
      <c r="N97" s="3" t="n">
        <f aca="false">AVERAGE(K97:K102)</f>
        <v>0.0930672059363067</v>
      </c>
    </row>
    <row r="98" customFormat="false" ht="15" hidden="false" customHeight="false" outlineLevel="0" collapsed="false">
      <c r="A98" s="3" t="s">
        <v>79</v>
      </c>
      <c r="B98" s="3" t="s">
        <v>80</v>
      </c>
      <c r="C98" s="3" t="s">
        <v>81</v>
      </c>
      <c r="D98" s="1" t="s">
        <v>20</v>
      </c>
      <c r="E98" s="1" t="s">
        <v>21</v>
      </c>
      <c r="F98" s="1" t="n">
        <v>35</v>
      </c>
      <c r="G98" s="2" t="s">
        <v>22</v>
      </c>
      <c r="H98" s="1" t="n">
        <v>0.197</v>
      </c>
      <c r="I98" s="1" t="n">
        <v>0.334161423722045</v>
      </c>
      <c r="J98" s="1" t="n">
        <v>0.433158889809136</v>
      </c>
      <c r="K98" s="1" t="n">
        <f aca="false">J98-I98</f>
        <v>0.098997466087091</v>
      </c>
      <c r="L98" s="1" t="n">
        <v>0.695089950294851</v>
      </c>
    </row>
    <row r="99" customFormat="false" ht="15" hidden="false" customHeight="false" outlineLevel="0" collapsed="false">
      <c r="A99" s="3" t="s">
        <v>79</v>
      </c>
      <c r="B99" s="3" t="s">
        <v>80</v>
      </c>
      <c r="C99" s="3" t="s">
        <v>81</v>
      </c>
      <c r="D99" s="1" t="s">
        <v>20</v>
      </c>
      <c r="E99" s="1" t="s">
        <v>21</v>
      </c>
      <c r="F99" s="1" t="n">
        <v>35</v>
      </c>
      <c r="G99" s="2" t="s">
        <v>24</v>
      </c>
      <c r="H99" s="1" t="n">
        <v>0.1796</v>
      </c>
      <c r="I99" s="1" t="n">
        <v>0.304610204900166</v>
      </c>
      <c r="J99" s="1" t="n">
        <v>0.379584676970455</v>
      </c>
      <c r="K99" s="1" t="n">
        <f aca="false">J99-I99</f>
        <v>0.074974472070289</v>
      </c>
      <c r="L99" s="1" t="n">
        <v>0.695089950294851</v>
      </c>
    </row>
    <row r="100" customFormat="false" ht="15" hidden="false" customHeight="false" outlineLevel="0" collapsed="false">
      <c r="A100" s="3" t="s">
        <v>79</v>
      </c>
      <c r="B100" s="3" t="s">
        <v>80</v>
      </c>
      <c r="C100" s="3" t="s">
        <v>81</v>
      </c>
      <c r="D100" s="1" t="s">
        <v>20</v>
      </c>
      <c r="E100" s="1" t="s">
        <v>21</v>
      </c>
      <c r="F100" s="1" t="n">
        <v>35</v>
      </c>
      <c r="G100" s="2" t="s">
        <v>25</v>
      </c>
      <c r="H100" s="1" t="n">
        <v>0.1638</v>
      </c>
      <c r="I100" s="1" t="n">
        <v>0.277858318756612</v>
      </c>
      <c r="J100" s="1" t="n">
        <v>0.379525083640364</v>
      </c>
      <c r="K100" s="1" t="n">
        <f aca="false">J100-I100</f>
        <v>0.101666764883752</v>
      </c>
      <c r="L100" s="1" t="n">
        <v>0.695089950294851</v>
      </c>
    </row>
    <row r="101" customFormat="false" ht="15" hidden="false" customHeight="false" outlineLevel="0" collapsed="false">
      <c r="A101" s="3" t="s">
        <v>79</v>
      </c>
      <c r="B101" s="3" t="s">
        <v>80</v>
      </c>
      <c r="C101" s="3" t="s">
        <v>81</v>
      </c>
      <c r="D101" s="1" t="s">
        <v>20</v>
      </c>
      <c r="E101" s="1" t="s">
        <v>21</v>
      </c>
      <c r="F101" s="1" t="n">
        <v>35</v>
      </c>
      <c r="G101" s="2" t="s">
        <v>26</v>
      </c>
      <c r="H101" s="1" t="n">
        <v>0.1623</v>
      </c>
      <c r="I101" s="1" t="n">
        <v>0.275303695853062</v>
      </c>
      <c r="J101" s="1" t="n">
        <v>0.354192597558718</v>
      </c>
      <c r="K101" s="1" t="n">
        <f aca="false">J101-I101</f>
        <v>0.078888901705656</v>
      </c>
      <c r="L101" s="1" t="n">
        <v>0.695089950294851</v>
      </c>
    </row>
    <row r="102" customFormat="false" ht="15" hidden="false" customHeight="false" outlineLevel="0" collapsed="false">
      <c r="A102" s="3" t="s">
        <v>79</v>
      </c>
      <c r="B102" s="3" t="s">
        <v>80</v>
      </c>
      <c r="C102" s="3" t="s">
        <v>81</v>
      </c>
      <c r="D102" s="1" t="s">
        <v>20</v>
      </c>
      <c r="E102" s="1" t="s">
        <v>21</v>
      </c>
      <c r="F102" s="1" t="n">
        <v>35</v>
      </c>
      <c r="G102" s="2" t="s">
        <v>27</v>
      </c>
      <c r="H102" s="1" t="n">
        <v>0.1</v>
      </c>
      <c r="I102" s="1" t="n">
        <v>0.191016554963146</v>
      </c>
      <c r="J102" s="1" t="n">
        <v>0.304752149944894</v>
      </c>
      <c r="K102" s="1" t="n">
        <f aca="false">J102-I102</f>
        <v>0.113735594981748</v>
      </c>
      <c r="L102" s="1" t="n">
        <v>0.695089950294851</v>
      </c>
    </row>
    <row r="103" customFormat="false" ht="15" hidden="false" customHeight="false" outlineLevel="0" collapsed="false">
      <c r="A103" s="3" t="s">
        <v>82</v>
      </c>
      <c r="B103" s="3" t="s">
        <v>83</v>
      </c>
      <c r="C103" s="3" t="s">
        <v>84</v>
      </c>
      <c r="D103" s="1" t="s">
        <v>20</v>
      </c>
      <c r="E103" s="1" t="s">
        <v>21</v>
      </c>
      <c r="F103" s="1" t="n">
        <v>37</v>
      </c>
      <c r="G103" s="2" t="s">
        <v>22</v>
      </c>
      <c r="H103" s="1" t="n">
        <v>0.1986</v>
      </c>
      <c r="I103" s="1" t="n">
        <v>0.372413641528986</v>
      </c>
      <c r="J103" s="1" t="n">
        <v>0.350126132262823</v>
      </c>
      <c r="K103" s="1" t="n">
        <f aca="false">J103-I103</f>
        <v>-0.022287509266163</v>
      </c>
      <c r="L103" s="1" t="n">
        <v>0.719748414663605</v>
      </c>
      <c r="N103" s="3" t="n">
        <f aca="false">AVERAGE(K103:K108)</f>
        <v>-0.0212116948115773</v>
      </c>
    </row>
    <row r="104" customFormat="false" ht="15" hidden="false" customHeight="false" outlineLevel="0" collapsed="false">
      <c r="A104" s="3" t="s">
        <v>82</v>
      </c>
      <c r="B104" s="3" t="s">
        <v>83</v>
      </c>
      <c r="C104" s="3" t="s">
        <v>84</v>
      </c>
      <c r="D104" s="1" t="s">
        <v>20</v>
      </c>
      <c r="E104" s="1" t="s">
        <v>21</v>
      </c>
      <c r="F104" s="1" t="n">
        <v>37</v>
      </c>
      <c r="G104" s="2" t="s">
        <v>23</v>
      </c>
      <c r="H104" s="1" t="n">
        <v>0.1871</v>
      </c>
      <c r="I104" s="1" t="n">
        <v>0.350886019790711</v>
      </c>
      <c r="J104" s="1" t="n">
        <v>0.330718636723176</v>
      </c>
      <c r="K104" s="1" t="n">
        <f aca="false">J104-I104</f>
        <v>-0.020167383067535</v>
      </c>
      <c r="L104" s="1" t="n">
        <v>0.719748414663605</v>
      </c>
    </row>
    <row r="105" customFormat="false" ht="15" hidden="false" customHeight="false" outlineLevel="0" collapsed="false">
      <c r="A105" s="3" t="s">
        <v>82</v>
      </c>
      <c r="B105" s="3" t="s">
        <v>83</v>
      </c>
      <c r="C105" s="3" t="s">
        <v>84</v>
      </c>
      <c r="D105" s="1" t="s">
        <v>20</v>
      </c>
      <c r="E105" s="1" t="s">
        <v>21</v>
      </c>
      <c r="F105" s="1" t="n">
        <v>37</v>
      </c>
      <c r="G105" s="2" t="s">
        <v>24</v>
      </c>
      <c r="H105" s="1" t="n">
        <v>0.1795</v>
      </c>
      <c r="I105" s="1" t="n">
        <v>0.336662964913395</v>
      </c>
      <c r="J105" s="1" t="n">
        <v>0.330932845339743</v>
      </c>
      <c r="K105" s="1" t="n">
        <f aca="false">J105-I105</f>
        <v>-0.00573011957365199</v>
      </c>
      <c r="L105" s="1" t="n">
        <v>0.719748414663605</v>
      </c>
    </row>
    <row r="106" customFormat="false" ht="15" hidden="false" customHeight="false" outlineLevel="0" collapsed="false">
      <c r="A106" s="3" t="s">
        <v>82</v>
      </c>
      <c r="B106" s="3" t="s">
        <v>83</v>
      </c>
      <c r="C106" s="3" t="s">
        <v>84</v>
      </c>
      <c r="D106" s="1" t="s">
        <v>20</v>
      </c>
      <c r="E106" s="1" t="s">
        <v>21</v>
      </c>
      <c r="F106" s="1" t="n">
        <v>37</v>
      </c>
      <c r="G106" s="2" t="s">
        <v>35</v>
      </c>
      <c r="H106" s="1" t="n">
        <v>0.1723</v>
      </c>
      <c r="I106" s="1" t="n">
        <v>0.323034883195795</v>
      </c>
      <c r="J106" s="1" t="n">
        <v>0.279570794121694</v>
      </c>
      <c r="K106" s="1" t="n">
        <f aca="false">J106-I106</f>
        <v>-0.043464089074101</v>
      </c>
      <c r="L106" s="1" t="n">
        <v>0.719748414663605</v>
      </c>
    </row>
    <row r="107" customFormat="false" ht="15" hidden="false" customHeight="false" outlineLevel="0" collapsed="false">
      <c r="A107" s="3" t="s">
        <v>82</v>
      </c>
      <c r="B107" s="3" t="s">
        <v>83</v>
      </c>
      <c r="C107" s="3" t="s">
        <v>84</v>
      </c>
      <c r="D107" s="1" t="s">
        <v>20</v>
      </c>
      <c r="E107" s="1" t="s">
        <v>21</v>
      </c>
      <c r="F107" s="1" t="n">
        <v>37</v>
      </c>
      <c r="G107" s="2" t="s">
        <v>25</v>
      </c>
      <c r="H107" s="1" t="n">
        <v>0.1625</v>
      </c>
      <c r="I107" s="1" t="n">
        <v>0.304797314910138</v>
      </c>
      <c r="J107" s="1" t="n">
        <v>0.295777001202911</v>
      </c>
      <c r="K107" s="1" t="n">
        <f aca="false">J107-I107</f>
        <v>-0.009020313707227</v>
      </c>
      <c r="L107" s="1" t="n">
        <v>0.719748414663605</v>
      </c>
    </row>
    <row r="108" customFormat="false" ht="15" hidden="false" customHeight="false" outlineLevel="0" collapsed="false">
      <c r="A108" s="3" t="s">
        <v>82</v>
      </c>
      <c r="B108" s="3" t="s">
        <v>83</v>
      </c>
      <c r="C108" s="3" t="s">
        <v>84</v>
      </c>
      <c r="D108" s="1" t="s">
        <v>20</v>
      </c>
      <c r="E108" s="1" t="s">
        <v>21</v>
      </c>
      <c r="F108" s="1" t="n">
        <v>37</v>
      </c>
      <c r="G108" s="2" t="s">
        <v>27</v>
      </c>
      <c r="H108" s="1" t="n">
        <v>0.1</v>
      </c>
      <c r="I108" s="1" t="n">
        <v>0.257039312910182</v>
      </c>
      <c r="J108" s="1" t="n">
        <v>0.230438558729396</v>
      </c>
      <c r="K108" s="1" t="n">
        <f aca="false">J108-I108</f>
        <v>-0.026600754180786</v>
      </c>
      <c r="L108" s="1" t="n">
        <v>0.719748414663605</v>
      </c>
    </row>
    <row r="109" customFormat="false" ht="15" hidden="false" customHeight="false" outlineLevel="0" collapsed="false">
      <c r="A109" s="3" t="s">
        <v>85</v>
      </c>
      <c r="B109" s="3" t="s">
        <v>86</v>
      </c>
      <c r="C109" s="3" t="s">
        <v>87</v>
      </c>
      <c r="D109" s="1" t="s">
        <v>20</v>
      </c>
      <c r="E109" s="1" t="s">
        <v>21</v>
      </c>
      <c r="F109" s="1" t="n">
        <v>39</v>
      </c>
      <c r="G109" s="2" t="s">
        <v>22</v>
      </c>
      <c r="H109" s="1" t="n">
        <v>0.1964</v>
      </c>
      <c r="I109" s="1" t="n">
        <v>0.287314716030224</v>
      </c>
      <c r="J109" s="1" t="n">
        <v>0.315510328471492</v>
      </c>
      <c r="K109" s="1" t="n">
        <f aca="false">J109-I109</f>
        <v>0.028195612441268</v>
      </c>
      <c r="L109" s="1" t="n">
        <v>0.850110132917837</v>
      </c>
      <c r="N109" s="3" t="n">
        <f aca="false">AVERAGE(K109:K114)</f>
        <v>0.0202837640899467</v>
      </c>
    </row>
    <row r="110" customFormat="false" ht="15" hidden="false" customHeight="false" outlineLevel="0" collapsed="false">
      <c r="A110" s="3" t="s">
        <v>85</v>
      </c>
      <c r="B110" s="3" t="s">
        <v>86</v>
      </c>
      <c r="C110" s="3" t="s">
        <v>87</v>
      </c>
      <c r="D110" s="1" t="s">
        <v>20</v>
      </c>
      <c r="E110" s="1" t="s">
        <v>21</v>
      </c>
      <c r="F110" s="1" t="n">
        <v>39</v>
      </c>
      <c r="G110" s="2" t="s">
        <v>23</v>
      </c>
      <c r="H110" s="1" t="n">
        <v>0.1917</v>
      </c>
      <c r="I110" s="1" t="n">
        <v>0.28046859506087</v>
      </c>
      <c r="J110" s="1" t="n">
        <v>0.303252800460371</v>
      </c>
      <c r="K110" s="1" t="n">
        <f aca="false">J110-I110</f>
        <v>0.022784205399501</v>
      </c>
      <c r="L110" s="1" t="n">
        <v>0.850110132917837</v>
      </c>
    </row>
    <row r="111" customFormat="false" ht="15" hidden="false" customHeight="false" outlineLevel="0" collapsed="false">
      <c r="A111" s="3" t="s">
        <v>85</v>
      </c>
      <c r="B111" s="3" t="s">
        <v>86</v>
      </c>
      <c r="C111" s="3" t="s">
        <v>87</v>
      </c>
      <c r="D111" s="1" t="s">
        <v>20</v>
      </c>
      <c r="E111" s="1" t="s">
        <v>21</v>
      </c>
      <c r="F111" s="1" t="n">
        <v>39</v>
      </c>
      <c r="G111" s="2" t="s">
        <v>24</v>
      </c>
      <c r="H111" s="1" t="n">
        <v>0.1886</v>
      </c>
      <c r="I111" s="1" t="n">
        <v>0.27592580949769</v>
      </c>
      <c r="J111" s="1" t="n">
        <v>0.286066481560264</v>
      </c>
      <c r="K111" s="1" t="n">
        <f aca="false">J111-I111</f>
        <v>0.010140672062574</v>
      </c>
      <c r="L111" s="1" t="n">
        <v>0.850110132917837</v>
      </c>
    </row>
    <row r="112" customFormat="false" ht="15" hidden="false" customHeight="false" outlineLevel="0" collapsed="false">
      <c r="A112" s="3" t="s">
        <v>85</v>
      </c>
      <c r="B112" s="3" t="s">
        <v>86</v>
      </c>
      <c r="C112" s="3" t="s">
        <v>87</v>
      </c>
      <c r="D112" s="1" t="s">
        <v>20</v>
      </c>
      <c r="E112" s="1" t="s">
        <v>21</v>
      </c>
      <c r="F112" s="1" t="n">
        <v>39</v>
      </c>
      <c r="G112" s="2" t="s">
        <v>25</v>
      </c>
      <c r="H112" s="1" t="n">
        <v>0.1697</v>
      </c>
      <c r="I112" s="1" t="n">
        <v>0.24833270841617</v>
      </c>
      <c r="J112" s="1" t="n">
        <v>0.271266372001466</v>
      </c>
      <c r="K112" s="1" t="n">
        <f aca="false">J112-I112</f>
        <v>0.022933663585296</v>
      </c>
      <c r="L112" s="1" t="n">
        <v>0.850110132917837</v>
      </c>
    </row>
    <row r="113" customFormat="false" ht="15" hidden="false" customHeight="false" outlineLevel="0" collapsed="false">
      <c r="A113" s="3" t="s">
        <v>85</v>
      </c>
      <c r="B113" s="3" t="s">
        <v>86</v>
      </c>
      <c r="C113" s="3" t="s">
        <v>87</v>
      </c>
      <c r="D113" s="1" t="s">
        <v>20</v>
      </c>
      <c r="E113" s="1" t="s">
        <v>21</v>
      </c>
      <c r="F113" s="1" t="n">
        <v>39</v>
      </c>
      <c r="G113" s="2" t="s">
        <v>26</v>
      </c>
      <c r="H113" s="1" t="n">
        <v>0.1536</v>
      </c>
      <c r="I113" s="1" t="n">
        <v>0.224746898580061</v>
      </c>
      <c r="J113" s="1" t="n">
        <v>0.250447473659399</v>
      </c>
      <c r="K113" s="1" t="n">
        <f aca="false">J113-I113</f>
        <v>0.025700575079338</v>
      </c>
      <c r="L113" s="1" t="n">
        <v>0.850110132917837</v>
      </c>
    </row>
    <row r="114" customFormat="false" ht="15" hidden="false" customHeight="false" outlineLevel="0" collapsed="false">
      <c r="A114" s="3" t="s">
        <v>85</v>
      </c>
      <c r="B114" s="3" t="s">
        <v>86</v>
      </c>
      <c r="C114" s="3" t="s">
        <v>87</v>
      </c>
      <c r="D114" s="1" t="s">
        <v>20</v>
      </c>
      <c r="E114" s="1" t="s">
        <v>21</v>
      </c>
      <c r="F114" s="1" t="n">
        <v>39</v>
      </c>
      <c r="G114" s="2" t="s">
        <v>27</v>
      </c>
      <c r="H114" s="1" t="n">
        <v>0.1</v>
      </c>
      <c r="I114" s="1" t="n">
        <v>0.168268895631482</v>
      </c>
      <c r="J114" s="1" t="n">
        <v>0.180216751603185</v>
      </c>
      <c r="K114" s="1" t="n">
        <f aca="false">J114-I114</f>
        <v>0.011947855971703</v>
      </c>
      <c r="L114" s="1" t="n">
        <v>0.850110132917837</v>
      </c>
    </row>
    <row r="115" customFormat="false" ht="15" hidden="false" customHeight="false" outlineLevel="0" collapsed="false">
      <c r="A115" s="3" t="s">
        <v>88</v>
      </c>
      <c r="B115" s="3" t="s">
        <v>89</v>
      </c>
      <c r="C115" s="3" t="s">
        <v>90</v>
      </c>
      <c r="D115" s="1" t="s">
        <v>20</v>
      </c>
      <c r="E115" s="1" t="s">
        <v>21</v>
      </c>
      <c r="F115" s="1" t="n">
        <v>41</v>
      </c>
      <c r="G115" s="2" t="s">
        <v>23</v>
      </c>
      <c r="H115" s="1" t="n">
        <v>0.2489</v>
      </c>
      <c r="I115" s="1" t="n">
        <v>0.274348111787138</v>
      </c>
      <c r="J115" s="1" t="n">
        <v>0.359367589573704</v>
      </c>
      <c r="K115" s="1" t="n">
        <f aca="false">J115-I115</f>
        <v>0.085019477786566</v>
      </c>
      <c r="L115" s="1" t="n">
        <v>0.734658481254958</v>
      </c>
      <c r="N115" s="3" t="n">
        <f aca="false">AVERAGE(K115:K119)</f>
        <v>0.0950200841352642</v>
      </c>
    </row>
    <row r="116" customFormat="false" ht="15" hidden="false" customHeight="false" outlineLevel="0" collapsed="false">
      <c r="A116" s="3" t="s">
        <v>88</v>
      </c>
      <c r="B116" s="3" t="s">
        <v>89</v>
      </c>
      <c r="C116" s="3" t="s">
        <v>90</v>
      </c>
      <c r="D116" s="1" t="s">
        <v>20</v>
      </c>
      <c r="E116" s="1" t="s">
        <v>21</v>
      </c>
      <c r="F116" s="1" t="n">
        <v>41</v>
      </c>
      <c r="G116" s="2" t="s">
        <v>22</v>
      </c>
      <c r="H116" s="1" t="n">
        <v>0.2363</v>
      </c>
      <c r="I116" s="1" t="n">
        <v>0.260474199795744</v>
      </c>
      <c r="J116" s="1" t="n">
        <v>0.390733225638497</v>
      </c>
      <c r="K116" s="1" t="n">
        <f aca="false">J116-I116</f>
        <v>0.130259025842753</v>
      </c>
      <c r="L116" s="1" t="n">
        <v>0.734658481254958</v>
      </c>
    </row>
    <row r="117" customFormat="false" ht="15" hidden="false" customHeight="false" outlineLevel="0" collapsed="false">
      <c r="A117" s="3" t="s">
        <v>88</v>
      </c>
      <c r="B117" s="3" t="s">
        <v>89</v>
      </c>
      <c r="C117" s="3" t="s">
        <v>90</v>
      </c>
      <c r="D117" s="1" t="s">
        <v>20</v>
      </c>
      <c r="E117" s="1" t="s">
        <v>21</v>
      </c>
      <c r="F117" s="1" t="n">
        <v>41</v>
      </c>
      <c r="G117" s="2" t="s">
        <v>24</v>
      </c>
      <c r="H117" s="1" t="n">
        <v>0.2097</v>
      </c>
      <c r="I117" s="1" t="n">
        <v>0.23115534249431</v>
      </c>
      <c r="J117" s="1" t="n">
        <v>0.324002252466755</v>
      </c>
      <c r="K117" s="1" t="n">
        <f aca="false">J117-I117</f>
        <v>0.092846909972445</v>
      </c>
      <c r="L117" s="1" t="n">
        <v>0.734658481254958</v>
      </c>
    </row>
    <row r="118" customFormat="false" ht="15" hidden="false" customHeight="false" outlineLevel="0" collapsed="false">
      <c r="A118" s="3" t="s">
        <v>88</v>
      </c>
      <c r="B118" s="3" t="s">
        <v>89</v>
      </c>
      <c r="C118" s="3" t="s">
        <v>90</v>
      </c>
      <c r="D118" s="1" t="s">
        <v>20</v>
      </c>
      <c r="E118" s="1" t="s">
        <v>21</v>
      </c>
      <c r="F118" s="1" t="n">
        <v>41</v>
      </c>
      <c r="G118" s="2" t="s">
        <v>26</v>
      </c>
      <c r="H118" s="1" t="n">
        <v>0.2051</v>
      </c>
      <c r="I118" s="1" t="n">
        <v>0.226064484175809</v>
      </c>
      <c r="J118" s="1" t="n">
        <v>0.285169896156369</v>
      </c>
      <c r="K118" s="1" t="n">
        <f aca="false">J118-I118</f>
        <v>0.05910541198056</v>
      </c>
      <c r="L118" s="1" t="n">
        <v>0.734658481254958</v>
      </c>
    </row>
    <row r="119" customFormat="false" ht="15" hidden="false" customHeight="false" outlineLevel="0" collapsed="false">
      <c r="A119" s="3" t="s">
        <v>88</v>
      </c>
      <c r="B119" s="3" t="s">
        <v>89</v>
      </c>
      <c r="C119" s="3" t="s">
        <v>90</v>
      </c>
      <c r="D119" s="1" t="s">
        <v>20</v>
      </c>
      <c r="E119" s="1" t="s">
        <v>21</v>
      </c>
      <c r="F119" s="1" t="n">
        <v>41</v>
      </c>
      <c r="G119" s="2" t="s">
        <v>27</v>
      </c>
      <c r="H119" s="1" t="n">
        <v>0.1</v>
      </c>
      <c r="I119" s="1" t="n">
        <v>0.115287070820519</v>
      </c>
      <c r="J119" s="1" t="n">
        <v>0.223156665914516</v>
      </c>
      <c r="K119" s="1" t="n">
        <f aca="false">J119-I119</f>
        <v>0.107869595093997</v>
      </c>
      <c r="L119" s="1" t="n">
        <v>0.734658481254958</v>
      </c>
    </row>
    <row r="120" customFormat="false" ht="15" hidden="false" customHeight="false" outlineLevel="0" collapsed="false">
      <c r="A120" s="3" t="s">
        <v>91</v>
      </c>
      <c r="B120" s="3" t="s">
        <v>92</v>
      </c>
      <c r="C120" s="3" t="s">
        <v>93</v>
      </c>
      <c r="D120" s="1" t="s">
        <v>20</v>
      </c>
      <c r="E120" s="1" t="s">
        <v>21</v>
      </c>
      <c r="F120" s="1" t="n">
        <v>43</v>
      </c>
      <c r="G120" s="2" t="s">
        <v>23</v>
      </c>
      <c r="H120" s="1" t="n">
        <v>0.2129</v>
      </c>
      <c r="I120" s="1" t="n">
        <v>0.369183907105192</v>
      </c>
      <c r="J120" s="1" t="n">
        <v>0.390870150023698</v>
      </c>
      <c r="K120" s="1" t="n">
        <f aca="false">J120-I120</f>
        <v>0.021686242918506</v>
      </c>
      <c r="L120" s="1" t="n">
        <v>0.702205596693105</v>
      </c>
      <c r="N120" s="3" t="n">
        <f aca="false">AVERAGE(K120:K125)</f>
        <v>0.0309414505572098</v>
      </c>
    </row>
    <row r="121" customFormat="false" ht="15" hidden="false" customHeight="false" outlineLevel="0" collapsed="false">
      <c r="A121" s="3" t="s">
        <v>91</v>
      </c>
      <c r="B121" s="3" t="s">
        <v>92</v>
      </c>
      <c r="C121" s="3" t="s">
        <v>93</v>
      </c>
      <c r="D121" s="1" t="s">
        <v>20</v>
      </c>
      <c r="E121" s="1" t="s">
        <v>21</v>
      </c>
      <c r="F121" s="1" t="n">
        <v>43</v>
      </c>
      <c r="G121" s="2" t="s">
        <v>22</v>
      </c>
      <c r="H121" s="1" t="n">
        <v>0.2125</v>
      </c>
      <c r="I121" s="1" t="n">
        <v>0.368500116418537</v>
      </c>
      <c r="J121" s="1" t="n">
        <v>0.404272912486926</v>
      </c>
      <c r="K121" s="1" t="n">
        <f aca="false">J121-I121</f>
        <v>0.035772796068389</v>
      </c>
      <c r="L121" s="1" t="n">
        <v>0.702205596693105</v>
      </c>
    </row>
    <row r="122" customFormat="false" ht="15" hidden="false" customHeight="false" outlineLevel="0" collapsed="false">
      <c r="A122" s="3" t="s">
        <v>91</v>
      </c>
      <c r="B122" s="3" t="s">
        <v>92</v>
      </c>
      <c r="C122" s="3" t="s">
        <v>93</v>
      </c>
      <c r="D122" s="1" t="s">
        <v>20</v>
      </c>
      <c r="E122" s="1" t="s">
        <v>21</v>
      </c>
      <c r="F122" s="1" t="n">
        <v>43</v>
      </c>
      <c r="G122" s="2" t="s">
        <v>24</v>
      </c>
      <c r="H122" s="1" t="n">
        <v>0.1727</v>
      </c>
      <c r="I122" s="1" t="n">
        <v>0.299408002783908</v>
      </c>
      <c r="J122" s="1" t="n">
        <v>0.331469196676583</v>
      </c>
      <c r="K122" s="1" t="n">
        <f aca="false">J122-I122</f>
        <v>0.032061193892675</v>
      </c>
      <c r="L122" s="1" t="n">
        <v>0.702205596693105</v>
      </c>
    </row>
    <row r="123" customFormat="false" ht="15" hidden="false" customHeight="false" outlineLevel="0" collapsed="false">
      <c r="A123" s="3" t="s">
        <v>91</v>
      </c>
      <c r="B123" s="3" t="s">
        <v>92</v>
      </c>
      <c r="C123" s="3" t="s">
        <v>93</v>
      </c>
      <c r="D123" s="1" t="s">
        <v>20</v>
      </c>
      <c r="E123" s="1" t="s">
        <v>21</v>
      </c>
      <c r="F123" s="1" t="n">
        <v>43</v>
      </c>
      <c r="G123" s="2" t="s">
        <v>31</v>
      </c>
      <c r="H123" s="1" t="n">
        <v>0.1525</v>
      </c>
      <c r="I123" s="1" t="n">
        <v>0.264454693162551</v>
      </c>
      <c r="J123" s="1" t="n">
        <v>0.275241387660053</v>
      </c>
      <c r="K123" s="1" t="n">
        <f aca="false">J123-I123</f>
        <v>0.010786694497502</v>
      </c>
      <c r="L123" s="1" t="n">
        <v>0.702205596693105</v>
      </c>
    </row>
    <row r="124" customFormat="false" ht="15" hidden="false" customHeight="false" outlineLevel="0" collapsed="false">
      <c r="A124" s="3" t="s">
        <v>91</v>
      </c>
      <c r="B124" s="3" t="s">
        <v>92</v>
      </c>
      <c r="C124" s="3" t="s">
        <v>93</v>
      </c>
      <c r="D124" s="1" t="s">
        <v>20</v>
      </c>
      <c r="E124" s="1" t="s">
        <v>21</v>
      </c>
      <c r="F124" s="1" t="n">
        <v>43</v>
      </c>
      <c r="G124" s="2" t="s">
        <v>94</v>
      </c>
      <c r="H124" s="1" t="n">
        <v>0.1494</v>
      </c>
      <c r="I124" s="1" t="n">
        <v>0.259059079607929</v>
      </c>
      <c r="J124" s="1" t="n">
        <v>0.311236933184754</v>
      </c>
      <c r="K124" s="1" t="n">
        <f aca="false">J124-I124</f>
        <v>0.052177853576825</v>
      </c>
      <c r="L124" s="1" t="n">
        <v>0.702205596693105</v>
      </c>
    </row>
    <row r="125" customFormat="false" ht="15" hidden="false" customHeight="false" outlineLevel="0" collapsed="false">
      <c r="A125" s="3" t="s">
        <v>91</v>
      </c>
      <c r="B125" s="3" t="s">
        <v>92</v>
      </c>
      <c r="C125" s="3" t="s">
        <v>93</v>
      </c>
      <c r="D125" s="1" t="s">
        <v>20</v>
      </c>
      <c r="E125" s="1" t="s">
        <v>21</v>
      </c>
      <c r="F125" s="1" t="n">
        <v>43</v>
      </c>
      <c r="G125" s="2" t="s">
        <v>27</v>
      </c>
      <c r="H125" s="1" t="n">
        <v>0.1</v>
      </c>
      <c r="I125" s="1" t="n">
        <v>0.208368411156299</v>
      </c>
      <c r="J125" s="1" t="n">
        <v>0.241532333545661</v>
      </c>
      <c r="K125" s="1" t="n">
        <f aca="false">J125-I125</f>
        <v>0.033163922389362</v>
      </c>
      <c r="L125" s="1" t="n">
        <v>0.702205596693105</v>
      </c>
    </row>
    <row r="126" customFormat="false" ht="15" hidden="false" customHeight="false" outlineLevel="0" collapsed="false">
      <c r="A126" s="3" t="s">
        <v>95</v>
      </c>
      <c r="B126" s="3" t="s">
        <v>96</v>
      </c>
      <c r="C126" s="3" t="s">
        <v>97</v>
      </c>
      <c r="D126" s="1" t="s">
        <v>20</v>
      </c>
      <c r="E126" s="1" t="s">
        <v>21</v>
      </c>
      <c r="F126" s="1" t="n">
        <v>45</v>
      </c>
      <c r="G126" s="2" t="s">
        <v>22</v>
      </c>
      <c r="H126" s="1" t="n">
        <v>0.2082</v>
      </c>
      <c r="I126" s="1" t="n">
        <v>0.375026968328001</v>
      </c>
      <c r="J126" s="1" t="n">
        <v>0.32011734178303</v>
      </c>
      <c r="K126" s="1" t="n">
        <f aca="false">J126-I126</f>
        <v>-0.054909626544971</v>
      </c>
      <c r="L126" s="1" t="n">
        <v>0.723021317867517</v>
      </c>
      <c r="N126" s="3" t="n">
        <f aca="false">AVERAGE(K126:K131)</f>
        <v>-0.0451970351545562</v>
      </c>
    </row>
    <row r="127" customFormat="false" ht="15" hidden="false" customHeight="false" outlineLevel="0" collapsed="false">
      <c r="A127" s="3" t="s">
        <v>95</v>
      </c>
      <c r="B127" s="3" t="s">
        <v>96</v>
      </c>
      <c r="C127" s="3" t="s">
        <v>97</v>
      </c>
      <c r="D127" s="1" t="s">
        <v>20</v>
      </c>
      <c r="E127" s="1" t="s">
        <v>21</v>
      </c>
      <c r="F127" s="1" t="n">
        <v>45</v>
      </c>
      <c r="G127" s="2" t="s">
        <v>23</v>
      </c>
      <c r="H127" s="1" t="n">
        <v>0.1965</v>
      </c>
      <c r="I127" s="1" t="n">
        <v>0.353948402111809</v>
      </c>
      <c r="J127" s="1" t="n">
        <v>0.315888915623497</v>
      </c>
      <c r="K127" s="1" t="n">
        <f aca="false">J127-I127</f>
        <v>-0.038059486488312</v>
      </c>
      <c r="L127" s="1" t="n">
        <v>0.723021317867517</v>
      </c>
    </row>
    <row r="128" customFormat="false" ht="15" hidden="false" customHeight="false" outlineLevel="0" collapsed="false">
      <c r="A128" s="3" t="s">
        <v>95</v>
      </c>
      <c r="B128" s="3" t="s">
        <v>96</v>
      </c>
      <c r="C128" s="3" t="s">
        <v>97</v>
      </c>
      <c r="D128" s="1" t="s">
        <v>20</v>
      </c>
      <c r="E128" s="1" t="s">
        <v>21</v>
      </c>
      <c r="F128" s="1" t="n">
        <v>45</v>
      </c>
      <c r="G128" s="2" t="s">
        <v>24</v>
      </c>
      <c r="H128" s="1" t="n">
        <v>0.173</v>
      </c>
      <c r="I128" s="1" t="n">
        <v>0.311584741447456</v>
      </c>
      <c r="J128" s="1" t="n">
        <v>0.291590129730843</v>
      </c>
      <c r="K128" s="1" t="n">
        <f aca="false">J128-I128</f>
        <v>-0.019994611716613</v>
      </c>
      <c r="L128" s="1" t="n">
        <v>0.723021317867517</v>
      </c>
    </row>
    <row r="129" customFormat="false" ht="15" hidden="false" customHeight="false" outlineLevel="0" collapsed="false">
      <c r="A129" s="3" t="s">
        <v>95</v>
      </c>
      <c r="B129" s="3" t="s">
        <v>96</v>
      </c>
      <c r="C129" s="3" t="s">
        <v>97</v>
      </c>
      <c r="D129" s="1" t="s">
        <v>20</v>
      </c>
      <c r="E129" s="1" t="s">
        <v>21</v>
      </c>
      <c r="F129" s="1" t="n">
        <v>45</v>
      </c>
      <c r="G129" s="2" t="s">
        <v>35</v>
      </c>
      <c r="H129" s="1" t="n">
        <v>0.1655</v>
      </c>
      <c r="I129" s="1" t="n">
        <v>0.298003867430276</v>
      </c>
      <c r="J129" s="1" t="n">
        <v>0.237887216266541</v>
      </c>
      <c r="K129" s="1" t="n">
        <f aca="false">J129-I129</f>
        <v>-0.060116651163735</v>
      </c>
      <c r="L129" s="1" t="n">
        <v>0.723021317867517</v>
      </c>
    </row>
    <row r="130" customFormat="false" ht="15" hidden="false" customHeight="false" outlineLevel="0" collapsed="false">
      <c r="A130" s="3" t="s">
        <v>95</v>
      </c>
      <c r="B130" s="3" t="s">
        <v>96</v>
      </c>
      <c r="C130" s="3" t="s">
        <v>97</v>
      </c>
      <c r="D130" s="1" t="s">
        <v>20</v>
      </c>
      <c r="E130" s="1" t="s">
        <v>21</v>
      </c>
      <c r="F130" s="1" t="n">
        <v>45</v>
      </c>
      <c r="G130" s="2" t="s">
        <v>94</v>
      </c>
      <c r="H130" s="1" t="n">
        <v>0.1568</v>
      </c>
      <c r="I130" s="1" t="n">
        <v>0.282463133803103</v>
      </c>
      <c r="J130" s="1" t="n">
        <v>0.225194124013615</v>
      </c>
      <c r="K130" s="1" t="n">
        <f aca="false">J130-I130</f>
        <v>-0.057269009789488</v>
      </c>
      <c r="L130" s="1" t="n">
        <v>0.723021317867517</v>
      </c>
    </row>
    <row r="131" customFormat="false" ht="15" hidden="false" customHeight="false" outlineLevel="0" collapsed="false">
      <c r="A131" s="3" t="s">
        <v>95</v>
      </c>
      <c r="B131" s="3" t="s">
        <v>96</v>
      </c>
      <c r="C131" s="3" t="s">
        <v>97</v>
      </c>
      <c r="D131" s="1" t="s">
        <v>20</v>
      </c>
      <c r="E131" s="1" t="s">
        <v>21</v>
      </c>
      <c r="F131" s="1" t="n">
        <v>45</v>
      </c>
      <c r="G131" s="2" t="s">
        <v>27</v>
      </c>
      <c r="H131" s="1" t="n">
        <v>0.1</v>
      </c>
      <c r="I131" s="1" t="n">
        <v>0.224606025007263</v>
      </c>
      <c r="J131" s="1" t="n">
        <v>0.183773199783045</v>
      </c>
      <c r="K131" s="1" t="n">
        <f aca="false">J131-I131</f>
        <v>-0.040832825224218</v>
      </c>
      <c r="L131" s="1" t="n">
        <v>0.723021317867517</v>
      </c>
    </row>
    <row r="132" customFormat="false" ht="15" hidden="false" customHeight="false" outlineLevel="0" collapsed="false">
      <c r="A132" s="3" t="s">
        <v>98</v>
      </c>
      <c r="B132" s="3" t="s">
        <v>99</v>
      </c>
      <c r="C132" s="3" t="s">
        <v>100</v>
      </c>
      <c r="D132" s="1" t="s">
        <v>20</v>
      </c>
      <c r="E132" s="1" t="s">
        <v>21</v>
      </c>
      <c r="F132" s="1" t="n">
        <v>47</v>
      </c>
      <c r="G132" s="2" t="s">
        <v>23</v>
      </c>
      <c r="H132" s="1" t="n">
        <v>0.3099</v>
      </c>
      <c r="I132" s="1" t="n">
        <v>0.243742728573179</v>
      </c>
      <c r="J132" s="1" t="n">
        <v>0.332494528249946</v>
      </c>
      <c r="K132" s="1" t="n">
        <f aca="false">J132-I132</f>
        <v>0.088751799676767</v>
      </c>
      <c r="L132" s="1" t="n">
        <v>0.790978057596565</v>
      </c>
      <c r="N132" s="3" t="n">
        <f aca="false">AVERAGE(K132:K135)</f>
        <v>0.100698841581807</v>
      </c>
    </row>
    <row r="133" customFormat="false" ht="15" hidden="false" customHeight="false" outlineLevel="0" collapsed="false">
      <c r="A133" s="3" t="s">
        <v>98</v>
      </c>
      <c r="B133" s="3" t="s">
        <v>99</v>
      </c>
      <c r="C133" s="3" t="s">
        <v>100</v>
      </c>
      <c r="D133" s="1" t="s">
        <v>20</v>
      </c>
      <c r="E133" s="1" t="s">
        <v>21</v>
      </c>
      <c r="F133" s="1" t="n">
        <v>47</v>
      </c>
      <c r="G133" s="2" t="s">
        <v>22</v>
      </c>
      <c r="H133" s="1" t="n">
        <v>0.2988</v>
      </c>
      <c r="I133" s="1" t="n">
        <v>0.235061731509553</v>
      </c>
      <c r="J133" s="1" t="n">
        <v>0.34235711742308</v>
      </c>
      <c r="K133" s="1" t="n">
        <f aca="false">J133-I133</f>
        <v>0.107295385913527</v>
      </c>
      <c r="L133" s="1" t="n">
        <v>0.790978057596565</v>
      </c>
    </row>
    <row r="134" customFormat="false" ht="15" hidden="false" customHeight="false" outlineLevel="0" collapsed="false">
      <c r="A134" s="3" t="s">
        <v>98</v>
      </c>
      <c r="B134" s="3" t="s">
        <v>99</v>
      </c>
      <c r="C134" s="3" t="s">
        <v>100</v>
      </c>
      <c r="D134" s="1" t="s">
        <v>20</v>
      </c>
      <c r="E134" s="1" t="s">
        <v>21</v>
      </c>
      <c r="F134" s="1" t="n">
        <v>47</v>
      </c>
      <c r="G134" s="2" t="s">
        <v>24</v>
      </c>
      <c r="H134" s="1" t="n">
        <v>0.2913</v>
      </c>
      <c r="I134" s="1" t="n">
        <v>0.229096051458205</v>
      </c>
      <c r="J134" s="1" t="n">
        <v>0.32244156114695</v>
      </c>
      <c r="K134" s="1" t="n">
        <f aca="false">J134-I134</f>
        <v>0.093345509688745</v>
      </c>
      <c r="L134" s="1" t="n">
        <v>0.790978057596565</v>
      </c>
    </row>
    <row r="135" customFormat="false" ht="15" hidden="false" customHeight="false" outlineLevel="0" collapsed="false">
      <c r="A135" s="3" t="s">
        <v>98</v>
      </c>
      <c r="B135" s="3" t="s">
        <v>99</v>
      </c>
      <c r="C135" s="3" t="s">
        <v>100</v>
      </c>
      <c r="D135" s="1" t="s">
        <v>20</v>
      </c>
      <c r="E135" s="1" t="s">
        <v>21</v>
      </c>
      <c r="F135" s="1" t="n">
        <v>47</v>
      </c>
      <c r="G135" s="2" t="s">
        <v>27</v>
      </c>
      <c r="H135" s="1" t="n">
        <v>0.1</v>
      </c>
      <c r="I135" s="1" t="n">
        <v>0.115225933703406</v>
      </c>
      <c r="J135" s="1" t="n">
        <v>0.228628604751595</v>
      </c>
      <c r="K135" s="1" t="n">
        <f aca="false">J135-I135</f>
        <v>0.113402671048189</v>
      </c>
      <c r="L135" s="1" t="n">
        <v>0.790978057596565</v>
      </c>
    </row>
    <row r="136" customFormat="false" ht="15" hidden="false" customHeight="false" outlineLevel="0" collapsed="false">
      <c r="A136" s="3" t="s">
        <v>101</v>
      </c>
      <c r="B136" s="3" t="s">
        <v>102</v>
      </c>
      <c r="C136" s="3" t="s">
        <v>103</v>
      </c>
      <c r="D136" s="1" t="s">
        <v>20</v>
      </c>
      <c r="E136" s="1" t="s">
        <v>21</v>
      </c>
      <c r="F136" s="1" t="n">
        <v>49</v>
      </c>
      <c r="G136" s="2" t="s">
        <v>22</v>
      </c>
      <c r="H136" s="1" t="n">
        <v>0.2041</v>
      </c>
      <c r="I136" s="1" t="n">
        <v>0.282796254392377</v>
      </c>
      <c r="J136" s="1" t="n">
        <v>0.350066686792625</v>
      </c>
      <c r="K136" s="1" t="n">
        <f aca="false">J136-I136</f>
        <v>0.067270432400248</v>
      </c>
      <c r="L136" s="1" t="n">
        <v>0.730577483299618</v>
      </c>
      <c r="N136" s="3" t="n">
        <f aca="false">AVERAGE(K136:K141)</f>
        <v>0.0682634770742598</v>
      </c>
    </row>
    <row r="137" customFormat="false" ht="15" hidden="false" customHeight="false" outlineLevel="0" collapsed="false">
      <c r="A137" s="3" t="s">
        <v>101</v>
      </c>
      <c r="B137" s="3" t="s">
        <v>102</v>
      </c>
      <c r="C137" s="3" t="s">
        <v>103</v>
      </c>
      <c r="D137" s="1" t="s">
        <v>20</v>
      </c>
      <c r="E137" s="1" t="s">
        <v>21</v>
      </c>
      <c r="F137" s="1" t="n">
        <v>49</v>
      </c>
      <c r="G137" s="2" t="s">
        <v>24</v>
      </c>
      <c r="H137" s="1" t="n">
        <v>0.1958</v>
      </c>
      <c r="I137" s="1" t="n">
        <v>0.271262116448386</v>
      </c>
      <c r="J137" s="1" t="n">
        <v>0.322669829024076</v>
      </c>
      <c r="K137" s="1" t="n">
        <f aca="false">J137-I137</f>
        <v>0.05140771257569</v>
      </c>
      <c r="L137" s="1" t="n">
        <v>0.730577483299618</v>
      </c>
    </row>
    <row r="138" customFormat="false" ht="15" hidden="false" customHeight="false" outlineLevel="0" collapsed="false">
      <c r="A138" s="3" t="s">
        <v>101</v>
      </c>
      <c r="B138" s="3" t="s">
        <v>102</v>
      </c>
      <c r="C138" s="3" t="s">
        <v>103</v>
      </c>
      <c r="D138" s="1" t="s">
        <v>20</v>
      </c>
      <c r="E138" s="1" t="s">
        <v>21</v>
      </c>
      <c r="F138" s="1" t="n">
        <v>49</v>
      </c>
      <c r="G138" s="2" t="s">
        <v>23</v>
      </c>
      <c r="H138" s="1" t="n">
        <v>0.194</v>
      </c>
      <c r="I138" s="1" t="n">
        <v>0.268861898097111</v>
      </c>
      <c r="J138" s="1" t="n">
        <v>0.339427908491157</v>
      </c>
      <c r="K138" s="1" t="n">
        <f aca="false">J138-I138</f>
        <v>0.070566010394046</v>
      </c>
      <c r="L138" s="1" t="n">
        <v>0.730577483299618</v>
      </c>
    </row>
    <row r="139" customFormat="false" ht="15" hidden="false" customHeight="false" outlineLevel="0" collapsed="false">
      <c r="A139" s="3" t="s">
        <v>101</v>
      </c>
      <c r="B139" s="3" t="s">
        <v>102</v>
      </c>
      <c r="C139" s="3" t="s">
        <v>103</v>
      </c>
      <c r="D139" s="1" t="s">
        <v>20</v>
      </c>
      <c r="E139" s="1" t="s">
        <v>21</v>
      </c>
      <c r="F139" s="1" t="n">
        <v>49</v>
      </c>
      <c r="G139" s="2" t="s">
        <v>26</v>
      </c>
      <c r="H139" s="1" t="n">
        <v>0.1533</v>
      </c>
      <c r="I139" s="1" t="n">
        <v>0.212357790193632</v>
      </c>
      <c r="J139" s="1" t="n">
        <v>0.280328206176892</v>
      </c>
      <c r="K139" s="1" t="n">
        <f aca="false">J139-I139</f>
        <v>0.06797041598326</v>
      </c>
      <c r="L139" s="1" t="n">
        <v>0.730577483299618</v>
      </c>
    </row>
    <row r="140" customFormat="false" ht="15" hidden="false" customHeight="false" outlineLevel="0" collapsed="false">
      <c r="A140" s="3" t="s">
        <v>101</v>
      </c>
      <c r="B140" s="3" t="s">
        <v>102</v>
      </c>
      <c r="C140" s="3" t="s">
        <v>103</v>
      </c>
      <c r="D140" s="1" t="s">
        <v>20</v>
      </c>
      <c r="E140" s="1" t="s">
        <v>21</v>
      </c>
      <c r="F140" s="1" t="n">
        <v>49</v>
      </c>
      <c r="G140" s="2" t="s">
        <v>25</v>
      </c>
      <c r="H140" s="1" t="n">
        <v>0.1528</v>
      </c>
      <c r="I140" s="1" t="n">
        <v>0.211792819260273</v>
      </c>
      <c r="J140" s="1" t="n">
        <v>0.290703512505887</v>
      </c>
      <c r="K140" s="1" t="n">
        <f aca="false">J140-I140</f>
        <v>0.078910693245614</v>
      </c>
      <c r="L140" s="1" t="n">
        <v>0.730577483299618</v>
      </c>
    </row>
    <row r="141" customFormat="false" ht="15" hidden="false" customHeight="false" outlineLevel="0" collapsed="false">
      <c r="A141" s="3" t="s">
        <v>101</v>
      </c>
      <c r="B141" s="3" t="s">
        <v>102</v>
      </c>
      <c r="C141" s="3" t="s">
        <v>103</v>
      </c>
      <c r="D141" s="1" t="s">
        <v>20</v>
      </c>
      <c r="E141" s="1" t="s">
        <v>21</v>
      </c>
      <c r="F141" s="1" t="n">
        <v>49</v>
      </c>
      <c r="G141" s="2" t="s">
        <v>27</v>
      </c>
      <c r="H141" s="1" t="n">
        <v>0.1</v>
      </c>
      <c r="I141" s="1" t="n">
        <v>0.150399952117967</v>
      </c>
      <c r="J141" s="1" t="n">
        <v>0.223855549964668</v>
      </c>
      <c r="K141" s="1" t="n">
        <f aca="false">J141-I141</f>
        <v>0.073455597846701</v>
      </c>
      <c r="L141" s="1" t="n">
        <v>0.730577483299618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2.3984375" defaultRowHeight="12.8" customHeight="false" zeroHeight="false" outlineLevelRow="0" outlineLevelCol="0"/>
  <cols>
    <col collapsed="false" customWidth="false" hidden="false" outlineLevel="0" max="1" min="1" style="7" width="12.4"/>
    <col collapsed="false" customWidth="true" hidden="false" outlineLevel="0" max="2" min="2" style="7" width="19.26"/>
    <col collapsed="false" customWidth="false" hidden="false" outlineLevel="0" max="16384" min="3" style="7" width="12.4"/>
  </cols>
  <sheetData>
    <row r="1" customFormat="false" ht="12.8" hidden="false" customHeight="false" outlineLevel="0" collapsed="false">
      <c r="A1" s="7" t="s">
        <v>104</v>
      </c>
    </row>
    <row r="3" customFormat="false" ht="12.8" hidden="false" customHeight="false" outlineLevel="0" collapsed="false">
      <c r="A3" s="7" t="s">
        <v>105</v>
      </c>
      <c r="B3" s="8" t="n">
        <f aca="false">scen2_ac15!P3</f>
        <v>139</v>
      </c>
    </row>
    <row r="4" customFormat="false" ht="12.8" hidden="false" customHeight="false" outlineLevel="0" collapsed="false">
      <c r="A4" s="7" t="s">
        <v>106</v>
      </c>
      <c r="B4" s="7" t="n">
        <f aca="false">B10*SQRT((B3-2)/(1-B10^2))</f>
        <v>1.96534207737011</v>
      </c>
    </row>
    <row r="5" customFormat="false" ht="12.8" hidden="false" customHeight="false" outlineLevel="0" collapsed="false">
      <c r="A5" s="7" t="s">
        <v>107</v>
      </c>
      <c r="B5" s="7" t="n">
        <f aca="false">_xlfn.T.DIST.2T(ABS(B4),B3-2)</f>
        <v>0.0513973678517987</v>
      </c>
    </row>
    <row r="6" customFormat="false" ht="12.8" hidden="false" customHeight="false" outlineLevel="0" collapsed="false">
      <c r="B6" s="9"/>
    </row>
    <row r="7" customFormat="false" ht="12.8" hidden="false" customHeight="false" outlineLevel="0" collapsed="false">
      <c r="B7" s="9"/>
    </row>
    <row r="8" customFormat="false" ht="12.8" hidden="false" customHeight="false" outlineLevel="0" collapsed="false">
      <c r="B8" s="9"/>
    </row>
    <row r="9" customFormat="false" ht="19.1" hidden="false" customHeight="false" outlineLevel="0" collapsed="false">
      <c r="A9" s="6" t="s">
        <v>14</v>
      </c>
      <c r="B9" s="6" t="s">
        <v>15</v>
      </c>
    </row>
    <row r="10" customFormat="false" ht="12.8" hidden="false" customHeight="false" outlineLevel="0" collapsed="false">
      <c r="A10" s="10" t="n">
        <f aca="false">B3</f>
        <v>139</v>
      </c>
      <c r="B10" s="10" t="n">
        <f aca="false">scen2_ac15!Q3</f>
        <v>0.165592380440762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" activeCellId="0" sqref="B1"/>
    </sheetView>
  </sheetViews>
  <sheetFormatPr defaultColWidth="12.3984375" defaultRowHeight="12.8" customHeight="false" zeroHeight="false" outlineLevelRow="0" outlineLevelCol="0"/>
  <cols>
    <col collapsed="false" customWidth="false" hidden="false" outlineLevel="0" max="1" min="1" style="11" width="12.4"/>
    <col collapsed="false" customWidth="true" hidden="false" outlineLevel="0" max="2" min="2" style="11" width="19.38"/>
    <col collapsed="false" customWidth="true" hidden="false" outlineLevel="0" max="3" min="3" style="11" width="24.15"/>
    <col collapsed="false" customWidth="false" hidden="false" outlineLevel="0" max="7" min="4" style="11" width="12.4"/>
    <col collapsed="false" customWidth="true" hidden="false" outlineLevel="0" max="8" min="8" style="11" width="19.26"/>
    <col collapsed="false" customWidth="true" hidden="false" outlineLevel="0" max="9" min="9" style="11" width="6.23"/>
    <col collapsed="false" customWidth="true" hidden="false" outlineLevel="0" max="11" min="10" style="11" width="19.26"/>
    <col collapsed="false" customWidth="false" hidden="false" outlineLevel="0" max="16384" min="12" style="11" width="12.4"/>
  </cols>
  <sheetData>
    <row r="1" customFormat="false" ht="12.8" hidden="false" customHeight="false" outlineLevel="0" collapsed="false">
      <c r="B1" s="12" t="s">
        <v>11</v>
      </c>
      <c r="C1" s="12" t="s">
        <v>12</v>
      </c>
      <c r="H1" s="13" t="s">
        <v>108</v>
      </c>
      <c r="I1" s="13" t="s">
        <v>14</v>
      </c>
      <c r="J1" s="13" t="s">
        <v>109</v>
      </c>
      <c r="K1" s="13" t="s">
        <v>16</v>
      </c>
    </row>
    <row r="2" customFormat="false" ht="12.8" hidden="false" customHeight="false" outlineLevel="0" collapsed="false">
      <c r="A2" s="11" t="s">
        <v>110</v>
      </c>
      <c r="H2" s="3"/>
      <c r="I2" s="3"/>
      <c r="J2" s="3"/>
      <c r="K2" s="3"/>
    </row>
    <row r="3" customFormat="false" ht="12.8" hidden="false" customHeight="false" outlineLevel="0" collapsed="false">
      <c r="A3" s="9" t="n">
        <v>1</v>
      </c>
      <c r="B3" s="13" t="n">
        <v>0.820228412658582</v>
      </c>
      <c r="C3" s="13" t="n">
        <v>0.0960938693677491</v>
      </c>
      <c r="H3" s="13" t="n">
        <f aca="false">CORREL(B3:B27,C3:C27)</f>
        <v>0.141433219548708</v>
      </c>
      <c r="I3" s="13" t="n">
        <f aca="false">COUNT(C3:C27)</f>
        <v>25</v>
      </c>
      <c r="J3" s="13" t="n">
        <f aca="false">H3*SQRT((I3-2)/(1-H3^2))</f>
        <v>0.685177434160725</v>
      </c>
      <c r="K3" s="13" t="n">
        <f aca="false">_xlfn.T.DIST.2T(ABS(J3),I3-2)</f>
        <v>0.500079792170061</v>
      </c>
    </row>
    <row r="4" customFormat="false" ht="12.8" hidden="false" customHeight="false" outlineLevel="0" collapsed="false">
      <c r="A4" s="9" t="n">
        <v>2</v>
      </c>
      <c r="B4" s="13" t="n">
        <v>0.764592146543124</v>
      </c>
      <c r="C4" s="13" t="n">
        <v>0.0929193373825279</v>
      </c>
    </row>
    <row r="5" customFormat="false" ht="12.8" hidden="false" customHeight="false" outlineLevel="0" collapsed="false">
      <c r="A5" s="9" t="n">
        <v>3</v>
      </c>
      <c r="B5" s="13" t="n">
        <v>0.723011363854634</v>
      </c>
      <c r="C5" s="13" t="n">
        <v>0.0450963751660038</v>
      </c>
    </row>
    <row r="6" customFormat="false" ht="12.8" hidden="false" customHeight="false" outlineLevel="0" collapsed="false">
      <c r="A6" s="9" t="n">
        <v>4</v>
      </c>
      <c r="B6" s="13" t="n">
        <v>0.756420441420714</v>
      </c>
      <c r="C6" s="13" t="n">
        <v>0.0525802624367042</v>
      </c>
    </row>
    <row r="7" customFormat="false" ht="12.8" hidden="false" customHeight="false" outlineLevel="0" collapsed="false">
      <c r="A7" s="9" t="n">
        <v>5</v>
      </c>
      <c r="B7" s="13" t="n">
        <v>0.620462176144914</v>
      </c>
      <c r="C7" s="13" t="n">
        <v>0.0787934826065585</v>
      </c>
    </row>
    <row r="8" customFormat="false" ht="12.8" hidden="false" customHeight="false" outlineLevel="0" collapsed="false">
      <c r="A8" s="9" t="n">
        <v>6</v>
      </c>
      <c r="B8" s="13" t="n">
        <v>0.798549003615991</v>
      </c>
      <c r="C8" s="13" t="n">
        <v>0.09260258795062</v>
      </c>
    </row>
    <row r="9" customFormat="false" ht="12.8" hidden="false" customHeight="false" outlineLevel="0" collapsed="false">
      <c r="A9" s="9" t="n">
        <v>7</v>
      </c>
      <c r="B9" s="13" t="n">
        <v>0.754603762692231</v>
      </c>
      <c r="C9" s="13" t="n">
        <v>0.101846605226806</v>
      </c>
    </row>
    <row r="10" customFormat="false" ht="12.8" hidden="false" customHeight="false" outlineLevel="0" collapsed="false">
      <c r="A10" s="9" t="n">
        <v>8</v>
      </c>
      <c r="B10" s="13" t="n">
        <v>0.786128366374384</v>
      </c>
      <c r="C10" s="13" t="n">
        <v>0.0987953317772712</v>
      </c>
    </row>
    <row r="11" customFormat="false" ht="12.8" hidden="false" customHeight="false" outlineLevel="0" collapsed="false">
      <c r="A11" s="9" t="n">
        <v>9</v>
      </c>
      <c r="B11" s="13" t="n">
        <v>0.753257435556755</v>
      </c>
      <c r="C11" s="13" t="n">
        <v>0.0240836286961571</v>
      </c>
    </row>
    <row r="12" customFormat="false" ht="12.8" hidden="false" customHeight="false" outlineLevel="0" collapsed="false">
      <c r="A12" s="9" t="n">
        <v>10</v>
      </c>
      <c r="B12" s="13" t="n">
        <v>0.807843832088534</v>
      </c>
      <c r="C12" s="13" t="n">
        <v>0.0584896241984569</v>
      </c>
    </row>
    <row r="13" customFormat="false" ht="12.8" hidden="false" customHeight="false" outlineLevel="0" collapsed="false">
      <c r="A13" s="9" t="n">
        <v>11</v>
      </c>
      <c r="B13" s="13" t="n">
        <v>0.778100841853998</v>
      </c>
      <c r="C13" s="13" t="n">
        <v>0.10713841837133</v>
      </c>
    </row>
    <row r="14" customFormat="false" ht="12.8" hidden="false" customHeight="false" outlineLevel="0" collapsed="false">
      <c r="A14" s="9" t="n">
        <v>12</v>
      </c>
      <c r="B14" s="13" t="n">
        <v>0.762452458306693</v>
      </c>
      <c r="C14" s="13" t="n">
        <v>0.115867513655039</v>
      </c>
    </row>
    <row r="15" customFormat="false" ht="12.8" hidden="false" customHeight="false" outlineLevel="0" collapsed="false">
      <c r="A15" s="9" t="n">
        <v>13</v>
      </c>
      <c r="B15" s="13" t="n">
        <v>0.720022272820606</v>
      </c>
      <c r="C15" s="13" t="n">
        <v>0.106836277399438</v>
      </c>
    </row>
    <row r="16" customFormat="false" ht="12.8" hidden="false" customHeight="false" outlineLevel="0" collapsed="false">
      <c r="A16" s="9" t="n">
        <v>14</v>
      </c>
      <c r="B16" s="13" t="n">
        <v>0.738694358646482</v>
      </c>
      <c r="C16" s="13" t="n">
        <v>0.0773989407174833</v>
      </c>
    </row>
    <row r="17" customFormat="false" ht="12.8" hidden="false" customHeight="false" outlineLevel="0" collapsed="false">
      <c r="A17" s="9" t="n">
        <v>15</v>
      </c>
      <c r="B17" s="13" t="n">
        <v>0.743421830265577</v>
      </c>
      <c r="C17" s="13" t="n">
        <v>0.0229517815096926</v>
      </c>
    </row>
    <row r="18" customFormat="false" ht="12.8" hidden="false" customHeight="false" outlineLevel="0" collapsed="false">
      <c r="A18" s="9" t="n">
        <v>16</v>
      </c>
      <c r="B18" s="13" t="n">
        <v>0.763479689807917</v>
      </c>
      <c r="C18" s="13" t="n">
        <v>0.11429276991713</v>
      </c>
    </row>
    <row r="19" customFormat="false" ht="12.8" hidden="false" customHeight="false" outlineLevel="0" collapsed="false">
      <c r="A19" s="9" t="n">
        <v>17</v>
      </c>
      <c r="B19" s="13" t="n">
        <v>0.744667994911406</v>
      </c>
      <c r="C19" s="13" t="n">
        <v>0.0918516750680702</v>
      </c>
    </row>
    <row r="20" customFormat="false" ht="12.8" hidden="false" customHeight="false" outlineLevel="0" collapsed="false">
      <c r="A20" s="9" t="n">
        <v>18</v>
      </c>
      <c r="B20" s="13" t="n">
        <v>0.695089950294851</v>
      </c>
      <c r="C20" s="13" t="n">
        <v>0.0930672059363067</v>
      </c>
    </row>
    <row r="21" customFormat="false" ht="12.8" hidden="false" customHeight="false" outlineLevel="0" collapsed="false">
      <c r="A21" s="9" t="n">
        <v>19</v>
      </c>
      <c r="B21" s="13" t="n">
        <v>0.719748414663605</v>
      </c>
      <c r="C21" s="13" t="n">
        <v>-0.0212116948115771</v>
      </c>
    </row>
    <row r="22" customFormat="false" ht="12.8" hidden="false" customHeight="false" outlineLevel="0" collapsed="false">
      <c r="A22" s="9" t="n">
        <v>20</v>
      </c>
      <c r="B22" s="13" t="n">
        <v>0.850110132917837</v>
      </c>
      <c r="C22" s="13" t="n">
        <v>0.0202837640899465</v>
      </c>
    </row>
    <row r="23" customFormat="false" ht="12.8" hidden="false" customHeight="false" outlineLevel="0" collapsed="false">
      <c r="A23" s="9" t="n">
        <v>21</v>
      </c>
      <c r="B23" s="13" t="n">
        <v>0.734658481254958</v>
      </c>
      <c r="C23" s="13" t="n">
        <v>0.0950200841352645</v>
      </c>
    </row>
    <row r="24" customFormat="false" ht="12.8" hidden="false" customHeight="false" outlineLevel="0" collapsed="false">
      <c r="A24" s="9" t="n">
        <v>22</v>
      </c>
      <c r="B24" s="13" t="n">
        <v>0.702205596693105</v>
      </c>
      <c r="C24" s="13" t="n">
        <v>0.0309414505572099</v>
      </c>
    </row>
    <row r="25" customFormat="false" ht="12.8" hidden="false" customHeight="false" outlineLevel="0" collapsed="false">
      <c r="A25" s="9" t="n">
        <v>23</v>
      </c>
      <c r="B25" s="13" t="n">
        <v>0.723021317867517</v>
      </c>
      <c r="C25" s="13" t="n">
        <v>-0.045197035154556</v>
      </c>
    </row>
    <row r="26" customFormat="false" ht="12.8" hidden="false" customHeight="false" outlineLevel="0" collapsed="false">
      <c r="A26" s="9" t="n">
        <v>24</v>
      </c>
      <c r="B26" s="13" t="n">
        <v>0.790978057596565</v>
      </c>
      <c r="C26" s="13" t="n">
        <v>0.100698841581807</v>
      </c>
    </row>
    <row r="27" customFormat="false" ht="12.8" hidden="false" customHeight="false" outlineLevel="0" collapsed="false">
      <c r="A27" s="9" t="n">
        <v>25</v>
      </c>
      <c r="B27" s="13" t="n">
        <v>0.730577483299618</v>
      </c>
      <c r="C27" s="13" t="n">
        <v>0.0682634770742595</v>
      </c>
    </row>
    <row r="28" customFormat="false" ht="12.8" hidden="false" customHeight="false" outlineLevel="0" collapsed="false">
      <c r="C28" s="13"/>
    </row>
    <row r="29" customFormat="false" ht="12.8" hidden="false" customHeight="false" outlineLevel="0" collapsed="false">
      <c r="C29" s="13"/>
    </row>
    <row r="30" customFormat="false" ht="12.8" hidden="false" customHeight="false" outlineLevel="0" collapsed="false">
      <c r="B30" s="13"/>
      <c r="C30" s="13"/>
    </row>
    <row r="31" customFormat="false" ht="12.8" hidden="false" customHeight="false" outlineLevel="0" collapsed="false">
      <c r="B31" s="13"/>
      <c r="C31" s="13"/>
    </row>
    <row r="32" customFormat="false" ht="12.8" hidden="false" customHeight="false" outlineLevel="0" collapsed="false">
      <c r="B32" s="13"/>
      <c r="C32" s="13"/>
    </row>
    <row r="33" customFormat="false" ht="12.8" hidden="false" customHeight="false" outlineLevel="0" collapsed="false">
      <c r="B33" s="13"/>
      <c r="C33" s="13"/>
    </row>
    <row r="34" customFormat="false" ht="12.8" hidden="false" customHeight="false" outlineLevel="0" collapsed="false">
      <c r="B34" s="13"/>
      <c r="C34" s="13"/>
    </row>
    <row r="35" customFormat="false" ht="12.8" hidden="false" customHeight="false" outlineLevel="0" collapsed="false">
      <c r="B35" s="13"/>
      <c r="C35" s="13"/>
    </row>
    <row r="36" customFormat="false" ht="12.8" hidden="false" customHeight="false" outlineLevel="0" collapsed="false">
      <c r="B36" s="13"/>
      <c r="C36" s="13"/>
    </row>
    <row r="37" customFormat="false" ht="12.8" hidden="false" customHeight="false" outlineLevel="0" collapsed="false">
      <c r="B37" s="13"/>
      <c r="C37" s="13"/>
    </row>
    <row r="38" customFormat="false" ht="12.8" hidden="false" customHeight="false" outlineLevel="0" collapsed="false">
      <c r="B38" s="13"/>
      <c r="C38" s="13"/>
    </row>
    <row r="39" customFormat="false" ht="12.8" hidden="false" customHeight="false" outlineLevel="0" collapsed="false">
      <c r="B39" s="13"/>
      <c r="C39" s="13"/>
    </row>
    <row r="40" customFormat="false" ht="12.8" hidden="false" customHeight="false" outlineLevel="0" collapsed="false">
      <c r="B40" s="13"/>
      <c r="C40" s="13"/>
    </row>
    <row r="41" customFormat="false" ht="12.8" hidden="false" customHeight="false" outlineLevel="0" collapsed="false">
      <c r="B41" s="13"/>
      <c r="C41" s="13"/>
    </row>
    <row r="42" customFormat="false" ht="12.8" hidden="false" customHeight="false" outlineLevel="0" collapsed="false">
      <c r="B42" s="13"/>
      <c r="C42" s="13"/>
    </row>
    <row r="43" customFormat="false" ht="12.8" hidden="false" customHeight="false" outlineLevel="0" collapsed="false">
      <c r="B43" s="13"/>
      <c r="C43" s="13"/>
    </row>
    <row r="44" customFormat="false" ht="12.8" hidden="false" customHeight="false" outlineLevel="0" collapsed="false">
      <c r="B44" s="13"/>
      <c r="C44" s="13"/>
    </row>
    <row r="45" customFormat="false" ht="12.8" hidden="false" customHeight="false" outlineLevel="0" collapsed="false">
      <c r="B45" s="13"/>
      <c r="C45" s="13"/>
    </row>
    <row r="46" customFormat="false" ht="12.8" hidden="false" customHeight="false" outlineLevel="0" collapsed="false">
      <c r="B46" s="13"/>
      <c r="C46" s="13"/>
    </row>
    <row r="47" customFormat="false" ht="12.8" hidden="false" customHeight="false" outlineLevel="0" collapsed="false">
      <c r="B47" s="13"/>
      <c r="C47" s="13"/>
    </row>
    <row r="48" customFormat="false" ht="12.8" hidden="false" customHeight="false" outlineLevel="0" collapsed="false">
      <c r="B48" s="13"/>
      <c r="C48" s="13"/>
    </row>
    <row r="49" customFormat="false" ht="12.8" hidden="false" customHeight="false" outlineLevel="0" collapsed="false">
      <c r="B49" s="13"/>
      <c r="C49" s="13"/>
    </row>
    <row r="50" customFormat="false" ht="12.8" hidden="false" customHeight="false" outlineLevel="0" collapsed="false">
      <c r="B50" s="13"/>
      <c r="C50" s="13"/>
    </row>
    <row r="51" customFormat="false" ht="12.8" hidden="false" customHeight="false" outlineLevel="0" collapsed="false">
      <c r="B51" s="13"/>
      <c r="C51" s="13"/>
    </row>
    <row r="52" customFormat="false" ht="12.8" hidden="false" customHeight="false" outlineLevel="0" collapsed="false">
      <c r="B52" s="13"/>
      <c r="C52" s="13"/>
    </row>
    <row r="53" customFormat="false" ht="12.8" hidden="false" customHeight="false" outlineLevel="0" collapsed="false">
      <c r="B53" s="13"/>
      <c r="C53" s="13"/>
    </row>
    <row r="54" customFormat="false" ht="12.8" hidden="false" customHeight="false" outlineLevel="0" collapsed="false">
      <c r="B54" s="13"/>
      <c r="C54" s="13"/>
    </row>
    <row r="55" customFormat="false" ht="12.8" hidden="false" customHeight="false" outlineLevel="0" collapsed="false">
      <c r="B55" s="13"/>
      <c r="C55" s="13"/>
    </row>
    <row r="56" customFormat="false" ht="12.8" hidden="false" customHeight="false" outlineLevel="0" collapsed="false">
      <c r="B56" s="13"/>
      <c r="C56" s="13"/>
    </row>
    <row r="57" customFormat="false" ht="12.8" hidden="false" customHeight="false" outlineLevel="0" collapsed="false">
      <c r="B57" s="13"/>
      <c r="C57" s="13"/>
    </row>
    <row r="58" customFormat="false" ht="12.8" hidden="false" customHeight="false" outlineLevel="0" collapsed="false">
      <c r="B58" s="13"/>
      <c r="C58" s="13"/>
    </row>
    <row r="59" customFormat="false" ht="12.8" hidden="false" customHeight="false" outlineLevel="0" collapsed="false">
      <c r="B59" s="13"/>
      <c r="C59" s="13"/>
    </row>
    <row r="60" customFormat="false" ht="12.8" hidden="false" customHeight="false" outlineLevel="0" collapsed="false">
      <c r="B60" s="13"/>
      <c r="C60" s="13"/>
    </row>
    <row r="61" customFormat="false" ht="12.8" hidden="false" customHeight="false" outlineLevel="0" collapsed="false">
      <c r="B61" s="13"/>
      <c r="C61" s="13"/>
    </row>
    <row r="62" customFormat="false" ht="12.8" hidden="false" customHeight="false" outlineLevel="0" collapsed="false">
      <c r="B62" s="13"/>
      <c r="C62" s="13"/>
    </row>
    <row r="63" customFormat="false" ht="12.8" hidden="false" customHeight="false" outlineLevel="0" collapsed="false">
      <c r="B63" s="13"/>
      <c r="C63" s="13"/>
    </row>
    <row r="64" customFormat="false" ht="12.8" hidden="false" customHeight="false" outlineLevel="0" collapsed="false">
      <c r="B64" s="13"/>
      <c r="C64" s="13"/>
    </row>
    <row r="65" customFormat="false" ht="12.8" hidden="false" customHeight="false" outlineLevel="0" collapsed="false">
      <c r="B65" s="13"/>
      <c r="C65" s="13"/>
    </row>
    <row r="66" customFormat="false" ht="12.8" hidden="false" customHeight="false" outlineLevel="0" collapsed="false">
      <c r="B66" s="13"/>
      <c r="C66" s="13"/>
    </row>
    <row r="67" customFormat="false" ht="12.8" hidden="false" customHeight="false" outlineLevel="0" collapsed="false">
      <c r="B67" s="13"/>
      <c r="C67" s="13"/>
    </row>
    <row r="68" customFormat="false" ht="12.8" hidden="false" customHeight="false" outlineLevel="0" collapsed="false">
      <c r="B68" s="13"/>
      <c r="C68" s="13"/>
    </row>
    <row r="69" customFormat="false" ht="12.8" hidden="false" customHeight="false" outlineLevel="0" collapsed="false">
      <c r="B69" s="13"/>
      <c r="C69" s="13"/>
    </row>
    <row r="70" customFormat="false" ht="12.8" hidden="false" customHeight="false" outlineLevel="0" collapsed="false">
      <c r="B70" s="13"/>
      <c r="C70" s="13"/>
    </row>
    <row r="71" customFormat="false" ht="12.8" hidden="false" customHeight="false" outlineLevel="0" collapsed="false">
      <c r="B71" s="13"/>
      <c r="C71" s="13"/>
    </row>
    <row r="72" customFormat="false" ht="12.8" hidden="false" customHeight="false" outlineLevel="0" collapsed="false">
      <c r="B72" s="13"/>
      <c r="C72" s="13"/>
    </row>
    <row r="73" customFormat="false" ht="12.8" hidden="false" customHeight="false" outlineLevel="0" collapsed="false">
      <c r="B73" s="13"/>
      <c r="C73" s="13"/>
    </row>
    <row r="74" customFormat="false" ht="12.8" hidden="false" customHeight="false" outlineLevel="0" collapsed="false">
      <c r="B74" s="13"/>
      <c r="C74" s="13"/>
    </row>
    <row r="75" customFormat="false" ht="12.8" hidden="false" customHeight="false" outlineLevel="0" collapsed="false">
      <c r="B75" s="13"/>
      <c r="C75" s="13"/>
    </row>
    <row r="76" customFormat="false" ht="12.8" hidden="false" customHeight="false" outlineLevel="0" collapsed="false">
      <c r="B76" s="13"/>
      <c r="C76" s="13"/>
    </row>
    <row r="77" customFormat="false" ht="12.8" hidden="false" customHeight="false" outlineLevel="0" collapsed="false">
      <c r="B77" s="13"/>
      <c r="C77" s="13"/>
    </row>
    <row r="78" customFormat="false" ht="12.8" hidden="false" customHeight="false" outlineLevel="0" collapsed="false">
      <c r="B78" s="13"/>
      <c r="C78" s="13"/>
    </row>
    <row r="79" customFormat="false" ht="12.8" hidden="false" customHeight="false" outlineLevel="0" collapsed="false">
      <c r="B79" s="13"/>
      <c r="C79" s="13"/>
    </row>
    <row r="80" customFormat="false" ht="12.8" hidden="false" customHeight="false" outlineLevel="0" collapsed="false">
      <c r="B80" s="13"/>
      <c r="C80" s="13"/>
    </row>
    <row r="81" customFormat="false" ht="12.8" hidden="false" customHeight="false" outlineLevel="0" collapsed="false">
      <c r="B81" s="13"/>
      <c r="C81" s="13"/>
    </row>
    <row r="82" customFormat="false" ht="12.8" hidden="false" customHeight="false" outlineLevel="0" collapsed="false">
      <c r="B82" s="13"/>
      <c r="C82" s="13"/>
    </row>
    <row r="83" customFormat="false" ht="12.8" hidden="false" customHeight="false" outlineLevel="0" collapsed="false">
      <c r="B83" s="13"/>
      <c r="C83" s="13"/>
    </row>
    <row r="84" customFormat="false" ht="12.8" hidden="false" customHeight="false" outlineLevel="0" collapsed="false">
      <c r="B84" s="13"/>
      <c r="C84" s="13"/>
    </row>
    <row r="85" customFormat="false" ht="12.8" hidden="false" customHeight="false" outlineLevel="0" collapsed="false">
      <c r="B85" s="13"/>
      <c r="C85" s="13"/>
    </row>
    <row r="86" customFormat="false" ht="12.8" hidden="false" customHeight="false" outlineLevel="0" collapsed="false">
      <c r="B86" s="13"/>
      <c r="C86" s="13"/>
    </row>
    <row r="87" customFormat="false" ht="12.8" hidden="false" customHeight="false" outlineLevel="0" collapsed="false">
      <c r="B87" s="13"/>
      <c r="C87" s="13"/>
    </row>
    <row r="88" customFormat="false" ht="12.8" hidden="false" customHeight="false" outlineLevel="0" collapsed="false">
      <c r="B88" s="13"/>
      <c r="C88" s="13"/>
    </row>
    <row r="89" customFormat="false" ht="12.8" hidden="false" customHeight="false" outlineLevel="0" collapsed="false">
      <c r="B89" s="13"/>
      <c r="C89" s="13"/>
    </row>
    <row r="90" customFormat="false" ht="12.8" hidden="false" customHeight="false" outlineLevel="0" collapsed="false">
      <c r="B90" s="13"/>
      <c r="C90" s="13"/>
    </row>
    <row r="91" customFormat="false" ht="12.8" hidden="false" customHeight="false" outlineLevel="0" collapsed="false">
      <c r="B91" s="13"/>
      <c r="C91" s="13"/>
    </row>
    <row r="92" customFormat="false" ht="12.8" hidden="false" customHeight="false" outlineLevel="0" collapsed="false">
      <c r="B92" s="13"/>
      <c r="C92" s="13"/>
    </row>
    <row r="93" customFormat="false" ht="12.8" hidden="false" customHeight="false" outlineLevel="0" collapsed="false">
      <c r="B93" s="13"/>
      <c r="C93" s="13"/>
    </row>
    <row r="94" customFormat="false" ht="12.8" hidden="false" customHeight="false" outlineLevel="0" collapsed="false">
      <c r="B94" s="13"/>
      <c r="C94" s="13"/>
    </row>
    <row r="95" customFormat="false" ht="12.8" hidden="false" customHeight="false" outlineLevel="0" collapsed="false">
      <c r="B95" s="13"/>
      <c r="C95" s="13"/>
    </row>
    <row r="96" customFormat="false" ht="12.8" hidden="false" customHeight="false" outlineLevel="0" collapsed="false">
      <c r="B96" s="13"/>
      <c r="C96" s="13"/>
    </row>
    <row r="97" customFormat="false" ht="12.8" hidden="false" customHeight="false" outlineLevel="0" collapsed="false">
      <c r="B97" s="13"/>
      <c r="C97" s="13"/>
    </row>
    <row r="98" customFormat="false" ht="12.8" hidden="false" customHeight="false" outlineLevel="0" collapsed="false">
      <c r="B98" s="13"/>
      <c r="C98" s="13"/>
    </row>
    <row r="99" customFormat="false" ht="12.8" hidden="false" customHeight="false" outlineLevel="0" collapsed="false">
      <c r="B99" s="13"/>
      <c r="C99" s="13"/>
    </row>
    <row r="100" customFormat="false" ht="12.8" hidden="false" customHeight="false" outlineLevel="0" collapsed="false">
      <c r="B100" s="13"/>
      <c r="C100" s="13"/>
    </row>
    <row r="101" customFormat="false" ht="12.8" hidden="false" customHeight="false" outlineLevel="0" collapsed="false">
      <c r="B101" s="13"/>
      <c r="C101" s="13"/>
    </row>
    <row r="102" customFormat="false" ht="12.8" hidden="false" customHeight="false" outlineLevel="0" collapsed="false">
      <c r="B102" s="13"/>
      <c r="C102" s="13"/>
    </row>
    <row r="103" customFormat="false" ht="12.8" hidden="false" customHeight="false" outlineLevel="0" collapsed="false">
      <c r="B103" s="13"/>
      <c r="C103" s="13"/>
    </row>
    <row r="104" customFormat="false" ht="12.8" hidden="false" customHeight="false" outlineLevel="0" collapsed="false">
      <c r="B104" s="13"/>
      <c r="C104" s="13"/>
    </row>
    <row r="105" customFormat="false" ht="12.8" hidden="false" customHeight="false" outlineLevel="0" collapsed="false">
      <c r="B105" s="13"/>
      <c r="C105" s="13"/>
    </row>
    <row r="106" customFormat="false" ht="12.8" hidden="false" customHeight="false" outlineLevel="0" collapsed="false">
      <c r="B106" s="13"/>
      <c r="C106" s="13"/>
    </row>
    <row r="107" customFormat="false" ht="12.8" hidden="false" customHeight="false" outlineLevel="0" collapsed="false">
      <c r="B107" s="13"/>
      <c r="C107" s="13"/>
    </row>
    <row r="108" customFormat="false" ht="12.8" hidden="false" customHeight="false" outlineLevel="0" collapsed="false">
      <c r="B108" s="13"/>
      <c r="C108" s="13"/>
    </row>
    <row r="109" customFormat="false" ht="12.8" hidden="false" customHeight="false" outlineLevel="0" collapsed="false">
      <c r="B109" s="13"/>
      <c r="C109" s="13"/>
    </row>
    <row r="110" customFormat="false" ht="12.8" hidden="false" customHeight="false" outlineLevel="0" collapsed="false">
      <c r="B110" s="13"/>
      <c r="C110" s="13"/>
    </row>
    <row r="111" customFormat="false" ht="12.8" hidden="false" customHeight="false" outlineLevel="0" collapsed="false">
      <c r="B111" s="13"/>
      <c r="C111" s="13"/>
    </row>
    <row r="112" customFormat="false" ht="12.8" hidden="false" customHeight="false" outlineLevel="0" collapsed="false">
      <c r="B112" s="13"/>
    </row>
    <row r="113" customFormat="false" ht="12.8" hidden="false" customHeight="false" outlineLevel="0" collapsed="false">
      <c r="B113" s="13"/>
    </row>
    <row r="114" customFormat="false" ht="12.8" hidden="false" customHeight="false" outlineLevel="0" collapsed="false">
      <c r="B114" s="13"/>
    </row>
    <row r="115" customFormat="false" ht="12.8" hidden="false" customHeight="false" outlineLevel="0" collapsed="false">
      <c r="B115" s="13"/>
    </row>
    <row r="116" customFormat="false" ht="12.8" hidden="false" customHeight="false" outlineLevel="0" collapsed="false">
      <c r="B116" s="13"/>
    </row>
    <row r="117" customFormat="false" ht="12.8" hidden="false" customHeight="false" outlineLevel="0" collapsed="false">
      <c r="B117" s="13"/>
    </row>
    <row r="118" customFormat="false" ht="12.8" hidden="false" customHeight="false" outlineLevel="0" collapsed="false">
      <c r="B118" s="13"/>
    </row>
    <row r="119" customFormat="false" ht="12.8" hidden="false" customHeight="false" outlineLevel="0" collapsed="false">
      <c r="B119" s="13"/>
    </row>
    <row r="120" customFormat="false" ht="12.8" hidden="false" customHeight="false" outlineLevel="0" collapsed="false">
      <c r="B120" s="13"/>
    </row>
    <row r="121" customFormat="false" ht="12.8" hidden="false" customHeight="false" outlineLevel="0" collapsed="false">
      <c r="B121" s="13"/>
    </row>
    <row r="122" customFormat="false" ht="12.8" hidden="false" customHeight="false" outlineLevel="0" collapsed="false">
      <c r="B122" s="13"/>
    </row>
    <row r="123" customFormat="false" ht="12.8" hidden="false" customHeight="false" outlineLevel="0" collapsed="false">
      <c r="B123" s="13"/>
    </row>
    <row r="124" customFormat="false" ht="12.8" hidden="false" customHeight="false" outlineLevel="0" collapsed="false">
      <c r="B124" s="13"/>
    </row>
    <row r="125" customFormat="false" ht="12.8" hidden="false" customHeight="false" outlineLevel="0" collapsed="false">
      <c r="B125" s="13"/>
    </row>
    <row r="126" customFormat="false" ht="12.8" hidden="false" customHeight="false" outlineLevel="0" collapsed="false">
      <c r="B126" s="13"/>
    </row>
    <row r="127" customFormat="false" ht="12.8" hidden="false" customHeight="false" outlineLevel="0" collapsed="false">
      <c r="B127" s="13"/>
    </row>
    <row r="128" customFormat="false" ht="12.8" hidden="false" customHeight="false" outlineLevel="0" collapsed="false">
      <c r="B128" s="13"/>
    </row>
    <row r="129" customFormat="false" ht="12.8" hidden="false" customHeight="false" outlineLevel="0" collapsed="false">
      <c r="B129" s="13"/>
    </row>
    <row r="130" customFormat="false" ht="12.8" hidden="false" customHeight="false" outlineLevel="0" collapsed="false">
      <c r="B130" s="13"/>
    </row>
    <row r="131" customFormat="false" ht="12.8" hidden="false" customHeight="false" outlineLevel="0" collapsed="false">
      <c r="B131" s="13"/>
    </row>
    <row r="132" customFormat="false" ht="12.8" hidden="false" customHeight="false" outlineLevel="0" collapsed="false">
      <c r="B132" s="13"/>
    </row>
    <row r="133" customFormat="false" ht="12.8" hidden="false" customHeight="false" outlineLevel="0" collapsed="false">
      <c r="B133" s="13"/>
    </row>
    <row r="134" customFormat="false" ht="12.8" hidden="false" customHeight="false" outlineLevel="0" collapsed="false">
      <c r="B134" s="13"/>
    </row>
    <row r="135" customFormat="false" ht="12.8" hidden="false" customHeight="false" outlineLevel="0" collapsed="false">
      <c r="B135" s="13"/>
    </row>
    <row r="136" customFormat="false" ht="12.8" hidden="false" customHeight="false" outlineLevel="0" collapsed="false">
      <c r="B136" s="13"/>
    </row>
    <row r="137" customFormat="false" ht="12.8" hidden="false" customHeight="false" outlineLevel="0" collapsed="false">
      <c r="B137" s="13"/>
    </row>
    <row r="138" customFormat="false" ht="12.8" hidden="false" customHeight="false" outlineLevel="0" collapsed="false">
      <c r="B138" s="13"/>
    </row>
    <row r="139" customFormat="false" ht="12.8" hidden="false" customHeight="false" outlineLevel="0" collapsed="false">
      <c r="B139" s="13"/>
    </row>
    <row r="140" customFormat="false" ht="12.8" hidden="false" customHeight="false" outlineLevel="0" collapsed="false">
      <c r="B140" s="13"/>
    </row>
    <row r="141" customFormat="false" ht="12.8" hidden="false" customHeight="false" outlineLevel="0" collapsed="false">
      <c r="B141" s="13"/>
    </row>
    <row r="142" customFormat="false" ht="12.8" hidden="false" customHeight="false" outlineLevel="0" collapsed="false">
      <c r="B142" s="13"/>
    </row>
    <row r="143" customFormat="false" ht="12.8" hidden="false" customHeight="false" outlineLevel="0" collapsed="false">
      <c r="B143" s="13"/>
    </row>
    <row r="144" customFormat="false" ht="12.8" hidden="false" customHeight="false" outlineLevel="0" collapsed="false">
      <c r="B144" s="13"/>
    </row>
    <row r="145" customFormat="false" ht="12.8" hidden="false" customHeight="false" outlineLevel="0" collapsed="false">
      <c r="B145" s="13"/>
    </row>
    <row r="146" customFormat="false" ht="12.8" hidden="false" customHeight="false" outlineLevel="0" collapsed="false">
      <c r="B146" s="13"/>
    </row>
    <row r="147" customFormat="false" ht="12.8" hidden="false" customHeight="false" outlineLevel="0" collapsed="false">
      <c r="B147" s="13"/>
    </row>
    <row r="148" customFormat="false" ht="12.8" hidden="false" customHeight="false" outlineLevel="0" collapsed="false">
      <c r="B148" s="13"/>
    </row>
    <row r="149" customFormat="false" ht="12.8" hidden="false" customHeight="false" outlineLevel="0" collapsed="false">
      <c r="B149" s="13"/>
    </row>
    <row r="150" customFormat="false" ht="12.8" hidden="false" customHeight="false" outlineLevel="0" collapsed="false">
      <c r="B150" s="13"/>
    </row>
    <row r="151" customFormat="false" ht="12.8" hidden="false" customHeight="false" outlineLevel="0" collapsed="false">
      <c r="B151" s="13"/>
    </row>
    <row r="152" customFormat="false" ht="12.8" hidden="false" customHeight="false" outlineLevel="0" collapsed="false">
      <c r="B152" s="13"/>
    </row>
    <row r="153" customFormat="false" ht="12.8" hidden="false" customHeight="false" outlineLevel="0" collapsed="false">
      <c r="B153" s="13"/>
    </row>
    <row r="154" customFormat="false" ht="12.8" hidden="false" customHeight="false" outlineLevel="0" collapsed="false">
      <c r="B154" s="13"/>
    </row>
    <row r="155" customFormat="false" ht="12.8" hidden="false" customHeight="false" outlineLevel="0" collapsed="false">
      <c r="B155" s="13"/>
    </row>
    <row r="156" customFormat="false" ht="12.8" hidden="false" customHeight="false" outlineLevel="0" collapsed="false">
      <c r="B156" s="13"/>
    </row>
    <row r="157" customFormat="false" ht="12.8" hidden="false" customHeight="false" outlineLevel="0" collapsed="false">
      <c r="B157" s="13"/>
    </row>
    <row r="158" customFormat="false" ht="12.8" hidden="false" customHeight="false" outlineLevel="0" collapsed="false">
      <c r="B158" s="13"/>
    </row>
    <row r="159" customFormat="false" ht="12.8" hidden="false" customHeight="false" outlineLevel="0" collapsed="false">
      <c r="B159" s="13"/>
    </row>
    <row r="160" customFormat="false" ht="12.8" hidden="false" customHeight="false" outlineLevel="0" collapsed="false">
      <c r="B160" s="13"/>
    </row>
    <row r="161" customFormat="false" ht="12.8" hidden="false" customHeight="false" outlineLevel="0" collapsed="false">
      <c r="B161" s="13"/>
    </row>
    <row r="162" customFormat="false" ht="12.8" hidden="false" customHeight="false" outlineLevel="0" collapsed="false">
      <c r="B162" s="13"/>
    </row>
    <row r="163" customFormat="false" ht="12.8" hidden="false" customHeight="false" outlineLevel="0" collapsed="false">
      <c r="B163" s="13"/>
    </row>
    <row r="164" customFormat="false" ht="12.8" hidden="false" customHeight="false" outlineLevel="0" collapsed="false">
      <c r="B164" s="13"/>
    </row>
    <row r="165" customFormat="false" ht="12.8" hidden="false" customHeight="false" outlineLevel="0" collapsed="false">
      <c r="B165" s="13"/>
    </row>
    <row r="166" customFormat="false" ht="12.8" hidden="false" customHeight="false" outlineLevel="0" collapsed="false">
      <c r="B166" s="13"/>
    </row>
    <row r="167" customFormat="false" ht="12.8" hidden="false" customHeight="false" outlineLevel="0" collapsed="false">
      <c r="B167" s="13"/>
    </row>
    <row r="168" customFormat="false" ht="12.8" hidden="false" customHeight="false" outlineLevel="0" collapsed="false">
      <c r="B168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04"/>
  <sheetViews>
    <sheetView showFormulas="false" showGridLines="true" showRowColHeaders="true" showZeros="true" rightToLeft="false" tabSelected="false" showOutlineSymbols="true" defaultGridColor="true" view="normal" topLeftCell="A7" colorId="64" zoomScale="125" zoomScaleNormal="125" zoomScalePageLayoutView="100" workbookViewId="0">
      <selection pane="topLeft" activeCell="H61" activeCellId="0" sqref="H61"/>
    </sheetView>
  </sheetViews>
  <sheetFormatPr defaultColWidth="12.3984375" defaultRowHeight="12.8" customHeight="false" zeroHeight="false" outlineLevelRow="0" outlineLevelCol="0"/>
  <cols>
    <col collapsed="false" customWidth="false" hidden="false" outlineLevel="0" max="1" min="1" style="13" width="12.4"/>
    <col collapsed="false" customWidth="true" hidden="false" outlineLevel="0" max="2" min="2" style="13" width="19.26"/>
    <col collapsed="false" customWidth="true" hidden="false" outlineLevel="0" max="3" min="3" style="13" width="22.83"/>
    <col collapsed="false" customWidth="true" hidden="false" outlineLevel="0" max="4" min="4" style="13" width="19.26"/>
    <col collapsed="false" customWidth="true" hidden="false" outlineLevel="0" max="5" min="5" style="13" width="20.33"/>
    <col collapsed="false" customWidth="true" hidden="false" outlineLevel="0" max="6" min="6" style="13" width="19.26"/>
    <col collapsed="false" customWidth="true" hidden="false" outlineLevel="0" max="8" min="7" style="13" width="21.89"/>
    <col collapsed="false" customWidth="true" hidden="false" outlineLevel="0" max="9" min="9" style="13" width="20.83"/>
    <col collapsed="false" customWidth="true" hidden="false" outlineLevel="0" max="12" min="10" style="13" width="21.42"/>
    <col collapsed="false" customWidth="true" hidden="false" outlineLevel="0" max="13" min="13" style="13" width="18.19"/>
    <col collapsed="false" customWidth="true" hidden="false" outlineLevel="0" max="14" min="14" style="13" width="17.11"/>
    <col collapsed="false" customWidth="false" hidden="false" outlineLevel="0" max="16384" min="15" style="13" width="12.4"/>
  </cols>
  <sheetData>
    <row r="2" customFormat="false" ht="13.1" hidden="false" customHeight="true" outlineLevel="0" collapsed="false">
      <c r="B2" s="14" t="s">
        <v>111</v>
      </c>
      <c r="C2" s="14"/>
    </row>
    <row r="3" customFormat="false" ht="12.8" hidden="false" customHeight="false" outlineLevel="0" collapsed="false">
      <c r="A3" s="13" t="s">
        <v>112</v>
      </c>
      <c r="B3" s="13" t="s">
        <v>113</v>
      </c>
      <c r="C3" s="13" t="s">
        <v>114</v>
      </c>
      <c r="E3" s="13" t="s">
        <v>115</v>
      </c>
      <c r="F3" s="13" t="s">
        <v>116</v>
      </c>
      <c r="G3" s="13" t="s">
        <v>117</v>
      </c>
      <c r="H3" s="13" t="s">
        <v>118</v>
      </c>
      <c r="I3" s="13" t="s">
        <v>119</v>
      </c>
      <c r="J3" s="13" t="s">
        <v>120</v>
      </c>
      <c r="K3" s="13" t="s">
        <v>121</v>
      </c>
      <c r="L3" s="13" t="s">
        <v>122</v>
      </c>
    </row>
    <row r="4" customFormat="false" ht="12.8" hidden="false" customHeight="false" outlineLevel="0" collapsed="false">
      <c r="A4" s="9" t="n">
        <v>1</v>
      </c>
      <c r="B4" s="13" t="n">
        <v>0.820228412658582</v>
      </c>
      <c r="C4" s="9" t="n">
        <v>0.814239110206597</v>
      </c>
      <c r="E4" s="13" t="n">
        <f aca="false">_xlfn.STDEV.S(B4:B28)</f>
        <v>0.0461761426345903</v>
      </c>
      <c r="F4" s="13" t="n">
        <f aca="false">_xlfn.STDEV.S(C4:C28)</f>
        <v>0.115777622594574</v>
      </c>
      <c r="G4" s="13" t="n">
        <f aca="false">_xlfn.F.TEST(B4:B28,C4:C28)</f>
        <v>2.74033142422254E-005</v>
      </c>
      <c r="H4" s="13" t="n">
        <f aca="false">_xlfn.T.TEST(B4:B28, C4:C28, 2,2)</f>
        <v>2.81509380696755E-011</v>
      </c>
      <c r="I4" s="13" t="n">
        <f aca="false">_xlfn.T.TEST(B4:B28,C4:C28, 2,3)</f>
        <v>9.26781748828785E-010</v>
      </c>
      <c r="J4" s="13" t="n">
        <f aca="false">AVERAGE(B4:B28)-AVERAGE(C4:C28)</f>
        <v>0.21427897281844</v>
      </c>
      <c r="K4" s="13" t="n">
        <f aca="false">AVERAGE(B4:B28)</f>
        <v>0.751293032886024</v>
      </c>
      <c r="L4" s="13" t="n">
        <f aca="false">AVERAGE(C4:C28)</f>
        <v>0.537014060067584</v>
      </c>
    </row>
    <row r="5" customFormat="false" ht="12.8" hidden="false" customHeight="false" outlineLevel="0" collapsed="false">
      <c r="A5" s="9" t="n">
        <v>2</v>
      </c>
      <c r="B5" s="13" t="n">
        <v>0.764592146543124</v>
      </c>
      <c r="C5" s="9" t="n">
        <v>0.490374312148473</v>
      </c>
      <c r="E5" s="7"/>
      <c r="F5" s="7"/>
      <c r="G5" s="7"/>
      <c r="H5" s="7"/>
      <c r="I5" s="7"/>
      <c r="J5" s="7"/>
    </row>
    <row r="6" customFormat="false" ht="12.8" hidden="false" customHeight="false" outlineLevel="0" collapsed="false">
      <c r="A6" s="9" t="n">
        <v>3</v>
      </c>
      <c r="B6" s="13" t="n">
        <v>0.723011363854634</v>
      </c>
      <c r="C6" s="9" t="n">
        <v>0.511020333673144</v>
      </c>
    </row>
    <row r="7" customFormat="false" ht="12.8" hidden="false" customHeight="false" outlineLevel="0" collapsed="false">
      <c r="A7" s="9" t="n">
        <v>4</v>
      </c>
      <c r="B7" s="13" t="n">
        <v>0.756420441420714</v>
      </c>
      <c r="C7" s="9" t="n">
        <v>0.732127465170909</v>
      </c>
    </row>
    <row r="8" customFormat="false" ht="12.8" hidden="false" customHeight="false" outlineLevel="0" collapsed="false">
      <c r="A8" s="9" t="n">
        <v>5</v>
      </c>
      <c r="B8" s="13" t="n">
        <v>0.620462176144914</v>
      </c>
      <c r="C8" s="9" t="n">
        <v>0.504587895177563</v>
      </c>
    </row>
    <row r="9" customFormat="false" ht="12.8" hidden="false" customHeight="false" outlineLevel="0" collapsed="false">
      <c r="A9" s="9" t="n">
        <v>6</v>
      </c>
      <c r="B9" s="13" t="n">
        <v>0.798549003615991</v>
      </c>
      <c r="C9" s="9" t="n">
        <v>0.622216951394874</v>
      </c>
    </row>
    <row r="10" customFormat="false" ht="12.8" hidden="false" customHeight="false" outlineLevel="0" collapsed="false">
      <c r="A10" s="9" t="n">
        <v>7</v>
      </c>
      <c r="B10" s="13" t="n">
        <v>0.754603762692231</v>
      </c>
      <c r="C10" s="9" t="n">
        <v>0.568213401724064</v>
      </c>
    </row>
    <row r="11" customFormat="false" ht="12.8" hidden="false" customHeight="false" outlineLevel="0" collapsed="false">
      <c r="A11" s="9" t="n">
        <v>8</v>
      </c>
      <c r="B11" s="13" t="n">
        <v>0.786128366374384</v>
      </c>
      <c r="C11" s="9" t="n">
        <v>0.41336820596451</v>
      </c>
    </row>
    <row r="12" customFormat="false" ht="12.8" hidden="false" customHeight="false" outlineLevel="0" collapsed="false">
      <c r="A12" s="9" t="n">
        <v>9</v>
      </c>
      <c r="B12" s="13" t="n">
        <v>0.753257435556755</v>
      </c>
      <c r="C12" s="9" t="n">
        <v>0.469619098748715</v>
      </c>
    </row>
    <row r="13" customFormat="false" ht="12.8" hidden="false" customHeight="false" outlineLevel="0" collapsed="false">
      <c r="A13" s="9" t="n">
        <v>10</v>
      </c>
      <c r="B13" s="13" t="n">
        <v>0.807843832088534</v>
      </c>
      <c r="C13" s="9" t="n">
        <v>0.702597542452374</v>
      </c>
    </row>
    <row r="14" customFormat="false" ht="12.8" hidden="false" customHeight="false" outlineLevel="0" collapsed="false">
      <c r="A14" s="9" t="n">
        <v>11</v>
      </c>
      <c r="B14" s="13" t="n">
        <v>0.778100841853998</v>
      </c>
      <c r="C14" s="9" t="n">
        <v>0.535746887825282</v>
      </c>
    </row>
    <row r="15" customFormat="false" ht="12.8" hidden="false" customHeight="false" outlineLevel="0" collapsed="false">
      <c r="A15" s="9" t="n">
        <v>12</v>
      </c>
      <c r="B15" s="13" t="n">
        <v>0.762452458306693</v>
      </c>
      <c r="C15" s="9" t="n">
        <v>0.616806330672693</v>
      </c>
    </row>
    <row r="16" customFormat="false" ht="12.8" hidden="false" customHeight="false" outlineLevel="0" collapsed="false">
      <c r="A16" s="9" t="n">
        <v>13</v>
      </c>
      <c r="B16" s="13" t="n">
        <v>0.720022272820606</v>
      </c>
      <c r="C16" s="9" t="n">
        <v>0.526308913298082</v>
      </c>
    </row>
    <row r="17" customFormat="false" ht="12.8" hidden="false" customHeight="false" outlineLevel="0" collapsed="false">
      <c r="A17" s="9" t="n">
        <v>14</v>
      </c>
      <c r="B17" s="13" t="n">
        <v>0.738694358646482</v>
      </c>
      <c r="C17" s="9" t="n">
        <v>0.427683818632696</v>
      </c>
    </row>
    <row r="18" customFormat="false" ht="12.8" hidden="false" customHeight="false" outlineLevel="0" collapsed="false">
      <c r="A18" s="9" t="n">
        <v>15</v>
      </c>
      <c r="B18" s="13" t="n">
        <v>0.743421830265577</v>
      </c>
      <c r="C18" s="9" t="n">
        <v>0.575658160345531</v>
      </c>
    </row>
    <row r="19" customFormat="false" ht="12.8" hidden="false" customHeight="false" outlineLevel="0" collapsed="false">
      <c r="A19" s="9" t="n">
        <v>16</v>
      </c>
      <c r="B19" s="13" t="n">
        <v>0.763479689807917</v>
      </c>
      <c r="C19" s="9" t="n">
        <v>0.577045877569951</v>
      </c>
    </row>
    <row r="20" customFormat="false" ht="12.8" hidden="false" customHeight="false" outlineLevel="0" collapsed="false">
      <c r="A20" s="9" t="n">
        <v>17</v>
      </c>
      <c r="B20" s="13" t="n">
        <v>0.744667994911406</v>
      </c>
      <c r="C20" s="9" t="n">
        <v>0.651295774227774</v>
      </c>
    </row>
    <row r="21" customFormat="false" ht="12.8" hidden="false" customHeight="false" outlineLevel="0" collapsed="false">
      <c r="A21" s="9" t="n">
        <v>18</v>
      </c>
      <c r="B21" s="13" t="n">
        <v>0.695089950294851</v>
      </c>
      <c r="C21" s="9" t="n">
        <v>0.599275891539331</v>
      </c>
    </row>
    <row r="22" customFormat="false" ht="12.8" hidden="false" customHeight="false" outlineLevel="0" collapsed="false">
      <c r="A22" s="9" t="n">
        <v>19</v>
      </c>
      <c r="B22" s="13" t="n">
        <v>0.719748414663605</v>
      </c>
      <c r="C22" s="9" t="n">
        <v>0.50621471844151</v>
      </c>
    </row>
    <row r="23" customFormat="false" ht="12.8" hidden="false" customHeight="false" outlineLevel="0" collapsed="false">
      <c r="A23" s="9" t="n">
        <v>20</v>
      </c>
      <c r="B23" s="13" t="n">
        <v>0.850110132917837</v>
      </c>
      <c r="C23" s="9" t="n">
        <v>0.478099594542392</v>
      </c>
    </row>
    <row r="24" customFormat="false" ht="12.8" hidden="false" customHeight="false" outlineLevel="0" collapsed="false">
      <c r="A24" s="9" t="n">
        <v>21</v>
      </c>
      <c r="B24" s="13" t="n">
        <v>0.734658481254958</v>
      </c>
      <c r="C24" s="9" t="n">
        <v>0.382151937725075</v>
      </c>
    </row>
    <row r="25" customFormat="false" ht="12.8" hidden="false" customHeight="false" outlineLevel="0" collapsed="false">
      <c r="A25" s="9" t="n">
        <v>22</v>
      </c>
      <c r="B25" s="13" t="n">
        <v>0.702205596693105</v>
      </c>
      <c r="C25" s="9" t="n">
        <v>0.428068760639408</v>
      </c>
    </row>
    <row r="26" customFormat="false" ht="12.8" hidden="false" customHeight="false" outlineLevel="0" collapsed="false">
      <c r="A26" s="9" t="n">
        <v>23</v>
      </c>
      <c r="B26" s="13" t="n">
        <v>0.723021317867517</v>
      </c>
      <c r="C26" s="9" t="n">
        <v>0.344371087443739</v>
      </c>
    </row>
    <row r="27" customFormat="false" ht="12.8" hidden="false" customHeight="false" outlineLevel="0" collapsed="false">
      <c r="A27" s="9" t="n">
        <v>24</v>
      </c>
      <c r="B27" s="13" t="n">
        <v>0.790978057596565</v>
      </c>
      <c r="C27" s="9" t="n">
        <v>0.582850658814915</v>
      </c>
    </row>
    <row r="28" customFormat="false" ht="12.8" hidden="false" customHeight="false" outlineLevel="0" collapsed="false">
      <c r="A28" s="13" t="n">
        <v>25</v>
      </c>
      <c r="B28" s="13" t="n">
        <v>0.730577483299618</v>
      </c>
      <c r="C28" s="9" t="n">
        <v>0.365408773309983</v>
      </c>
    </row>
    <row r="33" customFormat="false" ht="12.8" hidden="false" customHeight="true" outlineLevel="0" collapsed="false">
      <c r="B33" s="14" t="s">
        <v>111</v>
      </c>
      <c r="C33" s="14"/>
    </row>
    <row r="34" customFormat="false" ht="12.8" hidden="false" customHeight="false" outlineLevel="0" collapsed="false">
      <c r="B34" s="3"/>
    </row>
    <row r="35" customFormat="false" ht="12.8" hidden="false" customHeight="false" outlineLevel="0" collapsed="false">
      <c r="A35" s="13" t="s">
        <v>112</v>
      </c>
      <c r="B35" s="13" t="s">
        <v>113</v>
      </c>
      <c r="C35" s="13" t="s">
        <v>123</v>
      </c>
      <c r="D35" s="13" t="s">
        <v>124</v>
      </c>
      <c r="E35" s="13" t="s">
        <v>125</v>
      </c>
      <c r="G35" s="15" t="s">
        <v>126</v>
      </c>
    </row>
    <row r="36" customFormat="false" ht="12.8" hidden="false" customHeight="false" outlineLevel="0" collapsed="false">
      <c r="A36" s="9" t="n">
        <v>1</v>
      </c>
      <c r="B36" s="13" t="n">
        <v>0.820228412658582</v>
      </c>
      <c r="C36" s="13" t="n">
        <v>0.825587383221469</v>
      </c>
      <c r="D36" s="13" t="n">
        <v>0.842837131615738</v>
      </c>
      <c r="E36" s="13" t="n">
        <v>0.826465743120003</v>
      </c>
      <c r="G36" s="13" t="s">
        <v>127</v>
      </c>
      <c r="H36" s="13" t="n">
        <v>0.05</v>
      </c>
    </row>
    <row r="37" customFormat="false" ht="12.8" hidden="false" customHeight="false" outlineLevel="0" collapsed="false">
      <c r="A37" s="9" t="n">
        <v>2</v>
      </c>
      <c r="B37" s="13" t="n">
        <v>0.764592146543124</v>
      </c>
      <c r="C37" s="13" t="n">
        <v>0.784325401049142</v>
      </c>
      <c r="D37" s="13" t="n">
        <v>0.75574434703051</v>
      </c>
      <c r="E37" s="13" t="n">
        <v>0.760295791016544</v>
      </c>
    </row>
    <row r="38" customFormat="false" ht="12.8" hidden="false" customHeight="false" outlineLevel="0" collapsed="false">
      <c r="A38" s="9" t="n">
        <v>3</v>
      </c>
      <c r="B38" s="13" t="n">
        <v>0.723011363854634</v>
      </c>
      <c r="C38" s="13" t="n">
        <v>0.74701543366489</v>
      </c>
      <c r="D38" s="13" t="n">
        <v>0.75246138552499</v>
      </c>
      <c r="E38" s="13" t="n">
        <v>0.745513104503565</v>
      </c>
      <c r="G38" s="13" t="s">
        <v>128</v>
      </c>
      <c r="H38" s="13" t="s">
        <v>129</v>
      </c>
      <c r="I38" s="13" t="s">
        <v>130</v>
      </c>
      <c r="J38" s="13" t="s">
        <v>131</v>
      </c>
      <c r="K38" s="13" t="s">
        <v>132</v>
      </c>
    </row>
    <row r="39" customFormat="false" ht="12.8" hidden="false" customHeight="false" outlineLevel="0" collapsed="false">
      <c r="A39" s="9" t="n">
        <v>4</v>
      </c>
      <c r="B39" s="13" t="n">
        <v>0.756420441420714</v>
      </c>
      <c r="C39" s="13" t="n">
        <v>0.742572987280356</v>
      </c>
      <c r="D39" s="13" t="n">
        <v>0.755239937675953</v>
      </c>
      <c r="E39" s="13" t="n">
        <v>0.740237977344109</v>
      </c>
      <c r="G39" s="13" t="s">
        <v>133</v>
      </c>
      <c r="H39" s="13" t="n">
        <f aca="false">COUNT(inter_system_stats!$B$35:$B$60)</f>
        <v>25</v>
      </c>
      <c r="I39" s="13" t="n">
        <f aca="false">SUM(inter_system_stats!$B$35:$B$60)</f>
        <v>18.7823258221506</v>
      </c>
      <c r="J39" s="13" t="n">
        <f aca="false">AVERAGE(inter_system_stats!$B$35:$B$60)</f>
        <v>0.751293032886024</v>
      </c>
      <c r="K39" s="13" t="n">
        <f aca="false">VAR(inter_system_stats!$B$35:$B$60)</f>
        <v>0.00213223614861003</v>
      </c>
    </row>
    <row r="40" customFormat="false" ht="12.8" hidden="false" customHeight="false" outlineLevel="0" collapsed="false">
      <c r="A40" s="9" t="n">
        <v>5</v>
      </c>
      <c r="B40" s="13" t="n">
        <v>0.620462176144914</v>
      </c>
      <c r="C40" s="13" t="n">
        <v>0.638291604257815</v>
      </c>
      <c r="D40" s="13" t="n">
        <v>0.68196906691827</v>
      </c>
      <c r="E40" s="13" t="n">
        <v>0.701417807349544</v>
      </c>
      <c r="G40" s="13" t="s">
        <v>134</v>
      </c>
      <c r="H40" s="13" t="n">
        <f aca="false">COUNT(inter_system_stats!$C$35:$C$60)</f>
        <v>25</v>
      </c>
      <c r="I40" s="13" t="n">
        <f aca="false">SUM(inter_system_stats!$C$35:$C$60)</f>
        <v>18.8111044590845</v>
      </c>
      <c r="J40" s="13" t="n">
        <f aca="false">AVERAGE(inter_system_stats!$C$35:$C$60)</f>
        <v>0.752444178363381</v>
      </c>
      <c r="K40" s="13" t="n">
        <f aca="false">VAR(inter_system_stats!$C$35:$C$60)</f>
        <v>0.00231810364606429</v>
      </c>
    </row>
    <row r="41" customFormat="false" ht="12.8" hidden="false" customHeight="false" outlineLevel="0" collapsed="false">
      <c r="A41" s="9" t="n">
        <v>6</v>
      </c>
      <c r="B41" s="13" t="n">
        <v>0.798549003615991</v>
      </c>
      <c r="C41" s="13" t="n">
        <v>0.770021861028678</v>
      </c>
      <c r="D41" s="13" t="n">
        <v>0.805094582904182</v>
      </c>
      <c r="E41" s="13" t="n">
        <v>0.764412269319662</v>
      </c>
      <c r="G41" s="13" t="s">
        <v>135</v>
      </c>
      <c r="H41" s="13" t="n">
        <f aca="false">COUNT(inter_system_stats!$D$35:$D$60)</f>
        <v>25</v>
      </c>
      <c r="I41" s="13" t="n">
        <f aca="false">SUM(inter_system_stats!$D$35:$D$60)</f>
        <v>18.8051590677053</v>
      </c>
      <c r="J41" s="13" t="n">
        <f aca="false">AVERAGE(inter_system_stats!$D$35:$D$60)</f>
        <v>0.752206362708213</v>
      </c>
      <c r="K41" s="13" t="n">
        <f aca="false">VAR(inter_system_stats!$D$35:$D$60)</f>
        <v>0.00202400865138334</v>
      </c>
    </row>
    <row r="42" customFormat="false" ht="12.8" hidden="false" customHeight="false" outlineLevel="0" collapsed="false">
      <c r="A42" s="9" t="n">
        <v>7</v>
      </c>
      <c r="B42" s="13" t="n">
        <v>0.754603762692231</v>
      </c>
      <c r="C42" s="13" t="n">
        <v>0.776708177030339</v>
      </c>
      <c r="D42" s="13" t="n">
        <v>0.731449097356676</v>
      </c>
      <c r="E42" s="13" t="n">
        <v>0.704629188099325</v>
      </c>
      <c r="G42" s="13" t="s">
        <v>136</v>
      </c>
      <c r="H42" s="13" t="n">
        <f aca="false">COUNT(inter_system_stats!$E$35:$E$60)</f>
        <v>25</v>
      </c>
      <c r="I42" s="13" t="n">
        <f aca="false">SUM(inter_system_stats!$E$35:$E$60)</f>
        <v>18.7266587732978</v>
      </c>
      <c r="J42" s="13" t="n">
        <f aca="false">AVERAGE(inter_system_stats!$E$35:$E$60)</f>
        <v>0.749066350931911</v>
      </c>
      <c r="K42" s="13" t="n">
        <f aca="false">VAR(inter_system_stats!$E$35:$E$60)</f>
        <v>0.00203641681568622</v>
      </c>
    </row>
    <row r="43" customFormat="false" ht="12.8" hidden="false" customHeight="false" outlineLevel="0" collapsed="false">
      <c r="A43" s="9" t="n">
        <v>8</v>
      </c>
      <c r="B43" s="13" t="n">
        <v>0.786128366374384</v>
      </c>
      <c r="C43" s="13" t="n">
        <v>0.766895136055456</v>
      </c>
      <c r="D43" s="13" t="n">
        <v>0.798699397007465</v>
      </c>
      <c r="E43" s="13" t="n">
        <v>0.77201186291984</v>
      </c>
    </row>
    <row r="44" customFormat="false" ht="12.8" hidden="false" customHeight="false" outlineLevel="0" collapsed="false">
      <c r="A44" s="9" t="n">
        <v>9</v>
      </c>
      <c r="B44" s="13" t="n">
        <v>0.753257435556755</v>
      </c>
      <c r="C44" s="13" t="n">
        <v>0.726865282761305</v>
      </c>
      <c r="D44" s="13" t="n">
        <v>0.751181065835833</v>
      </c>
      <c r="E44" s="13" t="n">
        <v>0.72188407789367</v>
      </c>
      <c r="G44" s="13" t="s">
        <v>137</v>
      </c>
      <c r="H44" s="13" t="s">
        <v>138</v>
      </c>
      <c r="I44" s="13" t="s">
        <v>139</v>
      </c>
      <c r="J44" s="13" t="s">
        <v>140</v>
      </c>
      <c r="K44" s="13" t="s">
        <v>141</v>
      </c>
      <c r="L44" s="13" t="s">
        <v>142</v>
      </c>
      <c r="M44" s="13" t="s">
        <v>143</v>
      </c>
    </row>
    <row r="45" customFormat="false" ht="12.8" hidden="false" customHeight="false" outlineLevel="0" collapsed="false">
      <c r="A45" s="9" t="n">
        <v>10</v>
      </c>
      <c r="B45" s="13" t="n">
        <v>0.807843832088534</v>
      </c>
      <c r="C45" s="13" t="n">
        <v>0.76670385944117</v>
      </c>
      <c r="D45" s="13" t="n">
        <v>0.780317010541866</v>
      </c>
      <c r="E45" s="13" t="n">
        <v>0.801799093845666</v>
      </c>
      <c r="G45" s="13" t="s">
        <v>144</v>
      </c>
      <c r="H45" s="13" t="n">
        <f aca="false">SUMPRODUCT(inter_system_stats!$I$39:$I$42,inter_system_stats!$J$39:$J$42)-SUM(inter_system_stats!$I$39:$I$42)^2/SUM(inter_system_stats!$H$39:$H$42)</f>
        <v>0.000177771051227182</v>
      </c>
      <c r="I45" s="13" t="n">
        <f aca="false">COUNT(inter_system_stats!$I$39:$I$42)-1</f>
        <v>3</v>
      </c>
      <c r="J45" s="13" t="n">
        <f aca="false">inter_system_stats!$H$45 / inter_system_stats!$I$45</f>
        <v>5.92570170757275E-005</v>
      </c>
      <c r="K45" s="13" t="n">
        <f aca="false">inter_system_stats!$J$45 / inter_system_stats!$J$46</f>
        <v>0.0278503825464859</v>
      </c>
      <c r="L45" s="13" t="n">
        <f aca="false">FDIST(inter_system_stats!$K$45, inter_system_stats!$I$45, inter_system_stats!$I$46)</f>
        <v>0.993691556840458</v>
      </c>
      <c r="M45" s="13" t="n">
        <f aca="false">FINV(inter_system_stats!$H$36, inter_system_stats!$I$45, inter_system_stats!$I$46)</f>
        <v>2.69939259755218</v>
      </c>
    </row>
    <row r="46" customFormat="false" ht="12.8" hidden="false" customHeight="false" outlineLevel="0" collapsed="false">
      <c r="A46" s="9" t="n">
        <v>11</v>
      </c>
      <c r="B46" s="13" t="n">
        <v>0.778100841853998</v>
      </c>
      <c r="C46" s="13" t="n">
        <v>0.826512142391129</v>
      </c>
      <c r="D46" s="13" t="n">
        <v>0.788964918757002</v>
      </c>
      <c r="E46" s="13" t="n">
        <v>0.82639186986707</v>
      </c>
      <c r="G46" s="13" t="s">
        <v>145</v>
      </c>
      <c r="H46" s="13" t="n">
        <f aca="false">SUM(DEVSQ(inter_system_stats!$B$35:$B$60),DEVSQ(inter_system_stats!$C$35:$C$60),DEVSQ(inter_system_stats!$D$35:$D$60),DEVSQ(inter_system_stats!$E$35:$E$60))</f>
        <v>0.204258366281853</v>
      </c>
      <c r="I46" s="13" t="n">
        <f aca="false">SUM(inter_system_stats!$H$39:$H$42)-COUNT(inter_system_stats!$H$39:$H$42)</f>
        <v>96</v>
      </c>
      <c r="J46" s="13" t="n">
        <f aca="false">inter_system_stats!$H$46 / inter_system_stats!$I$46</f>
        <v>0.00212769131543597</v>
      </c>
    </row>
    <row r="47" customFormat="false" ht="12.8" hidden="false" customHeight="false" outlineLevel="0" collapsed="false">
      <c r="A47" s="9" t="n">
        <v>12</v>
      </c>
      <c r="B47" s="13" t="n">
        <v>0.762452458306693</v>
      </c>
      <c r="C47" s="13" t="n">
        <v>0.762736139690589</v>
      </c>
      <c r="D47" s="13" t="n">
        <v>0.744429655439828</v>
      </c>
      <c r="E47" s="13" t="n">
        <v>0.74557662237038</v>
      </c>
      <c r="G47" s="13" t="s">
        <v>146</v>
      </c>
      <c r="H47" s="13" t="n">
        <f aca="false">DEVSQ(inter_system_stats!$B$35:$B$60,inter_system_stats!$C$35:$C$60,inter_system_stats!$D$35:$D$60,inter_system_stats!$E$35:$E$60)</f>
        <v>0.204436137333084</v>
      </c>
      <c r="I47" s="13" t="n">
        <f aca="false">SUM(inter_system_stats!$H$39:$H$42) - 1</f>
        <v>99</v>
      </c>
    </row>
    <row r="48" customFormat="false" ht="12.8" hidden="false" customHeight="false" outlineLevel="0" collapsed="false">
      <c r="A48" s="9" t="n">
        <v>13</v>
      </c>
      <c r="B48" s="13" t="n">
        <v>0.720022272820606</v>
      </c>
      <c r="C48" s="13" t="n">
        <v>0.710160103406143</v>
      </c>
      <c r="D48" s="13" t="n">
        <v>0.764347939487069</v>
      </c>
      <c r="E48" s="13" t="n">
        <v>0.739304791041697</v>
      </c>
    </row>
    <row r="49" customFormat="false" ht="12.8" hidden="false" customHeight="false" outlineLevel="0" collapsed="false">
      <c r="A49" s="9" t="n">
        <v>14</v>
      </c>
      <c r="B49" s="13" t="n">
        <v>0.738694358646482</v>
      </c>
      <c r="C49" s="13" t="n">
        <v>0.734376384357835</v>
      </c>
      <c r="D49" s="13" t="n">
        <v>0.716647920997565</v>
      </c>
      <c r="E49" s="13" t="n">
        <v>0.716775890381091</v>
      </c>
    </row>
    <row r="50" customFormat="false" ht="12.8" hidden="false" customHeight="false" outlineLevel="0" collapsed="false">
      <c r="A50" s="9" t="n">
        <v>15</v>
      </c>
      <c r="B50" s="13" t="n">
        <v>0.743421830265577</v>
      </c>
      <c r="C50" s="13" t="n">
        <v>0.756542240061655</v>
      </c>
      <c r="D50" s="13" t="n">
        <v>0.761929247616581</v>
      </c>
      <c r="E50" s="13" t="n">
        <v>0.72335469896996</v>
      </c>
    </row>
    <row r="51" customFormat="false" ht="12.8" hidden="false" customHeight="false" outlineLevel="0" collapsed="false">
      <c r="A51" s="9" t="n">
        <v>16</v>
      </c>
      <c r="B51" s="13" t="n">
        <v>0.763479689807917</v>
      </c>
      <c r="C51" s="13" t="n">
        <v>0.773732018127407</v>
      </c>
      <c r="D51" s="13" t="n">
        <v>0.742748731630287</v>
      </c>
      <c r="E51" s="13" t="n">
        <v>0.74148150305735</v>
      </c>
    </row>
    <row r="52" customFormat="false" ht="12.8" hidden="false" customHeight="false" outlineLevel="0" collapsed="false">
      <c r="A52" s="9" t="n">
        <v>17</v>
      </c>
      <c r="B52" s="13" t="n">
        <v>0.744667994911406</v>
      </c>
      <c r="C52" s="13" t="n">
        <v>0.812690613075421</v>
      </c>
      <c r="D52" s="13" t="n">
        <v>0.764209873398772</v>
      </c>
      <c r="E52" s="13" t="n">
        <v>0.782813226803677</v>
      </c>
    </row>
    <row r="53" customFormat="false" ht="12.8" hidden="false" customHeight="false" outlineLevel="0" collapsed="false">
      <c r="A53" s="9" t="n">
        <v>18</v>
      </c>
      <c r="B53" s="13" t="n">
        <v>0.695089950294851</v>
      </c>
      <c r="C53" s="13" t="n">
        <v>0.726488853152379</v>
      </c>
      <c r="D53" s="13" t="n">
        <v>0.700796274261234</v>
      </c>
      <c r="E53" s="13" t="n">
        <v>0.683924726356955</v>
      </c>
    </row>
    <row r="54" customFormat="false" ht="12.8" hidden="false" customHeight="false" outlineLevel="0" collapsed="false">
      <c r="A54" s="9" t="n">
        <v>19</v>
      </c>
      <c r="B54" s="13" t="n">
        <v>0.719748414663605</v>
      </c>
      <c r="C54" s="13" t="n">
        <v>0.763300559740396</v>
      </c>
      <c r="D54" s="13" t="n">
        <v>0.716284059047156</v>
      </c>
      <c r="E54" s="13" t="n">
        <v>0.741861628869437</v>
      </c>
    </row>
    <row r="55" customFormat="false" ht="12.8" hidden="false" customHeight="false" outlineLevel="0" collapsed="false">
      <c r="A55" s="9" t="n">
        <v>20</v>
      </c>
      <c r="B55" s="13" t="n">
        <v>0.850110132917837</v>
      </c>
      <c r="C55" s="13" t="n">
        <v>0.816538134208694</v>
      </c>
      <c r="D55" s="13" t="n">
        <v>0.839023541568098</v>
      </c>
      <c r="E55" s="13" t="n">
        <v>0.861291025455911</v>
      </c>
    </row>
    <row r="56" customFormat="false" ht="12.8" hidden="false" customHeight="false" outlineLevel="0" collapsed="false">
      <c r="A56" s="9" t="n">
        <v>21</v>
      </c>
      <c r="B56" s="13" t="n">
        <v>0.734658481254958</v>
      </c>
      <c r="C56" s="13" t="n">
        <v>0.643391428768254</v>
      </c>
      <c r="D56" s="13" t="n">
        <v>0.704024831920364</v>
      </c>
      <c r="E56" s="13" t="n">
        <v>0.726997779119958</v>
      </c>
    </row>
    <row r="57" customFormat="false" ht="12.8" hidden="false" customHeight="false" outlineLevel="0" collapsed="false">
      <c r="A57" s="9" t="n">
        <v>22</v>
      </c>
      <c r="B57" s="13" t="n">
        <v>0.702205596693105</v>
      </c>
      <c r="C57" s="13" t="n">
        <v>0.769255872522075</v>
      </c>
      <c r="D57" s="13" t="n">
        <v>0.684998594155911</v>
      </c>
      <c r="E57" s="13" t="n">
        <v>0.665221956623617</v>
      </c>
    </row>
    <row r="58" customFormat="false" ht="12.8" hidden="false" customHeight="false" outlineLevel="0" collapsed="false">
      <c r="A58" s="9" t="n">
        <v>23</v>
      </c>
      <c r="B58" s="13" t="n">
        <v>0.723021317867517</v>
      </c>
      <c r="C58" s="13" t="n">
        <v>0.684670543211604</v>
      </c>
      <c r="D58" s="13" t="n">
        <v>0.69681187759039</v>
      </c>
      <c r="E58" s="13" t="n">
        <v>0.761746926827647</v>
      </c>
    </row>
    <row r="59" customFormat="false" ht="12.8" hidden="false" customHeight="false" outlineLevel="0" collapsed="false">
      <c r="A59" s="9" t="n">
        <v>24</v>
      </c>
      <c r="B59" s="13" t="n">
        <v>0.790978057596565</v>
      </c>
      <c r="C59" s="13" t="n">
        <v>0.758491886581855</v>
      </c>
      <c r="D59" s="13" t="n">
        <v>0.809836609324266</v>
      </c>
      <c r="E59" s="13" t="n">
        <v>0.746216792553118</v>
      </c>
    </row>
    <row r="60" customFormat="false" ht="12.8" hidden="false" customHeight="false" outlineLevel="0" collapsed="false">
      <c r="A60" s="13" t="n">
        <v>25</v>
      </c>
      <c r="B60" s="13" t="n">
        <v>0.730577483299618</v>
      </c>
      <c r="C60" s="13" t="n">
        <v>0.727230413998473</v>
      </c>
      <c r="D60" s="13" t="n">
        <v>0.715111970099327</v>
      </c>
      <c r="E60" s="13" t="n">
        <v>0.725032419587978</v>
      </c>
    </row>
    <row r="64" customFormat="false" ht="12.8" hidden="false" customHeight="false" outlineLevel="0" collapsed="false">
      <c r="B64" s="13" t="s">
        <v>147</v>
      </c>
    </row>
    <row r="66" customFormat="false" ht="12.8" hidden="false" customHeight="false" outlineLevel="0" collapsed="false">
      <c r="A66" s="13" t="s">
        <v>112</v>
      </c>
      <c r="B66" s="13" t="s">
        <v>113</v>
      </c>
      <c r="C66" s="13" t="s">
        <v>123</v>
      </c>
      <c r="D66" s="13" t="s">
        <v>124</v>
      </c>
      <c r="E66" s="13" t="s">
        <v>125</v>
      </c>
      <c r="F66" s="13" t="s">
        <v>114</v>
      </c>
    </row>
    <row r="67" customFormat="false" ht="12.8" hidden="false" customHeight="false" outlineLevel="0" collapsed="false">
      <c r="A67" s="9" t="n">
        <v>1</v>
      </c>
      <c r="B67" s="13" t="n">
        <v>0.820228412658582</v>
      </c>
      <c r="C67" s="13" t="n">
        <v>0.825587383221469</v>
      </c>
      <c r="D67" s="13" t="n">
        <v>0.842837131615738</v>
      </c>
      <c r="E67" s="13" t="n">
        <v>0.826465743120003</v>
      </c>
      <c r="F67" s="9" t="n">
        <v>0.814239110206597</v>
      </c>
    </row>
    <row r="68" customFormat="false" ht="12.8" hidden="false" customHeight="false" outlineLevel="0" collapsed="false">
      <c r="A68" s="9" t="n">
        <v>2</v>
      </c>
      <c r="B68" s="13" t="n">
        <v>0.764592146543124</v>
      </c>
      <c r="C68" s="13" t="n">
        <v>0.784325401049142</v>
      </c>
      <c r="D68" s="13" t="n">
        <v>0.75574434703051</v>
      </c>
      <c r="E68" s="13" t="n">
        <v>0.760295791016544</v>
      </c>
      <c r="F68" s="9" t="n">
        <v>0.490374312148473</v>
      </c>
    </row>
    <row r="69" customFormat="false" ht="12.8" hidden="false" customHeight="false" outlineLevel="0" collapsed="false">
      <c r="A69" s="9" t="n">
        <v>3</v>
      </c>
      <c r="B69" s="13" t="n">
        <v>0.723011363854634</v>
      </c>
      <c r="C69" s="13" t="n">
        <v>0.74701543366489</v>
      </c>
      <c r="D69" s="13" t="n">
        <v>0.75246138552499</v>
      </c>
      <c r="E69" s="13" t="n">
        <v>0.745513104503565</v>
      </c>
      <c r="F69" s="9" t="n">
        <v>0.511020333673144</v>
      </c>
    </row>
    <row r="70" customFormat="false" ht="12.8" hidden="false" customHeight="false" outlineLevel="0" collapsed="false">
      <c r="A70" s="9" t="n">
        <v>4</v>
      </c>
      <c r="B70" s="13" t="n">
        <v>0.756420441420714</v>
      </c>
      <c r="C70" s="13" t="n">
        <v>0.742572987280356</v>
      </c>
      <c r="D70" s="13" t="n">
        <v>0.755239937675953</v>
      </c>
      <c r="E70" s="13" t="n">
        <v>0.740237977344109</v>
      </c>
      <c r="F70" s="9" t="n">
        <v>0.732127465170909</v>
      </c>
    </row>
    <row r="71" customFormat="false" ht="12.8" hidden="false" customHeight="false" outlineLevel="0" collapsed="false">
      <c r="A71" s="9" t="n">
        <v>5</v>
      </c>
      <c r="B71" s="13" t="n">
        <v>0.620462176144914</v>
      </c>
      <c r="C71" s="13" t="n">
        <v>0.638291604257815</v>
      </c>
      <c r="D71" s="13" t="n">
        <v>0.68196906691827</v>
      </c>
      <c r="E71" s="13" t="n">
        <v>0.701417807349544</v>
      </c>
      <c r="F71" s="9" t="n">
        <v>0.504587895177563</v>
      </c>
    </row>
    <row r="72" customFormat="false" ht="12.8" hidden="false" customHeight="false" outlineLevel="0" collapsed="false">
      <c r="A72" s="9" t="n">
        <v>6</v>
      </c>
      <c r="B72" s="13" t="n">
        <v>0.798549003615991</v>
      </c>
      <c r="C72" s="13" t="n">
        <v>0.770021861028678</v>
      </c>
      <c r="D72" s="13" t="n">
        <v>0.805094582904182</v>
      </c>
      <c r="E72" s="13" t="n">
        <v>0.764412269319662</v>
      </c>
      <c r="F72" s="9" t="n">
        <v>0.622216951394874</v>
      </c>
    </row>
    <row r="73" customFormat="false" ht="12.8" hidden="false" customHeight="false" outlineLevel="0" collapsed="false">
      <c r="A73" s="9" t="n">
        <v>7</v>
      </c>
      <c r="B73" s="13" t="n">
        <v>0.754603762692231</v>
      </c>
      <c r="C73" s="13" t="n">
        <v>0.776708177030339</v>
      </c>
      <c r="D73" s="13" t="n">
        <v>0.731449097356676</v>
      </c>
      <c r="E73" s="13" t="n">
        <v>0.704629188099325</v>
      </c>
      <c r="F73" s="9" t="n">
        <v>0.568213401724064</v>
      </c>
    </row>
    <row r="74" customFormat="false" ht="12.8" hidden="false" customHeight="false" outlineLevel="0" collapsed="false">
      <c r="A74" s="9" t="n">
        <v>8</v>
      </c>
      <c r="B74" s="13" t="n">
        <v>0.786128366374384</v>
      </c>
      <c r="C74" s="13" t="n">
        <v>0.766895136055456</v>
      </c>
      <c r="D74" s="13" t="n">
        <v>0.798699397007465</v>
      </c>
      <c r="E74" s="13" t="n">
        <v>0.77201186291984</v>
      </c>
      <c r="F74" s="9" t="n">
        <v>0.41336820596451</v>
      </c>
    </row>
    <row r="75" customFormat="false" ht="12.8" hidden="false" customHeight="false" outlineLevel="0" collapsed="false">
      <c r="A75" s="9" t="n">
        <v>9</v>
      </c>
      <c r="B75" s="13" t="n">
        <v>0.753257435556755</v>
      </c>
      <c r="C75" s="13" t="n">
        <v>0.726865282761305</v>
      </c>
      <c r="D75" s="13" t="n">
        <v>0.751181065835833</v>
      </c>
      <c r="E75" s="13" t="n">
        <v>0.72188407789367</v>
      </c>
      <c r="F75" s="9" t="n">
        <v>0.469619098748715</v>
      </c>
    </row>
    <row r="76" customFormat="false" ht="12.8" hidden="false" customHeight="false" outlineLevel="0" collapsed="false">
      <c r="A76" s="9" t="n">
        <v>10</v>
      </c>
      <c r="B76" s="13" t="n">
        <v>0.807843832088534</v>
      </c>
      <c r="C76" s="13" t="n">
        <v>0.76670385944117</v>
      </c>
      <c r="D76" s="13" t="n">
        <v>0.780317010541866</v>
      </c>
      <c r="E76" s="13" t="n">
        <v>0.801799093845666</v>
      </c>
      <c r="F76" s="9" t="n">
        <v>0.702597542452374</v>
      </c>
    </row>
    <row r="77" customFormat="false" ht="12.8" hidden="false" customHeight="false" outlineLevel="0" collapsed="false">
      <c r="A77" s="9" t="n">
        <v>11</v>
      </c>
      <c r="B77" s="13" t="n">
        <v>0.778100841853998</v>
      </c>
      <c r="C77" s="13" t="n">
        <v>0.826512142391129</v>
      </c>
      <c r="D77" s="13" t="n">
        <v>0.788964918757002</v>
      </c>
      <c r="E77" s="13" t="n">
        <v>0.82639186986707</v>
      </c>
      <c r="F77" s="9" t="n">
        <v>0.535746887825282</v>
      </c>
    </row>
    <row r="78" customFormat="false" ht="12.8" hidden="false" customHeight="false" outlineLevel="0" collapsed="false">
      <c r="A78" s="9" t="n">
        <v>12</v>
      </c>
      <c r="B78" s="13" t="n">
        <v>0.762452458306693</v>
      </c>
      <c r="C78" s="13" t="n">
        <v>0.762736139690589</v>
      </c>
      <c r="D78" s="13" t="n">
        <v>0.744429655439828</v>
      </c>
      <c r="E78" s="13" t="n">
        <v>0.74557662237038</v>
      </c>
      <c r="F78" s="9" t="n">
        <v>0.616806330672693</v>
      </c>
    </row>
    <row r="79" customFormat="false" ht="12.8" hidden="false" customHeight="false" outlineLevel="0" collapsed="false">
      <c r="A79" s="9" t="n">
        <v>13</v>
      </c>
      <c r="B79" s="13" t="n">
        <v>0.720022272820606</v>
      </c>
      <c r="C79" s="13" t="n">
        <v>0.710160103406143</v>
      </c>
      <c r="D79" s="13" t="n">
        <v>0.764347939487069</v>
      </c>
      <c r="E79" s="13" t="n">
        <v>0.739304791041697</v>
      </c>
      <c r="F79" s="9" t="n">
        <v>0.526308913298082</v>
      </c>
    </row>
    <row r="80" customFormat="false" ht="12.8" hidden="false" customHeight="false" outlineLevel="0" collapsed="false">
      <c r="A80" s="9" t="n">
        <v>14</v>
      </c>
      <c r="B80" s="13" t="n">
        <v>0.738694358646482</v>
      </c>
      <c r="C80" s="13" t="n">
        <v>0.734376384357835</v>
      </c>
      <c r="D80" s="13" t="n">
        <v>0.716647920997565</v>
      </c>
      <c r="E80" s="13" t="n">
        <v>0.716775890381091</v>
      </c>
      <c r="F80" s="9" t="n">
        <v>0.427683818632696</v>
      </c>
    </row>
    <row r="81" customFormat="false" ht="12.8" hidden="false" customHeight="false" outlineLevel="0" collapsed="false">
      <c r="A81" s="9" t="n">
        <v>15</v>
      </c>
      <c r="B81" s="13" t="n">
        <v>0.743421830265577</v>
      </c>
      <c r="C81" s="13" t="n">
        <v>0.756542240061655</v>
      </c>
      <c r="D81" s="13" t="n">
        <v>0.761929247616581</v>
      </c>
      <c r="E81" s="13" t="n">
        <v>0.72335469896996</v>
      </c>
      <c r="F81" s="9" t="n">
        <v>0.575658160345531</v>
      </c>
    </row>
    <row r="82" customFormat="false" ht="12.8" hidden="false" customHeight="false" outlineLevel="0" collapsed="false">
      <c r="A82" s="9" t="n">
        <v>16</v>
      </c>
      <c r="B82" s="13" t="n">
        <v>0.763479689807917</v>
      </c>
      <c r="C82" s="13" t="n">
        <v>0.773732018127407</v>
      </c>
      <c r="D82" s="13" t="n">
        <v>0.742748731630287</v>
      </c>
      <c r="E82" s="13" t="n">
        <v>0.74148150305735</v>
      </c>
      <c r="F82" s="9" t="n">
        <v>0.577045877569951</v>
      </c>
    </row>
    <row r="83" customFormat="false" ht="12.8" hidden="false" customHeight="false" outlineLevel="0" collapsed="false">
      <c r="A83" s="9" t="n">
        <v>17</v>
      </c>
      <c r="B83" s="13" t="n">
        <v>0.744667994911406</v>
      </c>
      <c r="C83" s="13" t="n">
        <v>0.812690613075421</v>
      </c>
      <c r="D83" s="13" t="n">
        <v>0.764209873398772</v>
      </c>
      <c r="E83" s="13" t="n">
        <v>0.782813226803677</v>
      </c>
      <c r="F83" s="9" t="n">
        <v>0.651295774227774</v>
      </c>
    </row>
    <row r="84" customFormat="false" ht="12.8" hidden="false" customHeight="false" outlineLevel="0" collapsed="false">
      <c r="A84" s="9" t="n">
        <v>18</v>
      </c>
      <c r="B84" s="13" t="n">
        <v>0.695089950294851</v>
      </c>
      <c r="C84" s="13" t="n">
        <v>0.726488853152379</v>
      </c>
      <c r="D84" s="13" t="n">
        <v>0.700796274261234</v>
      </c>
      <c r="E84" s="13" t="n">
        <v>0.683924726356955</v>
      </c>
      <c r="F84" s="9" t="n">
        <v>0.599275891539331</v>
      </c>
    </row>
    <row r="85" customFormat="false" ht="12.8" hidden="false" customHeight="false" outlineLevel="0" collapsed="false">
      <c r="A85" s="9" t="n">
        <v>19</v>
      </c>
      <c r="B85" s="13" t="n">
        <v>0.719748414663605</v>
      </c>
      <c r="C85" s="13" t="n">
        <v>0.763300559740396</v>
      </c>
      <c r="D85" s="13" t="n">
        <v>0.716284059047156</v>
      </c>
      <c r="E85" s="13" t="n">
        <v>0.741861628869437</v>
      </c>
      <c r="F85" s="9" t="n">
        <v>0.50621471844151</v>
      </c>
    </row>
    <row r="86" customFormat="false" ht="12.8" hidden="false" customHeight="false" outlineLevel="0" collapsed="false">
      <c r="A86" s="9" t="n">
        <v>20</v>
      </c>
      <c r="B86" s="13" t="n">
        <v>0.850110132917837</v>
      </c>
      <c r="C86" s="13" t="n">
        <v>0.816538134208694</v>
      </c>
      <c r="D86" s="13" t="n">
        <v>0.839023541568098</v>
      </c>
      <c r="E86" s="13" t="n">
        <v>0.861291025455911</v>
      </c>
      <c r="F86" s="9" t="n">
        <v>0.478099594542392</v>
      </c>
    </row>
    <row r="87" customFormat="false" ht="12.8" hidden="false" customHeight="false" outlineLevel="0" collapsed="false">
      <c r="A87" s="9" t="n">
        <v>21</v>
      </c>
      <c r="B87" s="13" t="n">
        <v>0.734658481254958</v>
      </c>
      <c r="C87" s="13" t="n">
        <v>0.643391428768254</v>
      </c>
      <c r="D87" s="13" t="n">
        <v>0.704024831920364</v>
      </c>
      <c r="E87" s="13" t="n">
        <v>0.726997779119958</v>
      </c>
      <c r="F87" s="9" t="n">
        <v>0.382151937725075</v>
      </c>
    </row>
    <row r="88" customFormat="false" ht="12.8" hidden="false" customHeight="false" outlineLevel="0" collapsed="false">
      <c r="A88" s="9" t="n">
        <v>22</v>
      </c>
      <c r="B88" s="13" t="n">
        <v>0.702205596693105</v>
      </c>
      <c r="C88" s="13" t="n">
        <v>0.769255872522075</v>
      </c>
      <c r="D88" s="13" t="n">
        <v>0.684998594155911</v>
      </c>
      <c r="E88" s="13" t="n">
        <v>0.665221956623617</v>
      </c>
      <c r="F88" s="9" t="n">
        <v>0.428068760639408</v>
      </c>
    </row>
    <row r="89" customFormat="false" ht="12.8" hidden="false" customHeight="false" outlineLevel="0" collapsed="false">
      <c r="A89" s="9" t="n">
        <v>23</v>
      </c>
      <c r="B89" s="13" t="n">
        <v>0.723021317867517</v>
      </c>
      <c r="C89" s="13" t="n">
        <v>0.684670543211604</v>
      </c>
      <c r="D89" s="13" t="n">
        <v>0.69681187759039</v>
      </c>
      <c r="E89" s="13" t="n">
        <v>0.761746926827647</v>
      </c>
      <c r="F89" s="9" t="n">
        <v>0.344371087443739</v>
      </c>
    </row>
    <row r="90" customFormat="false" ht="12.8" hidden="false" customHeight="false" outlineLevel="0" collapsed="false">
      <c r="A90" s="9" t="n">
        <v>24</v>
      </c>
      <c r="B90" s="13" t="n">
        <v>0.790978057596565</v>
      </c>
      <c r="C90" s="13" t="n">
        <v>0.758491886581855</v>
      </c>
      <c r="D90" s="13" t="n">
        <v>0.809836609324266</v>
      </c>
      <c r="E90" s="13" t="n">
        <v>0.746216792553118</v>
      </c>
      <c r="F90" s="9" t="n">
        <v>0.582850658814915</v>
      </c>
    </row>
    <row r="91" customFormat="false" ht="12.8" hidden="false" customHeight="false" outlineLevel="0" collapsed="false">
      <c r="A91" s="13" t="n">
        <v>25</v>
      </c>
      <c r="B91" s="13" t="n">
        <v>0.730577483299618</v>
      </c>
      <c r="C91" s="13" t="n">
        <v>0.727230413998473</v>
      </c>
      <c r="D91" s="13" t="n">
        <v>0.715111970099327</v>
      </c>
      <c r="E91" s="13" t="n">
        <v>0.725032419587978</v>
      </c>
      <c r="F91" s="9" t="n">
        <v>0.365408773309983</v>
      </c>
      <c r="H91" s="15" t="s">
        <v>126</v>
      </c>
    </row>
    <row r="92" customFormat="false" ht="12.8" hidden="false" customHeight="false" outlineLevel="0" collapsed="false">
      <c r="H92" s="13" t="s">
        <v>127</v>
      </c>
      <c r="I92" s="13" t="n">
        <v>0.05</v>
      </c>
    </row>
    <row r="94" customFormat="false" ht="12.8" hidden="false" customHeight="false" outlineLevel="0" collapsed="false">
      <c r="H94" s="13" t="s">
        <v>128</v>
      </c>
      <c r="I94" s="13" t="s">
        <v>129</v>
      </c>
      <c r="J94" s="13" t="s">
        <v>130</v>
      </c>
      <c r="K94" s="13" t="s">
        <v>131</v>
      </c>
      <c r="L94" s="13" t="s">
        <v>132</v>
      </c>
    </row>
    <row r="95" customFormat="false" ht="12.8" hidden="false" customHeight="false" outlineLevel="0" collapsed="false">
      <c r="H95" s="13" t="s">
        <v>133</v>
      </c>
      <c r="I95" s="13" t="n">
        <f aca="false">COUNT(inter_system_stats!$B$66:$B$91)</f>
        <v>25</v>
      </c>
      <c r="J95" s="13" t="n">
        <f aca="false">SUM(inter_system_stats!$B$66:$B$91)</f>
        <v>18.7823258221506</v>
      </c>
      <c r="K95" s="13" t="n">
        <f aca="false">AVERAGE(inter_system_stats!$B$66:$B$91)</f>
        <v>0.751293032886024</v>
      </c>
      <c r="L95" s="13" t="n">
        <f aca="false">VAR(inter_system_stats!$B$66:$B$91)</f>
        <v>0.00213223614861003</v>
      </c>
    </row>
    <row r="96" customFormat="false" ht="12.8" hidden="false" customHeight="false" outlineLevel="0" collapsed="false">
      <c r="H96" s="13" t="s">
        <v>134</v>
      </c>
      <c r="I96" s="13" t="n">
        <f aca="false">COUNT(inter_system_stats!$C$66:$C$91)</f>
        <v>25</v>
      </c>
      <c r="J96" s="13" t="n">
        <f aca="false">SUM(inter_system_stats!$C$66:$C$91)</f>
        <v>18.8111044590845</v>
      </c>
      <c r="K96" s="13" t="n">
        <f aca="false">AVERAGE(inter_system_stats!$C$66:$C$91)</f>
        <v>0.752444178363381</v>
      </c>
      <c r="L96" s="13" t="n">
        <f aca="false">VAR(inter_system_stats!$C$66:$C$91)</f>
        <v>0.00231810364606429</v>
      </c>
    </row>
    <row r="97" customFormat="false" ht="12.8" hidden="false" customHeight="false" outlineLevel="0" collapsed="false">
      <c r="H97" s="13" t="s">
        <v>135</v>
      </c>
      <c r="I97" s="13" t="n">
        <f aca="false">COUNT(inter_system_stats!$D$66:$D$91)</f>
        <v>25</v>
      </c>
      <c r="J97" s="13" t="n">
        <f aca="false">SUM(inter_system_stats!$D$66:$D$91)</f>
        <v>18.8051590677053</v>
      </c>
      <c r="K97" s="13" t="n">
        <f aca="false">AVERAGE(inter_system_stats!$D$66:$D$91)</f>
        <v>0.752206362708213</v>
      </c>
      <c r="L97" s="13" t="n">
        <f aca="false">VAR(inter_system_stats!$D$66:$D$91)</f>
        <v>0.00202400865138334</v>
      </c>
    </row>
    <row r="98" customFormat="false" ht="12.8" hidden="false" customHeight="false" outlineLevel="0" collapsed="false">
      <c r="H98" s="13" t="s">
        <v>136</v>
      </c>
      <c r="I98" s="13" t="n">
        <f aca="false">COUNT(inter_system_stats!$E$66:$E$91)</f>
        <v>25</v>
      </c>
      <c r="J98" s="13" t="n">
        <f aca="false">SUM(inter_system_stats!$E$66:$E$91)</f>
        <v>18.7266587732978</v>
      </c>
      <c r="K98" s="13" t="n">
        <f aca="false">AVERAGE(inter_system_stats!$E$66:$E$91)</f>
        <v>0.749066350931911</v>
      </c>
      <c r="L98" s="13" t="n">
        <f aca="false">VAR(inter_system_stats!$E$66:$E$91)</f>
        <v>0.00203641681568622</v>
      </c>
    </row>
    <row r="99" customFormat="false" ht="12.8" hidden="false" customHeight="false" outlineLevel="0" collapsed="false">
      <c r="H99" s="13" t="s">
        <v>148</v>
      </c>
      <c r="I99" s="13" t="n">
        <f aca="false">COUNT(inter_system_stats!$F$66:$F$91)</f>
        <v>25</v>
      </c>
      <c r="J99" s="13" t="n">
        <f aca="false">SUM(inter_system_stats!$F$66:$F$91)</f>
        <v>13.4253515016896</v>
      </c>
      <c r="K99" s="13" t="n">
        <f aca="false">AVERAGE(inter_system_stats!$F$66:$F$91)</f>
        <v>0.537014060067584</v>
      </c>
      <c r="L99" s="13" t="n">
        <f aca="false">VAR(inter_system_stats!$F$66:$F$91)</f>
        <v>0.0134044578936517</v>
      </c>
    </row>
    <row r="101" customFormat="false" ht="12.8" hidden="false" customHeight="false" outlineLevel="0" collapsed="false">
      <c r="H101" s="13" t="s">
        <v>137</v>
      </c>
      <c r="I101" s="13" t="s">
        <v>138</v>
      </c>
      <c r="J101" s="13" t="s">
        <v>139</v>
      </c>
      <c r="K101" s="13" t="s">
        <v>140</v>
      </c>
      <c r="L101" s="13" t="s">
        <v>141</v>
      </c>
      <c r="M101" s="13" t="s">
        <v>142</v>
      </c>
      <c r="N101" s="13" t="s">
        <v>143</v>
      </c>
    </row>
    <row r="102" customFormat="false" ht="12.8" hidden="false" customHeight="false" outlineLevel="0" collapsed="false">
      <c r="H102" s="13" t="s">
        <v>144</v>
      </c>
      <c r="I102" s="13" t="n">
        <f aca="false">SUMPRODUCT(inter_system_stats!$J$95:$J$99,inter_system_stats!$K$95:$K$99)-SUM(inter_system_stats!$J$95:$J$99)^2/SUM(inter_system_stats!$I$95:$I$99)</f>
        <v>0.918139793029248</v>
      </c>
      <c r="J102" s="13" t="n">
        <f aca="false">COUNT(inter_system_stats!$J$95:$J$99)-1</f>
        <v>4</v>
      </c>
      <c r="K102" s="13" t="n">
        <f aca="false">inter_system_stats!$I$102 / inter_system_stats!$J$102</f>
        <v>0.229534948257312</v>
      </c>
      <c r="L102" s="13" t="n">
        <f aca="false">inter_system_stats!$K$102 / inter_system_stats!$K$103</f>
        <v>52.3688366369201</v>
      </c>
      <c r="M102" s="13" t="n">
        <f aca="false">FDIST(inter_system_stats!$L$102, inter_system_stats!$J$102, inter_system_stats!$J$103)</f>
        <v>1.88017673583451E-025</v>
      </c>
      <c r="N102" s="13" t="n">
        <f aca="false">FINV(inter_system_stats!$I$92, inter_system_stats!$J$102, inter_system_stats!$J$103)</f>
        <v>2.4472365114693</v>
      </c>
    </row>
    <row r="103" customFormat="false" ht="12.8" hidden="false" customHeight="false" outlineLevel="0" collapsed="false">
      <c r="H103" s="13" t="s">
        <v>145</v>
      </c>
      <c r="I103" s="13" t="n">
        <f aca="false">SUM(DEVSQ(inter_system_stats!$B$66:$B$91),DEVSQ(inter_system_stats!$C$66:$C$91),DEVSQ(inter_system_stats!$D$66:$D$91),DEVSQ(inter_system_stats!$E$66:$E$91),DEVSQ(inter_system_stats!$F$66:$F$91))</f>
        <v>0.525965355729494</v>
      </c>
      <c r="J103" s="13" t="n">
        <f aca="false">SUM(inter_system_stats!$I$95:$I$99)-COUNT(inter_system_stats!$I$95:$I$99)</f>
        <v>120</v>
      </c>
      <c r="K103" s="13" t="n">
        <f aca="false">inter_system_stats!$I$103 / inter_system_stats!$J$103</f>
        <v>0.00438304463107912</v>
      </c>
    </row>
    <row r="104" customFormat="false" ht="12.8" hidden="false" customHeight="false" outlineLevel="0" collapsed="false">
      <c r="H104" s="13" t="s">
        <v>146</v>
      </c>
      <c r="I104" s="13" t="n">
        <f aca="false">DEVSQ(inter_system_stats!$B$66:$B$91,inter_system_stats!$C$66:$C$91,inter_system_stats!$D$66:$D$91,inter_system_stats!$E$66:$E$91,inter_system_stats!$F$66:$F$91)</f>
        <v>1.44410514875874</v>
      </c>
      <c r="J104" s="13" t="n">
        <f aca="false">SUM(inter_system_stats!$I$95:$I$99) - 1</f>
        <v>124</v>
      </c>
    </row>
  </sheetData>
  <mergeCells count="2">
    <mergeCell ref="B2:C2"/>
    <mergeCell ref="B33:C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true" showRowColHeaders="true" showZeros="true" rightToLeft="false" tabSelected="true" showOutlineSymbols="true" defaultGridColor="true" view="normal" topLeftCell="A13" colorId="64" zoomScale="125" zoomScaleNormal="125" zoomScalePageLayoutView="100" workbookViewId="0">
      <selection pane="topLeft" activeCell="I37" activeCellId="0" sqref="I37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B2" s="13" t="s">
        <v>113</v>
      </c>
      <c r="C2" s="13" t="s">
        <v>123</v>
      </c>
      <c r="D2" s="13" t="s">
        <v>124</v>
      </c>
      <c r="E2" s="13" t="s">
        <v>125</v>
      </c>
    </row>
    <row r="3" customFormat="false" ht="12.8" hidden="false" customHeight="false" outlineLevel="0" collapsed="false">
      <c r="B3" s="13" t="n">
        <v>0.820228412658582</v>
      </c>
      <c r="C3" s="13" t="n">
        <v>0.825587383221469</v>
      </c>
      <c r="D3" s="13" t="n">
        <v>0.842837131615738</v>
      </c>
      <c r="E3" s="13" t="n">
        <v>0.826465743120003</v>
      </c>
    </row>
    <row r="4" customFormat="false" ht="12.8" hidden="false" customHeight="false" outlineLevel="0" collapsed="false">
      <c r="B4" s="13" t="n">
        <v>0.764592146543124</v>
      </c>
      <c r="C4" s="13" t="n">
        <v>0.784325401049142</v>
      </c>
      <c r="D4" s="13" t="n">
        <v>0.75574434703051</v>
      </c>
      <c r="E4" s="13" t="n">
        <v>0.760295791016544</v>
      </c>
    </row>
    <row r="5" customFormat="false" ht="12.8" hidden="false" customHeight="false" outlineLevel="0" collapsed="false">
      <c r="B5" s="13" t="n">
        <v>0.723011363854634</v>
      </c>
      <c r="C5" s="13" t="n">
        <v>0.74701543366489</v>
      </c>
      <c r="D5" s="13" t="n">
        <v>0.75246138552499</v>
      </c>
      <c r="E5" s="13" t="n">
        <v>0.745513104503565</v>
      </c>
    </row>
    <row r="6" customFormat="false" ht="12.8" hidden="false" customHeight="false" outlineLevel="0" collapsed="false">
      <c r="B6" s="13" t="n">
        <v>0.756420441420714</v>
      </c>
      <c r="C6" s="13" t="n">
        <v>0.742572987280356</v>
      </c>
      <c r="D6" s="13" t="n">
        <v>0.755239937675953</v>
      </c>
      <c r="E6" s="13" t="n">
        <v>0.740237977344109</v>
      </c>
    </row>
    <row r="7" customFormat="false" ht="12.8" hidden="false" customHeight="false" outlineLevel="0" collapsed="false">
      <c r="B7" s="13" t="n">
        <v>0.620462176144914</v>
      </c>
      <c r="C7" s="13" t="n">
        <v>0.638291604257815</v>
      </c>
      <c r="D7" s="13" t="n">
        <v>0.68196906691827</v>
      </c>
      <c r="E7" s="13" t="n">
        <v>0.701417807349544</v>
      </c>
    </row>
    <row r="8" customFormat="false" ht="12.8" hidden="false" customHeight="false" outlineLevel="0" collapsed="false">
      <c r="B8" s="13" t="n">
        <v>0.798549003615991</v>
      </c>
      <c r="C8" s="13" t="n">
        <v>0.770021861028678</v>
      </c>
      <c r="D8" s="13" t="n">
        <v>0.805094582904182</v>
      </c>
      <c r="E8" s="13" t="n">
        <v>0.764412269319662</v>
      </c>
    </row>
    <row r="9" customFormat="false" ht="12.8" hidden="false" customHeight="false" outlineLevel="0" collapsed="false">
      <c r="B9" s="13" t="n">
        <v>0.754603762692231</v>
      </c>
      <c r="C9" s="13" t="n">
        <v>0.776708177030339</v>
      </c>
      <c r="D9" s="13" t="n">
        <v>0.731449097356676</v>
      </c>
      <c r="E9" s="13" t="n">
        <v>0.704629188099325</v>
      </c>
    </row>
    <row r="10" customFormat="false" ht="12.8" hidden="false" customHeight="false" outlineLevel="0" collapsed="false">
      <c r="B10" s="13" t="n">
        <v>0.786128366374384</v>
      </c>
      <c r="C10" s="13" t="n">
        <v>0.766895136055456</v>
      </c>
      <c r="D10" s="13" t="n">
        <v>0.798699397007465</v>
      </c>
      <c r="E10" s="13" t="n">
        <v>0.77201186291984</v>
      </c>
    </row>
    <row r="11" customFormat="false" ht="12.8" hidden="false" customHeight="false" outlineLevel="0" collapsed="false">
      <c r="B11" s="13" t="n">
        <v>0.753257435556755</v>
      </c>
      <c r="C11" s="13" t="n">
        <v>0.726865282761305</v>
      </c>
      <c r="D11" s="13" t="n">
        <v>0.751181065835833</v>
      </c>
      <c r="E11" s="13" t="n">
        <v>0.72188407789367</v>
      </c>
    </row>
    <row r="12" customFormat="false" ht="12.8" hidden="false" customHeight="false" outlineLevel="0" collapsed="false">
      <c r="B12" s="13" t="n">
        <v>0.807843832088534</v>
      </c>
      <c r="C12" s="13" t="n">
        <v>0.76670385944117</v>
      </c>
      <c r="D12" s="13" t="n">
        <v>0.780317010541866</v>
      </c>
      <c r="E12" s="13" t="n">
        <v>0.801799093845666</v>
      </c>
    </row>
    <row r="13" customFormat="false" ht="12.8" hidden="false" customHeight="false" outlineLevel="0" collapsed="false">
      <c r="B13" s="13" t="n">
        <v>0.778100841853998</v>
      </c>
      <c r="C13" s="13" t="n">
        <v>0.826512142391129</v>
      </c>
      <c r="D13" s="13" t="n">
        <v>0.788964918757002</v>
      </c>
      <c r="E13" s="13" t="n">
        <v>0.82639186986707</v>
      </c>
    </row>
    <row r="14" customFormat="false" ht="12.8" hidden="false" customHeight="false" outlineLevel="0" collapsed="false">
      <c r="B14" s="13" t="n">
        <v>0.762452458306693</v>
      </c>
      <c r="C14" s="13" t="n">
        <v>0.762736139690589</v>
      </c>
      <c r="D14" s="13" t="n">
        <v>0.744429655439828</v>
      </c>
      <c r="E14" s="13" t="n">
        <v>0.74557662237038</v>
      </c>
    </row>
    <row r="15" customFormat="false" ht="12.8" hidden="false" customHeight="false" outlineLevel="0" collapsed="false">
      <c r="B15" s="13" t="n">
        <v>0.720022272820606</v>
      </c>
      <c r="C15" s="13" t="n">
        <v>0.710160103406143</v>
      </c>
      <c r="D15" s="13" t="n">
        <v>0.764347939487069</v>
      </c>
      <c r="E15" s="13" t="n">
        <v>0.739304791041697</v>
      </c>
    </row>
    <row r="16" customFormat="false" ht="12.8" hidden="false" customHeight="false" outlineLevel="0" collapsed="false">
      <c r="B16" s="13" t="n">
        <v>0.738694358646482</v>
      </c>
      <c r="C16" s="13" t="n">
        <v>0.734376384357835</v>
      </c>
      <c r="D16" s="13" t="n">
        <v>0.716647920997565</v>
      </c>
      <c r="E16" s="13" t="n">
        <v>0.716775890381091</v>
      </c>
    </row>
    <row r="17" customFormat="false" ht="12.8" hidden="false" customHeight="false" outlineLevel="0" collapsed="false">
      <c r="B17" s="13" t="n">
        <v>0.743421830265577</v>
      </c>
      <c r="C17" s="13" t="n">
        <v>0.756542240061655</v>
      </c>
      <c r="D17" s="13" t="n">
        <v>0.761929247616581</v>
      </c>
      <c r="E17" s="13" t="n">
        <v>0.72335469896996</v>
      </c>
    </row>
    <row r="18" customFormat="false" ht="12.8" hidden="false" customHeight="false" outlineLevel="0" collapsed="false">
      <c r="B18" s="13" t="n">
        <v>0.763479689807917</v>
      </c>
      <c r="C18" s="13" t="n">
        <v>0.773732018127407</v>
      </c>
      <c r="D18" s="13" t="n">
        <v>0.742748731630287</v>
      </c>
      <c r="E18" s="13" t="n">
        <v>0.74148150305735</v>
      </c>
    </row>
    <row r="19" customFormat="false" ht="12.8" hidden="false" customHeight="false" outlineLevel="0" collapsed="false">
      <c r="B19" s="13" t="n">
        <v>0.744667994911406</v>
      </c>
      <c r="C19" s="13" t="n">
        <v>0.812690613075421</v>
      </c>
      <c r="D19" s="13" t="n">
        <v>0.764209873398772</v>
      </c>
      <c r="E19" s="13" t="n">
        <v>0.782813226803677</v>
      </c>
    </row>
    <row r="20" customFormat="false" ht="12.8" hidden="false" customHeight="false" outlineLevel="0" collapsed="false">
      <c r="B20" s="13" t="n">
        <v>0.695089950294851</v>
      </c>
      <c r="C20" s="13" t="n">
        <v>0.726488853152379</v>
      </c>
      <c r="D20" s="13" t="n">
        <v>0.700796274261234</v>
      </c>
      <c r="E20" s="13" t="n">
        <v>0.683924726356955</v>
      </c>
    </row>
    <row r="21" customFormat="false" ht="12.8" hidden="false" customHeight="false" outlineLevel="0" collapsed="false">
      <c r="B21" s="13" t="n">
        <v>0.719748414663605</v>
      </c>
      <c r="C21" s="13" t="n">
        <v>0.763300559740396</v>
      </c>
      <c r="D21" s="13" t="n">
        <v>0.716284059047156</v>
      </c>
      <c r="E21" s="13" t="n">
        <v>0.741861628869437</v>
      </c>
    </row>
    <row r="22" customFormat="false" ht="12.8" hidden="false" customHeight="false" outlineLevel="0" collapsed="false">
      <c r="B22" s="13" t="n">
        <v>0.850110132917837</v>
      </c>
      <c r="C22" s="13" t="n">
        <v>0.816538134208694</v>
      </c>
      <c r="D22" s="13" t="n">
        <v>0.839023541568098</v>
      </c>
      <c r="E22" s="13" t="n">
        <v>0.861291025455911</v>
      </c>
    </row>
    <row r="23" customFormat="false" ht="12.8" hidden="false" customHeight="false" outlineLevel="0" collapsed="false">
      <c r="B23" s="13" t="n">
        <v>0.734658481254958</v>
      </c>
      <c r="C23" s="13" t="n">
        <v>0.643391428768254</v>
      </c>
      <c r="D23" s="13" t="n">
        <v>0.704024831920364</v>
      </c>
      <c r="E23" s="13" t="n">
        <v>0.726997779119958</v>
      </c>
    </row>
    <row r="24" customFormat="false" ht="12.8" hidden="false" customHeight="false" outlineLevel="0" collapsed="false">
      <c r="B24" s="13" t="n">
        <v>0.702205596693105</v>
      </c>
      <c r="C24" s="13" t="n">
        <v>0.769255872522075</v>
      </c>
      <c r="D24" s="13" t="n">
        <v>0.684998594155911</v>
      </c>
      <c r="E24" s="13" t="n">
        <v>0.665221956623617</v>
      </c>
    </row>
    <row r="25" customFormat="false" ht="12.8" hidden="false" customHeight="false" outlineLevel="0" collapsed="false">
      <c r="B25" s="13" t="n">
        <v>0.723021317867517</v>
      </c>
      <c r="C25" s="13" t="n">
        <v>0.684670543211604</v>
      </c>
      <c r="D25" s="13" t="n">
        <v>0.69681187759039</v>
      </c>
      <c r="E25" s="13" t="n">
        <v>0.761746926827647</v>
      </c>
    </row>
    <row r="26" customFormat="false" ht="12.8" hidden="false" customHeight="false" outlineLevel="0" collapsed="false">
      <c r="B26" s="13" t="n">
        <v>0.790978057596565</v>
      </c>
      <c r="C26" s="13" t="n">
        <v>0.758491886581855</v>
      </c>
      <c r="D26" s="13" t="n">
        <v>0.809836609324266</v>
      </c>
      <c r="E26" s="13" t="n">
        <v>0.746216792553118</v>
      </c>
    </row>
    <row r="27" customFormat="false" ht="12.8" hidden="false" customHeight="false" outlineLevel="0" collapsed="false">
      <c r="B27" s="13" t="n">
        <v>0.730577483299618</v>
      </c>
      <c r="C27" s="13" t="n">
        <v>0.727230413998473</v>
      </c>
      <c r="D27" s="13" t="n">
        <v>0.715111970099327</v>
      </c>
      <c r="E27" s="13" t="n">
        <v>0.725032419587978</v>
      </c>
    </row>
    <row r="29" customFormat="false" ht="12.8" hidden="false" customHeight="false" outlineLevel="0" collapsed="false">
      <c r="A29" s="0" t="s">
        <v>149</v>
      </c>
      <c r="G29" s="0" t="s">
        <v>150</v>
      </c>
    </row>
    <row r="30" customFormat="false" ht="12.8" hidden="false" customHeight="false" outlineLevel="0" collapsed="false">
      <c r="B30" s="13" t="s">
        <v>113</v>
      </c>
      <c r="C30" s="13" t="s">
        <v>123</v>
      </c>
      <c r="D30" s="13" t="s">
        <v>124</v>
      </c>
      <c r="E30" s="13" t="s">
        <v>125</v>
      </c>
      <c r="G30" s="13" t="s">
        <v>113</v>
      </c>
      <c r="H30" s="13" t="s">
        <v>123</v>
      </c>
      <c r="I30" s="13" t="s">
        <v>124</v>
      </c>
      <c r="J30" s="13" t="s">
        <v>125</v>
      </c>
    </row>
    <row r="31" customFormat="false" ht="12.8" hidden="false" customHeight="false" outlineLevel="0" collapsed="false">
      <c r="A31" s="16" t="n">
        <v>2</v>
      </c>
      <c r="B31" s="17" t="n">
        <f aca="false">B4-B3</f>
        <v>-0.055636266115458</v>
      </c>
      <c r="C31" s="17" t="n">
        <f aca="false">C4-C3</f>
        <v>-0.041261982172327</v>
      </c>
      <c r="D31" s="17" t="n">
        <f aca="false">D4-D3</f>
        <v>-0.0870927845852281</v>
      </c>
      <c r="E31" s="17" t="n">
        <f aca="false">E4-E3</f>
        <v>-0.066169952103459</v>
      </c>
      <c r="G31" s="0" t="n">
        <f aca="false">_xlfn.STDEV.S(B31:B54)</f>
        <v>0.0691531091687868</v>
      </c>
      <c r="H31" s="0" t="n">
        <f aca="false">_xlfn.STDEV.S(C31:C54)</f>
        <v>0.0718065455870482</v>
      </c>
      <c r="I31" s="0" t="n">
        <f aca="false">_xlfn.STDEV.S(D31:D54)</f>
        <v>0.0684976501381375</v>
      </c>
      <c r="J31" s="0" t="n">
        <f aca="false">_xlfn.STDEV.S(E31:E54)</f>
        <v>0.0645064896899185</v>
      </c>
    </row>
    <row r="32" customFormat="false" ht="12.8" hidden="false" customHeight="false" outlineLevel="0" collapsed="false">
      <c r="A32" s="16" t="n">
        <v>3</v>
      </c>
      <c r="B32" s="17" t="n">
        <f aca="false">B5-B4</f>
        <v>-0.04158078268849</v>
      </c>
      <c r="C32" s="17" t="n">
        <f aca="false">C5-C4</f>
        <v>-0.037309967384252</v>
      </c>
      <c r="D32" s="17" t="n">
        <f aca="false">D5-D4</f>
        <v>-0.00328296150551999</v>
      </c>
      <c r="E32" s="17" t="n">
        <f aca="false">E5-E4</f>
        <v>-0.014782686512979</v>
      </c>
    </row>
    <row r="33" customFormat="false" ht="12.8" hidden="false" customHeight="false" outlineLevel="0" collapsed="false">
      <c r="A33" s="16" t="n">
        <v>4</v>
      </c>
      <c r="B33" s="17" t="n">
        <f aca="false">B6-B5</f>
        <v>0.0334090775660799</v>
      </c>
      <c r="C33" s="17" t="n">
        <f aca="false">C6-C5</f>
        <v>-0.00444244638453395</v>
      </c>
      <c r="D33" s="17" t="n">
        <f aca="false">D6-D5</f>
        <v>0.00277855215096301</v>
      </c>
      <c r="E33" s="17" t="n">
        <f aca="false">E6-E5</f>
        <v>-0.00527512715945599</v>
      </c>
    </row>
    <row r="34" customFormat="false" ht="12.8" hidden="false" customHeight="false" outlineLevel="0" collapsed="false">
      <c r="A34" s="16" t="n">
        <v>5</v>
      </c>
      <c r="B34" s="17" t="n">
        <f aca="false">B7-B6</f>
        <v>-0.1359582652758</v>
      </c>
      <c r="C34" s="17" t="n">
        <f aca="false">C7-C6</f>
        <v>-0.104281383022541</v>
      </c>
      <c r="D34" s="17" t="n">
        <f aca="false">D7-D6</f>
        <v>-0.073270870757683</v>
      </c>
      <c r="E34" s="17" t="n">
        <f aca="false">E7-E6</f>
        <v>-0.0388201699945651</v>
      </c>
    </row>
    <row r="35" customFormat="false" ht="12.8" hidden="false" customHeight="false" outlineLevel="0" collapsed="false">
      <c r="A35" s="16" t="n">
        <v>6</v>
      </c>
      <c r="B35" s="17" t="n">
        <f aca="false">B8-B7</f>
        <v>0.178086827471077</v>
      </c>
      <c r="C35" s="17" t="n">
        <f aca="false">C8-C7</f>
        <v>0.131730256770863</v>
      </c>
      <c r="D35" s="17" t="n">
        <f aca="false">D8-D7</f>
        <v>0.123125515985912</v>
      </c>
      <c r="E35" s="17" t="n">
        <f aca="false">E8-E7</f>
        <v>0.062994461970118</v>
      </c>
    </row>
    <row r="36" customFormat="false" ht="12.8" hidden="false" customHeight="false" outlineLevel="0" collapsed="false">
      <c r="A36" s="16" t="n">
        <v>7</v>
      </c>
      <c r="B36" s="17" t="n">
        <f aca="false">B9-B8</f>
        <v>-0.0439452409237601</v>
      </c>
      <c r="C36" s="17" t="n">
        <f aca="false">C9-C8</f>
        <v>0.00668631600166103</v>
      </c>
      <c r="D36" s="17" t="n">
        <f aca="false">D9-D8</f>
        <v>-0.0736454855475061</v>
      </c>
      <c r="E36" s="17" t="n">
        <f aca="false">E9-E8</f>
        <v>-0.059783081220337</v>
      </c>
    </row>
    <row r="37" customFormat="false" ht="12.8" hidden="false" customHeight="false" outlineLevel="0" collapsed="false">
      <c r="A37" s="16" t="n">
        <v>8</v>
      </c>
      <c r="B37" s="17" t="n">
        <f aca="false">B10-B9</f>
        <v>0.031524603682153</v>
      </c>
      <c r="C37" s="17" t="n">
        <f aca="false">C10-C9</f>
        <v>-0.009813040974883</v>
      </c>
      <c r="D37" s="17" t="n">
        <f aca="false">D10-D9</f>
        <v>0.067250299650789</v>
      </c>
      <c r="E37" s="17" t="n">
        <f aca="false">E10-E9</f>
        <v>0.0673826748205151</v>
      </c>
    </row>
    <row r="38" customFormat="false" ht="12.8" hidden="false" customHeight="false" outlineLevel="0" collapsed="false">
      <c r="A38" s="16" t="n">
        <v>9</v>
      </c>
      <c r="B38" s="17" t="n">
        <f aca="false">B11-B10</f>
        <v>-0.032870930817629</v>
      </c>
      <c r="C38" s="17" t="n">
        <f aca="false">C11-C10</f>
        <v>-0.040029853294151</v>
      </c>
      <c r="D38" s="17" t="n">
        <f aca="false">D11-D10</f>
        <v>-0.047518331171632</v>
      </c>
      <c r="E38" s="17" t="n">
        <f aca="false">E11-E10</f>
        <v>-0.05012778502617</v>
      </c>
    </row>
    <row r="39" customFormat="false" ht="12.8" hidden="false" customHeight="false" outlineLevel="0" collapsed="false">
      <c r="A39" s="16" t="n">
        <v>10</v>
      </c>
      <c r="B39" s="17" t="n">
        <f aca="false">B12-B11</f>
        <v>0.0545863965317791</v>
      </c>
      <c r="C39" s="17" t="n">
        <f aca="false">C12-C11</f>
        <v>0.039838576679865</v>
      </c>
      <c r="D39" s="17" t="n">
        <f aca="false">D12-D11</f>
        <v>0.029135944706033</v>
      </c>
      <c r="E39" s="17" t="n">
        <f aca="false">E12-E11</f>
        <v>0.079915015951996</v>
      </c>
    </row>
    <row r="40" customFormat="false" ht="12.8" hidden="false" customHeight="false" outlineLevel="0" collapsed="false">
      <c r="A40" s="16" t="n">
        <v>11</v>
      </c>
      <c r="B40" s="17" t="n">
        <f aca="false">B13-B12</f>
        <v>-0.0297429902345361</v>
      </c>
      <c r="C40" s="17" t="n">
        <f aca="false">C13-C12</f>
        <v>0.059808282949959</v>
      </c>
      <c r="D40" s="17" t="n">
        <f aca="false">D13-D12</f>
        <v>0.00864790821513606</v>
      </c>
      <c r="E40" s="17" t="n">
        <f aca="false">E13-E12</f>
        <v>0.024592776021404</v>
      </c>
    </row>
    <row r="41" customFormat="false" ht="12.8" hidden="false" customHeight="false" outlineLevel="0" collapsed="false">
      <c r="A41" s="16" t="n">
        <v>12</v>
      </c>
      <c r="B41" s="17" t="n">
        <f aca="false">B14-B13</f>
        <v>-0.015648383547305</v>
      </c>
      <c r="C41" s="17" t="n">
        <f aca="false">C14-C13</f>
        <v>-0.0637760027005401</v>
      </c>
      <c r="D41" s="17" t="n">
        <f aca="false">D14-D13</f>
        <v>-0.0445352633171741</v>
      </c>
      <c r="E41" s="17" t="n">
        <f aca="false">E14-E13</f>
        <v>-0.08081524749669</v>
      </c>
    </row>
    <row r="42" customFormat="false" ht="12.8" hidden="false" customHeight="false" outlineLevel="0" collapsed="false">
      <c r="A42" s="16" t="n">
        <v>13</v>
      </c>
      <c r="B42" s="17" t="n">
        <f aca="false">B15-B14</f>
        <v>-0.0424301854860869</v>
      </c>
      <c r="C42" s="17" t="n">
        <f aca="false">C15-C14</f>
        <v>-0.052576036284446</v>
      </c>
      <c r="D42" s="17" t="n">
        <f aca="false">D15-D14</f>
        <v>0.0199182840472411</v>
      </c>
      <c r="E42" s="17" t="n">
        <f aca="false">E15-E14</f>
        <v>-0.00627183132868303</v>
      </c>
    </row>
    <row r="43" customFormat="false" ht="12.8" hidden="false" customHeight="false" outlineLevel="0" collapsed="false">
      <c r="A43" s="16" t="n">
        <v>14</v>
      </c>
      <c r="B43" s="17" t="n">
        <f aca="false">B16-B15</f>
        <v>0.018672085825876</v>
      </c>
      <c r="C43" s="17" t="n">
        <f aca="false">C16-C15</f>
        <v>0.024216280951692</v>
      </c>
      <c r="D43" s="17" t="n">
        <f aca="false">D16-D15</f>
        <v>-0.047700018489504</v>
      </c>
      <c r="E43" s="17" t="n">
        <f aca="false">E16-E15</f>
        <v>-0.022528900660606</v>
      </c>
    </row>
    <row r="44" customFormat="false" ht="12.8" hidden="false" customHeight="false" outlineLevel="0" collapsed="false">
      <c r="A44" s="16" t="n">
        <v>15</v>
      </c>
      <c r="B44" s="17" t="n">
        <f aca="false">B17-B16</f>
        <v>0.00472747161909493</v>
      </c>
      <c r="C44" s="17" t="n">
        <f aca="false">C17-C16</f>
        <v>0.02216585570382</v>
      </c>
      <c r="D44" s="17" t="n">
        <f aca="false">D17-D16</f>
        <v>0.045281326619016</v>
      </c>
      <c r="E44" s="17" t="n">
        <f aca="false">E17-E16</f>
        <v>0.00657880858886895</v>
      </c>
    </row>
    <row r="45" customFormat="false" ht="12.8" hidden="false" customHeight="false" outlineLevel="0" collapsed="false">
      <c r="A45" s="16" t="n">
        <v>16</v>
      </c>
      <c r="B45" s="17" t="n">
        <f aca="false">B18-B17</f>
        <v>0.0200578595423401</v>
      </c>
      <c r="C45" s="17" t="n">
        <f aca="false">C18-C17</f>
        <v>0.017189778065752</v>
      </c>
      <c r="D45" s="17" t="n">
        <f aca="false">D18-D17</f>
        <v>-0.019180515986294</v>
      </c>
      <c r="E45" s="17" t="n">
        <f aca="false">E18-E17</f>
        <v>0.0181268040873901</v>
      </c>
    </row>
    <row r="46" customFormat="false" ht="12.8" hidden="false" customHeight="false" outlineLevel="0" collapsed="false">
      <c r="A46" s="16" t="n">
        <v>17</v>
      </c>
      <c r="B46" s="17" t="n">
        <f aca="false">B19-B18</f>
        <v>-0.018811694896511</v>
      </c>
      <c r="C46" s="17" t="n">
        <f aca="false">C19-C18</f>
        <v>0.038958594948014</v>
      </c>
      <c r="D46" s="17" t="n">
        <f aca="false">D19-D18</f>
        <v>0.021461141768485</v>
      </c>
      <c r="E46" s="17" t="n">
        <f aca="false">E19-E18</f>
        <v>0.041331723746327</v>
      </c>
    </row>
    <row r="47" customFormat="false" ht="12.8" hidden="false" customHeight="false" outlineLevel="0" collapsed="false">
      <c r="A47" s="16" t="n">
        <v>18</v>
      </c>
      <c r="B47" s="17" t="n">
        <f aca="false">B20-B19</f>
        <v>-0.049578044616555</v>
      </c>
      <c r="C47" s="17" t="n">
        <f aca="false">C20-C19</f>
        <v>-0.086201759923042</v>
      </c>
      <c r="D47" s="17" t="n">
        <f aca="false">D20-D19</f>
        <v>-0.063413599137538</v>
      </c>
      <c r="E47" s="17" t="n">
        <f aca="false">E20-E19</f>
        <v>-0.098888500446722</v>
      </c>
    </row>
    <row r="48" customFormat="false" ht="12.8" hidden="false" customHeight="false" outlineLevel="0" collapsed="false">
      <c r="A48" s="16" t="n">
        <v>19</v>
      </c>
      <c r="B48" s="17" t="n">
        <f aca="false">B21-B20</f>
        <v>0.024658464368754</v>
      </c>
      <c r="C48" s="17" t="n">
        <f aca="false">C21-C20</f>
        <v>0.036811706588017</v>
      </c>
      <c r="D48" s="17" t="n">
        <f aca="false">D21-D20</f>
        <v>0.0154877847859219</v>
      </c>
      <c r="E48" s="17" t="n">
        <f aca="false">E21-E20</f>
        <v>0.057936902512482</v>
      </c>
    </row>
    <row r="49" customFormat="false" ht="12.8" hidden="false" customHeight="false" outlineLevel="0" collapsed="false">
      <c r="A49" s="16" t="n">
        <v>20</v>
      </c>
      <c r="B49" s="17" t="n">
        <f aca="false">B22-B21</f>
        <v>0.130361718254232</v>
      </c>
      <c r="C49" s="17" t="n">
        <f aca="false">C22-C21</f>
        <v>0.053237574468298</v>
      </c>
      <c r="D49" s="17" t="n">
        <f aca="false">D22-D21</f>
        <v>0.122739482520942</v>
      </c>
      <c r="E49" s="17" t="n">
        <f aca="false">E22-E21</f>
        <v>0.119429396586474</v>
      </c>
    </row>
    <row r="50" customFormat="false" ht="12.8" hidden="false" customHeight="false" outlineLevel="0" collapsed="false">
      <c r="A50" s="16" t="n">
        <v>21</v>
      </c>
      <c r="B50" s="17" t="n">
        <f aca="false">B23-B22</f>
        <v>-0.115451651662879</v>
      </c>
      <c r="C50" s="17" t="n">
        <f aca="false">C23-C22</f>
        <v>-0.17314670544044</v>
      </c>
      <c r="D50" s="17" t="n">
        <f aca="false">D23-D22</f>
        <v>-0.134998709647734</v>
      </c>
      <c r="E50" s="17" t="n">
        <f aca="false">E23-E22</f>
        <v>-0.134293246335953</v>
      </c>
    </row>
    <row r="51" customFormat="false" ht="12.8" hidden="false" customHeight="false" outlineLevel="0" collapsed="false">
      <c r="A51" s="16" t="n">
        <v>22</v>
      </c>
      <c r="B51" s="17" t="n">
        <f aca="false">B24-B23</f>
        <v>-0.032452884561853</v>
      </c>
      <c r="C51" s="17" t="n">
        <f aca="false">C24-C23</f>
        <v>0.125864443753821</v>
      </c>
      <c r="D51" s="17" t="n">
        <f aca="false">D24-D23</f>
        <v>-0.019026237764453</v>
      </c>
      <c r="E51" s="17" t="n">
        <f aca="false">E24-E23</f>
        <v>-0.061775822496341</v>
      </c>
    </row>
    <row r="52" customFormat="false" ht="12.8" hidden="false" customHeight="false" outlineLevel="0" collapsed="false">
      <c r="A52" s="16" t="n">
        <v>23</v>
      </c>
      <c r="B52" s="17" t="n">
        <f aca="false">B25-B24</f>
        <v>0.020815721174412</v>
      </c>
      <c r="C52" s="17" t="n">
        <f aca="false">C25-C24</f>
        <v>-0.0845853293104709</v>
      </c>
      <c r="D52" s="17" t="n">
        <f aca="false">D25-D24</f>
        <v>0.011813283434479</v>
      </c>
      <c r="E52" s="17" t="n">
        <f aca="false">E25-E24</f>
        <v>0.09652497020403</v>
      </c>
    </row>
    <row r="53" customFormat="false" ht="12.8" hidden="false" customHeight="false" outlineLevel="0" collapsed="false">
      <c r="A53" s="16" t="n">
        <v>24</v>
      </c>
      <c r="B53" s="17" t="n">
        <f aca="false">B26-B25</f>
        <v>0.067956739729048</v>
      </c>
      <c r="C53" s="17" t="n">
        <f aca="false">C26-C25</f>
        <v>0.0738213433702509</v>
      </c>
      <c r="D53" s="17" t="n">
        <f aca="false">D26-D25</f>
        <v>0.113024731733876</v>
      </c>
      <c r="E53" s="17" t="n">
        <f aca="false">E26-E25</f>
        <v>-0.015530134274529</v>
      </c>
    </row>
    <row r="54" customFormat="false" ht="12.8" hidden="false" customHeight="false" outlineLevel="0" collapsed="false">
      <c r="A54" s="16" t="n">
        <v>25</v>
      </c>
      <c r="B54" s="17" t="n">
        <f aca="false">B27-B26</f>
        <v>-0.060400574296947</v>
      </c>
      <c r="C54" s="17" t="n">
        <f aca="false">C27-C26</f>
        <v>-0.031261472583382</v>
      </c>
      <c r="D54" s="17" t="n">
        <f aca="false">D27-D26</f>
        <v>-0.094724639224939</v>
      </c>
      <c r="E54" s="17" t="n">
        <f aca="false">E27-E26</f>
        <v>-0.02118437296514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2026-02-20T23:14:54Z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
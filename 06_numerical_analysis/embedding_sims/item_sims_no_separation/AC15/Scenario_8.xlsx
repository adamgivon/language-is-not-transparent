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en8_ac15" sheetId="1" state="visible" r:id="rId3"/>
    <sheet name="Notes" sheetId="2" state="visible" r:id="rId4"/>
    <sheet name="actdel_prompt_response" sheetId="3" state="visible" r:id="rId5"/>
    <sheet name="inter_system_stats" sheetId="4" state="visible" r:id="rId6"/>
    <sheet name="sim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<sst xmlns="http://schemas.openxmlformats.org/spreadsheetml/2006/main" count="929" uniqueCount="148">
  <si>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</si>
  <si>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</si>
  <si>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</si>
  <si>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</si>
  <si>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</si>
  <si>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</si>
  <si>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</si>
  <si>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</si>
  <si>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</si>
  <si>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</si>
  <si>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</si>
  <si>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</si>
  <si>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</si>
  <si>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</si>
  <si>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</si>
  <si>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</si>
  <si>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f529882d-6070-41e1-8e5d-01378280daff</t>
  </si>
  <si>
    <t xml:space="preserve">cmjl5i8sh01nazccmlq92hvbe</t>
  </si>
  <si>
    <t xml:space="preserve">cmjl5ixkc01nrzccmerglbxaw</t>
  </si>
  <si>
    <t xml:space="preserve">test_ac15</t>
  </si>
  <si>
    <t xml:space="preserve">Scenario_8</t>
  </si>
  <si>
    <t xml:space="preserve">truth_and_fact</t>
  </si>
  <si>
    <t xml:space="preserve">87d594cd-af8a-4fed-b24e-b0c89858daf4</t>
  </si>
  <si>
    <t xml:space="preserve">cmjl5lsxs01nvzccmavnk3xs0</t>
  </si>
  <si>
    <t xml:space="preserve">cmjl5mbs401oczccmgvbvdln2</t>
  </si>
  <si>
    <t xml:space="preserve">identity</t>
  </si>
  <si>
    <t xml:space="preserve">affective_interface</t>
  </si>
  <si>
    <t xml:space="preserve">88b7d41e-e094-40d6-9628-808ac6e55c6c</t>
  </si>
  <si>
    <t xml:space="preserve">cmjl5mmlq01ogzccmsteo9q2i</t>
  </si>
  <si>
    <t xml:space="preserve">cmjl5mygx01oxzccmwl7g9mt7</t>
  </si>
  <si>
    <t xml:space="preserve">76354c3c-7bf6-4d4a-98ea-1b79a54d8a4d</t>
  </si>
  <si>
    <t xml:space="preserve">cmjl5n89901p1zccmokw66d6c</t>
  </si>
  <si>
    <t xml:space="preserve">cmjl5npee01pizccm7p2mbe81</t>
  </si>
  <si>
    <t xml:space="preserve">imagination_and_possibility</t>
  </si>
  <si>
    <t xml:space="preserve">science</t>
  </si>
  <si>
    <t xml:space="preserve">practicality_and_feasibility</t>
  </si>
  <si>
    <t xml:space="preserve">4d3a0296-a0ae-4c87-96aa-6e80990a44e3</t>
  </si>
  <si>
    <t xml:space="preserve">cmjl5nzv001pmzccm1qio5iop</t>
  </si>
  <si>
    <t xml:space="preserve">cmjl5o88f01q3zccmgweym69c</t>
  </si>
  <si>
    <t xml:space="preserve">aeea3607-4bcd-4685-af0c-24439b761148</t>
  </si>
  <si>
    <t xml:space="preserve">cmjl5ogfl01q7zccmydkavyf9</t>
  </si>
  <si>
    <t xml:space="preserve">cmjl5ovss01qozccman54bak6</t>
  </si>
  <si>
    <t xml:space="preserve">freedom_and_limitations</t>
  </si>
  <si>
    <t xml:space="preserve">db53d222-53c9-44ce-8ec2-16475009575c</t>
  </si>
  <si>
    <t xml:space="preserve">cmjl5p4on01qszccmqw16xzij</t>
  </si>
  <si>
    <t xml:space="preserve">cmjl5pkmh01r9zccmds0c7o88</t>
  </si>
  <si>
    <t xml:space="preserve">7ab1041b-f398-4b40-be3c-7f6b5162abf6</t>
  </si>
  <si>
    <t xml:space="preserve">cmjl5pwsu01rdzccmh5d5i1ed</t>
  </si>
  <si>
    <t xml:space="preserve">cmjl5q97p01ruzccmsjom1c6t</t>
  </si>
  <si>
    <t xml:space="preserve">temporal_dynamics</t>
  </si>
  <si>
    <t xml:space="preserve">baadcc6e-497a-4c01-b503-46d63dc3cf72</t>
  </si>
  <si>
    <t xml:space="preserve">cmjl5qmex01ryzccm1arpt3xr</t>
  </si>
  <si>
    <t xml:space="preserve">cmjl5r0mu01sfzccmdr17g0yu</t>
  </si>
  <si>
    <t xml:space="preserve">4685e106-add1-44b8-b084-b2202cb93ecc</t>
  </si>
  <si>
    <t xml:space="preserve">cmjl5r80c01sjzccm3tywa9ce</t>
  </si>
  <si>
    <t xml:space="preserve">cmjl5rokc01t0zccmr1k2p9ik</t>
  </si>
  <si>
    <t xml:space="preserve">a253fa64-d32a-4c38-8c02-a235667f4dc1</t>
  </si>
  <si>
    <t xml:space="preserve">cmjl5rxi901t4zccm0dtkcjm7</t>
  </si>
  <si>
    <t xml:space="preserve">cmjl5sbzx01tlzccm3a4d63f8</t>
  </si>
  <si>
    <t xml:space="preserve">392dbf6b-d5e0-47a7-95f6-9e8f4a0eca00</t>
  </si>
  <si>
    <t xml:space="preserve">cmjl5slqn01tpzccmr1f3iadx</t>
  </si>
  <si>
    <t xml:space="preserve">cmjl5swpr01u6zccms1caxvud</t>
  </si>
  <si>
    <t xml:space="preserve">metaphorical_scaffolding</t>
  </si>
  <si>
    <t xml:space="preserve">76b2a5f7-71e3-4df8-b071-3e81f60c7336</t>
  </si>
  <si>
    <t xml:space="preserve">cmjl5t3wn01uazccmnx0ah9gz</t>
  </si>
  <si>
    <t xml:space="preserve">cmjl5tgw001urzccmhr5ovmd7</t>
  </si>
  <si>
    <t xml:space="preserve">81a7dbe0-403e-4b91-8de4-bfaa2d7766a5</t>
  </si>
  <si>
    <t xml:space="preserve">cmjl5tt5j01uvzccmbs0ugzg5</t>
  </si>
  <si>
    <t xml:space="preserve">cmjl5u4wj01vczccmglmv2fwl</t>
  </si>
  <si>
    <t xml:space="preserve">e03c268f-b32c-4166-b8b9-be5d1168846a</t>
  </si>
  <si>
    <t xml:space="preserve">cmjl5ugrf01vgzccmv4cm11rf</t>
  </si>
  <si>
    <t xml:space="preserve">cmjl5v1g101vxzccm4b8a8p7s</t>
  </si>
  <si>
    <t xml:space="preserve">47a96bbc-f030-4a91-ac88-3d6f48bd6ef5</t>
  </si>
  <si>
    <t xml:space="preserve">cmjl5vf8501w1zccmx9x7f46m</t>
  </si>
  <si>
    <t xml:space="preserve">cmjl5vq0u01wizccma3b1yckc</t>
  </si>
  <si>
    <t xml:space="preserve">f7bbe239-1b94-4da7-9c23-6c1a82122e86</t>
  </si>
  <si>
    <t xml:space="preserve">cmjl5vzz001wmzccmx0uh2x3u</t>
  </si>
  <si>
    <t xml:space="preserve">cmjl5wbg801x3zccmxfc6c9dn</t>
  </si>
  <si>
    <t xml:space="preserve">mathematics_computer_science_engineering</t>
  </si>
  <si>
    <t xml:space="preserve">0aca28e2-1b3a-4d8b-845c-5af812bbc534</t>
  </si>
  <si>
    <t xml:space="preserve">cmjl5xlp501x7zccm6s2q5d6z</t>
  </si>
  <si>
    <t xml:space="preserve">cmjl5y49301xozccmbuofn3jd</t>
  </si>
  <si>
    <t xml:space="preserve">88c04968-b439-40b5-bb03-11c55ab4bc66</t>
  </si>
  <si>
    <t xml:space="preserve">cmjl5yh0f01xszccm3za6pdij</t>
  </si>
  <si>
    <t xml:space="preserve">cmjl5ys1301y9zccm6br6lz2b</t>
  </si>
  <si>
    <t xml:space="preserve">context_dependent_expression</t>
  </si>
  <si>
    <t xml:space="preserve">7c93e4fe-39f7-4589-b7fc-00e1f985f2c1</t>
  </si>
  <si>
    <t xml:space="preserve">cmjl5zhk001ydzccmm4gx9en5</t>
  </si>
  <si>
    <t xml:space="preserve">cmjl5zqgt01yuzccmsegachjk</t>
  </si>
  <si>
    <t xml:space="preserve">ebbc905e-ff0d-4478-8aaa-2a2f0c6cc6a7</t>
  </si>
  <si>
    <t xml:space="preserve">cmjl5zxfb01yyzccmmbwgfarn</t>
  </si>
  <si>
    <t xml:space="preserve">cmjl609wi01zfzccmzxq5o7kw</t>
  </si>
  <si>
    <t xml:space="preserve">78755bf6-17b7-41e9-915c-69ffe221c020</t>
  </si>
  <si>
    <t xml:space="preserve">cmjl60ipq01zjzccmpnnbxe50</t>
  </si>
  <si>
    <t xml:space="preserve">cmjl60xfa0200zccmtalbd2dn</t>
  </si>
  <si>
    <t xml:space="preserve">7b5fed5f-87ed-434d-b9a9-1306b8b388f6</t>
  </si>
  <si>
    <t xml:space="preserve">cmjl619xw0204zccmuc5igtcp</t>
  </si>
  <si>
    <t xml:space="preserve">cmjl61oep020lzccmxpent12g</t>
  </si>
  <si>
    <t xml:space="preserve">aacabeda-4198-4ee8-92ef-aa3d50bcadb6</t>
  </si>
  <si>
    <t xml:space="preserve">cmjl623oz020pzccmnxp65xnu</t>
  </si>
  <si>
    <t xml:space="preserve">cmjl62f7a0216zccmjulujibs</t>
  </si>
  <si>
    <t xml:space="preserve">829e7c92-9c34-45cc-997a-44c3d381e9d1</t>
  </si>
  <si>
    <t xml:space="preserve">cmjl62qj0021azccmsbevv092</t>
  </si>
  <si>
    <t xml:space="preserve">cmjl6357e021rzccmkvvzz76m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</si>
  <si>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</si>
  <si>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</si>
  <si>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</si>
  <si>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</si>
  <si>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</si>
  <si>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</si>
  <si>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</t>
  </si>
  <si>
    <t xml:space="preserve">control</t>
  </si>
  <si>
    <t xml:space="preserve">std. 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</si>
  <si>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</si>
  <si>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</si>
  <si>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</si>
  <si>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</si>
  <si>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</si>
  <si>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ac15</t>
  </si>
  <si>
    <t xml:space="preserve">Mean control</t>
  </si>
  <si>
    <t xml:space="preserve">General</t>
  </si>
  <si>
    <t xml:space="preserve">ac15p</t>
  </si>
  <si>
    <t xml:space="preserve">hybrid</t>
  </si>
  <si>
    <t xml:space="preserve">hybsem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</si>
  <si>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</si>
  <si>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</si>
  <si>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</si>
  <si>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</si>
  <si>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</si>
  <si>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</si>
  <si>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</si>
  <si>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</si>
  <si>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</si>
  <si>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</si>
  <si>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</si>
  <si>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</si>
  <si>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</si>
  <si>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</si>
  <si>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</si>
  <si>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</si>
  <si>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</si>
  <si>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</si>
  <si>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</si>
  <si>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</si>
  <si>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</si>
  <si>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Column 5</t>
  </si>
  <si>
    <t xml:space="preserve">deltas</t>
  </si>
  <si>
    <t xml:space="preserve">stdev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</si>
</sst>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3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0.747843022923881</c:v>
                </c:pt>
                <c:pt idx="1">
                  <c:v>0.748104158889568</c:v>
                </c:pt>
                <c:pt idx="2">
                  <c:v>0.71984400860707</c:v>
                </c:pt>
                <c:pt idx="3">
                  <c:v>0.716086647100763</c:v>
                </c:pt>
                <c:pt idx="4">
                  <c:v>0.762493070097647</c:v>
                </c:pt>
                <c:pt idx="5">
                  <c:v>0.653519592008403</c:v>
                </c:pt>
                <c:pt idx="6">
                  <c:v>0.719750136805701</c:v>
                </c:pt>
                <c:pt idx="7">
                  <c:v>0.778318129572334</c:v>
                </c:pt>
                <c:pt idx="8">
                  <c:v>0.742397408036601</c:v>
                </c:pt>
                <c:pt idx="9">
                  <c:v>0.83322558385751</c:v>
                </c:pt>
                <c:pt idx="10">
                  <c:v>0.717525615290775</c:v>
                </c:pt>
                <c:pt idx="11">
                  <c:v>0.750832143580771</c:v>
                </c:pt>
                <c:pt idx="12">
                  <c:v>0.77358788110411</c:v>
                </c:pt>
                <c:pt idx="13">
                  <c:v>0.746401320572344</c:v>
                </c:pt>
                <c:pt idx="14">
                  <c:v>0.674899879933738</c:v>
                </c:pt>
                <c:pt idx="15">
                  <c:v>0.749348200599637</c:v>
                </c:pt>
                <c:pt idx="16">
                  <c:v>0.784507430286035</c:v>
                </c:pt>
                <c:pt idx="17">
                  <c:v>0.724125949209616</c:v>
                </c:pt>
                <c:pt idx="18">
                  <c:v>0.749855438872011</c:v>
                </c:pt>
                <c:pt idx="19">
                  <c:v>0.776729389363219</c:v>
                </c:pt>
                <c:pt idx="20">
                  <c:v>0.676636427895576</c:v>
                </c:pt>
                <c:pt idx="21">
                  <c:v>0.72066031750692</c:v>
                </c:pt>
                <c:pt idx="22">
                  <c:v>0.772455612590151</c:v>
                </c:pt>
                <c:pt idx="23">
                  <c:v>0.781238004258282</c:v>
                </c:pt>
                <c:pt idx="24">
                  <c:v>0.693940210865722</c:v>
                </c:pt>
              </c:numCache>
            </c:numRef>
          </c:yVal>
          <c:smooth val="0"/>
        </c:ser>
        <c:axId val="39785698"/>
        <c:axId val="82039127"/>
      </c:scatterChart>
      <c:valAx>
        <c:axId val="397856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2039127"/>
        <c:crosses val="autoZero"/>
        <c:crossBetween val="midCat"/>
      </c:valAx>
      <c:valAx>
        <c:axId val="820391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78569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inter_system_stats!$B$2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inter_system_stats!$B$3:$B$27</c:f>
              <c:numCache>
                <c:formatCode>General</c:formatCode>
                <c:ptCount val="25"/>
                <c:pt idx="0">
                  <c:v>0.747843022923881</c:v>
                </c:pt>
                <c:pt idx="1">
                  <c:v>0.748104158889568</c:v>
                </c:pt>
                <c:pt idx="2">
                  <c:v>0.71984400860707</c:v>
                </c:pt>
                <c:pt idx="3">
                  <c:v>0.716086647100763</c:v>
                </c:pt>
                <c:pt idx="4">
                  <c:v>0.762493070097647</c:v>
                </c:pt>
                <c:pt idx="5">
                  <c:v>0.653519592008403</c:v>
                </c:pt>
                <c:pt idx="6">
                  <c:v>0.719750136805701</c:v>
                </c:pt>
                <c:pt idx="7">
                  <c:v>0.778318129572334</c:v>
                </c:pt>
                <c:pt idx="8">
                  <c:v>0.742397408036601</c:v>
                </c:pt>
                <c:pt idx="9">
                  <c:v>0.83322558385751</c:v>
                </c:pt>
                <c:pt idx="10">
                  <c:v>0.717525615290775</c:v>
                </c:pt>
                <c:pt idx="11">
                  <c:v>0.750832143580771</c:v>
                </c:pt>
                <c:pt idx="12">
                  <c:v>0.77358788110411</c:v>
                </c:pt>
                <c:pt idx="13">
                  <c:v>0.746401320572344</c:v>
                </c:pt>
                <c:pt idx="14">
                  <c:v>0.674899879933738</c:v>
                </c:pt>
                <c:pt idx="15">
                  <c:v>0.749348200599637</c:v>
                </c:pt>
                <c:pt idx="16">
                  <c:v>0.784507430286035</c:v>
                </c:pt>
                <c:pt idx="17">
                  <c:v>0.724125949209616</c:v>
                </c:pt>
                <c:pt idx="18">
                  <c:v>0.749855438872011</c:v>
                </c:pt>
                <c:pt idx="19">
                  <c:v>0.776729389363219</c:v>
                </c:pt>
                <c:pt idx="20">
                  <c:v>0.676636427895576</c:v>
                </c:pt>
                <c:pt idx="21">
                  <c:v>0.72066031750692</c:v>
                </c:pt>
                <c:pt idx="22">
                  <c:v>0.772455612590151</c:v>
                </c:pt>
                <c:pt idx="23">
                  <c:v>0.781238004258282</c:v>
                </c:pt>
                <c:pt idx="24">
                  <c:v>0.693940210865722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inter_system_stats!$C$3:$C$27</c:f>
              <c:numCache>
                <c:formatCode>General</c:formatCode>
                <c:ptCount val="25"/>
                <c:pt idx="0">
                  <c:v>0.771814729489856</c:v>
                </c:pt>
                <c:pt idx="1">
                  <c:v>0.585748724447829</c:v>
                </c:pt>
                <c:pt idx="2">
                  <c:v>0.594422528559652</c:v>
                </c:pt>
                <c:pt idx="3">
                  <c:v>0.60678636857711</c:v>
                </c:pt>
                <c:pt idx="4">
                  <c:v>0.69941561269435</c:v>
                </c:pt>
                <c:pt idx="5">
                  <c:v>0.584983605559223</c:v>
                </c:pt>
                <c:pt idx="6">
                  <c:v>0.523434497974195</c:v>
                </c:pt>
                <c:pt idx="7">
                  <c:v>0.733177377705096</c:v>
                </c:pt>
                <c:pt idx="8">
                  <c:v>0.623029352644154</c:v>
                </c:pt>
                <c:pt idx="9">
                  <c:v>0.569126443983933</c:v>
                </c:pt>
                <c:pt idx="10">
                  <c:v>0.712616848746921</c:v>
                </c:pt>
                <c:pt idx="11">
                  <c:v>0.623994668934615</c:v>
                </c:pt>
                <c:pt idx="12">
                  <c:v>0.708175167658807</c:v>
                </c:pt>
                <c:pt idx="13">
                  <c:v>0.598847369877094</c:v>
                </c:pt>
                <c:pt idx="14">
                  <c:v>0.598448875288242</c:v>
                </c:pt>
                <c:pt idx="15">
                  <c:v>0.686112684184051</c:v>
                </c:pt>
                <c:pt idx="16">
                  <c:v>0.656452493829178</c:v>
                </c:pt>
                <c:pt idx="17">
                  <c:v>0.708590115686799</c:v>
                </c:pt>
                <c:pt idx="18">
                  <c:v>0.656250234555418</c:v>
                </c:pt>
                <c:pt idx="19">
                  <c:v>0.766144095586904</c:v>
                </c:pt>
                <c:pt idx="20">
                  <c:v>0.611673917355993</c:v>
                </c:pt>
                <c:pt idx="21">
                  <c:v>0.57321383560315</c:v>
                </c:pt>
                <c:pt idx="22">
                  <c:v>0.46202133657173</c:v>
                </c:pt>
                <c:pt idx="23">
                  <c:v>0.752686085299576</c:v>
                </c:pt>
                <c:pt idx="24">
                  <c:v>0.637351019647471</c:v>
                </c:pt>
              </c:numCache>
            </c:numRef>
          </c:yVal>
          <c:smooth val="0"/>
        </c:ser>
        <c:axId val="54185880"/>
        <c:axId val="39089799"/>
      </c:scatterChart>
      <c:valAx>
        <c:axId val="54185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089799"/>
        <c:crosses val="autoZero"/>
        <c:crossBetween val="midCat"/>
      </c:valAx>
      <c:valAx>
        <c:axId val="390897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418588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inter_system_stats!$B$33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inter_system_stats!$A$34:$A$58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inter_system_stats!$B$34:$B$58</c:f>
              <c:numCache>
                <c:formatCode>General</c:formatCode>
                <c:ptCount val="25"/>
                <c:pt idx="0">
                  <c:v>0.746899633688936</c:v>
                </c:pt>
                <c:pt idx="1">
                  <c:v>0.760440771561493</c:v>
                </c:pt>
                <c:pt idx="2">
                  <c:v>0.74542610185569</c:v>
                </c:pt>
                <c:pt idx="3">
                  <c:v>0.754518286707164</c:v>
                </c:pt>
                <c:pt idx="4">
                  <c:v>0.818716946973898</c:v>
                </c:pt>
                <c:pt idx="5">
                  <c:v>0.661475371813803</c:v>
                </c:pt>
                <c:pt idx="6">
                  <c:v>0.704831094854699</c:v>
                </c:pt>
                <c:pt idx="7">
                  <c:v>0.775445669459668</c:v>
                </c:pt>
                <c:pt idx="8">
                  <c:v>0.734922592013555</c:v>
                </c:pt>
                <c:pt idx="9">
                  <c:v>0.809553468856414</c:v>
                </c:pt>
                <c:pt idx="10">
                  <c:v>0.736193634280327</c:v>
                </c:pt>
                <c:pt idx="11">
                  <c:v>0.760450688692101</c:v>
                </c:pt>
                <c:pt idx="12">
                  <c:v>0.783417145572671</c:v>
                </c:pt>
                <c:pt idx="13">
                  <c:v>0.736351406600312</c:v>
                </c:pt>
                <c:pt idx="14">
                  <c:v>0.695164645499178</c:v>
                </c:pt>
                <c:pt idx="15">
                  <c:v>0.753663706301646</c:v>
                </c:pt>
                <c:pt idx="16">
                  <c:v>0.75925493365687</c:v>
                </c:pt>
                <c:pt idx="17">
                  <c:v>0.744001794349238</c:v>
                </c:pt>
                <c:pt idx="18">
                  <c:v>0.777745722291328</c:v>
                </c:pt>
                <c:pt idx="19">
                  <c:v>0.784404877175123</c:v>
                </c:pt>
                <c:pt idx="20">
                  <c:v>0.646558702401536</c:v>
                </c:pt>
                <c:pt idx="21">
                  <c:v>0.64627244396815</c:v>
                </c:pt>
                <c:pt idx="22">
                  <c:v>0.72738343602134</c:v>
                </c:pt>
                <c:pt idx="23">
                  <c:v>0.81572575422772</c:v>
                </c:pt>
                <c:pt idx="24">
                  <c:v>0.672703350703668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inter_system_stats!$A$34:$A$58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inter_system_stats!$C$34:$C$58</c:f>
              <c:numCache>
                <c:formatCode>General</c:formatCode>
                <c:ptCount val="25"/>
                <c:pt idx="0">
                  <c:v>0.753427301803647</c:v>
                </c:pt>
                <c:pt idx="1">
                  <c:v>0.765371582562988</c:v>
                </c:pt>
                <c:pt idx="2">
                  <c:v>0.753068668844285</c:v>
                </c:pt>
                <c:pt idx="3">
                  <c:v>0.733184077559232</c:v>
                </c:pt>
                <c:pt idx="4">
                  <c:v>0.839797661168354</c:v>
                </c:pt>
                <c:pt idx="5">
                  <c:v>0.620764082289514</c:v>
                </c:pt>
                <c:pt idx="6">
                  <c:v>0.708249150690089</c:v>
                </c:pt>
                <c:pt idx="7">
                  <c:v>0.81183171273243</c:v>
                </c:pt>
                <c:pt idx="8">
                  <c:v>0.717889791117422</c:v>
                </c:pt>
                <c:pt idx="9">
                  <c:v>0.82670674249406</c:v>
                </c:pt>
                <c:pt idx="10">
                  <c:v>0.751587201916451</c:v>
                </c:pt>
                <c:pt idx="11">
                  <c:v>0.767576286083638</c:v>
                </c:pt>
                <c:pt idx="12">
                  <c:v>0.77472229763671</c:v>
                </c:pt>
                <c:pt idx="13">
                  <c:v>0.714363998847527</c:v>
                </c:pt>
                <c:pt idx="14">
                  <c:v>0.714429881453235</c:v>
                </c:pt>
                <c:pt idx="15">
                  <c:v>0.730575330250292</c:v>
                </c:pt>
                <c:pt idx="16">
                  <c:v>0.731767373432006</c:v>
                </c:pt>
                <c:pt idx="17">
                  <c:v>0.715924581106966</c:v>
                </c:pt>
                <c:pt idx="18">
                  <c:v>0.781932724966578</c:v>
                </c:pt>
                <c:pt idx="19">
                  <c:v>0.770211516204908</c:v>
                </c:pt>
                <c:pt idx="20">
                  <c:v>0.65642930221378</c:v>
                </c:pt>
                <c:pt idx="21">
                  <c:v>0.699675260395181</c:v>
                </c:pt>
                <c:pt idx="22">
                  <c:v>0.736340390593237</c:v>
                </c:pt>
                <c:pt idx="23">
                  <c:v>0.808304244936902</c:v>
                </c:pt>
                <c:pt idx="24">
                  <c:v>0.717501306984114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inter_system_stats!$D$33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inter_system_stats!$A$34:$A$58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inter_system_stats!$D$34:$D$58</c:f>
              <c:numCache>
                <c:formatCode>General</c:formatCode>
                <c:ptCount val="25"/>
                <c:pt idx="0">
                  <c:v>0.726122663610199</c:v>
                </c:pt>
                <c:pt idx="1">
                  <c:v>0.744387965987341</c:v>
                </c:pt>
                <c:pt idx="2">
                  <c:v>0.722443262715515</c:v>
                </c:pt>
                <c:pt idx="3">
                  <c:v>0.706070089408908</c:v>
                </c:pt>
                <c:pt idx="4">
                  <c:v>0.830465274232832</c:v>
                </c:pt>
                <c:pt idx="5">
                  <c:v>0.639350566619894</c:v>
                </c:pt>
                <c:pt idx="6">
                  <c:v>0.74569214122826</c:v>
                </c:pt>
                <c:pt idx="7">
                  <c:v>0.777583698300188</c:v>
                </c:pt>
                <c:pt idx="8">
                  <c:v>0.716221981108389</c:v>
                </c:pt>
                <c:pt idx="9">
                  <c:v>0.789490175348179</c:v>
                </c:pt>
                <c:pt idx="10">
                  <c:v>0.737754806838827</c:v>
                </c:pt>
                <c:pt idx="11">
                  <c:v>0.746932692465765</c:v>
                </c:pt>
                <c:pt idx="12">
                  <c:v>0.743211804362939</c:v>
                </c:pt>
                <c:pt idx="13">
                  <c:v>0.753566163309058</c:v>
                </c:pt>
                <c:pt idx="14">
                  <c:v>0.679573608456161</c:v>
                </c:pt>
                <c:pt idx="15">
                  <c:v>0.732606769576746</c:v>
                </c:pt>
                <c:pt idx="16">
                  <c:v>0.750546686660056</c:v>
                </c:pt>
                <c:pt idx="17">
                  <c:v>0.737646756450336</c:v>
                </c:pt>
                <c:pt idx="18">
                  <c:v>0.770786882499805</c:v>
                </c:pt>
                <c:pt idx="19">
                  <c:v>0.749337452437493</c:v>
                </c:pt>
                <c:pt idx="20">
                  <c:v>0.676604991476922</c:v>
                </c:pt>
                <c:pt idx="21">
                  <c:v>0.690049864977458</c:v>
                </c:pt>
                <c:pt idx="22">
                  <c:v>0.758614453242321</c:v>
                </c:pt>
                <c:pt idx="23">
                  <c:v>0.798835137250553</c:v>
                </c:pt>
                <c:pt idx="24">
                  <c:v>0.734706374670589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inter_system_stats!$E$33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inter_system_stats!$A$34:$A$58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inter_system_stats!$E$34:$E$58</c:f>
              <c:numCache>
                <c:formatCode>General</c:formatCode>
                <c:ptCount val="25"/>
                <c:pt idx="0">
                  <c:v>0.747843022923881</c:v>
                </c:pt>
                <c:pt idx="1">
                  <c:v>0.748104158889568</c:v>
                </c:pt>
                <c:pt idx="2">
                  <c:v>0.71984400860707</c:v>
                </c:pt>
                <c:pt idx="3">
                  <c:v>0.716086647100763</c:v>
                </c:pt>
                <c:pt idx="4">
                  <c:v>0.762493070097647</c:v>
                </c:pt>
                <c:pt idx="5">
                  <c:v>0.653519592008403</c:v>
                </c:pt>
                <c:pt idx="6">
                  <c:v>0.719750136805701</c:v>
                </c:pt>
                <c:pt idx="7">
                  <c:v>0.778318129572334</c:v>
                </c:pt>
                <c:pt idx="8">
                  <c:v>0.742397408036601</c:v>
                </c:pt>
                <c:pt idx="9">
                  <c:v>0.83322558385751</c:v>
                </c:pt>
                <c:pt idx="10">
                  <c:v>0.717525615290775</c:v>
                </c:pt>
                <c:pt idx="11">
                  <c:v>0.750832143580771</c:v>
                </c:pt>
                <c:pt idx="12">
                  <c:v>0.77358788110411</c:v>
                </c:pt>
                <c:pt idx="13">
                  <c:v>0.746401320572344</c:v>
                </c:pt>
                <c:pt idx="14">
                  <c:v>0.674899879933738</c:v>
                </c:pt>
                <c:pt idx="15">
                  <c:v>0.749348200599637</c:v>
                </c:pt>
                <c:pt idx="16">
                  <c:v>0.784507430286035</c:v>
                </c:pt>
                <c:pt idx="17">
                  <c:v>0.724125949209616</c:v>
                </c:pt>
                <c:pt idx="18">
                  <c:v>0.749855438872011</c:v>
                </c:pt>
                <c:pt idx="19">
                  <c:v>0.776729389363219</c:v>
                </c:pt>
                <c:pt idx="20">
                  <c:v>0.676636427895576</c:v>
                </c:pt>
                <c:pt idx="21">
                  <c:v>0.72066031750692</c:v>
                </c:pt>
                <c:pt idx="22">
                  <c:v>0.772455612590151</c:v>
                </c:pt>
                <c:pt idx="23">
                  <c:v>0.781238004258282</c:v>
                </c:pt>
                <c:pt idx="24">
                  <c:v>0.693940210865722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inter_system_stats!$F$33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inter_system_stats!$A$34:$A$58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inter_system_stats!$F$34:$F$58</c:f>
              <c:numCache>
                <c:formatCode>General</c:formatCode>
                <c:ptCount val="25"/>
                <c:pt idx="0">
                  <c:v>0.771814729489856</c:v>
                </c:pt>
                <c:pt idx="1">
                  <c:v>0.585748724447829</c:v>
                </c:pt>
                <c:pt idx="2">
                  <c:v>0.594422528559652</c:v>
                </c:pt>
                <c:pt idx="3">
                  <c:v>0.60678636857711</c:v>
                </c:pt>
                <c:pt idx="4">
                  <c:v>0.69941561269435</c:v>
                </c:pt>
                <c:pt idx="5">
                  <c:v>0.584983605559223</c:v>
                </c:pt>
                <c:pt idx="6">
                  <c:v>0.523434497974195</c:v>
                </c:pt>
                <c:pt idx="7">
                  <c:v>0.733177377705096</c:v>
                </c:pt>
                <c:pt idx="8">
                  <c:v>0.623029352644154</c:v>
                </c:pt>
                <c:pt idx="9">
                  <c:v>0.569126443983933</c:v>
                </c:pt>
                <c:pt idx="10">
                  <c:v>0.712616848746921</c:v>
                </c:pt>
                <c:pt idx="11">
                  <c:v>0.623994668934615</c:v>
                </c:pt>
                <c:pt idx="12">
                  <c:v>0.708175167658807</c:v>
                </c:pt>
                <c:pt idx="13">
                  <c:v>0.598847369877094</c:v>
                </c:pt>
                <c:pt idx="14">
                  <c:v>0.598448875288242</c:v>
                </c:pt>
                <c:pt idx="15">
                  <c:v>0.686112684184051</c:v>
                </c:pt>
                <c:pt idx="16">
                  <c:v>0.656452493829178</c:v>
                </c:pt>
                <c:pt idx="17">
                  <c:v>0.708590115686799</c:v>
                </c:pt>
                <c:pt idx="18">
                  <c:v>0.656250234555418</c:v>
                </c:pt>
                <c:pt idx="19">
                  <c:v>0.766144095586904</c:v>
                </c:pt>
                <c:pt idx="20">
                  <c:v>0.611673917355993</c:v>
                </c:pt>
                <c:pt idx="21">
                  <c:v>0.57321383560315</c:v>
                </c:pt>
                <c:pt idx="22">
                  <c:v>0.46202133657173</c:v>
                </c:pt>
                <c:pt idx="23">
                  <c:v>0.752686085299576</c:v>
                </c:pt>
                <c:pt idx="24">
                  <c:v>0.637351019647471</c:v>
                </c:pt>
              </c:numCache>
            </c:numRef>
          </c:yVal>
          <c:smooth val="0"/>
        </c:ser>
        <c:axId val="29871799"/>
        <c:axId val="51670948"/>
      </c:scatterChart>
      <c:valAx>
        <c:axId val="298717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670948"/>
        <c:crosses val="autoZero"/>
        <c:crossBetween val="midCat"/>
      </c:valAx>
      <c:valAx>
        <c:axId val="516709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987179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1</xdr:row>
      <xdr:rowOff>54000</xdr:rowOff>
    </xdr:from>
    <xdr:to>
      <xdr:col>10</xdr:col>
      <xdr:colOff>70200</xdr:colOff>
      <xdr:row>21</xdr:row>
      <xdr:rowOff>37800</xdr:rowOff>
    </xdr:to>
    <xdr:graphicFrame>
      <xdr:nvGraphicFramePr>
        <xdr:cNvPr id="1" name=""/>
        <xdr:cNvGraphicFramePr/>
      </xdr:nvGraphicFramePr>
      <xdr:xfrm>
        <a:off x="2446200" y="216720"/>
        <a:ext cx="575208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783000</xdr:colOff>
      <xdr:row>4</xdr:row>
      <xdr:rowOff>139320</xdr:rowOff>
    </xdr:from>
    <xdr:to>
      <xdr:col>8</xdr:col>
      <xdr:colOff>769320</xdr:colOff>
      <xdr:row>24</xdr:row>
      <xdr:rowOff>123120</xdr:rowOff>
    </xdr:to>
    <xdr:graphicFrame>
      <xdr:nvGraphicFramePr>
        <xdr:cNvPr id="2" name=""/>
        <xdr:cNvGraphicFramePr/>
      </xdr:nvGraphicFramePr>
      <xdr:xfrm>
        <a:off x="3874320" y="789480"/>
        <a:ext cx="576072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234000</xdr:colOff>
      <xdr:row>62</xdr:row>
      <xdr:rowOff>38880</xdr:rowOff>
    </xdr:from>
    <xdr:to>
      <xdr:col>8</xdr:col>
      <xdr:colOff>336240</xdr:colOff>
      <xdr:row>90</xdr:row>
      <xdr:rowOff>76680</xdr:rowOff>
    </xdr:to>
    <xdr:graphicFrame>
      <xdr:nvGraphicFramePr>
        <xdr:cNvPr id="3" name=""/>
        <xdr:cNvGraphicFramePr/>
      </xdr:nvGraphicFramePr>
      <xdr:xfrm>
        <a:off x="1046880" y="10117440"/>
        <a:ext cx="8155080" cy="458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1" sqref="G30:J31 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2.78"/>
    <col collapsed="false" customWidth="true" hidden="false" outlineLevel="0" max="5" min="5" style="1" width="13.12"/>
    <col collapsed="false" customWidth="true" hidden="false" outlineLevel="0" max="7" min="7" style="1" width="39.93"/>
    <col collapsed="false" customWidth="true" hidden="false" outlineLevel="0" max="8" min="8" style="1" width="7.68"/>
    <col collapsed="false" customWidth="true" hidden="false" outlineLevel="0" max="10" min="9" style="1" width="18.71"/>
    <col collapsed="false" customWidth="true" hidden="false" outlineLevel="0" max="11" min="11" style="1" width="21.43"/>
    <col collapsed="false" customWidth="true" hidden="false" outlineLevel="0" max="12" min="12" style="1" width="19.22"/>
    <col collapsed="false" customWidth="true" hidden="false" outlineLevel="0" max="16" min="16" style="1" width="18.83"/>
    <col collapsed="false" customWidth="true" hidden="false" outlineLevel="0" max="18" min="17" style="1" width="19.74"/>
    <col collapsed="false" customWidth="true" hidden="false" outlineLevel="0" max="19" min="19" style="1" width="14.07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 t="s">
        <v>12</v>
      </c>
      <c r="Q1" s="2" t="s">
        <v>13</v>
      </c>
      <c r="R1" s="2" t="s">
        <v>14</v>
      </c>
      <c r="S1" s="3" t="s">
        <v>15</v>
      </c>
    </row>
    <row r="2" customFormat="false" ht="15" hidden="false" customHeight="false" outlineLevel="0" collapsed="false">
      <c r="P2" s="4" t="n">
        <f aca="false">COUNT(K3:K140)</f>
        <v>138</v>
      </c>
      <c r="Q2" s="4" t="n">
        <f aca="false">AVERAGE(K3:K140)</f>
        <v>0.0708993733782481</v>
      </c>
      <c r="R2" s="4" t="n">
        <f aca="false">CORREL(H3:H140,K3:K140)</f>
        <v>0.104661528715862</v>
      </c>
      <c r="S2" s="4" t="n">
        <v>0.22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0.1</v>
      </c>
      <c r="I3" s="1" t="n">
        <v>0.154470212898671</v>
      </c>
      <c r="J3" s="1" t="n">
        <v>0.310028265214692</v>
      </c>
      <c r="K3" s="1" t="n">
        <f aca="false">J3-I3</f>
        <v>0.155558052316021</v>
      </c>
      <c r="L3" s="1" t="n">
        <v>0.747843022923881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19</v>
      </c>
      <c r="E4" s="1" t="s">
        <v>20</v>
      </c>
      <c r="F4" s="1" t="n">
        <v>2</v>
      </c>
      <c r="G4" s="1" t="s">
        <v>25</v>
      </c>
      <c r="H4" s="1" t="n">
        <v>0.4733</v>
      </c>
      <c r="I4" s="1" t="n">
        <v>0.233857864495061</v>
      </c>
      <c r="J4" s="1" t="n">
        <v>0.30416647544738</v>
      </c>
      <c r="K4" s="1" t="n">
        <f aca="false">J4-I4</f>
        <v>0.070308610952319</v>
      </c>
      <c r="L4" s="1" t="n">
        <v>0.748104158889568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19</v>
      </c>
      <c r="E5" s="1" t="s">
        <v>20</v>
      </c>
      <c r="F5" s="1" t="n">
        <v>2</v>
      </c>
      <c r="G5" s="1" t="s">
        <v>26</v>
      </c>
      <c r="H5" s="1" t="n">
        <v>0.4267</v>
      </c>
      <c r="I5" s="1" t="n">
        <v>0.210814077468697</v>
      </c>
      <c r="J5" s="1" t="n">
        <v>0.327946790356435</v>
      </c>
      <c r="K5" s="1" t="n">
        <f aca="false">J5-I5</f>
        <v>0.117132712887738</v>
      </c>
      <c r="L5" s="1" t="n">
        <v>0.748104158889568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19</v>
      </c>
      <c r="E6" s="1" t="s">
        <v>20</v>
      </c>
      <c r="F6" s="1" t="n">
        <v>2</v>
      </c>
      <c r="G6" s="1" t="s">
        <v>21</v>
      </c>
      <c r="H6" s="1" t="n">
        <v>0.1</v>
      </c>
      <c r="I6" s="1" t="n">
        <v>0.184748603393508</v>
      </c>
      <c r="J6" s="1" t="n">
        <v>0.270318361166063</v>
      </c>
      <c r="K6" s="1" t="n">
        <f aca="false">J6-I6</f>
        <v>0.085569757772555</v>
      </c>
      <c r="L6" s="1" t="n">
        <v>0.748104158889568</v>
      </c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29</v>
      </c>
      <c r="D7" s="1" t="s">
        <v>19</v>
      </c>
      <c r="E7" s="1" t="s">
        <v>20</v>
      </c>
      <c r="F7" s="1" t="n">
        <v>4</v>
      </c>
      <c r="G7" s="1" t="s">
        <v>25</v>
      </c>
      <c r="H7" s="1" t="n">
        <v>0.4562</v>
      </c>
      <c r="I7" s="1" t="n">
        <v>0.221561582875484</v>
      </c>
      <c r="J7" s="1" t="n">
        <v>0.357754908819607</v>
      </c>
      <c r="K7" s="1" t="n">
        <f aca="false">J7-I7</f>
        <v>0.136193325944123</v>
      </c>
      <c r="L7" s="1" t="n">
        <v>0.71984400860707</v>
      </c>
    </row>
    <row r="8" customFormat="false" ht="15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19</v>
      </c>
      <c r="E8" s="1" t="s">
        <v>20</v>
      </c>
      <c r="F8" s="1" t="n">
        <v>4</v>
      </c>
      <c r="G8" s="1" t="s">
        <v>26</v>
      </c>
      <c r="H8" s="1" t="n">
        <v>0.4438</v>
      </c>
      <c r="I8" s="1" t="n">
        <v>0.215544433833855</v>
      </c>
      <c r="J8" s="1" t="n">
        <v>0.380758279128555</v>
      </c>
      <c r="K8" s="1" t="n">
        <f aca="false">J8-I8</f>
        <v>0.1652138452947</v>
      </c>
      <c r="L8" s="1" t="n">
        <v>0.71984400860707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 t="n">
        <v>4</v>
      </c>
      <c r="G9" s="1" t="s">
        <v>21</v>
      </c>
      <c r="H9" s="1" t="n">
        <v>0.1</v>
      </c>
      <c r="I9" s="1" t="n">
        <v>0.167085691232463</v>
      </c>
      <c r="J9" s="1" t="n">
        <v>0.312628534664358</v>
      </c>
      <c r="K9" s="1" t="n">
        <f aca="false">J9-I9</f>
        <v>0.145542843431895</v>
      </c>
      <c r="L9" s="1" t="n">
        <v>0.71984400860707</v>
      </c>
    </row>
    <row r="10" customFormat="false" ht="15" hidden="false" customHeight="false" outlineLevel="0" collapsed="false">
      <c r="A10" s="1" t="s">
        <v>30</v>
      </c>
      <c r="B10" s="1" t="s">
        <v>31</v>
      </c>
      <c r="C10" s="1" t="s">
        <v>32</v>
      </c>
      <c r="D10" s="1" t="s">
        <v>19</v>
      </c>
      <c r="E10" s="1" t="s">
        <v>20</v>
      </c>
      <c r="F10" s="1" t="n">
        <v>6</v>
      </c>
      <c r="G10" s="1" t="s">
        <v>26</v>
      </c>
      <c r="H10" s="1" t="n">
        <v>0.1868</v>
      </c>
      <c r="I10" s="1" t="n">
        <v>0.266735115517456</v>
      </c>
      <c r="J10" s="1" t="n">
        <v>0.385236799494158</v>
      </c>
      <c r="K10" s="1" t="n">
        <f aca="false">J10-I10</f>
        <v>0.118501683976702</v>
      </c>
      <c r="L10" s="1" t="n">
        <v>0.716086647100763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1" t="s">
        <v>32</v>
      </c>
      <c r="D11" s="1" t="s">
        <v>19</v>
      </c>
      <c r="E11" s="1" t="s">
        <v>20</v>
      </c>
      <c r="F11" s="1" t="n">
        <v>6</v>
      </c>
      <c r="G11" s="1" t="s">
        <v>33</v>
      </c>
      <c r="H11" s="1" t="n">
        <v>0.1781</v>
      </c>
      <c r="I11" s="1" t="n">
        <v>0.254332900866144</v>
      </c>
      <c r="J11" s="1" t="n">
        <v>0.396559379483683</v>
      </c>
      <c r="K11" s="1" t="n">
        <f aca="false">J11-I11</f>
        <v>0.142226478617539</v>
      </c>
      <c r="L11" s="1" t="n">
        <v>0.716086647100763</v>
      </c>
    </row>
    <row r="12" customFormat="false" ht="15" hidden="false" customHeight="false" outlineLevel="0" collapsed="false">
      <c r="A12" s="1" t="s">
        <v>30</v>
      </c>
      <c r="B12" s="1" t="s">
        <v>31</v>
      </c>
      <c r="C12" s="1" t="s">
        <v>32</v>
      </c>
      <c r="D12" s="1" t="s">
        <v>19</v>
      </c>
      <c r="E12" s="1" t="s">
        <v>20</v>
      </c>
      <c r="F12" s="1" t="n">
        <v>6</v>
      </c>
      <c r="G12" s="1" t="s">
        <v>21</v>
      </c>
      <c r="H12" s="1" t="n">
        <v>0.1671</v>
      </c>
      <c r="I12" s="1" t="n">
        <v>0.238710692575598</v>
      </c>
      <c r="J12" s="1" t="n">
        <v>0.380448884318114</v>
      </c>
      <c r="K12" s="1" t="n">
        <f aca="false">J12-I12</f>
        <v>0.141738191742516</v>
      </c>
      <c r="L12" s="1" t="n">
        <v>0.716086647100763</v>
      </c>
    </row>
    <row r="13" customFormat="false" ht="15" hidden="false" customHeight="false" outlineLevel="0" collapsed="false">
      <c r="A13" s="1" t="s">
        <v>30</v>
      </c>
      <c r="B13" s="1" t="s">
        <v>31</v>
      </c>
      <c r="C13" s="1" t="s">
        <v>32</v>
      </c>
      <c r="D13" s="1" t="s">
        <v>19</v>
      </c>
      <c r="E13" s="1" t="s">
        <v>20</v>
      </c>
      <c r="F13" s="1" t="n">
        <v>6</v>
      </c>
      <c r="G13" s="1" t="s">
        <v>25</v>
      </c>
      <c r="H13" s="1" t="n">
        <v>0.1658</v>
      </c>
      <c r="I13" s="1" t="n">
        <v>0.236861314860332</v>
      </c>
      <c r="J13" s="1" t="n">
        <v>0.407717490064662</v>
      </c>
      <c r="K13" s="1" t="n">
        <f aca="false">J13-I13</f>
        <v>0.17085617520433</v>
      </c>
      <c r="L13" s="1" t="n">
        <v>0.716086647100763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1" t="s">
        <v>32</v>
      </c>
      <c r="D14" s="1" t="s">
        <v>19</v>
      </c>
      <c r="E14" s="1" t="s">
        <v>20</v>
      </c>
      <c r="F14" s="1" t="n">
        <v>6</v>
      </c>
      <c r="G14" s="1" t="s">
        <v>34</v>
      </c>
      <c r="H14" s="1" t="n">
        <v>0.1588</v>
      </c>
      <c r="I14" s="1" t="n">
        <v>0.226756591008777</v>
      </c>
      <c r="J14" s="1" t="n">
        <v>0.392450355188467</v>
      </c>
      <c r="K14" s="1" t="n">
        <f aca="false">J14-I14</f>
        <v>0.16569376417969</v>
      </c>
      <c r="L14" s="1" t="n">
        <v>0.716086647100763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1" t="s">
        <v>32</v>
      </c>
      <c r="D15" s="1" t="s">
        <v>19</v>
      </c>
      <c r="E15" s="1" t="s">
        <v>20</v>
      </c>
      <c r="F15" s="1" t="n">
        <v>6</v>
      </c>
      <c r="G15" s="1" t="s">
        <v>35</v>
      </c>
      <c r="H15" s="1" t="n">
        <v>0.1434</v>
      </c>
      <c r="I15" s="1" t="n">
        <v>0.204820226856735</v>
      </c>
      <c r="J15" s="1" t="n">
        <v>0.370659725481144</v>
      </c>
      <c r="K15" s="1" t="n">
        <f aca="false">J15-I15</f>
        <v>0.165839498624409</v>
      </c>
      <c r="L15" s="1" t="n">
        <v>0.716086647100763</v>
      </c>
    </row>
    <row r="16" customFormat="false" ht="15" hidden="false" customHeight="false" outlineLevel="0" collapsed="false">
      <c r="A16" s="1" t="s">
        <v>36</v>
      </c>
      <c r="B16" s="1" t="s">
        <v>37</v>
      </c>
      <c r="C16" s="1" t="s">
        <v>38</v>
      </c>
      <c r="D16" s="1" t="s">
        <v>19</v>
      </c>
      <c r="E16" s="1" t="s">
        <v>20</v>
      </c>
      <c r="F16" s="1" t="n">
        <v>8</v>
      </c>
      <c r="G16" s="1" t="s">
        <v>21</v>
      </c>
      <c r="H16" s="1" t="n">
        <v>0.1824</v>
      </c>
      <c r="I16" s="1" t="n">
        <v>0.326377883638104</v>
      </c>
      <c r="J16" s="1" t="n">
        <v>0.294841838622389</v>
      </c>
      <c r="K16" s="1" t="n">
        <f aca="false">J16-I16</f>
        <v>-0.031536045015715</v>
      </c>
      <c r="L16" s="1" t="n">
        <v>0.762493070097647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s">
        <v>38</v>
      </c>
      <c r="D17" s="1" t="s">
        <v>19</v>
      </c>
      <c r="E17" s="1" t="s">
        <v>20</v>
      </c>
      <c r="F17" s="1" t="n">
        <v>8</v>
      </c>
      <c r="G17" s="1" t="s">
        <v>33</v>
      </c>
      <c r="H17" s="1" t="n">
        <v>0.1731</v>
      </c>
      <c r="I17" s="1" t="n">
        <v>0.309656723771465</v>
      </c>
      <c r="J17" s="1" t="n">
        <v>0.303696890694647</v>
      </c>
      <c r="K17" s="1" t="n">
        <f aca="false">J17-I17</f>
        <v>-0.00595983307681802</v>
      </c>
      <c r="L17" s="1" t="n">
        <v>0.762493070097647</v>
      </c>
    </row>
    <row r="18" customFormat="false" ht="15" hidden="false" customHeight="false" outlineLevel="0" collapsed="false">
      <c r="A18" s="1" t="s">
        <v>36</v>
      </c>
      <c r="B18" s="1" t="s">
        <v>37</v>
      </c>
      <c r="C18" s="1" t="s">
        <v>38</v>
      </c>
      <c r="D18" s="1" t="s">
        <v>19</v>
      </c>
      <c r="E18" s="1" t="s">
        <v>20</v>
      </c>
      <c r="F18" s="1" t="n">
        <v>8</v>
      </c>
      <c r="G18" s="1" t="s">
        <v>34</v>
      </c>
      <c r="H18" s="1" t="n">
        <v>0.1713</v>
      </c>
      <c r="I18" s="1" t="n">
        <v>0.306505405661128</v>
      </c>
      <c r="J18" s="1" t="n">
        <v>0.302650948974731</v>
      </c>
      <c r="K18" s="1" t="n">
        <f aca="false">J18-I18</f>
        <v>-0.003854456686397</v>
      </c>
      <c r="L18" s="1" t="n">
        <v>0.762493070097647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 t="s">
        <v>19</v>
      </c>
      <c r="E19" s="1" t="s">
        <v>20</v>
      </c>
      <c r="F19" s="1" t="n">
        <v>8</v>
      </c>
      <c r="G19" s="1" t="s">
        <v>25</v>
      </c>
      <c r="H19" s="1" t="n">
        <v>0.1694</v>
      </c>
      <c r="I19" s="1" t="n">
        <v>0.303038054882554</v>
      </c>
      <c r="J19" s="1" t="n">
        <v>0.335536785255732</v>
      </c>
      <c r="K19" s="1" t="n">
        <f aca="false">J19-I19</f>
        <v>0.032498730373178</v>
      </c>
      <c r="L19" s="1" t="n">
        <v>0.762493070097647</v>
      </c>
    </row>
    <row r="20" customFormat="false" ht="15" hidden="false" customHeight="false" outlineLevel="0" collapsed="false">
      <c r="A20" s="1" t="s">
        <v>36</v>
      </c>
      <c r="B20" s="1" t="s">
        <v>37</v>
      </c>
      <c r="C20" s="1" t="s">
        <v>38</v>
      </c>
      <c r="D20" s="1" t="s">
        <v>19</v>
      </c>
      <c r="E20" s="1" t="s">
        <v>20</v>
      </c>
      <c r="F20" s="1" t="n">
        <v>8</v>
      </c>
      <c r="G20" s="1" t="s">
        <v>26</v>
      </c>
      <c r="H20" s="1" t="n">
        <v>0.154</v>
      </c>
      <c r="I20" s="1" t="n">
        <v>0.275569358642734</v>
      </c>
      <c r="J20" s="1" t="n">
        <v>0.323285129502714</v>
      </c>
      <c r="K20" s="1" t="n">
        <f aca="false">J20-I20</f>
        <v>0.04771577085998</v>
      </c>
      <c r="L20" s="1" t="n">
        <v>0.762493070097647</v>
      </c>
    </row>
    <row r="21" customFormat="false" ht="15" hidden="false" customHeight="false" outlineLevel="0" collapsed="false">
      <c r="A21" s="1" t="s">
        <v>36</v>
      </c>
      <c r="B21" s="1" t="s">
        <v>37</v>
      </c>
      <c r="C21" s="1" t="s">
        <v>38</v>
      </c>
      <c r="D21" s="1" t="s">
        <v>19</v>
      </c>
      <c r="E21" s="1" t="s">
        <v>20</v>
      </c>
      <c r="F21" s="1" t="n">
        <v>8</v>
      </c>
      <c r="G21" s="1" t="s">
        <v>35</v>
      </c>
      <c r="H21" s="1" t="n">
        <v>0.1498</v>
      </c>
      <c r="I21" s="1" t="n">
        <v>0.268058608426287</v>
      </c>
      <c r="J21" s="1" t="n">
        <v>0.298905252613439</v>
      </c>
      <c r="K21" s="1" t="n">
        <f aca="false">J21-I21</f>
        <v>0.030846644187152</v>
      </c>
      <c r="L21" s="1" t="n">
        <v>0.762493070097647</v>
      </c>
    </row>
    <row r="22" customFormat="false" ht="15" hidden="false" customHeight="false" outlineLevel="0" collapsed="false">
      <c r="A22" s="1" t="s">
        <v>39</v>
      </c>
      <c r="B22" s="1" t="s">
        <v>40</v>
      </c>
      <c r="C22" s="1" t="s">
        <v>41</v>
      </c>
      <c r="D22" s="1" t="s">
        <v>19</v>
      </c>
      <c r="E22" s="1" t="s">
        <v>20</v>
      </c>
      <c r="F22" s="1" t="n">
        <v>10</v>
      </c>
      <c r="G22" s="1" t="s">
        <v>25</v>
      </c>
      <c r="H22" s="1" t="n">
        <v>0.2012</v>
      </c>
      <c r="I22" s="1" t="n">
        <v>0.25380056876532</v>
      </c>
      <c r="J22" s="1" t="n">
        <v>0.330834012344289</v>
      </c>
      <c r="K22" s="1" t="n">
        <f aca="false">J22-I22</f>
        <v>0.077033443578969</v>
      </c>
      <c r="L22" s="1" t="n">
        <v>0.653519592008403</v>
      </c>
    </row>
    <row r="23" customFormat="false" ht="15" hidden="false" customHeight="false" outlineLevel="0" collapsed="false">
      <c r="A23" s="1" t="s">
        <v>39</v>
      </c>
      <c r="B23" s="1" t="s">
        <v>40</v>
      </c>
      <c r="C23" s="1" t="s">
        <v>41</v>
      </c>
      <c r="D23" s="1" t="s">
        <v>19</v>
      </c>
      <c r="E23" s="1" t="s">
        <v>20</v>
      </c>
      <c r="F23" s="1" t="n">
        <v>10</v>
      </c>
      <c r="G23" s="1" t="s">
        <v>26</v>
      </c>
      <c r="H23" s="1" t="n">
        <v>0.1879</v>
      </c>
      <c r="I23" s="1" t="n">
        <v>0.237060616474568</v>
      </c>
      <c r="J23" s="1" t="n">
        <v>0.352621225621224</v>
      </c>
      <c r="K23" s="1" t="n">
        <f aca="false">J23-I23</f>
        <v>0.115560609146656</v>
      </c>
      <c r="L23" s="1" t="n">
        <v>0.653519592008403</v>
      </c>
    </row>
    <row r="24" customFormat="false" ht="15" hidden="false" customHeight="false" outlineLevel="0" collapsed="false">
      <c r="A24" s="1" t="s">
        <v>39</v>
      </c>
      <c r="B24" s="1" t="s">
        <v>40</v>
      </c>
      <c r="C24" s="1" t="s">
        <v>41</v>
      </c>
      <c r="D24" s="1" t="s">
        <v>19</v>
      </c>
      <c r="E24" s="1" t="s">
        <v>20</v>
      </c>
      <c r="F24" s="1" t="n">
        <v>10</v>
      </c>
      <c r="G24" s="1" t="s">
        <v>33</v>
      </c>
      <c r="H24" s="1" t="n">
        <v>0.178</v>
      </c>
      <c r="I24" s="1" t="n">
        <v>0.224575103109901</v>
      </c>
      <c r="J24" s="1" t="n">
        <v>0.32945602442069</v>
      </c>
      <c r="K24" s="1" t="n">
        <f aca="false">J24-I24</f>
        <v>0.104880921310789</v>
      </c>
      <c r="L24" s="1" t="n">
        <v>0.653519592008403</v>
      </c>
    </row>
    <row r="25" customFormat="false" ht="15" hidden="false" customHeight="false" outlineLevel="0" collapsed="false">
      <c r="A25" s="1" t="s">
        <v>39</v>
      </c>
      <c r="B25" s="1" t="s">
        <v>40</v>
      </c>
      <c r="C25" s="1" t="s">
        <v>41</v>
      </c>
      <c r="D25" s="1" t="s">
        <v>19</v>
      </c>
      <c r="E25" s="1" t="s">
        <v>20</v>
      </c>
      <c r="F25" s="1" t="n">
        <v>10</v>
      </c>
      <c r="G25" s="1" t="s">
        <v>42</v>
      </c>
      <c r="H25" s="1" t="n">
        <v>0.1688</v>
      </c>
      <c r="I25" s="1" t="n">
        <v>0.212886803241488</v>
      </c>
      <c r="J25" s="1" t="n">
        <v>0.321721432953909</v>
      </c>
      <c r="K25" s="1" t="n">
        <f aca="false">J25-I25</f>
        <v>0.108834629712421</v>
      </c>
      <c r="L25" s="1" t="n">
        <v>0.653519592008403</v>
      </c>
    </row>
    <row r="26" customFormat="false" ht="15" hidden="false" customHeight="false" outlineLevel="0" collapsed="false">
      <c r="A26" s="1" t="s">
        <v>39</v>
      </c>
      <c r="B26" s="1" t="s">
        <v>40</v>
      </c>
      <c r="C26" s="1" t="s">
        <v>41</v>
      </c>
      <c r="D26" s="1" t="s">
        <v>19</v>
      </c>
      <c r="E26" s="1" t="s">
        <v>20</v>
      </c>
      <c r="F26" s="1" t="n">
        <v>10</v>
      </c>
      <c r="G26" s="1" t="s">
        <v>35</v>
      </c>
      <c r="H26" s="1" t="n">
        <v>0.1641</v>
      </c>
      <c r="I26" s="1" t="n">
        <v>0.206972729983505</v>
      </c>
      <c r="J26" s="1" t="n">
        <v>0.305624189437815</v>
      </c>
      <c r="K26" s="1" t="n">
        <f aca="false">J26-I26</f>
        <v>0.09865145945431</v>
      </c>
      <c r="L26" s="1" t="n">
        <v>0.653519592008403</v>
      </c>
    </row>
    <row r="27" customFormat="false" ht="15" hidden="false" customHeight="false" outlineLevel="0" collapsed="false">
      <c r="A27" s="1" t="s">
        <v>39</v>
      </c>
      <c r="B27" s="1" t="s">
        <v>40</v>
      </c>
      <c r="C27" s="1" t="s">
        <v>41</v>
      </c>
      <c r="D27" s="1" t="s">
        <v>19</v>
      </c>
      <c r="E27" s="1" t="s">
        <v>20</v>
      </c>
      <c r="F27" s="1" t="n">
        <v>10</v>
      </c>
      <c r="G27" s="1" t="s">
        <v>21</v>
      </c>
      <c r="H27" s="1" t="n">
        <v>0.1</v>
      </c>
      <c r="I27" s="1" t="n">
        <v>0.190874213871473</v>
      </c>
      <c r="J27" s="1" t="n">
        <v>0.280686262617671</v>
      </c>
      <c r="K27" s="1" t="n">
        <f aca="false">J27-I27</f>
        <v>0.089812048746198</v>
      </c>
      <c r="L27" s="1" t="n">
        <v>0.653519592008403</v>
      </c>
    </row>
    <row r="28" customFormat="false" ht="15" hidden="false" customHeight="false" outlineLevel="0" collapsed="false">
      <c r="A28" s="1" t="s">
        <v>43</v>
      </c>
      <c r="B28" s="1" t="s">
        <v>44</v>
      </c>
      <c r="C28" s="1" t="s">
        <v>45</v>
      </c>
      <c r="D28" s="1" t="s">
        <v>19</v>
      </c>
      <c r="E28" s="1" t="s">
        <v>20</v>
      </c>
      <c r="F28" s="1" t="n">
        <v>12</v>
      </c>
      <c r="G28" s="1" t="s">
        <v>26</v>
      </c>
      <c r="H28" s="1" t="n">
        <v>0.1963</v>
      </c>
      <c r="I28" s="1" t="n">
        <v>0.290892647095968</v>
      </c>
      <c r="J28" s="1" t="n">
        <v>0.394840853779537</v>
      </c>
      <c r="K28" s="1" t="n">
        <f aca="false">J28-I28</f>
        <v>0.103948206683569</v>
      </c>
      <c r="L28" s="1" t="n">
        <v>0.719750136805701</v>
      </c>
    </row>
    <row r="29" customFormat="false" ht="15" hidden="false" customHeight="false" outlineLevel="0" collapsed="false">
      <c r="A29" s="1" t="s">
        <v>43</v>
      </c>
      <c r="B29" s="1" t="s">
        <v>44</v>
      </c>
      <c r="C29" s="1" t="s">
        <v>45</v>
      </c>
      <c r="D29" s="1" t="s">
        <v>19</v>
      </c>
      <c r="E29" s="1" t="s">
        <v>20</v>
      </c>
      <c r="F29" s="1" t="n">
        <v>12</v>
      </c>
      <c r="G29" s="1" t="s">
        <v>25</v>
      </c>
      <c r="H29" s="1" t="n">
        <v>0.1824</v>
      </c>
      <c r="I29" s="1" t="n">
        <v>0.270386763601491</v>
      </c>
      <c r="J29" s="1" t="n">
        <v>0.371259266024989</v>
      </c>
      <c r="K29" s="1" t="n">
        <f aca="false">J29-I29</f>
        <v>0.100872502423498</v>
      </c>
      <c r="L29" s="1" t="n">
        <v>0.719750136805701</v>
      </c>
    </row>
    <row r="30" customFormat="false" ht="15" hidden="false" customHeight="false" outlineLevel="0" collapsed="false">
      <c r="A30" s="1" t="s">
        <v>43</v>
      </c>
      <c r="B30" s="1" t="s">
        <v>44</v>
      </c>
      <c r="C30" s="1" t="s">
        <v>45</v>
      </c>
      <c r="D30" s="1" t="s">
        <v>19</v>
      </c>
      <c r="E30" s="1" t="s">
        <v>20</v>
      </c>
      <c r="F30" s="1" t="n">
        <v>12</v>
      </c>
      <c r="G30" s="1" t="s">
        <v>42</v>
      </c>
      <c r="H30" s="1" t="n">
        <v>0.1691</v>
      </c>
      <c r="I30" s="1" t="n">
        <v>0.250580317129541</v>
      </c>
      <c r="J30" s="1" t="n">
        <v>0.365805630795387</v>
      </c>
      <c r="K30" s="1" t="n">
        <f aca="false">J30-I30</f>
        <v>0.115225313665846</v>
      </c>
      <c r="L30" s="1" t="n">
        <v>0.719750136805701</v>
      </c>
    </row>
    <row r="31" customFormat="false" ht="15" hidden="false" customHeight="false" outlineLevel="0" collapsed="false">
      <c r="A31" s="1" t="s">
        <v>43</v>
      </c>
      <c r="B31" s="1" t="s">
        <v>44</v>
      </c>
      <c r="C31" s="1" t="s">
        <v>45</v>
      </c>
      <c r="D31" s="1" t="s">
        <v>19</v>
      </c>
      <c r="E31" s="1" t="s">
        <v>20</v>
      </c>
      <c r="F31" s="1" t="n">
        <v>12</v>
      </c>
      <c r="G31" s="1" t="s">
        <v>33</v>
      </c>
      <c r="H31" s="1" t="n">
        <v>0.1532</v>
      </c>
      <c r="I31" s="1" t="n">
        <v>0.227079732835451</v>
      </c>
      <c r="J31" s="1" t="n">
        <v>0.35296353823877</v>
      </c>
      <c r="K31" s="1" t="n">
        <f aca="false">J31-I31</f>
        <v>0.125883805403319</v>
      </c>
      <c r="L31" s="1" t="n">
        <v>0.719750136805701</v>
      </c>
    </row>
    <row r="32" customFormat="false" ht="15" hidden="false" customHeight="false" outlineLevel="0" collapsed="false">
      <c r="A32" s="1" t="s">
        <v>43</v>
      </c>
      <c r="B32" s="1" t="s">
        <v>44</v>
      </c>
      <c r="C32" s="1" t="s">
        <v>45</v>
      </c>
      <c r="D32" s="1" t="s">
        <v>19</v>
      </c>
      <c r="E32" s="1" t="s">
        <v>20</v>
      </c>
      <c r="F32" s="1" t="n">
        <v>12</v>
      </c>
      <c r="G32" s="1" t="s">
        <v>35</v>
      </c>
      <c r="H32" s="1" t="n">
        <v>0.152</v>
      </c>
      <c r="I32" s="1" t="n">
        <v>0.22536996145829</v>
      </c>
      <c r="J32" s="1" t="n">
        <v>0.347542234013959</v>
      </c>
      <c r="K32" s="1" t="n">
        <f aca="false">J32-I32</f>
        <v>0.122172272555669</v>
      </c>
      <c r="L32" s="1" t="n">
        <v>0.719750136805701</v>
      </c>
    </row>
    <row r="33" customFormat="false" ht="15" hidden="false" customHeight="false" outlineLevel="0" collapsed="false">
      <c r="A33" s="1" t="s">
        <v>43</v>
      </c>
      <c r="B33" s="1" t="s">
        <v>44</v>
      </c>
      <c r="C33" s="1" t="s">
        <v>45</v>
      </c>
      <c r="D33" s="1" t="s">
        <v>19</v>
      </c>
      <c r="E33" s="1" t="s">
        <v>20</v>
      </c>
      <c r="F33" s="1" t="n">
        <v>12</v>
      </c>
      <c r="G33" s="1" t="s">
        <v>21</v>
      </c>
      <c r="H33" s="1" t="n">
        <v>0.147</v>
      </c>
      <c r="I33" s="1" t="n">
        <v>0.21793024494196</v>
      </c>
      <c r="J33" s="1" t="n">
        <v>0.310141602362895</v>
      </c>
      <c r="K33" s="1" t="n">
        <f aca="false">J33-I33</f>
        <v>0.092211357420935</v>
      </c>
      <c r="L33" s="1" t="n">
        <v>0.719750136805701</v>
      </c>
    </row>
    <row r="34" customFormat="false" ht="15" hidden="false" customHeight="false" outlineLevel="0" collapsed="false">
      <c r="A34" s="1" t="s">
        <v>46</v>
      </c>
      <c r="B34" s="1" t="s">
        <v>47</v>
      </c>
      <c r="C34" s="1" t="s">
        <v>48</v>
      </c>
      <c r="D34" s="1" t="s">
        <v>19</v>
      </c>
      <c r="E34" s="1" t="s">
        <v>20</v>
      </c>
      <c r="F34" s="1" t="n">
        <v>14</v>
      </c>
      <c r="G34" s="1" t="s">
        <v>26</v>
      </c>
      <c r="H34" s="1" t="n">
        <v>0.1861</v>
      </c>
      <c r="I34" s="1" t="n">
        <v>0.290530453552557</v>
      </c>
      <c r="J34" s="1" t="n">
        <v>0.391765176546883</v>
      </c>
      <c r="K34" s="1" t="n">
        <f aca="false">J34-I34</f>
        <v>0.101234722994326</v>
      </c>
      <c r="L34" s="1" t="n">
        <v>0.778318129572334</v>
      </c>
    </row>
    <row r="35" customFormat="false" ht="15" hidden="false" customHeight="false" outlineLevel="0" collapsed="false">
      <c r="A35" s="1" t="s">
        <v>46</v>
      </c>
      <c r="B35" s="1" t="s">
        <v>47</v>
      </c>
      <c r="C35" s="1" t="s">
        <v>48</v>
      </c>
      <c r="D35" s="1" t="s">
        <v>19</v>
      </c>
      <c r="E35" s="1" t="s">
        <v>20</v>
      </c>
      <c r="F35" s="1" t="n">
        <v>14</v>
      </c>
      <c r="G35" s="1" t="s">
        <v>25</v>
      </c>
      <c r="H35" s="1" t="n">
        <v>0.1806</v>
      </c>
      <c r="I35" s="1" t="n">
        <v>0.281912982309708</v>
      </c>
      <c r="J35" s="1" t="n">
        <v>0.306877597565901</v>
      </c>
      <c r="K35" s="1" t="n">
        <f aca="false">J35-I35</f>
        <v>0.024964615256193</v>
      </c>
      <c r="L35" s="1" t="n">
        <v>0.778318129572334</v>
      </c>
    </row>
    <row r="36" customFormat="false" ht="15" hidden="false" customHeight="false" outlineLevel="0" collapsed="false">
      <c r="A36" s="1" t="s">
        <v>46</v>
      </c>
      <c r="B36" s="1" t="s">
        <v>47</v>
      </c>
      <c r="C36" s="1" t="s">
        <v>48</v>
      </c>
      <c r="D36" s="1" t="s">
        <v>19</v>
      </c>
      <c r="E36" s="1" t="s">
        <v>20</v>
      </c>
      <c r="F36" s="1" t="n">
        <v>14</v>
      </c>
      <c r="G36" s="1" t="s">
        <v>42</v>
      </c>
      <c r="H36" s="1" t="n">
        <v>0.1717</v>
      </c>
      <c r="I36" s="1" t="n">
        <v>0.267956498219243</v>
      </c>
      <c r="J36" s="1" t="n">
        <v>0.28582989210313</v>
      </c>
      <c r="K36" s="1" t="n">
        <f aca="false">J36-I36</f>
        <v>0.017873393883887</v>
      </c>
      <c r="L36" s="1" t="n">
        <v>0.778318129572334</v>
      </c>
    </row>
    <row r="37" customFormat="false" ht="15" hidden="false" customHeight="false" outlineLevel="0" collapsed="false">
      <c r="A37" s="1" t="s">
        <v>46</v>
      </c>
      <c r="B37" s="1" t="s">
        <v>47</v>
      </c>
      <c r="C37" s="1" t="s">
        <v>48</v>
      </c>
      <c r="D37" s="1" t="s">
        <v>19</v>
      </c>
      <c r="E37" s="1" t="s">
        <v>20</v>
      </c>
      <c r="F37" s="1" t="n">
        <v>14</v>
      </c>
      <c r="G37" s="1" t="s">
        <v>33</v>
      </c>
      <c r="H37" s="1" t="n">
        <v>0.1574</v>
      </c>
      <c r="I37" s="1" t="n">
        <v>0.24564702576073</v>
      </c>
      <c r="J37" s="1" t="n">
        <v>0.292948915882697</v>
      </c>
      <c r="K37" s="1" t="n">
        <f aca="false">J37-I37</f>
        <v>0.047301890121967</v>
      </c>
      <c r="L37" s="1" t="n">
        <v>0.778318129572334</v>
      </c>
    </row>
    <row r="38" customFormat="false" ht="15" hidden="false" customHeight="false" outlineLevel="0" collapsed="false">
      <c r="A38" s="1" t="s">
        <v>46</v>
      </c>
      <c r="B38" s="1" t="s">
        <v>47</v>
      </c>
      <c r="C38" s="1" t="s">
        <v>48</v>
      </c>
      <c r="D38" s="1" t="s">
        <v>19</v>
      </c>
      <c r="E38" s="1" t="s">
        <v>20</v>
      </c>
      <c r="F38" s="1" t="n">
        <v>14</v>
      </c>
      <c r="G38" s="1" t="s">
        <v>49</v>
      </c>
      <c r="H38" s="1" t="n">
        <v>0.1547</v>
      </c>
      <c r="I38" s="1" t="n">
        <v>0.241445538918688</v>
      </c>
      <c r="J38" s="1" t="n">
        <v>0.304525736059957</v>
      </c>
      <c r="K38" s="1" t="n">
        <f aca="false">J38-I38</f>
        <v>0.063080197141269</v>
      </c>
      <c r="L38" s="1" t="n">
        <v>0.778318129572334</v>
      </c>
    </row>
    <row r="39" customFormat="false" ht="15" hidden="false" customHeight="false" outlineLevel="0" collapsed="false">
      <c r="A39" s="1" t="s">
        <v>46</v>
      </c>
      <c r="B39" s="1" t="s">
        <v>47</v>
      </c>
      <c r="C39" s="1" t="s">
        <v>48</v>
      </c>
      <c r="D39" s="1" t="s">
        <v>19</v>
      </c>
      <c r="E39" s="1" t="s">
        <v>20</v>
      </c>
      <c r="F39" s="1" t="n">
        <v>14</v>
      </c>
      <c r="G39" s="1" t="s">
        <v>21</v>
      </c>
      <c r="H39" s="1" t="n">
        <v>0.1495</v>
      </c>
      <c r="I39" s="1" t="n">
        <v>0.233414275521061</v>
      </c>
      <c r="J39" s="1" t="n">
        <v>0.268600328779042</v>
      </c>
      <c r="K39" s="1" t="n">
        <f aca="false">J39-I39</f>
        <v>0.035186053257981</v>
      </c>
      <c r="L39" s="1" t="n">
        <v>0.778318129572334</v>
      </c>
    </row>
    <row r="40" customFormat="false" ht="15" hidden="false" customHeight="false" outlineLevel="0" collapsed="false">
      <c r="A40" s="1" t="s">
        <v>50</v>
      </c>
      <c r="B40" s="1" t="s">
        <v>51</v>
      </c>
      <c r="C40" s="1" t="s">
        <v>52</v>
      </c>
      <c r="D40" s="1" t="s">
        <v>19</v>
      </c>
      <c r="E40" s="1" t="s">
        <v>20</v>
      </c>
      <c r="F40" s="1" t="n">
        <v>16</v>
      </c>
      <c r="G40" s="1" t="s">
        <v>26</v>
      </c>
      <c r="H40" s="1" t="n">
        <v>0.2678</v>
      </c>
      <c r="I40" s="1" t="n">
        <v>0.264094539524373</v>
      </c>
      <c r="J40" s="1" t="n">
        <v>0.355085326168838</v>
      </c>
      <c r="K40" s="1" t="n">
        <f aca="false">J40-I40</f>
        <v>0.090990786644465</v>
      </c>
      <c r="L40" s="1" t="n">
        <v>0.742397408036601</v>
      </c>
    </row>
    <row r="41" customFormat="false" ht="15" hidden="false" customHeight="false" outlineLevel="0" collapsed="false">
      <c r="A41" s="1" t="s">
        <v>50</v>
      </c>
      <c r="B41" s="1" t="s">
        <v>51</v>
      </c>
      <c r="C41" s="1" t="s">
        <v>52</v>
      </c>
      <c r="D41" s="1" t="s">
        <v>19</v>
      </c>
      <c r="E41" s="1" t="s">
        <v>20</v>
      </c>
      <c r="F41" s="1" t="n">
        <v>16</v>
      </c>
      <c r="G41" s="1" t="s">
        <v>33</v>
      </c>
      <c r="H41" s="1" t="n">
        <v>0.2116</v>
      </c>
      <c r="I41" s="1" t="n">
        <v>0.208631172902018</v>
      </c>
      <c r="J41" s="1" t="n">
        <v>0.320687405247719</v>
      </c>
      <c r="K41" s="1" t="n">
        <f aca="false">J41-I41</f>
        <v>0.112056232345701</v>
      </c>
      <c r="L41" s="1" t="n">
        <v>0.742397408036601</v>
      </c>
    </row>
    <row r="42" customFormat="false" ht="15" hidden="false" customHeight="false" outlineLevel="0" collapsed="false">
      <c r="A42" s="1" t="s">
        <v>50</v>
      </c>
      <c r="B42" s="1" t="s">
        <v>51</v>
      </c>
      <c r="C42" s="1" t="s">
        <v>52</v>
      </c>
      <c r="D42" s="1" t="s">
        <v>19</v>
      </c>
      <c r="E42" s="1" t="s">
        <v>20</v>
      </c>
      <c r="F42" s="1" t="n">
        <v>16</v>
      </c>
      <c r="G42" s="1" t="s">
        <v>49</v>
      </c>
      <c r="H42" s="1" t="n">
        <v>0.2111</v>
      </c>
      <c r="I42" s="1" t="n">
        <v>0.208133946612668</v>
      </c>
      <c r="J42" s="1" t="n">
        <v>0.330248060181585</v>
      </c>
      <c r="K42" s="1" t="n">
        <f aca="false">J42-I42</f>
        <v>0.122114113568917</v>
      </c>
      <c r="L42" s="1" t="n">
        <v>0.742397408036601</v>
      </c>
    </row>
    <row r="43" customFormat="false" ht="15" hidden="false" customHeight="false" outlineLevel="0" collapsed="false">
      <c r="A43" s="1" t="s">
        <v>50</v>
      </c>
      <c r="B43" s="1" t="s">
        <v>51</v>
      </c>
      <c r="C43" s="1" t="s">
        <v>52</v>
      </c>
      <c r="D43" s="1" t="s">
        <v>19</v>
      </c>
      <c r="E43" s="1" t="s">
        <v>20</v>
      </c>
      <c r="F43" s="1" t="n">
        <v>16</v>
      </c>
      <c r="G43" s="1" t="s">
        <v>25</v>
      </c>
      <c r="H43" s="1" t="n">
        <v>0.2095</v>
      </c>
      <c r="I43" s="1" t="n">
        <v>0.206610328938842</v>
      </c>
      <c r="J43" s="1" t="n">
        <v>0.332123490917238</v>
      </c>
      <c r="K43" s="1" t="n">
        <f aca="false">J43-I43</f>
        <v>0.125513161978396</v>
      </c>
      <c r="L43" s="1" t="n">
        <v>0.742397408036601</v>
      </c>
    </row>
    <row r="44" customFormat="false" ht="15" hidden="false" customHeight="false" outlineLevel="0" collapsed="false">
      <c r="A44" s="1" t="s">
        <v>50</v>
      </c>
      <c r="B44" s="1" t="s">
        <v>51</v>
      </c>
      <c r="C44" s="1" t="s">
        <v>52</v>
      </c>
      <c r="D44" s="1" t="s">
        <v>19</v>
      </c>
      <c r="E44" s="1" t="s">
        <v>20</v>
      </c>
      <c r="F44" s="1" t="n">
        <v>16</v>
      </c>
      <c r="G44" s="1" t="s">
        <v>21</v>
      </c>
      <c r="H44" s="1" t="n">
        <v>0.1</v>
      </c>
      <c r="I44" s="1" t="n">
        <v>0.182476307031001</v>
      </c>
      <c r="J44" s="1" t="n">
        <v>0.257155324792833</v>
      </c>
      <c r="K44" s="1" t="n">
        <f aca="false">J44-I44</f>
        <v>0.074679017761832</v>
      </c>
      <c r="L44" s="1" t="n">
        <v>0.742397408036601</v>
      </c>
    </row>
    <row r="45" customFormat="false" ht="15" hidden="false" customHeight="false" outlineLevel="0" collapsed="false">
      <c r="A45" s="1" t="s">
        <v>53</v>
      </c>
      <c r="B45" s="1" t="s">
        <v>54</v>
      </c>
      <c r="C45" s="1" t="s">
        <v>55</v>
      </c>
      <c r="D45" s="1" t="s">
        <v>19</v>
      </c>
      <c r="E45" s="1" t="s">
        <v>20</v>
      </c>
      <c r="F45" s="1" t="n">
        <v>18</v>
      </c>
      <c r="G45" s="1" t="s">
        <v>25</v>
      </c>
      <c r="H45" s="1" t="n">
        <v>0.1981</v>
      </c>
      <c r="I45" s="1" t="n">
        <v>0.298461660484235</v>
      </c>
      <c r="J45" s="1" t="n">
        <v>0.352302756686946</v>
      </c>
      <c r="K45" s="1" t="n">
        <f aca="false">J45-I45</f>
        <v>0.053841096202711</v>
      </c>
      <c r="L45" s="1" t="n">
        <v>0.83322558385751</v>
      </c>
    </row>
    <row r="46" customFormat="false" ht="15" hidden="false" customHeight="false" outlineLevel="0" collapsed="false">
      <c r="A46" s="1" t="s">
        <v>53</v>
      </c>
      <c r="B46" s="1" t="s">
        <v>54</v>
      </c>
      <c r="C46" s="1" t="s">
        <v>55</v>
      </c>
      <c r="D46" s="1" t="s">
        <v>19</v>
      </c>
      <c r="E46" s="1" t="s">
        <v>20</v>
      </c>
      <c r="F46" s="1" t="n">
        <v>18</v>
      </c>
      <c r="G46" s="1" t="s">
        <v>26</v>
      </c>
      <c r="H46" s="1" t="n">
        <v>0.1897</v>
      </c>
      <c r="I46" s="1" t="n">
        <v>0.285760879986368</v>
      </c>
      <c r="J46" s="1" t="n">
        <v>0.359254549989888</v>
      </c>
      <c r="K46" s="1" t="n">
        <f aca="false">J46-I46</f>
        <v>0.07349367000352</v>
      </c>
      <c r="L46" s="1" t="n">
        <v>0.83322558385751</v>
      </c>
    </row>
    <row r="47" customFormat="false" ht="15" hidden="false" customHeight="false" outlineLevel="0" collapsed="false">
      <c r="A47" s="1" t="s">
        <v>53</v>
      </c>
      <c r="B47" s="1" t="s">
        <v>54</v>
      </c>
      <c r="C47" s="1" t="s">
        <v>55</v>
      </c>
      <c r="D47" s="1" t="s">
        <v>19</v>
      </c>
      <c r="E47" s="1" t="s">
        <v>20</v>
      </c>
      <c r="F47" s="1" t="n">
        <v>18</v>
      </c>
      <c r="G47" s="1" t="s">
        <v>49</v>
      </c>
      <c r="H47" s="1" t="n">
        <v>0.1796</v>
      </c>
      <c r="I47" s="1" t="n">
        <v>0.270473600822805</v>
      </c>
      <c r="J47" s="1" t="n">
        <v>0.343397530838952</v>
      </c>
      <c r="K47" s="1" t="n">
        <f aca="false">J47-I47</f>
        <v>0.072923930016147</v>
      </c>
      <c r="L47" s="1" t="n">
        <v>0.83322558385751</v>
      </c>
    </row>
    <row r="48" customFormat="false" ht="15" hidden="false" customHeight="false" outlineLevel="0" collapsed="false">
      <c r="A48" s="1" t="s">
        <v>53</v>
      </c>
      <c r="B48" s="1" t="s">
        <v>54</v>
      </c>
      <c r="C48" s="1" t="s">
        <v>55</v>
      </c>
      <c r="D48" s="1" t="s">
        <v>19</v>
      </c>
      <c r="E48" s="1" t="s">
        <v>20</v>
      </c>
      <c r="F48" s="1" t="n">
        <v>18</v>
      </c>
      <c r="G48" s="1" t="s">
        <v>33</v>
      </c>
      <c r="H48" s="1" t="n">
        <v>0.169</v>
      </c>
      <c r="I48" s="1" t="n">
        <v>0.254574883451005</v>
      </c>
      <c r="J48" s="1" t="n">
        <v>0.327448895065871</v>
      </c>
      <c r="K48" s="1" t="n">
        <f aca="false">J48-I48</f>
        <v>0.072874011614866</v>
      </c>
      <c r="L48" s="1" t="n">
        <v>0.83322558385751</v>
      </c>
    </row>
    <row r="49" customFormat="false" ht="15" hidden="false" customHeight="false" outlineLevel="0" collapsed="false">
      <c r="A49" s="1" t="s">
        <v>53</v>
      </c>
      <c r="B49" s="1" t="s">
        <v>54</v>
      </c>
      <c r="C49" s="1" t="s">
        <v>55</v>
      </c>
      <c r="D49" s="1" t="s">
        <v>19</v>
      </c>
      <c r="E49" s="1" t="s">
        <v>20</v>
      </c>
      <c r="F49" s="1" t="n">
        <v>18</v>
      </c>
      <c r="G49" s="1" t="s">
        <v>42</v>
      </c>
      <c r="H49" s="1" t="n">
        <v>0.1636</v>
      </c>
      <c r="I49" s="1" t="n">
        <v>0.246376226223895</v>
      </c>
      <c r="J49" s="1" t="n">
        <v>0.295274451393483</v>
      </c>
      <c r="K49" s="1" t="n">
        <f aca="false">J49-I49</f>
        <v>0.048898225169588</v>
      </c>
      <c r="L49" s="1" t="n">
        <v>0.83322558385751</v>
      </c>
    </row>
    <row r="50" customFormat="false" ht="15" hidden="false" customHeight="false" outlineLevel="0" collapsed="false">
      <c r="A50" s="1" t="s">
        <v>53</v>
      </c>
      <c r="B50" s="1" t="s">
        <v>54</v>
      </c>
      <c r="C50" s="1" t="s">
        <v>55</v>
      </c>
      <c r="D50" s="1" t="s">
        <v>19</v>
      </c>
      <c r="E50" s="1" t="s">
        <v>20</v>
      </c>
      <c r="F50" s="1" t="n">
        <v>18</v>
      </c>
      <c r="G50" s="1" t="s">
        <v>21</v>
      </c>
      <c r="H50" s="1" t="n">
        <v>0.1</v>
      </c>
      <c r="I50" s="1" t="n">
        <v>0.203815620631508</v>
      </c>
      <c r="J50" s="1" t="n">
        <v>0.274187570657866</v>
      </c>
      <c r="K50" s="1" t="n">
        <f aca="false">J50-I50</f>
        <v>0.070371950026358</v>
      </c>
      <c r="L50" s="1" t="n">
        <v>0.83322558385751</v>
      </c>
    </row>
    <row r="51" customFormat="false" ht="15" hidden="false" customHeight="false" outlineLevel="0" collapsed="false">
      <c r="A51" s="1" t="s">
        <v>56</v>
      </c>
      <c r="B51" s="1" t="s">
        <v>57</v>
      </c>
      <c r="C51" s="1" t="s">
        <v>58</v>
      </c>
      <c r="D51" s="1" t="s">
        <v>19</v>
      </c>
      <c r="E51" s="1" t="s">
        <v>20</v>
      </c>
      <c r="F51" s="1" t="n">
        <v>20</v>
      </c>
      <c r="G51" s="1" t="s">
        <v>26</v>
      </c>
      <c r="H51" s="1" t="n">
        <v>0.2054</v>
      </c>
      <c r="I51" s="1" t="n">
        <v>0.334162760565607</v>
      </c>
      <c r="J51" s="1" t="n">
        <v>0.356161168995052</v>
      </c>
      <c r="K51" s="1" t="n">
        <f aca="false">J51-I51</f>
        <v>0.021998408429445</v>
      </c>
      <c r="L51" s="1" t="n">
        <v>0.717525615290775</v>
      </c>
    </row>
    <row r="52" customFormat="false" ht="15" hidden="false" customHeight="false" outlineLevel="0" collapsed="false">
      <c r="A52" s="1" t="s">
        <v>56</v>
      </c>
      <c r="B52" s="1" t="s">
        <v>57</v>
      </c>
      <c r="C52" s="1" t="s">
        <v>58</v>
      </c>
      <c r="D52" s="1" t="s">
        <v>19</v>
      </c>
      <c r="E52" s="1" t="s">
        <v>20</v>
      </c>
      <c r="F52" s="1" t="n">
        <v>20</v>
      </c>
      <c r="G52" s="1" t="s">
        <v>49</v>
      </c>
      <c r="H52" s="1" t="n">
        <v>0.1855</v>
      </c>
      <c r="I52" s="1" t="n">
        <v>0.301843085397506</v>
      </c>
      <c r="J52" s="1" t="n">
        <v>0.326069877889505</v>
      </c>
      <c r="K52" s="1" t="n">
        <f aca="false">J52-I52</f>
        <v>0.024226792491999</v>
      </c>
      <c r="L52" s="1" t="n">
        <v>0.717525615290775</v>
      </c>
    </row>
    <row r="53" customFormat="false" ht="15" hidden="false" customHeight="false" outlineLevel="0" collapsed="false">
      <c r="A53" s="1" t="s">
        <v>56</v>
      </c>
      <c r="B53" s="1" t="s">
        <v>57</v>
      </c>
      <c r="C53" s="1" t="s">
        <v>58</v>
      </c>
      <c r="D53" s="1" t="s">
        <v>19</v>
      </c>
      <c r="E53" s="1" t="s">
        <v>20</v>
      </c>
      <c r="F53" s="1" t="n">
        <v>20</v>
      </c>
      <c r="G53" s="1" t="s">
        <v>25</v>
      </c>
      <c r="H53" s="1" t="n">
        <v>0.176</v>
      </c>
      <c r="I53" s="1" t="n">
        <v>0.286385149669314</v>
      </c>
      <c r="J53" s="1" t="n">
        <v>0.338705541374909</v>
      </c>
      <c r="K53" s="1" t="n">
        <f aca="false">J53-I53</f>
        <v>0.052320391705595</v>
      </c>
      <c r="L53" s="1" t="n">
        <v>0.717525615290775</v>
      </c>
    </row>
    <row r="54" customFormat="false" ht="15" hidden="false" customHeight="false" outlineLevel="0" collapsed="false">
      <c r="A54" s="1" t="s">
        <v>56</v>
      </c>
      <c r="B54" s="1" t="s">
        <v>57</v>
      </c>
      <c r="C54" s="1" t="s">
        <v>58</v>
      </c>
      <c r="D54" s="1" t="s">
        <v>19</v>
      </c>
      <c r="E54" s="1" t="s">
        <v>20</v>
      </c>
      <c r="F54" s="1" t="n">
        <v>20</v>
      </c>
      <c r="G54" s="1" t="s">
        <v>33</v>
      </c>
      <c r="H54" s="1" t="n">
        <v>0.1733</v>
      </c>
      <c r="I54" s="1" t="n">
        <v>0.281938573745484</v>
      </c>
      <c r="J54" s="1" t="n">
        <v>0.319879183675776</v>
      </c>
      <c r="K54" s="1" t="n">
        <f aca="false">J54-I54</f>
        <v>0.037940609930292</v>
      </c>
      <c r="L54" s="1" t="n">
        <v>0.717525615290775</v>
      </c>
    </row>
    <row r="55" customFormat="false" ht="15" hidden="false" customHeight="false" outlineLevel="0" collapsed="false">
      <c r="A55" s="1" t="s">
        <v>56</v>
      </c>
      <c r="B55" s="1" t="s">
        <v>57</v>
      </c>
      <c r="C55" s="1" t="s">
        <v>58</v>
      </c>
      <c r="D55" s="1" t="s">
        <v>19</v>
      </c>
      <c r="E55" s="1" t="s">
        <v>20</v>
      </c>
      <c r="F55" s="1" t="n">
        <v>20</v>
      </c>
      <c r="G55" s="1" t="s">
        <v>34</v>
      </c>
      <c r="H55" s="1" t="n">
        <v>0.1598</v>
      </c>
      <c r="I55" s="1" t="n">
        <v>0.260011224069028</v>
      </c>
      <c r="J55" s="1" t="n">
        <v>0.376817427440906</v>
      </c>
      <c r="K55" s="1" t="n">
        <f aca="false">J55-I55</f>
        <v>0.116806203371878</v>
      </c>
      <c r="L55" s="1" t="n">
        <v>0.717525615290775</v>
      </c>
    </row>
    <row r="56" customFormat="false" ht="15" hidden="false" customHeight="false" outlineLevel="0" collapsed="false">
      <c r="A56" s="1" t="s">
        <v>56</v>
      </c>
      <c r="B56" s="1" t="s">
        <v>57</v>
      </c>
      <c r="C56" s="1" t="s">
        <v>58</v>
      </c>
      <c r="D56" s="1" t="s">
        <v>19</v>
      </c>
      <c r="E56" s="1" t="s">
        <v>20</v>
      </c>
      <c r="F56" s="1" t="n">
        <v>20</v>
      </c>
      <c r="G56" s="1" t="s">
        <v>21</v>
      </c>
      <c r="H56" s="1" t="n">
        <v>0.1</v>
      </c>
      <c r="I56" s="1" t="n">
        <v>0.226598442025964</v>
      </c>
      <c r="J56" s="1" t="n">
        <v>0.324006194001934</v>
      </c>
      <c r="K56" s="1" t="n">
        <f aca="false">J56-I56</f>
        <v>0.09740775197597</v>
      </c>
      <c r="L56" s="1" t="n">
        <v>0.717525615290775</v>
      </c>
    </row>
    <row r="57" customFormat="false" ht="15" hidden="false" customHeight="false" outlineLevel="0" collapsed="false">
      <c r="A57" s="1" t="s">
        <v>59</v>
      </c>
      <c r="B57" s="1" t="s">
        <v>60</v>
      </c>
      <c r="C57" s="1" t="s">
        <v>61</v>
      </c>
      <c r="D57" s="1" t="s">
        <v>19</v>
      </c>
      <c r="E57" s="1" t="s">
        <v>20</v>
      </c>
      <c r="F57" s="1" t="n">
        <v>22</v>
      </c>
      <c r="G57" s="1" t="s">
        <v>42</v>
      </c>
      <c r="H57" s="1" t="n">
        <v>0.1885</v>
      </c>
      <c r="I57" s="1" t="n">
        <v>0.224927703105236</v>
      </c>
      <c r="J57" s="1" t="n">
        <v>0.374337938763059</v>
      </c>
      <c r="K57" s="1" t="n">
        <f aca="false">J57-I57</f>
        <v>0.149410235657823</v>
      </c>
      <c r="L57" s="1" t="n">
        <v>0.750832143580771</v>
      </c>
    </row>
    <row r="58" customFormat="false" ht="15" hidden="false" customHeight="false" outlineLevel="0" collapsed="false">
      <c r="A58" s="1" t="s">
        <v>59</v>
      </c>
      <c r="B58" s="1" t="s">
        <v>60</v>
      </c>
      <c r="C58" s="1" t="s">
        <v>61</v>
      </c>
      <c r="D58" s="1" t="s">
        <v>19</v>
      </c>
      <c r="E58" s="1" t="s">
        <v>20</v>
      </c>
      <c r="F58" s="1" t="n">
        <v>22</v>
      </c>
      <c r="G58" s="1" t="s">
        <v>62</v>
      </c>
      <c r="H58" s="1" t="n">
        <v>0.187</v>
      </c>
      <c r="I58" s="1" t="n">
        <v>0.223159787755792</v>
      </c>
      <c r="J58" s="1" t="n">
        <v>0.302091308634806</v>
      </c>
      <c r="K58" s="1" t="n">
        <f aca="false">J58-I58</f>
        <v>0.078931520879014</v>
      </c>
      <c r="L58" s="1" t="n">
        <v>0.750832143580771</v>
      </c>
    </row>
    <row r="59" customFormat="false" ht="15" hidden="false" customHeight="false" outlineLevel="0" collapsed="false">
      <c r="A59" s="1" t="s">
        <v>59</v>
      </c>
      <c r="B59" s="1" t="s">
        <v>60</v>
      </c>
      <c r="C59" s="1" t="s">
        <v>61</v>
      </c>
      <c r="D59" s="1" t="s">
        <v>19</v>
      </c>
      <c r="E59" s="1" t="s">
        <v>20</v>
      </c>
      <c r="F59" s="1" t="n">
        <v>22</v>
      </c>
      <c r="G59" s="1" t="s">
        <v>25</v>
      </c>
      <c r="H59" s="1" t="n">
        <v>0.179</v>
      </c>
      <c r="I59" s="1" t="n">
        <v>0.213551359893575</v>
      </c>
      <c r="J59" s="1" t="n">
        <v>0.366836409461827</v>
      </c>
      <c r="K59" s="1" t="n">
        <f aca="false">J59-I59</f>
        <v>0.153285049568252</v>
      </c>
      <c r="L59" s="1" t="n">
        <v>0.750832143580771</v>
      </c>
    </row>
    <row r="60" customFormat="false" ht="15" hidden="false" customHeight="false" outlineLevel="0" collapsed="false">
      <c r="A60" s="1" t="s">
        <v>59</v>
      </c>
      <c r="B60" s="1" t="s">
        <v>60</v>
      </c>
      <c r="C60" s="1" t="s">
        <v>61</v>
      </c>
      <c r="D60" s="1" t="s">
        <v>19</v>
      </c>
      <c r="E60" s="1" t="s">
        <v>20</v>
      </c>
      <c r="F60" s="1" t="n">
        <v>22</v>
      </c>
      <c r="G60" s="1" t="s">
        <v>26</v>
      </c>
      <c r="H60" s="1" t="n">
        <v>0.1775</v>
      </c>
      <c r="I60" s="1" t="n">
        <v>0.21183367216828</v>
      </c>
      <c r="J60" s="1" t="n">
        <v>0.389127295489987</v>
      </c>
      <c r="K60" s="1" t="n">
        <f aca="false">J60-I60</f>
        <v>0.177293623321707</v>
      </c>
      <c r="L60" s="1" t="n">
        <v>0.750832143580771</v>
      </c>
    </row>
    <row r="61" customFormat="false" ht="15" hidden="false" customHeight="false" outlineLevel="0" collapsed="false">
      <c r="A61" s="1" t="s">
        <v>59</v>
      </c>
      <c r="B61" s="1" t="s">
        <v>60</v>
      </c>
      <c r="C61" s="1" t="s">
        <v>61</v>
      </c>
      <c r="D61" s="1" t="s">
        <v>19</v>
      </c>
      <c r="E61" s="1" t="s">
        <v>20</v>
      </c>
      <c r="F61" s="1" t="n">
        <v>22</v>
      </c>
      <c r="G61" s="1" t="s">
        <v>34</v>
      </c>
      <c r="H61" s="1" t="n">
        <v>0.1679</v>
      </c>
      <c r="I61" s="1" t="n">
        <v>0.200369978525503</v>
      </c>
      <c r="J61" s="1" t="n">
        <v>0.319936072251866</v>
      </c>
      <c r="K61" s="1" t="n">
        <f aca="false">J61-I61</f>
        <v>0.119566093726363</v>
      </c>
      <c r="L61" s="1" t="n">
        <v>0.750832143580771</v>
      </c>
    </row>
    <row r="62" customFormat="false" ht="15" hidden="false" customHeight="false" outlineLevel="0" collapsed="false">
      <c r="A62" s="1" t="s">
        <v>59</v>
      </c>
      <c r="B62" s="1" t="s">
        <v>60</v>
      </c>
      <c r="C62" s="1" t="s">
        <v>61</v>
      </c>
      <c r="D62" s="1" t="s">
        <v>19</v>
      </c>
      <c r="E62" s="1" t="s">
        <v>20</v>
      </c>
      <c r="F62" s="1" t="n">
        <v>22</v>
      </c>
      <c r="G62" s="1" t="s">
        <v>21</v>
      </c>
      <c r="H62" s="1" t="n">
        <v>0.1</v>
      </c>
      <c r="I62" s="1" t="n">
        <v>0.170887029890504</v>
      </c>
      <c r="J62" s="1" t="n">
        <v>0.305652444415355</v>
      </c>
      <c r="K62" s="1" t="n">
        <f aca="false">J62-I62</f>
        <v>0.134765414524851</v>
      </c>
      <c r="L62" s="1" t="n">
        <v>0.750832143580771</v>
      </c>
    </row>
    <row r="63" customFormat="false" ht="15" hidden="false" customHeight="false" outlineLevel="0" collapsed="false">
      <c r="A63" s="1" t="s">
        <v>63</v>
      </c>
      <c r="B63" s="1" t="s">
        <v>64</v>
      </c>
      <c r="C63" s="1" t="s">
        <v>65</v>
      </c>
      <c r="D63" s="1" t="s">
        <v>19</v>
      </c>
      <c r="E63" s="1" t="s">
        <v>20</v>
      </c>
      <c r="F63" s="1" t="n">
        <v>24</v>
      </c>
      <c r="G63" s="1" t="s">
        <v>26</v>
      </c>
      <c r="H63" s="1" t="n">
        <v>0.2033</v>
      </c>
      <c r="I63" s="1" t="n">
        <v>0.267033817741552</v>
      </c>
      <c r="J63" s="1" t="n">
        <v>0.353559117240166</v>
      </c>
      <c r="K63" s="1" t="n">
        <f aca="false">J63-I63</f>
        <v>0.086525299498614</v>
      </c>
      <c r="L63" s="1" t="n">
        <v>0.77358788110411</v>
      </c>
    </row>
    <row r="64" customFormat="false" ht="15" hidden="false" customHeight="false" outlineLevel="0" collapsed="false">
      <c r="A64" s="1" t="s">
        <v>63</v>
      </c>
      <c r="B64" s="1" t="s">
        <v>64</v>
      </c>
      <c r="C64" s="1" t="s">
        <v>65</v>
      </c>
      <c r="D64" s="1" t="s">
        <v>19</v>
      </c>
      <c r="E64" s="1" t="s">
        <v>20</v>
      </c>
      <c r="F64" s="1" t="n">
        <v>24</v>
      </c>
      <c r="G64" s="1" t="s">
        <v>25</v>
      </c>
      <c r="H64" s="1" t="n">
        <v>0.1893</v>
      </c>
      <c r="I64" s="1" t="n">
        <v>0.248652159397052</v>
      </c>
      <c r="J64" s="1" t="n">
        <v>0.341129527688284</v>
      </c>
      <c r="K64" s="1" t="n">
        <f aca="false">J64-I64</f>
        <v>0.092477368291232</v>
      </c>
      <c r="L64" s="1" t="n">
        <v>0.77358788110411</v>
      </c>
    </row>
    <row r="65" customFormat="false" ht="15" hidden="false" customHeight="false" outlineLevel="0" collapsed="false">
      <c r="A65" s="1" t="s">
        <v>63</v>
      </c>
      <c r="B65" s="1" t="s">
        <v>64</v>
      </c>
      <c r="C65" s="1" t="s">
        <v>65</v>
      </c>
      <c r="D65" s="1" t="s">
        <v>19</v>
      </c>
      <c r="E65" s="1" t="s">
        <v>20</v>
      </c>
      <c r="F65" s="1" t="n">
        <v>24</v>
      </c>
      <c r="G65" s="1" t="s">
        <v>33</v>
      </c>
      <c r="H65" s="1" t="n">
        <v>0.1789</v>
      </c>
      <c r="I65" s="1" t="n">
        <v>0.23487043884032</v>
      </c>
      <c r="J65" s="1" t="n">
        <v>0.324144871167126</v>
      </c>
      <c r="K65" s="1" t="n">
        <f aca="false">J65-I65</f>
        <v>0.089274432326806</v>
      </c>
      <c r="L65" s="1" t="n">
        <v>0.77358788110411</v>
      </c>
    </row>
    <row r="66" customFormat="false" ht="15" hidden="false" customHeight="false" outlineLevel="0" collapsed="false">
      <c r="A66" s="1" t="s">
        <v>63</v>
      </c>
      <c r="B66" s="1" t="s">
        <v>64</v>
      </c>
      <c r="C66" s="1" t="s">
        <v>65</v>
      </c>
      <c r="D66" s="1" t="s">
        <v>19</v>
      </c>
      <c r="E66" s="1" t="s">
        <v>20</v>
      </c>
      <c r="F66" s="1" t="n">
        <v>24</v>
      </c>
      <c r="G66" s="1" t="s">
        <v>42</v>
      </c>
      <c r="H66" s="1" t="n">
        <v>0.1666</v>
      </c>
      <c r="I66" s="1" t="n">
        <v>0.218795479819652</v>
      </c>
      <c r="J66" s="1" t="n">
        <v>0.305115951320799</v>
      </c>
      <c r="K66" s="1" t="n">
        <f aca="false">J66-I66</f>
        <v>0.086320471501147</v>
      </c>
      <c r="L66" s="1" t="n">
        <v>0.77358788110411</v>
      </c>
    </row>
    <row r="67" customFormat="false" ht="15" hidden="false" customHeight="false" outlineLevel="0" collapsed="false">
      <c r="A67" s="1" t="s">
        <v>63</v>
      </c>
      <c r="B67" s="1" t="s">
        <v>64</v>
      </c>
      <c r="C67" s="1" t="s">
        <v>65</v>
      </c>
      <c r="D67" s="1" t="s">
        <v>19</v>
      </c>
      <c r="E67" s="1" t="s">
        <v>20</v>
      </c>
      <c r="F67" s="1" t="n">
        <v>24</v>
      </c>
      <c r="G67" s="1" t="s">
        <v>49</v>
      </c>
      <c r="H67" s="1" t="n">
        <v>0.1618</v>
      </c>
      <c r="I67" s="1" t="n">
        <v>0.212531404214849</v>
      </c>
      <c r="J67" s="1" t="n">
        <v>0.332154203102638</v>
      </c>
      <c r="K67" s="1" t="n">
        <f aca="false">J67-I67</f>
        <v>0.119622798887789</v>
      </c>
      <c r="L67" s="1" t="n">
        <v>0.77358788110411</v>
      </c>
    </row>
    <row r="68" customFormat="false" ht="15" hidden="false" customHeight="false" outlineLevel="0" collapsed="false">
      <c r="A68" s="1" t="s">
        <v>63</v>
      </c>
      <c r="B68" s="1" t="s">
        <v>64</v>
      </c>
      <c r="C68" s="1" t="s">
        <v>65</v>
      </c>
      <c r="D68" s="1" t="s">
        <v>19</v>
      </c>
      <c r="E68" s="1" t="s">
        <v>20</v>
      </c>
      <c r="F68" s="1" t="n">
        <v>24</v>
      </c>
      <c r="G68" s="1" t="s">
        <v>21</v>
      </c>
      <c r="H68" s="1" t="n">
        <v>0.1</v>
      </c>
      <c r="I68" s="1" t="n">
        <v>0.183181534870872</v>
      </c>
      <c r="J68" s="1" t="n">
        <v>0.277772751822202</v>
      </c>
      <c r="K68" s="1" t="n">
        <f aca="false">J68-I68</f>
        <v>0.09459121695133</v>
      </c>
      <c r="L68" s="1" t="n">
        <v>0.77358788110411</v>
      </c>
    </row>
    <row r="69" customFormat="false" ht="15" hidden="false" customHeight="false" outlineLevel="0" collapsed="false">
      <c r="A69" s="1" t="s">
        <v>66</v>
      </c>
      <c r="B69" s="1" t="s">
        <v>67</v>
      </c>
      <c r="C69" s="1" t="s">
        <v>68</v>
      </c>
      <c r="D69" s="1" t="s">
        <v>19</v>
      </c>
      <c r="E69" s="1" t="s">
        <v>20</v>
      </c>
      <c r="F69" s="1" t="n">
        <v>26</v>
      </c>
      <c r="G69" s="1" t="s">
        <v>26</v>
      </c>
      <c r="H69" s="1" t="n">
        <v>0.202</v>
      </c>
      <c r="I69" s="1" t="n">
        <v>0.297809551568185</v>
      </c>
      <c r="J69" s="1" t="n">
        <v>0.425606430693245</v>
      </c>
      <c r="K69" s="1" t="n">
        <f aca="false">J69-I69</f>
        <v>0.12779687912506</v>
      </c>
      <c r="L69" s="1" t="n">
        <v>0.746401320572344</v>
      </c>
    </row>
    <row r="70" customFormat="false" ht="15" hidden="false" customHeight="false" outlineLevel="0" collapsed="false">
      <c r="A70" s="1" t="s">
        <v>66</v>
      </c>
      <c r="B70" s="1" t="s">
        <v>67</v>
      </c>
      <c r="C70" s="1" t="s">
        <v>68</v>
      </c>
      <c r="D70" s="1" t="s">
        <v>19</v>
      </c>
      <c r="E70" s="1" t="s">
        <v>20</v>
      </c>
      <c r="F70" s="1" t="n">
        <v>26</v>
      </c>
      <c r="G70" s="1" t="s">
        <v>25</v>
      </c>
      <c r="H70" s="1" t="n">
        <v>0.1889</v>
      </c>
      <c r="I70" s="1" t="n">
        <v>0.278467561895496</v>
      </c>
      <c r="J70" s="1" t="n">
        <v>0.402154126625027</v>
      </c>
      <c r="K70" s="1" t="n">
        <f aca="false">J70-I70</f>
        <v>0.123686564729531</v>
      </c>
      <c r="L70" s="1" t="n">
        <v>0.746401320572344</v>
      </c>
    </row>
    <row r="71" customFormat="false" ht="15" hidden="false" customHeight="false" outlineLevel="0" collapsed="false">
      <c r="A71" s="1" t="s">
        <v>66</v>
      </c>
      <c r="B71" s="1" t="s">
        <v>67</v>
      </c>
      <c r="C71" s="1" t="s">
        <v>68</v>
      </c>
      <c r="D71" s="1" t="s">
        <v>19</v>
      </c>
      <c r="E71" s="1" t="s">
        <v>20</v>
      </c>
      <c r="F71" s="1" t="n">
        <v>26</v>
      </c>
      <c r="G71" s="1" t="s">
        <v>33</v>
      </c>
      <c r="H71" s="1" t="n">
        <v>0.176</v>
      </c>
      <c r="I71" s="1" t="n">
        <v>0.259496395557543</v>
      </c>
      <c r="J71" s="1" t="n">
        <v>0.365230734046002</v>
      </c>
      <c r="K71" s="1" t="n">
        <f aca="false">J71-I71</f>
        <v>0.105734338488459</v>
      </c>
      <c r="L71" s="1" t="n">
        <v>0.746401320572344</v>
      </c>
    </row>
    <row r="72" customFormat="false" ht="15" hidden="false" customHeight="false" outlineLevel="0" collapsed="false">
      <c r="A72" s="1" t="s">
        <v>66</v>
      </c>
      <c r="B72" s="1" t="s">
        <v>67</v>
      </c>
      <c r="C72" s="1" t="s">
        <v>68</v>
      </c>
      <c r="D72" s="1" t="s">
        <v>19</v>
      </c>
      <c r="E72" s="1" t="s">
        <v>20</v>
      </c>
      <c r="F72" s="1" t="n">
        <v>26</v>
      </c>
      <c r="G72" s="1" t="s">
        <v>42</v>
      </c>
      <c r="H72" s="1" t="n">
        <v>0.1705</v>
      </c>
      <c r="I72" s="1" t="n">
        <v>0.251320711070669</v>
      </c>
      <c r="J72" s="1" t="n">
        <v>0.374656724246578</v>
      </c>
      <c r="K72" s="1" t="n">
        <f aca="false">J72-I72</f>
        <v>0.123336013175909</v>
      </c>
      <c r="L72" s="1" t="n">
        <v>0.746401320572344</v>
      </c>
    </row>
    <row r="73" customFormat="false" ht="15" hidden="false" customHeight="false" outlineLevel="0" collapsed="false">
      <c r="A73" s="1" t="s">
        <v>66</v>
      </c>
      <c r="B73" s="1" t="s">
        <v>67</v>
      </c>
      <c r="C73" s="1" t="s">
        <v>68</v>
      </c>
      <c r="D73" s="1" t="s">
        <v>19</v>
      </c>
      <c r="E73" s="1" t="s">
        <v>20</v>
      </c>
      <c r="F73" s="1" t="n">
        <v>26</v>
      </c>
      <c r="G73" s="1" t="s">
        <v>35</v>
      </c>
      <c r="H73" s="1" t="n">
        <v>0.1626</v>
      </c>
      <c r="I73" s="1" t="n">
        <v>0.239674237007865</v>
      </c>
      <c r="J73" s="1" t="n">
        <v>0.364329368556975</v>
      </c>
      <c r="K73" s="1" t="n">
        <f aca="false">J73-I73</f>
        <v>0.12465513154911</v>
      </c>
      <c r="L73" s="1" t="n">
        <v>0.746401320572344</v>
      </c>
    </row>
    <row r="74" customFormat="false" ht="15" hidden="false" customHeight="false" outlineLevel="0" collapsed="false">
      <c r="A74" s="1" t="s">
        <v>66</v>
      </c>
      <c r="B74" s="1" t="s">
        <v>67</v>
      </c>
      <c r="C74" s="1" t="s">
        <v>68</v>
      </c>
      <c r="D74" s="1" t="s">
        <v>19</v>
      </c>
      <c r="E74" s="1" t="s">
        <v>20</v>
      </c>
      <c r="F74" s="1" t="n">
        <v>26</v>
      </c>
      <c r="G74" s="1" t="s">
        <v>21</v>
      </c>
      <c r="H74" s="1" t="n">
        <v>0.1</v>
      </c>
      <c r="I74" s="1" t="n">
        <v>0.221084919224974</v>
      </c>
      <c r="J74" s="1" t="n">
        <v>0.389368855718259</v>
      </c>
      <c r="K74" s="1" t="n">
        <f aca="false">J74-I74</f>
        <v>0.168283936493285</v>
      </c>
      <c r="L74" s="1" t="n">
        <v>0.746401320572344</v>
      </c>
    </row>
    <row r="75" customFormat="false" ht="15" hidden="false" customHeight="false" outlineLevel="0" collapsed="false">
      <c r="A75" s="1" t="s">
        <v>69</v>
      </c>
      <c r="B75" s="1" t="s">
        <v>70</v>
      </c>
      <c r="C75" s="1" t="s">
        <v>71</v>
      </c>
      <c r="D75" s="1" t="s">
        <v>19</v>
      </c>
      <c r="E75" s="1" t="s">
        <v>20</v>
      </c>
      <c r="F75" s="1" t="n">
        <v>28</v>
      </c>
      <c r="G75" s="1" t="s">
        <v>26</v>
      </c>
      <c r="H75" s="1" t="n">
        <v>0.1819</v>
      </c>
      <c r="I75" s="1" t="n">
        <v>0.340154520180239</v>
      </c>
      <c r="J75" s="1" t="n">
        <v>0.361050282751307</v>
      </c>
      <c r="K75" s="1" t="n">
        <f aca="false">J75-I75</f>
        <v>0.020895762571068</v>
      </c>
      <c r="L75" s="1" t="n">
        <v>0.674899879933738</v>
      </c>
    </row>
    <row r="76" customFormat="false" ht="15" hidden="false" customHeight="false" outlineLevel="0" collapsed="false">
      <c r="A76" s="1" t="s">
        <v>69</v>
      </c>
      <c r="B76" s="1" t="s">
        <v>70</v>
      </c>
      <c r="C76" s="1" t="s">
        <v>71</v>
      </c>
      <c r="D76" s="1" t="s">
        <v>19</v>
      </c>
      <c r="E76" s="1" t="s">
        <v>20</v>
      </c>
      <c r="F76" s="1" t="n">
        <v>28</v>
      </c>
      <c r="G76" s="1" t="s">
        <v>33</v>
      </c>
      <c r="H76" s="1" t="n">
        <v>0.1699</v>
      </c>
      <c r="I76" s="1" t="n">
        <v>0.317875707155512</v>
      </c>
      <c r="J76" s="1" t="n">
        <v>0.364461939447078</v>
      </c>
      <c r="K76" s="1" t="n">
        <f aca="false">J76-I76</f>
        <v>0.046586232291566</v>
      </c>
      <c r="L76" s="1" t="n">
        <v>0.674899879933738</v>
      </c>
    </row>
    <row r="77" customFormat="false" ht="15" hidden="false" customHeight="false" outlineLevel="0" collapsed="false">
      <c r="A77" s="1" t="s">
        <v>69</v>
      </c>
      <c r="B77" s="1" t="s">
        <v>70</v>
      </c>
      <c r="C77" s="1" t="s">
        <v>71</v>
      </c>
      <c r="D77" s="1" t="s">
        <v>19</v>
      </c>
      <c r="E77" s="1" t="s">
        <v>20</v>
      </c>
      <c r="F77" s="1" t="n">
        <v>28</v>
      </c>
      <c r="G77" s="1" t="s">
        <v>42</v>
      </c>
      <c r="H77" s="1" t="n">
        <v>0.1631</v>
      </c>
      <c r="I77" s="1" t="n">
        <v>0.305103328919381</v>
      </c>
      <c r="J77" s="1" t="n">
        <v>0.357333144481518</v>
      </c>
      <c r="K77" s="1" t="n">
        <f aca="false">J77-I77</f>
        <v>0.052229815562137</v>
      </c>
      <c r="L77" s="1" t="n">
        <v>0.674899879933738</v>
      </c>
    </row>
    <row r="78" customFormat="false" ht="15" hidden="false" customHeight="false" outlineLevel="0" collapsed="false">
      <c r="A78" s="1" t="s">
        <v>69</v>
      </c>
      <c r="B78" s="1" t="s">
        <v>70</v>
      </c>
      <c r="C78" s="1" t="s">
        <v>71</v>
      </c>
      <c r="D78" s="1" t="s">
        <v>19</v>
      </c>
      <c r="E78" s="1" t="s">
        <v>20</v>
      </c>
      <c r="F78" s="1" t="n">
        <v>28</v>
      </c>
      <c r="G78" s="1" t="s">
        <v>21</v>
      </c>
      <c r="H78" s="1" t="n">
        <v>0.1624</v>
      </c>
      <c r="I78" s="1" t="n">
        <v>0.303750284450584</v>
      </c>
      <c r="J78" s="1" t="n">
        <v>0.343232430375827</v>
      </c>
      <c r="K78" s="1" t="n">
        <f aca="false">J78-I78</f>
        <v>0.039482145925243</v>
      </c>
      <c r="L78" s="1" t="n">
        <v>0.674899879933738</v>
      </c>
    </row>
    <row r="79" customFormat="false" ht="15" hidden="false" customHeight="false" outlineLevel="0" collapsed="false">
      <c r="A79" s="1" t="s">
        <v>69</v>
      </c>
      <c r="B79" s="1" t="s">
        <v>70</v>
      </c>
      <c r="C79" s="1" t="s">
        <v>71</v>
      </c>
      <c r="D79" s="1" t="s">
        <v>19</v>
      </c>
      <c r="E79" s="1" t="s">
        <v>20</v>
      </c>
      <c r="F79" s="1" t="n">
        <v>28</v>
      </c>
      <c r="G79" s="1" t="s">
        <v>35</v>
      </c>
      <c r="H79" s="1" t="n">
        <v>0.1623</v>
      </c>
      <c r="I79" s="1" t="n">
        <v>0.303565475949089</v>
      </c>
      <c r="J79" s="1" t="n">
        <v>0.35907791055781</v>
      </c>
      <c r="K79" s="1" t="n">
        <f aca="false">J79-I79</f>
        <v>0.055512434608721</v>
      </c>
      <c r="L79" s="1" t="n">
        <v>0.674899879933738</v>
      </c>
    </row>
    <row r="80" customFormat="false" ht="15" hidden="false" customHeight="false" outlineLevel="0" collapsed="false">
      <c r="A80" s="1" t="s">
        <v>69</v>
      </c>
      <c r="B80" s="1" t="s">
        <v>70</v>
      </c>
      <c r="C80" s="1" t="s">
        <v>71</v>
      </c>
      <c r="D80" s="1" t="s">
        <v>19</v>
      </c>
      <c r="E80" s="1" t="s">
        <v>20</v>
      </c>
      <c r="F80" s="1" t="n">
        <v>28</v>
      </c>
      <c r="G80" s="1" t="s">
        <v>62</v>
      </c>
      <c r="H80" s="1" t="n">
        <v>0.1604</v>
      </c>
      <c r="I80" s="1" t="n">
        <v>0.300069301699684</v>
      </c>
      <c r="J80" s="1" t="n">
        <v>0.338636346263727</v>
      </c>
      <c r="K80" s="1" t="n">
        <f aca="false">J80-I80</f>
        <v>0.038567044564043</v>
      </c>
      <c r="L80" s="1" t="n">
        <v>0.674899879933738</v>
      </c>
    </row>
    <row r="81" customFormat="false" ht="15" hidden="false" customHeight="false" outlineLevel="0" collapsed="false">
      <c r="A81" s="1" t="s">
        <v>72</v>
      </c>
      <c r="B81" s="1" t="s">
        <v>73</v>
      </c>
      <c r="C81" s="1" t="s">
        <v>74</v>
      </c>
      <c r="D81" s="1" t="s">
        <v>19</v>
      </c>
      <c r="E81" s="1" t="s">
        <v>20</v>
      </c>
      <c r="F81" s="1" t="n">
        <v>30</v>
      </c>
      <c r="G81" s="1" t="s">
        <v>21</v>
      </c>
      <c r="H81" s="1" t="n">
        <v>0.2027</v>
      </c>
      <c r="I81" s="1" t="n">
        <v>0.402891743005114</v>
      </c>
      <c r="J81" s="1" t="n">
        <v>0.388768960520047</v>
      </c>
      <c r="K81" s="1" t="n">
        <f aca="false">J81-I81</f>
        <v>-0.014122782485067</v>
      </c>
      <c r="L81" s="1" t="n">
        <v>0.749348200599637</v>
      </c>
    </row>
    <row r="82" customFormat="false" ht="15" hidden="false" customHeight="false" outlineLevel="0" collapsed="false">
      <c r="A82" s="1" t="s">
        <v>72</v>
      </c>
      <c r="B82" s="1" t="s">
        <v>73</v>
      </c>
      <c r="C82" s="1" t="s">
        <v>74</v>
      </c>
      <c r="D82" s="1" t="s">
        <v>19</v>
      </c>
      <c r="E82" s="1" t="s">
        <v>20</v>
      </c>
      <c r="F82" s="1" t="n">
        <v>30</v>
      </c>
      <c r="G82" s="1" t="s">
        <v>34</v>
      </c>
      <c r="H82" s="1" t="n">
        <v>0.1701</v>
      </c>
      <c r="I82" s="1" t="n">
        <v>0.338187550435639</v>
      </c>
      <c r="J82" s="1" t="n">
        <v>0.387702122006542</v>
      </c>
      <c r="K82" s="1" t="n">
        <f aca="false">J82-I82</f>
        <v>0.0495145715709031</v>
      </c>
      <c r="L82" s="1" t="n">
        <v>0.749348200599637</v>
      </c>
    </row>
    <row r="83" customFormat="false" ht="15" hidden="false" customHeight="false" outlineLevel="0" collapsed="false">
      <c r="A83" s="1" t="s">
        <v>72</v>
      </c>
      <c r="B83" s="1" t="s">
        <v>73</v>
      </c>
      <c r="C83" s="1" t="s">
        <v>74</v>
      </c>
      <c r="D83" s="1" t="s">
        <v>19</v>
      </c>
      <c r="E83" s="1" t="s">
        <v>20</v>
      </c>
      <c r="F83" s="1" t="n">
        <v>30</v>
      </c>
      <c r="G83" s="1" t="s">
        <v>33</v>
      </c>
      <c r="H83" s="1" t="n">
        <v>0.1622</v>
      </c>
      <c r="I83" s="1" t="n">
        <v>0.322428659665529</v>
      </c>
      <c r="J83" s="1" t="n">
        <v>0.371369058377117</v>
      </c>
      <c r="K83" s="1" t="n">
        <f aca="false">J83-I83</f>
        <v>0.048940398711588</v>
      </c>
      <c r="L83" s="1" t="n">
        <v>0.749348200599637</v>
      </c>
    </row>
    <row r="84" customFormat="false" ht="15" hidden="false" customHeight="false" outlineLevel="0" collapsed="false">
      <c r="A84" s="1" t="s">
        <v>72</v>
      </c>
      <c r="B84" s="1" t="s">
        <v>73</v>
      </c>
      <c r="C84" s="1" t="s">
        <v>74</v>
      </c>
      <c r="D84" s="1" t="s">
        <v>19</v>
      </c>
      <c r="E84" s="1" t="s">
        <v>20</v>
      </c>
      <c r="F84" s="1" t="n">
        <v>30</v>
      </c>
      <c r="G84" s="1" t="s">
        <v>42</v>
      </c>
      <c r="H84" s="1" t="n">
        <v>0.156</v>
      </c>
      <c r="I84" s="1" t="n">
        <v>0.310134445505911</v>
      </c>
      <c r="J84" s="1" t="n">
        <v>0.364516622787325</v>
      </c>
      <c r="K84" s="1" t="n">
        <f aca="false">J84-I84</f>
        <v>0.054382177281414</v>
      </c>
      <c r="L84" s="1" t="n">
        <v>0.749348200599637</v>
      </c>
    </row>
    <row r="85" customFormat="false" ht="15" hidden="false" customHeight="false" outlineLevel="0" collapsed="false">
      <c r="A85" s="1" t="s">
        <v>72</v>
      </c>
      <c r="B85" s="1" t="s">
        <v>73</v>
      </c>
      <c r="C85" s="1" t="s">
        <v>74</v>
      </c>
      <c r="D85" s="1" t="s">
        <v>19</v>
      </c>
      <c r="E85" s="1" t="s">
        <v>20</v>
      </c>
      <c r="F85" s="1" t="n">
        <v>30</v>
      </c>
      <c r="G85" s="1" t="s">
        <v>35</v>
      </c>
      <c r="H85" s="1" t="n">
        <v>0.156</v>
      </c>
      <c r="I85" s="1" t="n">
        <v>0.310151165816866</v>
      </c>
      <c r="J85" s="1" t="n">
        <v>0.381918052563672</v>
      </c>
      <c r="K85" s="1" t="n">
        <f aca="false">J85-I85</f>
        <v>0.071766886746806</v>
      </c>
      <c r="L85" s="1" t="n">
        <v>0.749348200599637</v>
      </c>
    </row>
    <row r="86" customFormat="false" ht="15" hidden="false" customHeight="false" outlineLevel="0" collapsed="false">
      <c r="A86" s="1" t="s">
        <v>72</v>
      </c>
      <c r="B86" s="1" t="s">
        <v>73</v>
      </c>
      <c r="C86" s="1" t="s">
        <v>74</v>
      </c>
      <c r="D86" s="1" t="s">
        <v>19</v>
      </c>
      <c r="E86" s="1" t="s">
        <v>20</v>
      </c>
      <c r="F86" s="1" t="n">
        <v>30</v>
      </c>
      <c r="G86" s="1" t="s">
        <v>49</v>
      </c>
      <c r="H86" s="1" t="n">
        <v>0.1529</v>
      </c>
      <c r="I86" s="1" t="n">
        <v>0.304018297241811</v>
      </c>
      <c r="J86" s="1" t="n">
        <v>0.335460431197793</v>
      </c>
      <c r="K86" s="1" t="n">
        <f aca="false">J86-I86</f>
        <v>0.031442133955982</v>
      </c>
      <c r="L86" s="1" t="n">
        <v>0.749348200599637</v>
      </c>
    </row>
    <row r="87" customFormat="false" ht="15" hidden="false" customHeight="false" outlineLevel="0" collapsed="false">
      <c r="A87" s="1" t="s">
        <v>75</v>
      </c>
      <c r="B87" s="1" t="s">
        <v>76</v>
      </c>
      <c r="C87" s="1" t="s">
        <v>77</v>
      </c>
      <c r="D87" s="1" t="s">
        <v>19</v>
      </c>
      <c r="E87" s="1" t="s">
        <v>20</v>
      </c>
      <c r="F87" s="1" t="n">
        <v>32</v>
      </c>
      <c r="G87" s="1" t="s">
        <v>25</v>
      </c>
      <c r="H87" s="1" t="n">
        <v>0.2038</v>
      </c>
      <c r="I87" s="1" t="n">
        <v>0.330570045088846</v>
      </c>
      <c r="J87" s="1" t="n">
        <v>0.401257338816723</v>
      </c>
      <c r="K87" s="1" t="n">
        <f aca="false">J87-I87</f>
        <v>0.070687293727877</v>
      </c>
      <c r="L87" s="1" t="n">
        <v>0.784507430286035</v>
      </c>
    </row>
    <row r="88" customFormat="false" ht="15" hidden="false" customHeight="false" outlineLevel="0" collapsed="false">
      <c r="A88" s="1" t="s">
        <v>75</v>
      </c>
      <c r="B88" s="1" t="s">
        <v>76</v>
      </c>
      <c r="C88" s="1" t="s">
        <v>77</v>
      </c>
      <c r="D88" s="1" t="s">
        <v>19</v>
      </c>
      <c r="E88" s="1" t="s">
        <v>20</v>
      </c>
      <c r="F88" s="1" t="n">
        <v>32</v>
      </c>
      <c r="G88" s="1" t="s">
        <v>35</v>
      </c>
      <c r="H88" s="1" t="n">
        <v>0.179</v>
      </c>
      <c r="I88" s="1" t="n">
        <v>0.290296445815442</v>
      </c>
      <c r="J88" s="1" t="n">
        <v>0.350582395052478</v>
      </c>
      <c r="K88" s="1" t="n">
        <f aca="false">J88-I88</f>
        <v>0.060285949237036</v>
      </c>
      <c r="L88" s="1" t="n">
        <v>0.784507430286035</v>
      </c>
    </row>
    <row r="89" customFormat="false" ht="15" hidden="false" customHeight="false" outlineLevel="0" collapsed="false">
      <c r="A89" s="1" t="s">
        <v>75</v>
      </c>
      <c r="B89" s="1" t="s">
        <v>76</v>
      </c>
      <c r="C89" s="1" t="s">
        <v>77</v>
      </c>
      <c r="D89" s="1" t="s">
        <v>19</v>
      </c>
      <c r="E89" s="1" t="s">
        <v>20</v>
      </c>
      <c r="F89" s="1" t="n">
        <v>32</v>
      </c>
      <c r="G89" s="1" t="s">
        <v>78</v>
      </c>
      <c r="H89" s="1" t="n">
        <v>0.1731</v>
      </c>
      <c r="I89" s="1" t="n">
        <v>0.280777074517839</v>
      </c>
      <c r="J89" s="1" t="n">
        <v>0.33724553969088</v>
      </c>
      <c r="K89" s="1" t="n">
        <f aca="false">J89-I89</f>
        <v>0.056468465173041</v>
      </c>
      <c r="L89" s="1" t="n">
        <v>0.784507430286035</v>
      </c>
    </row>
    <row r="90" customFormat="false" ht="15" hidden="false" customHeight="false" outlineLevel="0" collapsed="false">
      <c r="A90" s="1" t="s">
        <v>75</v>
      </c>
      <c r="B90" s="1" t="s">
        <v>76</v>
      </c>
      <c r="C90" s="1" t="s">
        <v>77</v>
      </c>
      <c r="D90" s="1" t="s">
        <v>19</v>
      </c>
      <c r="E90" s="1" t="s">
        <v>20</v>
      </c>
      <c r="F90" s="1" t="n">
        <v>32</v>
      </c>
      <c r="G90" s="1" t="s">
        <v>33</v>
      </c>
      <c r="H90" s="1" t="n">
        <v>0.1723</v>
      </c>
      <c r="I90" s="1" t="n">
        <v>0.27938683040151</v>
      </c>
      <c r="J90" s="1" t="n">
        <v>0.324563005080455</v>
      </c>
      <c r="K90" s="1" t="n">
        <f aca="false">J90-I90</f>
        <v>0.045176174678945</v>
      </c>
      <c r="L90" s="1" t="n">
        <v>0.784507430286035</v>
      </c>
    </row>
    <row r="91" customFormat="false" ht="15" hidden="false" customHeight="false" outlineLevel="0" collapsed="false">
      <c r="A91" s="1" t="s">
        <v>75</v>
      </c>
      <c r="B91" s="1" t="s">
        <v>76</v>
      </c>
      <c r="C91" s="1" t="s">
        <v>77</v>
      </c>
      <c r="D91" s="1" t="s">
        <v>19</v>
      </c>
      <c r="E91" s="1" t="s">
        <v>20</v>
      </c>
      <c r="F91" s="1" t="n">
        <v>32</v>
      </c>
      <c r="G91" s="1" t="s">
        <v>34</v>
      </c>
      <c r="H91" s="1" t="n">
        <v>0.1718</v>
      </c>
      <c r="I91" s="1" t="n">
        <v>0.27862399183433</v>
      </c>
      <c r="J91" s="1" t="n">
        <v>0.345603518695036</v>
      </c>
      <c r="K91" s="1" t="n">
        <f aca="false">J91-I91</f>
        <v>0.066979526860706</v>
      </c>
      <c r="L91" s="1" t="n">
        <v>0.784507430286035</v>
      </c>
    </row>
    <row r="92" customFormat="false" ht="15" hidden="false" customHeight="false" outlineLevel="0" collapsed="false">
      <c r="A92" s="1" t="s">
        <v>75</v>
      </c>
      <c r="B92" s="1" t="s">
        <v>76</v>
      </c>
      <c r="C92" s="1" t="s">
        <v>77</v>
      </c>
      <c r="D92" s="1" t="s">
        <v>19</v>
      </c>
      <c r="E92" s="1" t="s">
        <v>20</v>
      </c>
      <c r="F92" s="1" t="n">
        <v>32</v>
      </c>
      <c r="G92" s="1" t="s">
        <v>21</v>
      </c>
      <c r="H92" s="1" t="n">
        <v>0.1</v>
      </c>
      <c r="I92" s="1" t="n">
        <v>0.271359282234684</v>
      </c>
      <c r="J92" s="1" t="n">
        <v>0.337974538450754</v>
      </c>
      <c r="K92" s="1" t="n">
        <f aca="false">J92-I92</f>
        <v>0.06661525621607</v>
      </c>
      <c r="L92" s="1" t="n">
        <v>0.784507430286035</v>
      </c>
    </row>
    <row r="93" customFormat="false" ht="15" hidden="false" customHeight="false" outlineLevel="0" collapsed="false">
      <c r="A93" s="1" t="s">
        <v>79</v>
      </c>
      <c r="B93" s="1" t="s">
        <v>80</v>
      </c>
      <c r="C93" s="1" t="s">
        <v>81</v>
      </c>
      <c r="D93" s="1" t="s">
        <v>19</v>
      </c>
      <c r="E93" s="1" t="s">
        <v>20</v>
      </c>
      <c r="F93" s="1" t="n">
        <v>34</v>
      </c>
      <c r="G93" s="1" t="s">
        <v>34</v>
      </c>
      <c r="H93" s="1" t="n">
        <v>0.1767</v>
      </c>
      <c r="I93" s="1" t="n">
        <v>0.287485150701815</v>
      </c>
      <c r="J93" s="1" t="n">
        <v>0.35305419248916</v>
      </c>
      <c r="K93" s="1" t="n">
        <f aca="false">J93-I93</f>
        <v>0.065569041787345</v>
      </c>
      <c r="L93" s="1" t="n">
        <v>0.724125949209616</v>
      </c>
    </row>
    <row r="94" customFormat="false" ht="15" hidden="false" customHeight="false" outlineLevel="0" collapsed="false">
      <c r="A94" s="1" t="s">
        <v>79</v>
      </c>
      <c r="B94" s="1" t="s">
        <v>80</v>
      </c>
      <c r="C94" s="1" t="s">
        <v>81</v>
      </c>
      <c r="D94" s="1" t="s">
        <v>19</v>
      </c>
      <c r="E94" s="1" t="s">
        <v>20</v>
      </c>
      <c r="F94" s="1" t="n">
        <v>34</v>
      </c>
      <c r="G94" s="1" t="s">
        <v>21</v>
      </c>
      <c r="H94" s="1" t="n">
        <v>0.1742</v>
      </c>
      <c r="I94" s="1" t="n">
        <v>0.283420338027891</v>
      </c>
      <c r="J94" s="1" t="n">
        <v>0.307723370545148</v>
      </c>
      <c r="K94" s="1" t="n">
        <f aca="false">J94-I94</f>
        <v>0.024303032517257</v>
      </c>
      <c r="L94" s="1" t="n">
        <v>0.724125949209616</v>
      </c>
    </row>
    <row r="95" customFormat="false" ht="15" hidden="false" customHeight="false" outlineLevel="0" collapsed="false">
      <c r="A95" s="1" t="s">
        <v>79</v>
      </c>
      <c r="B95" s="1" t="s">
        <v>80</v>
      </c>
      <c r="C95" s="1" t="s">
        <v>81</v>
      </c>
      <c r="D95" s="1" t="s">
        <v>19</v>
      </c>
      <c r="E95" s="1" t="s">
        <v>20</v>
      </c>
      <c r="F95" s="1" t="n">
        <v>34</v>
      </c>
      <c r="G95" s="1" t="s">
        <v>25</v>
      </c>
      <c r="H95" s="1" t="n">
        <v>0.1716</v>
      </c>
      <c r="I95" s="1" t="n">
        <v>0.279269441106938</v>
      </c>
      <c r="J95" s="1" t="n">
        <v>0.353430827068328</v>
      </c>
      <c r="K95" s="1" t="n">
        <f aca="false">J95-I95</f>
        <v>0.07416138596139</v>
      </c>
      <c r="L95" s="1" t="n">
        <v>0.724125949209616</v>
      </c>
    </row>
    <row r="96" customFormat="false" ht="15" hidden="false" customHeight="false" outlineLevel="0" collapsed="false">
      <c r="A96" s="1" t="s">
        <v>79</v>
      </c>
      <c r="B96" s="1" t="s">
        <v>80</v>
      </c>
      <c r="C96" s="1" t="s">
        <v>81</v>
      </c>
      <c r="D96" s="1" t="s">
        <v>19</v>
      </c>
      <c r="E96" s="1" t="s">
        <v>20</v>
      </c>
      <c r="F96" s="1" t="n">
        <v>34</v>
      </c>
      <c r="G96" s="1" t="s">
        <v>26</v>
      </c>
      <c r="H96" s="1" t="n">
        <v>0.1636</v>
      </c>
      <c r="I96" s="1" t="n">
        <v>0.266240958893034</v>
      </c>
      <c r="J96" s="1" t="n">
        <v>0.374225199109297</v>
      </c>
      <c r="K96" s="1" t="n">
        <f aca="false">J96-I96</f>
        <v>0.107984240216263</v>
      </c>
      <c r="L96" s="1" t="n">
        <v>0.724125949209616</v>
      </c>
    </row>
    <row r="97" customFormat="false" ht="15" hidden="false" customHeight="false" outlineLevel="0" collapsed="false">
      <c r="A97" s="1" t="s">
        <v>79</v>
      </c>
      <c r="B97" s="1" t="s">
        <v>80</v>
      </c>
      <c r="C97" s="1" t="s">
        <v>81</v>
      </c>
      <c r="D97" s="1" t="s">
        <v>19</v>
      </c>
      <c r="E97" s="1" t="s">
        <v>20</v>
      </c>
      <c r="F97" s="1" t="n">
        <v>34</v>
      </c>
      <c r="G97" s="1" t="s">
        <v>42</v>
      </c>
      <c r="H97" s="1" t="n">
        <v>0.1601</v>
      </c>
      <c r="I97" s="1" t="n">
        <v>0.260549394959951</v>
      </c>
      <c r="J97" s="1" t="n">
        <v>0.330142565671725</v>
      </c>
      <c r="K97" s="1" t="n">
        <f aca="false">J97-I97</f>
        <v>0.069593170711774</v>
      </c>
      <c r="L97" s="1" t="n">
        <v>0.724125949209616</v>
      </c>
    </row>
    <row r="98" customFormat="false" ht="15" hidden="false" customHeight="false" outlineLevel="0" collapsed="false">
      <c r="A98" s="1" t="s">
        <v>79</v>
      </c>
      <c r="B98" s="1" t="s">
        <v>80</v>
      </c>
      <c r="C98" s="1" t="s">
        <v>81</v>
      </c>
      <c r="D98" s="1" t="s">
        <v>19</v>
      </c>
      <c r="E98" s="1" t="s">
        <v>20</v>
      </c>
      <c r="F98" s="1" t="n">
        <v>34</v>
      </c>
      <c r="G98" s="1" t="s">
        <v>35</v>
      </c>
      <c r="H98" s="1" t="n">
        <v>0.1538</v>
      </c>
      <c r="I98" s="1" t="n">
        <v>0.250316289305927</v>
      </c>
      <c r="J98" s="1" t="n">
        <v>0.361867312056435</v>
      </c>
      <c r="K98" s="1" t="n">
        <f aca="false">J98-I98</f>
        <v>0.111551022750508</v>
      </c>
      <c r="L98" s="1" t="n">
        <v>0.724125949209616</v>
      </c>
    </row>
    <row r="99" customFormat="false" ht="15" hidden="false" customHeight="false" outlineLevel="0" collapsed="false">
      <c r="A99" s="1" t="s">
        <v>82</v>
      </c>
      <c r="B99" s="1" t="s">
        <v>83</v>
      </c>
      <c r="C99" s="1" t="s">
        <v>84</v>
      </c>
      <c r="D99" s="1" t="s">
        <v>19</v>
      </c>
      <c r="E99" s="1" t="s">
        <v>20</v>
      </c>
      <c r="F99" s="1" t="n">
        <v>36</v>
      </c>
      <c r="G99" s="1" t="s">
        <v>26</v>
      </c>
      <c r="H99" s="1" t="n">
        <v>0.1997</v>
      </c>
      <c r="I99" s="1" t="n">
        <v>0.302694025166644</v>
      </c>
      <c r="J99" s="1" t="n">
        <v>0.442258120571709</v>
      </c>
      <c r="K99" s="1" t="n">
        <f aca="false">J99-I99</f>
        <v>0.139564095405065</v>
      </c>
      <c r="L99" s="1" t="n">
        <v>0.749855438872011</v>
      </c>
    </row>
    <row r="100" customFormat="false" ht="15" hidden="false" customHeight="false" outlineLevel="0" collapsed="false">
      <c r="A100" s="1" t="s">
        <v>82</v>
      </c>
      <c r="B100" s="1" t="s">
        <v>83</v>
      </c>
      <c r="C100" s="1" t="s">
        <v>84</v>
      </c>
      <c r="D100" s="1" t="s">
        <v>19</v>
      </c>
      <c r="E100" s="1" t="s">
        <v>20</v>
      </c>
      <c r="F100" s="1" t="n">
        <v>36</v>
      </c>
      <c r="G100" s="1" t="s">
        <v>49</v>
      </c>
      <c r="H100" s="1" t="n">
        <v>0.187</v>
      </c>
      <c r="I100" s="1" t="n">
        <v>0.283382888921415</v>
      </c>
      <c r="J100" s="1" t="n">
        <v>0.32341956052004</v>
      </c>
      <c r="K100" s="1" t="n">
        <f aca="false">J100-I100</f>
        <v>0.040036671598625</v>
      </c>
      <c r="L100" s="1" t="n">
        <v>0.749855438872011</v>
      </c>
    </row>
    <row r="101" customFormat="false" ht="15" hidden="false" customHeight="false" outlineLevel="0" collapsed="false">
      <c r="A101" s="1" t="s">
        <v>82</v>
      </c>
      <c r="B101" s="1" t="s">
        <v>83</v>
      </c>
      <c r="C101" s="1" t="s">
        <v>84</v>
      </c>
      <c r="D101" s="1" t="s">
        <v>19</v>
      </c>
      <c r="E101" s="1" t="s">
        <v>20</v>
      </c>
      <c r="F101" s="1" t="n">
        <v>36</v>
      </c>
      <c r="G101" s="1" t="s">
        <v>35</v>
      </c>
      <c r="H101" s="1" t="n">
        <v>0.1767</v>
      </c>
      <c r="I101" s="1" t="n">
        <v>0.267784305823263</v>
      </c>
      <c r="J101" s="1" t="n">
        <v>0.339896690518525</v>
      </c>
      <c r="K101" s="1" t="n">
        <f aca="false">J101-I101</f>
        <v>0.072112384695262</v>
      </c>
      <c r="L101" s="1" t="n">
        <v>0.749855438872011</v>
      </c>
    </row>
    <row r="102" customFormat="false" ht="15" hidden="false" customHeight="false" outlineLevel="0" collapsed="false">
      <c r="A102" s="1" t="s">
        <v>82</v>
      </c>
      <c r="B102" s="1" t="s">
        <v>83</v>
      </c>
      <c r="C102" s="1" t="s">
        <v>84</v>
      </c>
      <c r="D102" s="1" t="s">
        <v>19</v>
      </c>
      <c r="E102" s="1" t="s">
        <v>20</v>
      </c>
      <c r="F102" s="1" t="n">
        <v>36</v>
      </c>
      <c r="G102" s="1" t="s">
        <v>33</v>
      </c>
      <c r="H102" s="1" t="n">
        <v>0.1726</v>
      </c>
      <c r="I102" s="1" t="n">
        <v>0.261629373043462</v>
      </c>
      <c r="J102" s="1" t="n">
        <v>0.333644470721885</v>
      </c>
      <c r="K102" s="1" t="n">
        <f aca="false">J102-I102</f>
        <v>0.072015097678423</v>
      </c>
      <c r="L102" s="1" t="n">
        <v>0.749855438872011</v>
      </c>
    </row>
    <row r="103" customFormat="false" ht="15" hidden="false" customHeight="false" outlineLevel="0" collapsed="false">
      <c r="A103" s="1" t="s">
        <v>82</v>
      </c>
      <c r="B103" s="1" t="s">
        <v>83</v>
      </c>
      <c r="C103" s="1" t="s">
        <v>84</v>
      </c>
      <c r="D103" s="1" t="s">
        <v>19</v>
      </c>
      <c r="E103" s="1" t="s">
        <v>20</v>
      </c>
      <c r="F103" s="1" t="n">
        <v>36</v>
      </c>
      <c r="G103" s="1" t="s">
        <v>85</v>
      </c>
      <c r="H103" s="1" t="n">
        <v>0.1639</v>
      </c>
      <c r="I103" s="1" t="n">
        <v>0.248383201303788</v>
      </c>
      <c r="J103" s="1" t="n">
        <v>0.287142651656415</v>
      </c>
      <c r="K103" s="1" t="n">
        <f aca="false">J103-I103</f>
        <v>0.038759450352627</v>
      </c>
      <c r="L103" s="1" t="n">
        <v>0.749855438872011</v>
      </c>
    </row>
    <row r="104" customFormat="false" ht="15" hidden="false" customHeight="false" outlineLevel="0" collapsed="false">
      <c r="A104" s="1" t="s">
        <v>82</v>
      </c>
      <c r="B104" s="1" t="s">
        <v>83</v>
      </c>
      <c r="C104" s="1" t="s">
        <v>84</v>
      </c>
      <c r="D104" s="1" t="s">
        <v>19</v>
      </c>
      <c r="E104" s="1" t="s">
        <v>20</v>
      </c>
      <c r="F104" s="1" t="n">
        <v>36</v>
      </c>
      <c r="G104" s="1" t="s">
        <v>21</v>
      </c>
      <c r="H104" s="1" t="n">
        <v>0.1</v>
      </c>
      <c r="I104" s="1" t="n">
        <v>0.20870191639936</v>
      </c>
      <c r="J104" s="1" t="n">
        <v>0.28104284959337</v>
      </c>
      <c r="K104" s="1" t="n">
        <f aca="false">J104-I104</f>
        <v>0.07234093319401</v>
      </c>
      <c r="L104" s="1" t="n">
        <v>0.749855438872011</v>
      </c>
    </row>
    <row r="105" customFormat="false" ht="15" hidden="false" customHeight="false" outlineLevel="0" collapsed="false">
      <c r="A105" s="1" t="s">
        <v>86</v>
      </c>
      <c r="B105" s="1" t="s">
        <v>87</v>
      </c>
      <c r="C105" s="1" t="s">
        <v>88</v>
      </c>
      <c r="D105" s="1" t="s">
        <v>19</v>
      </c>
      <c r="E105" s="1" t="s">
        <v>20</v>
      </c>
      <c r="F105" s="1" t="n">
        <v>38</v>
      </c>
      <c r="G105" s="1" t="s">
        <v>26</v>
      </c>
      <c r="H105" s="1" t="n">
        <v>0.2223</v>
      </c>
      <c r="I105" s="1" t="n">
        <v>0.311204208989737</v>
      </c>
      <c r="J105" s="1" t="n">
        <v>0.299703679417379</v>
      </c>
      <c r="K105" s="1" t="n">
        <f aca="false">J105-I105</f>
        <v>-0.011500529572358</v>
      </c>
      <c r="L105" s="1" t="n">
        <v>0.776729389363219</v>
      </c>
    </row>
    <row r="106" customFormat="false" ht="15" hidden="false" customHeight="false" outlineLevel="0" collapsed="false">
      <c r="A106" s="1" t="s">
        <v>86</v>
      </c>
      <c r="B106" s="1" t="s">
        <v>87</v>
      </c>
      <c r="C106" s="1" t="s">
        <v>88</v>
      </c>
      <c r="D106" s="1" t="s">
        <v>19</v>
      </c>
      <c r="E106" s="1" t="s">
        <v>20</v>
      </c>
      <c r="F106" s="1" t="n">
        <v>38</v>
      </c>
      <c r="G106" s="1" t="s">
        <v>25</v>
      </c>
      <c r="H106" s="1" t="n">
        <v>0.1921</v>
      </c>
      <c r="I106" s="1" t="n">
        <v>0.268909524842352</v>
      </c>
      <c r="J106" s="1" t="n">
        <v>0.287439899359324</v>
      </c>
      <c r="K106" s="1" t="n">
        <f aca="false">J106-I106</f>
        <v>0.018530374516972</v>
      </c>
      <c r="L106" s="1" t="n">
        <v>0.776729389363219</v>
      </c>
    </row>
    <row r="107" customFormat="false" ht="15" hidden="false" customHeight="false" outlineLevel="0" collapsed="false">
      <c r="A107" s="1" t="s">
        <v>86</v>
      </c>
      <c r="B107" s="1" t="s">
        <v>87</v>
      </c>
      <c r="C107" s="1" t="s">
        <v>88</v>
      </c>
      <c r="D107" s="1" t="s">
        <v>19</v>
      </c>
      <c r="E107" s="1" t="s">
        <v>20</v>
      </c>
      <c r="F107" s="1" t="n">
        <v>38</v>
      </c>
      <c r="G107" s="1" t="s">
        <v>35</v>
      </c>
      <c r="H107" s="1" t="n">
        <v>0.1696</v>
      </c>
      <c r="I107" s="1" t="n">
        <v>0.237355677202574</v>
      </c>
      <c r="J107" s="1" t="n">
        <v>0.271090448239964</v>
      </c>
      <c r="K107" s="1" t="n">
        <f aca="false">J107-I107</f>
        <v>0.03373477103739</v>
      </c>
      <c r="L107" s="1" t="n">
        <v>0.776729389363219</v>
      </c>
    </row>
    <row r="108" customFormat="false" ht="15" hidden="false" customHeight="false" outlineLevel="0" collapsed="false">
      <c r="A108" s="1" t="s">
        <v>86</v>
      </c>
      <c r="B108" s="1" t="s">
        <v>87</v>
      </c>
      <c r="C108" s="1" t="s">
        <v>88</v>
      </c>
      <c r="D108" s="1" t="s">
        <v>19</v>
      </c>
      <c r="E108" s="1" t="s">
        <v>20</v>
      </c>
      <c r="F108" s="1" t="n">
        <v>38</v>
      </c>
      <c r="G108" s="1" t="s">
        <v>34</v>
      </c>
      <c r="H108" s="1" t="n">
        <v>0.1621</v>
      </c>
      <c r="I108" s="1" t="n">
        <v>0.226897317007308</v>
      </c>
      <c r="J108" s="1" t="n">
        <v>0.271288156819586</v>
      </c>
      <c r="K108" s="1" t="n">
        <f aca="false">J108-I108</f>
        <v>0.044390839812278</v>
      </c>
      <c r="L108" s="1" t="n">
        <v>0.776729389363219</v>
      </c>
    </row>
    <row r="109" customFormat="false" ht="15" hidden="false" customHeight="false" outlineLevel="0" collapsed="false">
      <c r="A109" s="1" t="s">
        <v>86</v>
      </c>
      <c r="B109" s="1" t="s">
        <v>87</v>
      </c>
      <c r="C109" s="1" t="s">
        <v>88</v>
      </c>
      <c r="D109" s="1" t="s">
        <v>19</v>
      </c>
      <c r="E109" s="1" t="s">
        <v>20</v>
      </c>
      <c r="F109" s="1" t="n">
        <v>38</v>
      </c>
      <c r="G109" s="1" t="s">
        <v>42</v>
      </c>
      <c r="H109" s="1" t="n">
        <v>0.154</v>
      </c>
      <c r="I109" s="1" t="n">
        <v>0.215531409562532</v>
      </c>
      <c r="J109" s="1" t="n">
        <v>0.239104972680205</v>
      </c>
      <c r="K109" s="1" t="n">
        <f aca="false">J109-I109</f>
        <v>0.023573563117673</v>
      </c>
      <c r="L109" s="1" t="n">
        <v>0.776729389363219</v>
      </c>
    </row>
    <row r="110" customFormat="false" ht="15" hidden="false" customHeight="false" outlineLevel="0" collapsed="false">
      <c r="A110" s="1" t="s">
        <v>86</v>
      </c>
      <c r="B110" s="1" t="s">
        <v>87</v>
      </c>
      <c r="C110" s="1" t="s">
        <v>88</v>
      </c>
      <c r="D110" s="1" t="s">
        <v>19</v>
      </c>
      <c r="E110" s="1" t="s">
        <v>20</v>
      </c>
      <c r="F110" s="1" t="n">
        <v>38</v>
      </c>
      <c r="G110" s="1" t="s">
        <v>21</v>
      </c>
      <c r="H110" s="1" t="n">
        <v>0.1</v>
      </c>
      <c r="I110" s="1" t="n">
        <v>0.198287807708622</v>
      </c>
      <c r="J110" s="1" t="n">
        <v>0.255020038979336</v>
      </c>
      <c r="K110" s="1" t="n">
        <f aca="false">J110-I110</f>
        <v>0.056732231270714</v>
      </c>
      <c r="L110" s="1" t="n">
        <v>0.776729389363219</v>
      </c>
    </row>
    <row r="111" customFormat="false" ht="15" hidden="false" customHeight="false" outlineLevel="0" collapsed="false">
      <c r="A111" s="1" t="s">
        <v>89</v>
      </c>
      <c r="B111" s="1" t="s">
        <v>90</v>
      </c>
      <c r="C111" s="1" t="s">
        <v>91</v>
      </c>
      <c r="D111" s="1" t="s">
        <v>19</v>
      </c>
      <c r="E111" s="1" t="s">
        <v>20</v>
      </c>
      <c r="F111" s="1" t="n">
        <v>40</v>
      </c>
      <c r="G111" s="1" t="s">
        <v>42</v>
      </c>
      <c r="H111" s="1" t="n">
        <v>0.1767</v>
      </c>
      <c r="I111" s="1" t="n">
        <v>0.277645615540534</v>
      </c>
      <c r="J111" s="1" t="n">
        <v>0.359835205437475</v>
      </c>
      <c r="K111" s="1" t="n">
        <f aca="false">J111-I111</f>
        <v>0.082189589896941</v>
      </c>
      <c r="L111" s="1" t="n">
        <v>0.676636427895576</v>
      </c>
    </row>
    <row r="112" customFormat="false" ht="15" hidden="false" customHeight="false" outlineLevel="0" collapsed="false">
      <c r="A112" s="1" t="s">
        <v>89</v>
      </c>
      <c r="B112" s="1" t="s">
        <v>90</v>
      </c>
      <c r="C112" s="1" t="s">
        <v>91</v>
      </c>
      <c r="D112" s="1" t="s">
        <v>19</v>
      </c>
      <c r="E112" s="1" t="s">
        <v>20</v>
      </c>
      <c r="F112" s="1" t="n">
        <v>40</v>
      </c>
      <c r="G112" s="1" t="s">
        <v>26</v>
      </c>
      <c r="H112" s="1" t="n">
        <v>0.1754</v>
      </c>
      <c r="I112" s="1" t="n">
        <v>0.275676446542911</v>
      </c>
      <c r="J112" s="1" t="n">
        <v>0.391071353922909</v>
      </c>
      <c r="K112" s="1" t="n">
        <f aca="false">J112-I112</f>
        <v>0.115394907379998</v>
      </c>
      <c r="L112" s="1" t="n">
        <v>0.676636427895576</v>
      </c>
    </row>
    <row r="113" customFormat="false" ht="15" hidden="false" customHeight="false" outlineLevel="0" collapsed="false">
      <c r="A113" s="1" t="s">
        <v>89</v>
      </c>
      <c r="B113" s="1" t="s">
        <v>90</v>
      </c>
      <c r="C113" s="1" t="s">
        <v>91</v>
      </c>
      <c r="D113" s="1" t="s">
        <v>19</v>
      </c>
      <c r="E113" s="1" t="s">
        <v>20</v>
      </c>
      <c r="F113" s="1" t="n">
        <v>40</v>
      </c>
      <c r="G113" s="1" t="s">
        <v>33</v>
      </c>
      <c r="H113" s="1" t="n">
        <v>0.1694</v>
      </c>
      <c r="I113" s="1" t="n">
        <v>0.266253497348279</v>
      </c>
      <c r="J113" s="1" t="n">
        <v>0.341859374524309</v>
      </c>
      <c r="K113" s="1" t="n">
        <f aca="false">J113-I113</f>
        <v>0.07560587717603</v>
      </c>
      <c r="L113" s="1" t="n">
        <v>0.676636427895576</v>
      </c>
    </row>
    <row r="114" customFormat="false" ht="15" hidden="false" customHeight="false" outlineLevel="0" collapsed="false">
      <c r="A114" s="1" t="s">
        <v>89</v>
      </c>
      <c r="B114" s="1" t="s">
        <v>90</v>
      </c>
      <c r="C114" s="1" t="s">
        <v>91</v>
      </c>
      <c r="D114" s="1" t="s">
        <v>19</v>
      </c>
      <c r="E114" s="1" t="s">
        <v>20</v>
      </c>
      <c r="F114" s="1" t="n">
        <v>40</v>
      </c>
      <c r="G114" s="1" t="s">
        <v>25</v>
      </c>
      <c r="H114" s="1" t="n">
        <v>0.1668</v>
      </c>
      <c r="I114" s="1" t="n">
        <v>0.262092429460046</v>
      </c>
      <c r="J114" s="1" t="n">
        <v>0.311164958947815</v>
      </c>
      <c r="K114" s="1" t="n">
        <f aca="false">J114-I114</f>
        <v>0.049072529487769</v>
      </c>
      <c r="L114" s="1" t="n">
        <v>0.676636427895576</v>
      </c>
    </row>
    <row r="115" customFormat="false" ht="15" hidden="false" customHeight="false" outlineLevel="0" collapsed="false">
      <c r="A115" s="1" t="s">
        <v>89</v>
      </c>
      <c r="B115" s="1" t="s">
        <v>90</v>
      </c>
      <c r="C115" s="1" t="s">
        <v>91</v>
      </c>
      <c r="D115" s="1" t="s">
        <v>19</v>
      </c>
      <c r="E115" s="1" t="s">
        <v>20</v>
      </c>
      <c r="F115" s="1" t="n">
        <v>40</v>
      </c>
      <c r="G115" s="1" t="s">
        <v>21</v>
      </c>
      <c r="H115" s="1" t="n">
        <v>0.1608</v>
      </c>
      <c r="I115" s="1" t="n">
        <v>0.252626509407344</v>
      </c>
      <c r="J115" s="1" t="n">
        <v>0.307489621608238</v>
      </c>
      <c r="K115" s="1" t="n">
        <f aca="false">J115-I115</f>
        <v>0.054863112200894</v>
      </c>
      <c r="L115" s="1" t="n">
        <v>0.676636427895576</v>
      </c>
    </row>
    <row r="116" customFormat="false" ht="15" hidden="false" customHeight="false" outlineLevel="0" collapsed="false">
      <c r="A116" s="1" t="s">
        <v>89</v>
      </c>
      <c r="B116" s="1" t="s">
        <v>90</v>
      </c>
      <c r="C116" s="1" t="s">
        <v>91</v>
      </c>
      <c r="D116" s="1" t="s">
        <v>19</v>
      </c>
      <c r="E116" s="1" t="s">
        <v>20</v>
      </c>
      <c r="F116" s="1" t="n">
        <v>40</v>
      </c>
      <c r="G116" s="1" t="s">
        <v>35</v>
      </c>
      <c r="H116" s="1" t="n">
        <v>0.1509</v>
      </c>
      <c r="I116" s="1" t="n">
        <v>0.237164875255011</v>
      </c>
      <c r="J116" s="1" t="n">
        <v>0.319934806262852</v>
      </c>
      <c r="K116" s="1" t="n">
        <f aca="false">J116-I116</f>
        <v>0.082769931007841</v>
      </c>
      <c r="L116" s="1" t="n">
        <v>0.676636427895576</v>
      </c>
    </row>
    <row r="117" customFormat="false" ht="15" hidden="false" customHeight="false" outlineLevel="0" collapsed="false">
      <c r="A117" s="1" t="s">
        <v>92</v>
      </c>
      <c r="B117" s="1" t="s">
        <v>93</v>
      </c>
      <c r="C117" s="1" t="s">
        <v>94</v>
      </c>
      <c r="D117" s="1" t="s">
        <v>19</v>
      </c>
      <c r="E117" s="1" t="s">
        <v>20</v>
      </c>
      <c r="F117" s="1" t="n">
        <v>42</v>
      </c>
      <c r="G117" s="1" t="s">
        <v>26</v>
      </c>
      <c r="H117" s="1" t="n">
        <v>0.1961</v>
      </c>
      <c r="I117" s="1" t="n">
        <v>0.361032051684447</v>
      </c>
      <c r="J117" s="1" t="n">
        <v>0.349967083073662</v>
      </c>
      <c r="K117" s="1" t="n">
        <f aca="false">J117-I117</f>
        <v>-0.011064968610785</v>
      </c>
      <c r="L117" s="1" t="n">
        <v>0.72066031750692</v>
      </c>
    </row>
    <row r="118" customFormat="false" ht="15" hidden="false" customHeight="false" outlineLevel="0" collapsed="false">
      <c r="A118" s="1" t="s">
        <v>92</v>
      </c>
      <c r="B118" s="1" t="s">
        <v>93</v>
      </c>
      <c r="C118" s="1" t="s">
        <v>94</v>
      </c>
      <c r="D118" s="1" t="s">
        <v>19</v>
      </c>
      <c r="E118" s="1" t="s">
        <v>20</v>
      </c>
      <c r="F118" s="1" t="n">
        <v>42</v>
      </c>
      <c r="G118" s="1" t="s">
        <v>42</v>
      </c>
      <c r="H118" s="1" t="n">
        <v>0.1899</v>
      </c>
      <c r="I118" s="1" t="n">
        <v>0.349555262838469</v>
      </c>
      <c r="J118" s="1" t="n">
        <v>0.319711937391791</v>
      </c>
      <c r="K118" s="1" t="n">
        <f aca="false">J118-I118</f>
        <v>-0.029843325446678</v>
      </c>
      <c r="L118" s="1" t="n">
        <v>0.72066031750692</v>
      </c>
    </row>
    <row r="119" customFormat="false" ht="15" hidden="false" customHeight="false" outlineLevel="0" collapsed="false">
      <c r="A119" s="1" t="s">
        <v>92</v>
      </c>
      <c r="B119" s="1" t="s">
        <v>93</v>
      </c>
      <c r="C119" s="1" t="s">
        <v>94</v>
      </c>
      <c r="D119" s="1" t="s">
        <v>19</v>
      </c>
      <c r="E119" s="1" t="s">
        <v>20</v>
      </c>
      <c r="F119" s="1" t="n">
        <v>42</v>
      </c>
      <c r="G119" s="1" t="s">
        <v>35</v>
      </c>
      <c r="H119" s="1" t="n">
        <v>0.1783</v>
      </c>
      <c r="I119" s="1" t="n">
        <v>0.328156953490698</v>
      </c>
      <c r="J119" s="1" t="n">
        <v>0.350527403362956</v>
      </c>
      <c r="K119" s="1" t="n">
        <f aca="false">J119-I119</f>
        <v>0.022370449872258</v>
      </c>
      <c r="L119" s="1" t="n">
        <v>0.72066031750692</v>
      </c>
    </row>
    <row r="120" customFormat="false" ht="15" hidden="false" customHeight="false" outlineLevel="0" collapsed="false">
      <c r="A120" s="1" t="s">
        <v>92</v>
      </c>
      <c r="B120" s="1" t="s">
        <v>93</v>
      </c>
      <c r="C120" s="1" t="s">
        <v>94</v>
      </c>
      <c r="D120" s="1" t="s">
        <v>19</v>
      </c>
      <c r="E120" s="1" t="s">
        <v>20</v>
      </c>
      <c r="F120" s="1" t="n">
        <v>42</v>
      </c>
      <c r="G120" s="1" t="s">
        <v>33</v>
      </c>
      <c r="H120" s="1" t="n">
        <v>0.1731</v>
      </c>
      <c r="I120" s="1" t="n">
        <v>0.318764827919232</v>
      </c>
      <c r="J120" s="1" t="n">
        <v>0.335054582979135</v>
      </c>
      <c r="K120" s="1" t="n">
        <f aca="false">J120-I120</f>
        <v>0.016289755059903</v>
      </c>
      <c r="L120" s="1" t="n">
        <v>0.72066031750692</v>
      </c>
    </row>
    <row r="121" customFormat="false" ht="15" hidden="false" customHeight="false" outlineLevel="0" collapsed="false">
      <c r="A121" s="1" t="s">
        <v>92</v>
      </c>
      <c r="B121" s="1" t="s">
        <v>93</v>
      </c>
      <c r="C121" s="1" t="s">
        <v>94</v>
      </c>
      <c r="D121" s="1" t="s">
        <v>19</v>
      </c>
      <c r="E121" s="1" t="s">
        <v>20</v>
      </c>
      <c r="F121" s="1" t="n">
        <v>42</v>
      </c>
      <c r="G121" s="1" t="s">
        <v>25</v>
      </c>
      <c r="H121" s="1" t="n">
        <v>0.1626</v>
      </c>
      <c r="I121" s="1" t="n">
        <v>0.299372196376452</v>
      </c>
      <c r="J121" s="1" t="n">
        <v>0.313727791402473</v>
      </c>
      <c r="K121" s="1" t="n">
        <f aca="false">J121-I121</f>
        <v>0.014355595026021</v>
      </c>
      <c r="L121" s="1" t="n">
        <v>0.72066031750692</v>
      </c>
    </row>
    <row r="122" customFormat="false" ht="15" hidden="false" customHeight="false" outlineLevel="0" collapsed="false">
      <c r="A122" s="1" t="s">
        <v>92</v>
      </c>
      <c r="B122" s="1" t="s">
        <v>93</v>
      </c>
      <c r="C122" s="1" t="s">
        <v>94</v>
      </c>
      <c r="D122" s="1" t="s">
        <v>19</v>
      </c>
      <c r="E122" s="1" t="s">
        <v>20</v>
      </c>
      <c r="F122" s="1" t="n">
        <v>42</v>
      </c>
      <c r="G122" s="1" t="s">
        <v>21</v>
      </c>
      <c r="H122" s="1" t="n">
        <v>0.1</v>
      </c>
      <c r="I122" s="1" t="n">
        <v>0.284036736777407</v>
      </c>
      <c r="J122" s="1" t="n">
        <v>0.25696101641097</v>
      </c>
      <c r="K122" s="1" t="n">
        <f aca="false">J122-I122</f>
        <v>-0.027075720366437</v>
      </c>
      <c r="L122" s="1" t="n">
        <v>0.72066031750692</v>
      </c>
    </row>
    <row r="123" customFormat="false" ht="15" hidden="false" customHeight="false" outlineLevel="0" collapsed="false">
      <c r="A123" s="1" t="s">
        <v>95</v>
      </c>
      <c r="B123" s="1" t="s">
        <v>96</v>
      </c>
      <c r="C123" s="1" t="s">
        <v>97</v>
      </c>
      <c r="D123" s="1" t="s">
        <v>19</v>
      </c>
      <c r="E123" s="1" t="s">
        <v>20</v>
      </c>
      <c r="F123" s="1" t="n">
        <v>44</v>
      </c>
      <c r="G123" s="1" t="s">
        <v>35</v>
      </c>
      <c r="H123" s="1" t="n">
        <v>0.1875</v>
      </c>
      <c r="I123" s="1" t="n">
        <v>0.345487532447933</v>
      </c>
      <c r="J123" s="1" t="n">
        <v>0.399315129061099</v>
      </c>
      <c r="K123" s="1" t="n">
        <f aca="false">J123-I123</f>
        <v>0.053827596613166</v>
      </c>
      <c r="L123" s="1" t="n">
        <v>0.772455612590151</v>
      </c>
    </row>
    <row r="124" customFormat="false" ht="15" hidden="false" customHeight="false" outlineLevel="0" collapsed="false">
      <c r="A124" s="1" t="s">
        <v>95</v>
      </c>
      <c r="B124" s="1" t="s">
        <v>96</v>
      </c>
      <c r="C124" s="1" t="s">
        <v>97</v>
      </c>
      <c r="D124" s="1" t="s">
        <v>19</v>
      </c>
      <c r="E124" s="1" t="s">
        <v>20</v>
      </c>
      <c r="F124" s="1" t="n">
        <v>44</v>
      </c>
      <c r="G124" s="1" t="s">
        <v>33</v>
      </c>
      <c r="H124" s="1" t="n">
        <v>0.1812</v>
      </c>
      <c r="I124" s="1" t="n">
        <v>0.333972688707062</v>
      </c>
      <c r="J124" s="1" t="n">
        <v>0.409037165834018</v>
      </c>
      <c r="K124" s="1" t="n">
        <f aca="false">J124-I124</f>
        <v>0.075064477126956</v>
      </c>
      <c r="L124" s="1" t="n">
        <v>0.772455612590151</v>
      </c>
    </row>
    <row r="125" customFormat="false" ht="15" hidden="false" customHeight="false" outlineLevel="0" collapsed="false">
      <c r="A125" s="1" t="s">
        <v>95</v>
      </c>
      <c r="B125" s="1" t="s">
        <v>96</v>
      </c>
      <c r="C125" s="1" t="s">
        <v>97</v>
      </c>
      <c r="D125" s="1" t="s">
        <v>19</v>
      </c>
      <c r="E125" s="1" t="s">
        <v>20</v>
      </c>
      <c r="F125" s="1" t="n">
        <v>44</v>
      </c>
      <c r="G125" s="1" t="s">
        <v>26</v>
      </c>
      <c r="H125" s="1" t="n">
        <v>0.1811</v>
      </c>
      <c r="I125" s="1" t="n">
        <v>0.333713542870749</v>
      </c>
      <c r="J125" s="1" t="n">
        <v>0.410768769895874</v>
      </c>
      <c r="K125" s="1" t="n">
        <f aca="false">J125-I125</f>
        <v>0.077055227025125</v>
      </c>
      <c r="L125" s="1" t="n">
        <v>0.772455612590151</v>
      </c>
    </row>
    <row r="126" customFormat="false" ht="15" hidden="false" customHeight="false" outlineLevel="0" collapsed="false">
      <c r="A126" s="1" t="s">
        <v>95</v>
      </c>
      <c r="B126" s="1" t="s">
        <v>96</v>
      </c>
      <c r="C126" s="1" t="s">
        <v>97</v>
      </c>
      <c r="D126" s="1" t="s">
        <v>19</v>
      </c>
      <c r="E126" s="1" t="s">
        <v>20</v>
      </c>
      <c r="F126" s="1" t="n">
        <v>44</v>
      </c>
      <c r="G126" s="1" t="s">
        <v>49</v>
      </c>
      <c r="H126" s="1" t="n">
        <v>0.1781</v>
      </c>
      <c r="I126" s="1" t="n">
        <v>0.328217641622435</v>
      </c>
      <c r="J126" s="1" t="n">
        <v>0.391368873588456</v>
      </c>
      <c r="K126" s="1" t="n">
        <f aca="false">J126-I126</f>
        <v>0.063151231966021</v>
      </c>
      <c r="L126" s="1" t="n">
        <v>0.772455612590151</v>
      </c>
    </row>
    <row r="127" customFormat="false" ht="15" hidden="false" customHeight="false" outlineLevel="0" collapsed="false">
      <c r="A127" s="1" t="s">
        <v>95</v>
      </c>
      <c r="B127" s="1" t="s">
        <v>96</v>
      </c>
      <c r="C127" s="1" t="s">
        <v>97</v>
      </c>
      <c r="D127" s="1" t="s">
        <v>19</v>
      </c>
      <c r="E127" s="1" t="s">
        <v>20</v>
      </c>
      <c r="F127" s="1" t="n">
        <v>44</v>
      </c>
      <c r="G127" s="1" t="s">
        <v>42</v>
      </c>
      <c r="H127" s="1" t="n">
        <v>0.1721</v>
      </c>
      <c r="I127" s="1" t="n">
        <v>0.317134322113595</v>
      </c>
      <c r="J127" s="1" t="n">
        <v>0.40512425082651</v>
      </c>
      <c r="K127" s="1" t="n">
        <f aca="false">J127-I127</f>
        <v>0.087989928712915</v>
      </c>
      <c r="L127" s="1" t="n">
        <v>0.772455612590151</v>
      </c>
    </row>
    <row r="128" customFormat="false" ht="15" hidden="false" customHeight="false" outlineLevel="0" collapsed="false">
      <c r="A128" s="1" t="s">
        <v>95</v>
      </c>
      <c r="B128" s="1" t="s">
        <v>96</v>
      </c>
      <c r="C128" s="1" t="s">
        <v>97</v>
      </c>
      <c r="D128" s="1" t="s">
        <v>19</v>
      </c>
      <c r="E128" s="1" t="s">
        <v>20</v>
      </c>
      <c r="F128" s="1" t="n">
        <v>44</v>
      </c>
      <c r="G128" s="1" t="s">
        <v>21</v>
      </c>
      <c r="H128" s="1" t="n">
        <v>0.1</v>
      </c>
      <c r="I128" s="1" t="n">
        <v>0.29695693221055</v>
      </c>
      <c r="J128" s="1" t="n">
        <v>0.374711267025889</v>
      </c>
      <c r="K128" s="1" t="n">
        <f aca="false">J128-I128</f>
        <v>0.0777543348153391</v>
      </c>
      <c r="L128" s="1" t="n">
        <v>0.772455612590151</v>
      </c>
    </row>
    <row r="129" customFormat="false" ht="15" hidden="false" customHeight="false" outlineLevel="0" collapsed="false">
      <c r="A129" s="1" t="s">
        <v>98</v>
      </c>
      <c r="B129" s="1" t="s">
        <v>99</v>
      </c>
      <c r="C129" s="1" t="s">
        <v>100</v>
      </c>
      <c r="D129" s="1" t="s">
        <v>19</v>
      </c>
      <c r="E129" s="1" t="s">
        <v>20</v>
      </c>
      <c r="F129" s="1" t="n">
        <v>46</v>
      </c>
      <c r="G129" s="1" t="s">
        <v>25</v>
      </c>
      <c r="H129" s="1" t="n">
        <v>0.1698</v>
      </c>
      <c r="I129" s="1" t="n">
        <v>0.321339249009085</v>
      </c>
      <c r="J129" s="1" t="n">
        <v>0.36726441060272</v>
      </c>
      <c r="K129" s="1" t="n">
        <f aca="false">J129-I129</f>
        <v>0.045925161593635</v>
      </c>
      <c r="L129" s="1" t="n">
        <v>0.781238004258282</v>
      </c>
    </row>
    <row r="130" customFormat="false" ht="15" hidden="false" customHeight="false" outlineLevel="0" collapsed="false">
      <c r="A130" s="1" t="s">
        <v>98</v>
      </c>
      <c r="B130" s="1" t="s">
        <v>99</v>
      </c>
      <c r="C130" s="1" t="s">
        <v>100</v>
      </c>
      <c r="D130" s="1" t="s">
        <v>19</v>
      </c>
      <c r="E130" s="1" t="s">
        <v>20</v>
      </c>
      <c r="F130" s="1" t="n">
        <v>46</v>
      </c>
      <c r="G130" s="1" t="s">
        <v>21</v>
      </c>
      <c r="H130" s="1" t="n">
        <v>0.1687</v>
      </c>
      <c r="I130" s="1" t="n">
        <v>0.319252880200094</v>
      </c>
      <c r="J130" s="1" t="n">
        <v>0.325573666837285</v>
      </c>
      <c r="K130" s="1" t="n">
        <f aca="false">J130-I130</f>
        <v>0.00632078663719099</v>
      </c>
      <c r="L130" s="1" t="n">
        <v>0.781238004258282</v>
      </c>
    </row>
    <row r="131" customFormat="false" ht="15" hidden="false" customHeight="false" outlineLevel="0" collapsed="false">
      <c r="A131" s="1" t="s">
        <v>98</v>
      </c>
      <c r="B131" s="1" t="s">
        <v>99</v>
      </c>
      <c r="C131" s="1" t="s">
        <v>100</v>
      </c>
      <c r="D131" s="1" t="s">
        <v>19</v>
      </c>
      <c r="E131" s="1" t="s">
        <v>20</v>
      </c>
      <c r="F131" s="1" t="n">
        <v>46</v>
      </c>
      <c r="G131" s="1" t="s">
        <v>26</v>
      </c>
      <c r="H131" s="1" t="n">
        <v>0.1667</v>
      </c>
      <c r="I131" s="1" t="n">
        <v>0.315367564247608</v>
      </c>
      <c r="J131" s="1" t="n">
        <v>0.375128791207289</v>
      </c>
      <c r="K131" s="1" t="n">
        <f aca="false">J131-I131</f>
        <v>0.059761226959681</v>
      </c>
      <c r="L131" s="1" t="n">
        <v>0.781238004258282</v>
      </c>
    </row>
    <row r="132" customFormat="false" ht="15" hidden="false" customHeight="false" outlineLevel="0" collapsed="false">
      <c r="A132" s="1" t="s">
        <v>98</v>
      </c>
      <c r="B132" s="1" t="s">
        <v>99</v>
      </c>
      <c r="C132" s="1" t="s">
        <v>100</v>
      </c>
      <c r="D132" s="1" t="s">
        <v>19</v>
      </c>
      <c r="E132" s="1" t="s">
        <v>20</v>
      </c>
      <c r="F132" s="1" t="n">
        <v>46</v>
      </c>
      <c r="G132" s="1" t="s">
        <v>42</v>
      </c>
      <c r="H132" s="1" t="n">
        <v>0.165</v>
      </c>
      <c r="I132" s="1" t="n">
        <v>0.312302919873978</v>
      </c>
      <c r="J132" s="1" t="n">
        <v>0.327776339632305</v>
      </c>
      <c r="K132" s="1" t="n">
        <f aca="false">J132-I132</f>
        <v>0.015473419758327</v>
      </c>
      <c r="L132" s="1" t="n">
        <v>0.781238004258282</v>
      </c>
    </row>
    <row r="133" customFormat="false" ht="15" hidden="false" customHeight="false" outlineLevel="0" collapsed="false">
      <c r="A133" s="1" t="s">
        <v>98</v>
      </c>
      <c r="B133" s="1" t="s">
        <v>99</v>
      </c>
      <c r="C133" s="1" t="s">
        <v>100</v>
      </c>
      <c r="D133" s="1" t="s">
        <v>19</v>
      </c>
      <c r="E133" s="1" t="s">
        <v>20</v>
      </c>
      <c r="F133" s="1" t="n">
        <v>46</v>
      </c>
      <c r="G133" s="1" t="s">
        <v>35</v>
      </c>
      <c r="H133" s="1" t="n">
        <v>0.165</v>
      </c>
      <c r="I133" s="1" t="n">
        <v>0.312236604868147</v>
      </c>
      <c r="J133" s="1" t="n">
        <v>0.346131254676522</v>
      </c>
      <c r="K133" s="1" t="n">
        <f aca="false">J133-I133</f>
        <v>0.033894649808375</v>
      </c>
      <c r="L133" s="1" t="n">
        <v>0.781238004258282</v>
      </c>
    </row>
    <row r="134" customFormat="false" ht="15" hidden="false" customHeight="false" outlineLevel="0" collapsed="false">
      <c r="A134" s="1" t="s">
        <v>98</v>
      </c>
      <c r="B134" s="1" t="s">
        <v>99</v>
      </c>
      <c r="C134" s="1" t="s">
        <v>100</v>
      </c>
      <c r="D134" s="1" t="s">
        <v>19</v>
      </c>
      <c r="E134" s="1" t="s">
        <v>20</v>
      </c>
      <c r="F134" s="1" t="n">
        <v>46</v>
      </c>
      <c r="G134" s="1" t="s">
        <v>34</v>
      </c>
      <c r="H134" s="1" t="n">
        <v>0.1647</v>
      </c>
      <c r="I134" s="1" t="n">
        <v>0.31169485736942</v>
      </c>
      <c r="J134" s="1" t="n">
        <v>0.322844407866297</v>
      </c>
      <c r="K134" s="1" t="n">
        <f aca="false">J134-I134</f>
        <v>0.011149550496877</v>
      </c>
      <c r="L134" s="1" t="n">
        <v>0.781238004258282</v>
      </c>
    </row>
    <row r="135" customFormat="false" ht="15" hidden="false" customHeight="false" outlineLevel="0" collapsed="false">
      <c r="A135" s="1" t="s">
        <v>101</v>
      </c>
      <c r="B135" s="1" t="s">
        <v>102</v>
      </c>
      <c r="C135" s="1" t="s">
        <v>103</v>
      </c>
      <c r="D135" s="1" t="s">
        <v>19</v>
      </c>
      <c r="E135" s="1" t="s">
        <v>20</v>
      </c>
      <c r="F135" s="1" t="n">
        <v>48</v>
      </c>
      <c r="G135" s="1" t="s">
        <v>26</v>
      </c>
      <c r="H135" s="1" t="n">
        <v>0.1877</v>
      </c>
      <c r="I135" s="1" t="n">
        <v>0.351619105039325</v>
      </c>
      <c r="J135" s="1" t="n">
        <v>0.366168184228675</v>
      </c>
      <c r="K135" s="1" t="n">
        <f aca="false">J135-I135</f>
        <v>0.01454907918935</v>
      </c>
      <c r="L135" s="1" t="n">
        <v>0.693940210865722</v>
      </c>
    </row>
    <row r="136" customFormat="false" ht="15" hidden="false" customHeight="false" outlineLevel="0" collapsed="false">
      <c r="A136" s="1" t="s">
        <v>101</v>
      </c>
      <c r="B136" s="1" t="s">
        <v>102</v>
      </c>
      <c r="C136" s="1" t="s">
        <v>103</v>
      </c>
      <c r="D136" s="1" t="s">
        <v>19</v>
      </c>
      <c r="E136" s="1" t="s">
        <v>20</v>
      </c>
      <c r="F136" s="1" t="n">
        <v>48</v>
      </c>
      <c r="G136" s="1" t="s">
        <v>49</v>
      </c>
      <c r="H136" s="1" t="n">
        <v>0.1831</v>
      </c>
      <c r="I136" s="1" t="n">
        <v>0.343043914182157</v>
      </c>
      <c r="J136" s="1" t="n">
        <v>0.361063950622731</v>
      </c>
      <c r="K136" s="1" t="n">
        <f aca="false">J136-I136</f>
        <v>0.018020036440574</v>
      </c>
      <c r="L136" s="1" t="n">
        <v>0.693940210865722</v>
      </c>
    </row>
    <row r="137" customFormat="false" ht="15" hidden="false" customHeight="false" outlineLevel="0" collapsed="false">
      <c r="A137" s="1" t="s">
        <v>101</v>
      </c>
      <c r="B137" s="1" t="s">
        <v>102</v>
      </c>
      <c r="C137" s="1" t="s">
        <v>103</v>
      </c>
      <c r="D137" s="1" t="s">
        <v>19</v>
      </c>
      <c r="E137" s="1" t="s">
        <v>20</v>
      </c>
      <c r="F137" s="1" t="n">
        <v>48</v>
      </c>
      <c r="G137" s="1" t="s">
        <v>25</v>
      </c>
      <c r="H137" s="1" t="n">
        <v>0.1782</v>
      </c>
      <c r="I137" s="1" t="n">
        <v>0.333868903163824</v>
      </c>
      <c r="J137" s="1" t="n">
        <v>0.314639725595171</v>
      </c>
      <c r="K137" s="1" t="n">
        <f aca="false">J137-I137</f>
        <v>-0.019229177568653</v>
      </c>
      <c r="L137" s="1" t="n">
        <v>0.693940210865722</v>
      </c>
    </row>
    <row r="138" customFormat="false" ht="15" hidden="false" customHeight="false" outlineLevel="0" collapsed="false">
      <c r="A138" s="1" t="s">
        <v>101</v>
      </c>
      <c r="B138" s="1" t="s">
        <v>102</v>
      </c>
      <c r="C138" s="1" t="s">
        <v>103</v>
      </c>
      <c r="D138" s="1" t="s">
        <v>19</v>
      </c>
      <c r="E138" s="1" t="s">
        <v>20</v>
      </c>
      <c r="F138" s="1" t="n">
        <v>48</v>
      </c>
      <c r="G138" s="1" t="s">
        <v>35</v>
      </c>
      <c r="H138" s="1" t="n">
        <v>0.1769</v>
      </c>
      <c r="I138" s="1" t="n">
        <v>0.331384380873891</v>
      </c>
      <c r="J138" s="1" t="n">
        <v>0.335393009590374</v>
      </c>
      <c r="K138" s="1" t="n">
        <f aca="false">J138-I138</f>
        <v>0.004008628716483</v>
      </c>
      <c r="L138" s="1" t="n">
        <v>0.693940210865722</v>
      </c>
    </row>
    <row r="139" customFormat="false" ht="15" hidden="false" customHeight="false" outlineLevel="0" collapsed="false">
      <c r="A139" s="1" t="s">
        <v>101</v>
      </c>
      <c r="B139" s="1" t="s">
        <v>102</v>
      </c>
      <c r="C139" s="1" t="s">
        <v>103</v>
      </c>
      <c r="D139" s="1" t="s">
        <v>19</v>
      </c>
      <c r="E139" s="1" t="s">
        <v>20</v>
      </c>
      <c r="F139" s="1" t="n">
        <v>48</v>
      </c>
      <c r="G139" s="1" t="s">
        <v>42</v>
      </c>
      <c r="H139" s="1" t="n">
        <v>0.1742</v>
      </c>
      <c r="I139" s="1" t="n">
        <v>0.326409864238287</v>
      </c>
      <c r="J139" s="1" t="n">
        <v>0.33605869342903</v>
      </c>
      <c r="K139" s="1" t="n">
        <f aca="false">J139-I139</f>
        <v>0.009648829190743</v>
      </c>
      <c r="L139" s="1" t="n">
        <v>0.693940210865722</v>
      </c>
    </row>
    <row r="140" customFormat="false" ht="15" hidden="false" customHeight="false" outlineLevel="0" collapsed="false">
      <c r="A140" s="1" t="s">
        <v>101</v>
      </c>
      <c r="B140" s="1" t="s">
        <v>102</v>
      </c>
      <c r="C140" s="1" t="s">
        <v>103</v>
      </c>
      <c r="D140" s="1" t="s">
        <v>19</v>
      </c>
      <c r="E140" s="1" t="s">
        <v>20</v>
      </c>
      <c r="F140" s="1" t="n">
        <v>48</v>
      </c>
      <c r="G140" s="1" t="s">
        <v>21</v>
      </c>
      <c r="H140" s="1" t="n">
        <v>0.1</v>
      </c>
      <c r="I140" s="1" t="n">
        <v>0.293623081946248</v>
      </c>
      <c r="J140" s="1" t="n">
        <v>0.264756687451641</v>
      </c>
      <c r="K140" s="1" t="n">
        <f aca="false">J140-I140</f>
        <v>-0.028866394494607</v>
      </c>
      <c r="L140" s="1" t="n">
        <v>0.693940210865722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27" activeCellId="1" sqref="G30:J31 E27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2.42"/>
  </cols>
  <sheetData>
    <row r="1" customFormat="false" ht="12.8" hidden="false" customHeight="false" outlineLevel="0" collapsed="false">
      <c r="A1" s="5" t="s">
        <v>104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105</v>
      </c>
      <c r="B3" s="6" t="n">
        <f aca="false">scen8_ac15!P2</f>
        <v>138</v>
      </c>
    </row>
    <row r="4" customFormat="false" ht="12.8" hidden="false" customHeight="false" outlineLevel="0" collapsed="false">
      <c r="A4" s="5" t="s">
        <v>106</v>
      </c>
      <c r="B4" s="5" t="n">
        <f aca="false">B10*SQRT((B3-2)/(1-B10^2))</f>
        <v>1.22729309400001</v>
      </c>
    </row>
    <row r="5" customFormat="false" ht="12.8" hidden="false" customHeight="false" outlineLevel="0" collapsed="false">
      <c r="A5" s="5" t="s">
        <v>107</v>
      </c>
      <c r="B5" s="5" t="n">
        <f aca="false">_xlfn.T.DIST.2T(ABS(B4),B3-2)</f>
        <v>0.22183264819505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2" t="s">
        <v>12</v>
      </c>
      <c r="B9" s="2" t="s">
        <v>14</v>
      </c>
    </row>
    <row r="10" customFormat="false" ht="12.8" hidden="false" customHeight="false" outlineLevel="0" collapsed="false">
      <c r="A10" s="8" t="n">
        <f aca="false">B3</f>
        <v>138</v>
      </c>
      <c r="B10" s="8" t="n">
        <f aca="false">scen8_ac15!R2</f>
        <v>0.104661528715862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1" sqref="G30:J31 A1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9" t="s">
        <v>108</v>
      </c>
      <c r="B1" s="9"/>
    </row>
    <row r="2" customFormat="false" ht="12.8" hidden="false" customHeight="false" outlineLevel="0" collapsed="false">
      <c r="A2" s="10" t="s">
        <v>109</v>
      </c>
      <c r="B2" s="11" t="s">
        <v>110</v>
      </c>
    </row>
    <row r="3" customFormat="false" ht="12.8" hidden="false" customHeight="false" outlineLevel="0" collapsed="false">
      <c r="A3" s="7" t="n">
        <v>1</v>
      </c>
      <c r="B3" s="1" t="n">
        <v>0.747843022923881</v>
      </c>
    </row>
    <row r="4" customFormat="false" ht="12.8" hidden="false" customHeight="false" outlineLevel="0" collapsed="false">
      <c r="A4" s="7" t="n">
        <v>2</v>
      </c>
      <c r="B4" s="1" t="n">
        <v>0.748104158889568</v>
      </c>
    </row>
    <row r="5" customFormat="false" ht="12.8" hidden="false" customHeight="false" outlineLevel="0" collapsed="false">
      <c r="A5" s="7" t="n">
        <v>3</v>
      </c>
      <c r="B5" s="1" t="n">
        <v>0.71984400860707</v>
      </c>
    </row>
    <row r="6" customFormat="false" ht="12.8" hidden="false" customHeight="false" outlineLevel="0" collapsed="false">
      <c r="A6" s="7" t="n">
        <v>4</v>
      </c>
      <c r="B6" s="1" t="n">
        <v>0.716086647100763</v>
      </c>
    </row>
    <row r="7" customFormat="false" ht="12.8" hidden="false" customHeight="false" outlineLevel="0" collapsed="false">
      <c r="A7" s="7" t="n">
        <v>5</v>
      </c>
      <c r="B7" s="1" t="n">
        <v>0.762493070097647</v>
      </c>
    </row>
    <row r="8" customFormat="false" ht="12.8" hidden="false" customHeight="false" outlineLevel="0" collapsed="false">
      <c r="A8" s="7" t="n">
        <v>6</v>
      </c>
      <c r="B8" s="1" t="n">
        <v>0.653519592008403</v>
      </c>
    </row>
    <row r="9" customFormat="false" ht="12.8" hidden="false" customHeight="false" outlineLevel="0" collapsed="false">
      <c r="A9" s="7" t="n">
        <v>7</v>
      </c>
      <c r="B9" s="1" t="n">
        <v>0.719750136805701</v>
      </c>
    </row>
    <row r="10" customFormat="false" ht="12.8" hidden="false" customHeight="false" outlineLevel="0" collapsed="false">
      <c r="A10" s="7" t="n">
        <v>8</v>
      </c>
      <c r="B10" s="1" t="n">
        <v>0.778318129572334</v>
      </c>
    </row>
    <row r="11" customFormat="false" ht="12.8" hidden="false" customHeight="false" outlineLevel="0" collapsed="false">
      <c r="A11" s="7" t="n">
        <v>9</v>
      </c>
      <c r="B11" s="1" t="n">
        <v>0.742397408036601</v>
      </c>
    </row>
    <row r="12" customFormat="false" ht="12.8" hidden="false" customHeight="false" outlineLevel="0" collapsed="false">
      <c r="A12" s="7" t="n">
        <v>10</v>
      </c>
      <c r="B12" s="1" t="n">
        <v>0.83322558385751</v>
      </c>
    </row>
    <row r="13" customFormat="false" ht="12.8" hidden="false" customHeight="false" outlineLevel="0" collapsed="false">
      <c r="A13" s="7" t="n">
        <v>11</v>
      </c>
      <c r="B13" s="1" t="n">
        <v>0.717525615290775</v>
      </c>
    </row>
    <row r="14" customFormat="false" ht="12.8" hidden="false" customHeight="false" outlineLevel="0" collapsed="false">
      <c r="A14" s="7" t="n">
        <v>12</v>
      </c>
      <c r="B14" s="1" t="n">
        <v>0.750832143580771</v>
      </c>
    </row>
    <row r="15" customFormat="false" ht="12.8" hidden="false" customHeight="false" outlineLevel="0" collapsed="false">
      <c r="A15" s="7" t="n">
        <v>13</v>
      </c>
      <c r="B15" s="1" t="n">
        <v>0.77358788110411</v>
      </c>
    </row>
    <row r="16" customFormat="false" ht="12.8" hidden="false" customHeight="false" outlineLevel="0" collapsed="false">
      <c r="A16" s="7" t="n">
        <v>14</v>
      </c>
      <c r="B16" s="1" t="n">
        <v>0.746401320572344</v>
      </c>
    </row>
    <row r="17" customFormat="false" ht="12.8" hidden="false" customHeight="false" outlineLevel="0" collapsed="false">
      <c r="A17" s="7" t="n">
        <v>15</v>
      </c>
      <c r="B17" s="1" t="n">
        <v>0.674899879933738</v>
      </c>
    </row>
    <row r="18" customFormat="false" ht="12.8" hidden="false" customHeight="false" outlineLevel="0" collapsed="false">
      <c r="A18" s="7" t="n">
        <v>16</v>
      </c>
      <c r="B18" s="1" t="n">
        <v>0.749348200599637</v>
      </c>
    </row>
    <row r="19" customFormat="false" ht="12.8" hidden="false" customHeight="false" outlineLevel="0" collapsed="false">
      <c r="A19" s="7" t="n">
        <v>17</v>
      </c>
      <c r="B19" s="1" t="n">
        <v>0.784507430286035</v>
      </c>
    </row>
    <row r="20" customFormat="false" ht="12.8" hidden="false" customHeight="false" outlineLevel="0" collapsed="false">
      <c r="A20" s="7" t="n">
        <v>18</v>
      </c>
      <c r="B20" s="1" t="n">
        <v>0.724125949209616</v>
      </c>
    </row>
    <row r="21" customFormat="false" ht="12.8" hidden="false" customHeight="false" outlineLevel="0" collapsed="false">
      <c r="A21" s="7" t="n">
        <v>19</v>
      </c>
      <c r="B21" s="1" t="n">
        <v>0.749855438872011</v>
      </c>
    </row>
    <row r="22" customFormat="false" ht="12.8" hidden="false" customHeight="false" outlineLevel="0" collapsed="false">
      <c r="A22" s="7" t="n">
        <v>20</v>
      </c>
      <c r="B22" s="1" t="n">
        <v>0.776729389363219</v>
      </c>
    </row>
    <row r="23" customFormat="false" ht="12.8" hidden="false" customHeight="false" outlineLevel="0" collapsed="false">
      <c r="A23" s="7" t="n">
        <v>21</v>
      </c>
      <c r="B23" s="1" t="n">
        <v>0.676636427895576</v>
      </c>
    </row>
    <row r="24" customFormat="false" ht="12.8" hidden="false" customHeight="false" outlineLevel="0" collapsed="false">
      <c r="A24" s="7" t="n">
        <v>22</v>
      </c>
      <c r="B24" s="1" t="n">
        <v>0.72066031750692</v>
      </c>
    </row>
    <row r="25" customFormat="false" ht="12.8" hidden="false" customHeight="false" outlineLevel="0" collapsed="false">
      <c r="A25" s="7" t="n">
        <v>23</v>
      </c>
      <c r="B25" s="1" t="n">
        <v>0.772455612590151</v>
      </c>
    </row>
    <row r="26" customFormat="false" ht="12.8" hidden="false" customHeight="false" outlineLevel="0" collapsed="false">
      <c r="A26" s="7" t="n">
        <v>24</v>
      </c>
      <c r="B26" s="1" t="n">
        <v>0.781238004258282</v>
      </c>
    </row>
    <row r="27" customFormat="false" ht="12.8" hidden="false" customHeight="false" outlineLevel="0" collapsed="false">
      <c r="A27" s="3" t="n">
        <v>25</v>
      </c>
      <c r="B27" s="1" t="n">
        <v>0.693940210865722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6" colorId="64" zoomScale="125" zoomScaleNormal="125" zoomScalePageLayoutView="100" workbookViewId="0">
      <selection pane="topLeft" activeCell="B33" activeCellId="1" sqref="G30:J31 B33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3" min="2" style="1" width="19.71"/>
    <col collapsed="false" customWidth="true" hidden="false" outlineLevel="0" max="6" min="5" style="1" width="20.79"/>
    <col collapsed="false" customWidth="true" hidden="false" outlineLevel="0" max="7" min="7" style="1" width="21.87"/>
    <col collapsed="false" customWidth="true" hidden="false" outlineLevel="0" max="8" min="8" style="1" width="22.42"/>
    <col collapsed="false" customWidth="true" hidden="false" outlineLevel="0" max="9" min="9" style="1" width="21.33"/>
    <col collapsed="false" customWidth="true" hidden="false" outlineLevel="0" max="10" min="10" style="1" width="20.79"/>
  </cols>
  <sheetData>
    <row r="1" customFormat="false" ht="12.8" hidden="false" customHeight="false" outlineLevel="0" collapsed="false">
      <c r="A1" s="9" t="s">
        <v>108</v>
      </c>
      <c r="B1" s="9"/>
    </row>
    <row r="2" customFormat="false" ht="12.8" hidden="false" customHeight="false" outlineLevel="0" collapsed="false">
      <c r="A2" s="10" t="s">
        <v>109</v>
      </c>
      <c r="B2" s="11" t="s">
        <v>110</v>
      </c>
      <c r="C2" s="1" t="s">
        <v>111</v>
      </c>
      <c r="E2" s="3" t="s">
        <v>112</v>
      </c>
      <c r="F2" s="3" t="s">
        <v>113</v>
      </c>
      <c r="G2" s="3" t="s">
        <v>114</v>
      </c>
      <c r="H2" s="3" t="s">
        <v>115</v>
      </c>
      <c r="I2" s="3" t="s">
        <v>116</v>
      </c>
      <c r="J2" s="3" t="s">
        <v>117</v>
      </c>
      <c r="K2" s="1" t="s">
        <v>118</v>
      </c>
      <c r="L2" s="1" t="s">
        <v>119</v>
      </c>
    </row>
    <row r="3" customFormat="false" ht="12.8" hidden="false" customHeight="false" outlineLevel="0" collapsed="false">
      <c r="A3" s="7" t="n">
        <v>1</v>
      </c>
      <c r="B3" s="1" t="n">
        <v>0.747843022923881</v>
      </c>
      <c r="C3" s="1" t="n">
        <v>0.771814729489856</v>
      </c>
      <c r="E3" s="3" t="n">
        <f aca="false">_xlfn.STDEV.S(B3:B27)</f>
        <v>0.0401649934314296</v>
      </c>
      <c r="F3" s="3" t="n">
        <f aca="false">_xlfn.STDEV.S(C3:C27)</f>
        <v>0.0774803186336932</v>
      </c>
      <c r="G3" s="3" t="n">
        <f aca="false">_xlfn.F.TEST(B3:B27,C3:C27)</f>
        <v>0.0020569454878201</v>
      </c>
      <c r="H3" s="3" t="n">
        <f aca="false">_xlfn.T.TEST(B3:B27, C3:C27, 2,2)</f>
        <v>8.25398350570022E-007</v>
      </c>
      <c r="I3" s="3" t="n">
        <f aca="false">_xlfn.T.TEST(B3:B27,C3:C27, 2,3)</f>
        <v>1.97370040143028E-006</v>
      </c>
      <c r="J3" s="3" t="n">
        <f aca="false">AVERAGE(B3:B27)-AVERAGE(C3:C27)</f>
        <v>0.0987923035746814</v>
      </c>
      <c r="K3" s="1" t="n">
        <f aca="false">AVERAGE(B3:B27)</f>
        <v>0.740573023193135</v>
      </c>
      <c r="L3" s="1" t="n">
        <f aca="false">AVERAGE(C3:C27)</f>
        <v>0.641780719618454</v>
      </c>
    </row>
    <row r="4" customFormat="false" ht="12.8" hidden="false" customHeight="false" outlineLevel="0" collapsed="false">
      <c r="A4" s="7" t="n">
        <v>2</v>
      </c>
      <c r="B4" s="1" t="n">
        <v>0.748104158889568</v>
      </c>
      <c r="C4" s="1" t="n">
        <v>0.585748724447829</v>
      </c>
    </row>
    <row r="5" customFormat="false" ht="12.8" hidden="false" customHeight="false" outlineLevel="0" collapsed="false">
      <c r="A5" s="7" t="n">
        <v>3</v>
      </c>
      <c r="B5" s="1" t="n">
        <v>0.71984400860707</v>
      </c>
      <c r="C5" s="1" t="n">
        <v>0.594422528559652</v>
      </c>
    </row>
    <row r="6" customFormat="false" ht="12.8" hidden="false" customHeight="false" outlineLevel="0" collapsed="false">
      <c r="A6" s="7" t="n">
        <v>4</v>
      </c>
      <c r="B6" s="1" t="n">
        <v>0.716086647100763</v>
      </c>
      <c r="C6" s="1" t="n">
        <v>0.60678636857711</v>
      </c>
    </row>
    <row r="7" customFormat="false" ht="12.8" hidden="false" customHeight="false" outlineLevel="0" collapsed="false">
      <c r="A7" s="7" t="n">
        <v>5</v>
      </c>
      <c r="B7" s="1" t="n">
        <v>0.762493070097647</v>
      </c>
      <c r="C7" s="1" t="n">
        <v>0.69941561269435</v>
      </c>
    </row>
    <row r="8" customFormat="false" ht="12.8" hidden="false" customHeight="false" outlineLevel="0" collapsed="false">
      <c r="A8" s="7" t="n">
        <v>6</v>
      </c>
      <c r="B8" s="1" t="n">
        <v>0.653519592008403</v>
      </c>
      <c r="C8" s="1" t="n">
        <v>0.584983605559223</v>
      </c>
    </row>
    <row r="9" customFormat="false" ht="12.8" hidden="false" customHeight="false" outlineLevel="0" collapsed="false">
      <c r="A9" s="7" t="n">
        <v>7</v>
      </c>
      <c r="B9" s="1" t="n">
        <v>0.719750136805701</v>
      </c>
      <c r="C9" s="1" t="n">
        <v>0.523434497974195</v>
      </c>
    </row>
    <row r="10" customFormat="false" ht="12.8" hidden="false" customHeight="false" outlineLevel="0" collapsed="false">
      <c r="A10" s="7" t="n">
        <v>8</v>
      </c>
      <c r="B10" s="1" t="n">
        <v>0.778318129572334</v>
      </c>
      <c r="C10" s="1" t="n">
        <v>0.733177377705096</v>
      </c>
    </row>
    <row r="11" customFormat="false" ht="12.8" hidden="false" customHeight="false" outlineLevel="0" collapsed="false">
      <c r="A11" s="7" t="n">
        <v>9</v>
      </c>
      <c r="B11" s="1" t="n">
        <v>0.742397408036601</v>
      </c>
      <c r="C11" s="1" t="n">
        <v>0.623029352644154</v>
      </c>
    </row>
    <row r="12" customFormat="false" ht="12.8" hidden="false" customHeight="false" outlineLevel="0" collapsed="false">
      <c r="A12" s="7" t="n">
        <v>10</v>
      </c>
      <c r="B12" s="1" t="n">
        <v>0.83322558385751</v>
      </c>
      <c r="C12" s="1" t="n">
        <v>0.569126443983933</v>
      </c>
    </row>
    <row r="13" customFormat="false" ht="12.8" hidden="false" customHeight="false" outlineLevel="0" collapsed="false">
      <c r="A13" s="7" t="n">
        <v>11</v>
      </c>
      <c r="B13" s="1" t="n">
        <v>0.717525615290775</v>
      </c>
      <c r="C13" s="1" t="n">
        <v>0.712616848746921</v>
      </c>
    </row>
    <row r="14" customFormat="false" ht="12.8" hidden="false" customHeight="false" outlineLevel="0" collapsed="false">
      <c r="A14" s="7" t="n">
        <v>12</v>
      </c>
      <c r="B14" s="1" t="n">
        <v>0.750832143580771</v>
      </c>
      <c r="C14" s="1" t="n">
        <v>0.623994668934615</v>
      </c>
    </row>
    <row r="15" customFormat="false" ht="12.8" hidden="false" customHeight="false" outlineLevel="0" collapsed="false">
      <c r="A15" s="7" t="n">
        <v>13</v>
      </c>
      <c r="B15" s="1" t="n">
        <v>0.77358788110411</v>
      </c>
      <c r="C15" s="1" t="n">
        <v>0.708175167658807</v>
      </c>
    </row>
    <row r="16" customFormat="false" ht="12.8" hidden="false" customHeight="false" outlineLevel="0" collapsed="false">
      <c r="A16" s="7" t="n">
        <v>14</v>
      </c>
      <c r="B16" s="1" t="n">
        <v>0.746401320572344</v>
      </c>
      <c r="C16" s="1" t="n">
        <v>0.598847369877094</v>
      </c>
    </row>
    <row r="17" customFormat="false" ht="12.8" hidden="false" customHeight="false" outlineLevel="0" collapsed="false">
      <c r="A17" s="7" t="n">
        <v>15</v>
      </c>
      <c r="B17" s="1" t="n">
        <v>0.674899879933738</v>
      </c>
      <c r="C17" s="1" t="n">
        <v>0.598448875288242</v>
      </c>
    </row>
    <row r="18" customFormat="false" ht="12.8" hidden="false" customHeight="false" outlineLevel="0" collapsed="false">
      <c r="A18" s="7" t="n">
        <v>16</v>
      </c>
      <c r="B18" s="1" t="n">
        <v>0.749348200599637</v>
      </c>
      <c r="C18" s="1" t="n">
        <v>0.686112684184051</v>
      </c>
    </row>
    <row r="19" customFormat="false" ht="12.8" hidden="false" customHeight="false" outlineLevel="0" collapsed="false">
      <c r="A19" s="7" t="n">
        <v>17</v>
      </c>
      <c r="B19" s="1" t="n">
        <v>0.784507430286035</v>
      </c>
      <c r="C19" s="1" t="n">
        <v>0.656452493829178</v>
      </c>
    </row>
    <row r="20" customFormat="false" ht="12.8" hidden="false" customHeight="false" outlineLevel="0" collapsed="false">
      <c r="A20" s="7" t="n">
        <v>18</v>
      </c>
      <c r="B20" s="1" t="n">
        <v>0.724125949209616</v>
      </c>
      <c r="C20" s="1" t="n">
        <v>0.708590115686799</v>
      </c>
    </row>
    <row r="21" customFormat="false" ht="12.8" hidden="false" customHeight="false" outlineLevel="0" collapsed="false">
      <c r="A21" s="7" t="n">
        <v>19</v>
      </c>
      <c r="B21" s="1" t="n">
        <v>0.749855438872011</v>
      </c>
      <c r="C21" s="1" t="n">
        <v>0.656250234555418</v>
      </c>
    </row>
    <row r="22" customFormat="false" ht="12.8" hidden="false" customHeight="false" outlineLevel="0" collapsed="false">
      <c r="A22" s="7" t="n">
        <v>20</v>
      </c>
      <c r="B22" s="1" t="n">
        <v>0.776729389363219</v>
      </c>
      <c r="C22" s="1" t="n">
        <v>0.766144095586904</v>
      </c>
    </row>
    <row r="23" customFormat="false" ht="12.8" hidden="false" customHeight="false" outlineLevel="0" collapsed="false">
      <c r="A23" s="7" t="n">
        <v>21</v>
      </c>
      <c r="B23" s="1" t="n">
        <v>0.676636427895576</v>
      </c>
      <c r="C23" s="1" t="n">
        <v>0.611673917355993</v>
      </c>
    </row>
    <row r="24" customFormat="false" ht="12.8" hidden="false" customHeight="false" outlineLevel="0" collapsed="false">
      <c r="A24" s="7" t="n">
        <v>22</v>
      </c>
      <c r="B24" s="1" t="n">
        <v>0.72066031750692</v>
      </c>
      <c r="C24" s="1" t="n">
        <v>0.57321383560315</v>
      </c>
    </row>
    <row r="25" customFormat="false" ht="12.8" hidden="false" customHeight="false" outlineLevel="0" collapsed="false">
      <c r="A25" s="7" t="n">
        <v>23</v>
      </c>
      <c r="B25" s="1" t="n">
        <v>0.772455612590151</v>
      </c>
      <c r="C25" s="1" t="n">
        <v>0.46202133657173</v>
      </c>
    </row>
    <row r="26" customFormat="false" ht="12.8" hidden="false" customHeight="false" outlineLevel="0" collapsed="false">
      <c r="A26" s="7" t="n">
        <v>24</v>
      </c>
      <c r="B26" s="1" t="n">
        <v>0.781238004258282</v>
      </c>
      <c r="C26" s="1" t="n">
        <v>0.752686085299576</v>
      </c>
    </row>
    <row r="27" customFormat="false" ht="12.8" hidden="false" customHeight="false" outlineLevel="0" collapsed="false">
      <c r="A27" s="3" t="n">
        <v>25</v>
      </c>
      <c r="B27" s="1" t="n">
        <v>0.693940210865722</v>
      </c>
      <c r="C27" s="1" t="n">
        <v>0.637351019647471</v>
      </c>
    </row>
    <row r="31" customFormat="false" ht="12.8" hidden="false" customHeight="false" outlineLevel="0" collapsed="false">
      <c r="A31" s="1" t="s">
        <v>120</v>
      </c>
    </row>
    <row r="33" customFormat="false" ht="12.8" hidden="false" customHeight="false" outlineLevel="0" collapsed="false">
      <c r="A33" s="10" t="s">
        <v>109</v>
      </c>
      <c r="B33" s="11" t="s">
        <v>121</v>
      </c>
      <c r="C33" s="11" t="s">
        <v>122</v>
      </c>
      <c r="D33" s="11" t="s">
        <v>123</v>
      </c>
      <c r="E33" s="11" t="s">
        <v>110</v>
      </c>
      <c r="F33" s="1" t="s">
        <v>111</v>
      </c>
      <c r="H33" s="12" t="s">
        <v>124</v>
      </c>
    </row>
    <row r="34" customFormat="false" ht="12.8" hidden="false" customHeight="false" outlineLevel="0" collapsed="false">
      <c r="A34" s="7" t="n">
        <v>1</v>
      </c>
      <c r="B34" s="1" t="n">
        <v>0.746899633688936</v>
      </c>
      <c r="C34" s="1" t="n">
        <v>0.753427301803647</v>
      </c>
      <c r="D34" s="1" t="n">
        <v>0.726122663610199</v>
      </c>
      <c r="E34" s="1" t="n">
        <v>0.747843022923881</v>
      </c>
      <c r="F34" s="1" t="n">
        <v>0.771814729489856</v>
      </c>
      <c r="H34" s="1" t="s">
        <v>125</v>
      </c>
      <c r="I34" s="1" t="n">
        <v>0.05</v>
      </c>
    </row>
    <row r="35" customFormat="false" ht="12.8" hidden="false" customHeight="false" outlineLevel="0" collapsed="false">
      <c r="A35" s="7" t="n">
        <v>2</v>
      </c>
      <c r="B35" s="1" t="n">
        <v>0.760440771561493</v>
      </c>
      <c r="C35" s="1" t="n">
        <v>0.765371582562988</v>
      </c>
      <c r="D35" s="1" t="n">
        <v>0.744387965987341</v>
      </c>
      <c r="E35" s="1" t="n">
        <v>0.748104158889568</v>
      </c>
      <c r="F35" s="1" t="n">
        <v>0.585748724447829</v>
      </c>
    </row>
    <row r="36" customFormat="false" ht="12.8" hidden="false" customHeight="false" outlineLevel="0" collapsed="false">
      <c r="A36" s="7" t="n">
        <v>3</v>
      </c>
      <c r="B36" s="1" t="n">
        <v>0.74542610185569</v>
      </c>
      <c r="C36" s="1" t="n">
        <v>0.753068668844285</v>
      </c>
      <c r="D36" s="1" t="n">
        <v>0.722443262715515</v>
      </c>
      <c r="E36" s="1" t="n">
        <v>0.71984400860707</v>
      </c>
      <c r="F36" s="1" t="n">
        <v>0.594422528559652</v>
      </c>
      <c r="H36" s="1" t="s">
        <v>126</v>
      </c>
      <c r="I36" s="1" t="s">
        <v>127</v>
      </c>
      <c r="J36" s="1" t="s">
        <v>128</v>
      </c>
      <c r="K36" s="1" t="s">
        <v>129</v>
      </c>
      <c r="L36" s="1" t="s">
        <v>130</v>
      </c>
    </row>
    <row r="37" customFormat="false" ht="12.8" hidden="false" customHeight="false" outlineLevel="0" collapsed="false">
      <c r="A37" s="7" t="n">
        <v>4</v>
      </c>
      <c r="B37" s="1" t="n">
        <v>0.754518286707164</v>
      </c>
      <c r="C37" s="1" t="n">
        <v>0.733184077559232</v>
      </c>
      <c r="D37" s="1" t="n">
        <v>0.706070089408908</v>
      </c>
      <c r="E37" s="1" t="n">
        <v>0.716086647100763</v>
      </c>
      <c r="F37" s="1" t="n">
        <v>0.60678636857711</v>
      </c>
      <c r="H37" s="1" t="s">
        <v>131</v>
      </c>
      <c r="I37" s="1" t="n">
        <f aca="false">COUNT(inter_system_stats!$B$33:$B$58)</f>
        <v>25</v>
      </c>
      <c r="J37" s="1" t="n">
        <f aca="false">SUM(inter_system_stats!$B$33:$B$58)</f>
        <v>18.5515221795265</v>
      </c>
      <c r="K37" s="1" t="n">
        <f aca="false">AVERAGE(inter_system_stats!$B$33:$B$58)</f>
        <v>0.742060887181061</v>
      </c>
      <c r="L37" s="1" t="n">
        <f aca="false">VAR(inter_system_stats!$B$33:$B$58)</f>
        <v>0.00235702008329509</v>
      </c>
    </row>
    <row r="38" customFormat="false" ht="12.8" hidden="false" customHeight="false" outlineLevel="0" collapsed="false">
      <c r="A38" s="7" t="n">
        <v>5</v>
      </c>
      <c r="B38" s="1" t="n">
        <v>0.818716946973898</v>
      </c>
      <c r="C38" s="1" t="n">
        <v>0.839797661168354</v>
      </c>
      <c r="D38" s="1" t="n">
        <v>0.830465274232832</v>
      </c>
      <c r="E38" s="1" t="n">
        <v>0.762493070097647</v>
      </c>
      <c r="F38" s="1" t="n">
        <v>0.69941561269435</v>
      </c>
      <c r="H38" s="1" t="s">
        <v>132</v>
      </c>
      <c r="I38" s="1" t="n">
        <f aca="false">COUNT(inter_system_stats!$C$33:$C$58)</f>
        <v>25</v>
      </c>
      <c r="J38" s="1" t="n">
        <f aca="false">SUM(inter_system_stats!$C$33:$C$58)</f>
        <v>18.6016324682835</v>
      </c>
      <c r="K38" s="1" t="n">
        <f aca="false">AVERAGE(inter_system_stats!$C$33:$C$58)</f>
        <v>0.744065298731342</v>
      </c>
      <c r="L38" s="1" t="n">
        <f aca="false">VAR(inter_system_stats!$C$33:$C$58)</f>
        <v>0.00248306679412634</v>
      </c>
    </row>
    <row r="39" customFormat="false" ht="12.8" hidden="false" customHeight="false" outlineLevel="0" collapsed="false">
      <c r="A39" s="7" t="n">
        <v>6</v>
      </c>
      <c r="B39" s="1" t="n">
        <v>0.661475371813803</v>
      </c>
      <c r="C39" s="1" t="n">
        <v>0.620764082289514</v>
      </c>
      <c r="D39" s="1" t="n">
        <v>0.639350566619894</v>
      </c>
      <c r="E39" s="1" t="n">
        <v>0.653519592008403</v>
      </c>
      <c r="F39" s="1" t="n">
        <v>0.584983605559223</v>
      </c>
      <c r="H39" s="1" t="s">
        <v>133</v>
      </c>
      <c r="I39" s="1" t="n">
        <f aca="false">COUNT(inter_system_stats!$D$33:$D$58)</f>
        <v>25</v>
      </c>
      <c r="J39" s="1" t="n">
        <f aca="false">SUM(inter_system_stats!$D$33:$D$58)</f>
        <v>18.4586022632347</v>
      </c>
      <c r="K39" s="1" t="n">
        <f aca="false">AVERAGE(inter_system_stats!$D$33:$D$58)</f>
        <v>0.738344090529389</v>
      </c>
      <c r="L39" s="1" t="n">
        <f aca="false">VAR(inter_system_stats!$D$33:$D$58)</f>
        <v>0.00165966408294291</v>
      </c>
    </row>
    <row r="40" customFormat="false" ht="12.8" hidden="false" customHeight="false" outlineLevel="0" collapsed="false">
      <c r="A40" s="7" t="n">
        <v>7</v>
      </c>
      <c r="B40" s="1" t="n">
        <v>0.704831094854699</v>
      </c>
      <c r="C40" s="1" t="n">
        <v>0.708249150690089</v>
      </c>
      <c r="D40" s="1" t="n">
        <v>0.74569214122826</v>
      </c>
      <c r="E40" s="1" t="n">
        <v>0.719750136805701</v>
      </c>
      <c r="F40" s="1" t="n">
        <v>0.523434497974195</v>
      </c>
      <c r="H40" s="1" t="s">
        <v>134</v>
      </c>
      <c r="I40" s="1" t="n">
        <f aca="false">COUNT(inter_system_stats!$E$33:$E$58)</f>
        <v>25</v>
      </c>
      <c r="J40" s="1" t="n">
        <f aca="false">SUM(inter_system_stats!$E$33:$E$58)</f>
        <v>18.5143255798284</v>
      </c>
      <c r="K40" s="1" t="n">
        <f aca="false">AVERAGE(inter_system_stats!$E$33:$E$58)</f>
        <v>0.740573023193135</v>
      </c>
      <c r="L40" s="1" t="n">
        <f aca="false">VAR(inter_system_stats!$E$33:$E$58)</f>
        <v>0.00161322669734678</v>
      </c>
    </row>
    <row r="41" customFormat="false" ht="12.8" hidden="false" customHeight="false" outlineLevel="0" collapsed="false">
      <c r="A41" s="7" t="n">
        <v>8</v>
      </c>
      <c r="B41" s="1" t="n">
        <v>0.775445669459668</v>
      </c>
      <c r="C41" s="1" t="n">
        <v>0.81183171273243</v>
      </c>
      <c r="D41" s="1" t="n">
        <v>0.777583698300188</v>
      </c>
      <c r="E41" s="1" t="n">
        <v>0.778318129572334</v>
      </c>
      <c r="F41" s="1" t="n">
        <v>0.733177377705096</v>
      </c>
    </row>
    <row r="42" customFormat="false" ht="12.8" hidden="false" customHeight="false" outlineLevel="0" collapsed="false">
      <c r="A42" s="7" t="n">
        <v>9</v>
      </c>
      <c r="B42" s="1" t="n">
        <v>0.734922592013555</v>
      </c>
      <c r="C42" s="1" t="n">
        <v>0.717889791117422</v>
      </c>
      <c r="D42" s="1" t="n">
        <v>0.716221981108389</v>
      </c>
      <c r="E42" s="1" t="n">
        <v>0.742397408036601</v>
      </c>
      <c r="F42" s="1" t="n">
        <v>0.623029352644154</v>
      </c>
      <c r="H42" s="1" t="s">
        <v>135</v>
      </c>
      <c r="I42" s="1" t="s">
        <v>136</v>
      </c>
      <c r="J42" s="1" t="s">
        <v>137</v>
      </c>
      <c r="K42" s="1" t="s">
        <v>138</v>
      </c>
      <c r="L42" s="1" t="s">
        <v>139</v>
      </c>
      <c r="M42" s="1" t="s">
        <v>140</v>
      </c>
      <c r="N42" s="1" t="s">
        <v>141</v>
      </c>
    </row>
    <row r="43" customFormat="false" ht="12.8" hidden="false" customHeight="false" outlineLevel="0" collapsed="false">
      <c r="A43" s="7" t="n">
        <v>10</v>
      </c>
      <c r="B43" s="1" t="n">
        <v>0.809553468856414</v>
      </c>
      <c r="C43" s="1" t="n">
        <v>0.82670674249406</v>
      </c>
      <c r="D43" s="1" t="n">
        <v>0.789490175348179</v>
      </c>
      <c r="E43" s="1" t="n">
        <v>0.83322558385751</v>
      </c>
      <c r="F43" s="1" t="n">
        <v>0.569126443983933</v>
      </c>
      <c r="H43" s="1" t="s">
        <v>142</v>
      </c>
      <c r="I43" s="1" t="n">
        <f aca="false">SUMPRODUCT(inter_system_stats!$J$37:$J$40,inter_system_stats!$K$37:$K$40)-SUM(inter_system_stats!$J$37:$J$40)^2/SUM(inter_system_stats!$I$37:$I$40)</f>
        <v>0.000437139592527558</v>
      </c>
      <c r="J43" s="1" t="n">
        <f aca="false">COUNT(inter_system_stats!$J$37:$J$40)-1</f>
        <v>3</v>
      </c>
      <c r="K43" s="1" t="n">
        <f aca="false">inter_system_stats!$I$43 / inter_system_stats!$J$43</f>
        <v>0.000145713197509186</v>
      </c>
      <c r="L43" s="1" t="n">
        <f aca="false">inter_system_stats!$K$43 / inter_system_stats!$K$44</f>
        <v>0.0718420307102363</v>
      </c>
      <c r="M43" s="1" t="n">
        <f aca="false">FDIST(inter_system_stats!$L$43, inter_system_stats!$J$43, inter_system_stats!$J$44)</f>
        <v>0.974899215234126</v>
      </c>
      <c r="N43" s="1" t="n">
        <f aca="false">FINV(inter_system_stats!$I$34, inter_system_stats!$J$43, inter_system_stats!$J$44)</f>
        <v>2.69939259755218</v>
      </c>
    </row>
    <row r="44" customFormat="false" ht="12.8" hidden="false" customHeight="false" outlineLevel="0" collapsed="false">
      <c r="A44" s="7" t="n">
        <v>11</v>
      </c>
      <c r="B44" s="1" t="n">
        <v>0.736193634280327</v>
      </c>
      <c r="C44" s="1" t="n">
        <v>0.751587201916451</v>
      </c>
      <c r="D44" s="1" t="n">
        <v>0.737754806838827</v>
      </c>
      <c r="E44" s="1" t="n">
        <v>0.717525615290775</v>
      </c>
      <c r="F44" s="1" t="n">
        <v>0.712616848746921</v>
      </c>
      <c r="H44" s="1" t="s">
        <v>143</v>
      </c>
      <c r="I44" s="1" t="n">
        <f aca="false">SUM(DEVSQ(inter_system_stats!$B$33:$B$58),DEVSQ(inter_system_stats!$C$33:$C$58),DEVSQ(inter_system_stats!$D$33:$D$58),DEVSQ(inter_system_stats!$E$33:$E$58))</f>
        <v>0.194711463785067</v>
      </c>
      <c r="J44" s="1" t="n">
        <f aca="false">SUM(inter_system_stats!$I$37:$I$40)-COUNT(inter_system_stats!$I$37:$I$40)</f>
        <v>96</v>
      </c>
      <c r="K44" s="1" t="n">
        <f aca="false">inter_system_stats!$I$44 / inter_system_stats!$J$44</f>
        <v>0.00202824441442778</v>
      </c>
    </row>
    <row r="45" customFormat="false" ht="12.8" hidden="false" customHeight="false" outlineLevel="0" collapsed="false">
      <c r="A45" s="7" t="n">
        <v>12</v>
      </c>
      <c r="B45" s="1" t="n">
        <v>0.760450688692101</v>
      </c>
      <c r="C45" s="1" t="n">
        <v>0.767576286083638</v>
      </c>
      <c r="D45" s="1" t="n">
        <v>0.746932692465765</v>
      </c>
      <c r="E45" s="1" t="n">
        <v>0.750832143580771</v>
      </c>
      <c r="F45" s="1" t="n">
        <v>0.623994668934615</v>
      </c>
      <c r="H45" s="1" t="s">
        <v>144</v>
      </c>
      <c r="I45" s="1" t="n">
        <f aca="false">DEVSQ(inter_system_stats!$B$33:$B$58,inter_system_stats!$C$33:$C$58,inter_system_stats!$D$33:$D$58,inter_system_stats!$E$33:$E$58)</f>
        <v>0.19514860337759</v>
      </c>
      <c r="J45" s="1" t="n">
        <f aca="false">SUM(inter_system_stats!$I$37:$I$40) - 1</f>
        <v>99</v>
      </c>
    </row>
    <row r="46" customFormat="false" ht="12.8" hidden="false" customHeight="false" outlineLevel="0" collapsed="false">
      <c r="A46" s="7" t="n">
        <v>13</v>
      </c>
      <c r="B46" s="1" t="n">
        <v>0.783417145572671</v>
      </c>
      <c r="C46" s="1" t="n">
        <v>0.77472229763671</v>
      </c>
      <c r="D46" s="1" t="n">
        <v>0.743211804362939</v>
      </c>
      <c r="E46" s="1" t="n">
        <v>0.77358788110411</v>
      </c>
      <c r="F46" s="1" t="n">
        <v>0.708175167658807</v>
      </c>
    </row>
    <row r="47" customFormat="false" ht="12.8" hidden="false" customHeight="false" outlineLevel="0" collapsed="false">
      <c r="A47" s="7" t="n">
        <v>14</v>
      </c>
      <c r="B47" s="1" t="n">
        <v>0.736351406600312</v>
      </c>
      <c r="C47" s="1" t="n">
        <v>0.714363998847527</v>
      </c>
      <c r="D47" s="1" t="n">
        <v>0.753566163309058</v>
      </c>
      <c r="E47" s="1" t="n">
        <v>0.746401320572344</v>
      </c>
      <c r="F47" s="1" t="n">
        <v>0.598847369877094</v>
      </c>
    </row>
    <row r="48" customFormat="false" ht="12.8" hidden="false" customHeight="false" outlineLevel="0" collapsed="false">
      <c r="A48" s="7" t="n">
        <v>15</v>
      </c>
      <c r="B48" s="1" t="n">
        <v>0.695164645499178</v>
      </c>
      <c r="C48" s="1" t="n">
        <v>0.714429881453235</v>
      </c>
      <c r="D48" s="1" t="n">
        <v>0.679573608456161</v>
      </c>
      <c r="E48" s="1" t="n">
        <v>0.674899879933738</v>
      </c>
      <c r="F48" s="1" t="n">
        <v>0.598448875288242</v>
      </c>
      <c r="H48" s="12" t="s">
        <v>124</v>
      </c>
    </row>
    <row r="49" customFormat="false" ht="12.8" hidden="false" customHeight="false" outlineLevel="0" collapsed="false">
      <c r="A49" s="7" t="n">
        <v>16</v>
      </c>
      <c r="B49" s="1" t="n">
        <v>0.753663706301646</v>
      </c>
      <c r="C49" s="1" t="n">
        <v>0.730575330250292</v>
      </c>
      <c r="D49" s="1" t="n">
        <v>0.732606769576746</v>
      </c>
      <c r="E49" s="1" t="n">
        <v>0.749348200599637</v>
      </c>
      <c r="F49" s="1" t="n">
        <v>0.686112684184051</v>
      </c>
      <c r="H49" s="1" t="s">
        <v>125</v>
      </c>
      <c r="I49" s="1" t="n">
        <v>0.05</v>
      </c>
    </row>
    <row r="50" customFormat="false" ht="12.8" hidden="false" customHeight="false" outlineLevel="0" collapsed="false">
      <c r="A50" s="7" t="n">
        <v>17</v>
      </c>
      <c r="B50" s="1" t="n">
        <v>0.75925493365687</v>
      </c>
      <c r="C50" s="1" t="n">
        <v>0.731767373432006</v>
      </c>
      <c r="D50" s="1" t="n">
        <v>0.750546686660056</v>
      </c>
      <c r="E50" s="1" t="n">
        <v>0.784507430286035</v>
      </c>
      <c r="F50" s="1" t="n">
        <v>0.656452493829178</v>
      </c>
    </row>
    <row r="51" customFormat="false" ht="12.8" hidden="false" customHeight="false" outlineLevel="0" collapsed="false">
      <c r="A51" s="7" t="n">
        <v>18</v>
      </c>
      <c r="B51" s="1" t="n">
        <v>0.744001794349238</v>
      </c>
      <c r="C51" s="1" t="n">
        <v>0.715924581106966</v>
      </c>
      <c r="D51" s="1" t="n">
        <v>0.737646756450336</v>
      </c>
      <c r="E51" s="1" t="n">
        <v>0.724125949209616</v>
      </c>
      <c r="F51" s="1" t="n">
        <v>0.708590115686799</v>
      </c>
      <c r="H51" s="1" t="s">
        <v>126</v>
      </c>
      <c r="I51" s="1" t="s">
        <v>127</v>
      </c>
      <c r="J51" s="1" t="s">
        <v>128</v>
      </c>
      <c r="K51" s="1" t="s">
        <v>129</v>
      </c>
      <c r="L51" s="1" t="s">
        <v>130</v>
      </c>
    </row>
    <row r="52" customFormat="false" ht="12.8" hidden="false" customHeight="false" outlineLevel="0" collapsed="false">
      <c r="A52" s="7" t="n">
        <v>19</v>
      </c>
      <c r="B52" s="1" t="n">
        <v>0.777745722291328</v>
      </c>
      <c r="C52" s="1" t="n">
        <v>0.781932724966578</v>
      </c>
      <c r="D52" s="1" t="n">
        <v>0.770786882499805</v>
      </c>
      <c r="E52" s="1" t="n">
        <v>0.749855438872011</v>
      </c>
      <c r="F52" s="1" t="n">
        <v>0.656250234555418</v>
      </c>
      <c r="H52" s="1" t="s">
        <v>131</v>
      </c>
      <c r="I52" s="1" t="n">
        <f aca="false">COUNT(inter_system_stats!$B$33:$B$58)</f>
        <v>25</v>
      </c>
      <c r="J52" s="1" t="n">
        <f aca="false">SUM(inter_system_stats!$B$33:$B$58)</f>
        <v>18.5515221795265</v>
      </c>
      <c r="K52" s="1" t="n">
        <f aca="false">AVERAGE(inter_system_stats!$B$33:$B$58)</f>
        <v>0.742060887181061</v>
      </c>
      <c r="L52" s="1" t="n">
        <f aca="false">VAR(inter_system_stats!$B$33:$B$58)</f>
        <v>0.00235702008329509</v>
      </c>
    </row>
    <row r="53" customFormat="false" ht="12.8" hidden="false" customHeight="false" outlineLevel="0" collapsed="false">
      <c r="A53" s="7" t="n">
        <v>20</v>
      </c>
      <c r="B53" s="1" t="n">
        <v>0.784404877175123</v>
      </c>
      <c r="C53" s="1" t="n">
        <v>0.770211516204908</v>
      </c>
      <c r="D53" s="1" t="n">
        <v>0.749337452437493</v>
      </c>
      <c r="E53" s="1" t="n">
        <v>0.776729389363219</v>
      </c>
      <c r="F53" s="1" t="n">
        <v>0.766144095586904</v>
      </c>
      <c r="H53" s="1" t="s">
        <v>132</v>
      </c>
      <c r="I53" s="1" t="n">
        <f aca="false">COUNT(inter_system_stats!$C$33:$C$58)</f>
        <v>25</v>
      </c>
      <c r="J53" s="1" t="n">
        <f aca="false">SUM(inter_system_stats!$C$33:$C$58)</f>
        <v>18.6016324682835</v>
      </c>
      <c r="K53" s="1" t="n">
        <f aca="false">AVERAGE(inter_system_stats!$C$33:$C$58)</f>
        <v>0.744065298731342</v>
      </c>
      <c r="L53" s="1" t="n">
        <f aca="false">VAR(inter_system_stats!$C$33:$C$58)</f>
        <v>0.00248306679412634</v>
      </c>
    </row>
    <row r="54" customFormat="false" ht="12.8" hidden="false" customHeight="false" outlineLevel="0" collapsed="false">
      <c r="A54" s="7" t="n">
        <v>21</v>
      </c>
      <c r="B54" s="1" t="n">
        <v>0.646558702401536</v>
      </c>
      <c r="C54" s="1" t="n">
        <v>0.65642930221378</v>
      </c>
      <c r="D54" s="1" t="n">
        <v>0.676604991476922</v>
      </c>
      <c r="E54" s="1" t="n">
        <v>0.676636427895576</v>
      </c>
      <c r="F54" s="1" t="n">
        <v>0.611673917355993</v>
      </c>
      <c r="H54" s="1" t="s">
        <v>133</v>
      </c>
      <c r="I54" s="1" t="n">
        <f aca="false">COUNT(inter_system_stats!$D$33:$D$58)</f>
        <v>25</v>
      </c>
      <c r="J54" s="1" t="n">
        <f aca="false">SUM(inter_system_stats!$D$33:$D$58)</f>
        <v>18.4586022632347</v>
      </c>
      <c r="K54" s="1" t="n">
        <f aca="false">AVERAGE(inter_system_stats!$D$33:$D$58)</f>
        <v>0.738344090529389</v>
      </c>
      <c r="L54" s="1" t="n">
        <f aca="false">VAR(inter_system_stats!$D$33:$D$58)</f>
        <v>0.00165966408294291</v>
      </c>
    </row>
    <row r="55" customFormat="false" ht="12.8" hidden="false" customHeight="false" outlineLevel="0" collapsed="false">
      <c r="A55" s="7" t="n">
        <v>22</v>
      </c>
      <c r="B55" s="1" t="n">
        <v>0.64627244396815</v>
      </c>
      <c r="C55" s="1" t="n">
        <v>0.699675260395181</v>
      </c>
      <c r="D55" s="1" t="n">
        <v>0.690049864977458</v>
      </c>
      <c r="E55" s="1" t="n">
        <v>0.72066031750692</v>
      </c>
      <c r="F55" s="1" t="n">
        <v>0.57321383560315</v>
      </c>
      <c r="H55" s="1" t="s">
        <v>134</v>
      </c>
      <c r="I55" s="1" t="n">
        <f aca="false">COUNT(inter_system_stats!$E$33:$E$58)</f>
        <v>25</v>
      </c>
      <c r="J55" s="1" t="n">
        <f aca="false">SUM(inter_system_stats!$E$33:$E$58)</f>
        <v>18.5143255798284</v>
      </c>
      <c r="K55" s="1" t="n">
        <f aca="false">AVERAGE(inter_system_stats!$E$33:$E$58)</f>
        <v>0.740573023193135</v>
      </c>
      <c r="L55" s="1" t="n">
        <f aca="false">VAR(inter_system_stats!$E$33:$E$58)</f>
        <v>0.00161322669734678</v>
      </c>
    </row>
    <row r="56" customFormat="false" ht="12.8" hidden="false" customHeight="false" outlineLevel="0" collapsed="false">
      <c r="A56" s="7" t="n">
        <v>23</v>
      </c>
      <c r="B56" s="1" t="n">
        <v>0.72738343602134</v>
      </c>
      <c r="C56" s="1" t="n">
        <v>0.736340390593237</v>
      </c>
      <c r="D56" s="1" t="n">
        <v>0.758614453242321</v>
      </c>
      <c r="E56" s="1" t="n">
        <v>0.772455612590151</v>
      </c>
      <c r="F56" s="1" t="n">
        <v>0.46202133657173</v>
      </c>
      <c r="H56" s="1" t="s">
        <v>145</v>
      </c>
      <c r="I56" s="1" t="n">
        <f aca="false">COUNT(inter_system_stats!$F$33:$F$58)</f>
        <v>25</v>
      </c>
      <c r="J56" s="1" t="n">
        <f aca="false">SUM(inter_system_stats!$F$33:$F$58)</f>
        <v>16.0445179904613</v>
      </c>
      <c r="K56" s="1" t="n">
        <f aca="false">AVERAGE(inter_system_stats!$F$33:$F$58)</f>
        <v>0.641780719618454</v>
      </c>
      <c r="L56" s="1" t="n">
        <f aca="false">VAR(inter_system_stats!$F$33:$F$58)</f>
        <v>0.00600319977557863</v>
      </c>
    </row>
    <row r="57" customFormat="false" ht="12.8" hidden="false" customHeight="false" outlineLevel="0" collapsed="false">
      <c r="A57" s="7" t="n">
        <v>24</v>
      </c>
      <c r="B57" s="1" t="n">
        <v>0.81572575422772</v>
      </c>
      <c r="C57" s="1" t="n">
        <v>0.808304244936902</v>
      </c>
      <c r="D57" s="1" t="n">
        <v>0.798835137250553</v>
      </c>
      <c r="E57" s="1" t="n">
        <v>0.781238004258282</v>
      </c>
      <c r="F57" s="1" t="n">
        <v>0.752686085299576</v>
      </c>
    </row>
    <row r="58" customFormat="false" ht="12.8" hidden="false" customHeight="false" outlineLevel="0" collapsed="false">
      <c r="A58" s="3" t="n">
        <v>25</v>
      </c>
      <c r="B58" s="1" t="n">
        <v>0.672703350703668</v>
      </c>
      <c r="C58" s="1" t="n">
        <v>0.717501306984114</v>
      </c>
      <c r="D58" s="1" t="n">
        <v>0.734706374670589</v>
      </c>
      <c r="E58" s="1" t="n">
        <v>0.693940210865722</v>
      </c>
      <c r="F58" s="1" t="n">
        <v>0.637351019647471</v>
      </c>
      <c r="H58" s="1" t="s">
        <v>135</v>
      </c>
      <c r="I58" s="1" t="s">
        <v>136</v>
      </c>
      <c r="J58" s="1" t="s">
        <v>137</v>
      </c>
      <c r="K58" s="1" t="s">
        <v>138</v>
      </c>
      <c r="L58" s="1" t="s">
        <v>139</v>
      </c>
      <c r="M58" s="1" t="s">
        <v>140</v>
      </c>
      <c r="N58" s="1" t="s">
        <v>141</v>
      </c>
    </row>
    <row r="59" customFormat="false" ht="12.8" hidden="false" customHeight="false" outlineLevel="0" collapsed="false">
      <c r="H59" s="1" t="s">
        <v>142</v>
      </c>
      <c r="I59" s="1" t="n">
        <f aca="false">SUMPRODUCT(inter_system_stats!$J$52:$J$56,inter_system_stats!$K$52:$K$56)-SUM(inter_system_stats!$J$52:$J$56)^2/SUM(inter_system_stats!$I$52:$I$56)</f>
        <v>0.198362966563835</v>
      </c>
      <c r="J59" s="1" t="n">
        <f aca="false">COUNT(inter_system_stats!$J$52:$J$56)-1</f>
        <v>4</v>
      </c>
      <c r="K59" s="1" t="n">
        <f aca="false">inter_system_stats!$I$59 / inter_system_stats!$J$59</f>
        <v>0.0495907416409587</v>
      </c>
      <c r="L59" s="1" t="n">
        <f aca="false">inter_system_stats!$K$59 / inter_system_stats!$K$60</f>
        <v>17.5652161767287</v>
      </c>
      <c r="M59" s="1" t="n">
        <f aca="false">FDIST(inter_system_stats!$L$59, inter_system_stats!$J$59, inter_system_stats!$J$60)</f>
        <v>2.26252411008829E-011</v>
      </c>
      <c r="N59" s="1" t="n">
        <f aca="false">FINV(inter_system_stats!$I$49, inter_system_stats!$J$59, inter_system_stats!$J$60)</f>
        <v>2.4472365114693</v>
      </c>
    </row>
    <row r="60" customFormat="false" ht="12.8" hidden="false" customHeight="false" outlineLevel="0" collapsed="false">
      <c r="H60" s="1" t="s">
        <v>143</v>
      </c>
      <c r="I60" s="1" t="n">
        <f aca="false">SUM(DEVSQ(inter_system_stats!$B$33:$B$58),DEVSQ(inter_system_stats!$C$33:$C$58),DEVSQ(inter_system_stats!$D$33:$D$58),DEVSQ(inter_system_stats!$E$33:$E$58),DEVSQ(inter_system_stats!$F$33:$F$58))</f>
        <v>0.338788258398954</v>
      </c>
      <c r="J60" s="1" t="n">
        <f aca="false">SUM(inter_system_stats!$I$52:$I$56)-COUNT(inter_system_stats!$I$52:$I$56)</f>
        <v>120</v>
      </c>
      <c r="K60" s="1" t="n">
        <f aca="false">inter_system_stats!$I$60 / inter_system_stats!$J$60</f>
        <v>0.00282323548665795</v>
      </c>
    </row>
    <row r="61" customFormat="false" ht="12.8" hidden="false" customHeight="false" outlineLevel="0" collapsed="false">
      <c r="H61" s="1" t="s">
        <v>144</v>
      </c>
      <c r="I61" s="1" t="n">
        <f aca="false">DEVSQ(inter_system_stats!$B$33:$B$58,inter_system_stats!$C$33:$C$58,inter_system_stats!$D$33:$D$58,inter_system_stats!$E$33:$E$58,inter_system_stats!$F$33:$F$58)</f>
        <v>0.537151224962773</v>
      </c>
      <c r="J61" s="1" t="n">
        <f aca="false">SUM(inter_system_stats!$I$52:$I$56) - 1</f>
        <v>124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true" showRowColHeaders="true" showZeros="true" rightToLeft="false" tabSelected="true" showOutlineSymbols="true" defaultGridColor="true" view="normal" topLeftCell="A29" colorId="64" zoomScale="125" zoomScaleNormal="125" zoomScalePageLayoutView="100" workbookViewId="0">
      <selection pane="topLeft" activeCell="G30" activeCellId="0" sqref="G30:J31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5" min="2" style="0" width="19.71"/>
  </cols>
  <sheetData>
    <row r="2" customFormat="false" ht="12.8" hidden="false" customHeight="false" outlineLevel="0" collapsed="false">
      <c r="B2" s="11" t="s">
        <v>121</v>
      </c>
      <c r="C2" s="11" t="s">
        <v>122</v>
      </c>
      <c r="D2" s="11" t="s">
        <v>123</v>
      </c>
      <c r="E2" s="11" t="s">
        <v>110</v>
      </c>
    </row>
    <row r="3" customFormat="false" ht="12.8" hidden="false" customHeight="false" outlineLevel="0" collapsed="false">
      <c r="B3" s="1" t="n">
        <v>0.746899633688936</v>
      </c>
      <c r="C3" s="1" t="n">
        <v>0.753427301803647</v>
      </c>
      <c r="D3" s="1" t="n">
        <v>0.726122663610199</v>
      </c>
      <c r="E3" s="1" t="n">
        <v>0.747843022923881</v>
      </c>
    </row>
    <row r="4" customFormat="false" ht="12.8" hidden="false" customHeight="false" outlineLevel="0" collapsed="false">
      <c r="B4" s="1" t="n">
        <v>0.760440771561493</v>
      </c>
      <c r="C4" s="1" t="n">
        <v>0.765371582562988</v>
      </c>
      <c r="D4" s="1" t="n">
        <v>0.744387965987341</v>
      </c>
      <c r="E4" s="1" t="n">
        <v>0.748104158889568</v>
      </c>
    </row>
    <row r="5" customFormat="false" ht="12.8" hidden="false" customHeight="false" outlineLevel="0" collapsed="false">
      <c r="B5" s="1" t="n">
        <v>0.74542610185569</v>
      </c>
      <c r="C5" s="1" t="n">
        <v>0.753068668844285</v>
      </c>
      <c r="D5" s="1" t="n">
        <v>0.722443262715515</v>
      </c>
      <c r="E5" s="1" t="n">
        <v>0.71984400860707</v>
      </c>
    </row>
    <row r="6" customFormat="false" ht="12.8" hidden="false" customHeight="false" outlineLevel="0" collapsed="false">
      <c r="B6" s="1" t="n">
        <v>0.754518286707164</v>
      </c>
      <c r="C6" s="1" t="n">
        <v>0.733184077559232</v>
      </c>
      <c r="D6" s="1" t="n">
        <v>0.706070089408908</v>
      </c>
      <c r="E6" s="1" t="n">
        <v>0.716086647100763</v>
      </c>
    </row>
    <row r="7" customFormat="false" ht="12.8" hidden="false" customHeight="false" outlineLevel="0" collapsed="false">
      <c r="B7" s="1" t="n">
        <v>0.818716946973898</v>
      </c>
      <c r="C7" s="1" t="n">
        <v>0.839797661168354</v>
      </c>
      <c r="D7" s="1" t="n">
        <v>0.830465274232832</v>
      </c>
      <c r="E7" s="1" t="n">
        <v>0.762493070097647</v>
      </c>
    </row>
    <row r="8" customFormat="false" ht="12.8" hidden="false" customHeight="false" outlineLevel="0" collapsed="false">
      <c r="B8" s="1" t="n">
        <v>0.661475371813803</v>
      </c>
      <c r="C8" s="1" t="n">
        <v>0.620764082289514</v>
      </c>
      <c r="D8" s="1" t="n">
        <v>0.639350566619894</v>
      </c>
      <c r="E8" s="1" t="n">
        <v>0.653519592008403</v>
      </c>
    </row>
    <row r="9" customFormat="false" ht="12.8" hidden="false" customHeight="false" outlineLevel="0" collapsed="false">
      <c r="B9" s="1" t="n">
        <v>0.704831094854699</v>
      </c>
      <c r="C9" s="1" t="n">
        <v>0.708249150690089</v>
      </c>
      <c r="D9" s="1" t="n">
        <v>0.74569214122826</v>
      </c>
      <c r="E9" s="1" t="n">
        <v>0.719750136805701</v>
      </c>
    </row>
    <row r="10" customFormat="false" ht="12.8" hidden="false" customHeight="false" outlineLevel="0" collapsed="false">
      <c r="B10" s="1" t="n">
        <v>0.775445669459668</v>
      </c>
      <c r="C10" s="1" t="n">
        <v>0.81183171273243</v>
      </c>
      <c r="D10" s="1" t="n">
        <v>0.777583698300188</v>
      </c>
      <c r="E10" s="1" t="n">
        <v>0.778318129572334</v>
      </c>
    </row>
    <row r="11" customFormat="false" ht="12.8" hidden="false" customHeight="false" outlineLevel="0" collapsed="false">
      <c r="B11" s="1" t="n">
        <v>0.734922592013555</v>
      </c>
      <c r="C11" s="1" t="n">
        <v>0.717889791117422</v>
      </c>
      <c r="D11" s="1" t="n">
        <v>0.716221981108389</v>
      </c>
      <c r="E11" s="1" t="n">
        <v>0.742397408036601</v>
      </c>
    </row>
    <row r="12" customFormat="false" ht="12.8" hidden="false" customHeight="false" outlineLevel="0" collapsed="false">
      <c r="B12" s="1" t="n">
        <v>0.809553468856414</v>
      </c>
      <c r="C12" s="1" t="n">
        <v>0.82670674249406</v>
      </c>
      <c r="D12" s="1" t="n">
        <v>0.789490175348179</v>
      </c>
      <c r="E12" s="1" t="n">
        <v>0.83322558385751</v>
      </c>
    </row>
    <row r="13" customFormat="false" ht="12.8" hidden="false" customHeight="false" outlineLevel="0" collapsed="false">
      <c r="B13" s="1" t="n">
        <v>0.736193634280327</v>
      </c>
      <c r="C13" s="1" t="n">
        <v>0.751587201916451</v>
      </c>
      <c r="D13" s="1" t="n">
        <v>0.737754806838827</v>
      </c>
      <c r="E13" s="1" t="n">
        <v>0.717525615290775</v>
      </c>
    </row>
    <row r="14" customFormat="false" ht="12.8" hidden="false" customHeight="false" outlineLevel="0" collapsed="false">
      <c r="B14" s="1" t="n">
        <v>0.760450688692101</v>
      </c>
      <c r="C14" s="1" t="n">
        <v>0.767576286083638</v>
      </c>
      <c r="D14" s="1" t="n">
        <v>0.746932692465765</v>
      </c>
      <c r="E14" s="1" t="n">
        <v>0.750832143580771</v>
      </c>
    </row>
    <row r="15" customFormat="false" ht="12.8" hidden="false" customHeight="false" outlineLevel="0" collapsed="false">
      <c r="B15" s="1" t="n">
        <v>0.783417145572671</v>
      </c>
      <c r="C15" s="1" t="n">
        <v>0.77472229763671</v>
      </c>
      <c r="D15" s="1" t="n">
        <v>0.743211804362939</v>
      </c>
      <c r="E15" s="1" t="n">
        <v>0.77358788110411</v>
      </c>
    </row>
    <row r="16" customFormat="false" ht="12.8" hidden="false" customHeight="false" outlineLevel="0" collapsed="false">
      <c r="B16" s="1" t="n">
        <v>0.736351406600312</v>
      </c>
      <c r="C16" s="1" t="n">
        <v>0.714363998847527</v>
      </c>
      <c r="D16" s="1" t="n">
        <v>0.753566163309058</v>
      </c>
      <c r="E16" s="1" t="n">
        <v>0.746401320572344</v>
      </c>
    </row>
    <row r="17" customFormat="false" ht="12.8" hidden="false" customHeight="false" outlineLevel="0" collapsed="false">
      <c r="B17" s="1" t="n">
        <v>0.695164645499178</v>
      </c>
      <c r="C17" s="1" t="n">
        <v>0.714429881453235</v>
      </c>
      <c r="D17" s="1" t="n">
        <v>0.679573608456161</v>
      </c>
      <c r="E17" s="1" t="n">
        <v>0.674899879933738</v>
      </c>
    </row>
    <row r="18" customFormat="false" ht="12.8" hidden="false" customHeight="false" outlineLevel="0" collapsed="false">
      <c r="B18" s="1" t="n">
        <v>0.753663706301646</v>
      </c>
      <c r="C18" s="1" t="n">
        <v>0.730575330250292</v>
      </c>
      <c r="D18" s="1" t="n">
        <v>0.732606769576746</v>
      </c>
      <c r="E18" s="1" t="n">
        <v>0.749348200599637</v>
      </c>
    </row>
    <row r="19" customFormat="false" ht="12.8" hidden="false" customHeight="false" outlineLevel="0" collapsed="false">
      <c r="B19" s="1" t="n">
        <v>0.75925493365687</v>
      </c>
      <c r="C19" s="1" t="n">
        <v>0.731767373432006</v>
      </c>
      <c r="D19" s="1" t="n">
        <v>0.750546686660056</v>
      </c>
      <c r="E19" s="1" t="n">
        <v>0.784507430286035</v>
      </c>
    </row>
    <row r="20" customFormat="false" ht="12.8" hidden="false" customHeight="false" outlineLevel="0" collapsed="false">
      <c r="B20" s="1" t="n">
        <v>0.744001794349238</v>
      </c>
      <c r="C20" s="1" t="n">
        <v>0.715924581106966</v>
      </c>
      <c r="D20" s="1" t="n">
        <v>0.737646756450336</v>
      </c>
      <c r="E20" s="1" t="n">
        <v>0.724125949209616</v>
      </c>
    </row>
    <row r="21" customFormat="false" ht="12.8" hidden="false" customHeight="false" outlineLevel="0" collapsed="false">
      <c r="B21" s="1" t="n">
        <v>0.777745722291328</v>
      </c>
      <c r="C21" s="1" t="n">
        <v>0.781932724966578</v>
      </c>
      <c r="D21" s="1" t="n">
        <v>0.770786882499805</v>
      </c>
      <c r="E21" s="1" t="n">
        <v>0.749855438872011</v>
      </c>
    </row>
    <row r="22" customFormat="false" ht="12.8" hidden="false" customHeight="false" outlineLevel="0" collapsed="false">
      <c r="B22" s="1" t="n">
        <v>0.784404877175123</v>
      </c>
      <c r="C22" s="1" t="n">
        <v>0.770211516204908</v>
      </c>
      <c r="D22" s="1" t="n">
        <v>0.749337452437493</v>
      </c>
      <c r="E22" s="1" t="n">
        <v>0.776729389363219</v>
      </c>
    </row>
    <row r="23" customFormat="false" ht="12.8" hidden="false" customHeight="false" outlineLevel="0" collapsed="false">
      <c r="B23" s="1" t="n">
        <v>0.646558702401536</v>
      </c>
      <c r="C23" s="1" t="n">
        <v>0.65642930221378</v>
      </c>
      <c r="D23" s="1" t="n">
        <v>0.676604991476922</v>
      </c>
      <c r="E23" s="1" t="n">
        <v>0.676636427895576</v>
      </c>
    </row>
    <row r="24" customFormat="false" ht="12.8" hidden="false" customHeight="false" outlineLevel="0" collapsed="false">
      <c r="B24" s="1" t="n">
        <v>0.64627244396815</v>
      </c>
      <c r="C24" s="1" t="n">
        <v>0.699675260395181</v>
      </c>
      <c r="D24" s="1" t="n">
        <v>0.690049864977458</v>
      </c>
      <c r="E24" s="1" t="n">
        <v>0.72066031750692</v>
      </c>
    </row>
    <row r="25" customFormat="false" ht="12.8" hidden="false" customHeight="false" outlineLevel="0" collapsed="false">
      <c r="B25" s="1" t="n">
        <v>0.72738343602134</v>
      </c>
      <c r="C25" s="1" t="n">
        <v>0.736340390593237</v>
      </c>
      <c r="D25" s="1" t="n">
        <v>0.758614453242321</v>
      </c>
      <c r="E25" s="1" t="n">
        <v>0.772455612590151</v>
      </c>
    </row>
    <row r="26" customFormat="false" ht="12.8" hidden="false" customHeight="false" outlineLevel="0" collapsed="false">
      <c r="B26" s="1" t="n">
        <v>0.81572575422772</v>
      </c>
      <c r="C26" s="1" t="n">
        <v>0.808304244936902</v>
      </c>
      <c r="D26" s="1" t="n">
        <v>0.798835137250553</v>
      </c>
      <c r="E26" s="1" t="n">
        <v>0.781238004258282</v>
      </c>
    </row>
    <row r="27" customFormat="false" ht="12.8" hidden="false" customHeight="false" outlineLevel="0" collapsed="false">
      <c r="B27" s="1" t="n">
        <v>0.672703350703668</v>
      </c>
      <c r="C27" s="1" t="n">
        <v>0.717501306984114</v>
      </c>
      <c r="D27" s="1" t="n">
        <v>0.734706374670589</v>
      </c>
      <c r="E27" s="1" t="n">
        <v>0.693940210865722</v>
      </c>
    </row>
    <row r="29" customFormat="false" ht="12.8" hidden="false" customHeight="false" outlineLevel="0" collapsed="false">
      <c r="A29" s="0" t="s">
        <v>146</v>
      </c>
      <c r="G29" s="0" t="s">
        <v>147</v>
      </c>
    </row>
    <row r="30" customFormat="false" ht="12.8" hidden="false" customHeight="false" outlineLevel="0" collapsed="false">
      <c r="B30" s="11" t="s">
        <v>121</v>
      </c>
      <c r="C30" s="11" t="s">
        <v>122</v>
      </c>
      <c r="D30" s="11" t="s">
        <v>123</v>
      </c>
      <c r="E30" s="11" t="s">
        <v>110</v>
      </c>
      <c r="G30" s="11" t="s">
        <v>121</v>
      </c>
      <c r="H30" s="11" t="s">
        <v>122</v>
      </c>
      <c r="I30" s="11" t="s">
        <v>123</v>
      </c>
      <c r="J30" s="11" t="s">
        <v>110</v>
      </c>
    </row>
    <row r="31" customFormat="false" ht="12.8" hidden="false" customHeight="false" outlineLevel="0" collapsed="false">
      <c r="B31" s="0" t="n">
        <f aca="false">B4-B3</f>
        <v>0.0135411378725571</v>
      </c>
      <c r="C31" s="0" t="n">
        <f aca="false">C4-C3</f>
        <v>0.011944280759341</v>
      </c>
      <c r="D31" s="0" t="n">
        <f aca="false">D4-D3</f>
        <v>0.0182653023771421</v>
      </c>
      <c r="E31" s="0" t="n">
        <f aca="false">E4-E3</f>
        <v>0.000261135965686998</v>
      </c>
      <c r="G31" s="0" t="n">
        <f aca="false">_xlfn.STDEV.S(B31:B54)</f>
        <v>0.0698772313705197</v>
      </c>
      <c r="H31" s="0" t="n">
        <f aca="false">_xlfn.STDEV.S(C31:C54)</f>
        <v>0.0789089344202259</v>
      </c>
      <c r="I31" s="0" t="n">
        <f aca="false">_xlfn.STDEV.S(D31:D54)</f>
        <v>0.0671326444363605</v>
      </c>
      <c r="J31" s="0" t="n">
        <f aca="false">_xlfn.STDEV.S(E31:E54)</f>
        <v>0.0615343083403333</v>
      </c>
    </row>
    <row r="32" customFormat="false" ht="12.8" hidden="false" customHeight="false" outlineLevel="0" collapsed="false">
      <c r="B32" s="0" t="n">
        <f aca="false">B5-B4</f>
        <v>-0.015014669705803</v>
      </c>
      <c r="C32" s="0" t="n">
        <f aca="false">C5-C4</f>
        <v>-0.012302913718703</v>
      </c>
      <c r="D32" s="0" t="n">
        <f aca="false">D5-D4</f>
        <v>-0.0219447032718261</v>
      </c>
      <c r="E32" s="0" t="n">
        <f aca="false">E5-E4</f>
        <v>-0.0282601502824981</v>
      </c>
    </row>
    <row r="33" customFormat="false" ht="12.8" hidden="false" customHeight="false" outlineLevel="0" collapsed="false">
      <c r="B33" s="0" t="n">
        <f aca="false">B6-B5</f>
        <v>0.00909218485147401</v>
      </c>
      <c r="C33" s="0" t="n">
        <f aca="false">C6-C5</f>
        <v>-0.019884591285053</v>
      </c>
      <c r="D33" s="0" t="n">
        <f aca="false">D6-D5</f>
        <v>-0.0163731733066069</v>
      </c>
      <c r="E33" s="0" t="n">
        <f aca="false">E6-E5</f>
        <v>-0.00375736150630701</v>
      </c>
    </row>
    <row r="34" customFormat="false" ht="12.8" hidden="false" customHeight="false" outlineLevel="0" collapsed="false">
      <c r="B34" s="0" t="n">
        <f aca="false">B7-B6</f>
        <v>0.0641986602667339</v>
      </c>
      <c r="C34" s="0" t="n">
        <f aca="false">C7-C6</f>
        <v>0.106613583609122</v>
      </c>
      <c r="D34" s="0" t="n">
        <f aca="false">D7-D6</f>
        <v>0.124395184823924</v>
      </c>
      <c r="E34" s="0" t="n">
        <f aca="false">E7-E6</f>
        <v>0.046406422996884</v>
      </c>
    </row>
    <row r="35" customFormat="false" ht="12.8" hidden="false" customHeight="false" outlineLevel="0" collapsed="false">
      <c r="B35" s="0" t="n">
        <f aca="false">B8-B7</f>
        <v>-0.157241575160095</v>
      </c>
      <c r="C35" s="0" t="n">
        <f aca="false">C8-C7</f>
        <v>-0.21903357887884</v>
      </c>
      <c r="D35" s="0" t="n">
        <f aca="false">D8-D7</f>
        <v>-0.191114707612938</v>
      </c>
      <c r="E35" s="0" t="n">
        <f aca="false">E8-E7</f>
        <v>-0.108973478089244</v>
      </c>
    </row>
    <row r="36" customFormat="false" ht="12.8" hidden="false" customHeight="false" outlineLevel="0" collapsed="false">
      <c r="B36" s="0" t="n">
        <f aca="false">B9-B8</f>
        <v>0.043355723040896</v>
      </c>
      <c r="C36" s="0" t="n">
        <f aca="false">C9-C8</f>
        <v>0.087485068400575</v>
      </c>
      <c r="D36" s="0" t="n">
        <f aca="false">D9-D8</f>
        <v>0.106341574608366</v>
      </c>
      <c r="E36" s="0" t="n">
        <f aca="false">E9-E8</f>
        <v>0.066230544797298</v>
      </c>
    </row>
    <row r="37" customFormat="false" ht="12.8" hidden="false" customHeight="false" outlineLevel="0" collapsed="false">
      <c r="B37" s="0" t="n">
        <f aca="false">B10-B9</f>
        <v>0.070614574604969</v>
      </c>
      <c r="C37" s="0" t="n">
        <f aca="false">C10-C9</f>
        <v>0.103582562042341</v>
      </c>
      <c r="D37" s="0" t="n">
        <f aca="false">D10-D9</f>
        <v>0.031891557071928</v>
      </c>
      <c r="E37" s="0" t="n">
        <f aca="false">E10-E9</f>
        <v>0.0585679927666331</v>
      </c>
    </row>
    <row r="38" customFormat="false" ht="12.8" hidden="false" customHeight="false" outlineLevel="0" collapsed="false">
      <c r="B38" s="0" t="n">
        <f aca="false">B11-B10</f>
        <v>-0.0405230774461129</v>
      </c>
      <c r="C38" s="0" t="n">
        <f aca="false">C11-C10</f>
        <v>-0.093941921615008</v>
      </c>
      <c r="D38" s="0" t="n">
        <f aca="false">D11-D10</f>
        <v>-0.0613617171917991</v>
      </c>
      <c r="E38" s="0" t="n">
        <f aca="false">E11-E10</f>
        <v>-0.035920721535733</v>
      </c>
    </row>
    <row r="39" customFormat="false" ht="12.8" hidden="false" customHeight="false" outlineLevel="0" collapsed="false">
      <c r="B39" s="0" t="n">
        <f aca="false">B12-B11</f>
        <v>0.074630876842859</v>
      </c>
      <c r="C39" s="0" t="n">
        <f aca="false">C12-C11</f>
        <v>0.108816951376638</v>
      </c>
      <c r="D39" s="0" t="n">
        <f aca="false">D12-D11</f>
        <v>0.07326819423979</v>
      </c>
      <c r="E39" s="0" t="n">
        <f aca="false">E12-E11</f>
        <v>0.090828175820909</v>
      </c>
    </row>
    <row r="40" customFormat="false" ht="12.8" hidden="false" customHeight="false" outlineLevel="0" collapsed="false">
      <c r="B40" s="0" t="n">
        <f aca="false">B13-B12</f>
        <v>-0.073359834576087</v>
      </c>
      <c r="C40" s="0" t="n">
        <f aca="false">C13-C12</f>
        <v>-0.075119540577609</v>
      </c>
      <c r="D40" s="0" t="n">
        <f aca="false">D13-D12</f>
        <v>-0.051735368509352</v>
      </c>
      <c r="E40" s="0" t="n">
        <f aca="false">E13-E12</f>
        <v>-0.115699968566735</v>
      </c>
    </row>
    <row r="41" customFormat="false" ht="12.8" hidden="false" customHeight="false" outlineLevel="0" collapsed="false">
      <c r="B41" s="0" t="n">
        <f aca="false">B14-B13</f>
        <v>0.024257054411774</v>
      </c>
      <c r="C41" s="0" t="n">
        <f aca="false">C14-C13</f>
        <v>0.015989084167187</v>
      </c>
      <c r="D41" s="0" t="n">
        <f aca="false">D14-D13</f>
        <v>0.009177885626938</v>
      </c>
      <c r="E41" s="0" t="n">
        <f aca="false">E14-E13</f>
        <v>0.033306528289996</v>
      </c>
    </row>
    <row r="42" customFormat="false" ht="12.8" hidden="false" customHeight="false" outlineLevel="0" collapsed="false">
      <c r="B42" s="0" t="n">
        <f aca="false">B15-B14</f>
        <v>0.02296645688057</v>
      </c>
      <c r="C42" s="0" t="n">
        <f aca="false">C15-C14</f>
        <v>0.00714601155307193</v>
      </c>
      <c r="D42" s="0" t="n">
        <f aca="false">D15-D14</f>
        <v>-0.003720888102826</v>
      </c>
      <c r="E42" s="0" t="n">
        <f aca="false">E15-E14</f>
        <v>0.022755737523339</v>
      </c>
    </row>
    <row r="43" customFormat="false" ht="12.8" hidden="false" customHeight="false" outlineLevel="0" collapsed="false">
      <c r="B43" s="0" t="n">
        <f aca="false">B16-B15</f>
        <v>-0.047065738972359</v>
      </c>
      <c r="C43" s="0" t="n">
        <f aca="false">C16-C15</f>
        <v>-0.060358298789183</v>
      </c>
      <c r="D43" s="0" t="n">
        <f aca="false">D16-D15</f>
        <v>0.010354358946119</v>
      </c>
      <c r="E43" s="0" t="n">
        <f aca="false">E16-E15</f>
        <v>-0.027186560531766</v>
      </c>
    </row>
    <row r="44" customFormat="false" ht="12.8" hidden="false" customHeight="false" outlineLevel="0" collapsed="false">
      <c r="B44" s="0" t="n">
        <f aca="false">B17-B16</f>
        <v>-0.041186761101134</v>
      </c>
      <c r="C44" s="0" t="n">
        <f aca="false">C17-C16</f>
        <v>6.58826057080564E-005</v>
      </c>
      <c r="D44" s="0" t="n">
        <f aca="false">D17-D16</f>
        <v>-0.073992554852897</v>
      </c>
      <c r="E44" s="0" t="n">
        <f aca="false">E17-E16</f>
        <v>-0.071501440638606</v>
      </c>
    </row>
    <row r="45" customFormat="false" ht="12.8" hidden="false" customHeight="false" outlineLevel="0" collapsed="false">
      <c r="B45" s="0" t="n">
        <f aca="false">B18-B17</f>
        <v>0.058499060802468</v>
      </c>
      <c r="C45" s="0" t="n">
        <f aca="false">C18-C17</f>
        <v>0.0161454487970569</v>
      </c>
      <c r="D45" s="0" t="n">
        <f aca="false">D18-D17</f>
        <v>0.053033161120585</v>
      </c>
      <c r="E45" s="0" t="n">
        <f aca="false">E18-E17</f>
        <v>0.074448320665899</v>
      </c>
    </row>
    <row r="46" customFormat="false" ht="12.8" hidden="false" customHeight="false" outlineLevel="0" collapsed="false">
      <c r="B46" s="0" t="n">
        <f aca="false">B19-B18</f>
        <v>0.00559122735522399</v>
      </c>
      <c r="C46" s="0" t="n">
        <f aca="false">C19-C18</f>
        <v>0.00119204318171406</v>
      </c>
      <c r="D46" s="0" t="n">
        <f aca="false">D19-D18</f>
        <v>0.01793991708331</v>
      </c>
      <c r="E46" s="0" t="n">
        <f aca="false">E19-E18</f>
        <v>0.035159229686398</v>
      </c>
    </row>
    <row r="47" customFormat="false" ht="12.8" hidden="false" customHeight="false" outlineLevel="0" collapsed="false">
      <c r="B47" s="0" t="n">
        <f aca="false">B20-B19</f>
        <v>-0.0152531393076321</v>
      </c>
      <c r="C47" s="0" t="n">
        <f aca="false">C20-C19</f>
        <v>-0.01584279232504</v>
      </c>
      <c r="D47" s="0" t="n">
        <f aca="false">D20-D19</f>
        <v>-0.01289993020972</v>
      </c>
      <c r="E47" s="0" t="n">
        <f aca="false">E20-E19</f>
        <v>-0.0603814810764189</v>
      </c>
    </row>
    <row r="48" customFormat="false" ht="12.8" hidden="false" customHeight="false" outlineLevel="0" collapsed="false">
      <c r="B48" s="0" t="n">
        <f aca="false">B21-B20</f>
        <v>0.03374392794209</v>
      </c>
      <c r="C48" s="0" t="n">
        <f aca="false">C21-C20</f>
        <v>0.066008143859612</v>
      </c>
      <c r="D48" s="0" t="n">
        <f aca="false">D21-D20</f>
        <v>0.033140126049469</v>
      </c>
      <c r="E48" s="0" t="n">
        <f aca="false">E21-E20</f>
        <v>0.025729489662395</v>
      </c>
    </row>
    <row r="49" customFormat="false" ht="12.8" hidden="false" customHeight="false" outlineLevel="0" collapsed="false">
      <c r="B49" s="0" t="n">
        <f aca="false">B22-B21</f>
        <v>0.00665915488379498</v>
      </c>
      <c r="C49" s="0" t="n">
        <f aca="false">C22-C21</f>
        <v>-0.0117212087616699</v>
      </c>
      <c r="D49" s="0" t="n">
        <f aca="false">D22-D21</f>
        <v>-0.021449430062312</v>
      </c>
      <c r="E49" s="0" t="n">
        <f aca="false">E22-E21</f>
        <v>0.026873950491208</v>
      </c>
    </row>
    <row r="50" customFormat="false" ht="12.8" hidden="false" customHeight="false" outlineLevel="0" collapsed="false">
      <c r="B50" s="0" t="n">
        <f aca="false">B23-B22</f>
        <v>-0.137846174773587</v>
      </c>
      <c r="C50" s="0" t="n">
        <f aca="false">C23-C22</f>
        <v>-0.113782213991128</v>
      </c>
      <c r="D50" s="0" t="n">
        <f aca="false">D23-D22</f>
        <v>-0.072732460960571</v>
      </c>
      <c r="E50" s="0" t="n">
        <f aca="false">E23-E22</f>
        <v>-0.100092961467643</v>
      </c>
    </row>
    <row r="51" customFormat="false" ht="12.8" hidden="false" customHeight="false" outlineLevel="0" collapsed="false">
      <c r="B51" s="0" t="n">
        <f aca="false">B24-B23</f>
        <v>-0.000286258433386033</v>
      </c>
      <c r="C51" s="0" t="n">
        <f aca="false">C24-C23</f>
        <v>0.043245958181401</v>
      </c>
      <c r="D51" s="0" t="n">
        <f aca="false">D24-D23</f>
        <v>0.013444873500536</v>
      </c>
      <c r="E51" s="0" t="n">
        <f aca="false">E24-E23</f>
        <v>0.044023889611344</v>
      </c>
    </row>
    <row r="52" customFormat="false" ht="12.8" hidden="false" customHeight="false" outlineLevel="0" collapsed="false">
      <c r="B52" s="0" t="n">
        <f aca="false">B25-B24</f>
        <v>0.0811109920531901</v>
      </c>
      <c r="C52" s="0" t="n">
        <f aca="false">C25-C24</f>
        <v>0.036665130198056</v>
      </c>
      <c r="D52" s="0" t="n">
        <f aca="false">D25-D24</f>
        <v>0.068564588264863</v>
      </c>
      <c r="E52" s="0" t="n">
        <f aca="false">E25-E24</f>
        <v>0.0517952950832311</v>
      </c>
    </row>
    <row r="53" customFormat="false" ht="12.8" hidden="false" customHeight="false" outlineLevel="0" collapsed="false">
      <c r="B53" s="0" t="n">
        <f aca="false">B26-B25</f>
        <v>0.0883423182063799</v>
      </c>
      <c r="C53" s="0" t="n">
        <f aca="false">C26-C25</f>
        <v>0.071963854343665</v>
      </c>
      <c r="D53" s="0" t="n">
        <f aca="false">D26-D25</f>
        <v>0.040220684008232</v>
      </c>
      <c r="E53" s="0" t="n">
        <f aca="false">E26-E25</f>
        <v>0.008782391668131</v>
      </c>
    </row>
    <row r="54" customFormat="false" ht="12.8" hidden="false" customHeight="false" outlineLevel="0" collapsed="false">
      <c r="B54" s="0" t="n">
        <f aca="false">B27-B26</f>
        <v>-0.143022403524052</v>
      </c>
      <c r="C54" s="0" t="n">
        <f aca="false">C27-C26</f>
        <v>-0.090802937952788</v>
      </c>
      <c r="D54" s="0" t="n">
        <f aca="false">D27-D26</f>
        <v>-0.064128762579964</v>
      </c>
      <c r="E54" s="0" t="n">
        <f aca="false">E27-E26</f>
        <v>-0.0872977933925601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2026-02-21T00:06:55Z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
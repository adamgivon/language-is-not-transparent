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8_hybrid" sheetId="1" state="visible" r:id="rId3"/>
    <sheet name="Notes" sheetId="2" state="visible" r:id="rId4"/>
    <sheet name="actdel_prompt_response" sheetId="3" state="visible" r:id="rId5"/>
    <sheet name="inter_system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<sst xmlns="http://schemas.openxmlformats.org/spreadsheetml/2006/main" count="807" uniqueCount="138">
  <si>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</si>
  <si>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</si>
  <si>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</si>
  <si>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</si>
  <si>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</si>
  <si>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</si>
  <si>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</si>
  <si>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</si>
  <si>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</si>
  <si>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</si>
  <si>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</si>
  <si>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</si>
  <si>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count</t>
  </si>
  <si>
    <t xml:space="preserve">Activation delta average</t>
  </si>
  <si>
    <t xml:space="preserve">correlation weights / activation delta</t>
  </si>
  <si>
    <t xml:space="preserve">p</t>
  </si>
  <si>
    <t xml:space="preserve">d1cc98f7-b3cc-4239-b14d-e012eba739d3</t>
  </si>
  <si>
    <t xml:space="preserve">cmjl3dae300fdzccmq5ckmxim</t>
  </si>
  <si>
    <t xml:space="preserve">cmjl3e3zt00fuzccmt2w9lt7y</t>
  </si>
  <si>
    <t xml:space="preserve">hybrid_v3_5</t>
  </si>
  <si>
    <t xml:space="preserve">Scenario_8</t>
  </si>
  <si>
    <t xml:space="preserve">affective_interface</t>
  </si>
  <si>
    <t xml:space="preserve">truth_and_fact</t>
  </si>
  <si>
    <t xml:space="preserve">2206d5b9-9914-41ec-9d11-238d592440cd</t>
  </si>
  <si>
    <t xml:space="preserve">cmjl3f41c00fyzccmyd3hu4ni</t>
  </si>
  <si>
    <t xml:space="preserve">cmjl3fm5000gfzccmkzkl43ls</t>
  </si>
  <si>
    <t xml:space="preserve">96b100d8-f37c-4cf2-9bc7-041054000240</t>
  </si>
  <si>
    <t xml:space="preserve">cmjl3g40s00gjzccm55q2kzcr</t>
  </si>
  <si>
    <t xml:space="preserve">cmjl3ggvs00h0zccmdnxpl4oi</t>
  </si>
  <si>
    <t xml:space="preserve">6e88d09a-e2b5-42a8-906f-ba239840c492</t>
  </si>
  <si>
    <t xml:space="preserve">cmjl3h1zo00h4zccm6w94dudf</t>
  </si>
  <si>
    <t xml:space="preserve">cmjl3hhs800hlzccmy2qnn47x</t>
  </si>
  <si>
    <t xml:space="preserve">science</t>
  </si>
  <si>
    <t xml:space="preserve">practicality_and_feasibility</t>
  </si>
  <si>
    <t xml:space="preserve">imagination_and_possibility</t>
  </si>
  <si>
    <t xml:space="preserve">c100e627-9fa3-4710-a78d-29b10f70f163</t>
  </si>
  <si>
    <t xml:space="preserve">cmjl3hr3500hpzccm6x4qlbsa</t>
  </si>
  <si>
    <t xml:space="preserve">cmjl3hz5c00i6zccm22dv44p5</t>
  </si>
  <si>
    <t xml:space="preserve">freedom_and_limitations</t>
  </si>
  <si>
    <t xml:space="preserve">identity</t>
  </si>
  <si>
    <t xml:space="preserve">68a38923-0d61-4367-bce9-eae3fc6038e1</t>
  </si>
  <si>
    <t xml:space="preserve">cmjl3i7is00iazccm28gffhim</t>
  </si>
  <si>
    <t xml:space="preserve">cmjl3ilcg00irzccmt3hth0qc</t>
  </si>
  <si>
    <t xml:space="preserve">e78ea9dc-9937-450b-8679-7b5121e67af2</t>
  </si>
  <si>
    <t xml:space="preserve">cmjl3j4cw00ivzccm8y01a0cg</t>
  </si>
  <si>
    <t xml:space="preserve">cmjl3jkb100jczccmrpo9usw5</t>
  </si>
  <si>
    <t xml:space="preserve">5935bf57-3cf1-4e80-afc1-d18c9318bcda</t>
  </si>
  <si>
    <t xml:space="preserve">cmjl3jzmx00jgzccmi8f4jzw1</t>
  </si>
  <si>
    <t xml:space="preserve">cmjl3kcc200jxzccmt4de5gzz</t>
  </si>
  <si>
    <t xml:space="preserve">context_dependent_expression</t>
  </si>
  <si>
    <t xml:space="preserve">21829547-fcda-4a5b-aa49-1e7a0c259f8c</t>
  </si>
  <si>
    <t xml:space="preserve">cmjl3kmba00k1zccmesmp859l</t>
  </si>
  <si>
    <t xml:space="preserve">cmjl3kwyr00kizccmzbrhiwy8</t>
  </si>
  <si>
    <t xml:space="preserve">f2ec239f-d5f8-44cb-869d-5f4c004b7419</t>
  </si>
  <si>
    <t xml:space="preserve">cmjl3lwa600kmzccm837tlb2v</t>
  </si>
  <si>
    <t xml:space="preserve">cmjl3mbga00l3zccmazyg8iup</t>
  </si>
  <si>
    <t xml:space="preserve">temporal_dynamics</t>
  </si>
  <si>
    <t xml:space="preserve">fc750ed1-7412-4303-b26a-7c4ff3d5aab4</t>
  </si>
  <si>
    <t xml:space="preserve">cmjl3nfyv00l7zccmxlykh6td</t>
  </si>
  <si>
    <t xml:space="preserve">cmjl3nvbe00lozccmu1m2qkyl</t>
  </si>
  <si>
    <t xml:space="preserve">9b2b67e4-238f-40d2-95dd-af44190c75bf</t>
  </si>
  <si>
    <t xml:space="preserve">cmjl3of2j00lszccmlfw2w3ez</t>
  </si>
  <si>
    <t xml:space="preserve">cmjl3op7v00m9zccmmyqbrnze</t>
  </si>
  <si>
    <t xml:space="preserve">metaphorical_scaffolding</t>
  </si>
  <si>
    <t xml:space="preserve">9ec376bb-8ee8-403b-8db2-bad555851e7d</t>
  </si>
  <si>
    <t xml:space="preserve">cmjl3p3wy00mdzccmf3dla25d</t>
  </si>
  <si>
    <t xml:space="preserve">cmjl3pgoa00muzccmr1t2s8hl</t>
  </si>
  <si>
    <t xml:space="preserve">6ac09e62-9620-4d34-972e-3a71ef442e96</t>
  </si>
  <si>
    <t xml:space="preserve">cmjl3q0ui00myzccm3x01fktk</t>
  </si>
  <si>
    <t xml:space="preserve">cmjl3qbt000nfzccmc1x30vwf</t>
  </si>
  <si>
    <t xml:space="preserve">d8735b52-055c-48d0-b772-5b6b5e046987</t>
  </si>
  <si>
    <t xml:space="preserve">cmjl3qmns00njzccmfzd2psg3</t>
  </si>
  <si>
    <t xml:space="preserve">cmjl3r13500o0zccmf4vlz8v0</t>
  </si>
  <si>
    <t xml:space="preserve">e5addf5f-99b6-495f-a511-95a5469d832b</t>
  </si>
  <si>
    <t xml:space="preserve">cmjl3re1400o4zccmo8jz2e1f</t>
  </si>
  <si>
    <t xml:space="preserve">cmjl3rmnn00olzccmidr1kwda</t>
  </si>
  <si>
    <t xml:space="preserve">afc0bd33-a0c8-4ffb-9cdd-7393ee1b8669</t>
  </si>
  <si>
    <t xml:space="preserve">cmjl3s29g00opzccmyq00daj8</t>
  </si>
  <si>
    <t xml:space="preserve">cmjl3sb7q00p6zccm6ytxi971</t>
  </si>
  <si>
    <t xml:space="preserve">mathematics_computer_science_engineering</t>
  </si>
  <si>
    <t xml:space="preserve">2c1a5825-bee0-4da7-882f-7b19a0d2b69c</t>
  </si>
  <si>
    <t xml:space="preserve">cmjl3sl2e00pazccm33dc5ojt</t>
  </si>
  <si>
    <t xml:space="preserve">cmjl3swhb00przccmio8lcwhh</t>
  </si>
  <si>
    <t xml:space="preserve">8a38f935-6eee-4110-b9e0-bf57a7c21e9d</t>
  </si>
  <si>
    <t xml:space="preserve">cmjl3t8k100pvzccmj84ro84t</t>
  </si>
  <si>
    <t xml:space="preserve">cmjl3thr100qczccm1vjowczq</t>
  </si>
  <si>
    <t xml:space="preserve">72f2aa44-51de-4b3e-8c4d-38284abaafd5</t>
  </si>
  <si>
    <t xml:space="preserve">cmjl3ts2o00qgzccmyiyvo6x5</t>
  </si>
  <si>
    <t xml:space="preserve">cmjl3u27200qxzccms138b0rm</t>
  </si>
  <si>
    <t xml:space="preserve">7b5b6bbd-9148-4162-a452-f01b8b17d858</t>
  </si>
  <si>
    <t xml:space="preserve">cmjl3uiq700r1zccm3kr0sgph</t>
  </si>
  <si>
    <t xml:space="preserve">cmjl3uuow00rizccm4f33yskk</t>
  </si>
  <si>
    <t xml:space="preserve">36f3d129-4602-447e-b072-67720a85a0ea</t>
  </si>
  <si>
    <t xml:space="preserve">cmjl3v1wu00rmzccmnphvy878</t>
  </si>
  <si>
    <t xml:space="preserve">cmjl3vinf00s3zccmpjhq3cy6</t>
  </si>
  <si>
    <t xml:space="preserve">469bd7e5-a384-48bb-9154-86d996624bb6</t>
  </si>
  <si>
    <t xml:space="preserve">cmjl3vvoy00s7zccm5zz8rzgd</t>
  </si>
  <si>
    <t xml:space="preserve">cmjl3wfos00sozccm82mrcaew</t>
  </si>
  <si>
    <t xml:space="preserve">f162d979-68e9-4eef-b325-cc4707c6d98c</t>
  </si>
  <si>
    <t xml:space="preserve">cmjl3wvwh00sszccmhi70qr2q</t>
  </si>
  <si>
    <t xml:space="preserve">cmjl3x5x900t9zccm7749h93h</t>
  </si>
  <si>
    <t xml:space="preserve">14ff667e-8673-4f06-8a9b-b5a501c7bff2</t>
  </si>
  <si>
    <t xml:space="preserve">cmjl3y3m500tdzccmb2fckjdx</t>
  </si>
  <si>
    <t xml:space="preserve">cmjl3yff700tuzccm7x0vg9s4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</si>
  <si>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</si>
  <si>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</si>
  <si>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</si>
  <si>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</si>
  <si>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</si>
  <si>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</si>
  <si>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hybrid</t>
  </si>
  <si>
    <t xml:space="preserve">control</t>
  </si>
  <si>
    <t xml:space="preserve">std. Hybrid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</si>
  <si>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</si>
  <si>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</si>
  <si>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</si>
  <si>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</si>
  <si>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</si>
  <si>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Mean hybrid</t>
  </si>
  <si>
    <t xml:space="preserve">Mean control</t>
  </si>
  <si>
    <t xml:space="preserve">ac15p</t>
  </si>
  <si>
    <t xml:space="preserve">Paired t-test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</si>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</sst>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6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4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actdel_prompt_response!$B$2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actdel_prompt_response!$B$3:$B$27</c:f>
              <c:numCache>
                <c:formatCode>General</c:formatCode>
                <c:ptCount val="25"/>
                <c:pt idx="0">
                  <c:v>0.753427301803647</c:v>
                </c:pt>
                <c:pt idx="1">
                  <c:v>0.765371582562988</c:v>
                </c:pt>
                <c:pt idx="2">
                  <c:v>0.753068668844285</c:v>
                </c:pt>
                <c:pt idx="3">
                  <c:v>0.733184077559232</c:v>
                </c:pt>
                <c:pt idx="4">
                  <c:v>0.839797661168354</c:v>
                </c:pt>
                <c:pt idx="5">
                  <c:v>0.620764082289514</c:v>
                </c:pt>
                <c:pt idx="6">
                  <c:v>0.708249150690089</c:v>
                </c:pt>
                <c:pt idx="7">
                  <c:v>0.81183171273243</c:v>
                </c:pt>
                <c:pt idx="8">
                  <c:v>0.717889791117422</c:v>
                </c:pt>
                <c:pt idx="9">
                  <c:v>0.82670674249406</c:v>
                </c:pt>
                <c:pt idx="10">
                  <c:v>0.751587201916451</c:v>
                </c:pt>
                <c:pt idx="11">
                  <c:v>0.767576286083638</c:v>
                </c:pt>
                <c:pt idx="12">
                  <c:v>0.77472229763671</c:v>
                </c:pt>
                <c:pt idx="13">
                  <c:v>0.714363998847527</c:v>
                </c:pt>
                <c:pt idx="14">
                  <c:v>0.714429881453235</c:v>
                </c:pt>
                <c:pt idx="15">
                  <c:v>0.730575330250292</c:v>
                </c:pt>
                <c:pt idx="16">
                  <c:v>0.731767373432006</c:v>
                </c:pt>
                <c:pt idx="17">
                  <c:v>0.715924581106966</c:v>
                </c:pt>
                <c:pt idx="18">
                  <c:v>0.781932724966578</c:v>
                </c:pt>
                <c:pt idx="19">
                  <c:v>0.770211516204908</c:v>
                </c:pt>
                <c:pt idx="20">
                  <c:v>0.65642930221378</c:v>
                </c:pt>
                <c:pt idx="21">
                  <c:v>0.699675260395181</c:v>
                </c:pt>
                <c:pt idx="22">
                  <c:v>0.736340390593237</c:v>
                </c:pt>
                <c:pt idx="23">
                  <c:v>0.808304244936902</c:v>
                </c:pt>
                <c:pt idx="24">
                  <c:v>0.717501306984114</c:v>
                </c:pt>
              </c:numCache>
            </c:numRef>
          </c:yVal>
          <c:smooth val="0"/>
        </c:ser>
        <c:axId val="44295889"/>
        <c:axId val="30610505"/>
      </c:scatterChart>
      <c:valAx>
        <c:axId val="4429588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0610505"/>
        <c:crosses val="autoZero"/>
        <c:crossBetween val="midCat"/>
      </c:valAx>
      <c:valAx>
        <c:axId val="306105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429588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inter_system_stats!$B$3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inter_system_stats!$B$4:$B$28</c:f>
              <c:numCache>
                <c:formatCode>General</c:formatCode>
                <c:ptCount val="25"/>
                <c:pt idx="0">
                  <c:v>0.753427301803647</c:v>
                </c:pt>
                <c:pt idx="1">
                  <c:v>0.765371582562988</c:v>
                </c:pt>
                <c:pt idx="2">
                  <c:v>0.753068668844285</c:v>
                </c:pt>
                <c:pt idx="3">
                  <c:v>0.733184077559232</c:v>
                </c:pt>
                <c:pt idx="4">
                  <c:v>0.839797661168354</c:v>
                </c:pt>
                <c:pt idx="5">
                  <c:v>0.620764082289514</c:v>
                </c:pt>
                <c:pt idx="6">
                  <c:v>0.708249150690089</c:v>
                </c:pt>
                <c:pt idx="7">
                  <c:v>0.81183171273243</c:v>
                </c:pt>
                <c:pt idx="8">
                  <c:v>0.717889791117422</c:v>
                </c:pt>
                <c:pt idx="9">
                  <c:v>0.82670674249406</c:v>
                </c:pt>
                <c:pt idx="10">
                  <c:v>0.751587201916451</c:v>
                </c:pt>
                <c:pt idx="11">
                  <c:v>0.767576286083638</c:v>
                </c:pt>
                <c:pt idx="12">
                  <c:v>0.77472229763671</c:v>
                </c:pt>
                <c:pt idx="13">
                  <c:v>0.714363998847527</c:v>
                </c:pt>
                <c:pt idx="14">
                  <c:v>0.714429881453235</c:v>
                </c:pt>
                <c:pt idx="15">
                  <c:v>0.730575330250292</c:v>
                </c:pt>
                <c:pt idx="16">
                  <c:v>0.731767373432006</c:v>
                </c:pt>
                <c:pt idx="17">
                  <c:v>0.715924581106966</c:v>
                </c:pt>
                <c:pt idx="18">
                  <c:v>0.781932724966578</c:v>
                </c:pt>
                <c:pt idx="19">
                  <c:v>0.770211516204908</c:v>
                </c:pt>
                <c:pt idx="20">
                  <c:v>0.65642930221378</c:v>
                </c:pt>
                <c:pt idx="21">
                  <c:v>0.699675260395181</c:v>
                </c:pt>
                <c:pt idx="22">
                  <c:v>0.736340390593237</c:v>
                </c:pt>
                <c:pt idx="23">
                  <c:v>0.808304244936902</c:v>
                </c:pt>
                <c:pt idx="24">
                  <c:v>0.717501306984114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inter_system_stats!$C$3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inter_system_stats!$C$4:$C$28</c:f>
              <c:numCache>
                <c:formatCode>General</c:formatCode>
                <c:ptCount val="25"/>
                <c:pt idx="0">
                  <c:v>0.771814729489856</c:v>
                </c:pt>
                <c:pt idx="1">
                  <c:v>0.585748724447829</c:v>
                </c:pt>
                <c:pt idx="2">
                  <c:v>0.594422528559652</c:v>
                </c:pt>
                <c:pt idx="3">
                  <c:v>0.60678636857711</c:v>
                </c:pt>
                <c:pt idx="4">
                  <c:v>0.69941561269435</c:v>
                </c:pt>
                <c:pt idx="5">
                  <c:v>0.584983605559223</c:v>
                </c:pt>
                <c:pt idx="6">
                  <c:v>0.523434497974195</c:v>
                </c:pt>
                <c:pt idx="7">
                  <c:v>0.733177377705096</c:v>
                </c:pt>
                <c:pt idx="8">
                  <c:v>0.623029352644154</c:v>
                </c:pt>
                <c:pt idx="9">
                  <c:v>0.569126443983933</c:v>
                </c:pt>
                <c:pt idx="10">
                  <c:v>0.712616848746921</c:v>
                </c:pt>
                <c:pt idx="11">
                  <c:v>0.623994668934615</c:v>
                </c:pt>
                <c:pt idx="12">
                  <c:v>0.708175167658807</c:v>
                </c:pt>
                <c:pt idx="13">
                  <c:v>0.598847369877094</c:v>
                </c:pt>
                <c:pt idx="14">
                  <c:v>0.598448875288242</c:v>
                </c:pt>
                <c:pt idx="15">
                  <c:v>0.686112684184051</c:v>
                </c:pt>
                <c:pt idx="16">
                  <c:v>0.656452493829178</c:v>
                </c:pt>
                <c:pt idx="17">
                  <c:v>0.708590115686799</c:v>
                </c:pt>
                <c:pt idx="18">
                  <c:v>0.656250234555418</c:v>
                </c:pt>
                <c:pt idx="19">
                  <c:v>0.766144095586904</c:v>
                </c:pt>
                <c:pt idx="20">
                  <c:v>0.611673917355993</c:v>
                </c:pt>
                <c:pt idx="21">
                  <c:v>0.57321383560315</c:v>
                </c:pt>
                <c:pt idx="22">
                  <c:v>0.46202133657173</c:v>
                </c:pt>
                <c:pt idx="23">
                  <c:v>0.752686085299576</c:v>
                </c:pt>
                <c:pt idx="24">
                  <c:v>0.637351019647471</c:v>
                </c:pt>
              </c:numCache>
            </c:numRef>
          </c:yVal>
          <c:smooth val="0"/>
        </c:ser>
        <c:axId val="78461739"/>
        <c:axId val="3631269"/>
      </c:scatterChart>
      <c:valAx>
        <c:axId val="7846173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631269"/>
        <c:crosses val="autoZero"/>
        <c:crossBetween val="midCat"/>
      </c:valAx>
      <c:valAx>
        <c:axId val="36312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846173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497160</xdr:colOff>
      <xdr:row>1</xdr:row>
      <xdr:rowOff>84960</xdr:rowOff>
    </xdr:from>
    <xdr:to>
      <xdr:col>9</xdr:col>
      <xdr:colOff>559800</xdr:colOff>
      <xdr:row>21</xdr:row>
      <xdr:rowOff>69120</xdr:rowOff>
    </xdr:to>
    <xdr:graphicFrame>
      <xdr:nvGraphicFramePr>
        <xdr:cNvPr id="1" name=""/>
        <xdr:cNvGraphicFramePr/>
      </xdr:nvGraphicFramePr>
      <xdr:xfrm>
        <a:off x="2122920" y="247680"/>
        <a:ext cx="575208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25200</xdr:colOff>
      <xdr:row>5</xdr:row>
      <xdr:rowOff>23040</xdr:rowOff>
    </xdr:from>
    <xdr:to>
      <xdr:col>8</xdr:col>
      <xdr:colOff>480960</xdr:colOff>
      <xdr:row>25</xdr:row>
      <xdr:rowOff>7200</xdr:rowOff>
    </xdr:to>
    <xdr:graphicFrame>
      <xdr:nvGraphicFramePr>
        <xdr:cNvPr id="2" name=""/>
        <xdr:cNvGraphicFramePr/>
      </xdr:nvGraphicFramePr>
      <xdr:xfrm>
        <a:off x="3929040" y="835920"/>
        <a:ext cx="576180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2" activeCellId="0" sqref="Q2"/>
    </sheetView>
  </sheetViews>
  <sheetFormatPr defaultColWidth="10.5859375" defaultRowHeight="15" customHeight="false" zeroHeight="false" outlineLevelRow="0" outlineLevelCol="0"/>
  <cols>
    <col collapsed="false" customWidth="true" hidden="false" outlineLevel="0" max="4" min="4" style="1" width="12.78"/>
    <col collapsed="false" customWidth="true" hidden="false" outlineLevel="0" max="5" min="5" style="1" width="13.12"/>
    <col collapsed="false" customWidth="true" hidden="false" outlineLevel="0" max="7" min="7" style="1" width="39.93"/>
    <col collapsed="false" customWidth="true" hidden="false" outlineLevel="0" max="8" min="8" style="1" width="7.68"/>
    <col collapsed="false" customWidth="true" hidden="false" outlineLevel="0" max="10" min="9" style="1" width="18.71"/>
    <col collapsed="false" customWidth="true" hidden="false" outlineLevel="0" max="12" min="11" style="1" width="19.22"/>
    <col collapsed="false" customWidth="true" hidden="false" outlineLevel="0" max="17" min="17" style="0" width="18.71"/>
    <col collapsed="false" customWidth="true" hidden="false" outlineLevel="0" max="18" min="18" style="1" width="18.71"/>
    <col collapsed="false" customWidth="true" hidden="false" outlineLevel="0" max="19" min="19" style="1" width="28.51"/>
  </cols>
  <sheetData>
    <row r="1" customFormat="false" ht="19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2" t="s">
        <v>12</v>
      </c>
      <c r="Q1" s="2" t="s">
        <v>13</v>
      </c>
      <c r="R1" s="2" t="s">
        <v>14</v>
      </c>
      <c r="S1" s="3" t="s">
        <v>15</v>
      </c>
    </row>
    <row r="2" customFormat="false" ht="15" hidden="false" customHeight="false" outlineLevel="0" collapsed="false">
      <c r="P2" s="4" t="n">
        <f aca="false">COUNT(K3:K127)</f>
        <v>125</v>
      </c>
      <c r="Q2" s="4" t="n">
        <f aca="false">AVERAGE(K3:K127)</f>
        <v>0.0704691089897183</v>
      </c>
      <c r="R2" s="4" t="n">
        <f aca="false">CORREL(H3:H127,K3:K127)</f>
        <v>0.353343840724698</v>
      </c>
      <c r="S2" s="4" t="n">
        <f aca="false">Notes!B5</f>
        <v>5.29980133980888E-005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0</v>
      </c>
      <c r="G3" s="1" t="s">
        <v>21</v>
      </c>
      <c r="H3" s="1" t="n">
        <v>0.9</v>
      </c>
      <c r="I3" s="1" t="n">
        <v>0.235953192067798</v>
      </c>
      <c r="J3" s="1" t="n">
        <v>0.415666969690759</v>
      </c>
      <c r="K3" s="1" t="n">
        <f aca="false">J3-I3</f>
        <v>0.179713777622961</v>
      </c>
      <c r="L3" s="1" t="n">
        <v>0.753427301803647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n">
        <v>0</v>
      </c>
      <c r="G4" s="1" t="s">
        <v>22</v>
      </c>
      <c r="H4" s="1" t="n">
        <v>0.1</v>
      </c>
      <c r="I4" s="1" t="n">
        <v>0.161627936888305</v>
      </c>
      <c r="J4" s="1" t="n">
        <v>0.325734669362728</v>
      </c>
      <c r="K4" s="1" t="n">
        <f aca="false">J4-I4</f>
        <v>0.164106732474423</v>
      </c>
      <c r="L4" s="1" t="n">
        <v>0.753427301803647</v>
      </c>
    </row>
    <row r="5" customFormat="false" ht="15" hidden="false" customHeight="false" outlineLevel="0" collapsed="false">
      <c r="A5" s="1" t="s">
        <v>23</v>
      </c>
      <c r="B5" s="1" t="s">
        <v>24</v>
      </c>
      <c r="C5" s="1" t="s">
        <v>25</v>
      </c>
      <c r="D5" s="1" t="s">
        <v>19</v>
      </c>
      <c r="E5" s="1" t="s">
        <v>20</v>
      </c>
      <c r="F5" s="1" t="n">
        <v>2</v>
      </c>
      <c r="G5" s="1" t="s">
        <v>21</v>
      </c>
      <c r="H5" s="1" t="n">
        <v>0.5514</v>
      </c>
      <c r="I5" s="1" t="n">
        <v>0.249862523007252</v>
      </c>
      <c r="J5" s="1" t="n">
        <v>0.423555631542303</v>
      </c>
      <c r="K5" s="1" t="n">
        <f aca="false">J5-I5</f>
        <v>0.17369310853505</v>
      </c>
      <c r="L5" s="1" t="n">
        <v>0.765371582562988</v>
      </c>
    </row>
    <row r="6" customFormat="false" ht="15" hidden="false" customHeight="false" outlineLevel="0" collapsed="false">
      <c r="A6" s="1" t="s">
        <v>23</v>
      </c>
      <c r="B6" s="1" t="s">
        <v>24</v>
      </c>
      <c r="C6" s="1" t="s">
        <v>25</v>
      </c>
      <c r="D6" s="1" t="s">
        <v>19</v>
      </c>
      <c r="E6" s="1" t="s">
        <v>20</v>
      </c>
      <c r="F6" s="1" t="n">
        <v>2</v>
      </c>
      <c r="G6" s="1" t="s">
        <v>22</v>
      </c>
      <c r="H6" s="1" t="n">
        <v>0.4486</v>
      </c>
      <c r="I6" s="1" t="n">
        <v>0.203239064161737</v>
      </c>
      <c r="J6" s="1" t="n">
        <v>0.295202307554209</v>
      </c>
      <c r="K6" s="1" t="n">
        <f aca="false">J6-I6</f>
        <v>0.0919632433924714</v>
      </c>
      <c r="L6" s="1" t="n">
        <v>0.765371582562988</v>
      </c>
    </row>
    <row r="7" customFormat="false" ht="15" hidden="false" customHeight="false" outlineLevel="0" collapsed="false">
      <c r="A7" s="1" t="s">
        <v>26</v>
      </c>
      <c r="B7" s="1" t="s">
        <v>27</v>
      </c>
      <c r="C7" s="1" t="s">
        <v>28</v>
      </c>
      <c r="D7" s="1" t="s">
        <v>19</v>
      </c>
      <c r="E7" s="1" t="s">
        <v>20</v>
      </c>
      <c r="F7" s="1" t="n">
        <v>4</v>
      </c>
      <c r="G7" s="1" t="s">
        <v>21</v>
      </c>
      <c r="H7" s="1" t="n">
        <v>0.5699</v>
      </c>
      <c r="I7" s="1" t="n">
        <v>0.270469630297422</v>
      </c>
      <c r="J7" s="1" t="n">
        <v>0.449625152461707</v>
      </c>
      <c r="K7" s="1" t="n">
        <f aca="false">J7-I7</f>
        <v>0.179155522164285</v>
      </c>
      <c r="L7" s="1" t="n">
        <v>0.753068668844285</v>
      </c>
    </row>
    <row r="8" customFormat="false" ht="15" hidden="false" customHeight="false" outlineLevel="0" collapsed="false">
      <c r="A8" s="1" t="s">
        <v>26</v>
      </c>
      <c r="B8" s="1" t="s">
        <v>27</v>
      </c>
      <c r="C8" s="1" t="s">
        <v>28</v>
      </c>
      <c r="D8" s="1" t="s">
        <v>19</v>
      </c>
      <c r="E8" s="1" t="s">
        <v>20</v>
      </c>
      <c r="F8" s="1" t="n">
        <v>4</v>
      </c>
      <c r="G8" s="1" t="s">
        <v>22</v>
      </c>
      <c r="H8" s="1" t="n">
        <v>0.4301</v>
      </c>
      <c r="I8" s="1" t="n">
        <v>0.204108141505748</v>
      </c>
      <c r="J8" s="1" t="n">
        <v>0.346905626078146</v>
      </c>
      <c r="K8" s="1" t="n">
        <f aca="false">J8-I8</f>
        <v>0.142797484572398</v>
      </c>
      <c r="L8" s="1" t="n">
        <v>0.753068668844285</v>
      </c>
    </row>
    <row r="9" customFormat="false" ht="15" hidden="false" customHeight="false" outlineLevel="0" collapsed="false">
      <c r="A9" s="1" t="s">
        <v>29</v>
      </c>
      <c r="B9" s="1" t="s">
        <v>30</v>
      </c>
      <c r="C9" s="1" t="s">
        <v>31</v>
      </c>
      <c r="D9" s="1" t="s">
        <v>19</v>
      </c>
      <c r="E9" s="1" t="s">
        <v>20</v>
      </c>
      <c r="F9" s="1" t="n">
        <v>6</v>
      </c>
      <c r="G9" s="1" t="s">
        <v>21</v>
      </c>
      <c r="H9" s="1" t="n">
        <v>0.2513</v>
      </c>
      <c r="I9" s="1" t="n">
        <v>0.30046000673697</v>
      </c>
      <c r="J9" s="1" t="n">
        <v>0.445764367238325</v>
      </c>
      <c r="K9" s="1" t="n">
        <f aca="false">J9-I9</f>
        <v>0.145304360501355</v>
      </c>
      <c r="L9" s="1" t="n">
        <v>0.733184077559232</v>
      </c>
    </row>
    <row r="10" customFormat="false" ht="15" hidden="false" customHeight="false" outlineLevel="0" collapsed="false">
      <c r="A10" s="1" t="s">
        <v>29</v>
      </c>
      <c r="B10" s="1" t="s">
        <v>30</v>
      </c>
      <c r="C10" s="1" t="s">
        <v>31</v>
      </c>
      <c r="D10" s="1" t="s">
        <v>19</v>
      </c>
      <c r="E10" s="1" t="s">
        <v>20</v>
      </c>
      <c r="F10" s="1" t="n">
        <v>6</v>
      </c>
      <c r="G10" s="1" t="s">
        <v>22</v>
      </c>
      <c r="H10" s="1" t="n">
        <v>0.22</v>
      </c>
      <c r="I10" s="1" t="n">
        <v>0.26303280604666</v>
      </c>
      <c r="J10" s="1" t="n">
        <v>0.376094147667419</v>
      </c>
      <c r="K10" s="1" t="n">
        <f aca="false">J10-I10</f>
        <v>0.11306134162076</v>
      </c>
      <c r="L10" s="1" t="n">
        <v>0.733184077559232</v>
      </c>
    </row>
    <row r="11" customFormat="false" ht="15" hidden="false" customHeight="false" outlineLevel="0" collapsed="false">
      <c r="A11" s="1" t="s">
        <v>29</v>
      </c>
      <c r="B11" s="1" t="s">
        <v>30</v>
      </c>
      <c r="C11" s="1" t="s">
        <v>31</v>
      </c>
      <c r="D11" s="1" t="s">
        <v>19</v>
      </c>
      <c r="E11" s="1" t="s">
        <v>20</v>
      </c>
      <c r="F11" s="1" t="n">
        <v>6</v>
      </c>
      <c r="G11" s="1" t="s">
        <v>32</v>
      </c>
      <c r="H11" s="1" t="n">
        <v>0.1832</v>
      </c>
      <c r="I11" s="1" t="n">
        <v>0.219025331142824</v>
      </c>
      <c r="J11" s="1" t="n">
        <v>0.313584731475262</v>
      </c>
      <c r="K11" s="1" t="n">
        <f aca="false">J11-I11</f>
        <v>0.0945594003324376</v>
      </c>
      <c r="L11" s="1" t="n">
        <v>0.733184077559232</v>
      </c>
    </row>
    <row r="12" customFormat="false" ht="15" hidden="false" customHeight="false" outlineLevel="0" collapsed="false">
      <c r="A12" s="1" t="s">
        <v>29</v>
      </c>
      <c r="B12" s="1" t="s">
        <v>30</v>
      </c>
      <c r="C12" s="1" t="s">
        <v>31</v>
      </c>
      <c r="D12" s="1" t="s">
        <v>19</v>
      </c>
      <c r="E12" s="1" t="s">
        <v>20</v>
      </c>
      <c r="F12" s="1" t="n">
        <v>6</v>
      </c>
      <c r="G12" s="1" t="s">
        <v>33</v>
      </c>
      <c r="H12" s="1" t="n">
        <v>0.1751</v>
      </c>
      <c r="I12" s="1" t="n">
        <v>0.209352581530011</v>
      </c>
      <c r="J12" s="1" t="n">
        <v>0.3251618370202</v>
      </c>
      <c r="K12" s="1" t="n">
        <f aca="false">J12-I12</f>
        <v>0.115809255490189</v>
      </c>
      <c r="L12" s="1" t="n">
        <v>0.733184077559232</v>
      </c>
    </row>
    <row r="13" customFormat="false" ht="15" hidden="false" customHeight="false" outlineLevel="0" collapsed="false">
      <c r="A13" s="1" t="s">
        <v>29</v>
      </c>
      <c r="B13" s="1" t="s">
        <v>30</v>
      </c>
      <c r="C13" s="1" t="s">
        <v>31</v>
      </c>
      <c r="D13" s="1" t="s">
        <v>19</v>
      </c>
      <c r="E13" s="1" t="s">
        <v>20</v>
      </c>
      <c r="F13" s="1" t="n">
        <v>6</v>
      </c>
      <c r="G13" s="1" t="s">
        <v>34</v>
      </c>
      <c r="H13" s="1" t="n">
        <v>0.1703</v>
      </c>
      <c r="I13" s="1" t="n">
        <v>0.203559437358001</v>
      </c>
      <c r="J13" s="1" t="n">
        <v>0.310690650133567</v>
      </c>
      <c r="K13" s="1" t="n">
        <f aca="false">J13-I13</f>
        <v>0.107131212775566</v>
      </c>
      <c r="L13" s="1" t="n">
        <v>0.733184077559232</v>
      </c>
    </row>
    <row r="14" customFormat="false" ht="15" hidden="false" customHeight="false" outlineLevel="0" collapsed="false">
      <c r="A14" s="1" t="s">
        <v>35</v>
      </c>
      <c r="B14" s="1" t="s">
        <v>36</v>
      </c>
      <c r="C14" s="1" t="s">
        <v>37</v>
      </c>
      <c r="D14" s="1" t="s">
        <v>19</v>
      </c>
      <c r="E14" s="1" t="s">
        <v>20</v>
      </c>
      <c r="F14" s="1" t="n">
        <v>8</v>
      </c>
      <c r="G14" s="1" t="s">
        <v>21</v>
      </c>
      <c r="H14" s="1" t="n">
        <v>0.211</v>
      </c>
      <c r="I14" s="1" t="n">
        <v>0.314548280568477</v>
      </c>
      <c r="J14" s="1" t="n">
        <v>0.429701539861709</v>
      </c>
      <c r="K14" s="1" t="n">
        <f aca="false">J14-I14</f>
        <v>0.115153259293232</v>
      </c>
      <c r="L14" s="1" t="n">
        <v>0.839797661168354</v>
      </c>
    </row>
    <row r="15" customFormat="false" ht="15" hidden="false" customHeight="false" outlineLevel="0" collapsed="false">
      <c r="A15" s="1" t="s">
        <v>35</v>
      </c>
      <c r="B15" s="1" t="s">
        <v>36</v>
      </c>
      <c r="C15" s="1" t="s">
        <v>37</v>
      </c>
      <c r="D15" s="1" t="s">
        <v>19</v>
      </c>
      <c r="E15" s="1" t="s">
        <v>20</v>
      </c>
      <c r="F15" s="1" t="n">
        <v>8</v>
      </c>
      <c r="G15" s="1" t="s">
        <v>22</v>
      </c>
      <c r="H15" s="1" t="n">
        <v>0.1692</v>
      </c>
      <c r="I15" s="1" t="n">
        <v>0.252200405020104</v>
      </c>
      <c r="J15" s="1" t="n">
        <v>0.313929585243075</v>
      </c>
      <c r="K15" s="1" t="n">
        <f aca="false">J15-I15</f>
        <v>0.0617291802229709</v>
      </c>
      <c r="L15" s="1" t="n">
        <v>0.839797661168354</v>
      </c>
    </row>
    <row r="16" customFormat="false" ht="15" hidden="false" customHeight="false" outlineLevel="0" collapsed="false">
      <c r="A16" s="1" t="s">
        <v>35</v>
      </c>
      <c r="B16" s="1" t="s">
        <v>36</v>
      </c>
      <c r="C16" s="1" t="s">
        <v>37</v>
      </c>
      <c r="D16" s="1" t="s">
        <v>19</v>
      </c>
      <c r="E16" s="1" t="s">
        <v>20</v>
      </c>
      <c r="F16" s="1" t="n">
        <v>8</v>
      </c>
      <c r="G16" s="1" t="s">
        <v>34</v>
      </c>
      <c r="H16" s="1" t="n">
        <v>0.1637</v>
      </c>
      <c r="I16" s="1" t="n">
        <v>0.244005660091007</v>
      </c>
      <c r="J16" s="1" t="n">
        <v>0.30269816522309</v>
      </c>
      <c r="K16" s="1" t="n">
        <f aca="false">J16-I16</f>
        <v>0.0586925051320836</v>
      </c>
      <c r="L16" s="1" t="n">
        <v>0.839797661168354</v>
      </c>
    </row>
    <row r="17" customFormat="false" ht="15" hidden="false" customHeight="false" outlineLevel="0" collapsed="false">
      <c r="A17" s="1" t="s">
        <v>35</v>
      </c>
      <c r="B17" s="1" t="s">
        <v>36</v>
      </c>
      <c r="C17" s="1" t="s">
        <v>37</v>
      </c>
      <c r="D17" s="1" t="s">
        <v>19</v>
      </c>
      <c r="E17" s="1" t="s">
        <v>20</v>
      </c>
      <c r="F17" s="1" t="n">
        <v>8</v>
      </c>
      <c r="G17" s="1" t="s">
        <v>33</v>
      </c>
      <c r="H17" s="1" t="n">
        <v>0.1562</v>
      </c>
      <c r="I17" s="1" t="n">
        <v>0.232788899002152</v>
      </c>
      <c r="J17" s="1" t="n">
        <v>0.317282608770013</v>
      </c>
      <c r="K17" s="1" t="n">
        <f aca="false">J17-I17</f>
        <v>0.0844937097678606</v>
      </c>
      <c r="L17" s="1" t="n">
        <v>0.839797661168354</v>
      </c>
    </row>
    <row r="18" customFormat="false" ht="15" hidden="false" customHeight="false" outlineLevel="0" collapsed="false">
      <c r="A18" s="1" t="s">
        <v>35</v>
      </c>
      <c r="B18" s="1" t="s">
        <v>36</v>
      </c>
      <c r="C18" s="1" t="s">
        <v>37</v>
      </c>
      <c r="D18" s="1" t="s">
        <v>19</v>
      </c>
      <c r="E18" s="1" t="s">
        <v>20</v>
      </c>
      <c r="F18" s="1" t="n">
        <v>8</v>
      </c>
      <c r="G18" s="1" t="s">
        <v>38</v>
      </c>
      <c r="H18" s="1" t="n">
        <v>0.1529</v>
      </c>
      <c r="I18" s="1" t="n">
        <v>0.227952932731727</v>
      </c>
      <c r="J18" s="1" t="n">
        <v>0.315171419893976</v>
      </c>
      <c r="K18" s="1" t="n">
        <f aca="false">J18-I18</f>
        <v>0.087218487162249</v>
      </c>
      <c r="L18" s="1" t="n">
        <v>0.839797661168354</v>
      </c>
    </row>
    <row r="19" customFormat="false" ht="15" hidden="false" customHeight="false" outlineLevel="0" collapsed="false">
      <c r="A19" s="1" t="s">
        <v>35</v>
      </c>
      <c r="B19" s="1" t="s">
        <v>36</v>
      </c>
      <c r="C19" s="1" t="s">
        <v>37</v>
      </c>
      <c r="D19" s="1" t="s">
        <v>19</v>
      </c>
      <c r="E19" s="1" t="s">
        <v>20</v>
      </c>
      <c r="F19" s="1" t="n">
        <v>8</v>
      </c>
      <c r="G19" s="1" t="s">
        <v>39</v>
      </c>
      <c r="H19" s="1" t="n">
        <v>0.1469</v>
      </c>
      <c r="I19" s="1" t="n">
        <v>0.218906792613586</v>
      </c>
      <c r="J19" s="1" t="n">
        <v>0.309849566436766</v>
      </c>
      <c r="K19" s="1" t="n">
        <f aca="false">J19-I19</f>
        <v>0.0909427738231797</v>
      </c>
      <c r="L19" s="1" t="n">
        <v>0.839797661168354</v>
      </c>
    </row>
    <row r="20" customFormat="false" ht="15" hidden="false" customHeight="false" outlineLevel="0" collapsed="false">
      <c r="A20" s="1" t="s">
        <v>40</v>
      </c>
      <c r="B20" s="1" t="s">
        <v>41</v>
      </c>
      <c r="C20" s="1" t="s">
        <v>42</v>
      </c>
      <c r="D20" s="1" t="s">
        <v>19</v>
      </c>
      <c r="E20" s="1" t="s">
        <v>20</v>
      </c>
      <c r="F20" s="1" t="n">
        <v>10</v>
      </c>
      <c r="G20" s="1" t="s">
        <v>21</v>
      </c>
      <c r="H20" s="1" t="n">
        <v>0.3706</v>
      </c>
      <c r="I20" s="1" t="n">
        <v>0.308419476738421</v>
      </c>
      <c r="J20" s="1" t="n">
        <v>0.356884702026906</v>
      </c>
      <c r="K20" s="1" t="n">
        <f aca="false">J20-I20</f>
        <v>0.0484652252884848</v>
      </c>
      <c r="L20" s="1" t="n">
        <v>0.620764082289514</v>
      </c>
    </row>
    <row r="21" customFormat="false" ht="15" hidden="false" customHeight="false" outlineLevel="0" collapsed="false">
      <c r="A21" s="1" t="s">
        <v>40</v>
      </c>
      <c r="B21" s="1" t="s">
        <v>41</v>
      </c>
      <c r="C21" s="1" t="s">
        <v>42</v>
      </c>
      <c r="D21" s="1" t="s">
        <v>19</v>
      </c>
      <c r="E21" s="1" t="s">
        <v>20</v>
      </c>
      <c r="F21" s="1" t="n">
        <v>10</v>
      </c>
      <c r="G21" s="1" t="s">
        <v>39</v>
      </c>
      <c r="H21" s="1" t="n">
        <v>0.2661</v>
      </c>
      <c r="I21" s="1" t="n">
        <v>0.22147288475373</v>
      </c>
      <c r="J21" s="1" t="n">
        <v>0.269093843640228</v>
      </c>
      <c r="K21" s="1" t="n">
        <f aca="false">J21-I21</f>
        <v>0.0476209588864987</v>
      </c>
      <c r="L21" s="1" t="n">
        <v>0.620764082289514</v>
      </c>
    </row>
    <row r="22" customFormat="false" ht="15" hidden="false" customHeight="false" outlineLevel="0" collapsed="false">
      <c r="A22" s="1" t="s">
        <v>40</v>
      </c>
      <c r="B22" s="1" t="s">
        <v>41</v>
      </c>
      <c r="C22" s="1" t="s">
        <v>42</v>
      </c>
      <c r="D22" s="1" t="s">
        <v>19</v>
      </c>
      <c r="E22" s="1" t="s">
        <v>20</v>
      </c>
      <c r="F22" s="1" t="n">
        <v>10</v>
      </c>
      <c r="G22" s="1" t="s">
        <v>34</v>
      </c>
      <c r="H22" s="1" t="n">
        <v>0.2633</v>
      </c>
      <c r="I22" s="1" t="n">
        <v>0.21911096232839</v>
      </c>
      <c r="J22" s="1" t="n">
        <v>0.243654229781902</v>
      </c>
      <c r="K22" s="1" t="n">
        <f aca="false">J22-I22</f>
        <v>0.0245432674535119</v>
      </c>
      <c r="L22" s="1" t="n">
        <v>0.620764082289514</v>
      </c>
    </row>
    <row r="23" customFormat="false" ht="15" hidden="false" customHeight="false" outlineLevel="0" collapsed="false">
      <c r="A23" s="1" t="s">
        <v>40</v>
      </c>
      <c r="B23" s="1" t="s">
        <v>41</v>
      </c>
      <c r="C23" s="1" t="s">
        <v>42</v>
      </c>
      <c r="D23" s="1" t="s">
        <v>19</v>
      </c>
      <c r="E23" s="1" t="s">
        <v>20</v>
      </c>
      <c r="F23" s="1" t="n">
        <v>10</v>
      </c>
      <c r="G23" s="1" t="s">
        <v>22</v>
      </c>
      <c r="H23" s="1" t="n">
        <v>0.1</v>
      </c>
      <c r="I23" s="1" t="n">
        <v>0.176615279392831</v>
      </c>
      <c r="J23" s="1" t="n">
        <v>0.226268272950765</v>
      </c>
      <c r="K23" s="1" t="n">
        <f aca="false">J23-I23</f>
        <v>0.0496529935579332</v>
      </c>
      <c r="L23" s="1" t="n">
        <v>0.620764082289514</v>
      </c>
    </row>
    <row r="24" customFormat="false" ht="15" hidden="false" customHeight="false" outlineLevel="0" collapsed="false">
      <c r="A24" s="1" t="s">
        <v>43</v>
      </c>
      <c r="B24" s="1" t="s">
        <v>44</v>
      </c>
      <c r="C24" s="1" t="s">
        <v>45</v>
      </c>
      <c r="D24" s="1" t="s">
        <v>19</v>
      </c>
      <c r="E24" s="1" t="s">
        <v>20</v>
      </c>
      <c r="F24" s="1" t="n">
        <v>12</v>
      </c>
      <c r="G24" s="1" t="s">
        <v>21</v>
      </c>
      <c r="H24" s="1" t="n">
        <v>0.9</v>
      </c>
      <c r="I24" s="1" t="n">
        <v>0.290029993764322</v>
      </c>
      <c r="J24" s="1" t="n">
        <v>0.428347813028935</v>
      </c>
      <c r="K24" s="1" t="n">
        <f aca="false">J24-I24</f>
        <v>0.138317819264613</v>
      </c>
      <c r="L24" s="1" t="n">
        <v>0.708249150690089</v>
      </c>
    </row>
    <row r="25" customFormat="false" ht="15" hidden="false" customHeight="false" outlineLevel="0" collapsed="false">
      <c r="A25" s="1" t="s">
        <v>43</v>
      </c>
      <c r="B25" s="1" t="s">
        <v>44</v>
      </c>
      <c r="C25" s="1" t="s">
        <v>45</v>
      </c>
      <c r="D25" s="1" t="s">
        <v>19</v>
      </c>
      <c r="E25" s="1" t="s">
        <v>20</v>
      </c>
      <c r="F25" s="1" t="n">
        <v>12</v>
      </c>
      <c r="G25" s="1" t="s">
        <v>22</v>
      </c>
      <c r="H25" s="1" t="n">
        <v>0.1</v>
      </c>
      <c r="I25" s="1" t="n">
        <v>0.178519605694259</v>
      </c>
      <c r="J25" s="1" t="n">
        <v>0.311783724559897</v>
      </c>
      <c r="K25" s="1" t="n">
        <f aca="false">J25-I25</f>
        <v>0.133264118865638</v>
      </c>
      <c r="L25" s="1" t="n">
        <v>0.708249150690089</v>
      </c>
    </row>
    <row r="26" customFormat="false" ht="15" hidden="false" customHeight="false" outlineLevel="0" collapsed="false">
      <c r="A26" s="1" t="s">
        <v>46</v>
      </c>
      <c r="B26" s="1" t="s">
        <v>47</v>
      </c>
      <c r="C26" s="1" t="s">
        <v>48</v>
      </c>
      <c r="D26" s="1" t="s">
        <v>19</v>
      </c>
      <c r="E26" s="1" t="s">
        <v>20</v>
      </c>
      <c r="F26" s="1" t="n">
        <v>14</v>
      </c>
      <c r="G26" s="1" t="s">
        <v>21</v>
      </c>
      <c r="H26" s="1" t="n">
        <v>0.2307</v>
      </c>
      <c r="I26" s="1" t="n">
        <v>0.331086784530316</v>
      </c>
      <c r="J26" s="1" t="n">
        <v>0.41266020139492</v>
      </c>
      <c r="K26" s="1" t="n">
        <f aca="false">J26-I26</f>
        <v>0.0815734168646046</v>
      </c>
      <c r="L26" s="1" t="n">
        <v>0.81183171273243</v>
      </c>
    </row>
    <row r="27" customFormat="false" ht="15" hidden="false" customHeight="false" outlineLevel="0" collapsed="false">
      <c r="A27" s="1" t="s">
        <v>46</v>
      </c>
      <c r="B27" s="1" t="s">
        <v>47</v>
      </c>
      <c r="C27" s="1" t="s">
        <v>48</v>
      </c>
      <c r="D27" s="1" t="s">
        <v>19</v>
      </c>
      <c r="E27" s="1" t="s">
        <v>20</v>
      </c>
      <c r="F27" s="1" t="n">
        <v>14</v>
      </c>
      <c r="G27" s="1" t="s">
        <v>38</v>
      </c>
      <c r="H27" s="1" t="n">
        <v>0.1656</v>
      </c>
      <c r="I27" s="1" t="n">
        <v>0.237637639428374</v>
      </c>
      <c r="J27" s="1" t="n">
        <v>0.234840492225637</v>
      </c>
      <c r="K27" s="1" t="n">
        <f aca="false">J27-I27</f>
        <v>-0.00279714720273649</v>
      </c>
      <c r="L27" s="1" t="n">
        <v>0.81183171273243</v>
      </c>
    </row>
    <row r="28" customFormat="false" ht="15" hidden="false" customHeight="false" outlineLevel="0" collapsed="false">
      <c r="A28" s="1" t="s">
        <v>46</v>
      </c>
      <c r="B28" s="1" t="s">
        <v>47</v>
      </c>
      <c r="C28" s="1" t="s">
        <v>48</v>
      </c>
      <c r="D28" s="1" t="s">
        <v>19</v>
      </c>
      <c r="E28" s="1" t="s">
        <v>20</v>
      </c>
      <c r="F28" s="1" t="n">
        <v>14</v>
      </c>
      <c r="G28" s="1" t="s">
        <v>39</v>
      </c>
      <c r="H28" s="1" t="n">
        <v>0.1607</v>
      </c>
      <c r="I28" s="1" t="n">
        <v>0.230654894946709</v>
      </c>
      <c r="J28" s="1" t="n">
        <v>0.264261183309649</v>
      </c>
      <c r="K28" s="1" t="n">
        <f aca="false">J28-I28</f>
        <v>0.0336062883629406</v>
      </c>
      <c r="L28" s="1" t="n">
        <v>0.81183171273243</v>
      </c>
    </row>
    <row r="29" customFormat="false" ht="15" hidden="false" customHeight="false" outlineLevel="0" collapsed="false">
      <c r="A29" s="1" t="s">
        <v>46</v>
      </c>
      <c r="B29" s="1" t="s">
        <v>47</v>
      </c>
      <c r="C29" s="1" t="s">
        <v>48</v>
      </c>
      <c r="D29" s="1" t="s">
        <v>19</v>
      </c>
      <c r="E29" s="1" t="s">
        <v>20</v>
      </c>
      <c r="F29" s="1" t="n">
        <v>14</v>
      </c>
      <c r="G29" s="1" t="s">
        <v>49</v>
      </c>
      <c r="H29" s="1" t="n">
        <v>0.1484</v>
      </c>
      <c r="I29" s="1" t="n">
        <v>0.213033097061926</v>
      </c>
      <c r="J29" s="1" t="n">
        <v>0.258511306895495</v>
      </c>
      <c r="K29" s="1" t="n">
        <f aca="false">J29-I29</f>
        <v>0.0454782098335692</v>
      </c>
      <c r="L29" s="1" t="n">
        <v>0.81183171273243</v>
      </c>
    </row>
    <row r="30" customFormat="false" ht="15" hidden="false" customHeight="false" outlineLevel="0" collapsed="false">
      <c r="A30" s="1" t="s">
        <v>46</v>
      </c>
      <c r="B30" s="1" t="s">
        <v>47</v>
      </c>
      <c r="C30" s="1" t="s">
        <v>48</v>
      </c>
      <c r="D30" s="1" t="s">
        <v>19</v>
      </c>
      <c r="E30" s="1" t="s">
        <v>20</v>
      </c>
      <c r="F30" s="1" t="n">
        <v>14</v>
      </c>
      <c r="G30" s="1" t="s">
        <v>22</v>
      </c>
      <c r="H30" s="1" t="n">
        <v>0.1474</v>
      </c>
      <c r="I30" s="1" t="n">
        <v>0.211538585971815</v>
      </c>
      <c r="J30" s="1" t="n">
        <v>0.267887937595755</v>
      </c>
      <c r="K30" s="1" t="n">
        <f aca="false">J30-I30</f>
        <v>0.0563493516239398</v>
      </c>
      <c r="L30" s="1" t="n">
        <v>0.81183171273243</v>
      </c>
    </row>
    <row r="31" customFormat="false" ht="15" hidden="false" customHeight="false" outlineLevel="0" collapsed="false">
      <c r="A31" s="1" t="s">
        <v>46</v>
      </c>
      <c r="B31" s="1" t="s">
        <v>47</v>
      </c>
      <c r="C31" s="1" t="s">
        <v>48</v>
      </c>
      <c r="D31" s="1" t="s">
        <v>19</v>
      </c>
      <c r="E31" s="1" t="s">
        <v>20</v>
      </c>
      <c r="F31" s="1" t="n">
        <v>14</v>
      </c>
      <c r="G31" s="1" t="s">
        <v>34</v>
      </c>
      <c r="H31" s="1" t="n">
        <v>0.1473</v>
      </c>
      <c r="I31" s="1" t="n">
        <v>0.211485190778121</v>
      </c>
      <c r="J31" s="1" t="n">
        <v>0.223996874723121</v>
      </c>
      <c r="K31" s="1" t="n">
        <f aca="false">J31-I31</f>
        <v>0.0125116839450008</v>
      </c>
      <c r="L31" s="1" t="n">
        <v>0.81183171273243</v>
      </c>
    </row>
    <row r="32" customFormat="false" ht="15" hidden="false" customHeight="false" outlineLevel="0" collapsed="false">
      <c r="A32" s="1" t="s">
        <v>50</v>
      </c>
      <c r="B32" s="1" t="s">
        <v>51</v>
      </c>
      <c r="C32" s="1" t="s">
        <v>52</v>
      </c>
      <c r="D32" s="1" t="s">
        <v>19</v>
      </c>
      <c r="E32" s="1" t="s">
        <v>20</v>
      </c>
      <c r="F32" s="1" t="n">
        <v>16</v>
      </c>
      <c r="G32" s="1" t="s">
        <v>21</v>
      </c>
      <c r="H32" s="1" t="n">
        <v>0.9</v>
      </c>
      <c r="I32" s="1" t="n">
        <v>0.272935791366351</v>
      </c>
      <c r="J32" s="1" t="n">
        <v>0.392493970533359</v>
      </c>
      <c r="K32" s="1" t="n">
        <f aca="false">J32-I32</f>
        <v>0.119558179167008</v>
      </c>
      <c r="L32" s="1" t="n">
        <v>0.717889791117422</v>
      </c>
    </row>
    <row r="33" customFormat="false" ht="15" hidden="false" customHeight="false" outlineLevel="0" collapsed="false">
      <c r="A33" s="1" t="s">
        <v>50</v>
      </c>
      <c r="B33" s="1" t="s">
        <v>51</v>
      </c>
      <c r="C33" s="1" t="s">
        <v>52</v>
      </c>
      <c r="D33" s="1" t="s">
        <v>19</v>
      </c>
      <c r="E33" s="1" t="s">
        <v>20</v>
      </c>
      <c r="F33" s="1" t="n">
        <v>16</v>
      </c>
      <c r="G33" s="1" t="s">
        <v>22</v>
      </c>
      <c r="H33" s="1" t="n">
        <v>0.1</v>
      </c>
      <c r="I33" s="1" t="n">
        <v>0.175130656145895</v>
      </c>
      <c r="J33" s="1" t="n">
        <v>0.268966387124553</v>
      </c>
      <c r="K33" s="1" t="n">
        <f aca="false">J33-I33</f>
        <v>0.093835730978658</v>
      </c>
      <c r="L33" s="1" t="n">
        <v>0.717889791117422</v>
      </c>
    </row>
    <row r="34" customFormat="false" ht="15" hidden="false" customHeight="false" outlineLevel="0" collapsed="false">
      <c r="A34" s="1" t="s">
        <v>53</v>
      </c>
      <c r="B34" s="1" t="s">
        <v>54</v>
      </c>
      <c r="C34" s="1" t="s">
        <v>55</v>
      </c>
      <c r="D34" s="1" t="s">
        <v>19</v>
      </c>
      <c r="E34" s="1" t="s">
        <v>20</v>
      </c>
      <c r="F34" s="1" t="n">
        <v>18</v>
      </c>
      <c r="G34" s="1" t="s">
        <v>21</v>
      </c>
      <c r="H34" s="1" t="n">
        <v>0.2199</v>
      </c>
      <c r="I34" s="1" t="n">
        <v>0.315464226290834</v>
      </c>
      <c r="J34" s="1" t="n">
        <v>0.37616936477742</v>
      </c>
      <c r="K34" s="1" t="n">
        <f aca="false">J34-I34</f>
        <v>0.0607051384865855</v>
      </c>
      <c r="L34" s="1" t="n">
        <v>0.82670674249406</v>
      </c>
    </row>
    <row r="35" customFormat="false" ht="15" hidden="false" customHeight="false" outlineLevel="0" collapsed="false">
      <c r="A35" s="1" t="s">
        <v>53</v>
      </c>
      <c r="B35" s="1" t="s">
        <v>54</v>
      </c>
      <c r="C35" s="1" t="s">
        <v>55</v>
      </c>
      <c r="D35" s="1" t="s">
        <v>19</v>
      </c>
      <c r="E35" s="1" t="s">
        <v>20</v>
      </c>
      <c r="F35" s="1" t="n">
        <v>18</v>
      </c>
      <c r="G35" s="1" t="s">
        <v>39</v>
      </c>
      <c r="H35" s="1" t="n">
        <v>0.1746</v>
      </c>
      <c r="I35" s="1" t="n">
        <v>0.250464661555306</v>
      </c>
      <c r="J35" s="1" t="n">
        <v>0.306370872640556</v>
      </c>
      <c r="K35" s="1" t="n">
        <f aca="false">J35-I35</f>
        <v>0.0559062110852508</v>
      </c>
      <c r="L35" s="1" t="n">
        <v>0.82670674249406</v>
      </c>
    </row>
    <row r="36" customFormat="false" ht="15" hidden="false" customHeight="false" outlineLevel="0" collapsed="false">
      <c r="A36" s="1" t="s">
        <v>53</v>
      </c>
      <c r="B36" s="1" t="s">
        <v>54</v>
      </c>
      <c r="C36" s="1" t="s">
        <v>55</v>
      </c>
      <c r="D36" s="1" t="s">
        <v>19</v>
      </c>
      <c r="E36" s="1" t="s">
        <v>20</v>
      </c>
      <c r="F36" s="1" t="n">
        <v>18</v>
      </c>
      <c r="G36" s="1" t="s">
        <v>34</v>
      </c>
      <c r="H36" s="1" t="n">
        <v>0.1615</v>
      </c>
      <c r="I36" s="1" t="n">
        <v>0.231721962691072</v>
      </c>
      <c r="J36" s="1" t="n">
        <v>0.255099231201525</v>
      </c>
      <c r="K36" s="1" t="n">
        <f aca="false">J36-I36</f>
        <v>0.0233772685104536</v>
      </c>
      <c r="L36" s="1" t="n">
        <v>0.82670674249406</v>
      </c>
    </row>
    <row r="37" customFormat="false" ht="15" hidden="false" customHeight="false" outlineLevel="0" collapsed="false">
      <c r="A37" s="1" t="s">
        <v>53</v>
      </c>
      <c r="B37" s="1" t="s">
        <v>54</v>
      </c>
      <c r="C37" s="1" t="s">
        <v>55</v>
      </c>
      <c r="D37" s="1" t="s">
        <v>19</v>
      </c>
      <c r="E37" s="1" t="s">
        <v>20</v>
      </c>
      <c r="F37" s="1" t="n">
        <v>18</v>
      </c>
      <c r="G37" s="1" t="s">
        <v>22</v>
      </c>
      <c r="H37" s="1" t="n">
        <v>0.153</v>
      </c>
      <c r="I37" s="1" t="n">
        <v>0.219584825209069</v>
      </c>
      <c r="J37" s="1" t="n">
        <v>0.236840734841923</v>
      </c>
      <c r="K37" s="1" t="n">
        <f aca="false">J37-I37</f>
        <v>0.0172559096328541</v>
      </c>
      <c r="L37" s="1" t="n">
        <v>0.82670674249406</v>
      </c>
    </row>
    <row r="38" customFormat="false" ht="15" hidden="false" customHeight="false" outlineLevel="0" collapsed="false">
      <c r="A38" s="1" t="s">
        <v>53</v>
      </c>
      <c r="B38" s="1" t="s">
        <v>54</v>
      </c>
      <c r="C38" s="1" t="s">
        <v>55</v>
      </c>
      <c r="D38" s="1" t="s">
        <v>19</v>
      </c>
      <c r="E38" s="1" t="s">
        <v>20</v>
      </c>
      <c r="F38" s="1" t="n">
        <v>18</v>
      </c>
      <c r="G38" s="1" t="s">
        <v>56</v>
      </c>
      <c r="H38" s="1" t="n">
        <v>0.1457</v>
      </c>
      <c r="I38" s="1" t="n">
        <v>0.208990215228883</v>
      </c>
      <c r="J38" s="1" t="n">
        <v>0.254013641182791</v>
      </c>
      <c r="K38" s="1" t="n">
        <f aca="false">J38-I38</f>
        <v>0.0450234259539083</v>
      </c>
      <c r="L38" s="1" t="n">
        <v>0.82670674249406</v>
      </c>
    </row>
    <row r="39" customFormat="false" ht="15" hidden="false" customHeight="false" outlineLevel="0" collapsed="false">
      <c r="A39" s="1" t="s">
        <v>53</v>
      </c>
      <c r="B39" s="1" t="s">
        <v>54</v>
      </c>
      <c r="C39" s="1" t="s">
        <v>55</v>
      </c>
      <c r="D39" s="1" t="s">
        <v>19</v>
      </c>
      <c r="E39" s="1" t="s">
        <v>20</v>
      </c>
      <c r="F39" s="1" t="n">
        <v>18</v>
      </c>
      <c r="G39" s="1" t="s">
        <v>38</v>
      </c>
      <c r="H39" s="1" t="n">
        <v>0.1454</v>
      </c>
      <c r="I39" s="1" t="n">
        <v>0.20864903072463</v>
      </c>
      <c r="J39" s="1" t="n">
        <v>0.250871561426185</v>
      </c>
      <c r="K39" s="1" t="n">
        <f aca="false">J39-I39</f>
        <v>0.0422225307015559</v>
      </c>
      <c r="L39" s="1" t="n">
        <v>0.82670674249406</v>
      </c>
    </row>
    <row r="40" customFormat="false" ht="15" hidden="false" customHeight="false" outlineLevel="0" collapsed="false">
      <c r="A40" s="1" t="s">
        <v>57</v>
      </c>
      <c r="B40" s="1" t="s">
        <v>58</v>
      </c>
      <c r="C40" s="1" t="s">
        <v>59</v>
      </c>
      <c r="D40" s="1" t="s">
        <v>19</v>
      </c>
      <c r="E40" s="1" t="s">
        <v>20</v>
      </c>
      <c r="F40" s="1" t="n">
        <v>20</v>
      </c>
      <c r="G40" s="1" t="s">
        <v>21</v>
      </c>
      <c r="H40" s="1" t="n">
        <v>0.235</v>
      </c>
      <c r="I40" s="1" t="n">
        <v>0.351796537598929</v>
      </c>
      <c r="J40" s="1" t="n">
        <v>0.438883922548508</v>
      </c>
      <c r="K40" s="1" t="n">
        <f aca="false">J40-I40</f>
        <v>0.0870873849495795</v>
      </c>
      <c r="L40" s="1" t="n">
        <v>0.751587201916451</v>
      </c>
    </row>
    <row r="41" customFormat="false" ht="15" hidden="false" customHeight="false" outlineLevel="0" collapsed="false">
      <c r="A41" s="1" t="s">
        <v>57</v>
      </c>
      <c r="B41" s="1" t="s">
        <v>58</v>
      </c>
      <c r="C41" s="1" t="s">
        <v>59</v>
      </c>
      <c r="D41" s="1" t="s">
        <v>19</v>
      </c>
      <c r="E41" s="1" t="s">
        <v>20</v>
      </c>
      <c r="F41" s="1" t="n">
        <v>20</v>
      </c>
      <c r="G41" s="1" t="s">
        <v>39</v>
      </c>
      <c r="H41" s="1" t="n">
        <v>0.1584</v>
      </c>
      <c r="I41" s="1" t="n">
        <v>0.237142573525855</v>
      </c>
      <c r="J41" s="1" t="n">
        <v>0.321997840129129</v>
      </c>
      <c r="K41" s="1" t="n">
        <f aca="false">J41-I41</f>
        <v>0.084855266603274</v>
      </c>
      <c r="L41" s="1" t="n">
        <v>0.751587201916451</v>
      </c>
    </row>
    <row r="42" customFormat="false" ht="15" hidden="false" customHeight="false" outlineLevel="0" collapsed="false">
      <c r="A42" s="1" t="s">
        <v>57</v>
      </c>
      <c r="B42" s="1" t="s">
        <v>58</v>
      </c>
      <c r="C42" s="1" t="s">
        <v>59</v>
      </c>
      <c r="D42" s="1" t="s">
        <v>19</v>
      </c>
      <c r="E42" s="1" t="s">
        <v>20</v>
      </c>
      <c r="F42" s="1" t="n">
        <v>20</v>
      </c>
      <c r="G42" s="1" t="s">
        <v>56</v>
      </c>
      <c r="H42" s="1" t="n">
        <v>0.1583</v>
      </c>
      <c r="I42" s="1" t="n">
        <v>0.23708080977397</v>
      </c>
      <c r="J42" s="1" t="n">
        <v>0.347966590369929</v>
      </c>
      <c r="K42" s="1" t="n">
        <f aca="false">J42-I42</f>
        <v>0.110885780595959</v>
      </c>
      <c r="L42" s="1" t="n">
        <v>0.751587201916451</v>
      </c>
    </row>
    <row r="43" customFormat="false" ht="15" hidden="false" customHeight="false" outlineLevel="0" collapsed="false">
      <c r="A43" s="1" t="s">
        <v>57</v>
      </c>
      <c r="B43" s="1" t="s">
        <v>58</v>
      </c>
      <c r="C43" s="1" t="s">
        <v>59</v>
      </c>
      <c r="D43" s="1" t="s">
        <v>19</v>
      </c>
      <c r="E43" s="1" t="s">
        <v>20</v>
      </c>
      <c r="F43" s="1" t="n">
        <v>20</v>
      </c>
      <c r="G43" s="1" t="s">
        <v>49</v>
      </c>
      <c r="H43" s="1" t="n">
        <v>0.1575</v>
      </c>
      <c r="I43" s="1" t="n">
        <v>0.235771267556673</v>
      </c>
      <c r="J43" s="1" t="n">
        <v>0.332327335677263</v>
      </c>
      <c r="K43" s="1" t="n">
        <f aca="false">J43-I43</f>
        <v>0.0965560681205901</v>
      </c>
      <c r="L43" s="1" t="n">
        <v>0.751587201916451</v>
      </c>
    </row>
    <row r="44" customFormat="false" ht="15" hidden="false" customHeight="false" outlineLevel="0" collapsed="false">
      <c r="A44" s="1" t="s">
        <v>57</v>
      </c>
      <c r="B44" s="1" t="s">
        <v>58</v>
      </c>
      <c r="C44" s="1" t="s">
        <v>59</v>
      </c>
      <c r="D44" s="1" t="s">
        <v>19</v>
      </c>
      <c r="E44" s="1" t="s">
        <v>20</v>
      </c>
      <c r="F44" s="1" t="n">
        <v>20</v>
      </c>
      <c r="G44" s="1" t="s">
        <v>34</v>
      </c>
      <c r="H44" s="1" t="n">
        <v>0.1481</v>
      </c>
      <c r="I44" s="1" t="n">
        <v>0.221758552081041</v>
      </c>
      <c r="J44" s="1" t="n">
        <v>0.322225085684908</v>
      </c>
      <c r="K44" s="1" t="n">
        <f aca="false">J44-I44</f>
        <v>0.100466533603867</v>
      </c>
      <c r="L44" s="1" t="n">
        <v>0.751587201916451</v>
      </c>
    </row>
    <row r="45" customFormat="false" ht="15" hidden="false" customHeight="false" outlineLevel="0" collapsed="false">
      <c r="A45" s="1" t="s">
        <v>57</v>
      </c>
      <c r="B45" s="1" t="s">
        <v>58</v>
      </c>
      <c r="C45" s="1" t="s">
        <v>59</v>
      </c>
      <c r="D45" s="1" t="s">
        <v>19</v>
      </c>
      <c r="E45" s="1" t="s">
        <v>20</v>
      </c>
      <c r="F45" s="1" t="n">
        <v>20</v>
      </c>
      <c r="G45" s="1" t="s">
        <v>22</v>
      </c>
      <c r="H45" s="1" t="n">
        <v>0.1427</v>
      </c>
      <c r="I45" s="1" t="n">
        <v>0.21370431704261</v>
      </c>
      <c r="J45" s="1" t="n">
        <v>0.352741047145554</v>
      </c>
      <c r="K45" s="1" t="n">
        <f aca="false">J45-I45</f>
        <v>0.139036730102944</v>
      </c>
      <c r="L45" s="1" t="n">
        <v>0.751587201916451</v>
      </c>
    </row>
    <row r="46" customFormat="false" ht="15" hidden="false" customHeight="false" outlineLevel="0" collapsed="false">
      <c r="A46" s="1" t="s">
        <v>60</v>
      </c>
      <c r="B46" s="1" t="s">
        <v>61</v>
      </c>
      <c r="C46" s="1" t="s">
        <v>62</v>
      </c>
      <c r="D46" s="1" t="s">
        <v>19</v>
      </c>
      <c r="E46" s="1" t="s">
        <v>20</v>
      </c>
      <c r="F46" s="1" t="n">
        <v>22</v>
      </c>
      <c r="G46" s="1" t="s">
        <v>21</v>
      </c>
      <c r="H46" s="1" t="n">
        <v>0.2205</v>
      </c>
      <c r="I46" s="1" t="n">
        <v>0.329606135476129</v>
      </c>
      <c r="J46" s="1" t="n">
        <v>0.472250916898569</v>
      </c>
      <c r="K46" s="1" t="n">
        <f aca="false">J46-I46</f>
        <v>0.14264478142244</v>
      </c>
      <c r="L46" s="1" t="n">
        <v>0.767576286083638</v>
      </c>
    </row>
    <row r="47" customFormat="false" ht="15" hidden="false" customHeight="false" outlineLevel="0" collapsed="false">
      <c r="A47" s="1" t="s">
        <v>60</v>
      </c>
      <c r="B47" s="1" t="s">
        <v>61</v>
      </c>
      <c r="C47" s="1" t="s">
        <v>62</v>
      </c>
      <c r="D47" s="1" t="s">
        <v>19</v>
      </c>
      <c r="E47" s="1" t="s">
        <v>20</v>
      </c>
      <c r="F47" s="1" t="n">
        <v>22</v>
      </c>
      <c r="G47" s="1" t="s">
        <v>38</v>
      </c>
      <c r="H47" s="1" t="n">
        <v>0.1745</v>
      </c>
      <c r="I47" s="1" t="n">
        <v>0.260945519455839</v>
      </c>
      <c r="J47" s="1" t="n">
        <v>0.399907253535546</v>
      </c>
      <c r="K47" s="1" t="n">
        <f aca="false">J47-I47</f>
        <v>0.138961734079706</v>
      </c>
      <c r="L47" s="1" t="n">
        <v>0.767576286083638</v>
      </c>
    </row>
    <row r="48" customFormat="false" ht="15" hidden="false" customHeight="false" outlineLevel="0" collapsed="false">
      <c r="A48" s="1" t="s">
        <v>60</v>
      </c>
      <c r="B48" s="1" t="s">
        <v>61</v>
      </c>
      <c r="C48" s="1" t="s">
        <v>62</v>
      </c>
      <c r="D48" s="1" t="s">
        <v>19</v>
      </c>
      <c r="E48" s="1" t="s">
        <v>20</v>
      </c>
      <c r="F48" s="1" t="n">
        <v>22</v>
      </c>
      <c r="G48" s="1" t="s">
        <v>34</v>
      </c>
      <c r="H48" s="1" t="n">
        <v>0.17</v>
      </c>
      <c r="I48" s="1" t="n">
        <v>0.254223452028076</v>
      </c>
      <c r="J48" s="1" t="n">
        <v>0.347947651276485</v>
      </c>
      <c r="K48" s="1" t="n">
        <f aca="false">J48-I48</f>
        <v>0.0937241992484097</v>
      </c>
      <c r="L48" s="1" t="n">
        <v>0.767576286083638</v>
      </c>
    </row>
    <row r="49" customFormat="false" ht="15" hidden="false" customHeight="false" outlineLevel="0" collapsed="false">
      <c r="A49" s="1" t="s">
        <v>60</v>
      </c>
      <c r="B49" s="1" t="s">
        <v>61</v>
      </c>
      <c r="C49" s="1" t="s">
        <v>62</v>
      </c>
      <c r="D49" s="1" t="s">
        <v>19</v>
      </c>
      <c r="E49" s="1" t="s">
        <v>20</v>
      </c>
      <c r="F49" s="1" t="n">
        <v>22</v>
      </c>
      <c r="G49" s="1" t="s">
        <v>63</v>
      </c>
      <c r="H49" s="1" t="n">
        <v>0.1683</v>
      </c>
      <c r="I49" s="1" t="n">
        <v>0.251567972529195</v>
      </c>
      <c r="J49" s="1" t="n">
        <v>0.313815968130509</v>
      </c>
      <c r="K49" s="1" t="n">
        <f aca="false">J49-I49</f>
        <v>0.0622479956013134</v>
      </c>
      <c r="L49" s="1" t="n">
        <v>0.767576286083638</v>
      </c>
    </row>
    <row r="50" customFormat="false" ht="15" hidden="false" customHeight="false" outlineLevel="0" collapsed="false">
      <c r="A50" s="1" t="s">
        <v>60</v>
      </c>
      <c r="B50" s="1" t="s">
        <v>61</v>
      </c>
      <c r="C50" s="1" t="s">
        <v>62</v>
      </c>
      <c r="D50" s="1" t="s">
        <v>19</v>
      </c>
      <c r="E50" s="1" t="s">
        <v>20</v>
      </c>
      <c r="F50" s="1" t="n">
        <v>22</v>
      </c>
      <c r="G50" s="1" t="s">
        <v>39</v>
      </c>
      <c r="H50" s="1" t="n">
        <v>0.1667</v>
      </c>
      <c r="I50" s="1" t="n">
        <v>0.249178036139397</v>
      </c>
      <c r="J50" s="1" t="n">
        <v>0.38925323889187</v>
      </c>
      <c r="K50" s="1" t="n">
        <f aca="false">J50-I50</f>
        <v>0.140075202752474</v>
      </c>
      <c r="L50" s="1" t="n">
        <v>0.767576286083638</v>
      </c>
    </row>
    <row r="51" customFormat="false" ht="15" hidden="false" customHeight="false" outlineLevel="0" collapsed="false">
      <c r="A51" s="1" t="s">
        <v>60</v>
      </c>
      <c r="B51" s="1" t="s">
        <v>61</v>
      </c>
      <c r="C51" s="1" t="s">
        <v>62</v>
      </c>
      <c r="D51" s="1" t="s">
        <v>19</v>
      </c>
      <c r="E51" s="1" t="s">
        <v>20</v>
      </c>
      <c r="F51" s="1" t="n">
        <v>22</v>
      </c>
      <c r="G51" s="1" t="s">
        <v>22</v>
      </c>
      <c r="H51" s="1" t="n">
        <v>0.1</v>
      </c>
      <c r="I51" s="1" t="n">
        <v>0.215917112706396</v>
      </c>
      <c r="J51" s="1" t="n">
        <v>0.336106751674872</v>
      </c>
      <c r="K51" s="1" t="n">
        <f aca="false">J51-I51</f>
        <v>0.120189638968476</v>
      </c>
      <c r="L51" s="1" t="n">
        <v>0.767576286083638</v>
      </c>
    </row>
    <row r="52" customFormat="false" ht="15" hidden="false" customHeight="false" outlineLevel="0" collapsed="false">
      <c r="A52" s="1" t="s">
        <v>64</v>
      </c>
      <c r="B52" s="1" t="s">
        <v>65</v>
      </c>
      <c r="C52" s="1" t="s">
        <v>66</v>
      </c>
      <c r="D52" s="1" t="s">
        <v>19</v>
      </c>
      <c r="E52" s="1" t="s">
        <v>20</v>
      </c>
      <c r="F52" s="1" t="n">
        <v>24</v>
      </c>
      <c r="G52" s="1" t="s">
        <v>21</v>
      </c>
      <c r="H52" s="1" t="n">
        <v>0.2179</v>
      </c>
      <c r="I52" s="1" t="n">
        <v>0.317499919474212</v>
      </c>
      <c r="J52" s="1" t="n">
        <v>0.397835257701871</v>
      </c>
      <c r="K52" s="1" t="n">
        <f aca="false">J52-I52</f>
        <v>0.0803353382276597</v>
      </c>
      <c r="L52" s="1" t="n">
        <v>0.77472229763671</v>
      </c>
    </row>
    <row r="53" customFormat="false" ht="15" hidden="false" customHeight="false" outlineLevel="0" collapsed="false">
      <c r="A53" s="1" t="s">
        <v>64</v>
      </c>
      <c r="B53" s="1" t="s">
        <v>65</v>
      </c>
      <c r="C53" s="1" t="s">
        <v>66</v>
      </c>
      <c r="D53" s="1" t="s">
        <v>19</v>
      </c>
      <c r="E53" s="1" t="s">
        <v>20</v>
      </c>
      <c r="F53" s="1" t="n">
        <v>24</v>
      </c>
      <c r="G53" s="1" t="s">
        <v>39</v>
      </c>
      <c r="H53" s="1" t="n">
        <v>0.1631</v>
      </c>
      <c r="I53" s="1" t="n">
        <v>0.237700685624213</v>
      </c>
      <c r="J53" s="1" t="n">
        <v>0.300884529647847</v>
      </c>
      <c r="K53" s="1" t="n">
        <f aca="false">J53-I53</f>
        <v>0.0631838440236335</v>
      </c>
      <c r="L53" s="1" t="n">
        <v>0.77472229763671</v>
      </c>
    </row>
    <row r="54" customFormat="false" ht="15" hidden="false" customHeight="false" outlineLevel="0" collapsed="false">
      <c r="A54" s="1" t="s">
        <v>64</v>
      </c>
      <c r="B54" s="1" t="s">
        <v>65</v>
      </c>
      <c r="C54" s="1" t="s">
        <v>66</v>
      </c>
      <c r="D54" s="1" t="s">
        <v>19</v>
      </c>
      <c r="E54" s="1" t="s">
        <v>20</v>
      </c>
      <c r="F54" s="1" t="n">
        <v>24</v>
      </c>
      <c r="G54" s="1" t="s">
        <v>49</v>
      </c>
      <c r="H54" s="1" t="n">
        <v>0.1597</v>
      </c>
      <c r="I54" s="1" t="n">
        <v>0.232736662277904</v>
      </c>
      <c r="J54" s="1" t="n">
        <v>0.29693824016458</v>
      </c>
      <c r="K54" s="1" t="n">
        <f aca="false">J54-I54</f>
        <v>0.0642015778866761</v>
      </c>
      <c r="L54" s="1" t="n">
        <v>0.77472229763671</v>
      </c>
    </row>
    <row r="55" customFormat="false" ht="15" hidden="false" customHeight="false" outlineLevel="0" collapsed="false">
      <c r="A55" s="1" t="s">
        <v>64</v>
      </c>
      <c r="B55" s="1" t="s">
        <v>65</v>
      </c>
      <c r="C55" s="1" t="s">
        <v>66</v>
      </c>
      <c r="D55" s="1" t="s">
        <v>19</v>
      </c>
      <c r="E55" s="1" t="s">
        <v>20</v>
      </c>
      <c r="F55" s="1" t="n">
        <v>24</v>
      </c>
      <c r="G55" s="1" t="s">
        <v>34</v>
      </c>
      <c r="H55" s="1" t="n">
        <v>0.159</v>
      </c>
      <c r="I55" s="1" t="n">
        <v>0.231634651719211</v>
      </c>
      <c r="J55" s="1" t="n">
        <v>0.289750077607072</v>
      </c>
      <c r="K55" s="1" t="n">
        <f aca="false">J55-I55</f>
        <v>0.0581154258878618</v>
      </c>
      <c r="L55" s="1" t="n">
        <v>0.77472229763671</v>
      </c>
    </row>
    <row r="56" customFormat="false" ht="15" hidden="false" customHeight="false" outlineLevel="0" collapsed="false">
      <c r="A56" s="1" t="s">
        <v>64</v>
      </c>
      <c r="B56" s="1" t="s">
        <v>65</v>
      </c>
      <c r="C56" s="1" t="s">
        <v>66</v>
      </c>
      <c r="D56" s="1" t="s">
        <v>19</v>
      </c>
      <c r="E56" s="1" t="s">
        <v>20</v>
      </c>
      <c r="F56" s="1" t="n">
        <v>24</v>
      </c>
      <c r="G56" s="1" t="s">
        <v>38</v>
      </c>
      <c r="H56" s="1" t="n">
        <v>0.1576</v>
      </c>
      <c r="I56" s="1" t="n">
        <v>0.229647513274055</v>
      </c>
      <c r="J56" s="1" t="n">
        <v>0.283057386687683</v>
      </c>
      <c r="K56" s="1" t="n">
        <f aca="false">J56-I56</f>
        <v>0.0534098734136279</v>
      </c>
      <c r="L56" s="1" t="n">
        <v>0.77472229763671</v>
      </c>
    </row>
    <row r="57" customFormat="false" ht="15" hidden="false" customHeight="false" outlineLevel="0" collapsed="false">
      <c r="A57" s="1" t="s">
        <v>64</v>
      </c>
      <c r="B57" s="1" t="s">
        <v>65</v>
      </c>
      <c r="C57" s="1" t="s">
        <v>66</v>
      </c>
      <c r="D57" s="1" t="s">
        <v>19</v>
      </c>
      <c r="E57" s="1" t="s">
        <v>20</v>
      </c>
      <c r="F57" s="1" t="n">
        <v>24</v>
      </c>
      <c r="G57" s="1" t="s">
        <v>22</v>
      </c>
      <c r="H57" s="1" t="n">
        <v>0.1428</v>
      </c>
      <c r="I57" s="1" t="n">
        <v>0.208030129138153</v>
      </c>
      <c r="J57" s="1" t="n">
        <v>0.298173464729435</v>
      </c>
      <c r="K57" s="1" t="n">
        <f aca="false">J57-I57</f>
        <v>0.0901433355912812</v>
      </c>
      <c r="L57" s="1" t="n">
        <v>0.77472229763671</v>
      </c>
    </row>
    <row r="58" customFormat="false" ht="15" hidden="false" customHeight="false" outlineLevel="0" collapsed="false">
      <c r="A58" s="1" t="s">
        <v>67</v>
      </c>
      <c r="B58" s="1" t="s">
        <v>68</v>
      </c>
      <c r="C58" s="1" t="s">
        <v>69</v>
      </c>
      <c r="D58" s="1" t="s">
        <v>19</v>
      </c>
      <c r="E58" s="1" t="s">
        <v>20</v>
      </c>
      <c r="F58" s="1" t="n">
        <v>26</v>
      </c>
      <c r="G58" s="1" t="s">
        <v>21</v>
      </c>
      <c r="H58" s="1" t="n">
        <v>0.2138</v>
      </c>
      <c r="I58" s="1" t="n">
        <v>0.337825663672133</v>
      </c>
      <c r="J58" s="1" t="n">
        <v>0.466257613696149</v>
      </c>
      <c r="K58" s="1" t="n">
        <f aca="false">J58-I58</f>
        <v>0.128431950024017</v>
      </c>
      <c r="L58" s="1" t="n">
        <v>0.714363998847527</v>
      </c>
    </row>
    <row r="59" customFormat="false" ht="15" hidden="false" customHeight="false" outlineLevel="0" collapsed="false">
      <c r="A59" s="1" t="s">
        <v>67</v>
      </c>
      <c r="B59" s="1" t="s">
        <v>68</v>
      </c>
      <c r="C59" s="1" t="s">
        <v>69</v>
      </c>
      <c r="D59" s="1" t="s">
        <v>19</v>
      </c>
      <c r="E59" s="1" t="s">
        <v>20</v>
      </c>
      <c r="F59" s="1" t="n">
        <v>26</v>
      </c>
      <c r="G59" s="1" t="s">
        <v>39</v>
      </c>
      <c r="H59" s="1" t="n">
        <v>0.1655</v>
      </c>
      <c r="I59" s="1" t="n">
        <v>0.261487938029475</v>
      </c>
      <c r="J59" s="1" t="n">
        <v>0.366875990690093</v>
      </c>
      <c r="K59" s="1" t="n">
        <f aca="false">J59-I59</f>
        <v>0.105388052660617</v>
      </c>
      <c r="L59" s="1" t="n">
        <v>0.714363998847527</v>
      </c>
    </row>
    <row r="60" customFormat="false" ht="15" hidden="false" customHeight="false" outlineLevel="0" collapsed="false">
      <c r="A60" s="1" t="s">
        <v>67</v>
      </c>
      <c r="B60" s="1" t="s">
        <v>68</v>
      </c>
      <c r="C60" s="1" t="s">
        <v>69</v>
      </c>
      <c r="D60" s="1" t="s">
        <v>19</v>
      </c>
      <c r="E60" s="1" t="s">
        <v>20</v>
      </c>
      <c r="F60" s="1" t="n">
        <v>26</v>
      </c>
      <c r="G60" s="1" t="s">
        <v>49</v>
      </c>
      <c r="H60" s="1" t="n">
        <v>0.1593</v>
      </c>
      <c r="I60" s="1" t="n">
        <v>0.25174754054653</v>
      </c>
      <c r="J60" s="1" t="n">
        <v>0.311387025260921</v>
      </c>
      <c r="K60" s="1" t="n">
        <f aca="false">J60-I60</f>
        <v>0.0596394847143916</v>
      </c>
      <c r="L60" s="1" t="n">
        <v>0.714363998847527</v>
      </c>
    </row>
    <row r="61" customFormat="false" ht="15" hidden="false" customHeight="false" outlineLevel="0" collapsed="false">
      <c r="A61" s="1" t="s">
        <v>67</v>
      </c>
      <c r="B61" s="1" t="s">
        <v>68</v>
      </c>
      <c r="C61" s="1" t="s">
        <v>69</v>
      </c>
      <c r="D61" s="1" t="s">
        <v>19</v>
      </c>
      <c r="E61" s="1" t="s">
        <v>20</v>
      </c>
      <c r="F61" s="1" t="n">
        <v>26</v>
      </c>
      <c r="G61" s="1" t="s">
        <v>38</v>
      </c>
      <c r="H61" s="1" t="n">
        <v>0.1555</v>
      </c>
      <c r="I61" s="1" t="n">
        <v>0.245769132490558</v>
      </c>
      <c r="J61" s="1" t="n">
        <v>0.38127892626551</v>
      </c>
      <c r="K61" s="1" t="n">
        <f aca="false">J61-I61</f>
        <v>0.135509793774952</v>
      </c>
      <c r="L61" s="1" t="n">
        <v>0.714363998847527</v>
      </c>
    </row>
    <row r="62" customFormat="false" ht="15" hidden="false" customHeight="false" outlineLevel="0" collapsed="false">
      <c r="A62" s="1" t="s">
        <v>67</v>
      </c>
      <c r="B62" s="1" t="s">
        <v>68</v>
      </c>
      <c r="C62" s="1" t="s">
        <v>69</v>
      </c>
      <c r="D62" s="1" t="s">
        <v>19</v>
      </c>
      <c r="E62" s="1" t="s">
        <v>20</v>
      </c>
      <c r="F62" s="1" t="n">
        <v>26</v>
      </c>
      <c r="G62" s="1" t="s">
        <v>22</v>
      </c>
      <c r="H62" s="1" t="n">
        <v>0.1538</v>
      </c>
      <c r="I62" s="1" t="n">
        <v>0.243123892963721</v>
      </c>
      <c r="J62" s="1" t="n">
        <v>0.359145789422665</v>
      </c>
      <c r="K62" s="1" t="n">
        <f aca="false">J62-I62</f>
        <v>0.116021896458944</v>
      </c>
      <c r="L62" s="1" t="n">
        <v>0.714363998847527</v>
      </c>
    </row>
    <row r="63" customFormat="false" ht="15" hidden="false" customHeight="false" outlineLevel="0" collapsed="false">
      <c r="A63" s="1" t="s">
        <v>67</v>
      </c>
      <c r="B63" s="1" t="s">
        <v>68</v>
      </c>
      <c r="C63" s="1" t="s">
        <v>69</v>
      </c>
      <c r="D63" s="1" t="s">
        <v>19</v>
      </c>
      <c r="E63" s="1" t="s">
        <v>20</v>
      </c>
      <c r="F63" s="1" t="n">
        <v>26</v>
      </c>
      <c r="G63" s="1" t="s">
        <v>34</v>
      </c>
      <c r="H63" s="1" t="n">
        <v>0.1522</v>
      </c>
      <c r="I63" s="1" t="n">
        <v>0.240505566323227</v>
      </c>
      <c r="J63" s="1" t="n">
        <v>0.314194821138377</v>
      </c>
      <c r="K63" s="1" t="n">
        <f aca="false">J63-I63</f>
        <v>0.0736892548151495</v>
      </c>
      <c r="L63" s="1" t="n">
        <v>0.714363998847527</v>
      </c>
    </row>
    <row r="64" customFormat="false" ht="15" hidden="false" customHeight="false" outlineLevel="0" collapsed="false">
      <c r="A64" s="1" t="s">
        <v>70</v>
      </c>
      <c r="B64" s="1" t="s">
        <v>71</v>
      </c>
      <c r="C64" s="1" t="s">
        <v>72</v>
      </c>
      <c r="D64" s="1" t="s">
        <v>19</v>
      </c>
      <c r="E64" s="1" t="s">
        <v>20</v>
      </c>
      <c r="F64" s="1" t="n">
        <v>28</v>
      </c>
      <c r="G64" s="1" t="s">
        <v>21</v>
      </c>
      <c r="H64" s="1" t="n">
        <v>0.1984</v>
      </c>
      <c r="I64" s="1" t="n">
        <v>0.381010304149115</v>
      </c>
      <c r="J64" s="1" t="n">
        <v>0.442610825897124</v>
      </c>
      <c r="K64" s="1" t="n">
        <f aca="false">J64-I64</f>
        <v>0.061600521748009</v>
      </c>
      <c r="L64" s="1" t="n">
        <v>0.714429881453235</v>
      </c>
    </row>
    <row r="65" customFormat="false" ht="15" hidden="false" customHeight="false" outlineLevel="0" collapsed="false">
      <c r="A65" s="1" t="s">
        <v>70</v>
      </c>
      <c r="B65" s="1" t="s">
        <v>71</v>
      </c>
      <c r="C65" s="1" t="s">
        <v>72</v>
      </c>
      <c r="D65" s="1" t="s">
        <v>19</v>
      </c>
      <c r="E65" s="1" t="s">
        <v>20</v>
      </c>
      <c r="F65" s="1" t="n">
        <v>28</v>
      </c>
      <c r="G65" s="1" t="s">
        <v>38</v>
      </c>
      <c r="H65" s="1" t="n">
        <v>0.1742</v>
      </c>
      <c r="I65" s="1" t="n">
        <v>0.334532784662078</v>
      </c>
      <c r="J65" s="1" t="n">
        <v>0.355565402341583</v>
      </c>
      <c r="K65" s="1" t="n">
        <f aca="false">J65-I65</f>
        <v>0.0210326176795043</v>
      </c>
      <c r="L65" s="1" t="n">
        <v>0.714429881453235</v>
      </c>
    </row>
    <row r="66" customFormat="false" ht="15" hidden="false" customHeight="false" outlineLevel="0" collapsed="false">
      <c r="A66" s="1" t="s">
        <v>70</v>
      </c>
      <c r="B66" s="1" t="s">
        <v>71</v>
      </c>
      <c r="C66" s="1" t="s">
        <v>72</v>
      </c>
      <c r="D66" s="1" t="s">
        <v>19</v>
      </c>
      <c r="E66" s="1" t="s">
        <v>20</v>
      </c>
      <c r="F66" s="1" t="n">
        <v>28</v>
      </c>
      <c r="G66" s="1" t="s">
        <v>34</v>
      </c>
      <c r="H66" s="1" t="n">
        <v>0.1593</v>
      </c>
      <c r="I66" s="1" t="n">
        <v>0.305937497253748</v>
      </c>
      <c r="J66" s="1" t="n">
        <v>0.340160074737889</v>
      </c>
      <c r="K66" s="1" t="n">
        <f aca="false">J66-I66</f>
        <v>0.0342225774841405</v>
      </c>
      <c r="L66" s="1" t="n">
        <v>0.714429881453235</v>
      </c>
    </row>
    <row r="67" customFormat="false" ht="15" hidden="false" customHeight="false" outlineLevel="0" collapsed="false">
      <c r="A67" s="1" t="s">
        <v>70</v>
      </c>
      <c r="B67" s="1" t="s">
        <v>71</v>
      </c>
      <c r="C67" s="1" t="s">
        <v>72</v>
      </c>
      <c r="D67" s="1" t="s">
        <v>19</v>
      </c>
      <c r="E67" s="1" t="s">
        <v>20</v>
      </c>
      <c r="F67" s="1" t="n">
        <v>28</v>
      </c>
      <c r="G67" s="1" t="s">
        <v>33</v>
      </c>
      <c r="H67" s="1" t="n">
        <v>0.1583</v>
      </c>
      <c r="I67" s="1" t="n">
        <v>0.304053804869428</v>
      </c>
      <c r="J67" s="1" t="n">
        <v>0.358900389507238</v>
      </c>
      <c r="K67" s="1" t="n">
        <f aca="false">J67-I67</f>
        <v>0.05484658463781</v>
      </c>
      <c r="L67" s="1" t="n">
        <v>0.714429881453235</v>
      </c>
    </row>
    <row r="68" customFormat="false" ht="15" hidden="false" customHeight="false" outlineLevel="0" collapsed="false">
      <c r="A68" s="1" t="s">
        <v>70</v>
      </c>
      <c r="B68" s="1" t="s">
        <v>71</v>
      </c>
      <c r="C68" s="1" t="s">
        <v>72</v>
      </c>
      <c r="D68" s="1" t="s">
        <v>19</v>
      </c>
      <c r="E68" s="1" t="s">
        <v>20</v>
      </c>
      <c r="F68" s="1" t="n">
        <v>28</v>
      </c>
      <c r="G68" s="1" t="s">
        <v>22</v>
      </c>
      <c r="H68" s="1" t="n">
        <v>0.1555</v>
      </c>
      <c r="I68" s="1" t="n">
        <v>0.298688647244431</v>
      </c>
      <c r="J68" s="1" t="n">
        <v>0.402960221843627</v>
      </c>
      <c r="K68" s="1" t="n">
        <f aca="false">J68-I68</f>
        <v>0.104271574599196</v>
      </c>
      <c r="L68" s="1" t="n">
        <v>0.714429881453235</v>
      </c>
    </row>
    <row r="69" customFormat="false" ht="15" hidden="false" customHeight="false" outlineLevel="0" collapsed="false">
      <c r="A69" s="1" t="s">
        <v>70</v>
      </c>
      <c r="B69" s="1" t="s">
        <v>71</v>
      </c>
      <c r="C69" s="1" t="s">
        <v>72</v>
      </c>
      <c r="D69" s="1" t="s">
        <v>19</v>
      </c>
      <c r="E69" s="1" t="s">
        <v>20</v>
      </c>
      <c r="F69" s="1" t="n">
        <v>28</v>
      </c>
      <c r="G69" s="1" t="s">
        <v>39</v>
      </c>
      <c r="H69" s="1" t="n">
        <v>0.1544</v>
      </c>
      <c r="I69" s="1" t="n">
        <v>0.296595473289354</v>
      </c>
      <c r="J69" s="1" t="n">
        <v>0.315034633607484</v>
      </c>
      <c r="K69" s="1" t="n">
        <f aca="false">J69-I69</f>
        <v>0.0184391603181297</v>
      </c>
      <c r="L69" s="1" t="n">
        <v>0.714429881453235</v>
      </c>
    </row>
    <row r="70" customFormat="false" ht="15" hidden="false" customHeight="false" outlineLevel="0" collapsed="false">
      <c r="A70" s="1" t="s">
        <v>73</v>
      </c>
      <c r="B70" s="1" t="s">
        <v>74</v>
      </c>
      <c r="C70" s="1" t="s">
        <v>75</v>
      </c>
      <c r="D70" s="1" t="s">
        <v>19</v>
      </c>
      <c r="E70" s="1" t="s">
        <v>20</v>
      </c>
      <c r="F70" s="1" t="n">
        <v>30</v>
      </c>
      <c r="G70" s="1" t="s">
        <v>22</v>
      </c>
      <c r="H70" s="1" t="n">
        <v>0.1976</v>
      </c>
      <c r="I70" s="1" t="n">
        <v>0.39279131712759</v>
      </c>
      <c r="J70" s="1" t="n">
        <v>0.375397505104539</v>
      </c>
      <c r="K70" s="1" t="n">
        <f aca="false">J70-I70</f>
        <v>-0.0173938120230513</v>
      </c>
      <c r="L70" s="1" t="n">
        <v>0.730575330250292</v>
      </c>
    </row>
    <row r="71" customFormat="false" ht="15" hidden="false" customHeight="false" outlineLevel="0" collapsed="false">
      <c r="A71" s="1" t="s">
        <v>73</v>
      </c>
      <c r="B71" s="1" t="s">
        <v>74</v>
      </c>
      <c r="C71" s="1" t="s">
        <v>75</v>
      </c>
      <c r="D71" s="1" t="s">
        <v>19</v>
      </c>
      <c r="E71" s="1" t="s">
        <v>20</v>
      </c>
      <c r="F71" s="1" t="n">
        <v>30</v>
      </c>
      <c r="G71" s="1" t="s">
        <v>21</v>
      </c>
      <c r="H71" s="1" t="n">
        <v>0.1843</v>
      </c>
      <c r="I71" s="1" t="n">
        <v>0.366365554455726</v>
      </c>
      <c r="J71" s="1" t="n">
        <v>0.417002351171589</v>
      </c>
      <c r="K71" s="1" t="n">
        <f aca="false">J71-I71</f>
        <v>0.0506367967158629</v>
      </c>
      <c r="L71" s="1" t="n">
        <v>0.730575330250292</v>
      </c>
    </row>
    <row r="72" customFormat="false" ht="15" hidden="false" customHeight="false" outlineLevel="0" collapsed="false">
      <c r="A72" s="1" t="s">
        <v>73</v>
      </c>
      <c r="B72" s="1" t="s">
        <v>74</v>
      </c>
      <c r="C72" s="1" t="s">
        <v>75</v>
      </c>
      <c r="D72" s="1" t="s">
        <v>19</v>
      </c>
      <c r="E72" s="1" t="s">
        <v>20</v>
      </c>
      <c r="F72" s="1" t="n">
        <v>30</v>
      </c>
      <c r="G72" s="1" t="s">
        <v>34</v>
      </c>
      <c r="H72" s="1" t="n">
        <v>0.1623</v>
      </c>
      <c r="I72" s="1" t="n">
        <v>0.322698742415498</v>
      </c>
      <c r="J72" s="1" t="n">
        <v>0.311755998228706</v>
      </c>
      <c r="K72" s="1" t="n">
        <f aca="false">J72-I72</f>
        <v>-0.0109427441867923</v>
      </c>
      <c r="L72" s="1" t="n">
        <v>0.730575330250292</v>
      </c>
    </row>
    <row r="73" customFormat="false" ht="15" hidden="false" customHeight="false" outlineLevel="0" collapsed="false">
      <c r="A73" s="1" t="s">
        <v>73</v>
      </c>
      <c r="B73" s="1" t="s">
        <v>74</v>
      </c>
      <c r="C73" s="1" t="s">
        <v>75</v>
      </c>
      <c r="D73" s="1" t="s">
        <v>19</v>
      </c>
      <c r="E73" s="1" t="s">
        <v>20</v>
      </c>
      <c r="F73" s="1" t="n">
        <v>30</v>
      </c>
      <c r="G73" s="1" t="s">
        <v>33</v>
      </c>
      <c r="H73" s="1" t="n">
        <v>0.1555</v>
      </c>
      <c r="I73" s="1" t="n">
        <v>0.309216502648001</v>
      </c>
      <c r="J73" s="1" t="n">
        <v>0.321924412544655</v>
      </c>
      <c r="K73" s="1" t="n">
        <f aca="false">J73-I73</f>
        <v>0.0127079098966549</v>
      </c>
      <c r="L73" s="1" t="n">
        <v>0.730575330250292</v>
      </c>
    </row>
    <row r="74" customFormat="false" ht="15" hidden="false" customHeight="false" outlineLevel="0" collapsed="false">
      <c r="A74" s="1" t="s">
        <v>73</v>
      </c>
      <c r="B74" s="1" t="s">
        <v>74</v>
      </c>
      <c r="C74" s="1" t="s">
        <v>75</v>
      </c>
      <c r="D74" s="1" t="s">
        <v>19</v>
      </c>
      <c r="E74" s="1" t="s">
        <v>20</v>
      </c>
      <c r="F74" s="1" t="n">
        <v>30</v>
      </c>
      <c r="G74" s="1" t="s">
        <v>38</v>
      </c>
      <c r="H74" s="1" t="n">
        <v>0.1511</v>
      </c>
      <c r="I74" s="1" t="n">
        <v>0.300463135851097</v>
      </c>
      <c r="J74" s="1" t="n">
        <v>0.320038992134854</v>
      </c>
      <c r="K74" s="1" t="n">
        <f aca="false">J74-I74</f>
        <v>0.0195758562837575</v>
      </c>
      <c r="L74" s="1" t="n">
        <v>0.730575330250292</v>
      </c>
    </row>
    <row r="75" customFormat="false" ht="15" hidden="false" customHeight="false" outlineLevel="0" collapsed="false">
      <c r="A75" s="1" t="s">
        <v>73</v>
      </c>
      <c r="B75" s="1" t="s">
        <v>74</v>
      </c>
      <c r="C75" s="1" t="s">
        <v>75</v>
      </c>
      <c r="D75" s="1" t="s">
        <v>19</v>
      </c>
      <c r="E75" s="1" t="s">
        <v>20</v>
      </c>
      <c r="F75" s="1" t="n">
        <v>30</v>
      </c>
      <c r="G75" s="1" t="s">
        <v>32</v>
      </c>
      <c r="H75" s="1" t="n">
        <v>0.1491</v>
      </c>
      <c r="I75" s="1" t="n">
        <v>0.296404129077764</v>
      </c>
      <c r="J75" s="1" t="n">
        <v>0.31167301283127</v>
      </c>
      <c r="K75" s="1" t="n">
        <f aca="false">J75-I75</f>
        <v>0.0152688837535062</v>
      </c>
      <c r="L75" s="1" t="n">
        <v>0.730575330250292</v>
      </c>
    </row>
    <row r="76" customFormat="false" ht="15" hidden="false" customHeight="false" outlineLevel="0" collapsed="false">
      <c r="A76" s="1" t="s">
        <v>76</v>
      </c>
      <c r="B76" s="1" t="s">
        <v>77</v>
      </c>
      <c r="C76" s="1" t="s">
        <v>78</v>
      </c>
      <c r="D76" s="1" t="s">
        <v>19</v>
      </c>
      <c r="E76" s="1" t="s">
        <v>20</v>
      </c>
      <c r="F76" s="1" t="n">
        <v>32</v>
      </c>
      <c r="G76" s="1" t="s">
        <v>21</v>
      </c>
      <c r="H76" s="1" t="n">
        <v>0.2002</v>
      </c>
      <c r="I76" s="1" t="n">
        <v>0.295676770545435</v>
      </c>
      <c r="J76" s="1" t="n">
        <v>0.40207833456788</v>
      </c>
      <c r="K76" s="1" t="n">
        <f aca="false">J76-I76</f>
        <v>0.106401564022446</v>
      </c>
      <c r="L76" s="1" t="n">
        <v>0.731767373432006</v>
      </c>
    </row>
    <row r="77" customFormat="false" ht="15" hidden="false" customHeight="false" outlineLevel="0" collapsed="false">
      <c r="A77" s="1" t="s">
        <v>76</v>
      </c>
      <c r="B77" s="1" t="s">
        <v>77</v>
      </c>
      <c r="C77" s="1" t="s">
        <v>78</v>
      </c>
      <c r="D77" s="1" t="s">
        <v>19</v>
      </c>
      <c r="E77" s="1" t="s">
        <v>20</v>
      </c>
      <c r="F77" s="1" t="n">
        <v>32</v>
      </c>
      <c r="G77" s="1" t="s">
        <v>34</v>
      </c>
      <c r="H77" s="1" t="n">
        <v>0.1683</v>
      </c>
      <c r="I77" s="1" t="n">
        <v>0.248629543260376</v>
      </c>
      <c r="J77" s="1" t="n">
        <v>0.310698318874952</v>
      </c>
      <c r="K77" s="1" t="n">
        <f aca="false">J77-I77</f>
        <v>0.0620687756145761</v>
      </c>
      <c r="L77" s="1" t="n">
        <v>0.731767373432006</v>
      </c>
    </row>
    <row r="78" customFormat="false" ht="15" hidden="false" customHeight="false" outlineLevel="0" collapsed="false">
      <c r="A78" s="1" t="s">
        <v>76</v>
      </c>
      <c r="B78" s="1" t="s">
        <v>77</v>
      </c>
      <c r="C78" s="1" t="s">
        <v>78</v>
      </c>
      <c r="D78" s="1" t="s">
        <v>19</v>
      </c>
      <c r="E78" s="1" t="s">
        <v>20</v>
      </c>
      <c r="F78" s="1" t="n">
        <v>32</v>
      </c>
      <c r="G78" s="1" t="s">
        <v>22</v>
      </c>
      <c r="H78" s="1" t="n">
        <v>0.165</v>
      </c>
      <c r="I78" s="1" t="n">
        <v>0.243772513658604</v>
      </c>
      <c r="J78" s="1" t="n">
        <v>0.338583437891147</v>
      </c>
      <c r="K78" s="1" t="n">
        <f aca="false">J78-I78</f>
        <v>0.0948109242325437</v>
      </c>
      <c r="L78" s="1" t="n">
        <v>0.731767373432006</v>
      </c>
    </row>
    <row r="79" customFormat="false" ht="15" hidden="false" customHeight="false" outlineLevel="0" collapsed="false">
      <c r="A79" s="1" t="s">
        <v>76</v>
      </c>
      <c r="B79" s="1" t="s">
        <v>77</v>
      </c>
      <c r="C79" s="1" t="s">
        <v>78</v>
      </c>
      <c r="D79" s="1" t="s">
        <v>19</v>
      </c>
      <c r="E79" s="1" t="s">
        <v>20</v>
      </c>
      <c r="F79" s="1" t="n">
        <v>32</v>
      </c>
      <c r="G79" s="1" t="s">
        <v>39</v>
      </c>
      <c r="H79" s="1" t="n">
        <v>0.1626</v>
      </c>
      <c r="I79" s="1" t="n">
        <v>0.240114177232349</v>
      </c>
      <c r="J79" s="1" t="n">
        <v>0.36542559439381</v>
      </c>
      <c r="K79" s="1" t="n">
        <f aca="false">J79-I79</f>
        <v>0.125311417161461</v>
      </c>
      <c r="L79" s="1" t="n">
        <v>0.731767373432006</v>
      </c>
    </row>
    <row r="80" customFormat="false" ht="15" hidden="false" customHeight="false" outlineLevel="0" collapsed="false">
      <c r="A80" s="1" t="s">
        <v>76</v>
      </c>
      <c r="B80" s="1" t="s">
        <v>77</v>
      </c>
      <c r="C80" s="1" t="s">
        <v>78</v>
      </c>
      <c r="D80" s="1" t="s">
        <v>19</v>
      </c>
      <c r="E80" s="1" t="s">
        <v>20</v>
      </c>
      <c r="F80" s="1" t="n">
        <v>32</v>
      </c>
      <c r="G80" s="1" t="s">
        <v>38</v>
      </c>
      <c r="H80" s="1" t="n">
        <v>0.1533</v>
      </c>
      <c r="I80" s="1" t="n">
        <v>0.226406690481242</v>
      </c>
      <c r="J80" s="1" t="n">
        <v>0.344121595492463</v>
      </c>
      <c r="K80" s="1" t="n">
        <f aca="false">J80-I80</f>
        <v>0.117714905011222</v>
      </c>
      <c r="L80" s="1" t="n">
        <v>0.731767373432006</v>
      </c>
    </row>
    <row r="81" customFormat="false" ht="15" hidden="false" customHeight="false" outlineLevel="0" collapsed="false">
      <c r="A81" s="1" t="s">
        <v>76</v>
      </c>
      <c r="B81" s="1" t="s">
        <v>77</v>
      </c>
      <c r="C81" s="1" t="s">
        <v>78</v>
      </c>
      <c r="D81" s="1" t="s">
        <v>19</v>
      </c>
      <c r="E81" s="1" t="s">
        <v>20</v>
      </c>
      <c r="F81" s="1" t="n">
        <v>32</v>
      </c>
      <c r="G81" s="1" t="s">
        <v>79</v>
      </c>
      <c r="H81" s="1" t="n">
        <v>0.1506</v>
      </c>
      <c r="I81" s="1" t="n">
        <v>0.222510758731829</v>
      </c>
      <c r="J81" s="1" t="n">
        <v>0.291404698992177</v>
      </c>
      <c r="K81" s="1" t="n">
        <f aca="false">J81-I81</f>
        <v>0.0688939402603482</v>
      </c>
      <c r="L81" s="1" t="n">
        <v>0.731767373432006</v>
      </c>
    </row>
    <row r="82" customFormat="false" ht="15" hidden="false" customHeight="false" outlineLevel="0" collapsed="false">
      <c r="A82" s="1" t="s">
        <v>80</v>
      </c>
      <c r="B82" s="1" t="s">
        <v>81</v>
      </c>
      <c r="C82" s="1" t="s">
        <v>82</v>
      </c>
      <c r="D82" s="1" t="s">
        <v>19</v>
      </c>
      <c r="E82" s="1" t="s">
        <v>20</v>
      </c>
      <c r="F82" s="1" t="n">
        <v>34</v>
      </c>
      <c r="G82" s="1" t="s">
        <v>21</v>
      </c>
      <c r="H82" s="1" t="n">
        <v>0.1931</v>
      </c>
      <c r="I82" s="1" t="n">
        <v>0.300085505622546</v>
      </c>
      <c r="J82" s="1" t="n">
        <v>0.385308594483718</v>
      </c>
      <c r="K82" s="1" t="n">
        <f aca="false">J82-I82</f>
        <v>0.0852230888611718</v>
      </c>
      <c r="L82" s="1" t="n">
        <v>0.715924581106966</v>
      </c>
    </row>
    <row r="83" customFormat="false" ht="15" hidden="false" customHeight="false" outlineLevel="0" collapsed="false">
      <c r="A83" s="1" t="s">
        <v>80</v>
      </c>
      <c r="B83" s="1" t="s">
        <v>81</v>
      </c>
      <c r="C83" s="1" t="s">
        <v>82</v>
      </c>
      <c r="D83" s="1" t="s">
        <v>19</v>
      </c>
      <c r="E83" s="1" t="s">
        <v>20</v>
      </c>
      <c r="F83" s="1" t="n">
        <v>34</v>
      </c>
      <c r="G83" s="1" t="s">
        <v>22</v>
      </c>
      <c r="H83" s="1" t="n">
        <v>0.1764</v>
      </c>
      <c r="I83" s="1" t="n">
        <v>0.274217470685778</v>
      </c>
      <c r="J83" s="1" t="n">
        <v>0.35612554226432</v>
      </c>
      <c r="K83" s="1" t="n">
        <f aca="false">J83-I83</f>
        <v>0.0819080715785428</v>
      </c>
      <c r="L83" s="1" t="n">
        <v>0.715924581106966</v>
      </c>
    </row>
    <row r="84" customFormat="false" ht="15" hidden="false" customHeight="false" outlineLevel="0" collapsed="false">
      <c r="A84" s="1" t="s">
        <v>80</v>
      </c>
      <c r="B84" s="1" t="s">
        <v>81</v>
      </c>
      <c r="C84" s="1" t="s">
        <v>82</v>
      </c>
      <c r="D84" s="1" t="s">
        <v>19</v>
      </c>
      <c r="E84" s="1" t="s">
        <v>20</v>
      </c>
      <c r="F84" s="1" t="n">
        <v>34</v>
      </c>
      <c r="G84" s="1" t="s">
        <v>39</v>
      </c>
      <c r="H84" s="1" t="n">
        <v>0.1661</v>
      </c>
      <c r="I84" s="1" t="n">
        <v>0.258154714757764</v>
      </c>
      <c r="J84" s="1" t="n">
        <v>0.315757303970462</v>
      </c>
      <c r="K84" s="1" t="n">
        <f aca="false">J84-I84</f>
        <v>0.0576025892126983</v>
      </c>
      <c r="L84" s="1" t="n">
        <v>0.715924581106966</v>
      </c>
    </row>
    <row r="85" customFormat="false" ht="15" hidden="false" customHeight="false" outlineLevel="0" collapsed="false">
      <c r="A85" s="1" t="s">
        <v>80</v>
      </c>
      <c r="B85" s="1" t="s">
        <v>81</v>
      </c>
      <c r="C85" s="1" t="s">
        <v>82</v>
      </c>
      <c r="D85" s="1" t="s">
        <v>19</v>
      </c>
      <c r="E85" s="1" t="s">
        <v>20</v>
      </c>
      <c r="F85" s="1" t="n">
        <v>34</v>
      </c>
      <c r="G85" s="1" t="s">
        <v>49</v>
      </c>
      <c r="H85" s="1" t="n">
        <v>0.1603</v>
      </c>
      <c r="I85" s="1" t="n">
        <v>0.249101741415802</v>
      </c>
      <c r="J85" s="1" t="n">
        <v>0.358905402624255</v>
      </c>
      <c r="K85" s="1" t="n">
        <f aca="false">J85-I85</f>
        <v>0.109803661208453</v>
      </c>
      <c r="L85" s="1" t="n">
        <v>0.715924581106966</v>
      </c>
    </row>
    <row r="86" customFormat="false" ht="15" hidden="false" customHeight="false" outlineLevel="0" collapsed="false">
      <c r="A86" s="1" t="s">
        <v>80</v>
      </c>
      <c r="B86" s="1" t="s">
        <v>81</v>
      </c>
      <c r="C86" s="1" t="s">
        <v>82</v>
      </c>
      <c r="D86" s="1" t="s">
        <v>19</v>
      </c>
      <c r="E86" s="1" t="s">
        <v>20</v>
      </c>
      <c r="F86" s="1" t="n">
        <v>34</v>
      </c>
      <c r="G86" s="1" t="s">
        <v>56</v>
      </c>
      <c r="H86" s="1" t="n">
        <v>0.1535</v>
      </c>
      <c r="I86" s="1" t="n">
        <v>0.238643278822131</v>
      </c>
      <c r="J86" s="1" t="n">
        <v>0.353015179720016</v>
      </c>
      <c r="K86" s="1" t="n">
        <f aca="false">J86-I86</f>
        <v>0.114371900897885</v>
      </c>
      <c r="L86" s="1" t="n">
        <v>0.715924581106966</v>
      </c>
    </row>
    <row r="87" customFormat="false" ht="15" hidden="false" customHeight="false" outlineLevel="0" collapsed="false">
      <c r="A87" s="1" t="s">
        <v>80</v>
      </c>
      <c r="B87" s="1" t="s">
        <v>81</v>
      </c>
      <c r="C87" s="1" t="s">
        <v>82</v>
      </c>
      <c r="D87" s="1" t="s">
        <v>19</v>
      </c>
      <c r="E87" s="1" t="s">
        <v>20</v>
      </c>
      <c r="F87" s="1" t="n">
        <v>34</v>
      </c>
      <c r="G87" s="1" t="s">
        <v>32</v>
      </c>
      <c r="H87" s="1" t="n">
        <v>0.1507</v>
      </c>
      <c r="I87" s="1" t="n">
        <v>0.234234298527784</v>
      </c>
      <c r="J87" s="1" t="n">
        <v>0.332549246890862</v>
      </c>
      <c r="K87" s="1" t="n">
        <f aca="false">J87-I87</f>
        <v>0.0983149483630774</v>
      </c>
      <c r="L87" s="1" t="n">
        <v>0.715924581106966</v>
      </c>
    </row>
    <row r="88" customFormat="false" ht="15" hidden="false" customHeight="false" outlineLevel="0" collapsed="false">
      <c r="A88" s="1" t="s">
        <v>83</v>
      </c>
      <c r="B88" s="1" t="s">
        <v>84</v>
      </c>
      <c r="C88" s="1" t="s">
        <v>85</v>
      </c>
      <c r="D88" s="1" t="s">
        <v>19</v>
      </c>
      <c r="E88" s="1" t="s">
        <v>20</v>
      </c>
      <c r="F88" s="1" t="n">
        <v>36</v>
      </c>
      <c r="G88" s="1" t="s">
        <v>21</v>
      </c>
      <c r="H88" s="1" t="n">
        <v>0.208</v>
      </c>
      <c r="I88" s="1" t="n">
        <v>0.319359866630057</v>
      </c>
      <c r="J88" s="1" t="n">
        <v>0.442557143907437</v>
      </c>
      <c r="K88" s="1" t="n">
        <f aca="false">J88-I88</f>
        <v>0.123197277277381</v>
      </c>
      <c r="L88" s="1" t="n">
        <v>0.781932724966578</v>
      </c>
    </row>
    <row r="89" customFormat="false" ht="15" hidden="false" customHeight="false" outlineLevel="0" collapsed="false">
      <c r="A89" s="1" t="s">
        <v>83</v>
      </c>
      <c r="B89" s="1" t="s">
        <v>84</v>
      </c>
      <c r="C89" s="1" t="s">
        <v>85</v>
      </c>
      <c r="D89" s="1" t="s">
        <v>19</v>
      </c>
      <c r="E89" s="1" t="s">
        <v>20</v>
      </c>
      <c r="F89" s="1" t="n">
        <v>36</v>
      </c>
      <c r="G89" s="1" t="s">
        <v>49</v>
      </c>
      <c r="H89" s="1" t="n">
        <v>0.1862</v>
      </c>
      <c r="I89" s="1" t="n">
        <v>0.285892644421079</v>
      </c>
      <c r="J89" s="1" t="n">
        <v>0.28546011788487</v>
      </c>
      <c r="K89" s="1" t="n">
        <f aca="false">J89-I89</f>
        <v>-0.000432526536209232</v>
      </c>
      <c r="L89" s="1" t="n">
        <v>0.781932724966578</v>
      </c>
    </row>
    <row r="90" customFormat="false" ht="15" hidden="false" customHeight="false" outlineLevel="0" collapsed="false">
      <c r="A90" s="1" t="s">
        <v>83</v>
      </c>
      <c r="B90" s="1" t="s">
        <v>84</v>
      </c>
      <c r="C90" s="1" t="s">
        <v>85</v>
      </c>
      <c r="D90" s="1" t="s">
        <v>19</v>
      </c>
      <c r="E90" s="1" t="s">
        <v>20</v>
      </c>
      <c r="F90" s="1" t="n">
        <v>36</v>
      </c>
      <c r="G90" s="1" t="s">
        <v>56</v>
      </c>
      <c r="H90" s="1" t="n">
        <v>0.1719</v>
      </c>
      <c r="I90" s="1" t="n">
        <v>0.263951049114827</v>
      </c>
      <c r="J90" s="1" t="n">
        <v>0.272557306738199</v>
      </c>
      <c r="K90" s="1" t="n">
        <f aca="false">J90-I90</f>
        <v>0.00860625762337214</v>
      </c>
      <c r="L90" s="1" t="n">
        <v>0.781932724966578</v>
      </c>
    </row>
    <row r="91" customFormat="false" ht="15" hidden="false" customHeight="false" outlineLevel="0" collapsed="false">
      <c r="A91" s="1" t="s">
        <v>83</v>
      </c>
      <c r="B91" s="1" t="s">
        <v>84</v>
      </c>
      <c r="C91" s="1" t="s">
        <v>85</v>
      </c>
      <c r="D91" s="1" t="s">
        <v>19</v>
      </c>
      <c r="E91" s="1" t="s">
        <v>20</v>
      </c>
      <c r="F91" s="1" t="n">
        <v>36</v>
      </c>
      <c r="G91" s="1" t="s">
        <v>34</v>
      </c>
      <c r="H91" s="1" t="n">
        <v>0.1707</v>
      </c>
      <c r="I91" s="1" t="n">
        <v>0.262118845326123</v>
      </c>
      <c r="J91" s="1" t="n">
        <v>0.272906161208574</v>
      </c>
      <c r="K91" s="1" t="n">
        <f aca="false">J91-I91</f>
        <v>0.0107873158824503</v>
      </c>
      <c r="L91" s="1" t="n">
        <v>0.781932724966578</v>
      </c>
    </row>
    <row r="92" customFormat="false" ht="15" hidden="false" customHeight="false" outlineLevel="0" collapsed="false">
      <c r="A92" s="1" t="s">
        <v>83</v>
      </c>
      <c r="B92" s="1" t="s">
        <v>84</v>
      </c>
      <c r="C92" s="1" t="s">
        <v>85</v>
      </c>
      <c r="D92" s="1" t="s">
        <v>19</v>
      </c>
      <c r="E92" s="1" t="s">
        <v>20</v>
      </c>
      <c r="F92" s="1" t="n">
        <v>36</v>
      </c>
      <c r="G92" s="1" t="s">
        <v>33</v>
      </c>
      <c r="H92" s="1" t="n">
        <v>0.1632</v>
      </c>
      <c r="I92" s="1" t="n">
        <v>0.250621666956943</v>
      </c>
      <c r="J92" s="1" t="n">
        <v>0.288930397082366</v>
      </c>
      <c r="K92" s="1" t="n">
        <f aca="false">J92-I92</f>
        <v>0.0383087301254232</v>
      </c>
      <c r="L92" s="1" t="n">
        <v>0.781932724966578</v>
      </c>
    </row>
    <row r="93" customFormat="false" ht="15" hidden="false" customHeight="false" outlineLevel="0" collapsed="false">
      <c r="A93" s="1" t="s">
        <v>83</v>
      </c>
      <c r="B93" s="1" t="s">
        <v>84</v>
      </c>
      <c r="C93" s="1" t="s">
        <v>85</v>
      </c>
      <c r="D93" s="1" t="s">
        <v>19</v>
      </c>
      <c r="E93" s="1" t="s">
        <v>20</v>
      </c>
      <c r="F93" s="1" t="n">
        <v>36</v>
      </c>
      <c r="G93" s="1" t="s">
        <v>22</v>
      </c>
      <c r="H93" s="1" t="n">
        <v>0.1</v>
      </c>
      <c r="I93" s="1" t="n">
        <v>0.239015354118879</v>
      </c>
      <c r="J93" s="1" t="n">
        <v>0.258848496884989</v>
      </c>
      <c r="K93" s="1" t="n">
        <f aca="false">J93-I93</f>
        <v>0.0198331427661107</v>
      </c>
      <c r="L93" s="1" t="n">
        <v>0.781932724966578</v>
      </c>
    </row>
    <row r="94" customFormat="false" ht="15" hidden="false" customHeight="false" outlineLevel="0" collapsed="false">
      <c r="A94" s="1" t="s">
        <v>86</v>
      </c>
      <c r="B94" s="1" t="s">
        <v>87</v>
      </c>
      <c r="C94" s="1" t="s">
        <v>88</v>
      </c>
      <c r="D94" s="1" t="s">
        <v>19</v>
      </c>
      <c r="E94" s="1" t="s">
        <v>20</v>
      </c>
      <c r="F94" s="1" t="n">
        <v>38</v>
      </c>
      <c r="G94" s="1" t="s">
        <v>21</v>
      </c>
      <c r="H94" s="1" t="n">
        <v>0.3973</v>
      </c>
      <c r="I94" s="1" t="n">
        <v>0.337107085725106</v>
      </c>
      <c r="J94" s="1" t="n">
        <v>0.381691949074964</v>
      </c>
      <c r="K94" s="1" t="n">
        <f aca="false">J94-I94</f>
        <v>0.0445848633498583</v>
      </c>
      <c r="L94" s="1" t="n">
        <v>0.770211516204908</v>
      </c>
    </row>
    <row r="95" customFormat="false" ht="15" hidden="false" customHeight="false" outlineLevel="0" collapsed="false">
      <c r="A95" s="1" t="s">
        <v>86</v>
      </c>
      <c r="B95" s="1" t="s">
        <v>87</v>
      </c>
      <c r="C95" s="1" t="s">
        <v>88</v>
      </c>
      <c r="D95" s="1" t="s">
        <v>19</v>
      </c>
      <c r="E95" s="1" t="s">
        <v>20</v>
      </c>
      <c r="F95" s="1" t="n">
        <v>38</v>
      </c>
      <c r="G95" s="1" t="s">
        <v>39</v>
      </c>
      <c r="H95" s="1" t="n">
        <v>0.2523</v>
      </c>
      <c r="I95" s="1" t="n">
        <v>0.214080032744905</v>
      </c>
      <c r="J95" s="1" t="n">
        <v>0.304680790665042</v>
      </c>
      <c r="K95" s="1" t="n">
        <f aca="false">J95-I95</f>
        <v>0.0906007579201374</v>
      </c>
      <c r="L95" s="1" t="n">
        <v>0.770211516204908</v>
      </c>
    </row>
    <row r="96" customFormat="false" ht="15" hidden="false" customHeight="false" outlineLevel="0" collapsed="false">
      <c r="A96" s="1" t="s">
        <v>86</v>
      </c>
      <c r="B96" s="1" t="s">
        <v>87</v>
      </c>
      <c r="C96" s="1" t="s">
        <v>88</v>
      </c>
      <c r="D96" s="1" t="s">
        <v>19</v>
      </c>
      <c r="E96" s="1" t="s">
        <v>20</v>
      </c>
      <c r="F96" s="1" t="n">
        <v>38</v>
      </c>
      <c r="G96" s="1" t="s">
        <v>33</v>
      </c>
      <c r="H96" s="1" t="n">
        <v>0.2503</v>
      </c>
      <c r="I96" s="1" t="n">
        <v>0.212390790943194</v>
      </c>
      <c r="J96" s="1" t="n">
        <v>0.29974201743064</v>
      </c>
      <c r="K96" s="1" t="n">
        <f aca="false">J96-I96</f>
        <v>0.0873512264874454</v>
      </c>
      <c r="L96" s="1" t="n">
        <v>0.770211516204908</v>
      </c>
    </row>
    <row r="97" customFormat="false" ht="15" hidden="false" customHeight="false" outlineLevel="0" collapsed="false">
      <c r="A97" s="1" t="s">
        <v>86</v>
      </c>
      <c r="B97" s="1" t="s">
        <v>87</v>
      </c>
      <c r="C97" s="1" t="s">
        <v>88</v>
      </c>
      <c r="D97" s="1" t="s">
        <v>19</v>
      </c>
      <c r="E97" s="1" t="s">
        <v>20</v>
      </c>
      <c r="F97" s="1" t="n">
        <v>38</v>
      </c>
      <c r="G97" s="1" t="s">
        <v>22</v>
      </c>
      <c r="H97" s="1" t="n">
        <v>0.1</v>
      </c>
      <c r="I97" s="1" t="n">
        <v>0.188506017355513</v>
      </c>
      <c r="J97" s="1" t="n">
        <v>0.285629873979932</v>
      </c>
      <c r="K97" s="1" t="n">
        <f aca="false">J97-I97</f>
        <v>0.0971238566244199</v>
      </c>
      <c r="L97" s="1" t="n">
        <v>0.770211516204908</v>
      </c>
    </row>
    <row r="98" customFormat="false" ht="15" hidden="false" customHeight="false" outlineLevel="0" collapsed="false">
      <c r="A98" s="1" t="s">
        <v>89</v>
      </c>
      <c r="B98" s="1" t="s">
        <v>90</v>
      </c>
      <c r="C98" s="1" t="s">
        <v>91</v>
      </c>
      <c r="D98" s="1" t="s">
        <v>19</v>
      </c>
      <c r="E98" s="1" t="s">
        <v>20</v>
      </c>
      <c r="F98" s="1" t="n">
        <v>40</v>
      </c>
      <c r="G98" s="1" t="s">
        <v>21</v>
      </c>
      <c r="H98" s="1" t="n">
        <v>0.2026</v>
      </c>
      <c r="I98" s="1" t="n">
        <v>0.354836310233019</v>
      </c>
      <c r="J98" s="1" t="n">
        <v>0.431843510137779</v>
      </c>
      <c r="K98" s="1" t="n">
        <f aca="false">J98-I98</f>
        <v>0.0770071999047607</v>
      </c>
      <c r="L98" s="1" t="n">
        <v>0.65642930221378</v>
      </c>
    </row>
    <row r="99" customFormat="false" ht="15" hidden="false" customHeight="false" outlineLevel="0" collapsed="false">
      <c r="A99" s="1" t="s">
        <v>89</v>
      </c>
      <c r="B99" s="1" t="s">
        <v>90</v>
      </c>
      <c r="C99" s="1" t="s">
        <v>91</v>
      </c>
      <c r="D99" s="1" t="s">
        <v>19</v>
      </c>
      <c r="E99" s="1" t="s">
        <v>20</v>
      </c>
      <c r="F99" s="1" t="n">
        <v>40</v>
      </c>
      <c r="G99" s="1" t="s">
        <v>33</v>
      </c>
      <c r="H99" s="1" t="n">
        <v>0.1668</v>
      </c>
      <c r="I99" s="1" t="n">
        <v>0.292131863208602</v>
      </c>
      <c r="J99" s="1" t="n">
        <v>0.334017093416907</v>
      </c>
      <c r="K99" s="1" t="n">
        <f aca="false">J99-I99</f>
        <v>0.0418852302083055</v>
      </c>
      <c r="L99" s="1" t="n">
        <v>0.65642930221378</v>
      </c>
    </row>
    <row r="100" customFormat="false" ht="15" hidden="false" customHeight="false" outlineLevel="0" collapsed="false">
      <c r="A100" s="1" t="s">
        <v>89</v>
      </c>
      <c r="B100" s="1" t="s">
        <v>90</v>
      </c>
      <c r="C100" s="1" t="s">
        <v>91</v>
      </c>
      <c r="D100" s="1" t="s">
        <v>19</v>
      </c>
      <c r="E100" s="1" t="s">
        <v>20</v>
      </c>
      <c r="F100" s="1" t="n">
        <v>40</v>
      </c>
      <c r="G100" s="1" t="s">
        <v>38</v>
      </c>
      <c r="H100" s="1" t="n">
        <v>0.1629</v>
      </c>
      <c r="I100" s="1" t="n">
        <v>0.285386307284263</v>
      </c>
      <c r="J100" s="1" t="n">
        <v>0.394369031898636</v>
      </c>
      <c r="K100" s="1" t="n">
        <f aca="false">J100-I100</f>
        <v>0.108982724614373</v>
      </c>
      <c r="L100" s="1" t="n">
        <v>0.65642930221378</v>
      </c>
    </row>
    <row r="101" customFormat="false" ht="15" hidden="false" customHeight="false" outlineLevel="0" collapsed="false">
      <c r="A101" s="1" t="s">
        <v>89</v>
      </c>
      <c r="B101" s="1" t="s">
        <v>90</v>
      </c>
      <c r="C101" s="1" t="s">
        <v>91</v>
      </c>
      <c r="D101" s="1" t="s">
        <v>19</v>
      </c>
      <c r="E101" s="1" t="s">
        <v>20</v>
      </c>
      <c r="F101" s="1" t="n">
        <v>40</v>
      </c>
      <c r="G101" s="1" t="s">
        <v>34</v>
      </c>
      <c r="H101" s="1" t="n">
        <v>0.1573</v>
      </c>
      <c r="I101" s="1" t="n">
        <v>0.275509767724156</v>
      </c>
      <c r="J101" s="1" t="n">
        <v>0.35888803864894</v>
      </c>
      <c r="K101" s="1" t="n">
        <f aca="false">J101-I101</f>
        <v>0.0833782709247844</v>
      </c>
      <c r="L101" s="1" t="n">
        <v>0.65642930221378</v>
      </c>
    </row>
    <row r="102" customFormat="false" ht="15" hidden="false" customHeight="false" outlineLevel="0" collapsed="false">
      <c r="A102" s="1" t="s">
        <v>89</v>
      </c>
      <c r="B102" s="1" t="s">
        <v>90</v>
      </c>
      <c r="C102" s="1" t="s">
        <v>91</v>
      </c>
      <c r="D102" s="1" t="s">
        <v>19</v>
      </c>
      <c r="E102" s="1" t="s">
        <v>20</v>
      </c>
      <c r="F102" s="1" t="n">
        <v>40</v>
      </c>
      <c r="G102" s="1" t="s">
        <v>22</v>
      </c>
      <c r="H102" s="1" t="n">
        <v>0.1571</v>
      </c>
      <c r="I102" s="1" t="n">
        <v>0.275098883395083</v>
      </c>
      <c r="J102" s="1" t="n">
        <v>0.359310182583173</v>
      </c>
      <c r="K102" s="1" t="n">
        <f aca="false">J102-I102</f>
        <v>0.0842112991880898</v>
      </c>
      <c r="L102" s="1" t="n">
        <v>0.65642930221378</v>
      </c>
    </row>
    <row r="103" customFormat="false" ht="15" hidden="false" customHeight="false" outlineLevel="0" collapsed="false">
      <c r="A103" s="1" t="s">
        <v>89</v>
      </c>
      <c r="B103" s="1" t="s">
        <v>90</v>
      </c>
      <c r="C103" s="1" t="s">
        <v>91</v>
      </c>
      <c r="D103" s="1" t="s">
        <v>19</v>
      </c>
      <c r="E103" s="1" t="s">
        <v>20</v>
      </c>
      <c r="F103" s="1" t="n">
        <v>40</v>
      </c>
      <c r="G103" s="1" t="s">
        <v>39</v>
      </c>
      <c r="H103" s="1" t="n">
        <v>0.1533</v>
      </c>
      <c r="I103" s="1" t="n">
        <v>0.268532820942003</v>
      </c>
      <c r="J103" s="1" t="n">
        <v>0.331238999080346</v>
      </c>
      <c r="K103" s="1" t="n">
        <f aca="false">J103-I103</f>
        <v>0.0627061781383432</v>
      </c>
      <c r="L103" s="1" t="n">
        <v>0.65642930221378</v>
      </c>
    </row>
    <row r="104" customFormat="false" ht="15" hidden="false" customHeight="false" outlineLevel="0" collapsed="false">
      <c r="A104" s="1" t="s">
        <v>92</v>
      </c>
      <c r="B104" s="1" t="s">
        <v>93</v>
      </c>
      <c r="C104" s="1" t="s">
        <v>94</v>
      </c>
      <c r="D104" s="1" t="s">
        <v>19</v>
      </c>
      <c r="E104" s="1" t="s">
        <v>20</v>
      </c>
      <c r="F104" s="1" t="n">
        <v>42</v>
      </c>
      <c r="G104" s="1" t="s">
        <v>21</v>
      </c>
      <c r="H104" s="1" t="n">
        <v>0.1902</v>
      </c>
      <c r="I104" s="1" t="n">
        <v>0.374428465119387</v>
      </c>
      <c r="J104" s="1" t="n">
        <v>0.417844214641074</v>
      </c>
      <c r="K104" s="1" t="n">
        <f aca="false">J104-I104</f>
        <v>0.0434157495216867</v>
      </c>
      <c r="L104" s="1" t="n">
        <v>0.699675260395181</v>
      </c>
    </row>
    <row r="105" customFormat="false" ht="15" hidden="false" customHeight="false" outlineLevel="0" collapsed="false">
      <c r="A105" s="1" t="s">
        <v>92</v>
      </c>
      <c r="B105" s="1" t="s">
        <v>93</v>
      </c>
      <c r="C105" s="1" t="s">
        <v>94</v>
      </c>
      <c r="D105" s="1" t="s">
        <v>19</v>
      </c>
      <c r="E105" s="1" t="s">
        <v>20</v>
      </c>
      <c r="F105" s="1" t="n">
        <v>42</v>
      </c>
      <c r="G105" s="1" t="s">
        <v>38</v>
      </c>
      <c r="H105" s="1" t="n">
        <v>0.182</v>
      </c>
      <c r="I105" s="1" t="n">
        <v>0.358333168840245</v>
      </c>
      <c r="J105" s="1" t="n">
        <v>0.3377034380298</v>
      </c>
      <c r="K105" s="1" t="n">
        <f aca="false">J105-I105</f>
        <v>-0.0206297308104447</v>
      </c>
      <c r="L105" s="1" t="n">
        <v>0.699675260395181</v>
      </c>
    </row>
    <row r="106" customFormat="false" ht="15" hidden="false" customHeight="false" outlineLevel="0" collapsed="false">
      <c r="A106" s="1" t="s">
        <v>92</v>
      </c>
      <c r="B106" s="1" t="s">
        <v>93</v>
      </c>
      <c r="C106" s="1" t="s">
        <v>94</v>
      </c>
      <c r="D106" s="1" t="s">
        <v>19</v>
      </c>
      <c r="E106" s="1" t="s">
        <v>20</v>
      </c>
      <c r="F106" s="1" t="n">
        <v>42</v>
      </c>
      <c r="G106" s="1" t="s">
        <v>33</v>
      </c>
      <c r="H106" s="1" t="n">
        <v>0.1664</v>
      </c>
      <c r="I106" s="1" t="n">
        <v>0.327547956818529</v>
      </c>
      <c r="J106" s="1" t="n">
        <v>0.356972258488658</v>
      </c>
      <c r="K106" s="1" t="n">
        <f aca="false">J106-I106</f>
        <v>0.0294243016701284</v>
      </c>
      <c r="L106" s="1" t="n">
        <v>0.699675260395181</v>
      </c>
    </row>
    <row r="107" customFormat="false" ht="15" hidden="false" customHeight="false" outlineLevel="0" collapsed="false">
      <c r="A107" s="1" t="s">
        <v>92</v>
      </c>
      <c r="B107" s="1" t="s">
        <v>93</v>
      </c>
      <c r="C107" s="1" t="s">
        <v>94</v>
      </c>
      <c r="D107" s="1" t="s">
        <v>19</v>
      </c>
      <c r="E107" s="1" t="s">
        <v>20</v>
      </c>
      <c r="F107" s="1" t="n">
        <v>42</v>
      </c>
      <c r="G107" s="1" t="s">
        <v>34</v>
      </c>
      <c r="H107" s="1" t="n">
        <v>0.1585</v>
      </c>
      <c r="I107" s="1" t="n">
        <v>0.311984091709072</v>
      </c>
      <c r="J107" s="1" t="n">
        <v>0.303573725623896</v>
      </c>
      <c r="K107" s="1" t="n">
        <f aca="false">J107-I107</f>
        <v>-0.00841036608517604</v>
      </c>
      <c r="L107" s="1" t="n">
        <v>0.699675260395181</v>
      </c>
    </row>
    <row r="108" customFormat="false" ht="15" hidden="false" customHeight="false" outlineLevel="0" collapsed="false">
      <c r="A108" s="1" t="s">
        <v>92</v>
      </c>
      <c r="B108" s="1" t="s">
        <v>93</v>
      </c>
      <c r="C108" s="1" t="s">
        <v>94</v>
      </c>
      <c r="D108" s="1" t="s">
        <v>19</v>
      </c>
      <c r="E108" s="1" t="s">
        <v>20</v>
      </c>
      <c r="F108" s="1" t="n">
        <v>42</v>
      </c>
      <c r="G108" s="1" t="s">
        <v>22</v>
      </c>
      <c r="H108" s="1" t="n">
        <v>0.1533</v>
      </c>
      <c r="I108" s="1" t="n">
        <v>0.301817903258211</v>
      </c>
      <c r="J108" s="1" t="n">
        <v>0.298523079142683</v>
      </c>
      <c r="K108" s="1" t="n">
        <f aca="false">J108-I108</f>
        <v>-0.00329482411552778</v>
      </c>
      <c r="L108" s="1" t="n">
        <v>0.699675260395181</v>
      </c>
    </row>
    <row r="109" customFormat="false" ht="15" hidden="false" customHeight="false" outlineLevel="0" collapsed="false">
      <c r="A109" s="1" t="s">
        <v>92</v>
      </c>
      <c r="B109" s="1" t="s">
        <v>93</v>
      </c>
      <c r="C109" s="1" t="s">
        <v>94</v>
      </c>
      <c r="D109" s="1" t="s">
        <v>19</v>
      </c>
      <c r="E109" s="1" t="s">
        <v>20</v>
      </c>
      <c r="F109" s="1" t="n">
        <v>42</v>
      </c>
      <c r="G109" s="1" t="s">
        <v>39</v>
      </c>
      <c r="H109" s="1" t="n">
        <v>0.1495</v>
      </c>
      <c r="I109" s="1" t="n">
        <v>0.294370929223937</v>
      </c>
      <c r="J109" s="1" t="n">
        <v>0.308635771837345</v>
      </c>
      <c r="K109" s="1" t="n">
        <f aca="false">J109-I109</f>
        <v>0.0142648426134077</v>
      </c>
      <c r="L109" s="1" t="n">
        <v>0.699675260395181</v>
      </c>
    </row>
    <row r="110" customFormat="false" ht="15" hidden="false" customHeight="false" outlineLevel="0" collapsed="false">
      <c r="A110" s="1" t="s">
        <v>95</v>
      </c>
      <c r="B110" s="1" t="s">
        <v>96</v>
      </c>
      <c r="C110" s="1" t="s">
        <v>97</v>
      </c>
      <c r="D110" s="1" t="s">
        <v>19</v>
      </c>
      <c r="E110" s="1" t="s">
        <v>20</v>
      </c>
      <c r="F110" s="1" t="n">
        <v>44</v>
      </c>
      <c r="G110" s="1" t="s">
        <v>21</v>
      </c>
      <c r="H110" s="1" t="n">
        <v>0.2019</v>
      </c>
      <c r="I110" s="1" t="n">
        <v>0.379821263960141</v>
      </c>
      <c r="J110" s="1" t="n">
        <v>0.408639341838424</v>
      </c>
      <c r="K110" s="1" t="n">
        <f aca="false">J110-I110</f>
        <v>0.0288180778782831</v>
      </c>
      <c r="L110" s="1" t="n">
        <v>0.736340390593237</v>
      </c>
    </row>
    <row r="111" customFormat="false" ht="15" hidden="false" customHeight="false" outlineLevel="0" collapsed="false">
      <c r="A111" s="1" t="s">
        <v>95</v>
      </c>
      <c r="B111" s="1" t="s">
        <v>96</v>
      </c>
      <c r="C111" s="1" t="s">
        <v>97</v>
      </c>
      <c r="D111" s="1" t="s">
        <v>19</v>
      </c>
      <c r="E111" s="1" t="s">
        <v>20</v>
      </c>
      <c r="F111" s="1" t="n">
        <v>44</v>
      </c>
      <c r="G111" s="1" t="s">
        <v>22</v>
      </c>
      <c r="H111" s="1" t="n">
        <v>0.1734</v>
      </c>
      <c r="I111" s="1" t="n">
        <v>0.326268466815253</v>
      </c>
      <c r="J111" s="1" t="n">
        <v>0.33756459189348</v>
      </c>
      <c r="K111" s="1" t="n">
        <f aca="false">J111-I111</f>
        <v>0.0112961250782263</v>
      </c>
      <c r="L111" s="1" t="n">
        <v>0.736340390593237</v>
      </c>
    </row>
    <row r="112" customFormat="false" ht="15" hidden="false" customHeight="false" outlineLevel="0" collapsed="false">
      <c r="A112" s="1" t="s">
        <v>95</v>
      </c>
      <c r="B112" s="1" t="s">
        <v>96</v>
      </c>
      <c r="C112" s="1" t="s">
        <v>97</v>
      </c>
      <c r="D112" s="1" t="s">
        <v>19</v>
      </c>
      <c r="E112" s="1" t="s">
        <v>20</v>
      </c>
      <c r="F112" s="1" t="n">
        <v>44</v>
      </c>
      <c r="G112" s="1" t="s">
        <v>33</v>
      </c>
      <c r="H112" s="1" t="n">
        <v>0.1609</v>
      </c>
      <c r="I112" s="1" t="n">
        <v>0.302755799885746</v>
      </c>
      <c r="J112" s="1" t="n">
        <v>0.290141755750333</v>
      </c>
      <c r="K112" s="1" t="n">
        <f aca="false">J112-I112</f>
        <v>-0.012614044135413</v>
      </c>
      <c r="L112" s="1" t="n">
        <v>0.736340390593237</v>
      </c>
    </row>
    <row r="113" customFormat="false" ht="15" hidden="false" customHeight="false" outlineLevel="0" collapsed="false">
      <c r="A113" s="1" t="s">
        <v>95</v>
      </c>
      <c r="B113" s="1" t="s">
        <v>96</v>
      </c>
      <c r="C113" s="1" t="s">
        <v>97</v>
      </c>
      <c r="D113" s="1" t="s">
        <v>19</v>
      </c>
      <c r="E113" s="1" t="s">
        <v>20</v>
      </c>
      <c r="F113" s="1" t="n">
        <v>44</v>
      </c>
      <c r="G113" s="1" t="s">
        <v>34</v>
      </c>
      <c r="H113" s="1" t="n">
        <v>0.1604</v>
      </c>
      <c r="I113" s="1" t="n">
        <v>0.301739678957454</v>
      </c>
      <c r="J113" s="1" t="n">
        <v>0.346107330716402</v>
      </c>
      <c r="K113" s="1" t="n">
        <f aca="false">J113-I113</f>
        <v>0.0443676517589477</v>
      </c>
      <c r="L113" s="1" t="n">
        <v>0.736340390593237</v>
      </c>
    </row>
    <row r="114" customFormat="false" ht="15" hidden="false" customHeight="false" outlineLevel="0" collapsed="false">
      <c r="A114" s="1" t="s">
        <v>95</v>
      </c>
      <c r="B114" s="1" t="s">
        <v>96</v>
      </c>
      <c r="C114" s="1" t="s">
        <v>97</v>
      </c>
      <c r="D114" s="1" t="s">
        <v>19</v>
      </c>
      <c r="E114" s="1" t="s">
        <v>20</v>
      </c>
      <c r="F114" s="1" t="n">
        <v>44</v>
      </c>
      <c r="G114" s="1" t="s">
        <v>38</v>
      </c>
      <c r="H114" s="1" t="n">
        <v>0.1542</v>
      </c>
      <c r="I114" s="1" t="n">
        <v>0.290063722669723</v>
      </c>
      <c r="J114" s="1" t="n">
        <v>0.352518940066709</v>
      </c>
      <c r="K114" s="1" t="n">
        <f aca="false">J114-I114</f>
        <v>0.0624552173969862</v>
      </c>
      <c r="L114" s="1" t="n">
        <v>0.736340390593237</v>
      </c>
    </row>
    <row r="115" customFormat="false" ht="15" hidden="false" customHeight="false" outlineLevel="0" collapsed="false">
      <c r="A115" s="1" t="s">
        <v>95</v>
      </c>
      <c r="B115" s="1" t="s">
        <v>96</v>
      </c>
      <c r="C115" s="1" t="s">
        <v>97</v>
      </c>
      <c r="D115" s="1" t="s">
        <v>19</v>
      </c>
      <c r="E115" s="1" t="s">
        <v>20</v>
      </c>
      <c r="F115" s="1" t="n">
        <v>44</v>
      </c>
      <c r="G115" s="1" t="s">
        <v>32</v>
      </c>
      <c r="H115" s="1" t="n">
        <v>0.1493</v>
      </c>
      <c r="I115" s="1" t="n">
        <v>0.280903014067022</v>
      </c>
      <c r="J115" s="1" t="n">
        <v>0.299546335917271</v>
      </c>
      <c r="K115" s="1" t="n">
        <f aca="false">J115-I115</f>
        <v>0.0186433218502489</v>
      </c>
      <c r="L115" s="1" t="n">
        <v>0.736340390593237</v>
      </c>
    </row>
    <row r="116" customFormat="false" ht="15" hidden="false" customHeight="false" outlineLevel="0" collapsed="false">
      <c r="A116" s="1" t="s">
        <v>98</v>
      </c>
      <c r="B116" s="1" t="s">
        <v>99</v>
      </c>
      <c r="C116" s="1" t="s">
        <v>100</v>
      </c>
      <c r="D116" s="1" t="s">
        <v>19</v>
      </c>
      <c r="E116" s="1" t="s">
        <v>20</v>
      </c>
      <c r="F116" s="1" t="n">
        <v>46</v>
      </c>
      <c r="G116" s="1" t="s">
        <v>21</v>
      </c>
      <c r="H116" s="1" t="n">
        <v>0.2173</v>
      </c>
      <c r="I116" s="1" t="n">
        <v>0.373322109219741</v>
      </c>
      <c r="J116" s="1" t="n">
        <v>0.460991161982361</v>
      </c>
      <c r="K116" s="1" t="n">
        <f aca="false">J116-I116</f>
        <v>0.0876690527626198</v>
      </c>
      <c r="L116" s="1" t="n">
        <v>0.808304244936902</v>
      </c>
    </row>
    <row r="117" customFormat="false" ht="15" hidden="false" customHeight="false" outlineLevel="0" collapsed="false">
      <c r="A117" s="1" t="s">
        <v>98</v>
      </c>
      <c r="B117" s="1" t="s">
        <v>99</v>
      </c>
      <c r="C117" s="1" t="s">
        <v>100</v>
      </c>
      <c r="D117" s="1" t="s">
        <v>19</v>
      </c>
      <c r="E117" s="1" t="s">
        <v>20</v>
      </c>
      <c r="F117" s="1" t="n">
        <v>46</v>
      </c>
      <c r="G117" s="1" t="s">
        <v>39</v>
      </c>
      <c r="H117" s="1" t="n">
        <v>0.1709</v>
      </c>
      <c r="I117" s="1" t="n">
        <v>0.29347541089192</v>
      </c>
      <c r="J117" s="1" t="n">
        <v>0.352440117700415</v>
      </c>
      <c r="K117" s="1" t="n">
        <f aca="false">J117-I117</f>
        <v>0.0589647068084949</v>
      </c>
      <c r="L117" s="1" t="n">
        <v>0.808304244936902</v>
      </c>
    </row>
    <row r="118" customFormat="false" ht="15" hidden="false" customHeight="false" outlineLevel="0" collapsed="false">
      <c r="A118" s="1" t="s">
        <v>98</v>
      </c>
      <c r="B118" s="1" t="s">
        <v>99</v>
      </c>
      <c r="C118" s="1" t="s">
        <v>100</v>
      </c>
      <c r="D118" s="1" t="s">
        <v>19</v>
      </c>
      <c r="E118" s="1" t="s">
        <v>20</v>
      </c>
      <c r="F118" s="1" t="n">
        <v>46</v>
      </c>
      <c r="G118" s="1" t="s">
        <v>38</v>
      </c>
      <c r="H118" s="1" t="n">
        <v>0.1592</v>
      </c>
      <c r="I118" s="1" t="n">
        <v>0.273470988365888</v>
      </c>
      <c r="J118" s="1" t="n">
        <v>0.373998344324051</v>
      </c>
      <c r="K118" s="1" t="n">
        <f aca="false">J118-I118</f>
        <v>0.100527355958162</v>
      </c>
      <c r="L118" s="1" t="n">
        <v>0.808304244936902</v>
      </c>
    </row>
    <row r="119" customFormat="false" ht="15" hidden="false" customHeight="false" outlineLevel="0" collapsed="false">
      <c r="A119" s="1" t="s">
        <v>98</v>
      </c>
      <c r="B119" s="1" t="s">
        <v>99</v>
      </c>
      <c r="C119" s="1" t="s">
        <v>100</v>
      </c>
      <c r="D119" s="1" t="s">
        <v>19</v>
      </c>
      <c r="E119" s="1" t="s">
        <v>20</v>
      </c>
      <c r="F119" s="1" t="n">
        <v>46</v>
      </c>
      <c r="G119" s="1" t="s">
        <v>22</v>
      </c>
      <c r="H119" s="1" t="n">
        <v>0.1575</v>
      </c>
      <c r="I119" s="1" t="n">
        <v>0.270460262002756</v>
      </c>
      <c r="J119" s="1" t="n">
        <v>0.392568692760514</v>
      </c>
      <c r="K119" s="1" t="n">
        <f aca="false">J119-I119</f>
        <v>0.122108430757758</v>
      </c>
      <c r="L119" s="1" t="n">
        <v>0.808304244936902</v>
      </c>
    </row>
    <row r="120" customFormat="false" ht="15" hidden="false" customHeight="false" outlineLevel="0" collapsed="false">
      <c r="A120" s="1" t="s">
        <v>98</v>
      </c>
      <c r="B120" s="1" t="s">
        <v>99</v>
      </c>
      <c r="C120" s="1" t="s">
        <v>100</v>
      </c>
      <c r="D120" s="1" t="s">
        <v>19</v>
      </c>
      <c r="E120" s="1" t="s">
        <v>20</v>
      </c>
      <c r="F120" s="1" t="n">
        <v>46</v>
      </c>
      <c r="G120" s="1" t="s">
        <v>34</v>
      </c>
      <c r="H120" s="1" t="n">
        <v>0.1499</v>
      </c>
      <c r="I120" s="1" t="n">
        <v>0.257482543824625</v>
      </c>
      <c r="J120" s="1" t="n">
        <v>0.316895499143266</v>
      </c>
      <c r="K120" s="1" t="n">
        <f aca="false">J120-I120</f>
        <v>0.0594129553186418</v>
      </c>
      <c r="L120" s="1" t="n">
        <v>0.808304244936902</v>
      </c>
    </row>
    <row r="121" customFormat="false" ht="15" hidden="false" customHeight="false" outlineLevel="0" collapsed="false">
      <c r="A121" s="1" t="s">
        <v>98</v>
      </c>
      <c r="B121" s="1" t="s">
        <v>99</v>
      </c>
      <c r="C121" s="1" t="s">
        <v>100</v>
      </c>
      <c r="D121" s="1" t="s">
        <v>19</v>
      </c>
      <c r="E121" s="1" t="s">
        <v>20</v>
      </c>
      <c r="F121" s="1" t="n">
        <v>46</v>
      </c>
      <c r="G121" s="1" t="s">
        <v>33</v>
      </c>
      <c r="H121" s="1" t="n">
        <v>0.1453</v>
      </c>
      <c r="I121" s="1" t="n">
        <v>0.249519572649315</v>
      </c>
      <c r="J121" s="1" t="n">
        <v>0.364888877659761</v>
      </c>
      <c r="K121" s="1" t="n">
        <f aca="false">J121-I121</f>
        <v>0.115369305010446</v>
      </c>
      <c r="L121" s="1" t="n">
        <v>0.808304244936902</v>
      </c>
    </row>
    <row r="122" customFormat="false" ht="15" hidden="false" customHeight="false" outlineLevel="0" collapsed="false">
      <c r="A122" s="1" t="s">
        <v>101</v>
      </c>
      <c r="B122" s="1" t="s">
        <v>102</v>
      </c>
      <c r="C122" s="1" t="s">
        <v>103</v>
      </c>
      <c r="D122" s="1" t="s">
        <v>19</v>
      </c>
      <c r="E122" s="1" t="s">
        <v>20</v>
      </c>
      <c r="F122" s="1" t="n">
        <v>48</v>
      </c>
      <c r="G122" s="1" t="s">
        <v>21</v>
      </c>
      <c r="H122" s="1" t="n">
        <v>0.2095</v>
      </c>
      <c r="I122" s="1" t="n">
        <v>0.407843368217975</v>
      </c>
      <c r="J122" s="1" t="n">
        <v>0.470353928334612</v>
      </c>
      <c r="K122" s="1" t="n">
        <f aca="false">J122-I122</f>
        <v>0.0625105601166375</v>
      </c>
      <c r="L122" s="1" t="n">
        <v>0.717501306984114</v>
      </c>
    </row>
    <row r="123" customFormat="false" ht="15" hidden="false" customHeight="false" outlineLevel="0" collapsed="false">
      <c r="A123" s="1" t="s">
        <v>101</v>
      </c>
      <c r="B123" s="1" t="s">
        <v>102</v>
      </c>
      <c r="C123" s="1" t="s">
        <v>103</v>
      </c>
      <c r="D123" s="1" t="s">
        <v>19</v>
      </c>
      <c r="E123" s="1" t="s">
        <v>20</v>
      </c>
      <c r="F123" s="1" t="n">
        <v>48</v>
      </c>
      <c r="G123" s="1" t="s">
        <v>38</v>
      </c>
      <c r="H123" s="1" t="n">
        <v>0.174</v>
      </c>
      <c r="I123" s="1" t="n">
        <v>0.338654974029077</v>
      </c>
      <c r="J123" s="1" t="n">
        <v>0.334649076690163</v>
      </c>
      <c r="K123" s="1" t="n">
        <f aca="false">J123-I123</f>
        <v>-0.00400589733891443</v>
      </c>
      <c r="L123" s="1" t="n">
        <v>0.717501306984114</v>
      </c>
    </row>
    <row r="124" customFormat="false" ht="15" hidden="false" customHeight="false" outlineLevel="0" collapsed="false">
      <c r="A124" s="1" t="s">
        <v>101</v>
      </c>
      <c r="B124" s="1" t="s">
        <v>102</v>
      </c>
      <c r="C124" s="1" t="s">
        <v>103</v>
      </c>
      <c r="D124" s="1" t="s">
        <v>19</v>
      </c>
      <c r="E124" s="1" t="s">
        <v>20</v>
      </c>
      <c r="F124" s="1" t="n">
        <v>48</v>
      </c>
      <c r="G124" s="1" t="s">
        <v>33</v>
      </c>
      <c r="H124" s="1" t="n">
        <v>0.1663</v>
      </c>
      <c r="I124" s="1" t="n">
        <v>0.323593901878939</v>
      </c>
      <c r="J124" s="1" t="n">
        <v>0.315765824300524</v>
      </c>
      <c r="K124" s="1" t="n">
        <f aca="false">J124-I124</f>
        <v>-0.00782807757841547</v>
      </c>
      <c r="L124" s="1" t="n">
        <v>0.717501306984114</v>
      </c>
    </row>
    <row r="125" customFormat="false" ht="15" hidden="false" customHeight="false" outlineLevel="0" collapsed="false">
      <c r="A125" s="1" t="s">
        <v>101</v>
      </c>
      <c r="B125" s="1" t="s">
        <v>102</v>
      </c>
      <c r="C125" s="1" t="s">
        <v>103</v>
      </c>
      <c r="D125" s="1" t="s">
        <v>19</v>
      </c>
      <c r="E125" s="1" t="s">
        <v>20</v>
      </c>
      <c r="F125" s="1" t="n">
        <v>48</v>
      </c>
      <c r="G125" s="1" t="s">
        <v>22</v>
      </c>
      <c r="H125" s="1" t="n">
        <v>0.1593</v>
      </c>
      <c r="I125" s="1" t="n">
        <v>0.310085574910003</v>
      </c>
      <c r="J125" s="1" t="n">
        <v>0.317680078190787</v>
      </c>
      <c r="K125" s="1" t="n">
        <f aca="false">J125-I125</f>
        <v>0.00759450328078404</v>
      </c>
      <c r="L125" s="1" t="n">
        <v>0.717501306984114</v>
      </c>
    </row>
    <row r="126" customFormat="false" ht="15" hidden="false" customHeight="false" outlineLevel="0" collapsed="false">
      <c r="A126" s="1" t="s">
        <v>101</v>
      </c>
      <c r="B126" s="1" t="s">
        <v>102</v>
      </c>
      <c r="C126" s="1" t="s">
        <v>103</v>
      </c>
      <c r="D126" s="1" t="s">
        <v>19</v>
      </c>
      <c r="E126" s="1" t="s">
        <v>20</v>
      </c>
      <c r="F126" s="1" t="n">
        <v>48</v>
      </c>
      <c r="G126" s="1" t="s">
        <v>39</v>
      </c>
      <c r="H126" s="1" t="n">
        <v>0.1457</v>
      </c>
      <c r="I126" s="1" t="n">
        <v>0.283628776939486</v>
      </c>
      <c r="J126" s="1" t="n">
        <v>0.317496762651514</v>
      </c>
      <c r="K126" s="1" t="n">
        <f aca="false">J126-I126</f>
        <v>0.0338679857120276</v>
      </c>
      <c r="L126" s="1" t="n">
        <v>0.717501306984114</v>
      </c>
    </row>
    <row r="127" customFormat="false" ht="15" hidden="false" customHeight="false" outlineLevel="0" collapsed="false">
      <c r="A127" s="1" t="s">
        <v>101</v>
      </c>
      <c r="B127" s="1" t="s">
        <v>102</v>
      </c>
      <c r="C127" s="1" t="s">
        <v>103</v>
      </c>
      <c r="D127" s="1" t="s">
        <v>19</v>
      </c>
      <c r="E127" s="1" t="s">
        <v>20</v>
      </c>
      <c r="F127" s="1" t="n">
        <v>48</v>
      </c>
      <c r="G127" s="1" t="s">
        <v>34</v>
      </c>
      <c r="H127" s="1" t="n">
        <v>0.1452</v>
      </c>
      <c r="I127" s="1" t="n">
        <v>0.28252185666608</v>
      </c>
      <c r="J127" s="1" t="n">
        <v>0.305612679449491</v>
      </c>
      <c r="K127" s="1" t="n">
        <f aca="false">J127-I127</f>
        <v>0.0230908227834108</v>
      </c>
      <c r="L127" s="1" t="n">
        <v>0.717501306984114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2" min="2" style="1" width="19.71"/>
  </cols>
  <sheetData>
    <row r="1" customFormat="false" ht="12.8" hidden="false" customHeight="false" outlineLevel="0" collapsed="false">
      <c r="A1" s="5" t="s">
        <v>104</v>
      </c>
      <c r="B1" s="5"/>
    </row>
    <row r="2" customFormat="false" ht="12.8" hidden="false" customHeight="false" outlineLevel="0" collapsed="false">
      <c r="A2" s="5"/>
      <c r="B2" s="5"/>
    </row>
    <row r="3" customFormat="false" ht="12.8" hidden="false" customHeight="false" outlineLevel="0" collapsed="false">
      <c r="A3" s="5" t="s">
        <v>105</v>
      </c>
      <c r="B3" s="6" t="n">
        <f aca="false">scen8_hybrid!P2</f>
        <v>125</v>
      </c>
    </row>
    <row r="4" customFormat="false" ht="12.8" hidden="false" customHeight="false" outlineLevel="0" collapsed="false">
      <c r="A4" s="5" t="s">
        <v>106</v>
      </c>
      <c r="B4" s="5" t="n">
        <f aca="false">B10*SQRT((B3-2)/(1-B10^2))</f>
        <v>4.18898973809518</v>
      </c>
    </row>
    <row r="5" customFormat="false" ht="12.8" hidden="false" customHeight="false" outlineLevel="0" collapsed="false">
      <c r="A5" s="5" t="s">
        <v>107</v>
      </c>
      <c r="B5" s="5" t="n">
        <f aca="false">_xlfn.T.DIST.2T(ABS(B4),B3-2)</f>
        <v>5.29980133980888E-005</v>
      </c>
    </row>
    <row r="6" customFormat="false" ht="12.8" hidden="false" customHeight="false" outlineLevel="0" collapsed="false">
      <c r="A6" s="5"/>
      <c r="B6" s="7"/>
    </row>
    <row r="7" customFormat="false" ht="12.8" hidden="false" customHeight="false" outlineLevel="0" collapsed="false">
      <c r="A7" s="5"/>
      <c r="B7" s="7"/>
    </row>
    <row r="8" customFormat="false" ht="12.8" hidden="false" customHeight="false" outlineLevel="0" collapsed="false">
      <c r="A8" s="5"/>
      <c r="B8" s="7"/>
    </row>
    <row r="9" customFormat="false" ht="19.4" hidden="false" customHeight="false" outlineLevel="0" collapsed="false">
      <c r="A9" s="2" t="s">
        <v>12</v>
      </c>
      <c r="B9" s="2" t="s">
        <v>14</v>
      </c>
    </row>
    <row r="10" customFormat="false" ht="12.8" hidden="false" customHeight="false" outlineLevel="0" collapsed="false">
      <c r="A10" s="8" t="n">
        <f aca="false">B3</f>
        <v>125</v>
      </c>
      <c r="B10" s="8" t="n">
        <f aca="false">scen8_hybrid!R2</f>
        <v>0.353343840724698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4.0703125" defaultRowHeight="12.8" customHeight="false" zeroHeight="false" outlineLevelRow="0" outlineLevelCol="0"/>
  <sheetData>
    <row r="1" customFormat="false" ht="12.8" hidden="false" customHeight="false" outlineLevel="0" collapsed="false">
      <c r="A1" s="9" t="s">
        <v>108</v>
      </c>
      <c r="B1" s="9"/>
    </row>
    <row r="2" customFormat="false" ht="12.8" hidden="false" customHeight="false" outlineLevel="0" collapsed="false">
      <c r="A2" s="10" t="s">
        <v>109</v>
      </c>
      <c r="B2" s="11" t="s">
        <v>110</v>
      </c>
    </row>
    <row r="3" customFormat="false" ht="12.8" hidden="false" customHeight="false" outlineLevel="0" collapsed="false">
      <c r="A3" s="7" t="n">
        <v>1</v>
      </c>
      <c r="B3" s="1" t="n">
        <v>0.753427301803647</v>
      </c>
    </row>
    <row r="4" customFormat="false" ht="12.8" hidden="false" customHeight="false" outlineLevel="0" collapsed="false">
      <c r="A4" s="7" t="n">
        <v>2</v>
      </c>
      <c r="B4" s="1" t="n">
        <v>0.765371582562988</v>
      </c>
    </row>
    <row r="5" customFormat="false" ht="12.8" hidden="false" customHeight="false" outlineLevel="0" collapsed="false">
      <c r="A5" s="7" t="n">
        <v>3</v>
      </c>
      <c r="B5" s="1" t="n">
        <v>0.753068668844285</v>
      </c>
    </row>
    <row r="6" customFormat="false" ht="12.8" hidden="false" customHeight="false" outlineLevel="0" collapsed="false">
      <c r="A6" s="7" t="n">
        <v>4</v>
      </c>
      <c r="B6" s="1" t="n">
        <v>0.733184077559232</v>
      </c>
    </row>
    <row r="7" customFormat="false" ht="12.8" hidden="false" customHeight="false" outlineLevel="0" collapsed="false">
      <c r="A7" s="7" t="n">
        <v>5</v>
      </c>
      <c r="B7" s="1" t="n">
        <v>0.839797661168354</v>
      </c>
    </row>
    <row r="8" customFormat="false" ht="12.8" hidden="false" customHeight="false" outlineLevel="0" collapsed="false">
      <c r="A8" s="7" t="n">
        <v>6</v>
      </c>
      <c r="B8" s="1" t="n">
        <v>0.620764082289514</v>
      </c>
    </row>
    <row r="9" customFormat="false" ht="12.8" hidden="false" customHeight="false" outlineLevel="0" collapsed="false">
      <c r="A9" s="7" t="n">
        <v>7</v>
      </c>
      <c r="B9" s="1" t="n">
        <v>0.708249150690089</v>
      </c>
    </row>
    <row r="10" customFormat="false" ht="12.8" hidden="false" customHeight="false" outlineLevel="0" collapsed="false">
      <c r="A10" s="7" t="n">
        <v>8</v>
      </c>
      <c r="B10" s="1" t="n">
        <v>0.81183171273243</v>
      </c>
    </row>
    <row r="11" customFormat="false" ht="12.8" hidden="false" customHeight="false" outlineLevel="0" collapsed="false">
      <c r="A11" s="7" t="n">
        <v>9</v>
      </c>
      <c r="B11" s="1" t="n">
        <v>0.717889791117422</v>
      </c>
    </row>
    <row r="12" customFormat="false" ht="12.8" hidden="false" customHeight="false" outlineLevel="0" collapsed="false">
      <c r="A12" s="7" t="n">
        <v>10</v>
      </c>
      <c r="B12" s="1" t="n">
        <v>0.82670674249406</v>
      </c>
    </row>
    <row r="13" customFormat="false" ht="12.8" hidden="false" customHeight="false" outlineLevel="0" collapsed="false">
      <c r="A13" s="7" t="n">
        <v>11</v>
      </c>
      <c r="B13" s="1" t="n">
        <v>0.751587201916451</v>
      </c>
    </row>
    <row r="14" customFormat="false" ht="12.8" hidden="false" customHeight="false" outlineLevel="0" collapsed="false">
      <c r="A14" s="7" t="n">
        <v>12</v>
      </c>
      <c r="B14" s="1" t="n">
        <v>0.767576286083638</v>
      </c>
    </row>
    <row r="15" customFormat="false" ht="12.8" hidden="false" customHeight="false" outlineLevel="0" collapsed="false">
      <c r="A15" s="7" t="n">
        <v>13</v>
      </c>
      <c r="B15" s="1" t="n">
        <v>0.77472229763671</v>
      </c>
    </row>
    <row r="16" customFormat="false" ht="12.8" hidden="false" customHeight="false" outlineLevel="0" collapsed="false">
      <c r="A16" s="7" t="n">
        <v>14</v>
      </c>
      <c r="B16" s="1" t="n">
        <v>0.714363998847527</v>
      </c>
    </row>
    <row r="17" customFormat="false" ht="12.8" hidden="false" customHeight="false" outlineLevel="0" collapsed="false">
      <c r="A17" s="7" t="n">
        <v>15</v>
      </c>
      <c r="B17" s="1" t="n">
        <v>0.714429881453235</v>
      </c>
    </row>
    <row r="18" customFormat="false" ht="12.8" hidden="false" customHeight="false" outlineLevel="0" collapsed="false">
      <c r="A18" s="7" t="n">
        <v>16</v>
      </c>
      <c r="B18" s="1" t="n">
        <v>0.730575330250292</v>
      </c>
    </row>
    <row r="19" customFormat="false" ht="12.8" hidden="false" customHeight="false" outlineLevel="0" collapsed="false">
      <c r="A19" s="7" t="n">
        <v>17</v>
      </c>
      <c r="B19" s="1" t="n">
        <v>0.731767373432006</v>
      </c>
    </row>
    <row r="20" customFormat="false" ht="12.8" hidden="false" customHeight="false" outlineLevel="0" collapsed="false">
      <c r="A20" s="7" t="n">
        <v>18</v>
      </c>
      <c r="B20" s="1" t="n">
        <v>0.715924581106966</v>
      </c>
    </row>
    <row r="21" customFormat="false" ht="12.8" hidden="false" customHeight="false" outlineLevel="0" collapsed="false">
      <c r="A21" s="7" t="n">
        <v>19</v>
      </c>
      <c r="B21" s="1" t="n">
        <v>0.781932724966578</v>
      </c>
    </row>
    <row r="22" customFormat="false" ht="12.8" hidden="false" customHeight="false" outlineLevel="0" collapsed="false">
      <c r="A22" s="7" t="n">
        <v>20</v>
      </c>
      <c r="B22" s="1" t="n">
        <v>0.770211516204908</v>
      </c>
    </row>
    <row r="23" customFormat="false" ht="12.8" hidden="false" customHeight="false" outlineLevel="0" collapsed="false">
      <c r="A23" s="7" t="n">
        <v>21</v>
      </c>
      <c r="B23" s="1" t="n">
        <v>0.65642930221378</v>
      </c>
    </row>
    <row r="24" customFormat="false" ht="12.8" hidden="false" customHeight="false" outlineLevel="0" collapsed="false">
      <c r="A24" s="7" t="n">
        <v>22</v>
      </c>
      <c r="B24" s="1" t="n">
        <v>0.699675260395181</v>
      </c>
    </row>
    <row r="25" customFormat="false" ht="12.8" hidden="false" customHeight="false" outlineLevel="0" collapsed="false">
      <c r="A25" s="7" t="n">
        <v>23</v>
      </c>
      <c r="B25" s="1" t="n">
        <v>0.736340390593237</v>
      </c>
    </row>
    <row r="26" customFormat="false" ht="12.8" hidden="false" customHeight="false" outlineLevel="0" collapsed="false">
      <c r="A26" s="7" t="n">
        <v>24</v>
      </c>
      <c r="B26" s="1" t="n">
        <v>0.808304244936902</v>
      </c>
    </row>
    <row r="27" customFormat="false" ht="12.8" hidden="false" customHeight="false" outlineLevel="0" collapsed="false">
      <c r="A27" s="3" t="n">
        <v>25</v>
      </c>
      <c r="B27" s="1" t="n">
        <v>0.717501306984114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57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M17" activeCellId="0" sqref="M17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3" min="2" style="1" width="19.71"/>
    <col collapsed="false" customWidth="true" hidden="false" outlineLevel="0" max="5" min="5" style="1" width="26.76"/>
    <col collapsed="false" customWidth="true" hidden="false" outlineLevel="0" max="7" min="6" style="1" width="21.87"/>
    <col collapsed="false" customWidth="true" hidden="false" outlineLevel="0" max="8" min="8" style="1" width="21.33"/>
    <col collapsed="false" customWidth="true" hidden="false" outlineLevel="0" max="9" min="9" style="1" width="22.42"/>
    <col collapsed="false" customWidth="true" hidden="false" outlineLevel="0" max="10" min="10" style="1" width="19.71"/>
  </cols>
  <sheetData>
    <row r="2" customFormat="false" ht="12.8" hidden="false" customHeight="false" outlineLevel="0" collapsed="false">
      <c r="A2" s="9" t="s">
        <v>108</v>
      </c>
      <c r="B2" s="9"/>
    </row>
    <row r="3" customFormat="false" ht="12.8" hidden="false" customHeight="false" outlineLevel="0" collapsed="false">
      <c r="A3" s="10" t="s">
        <v>109</v>
      </c>
      <c r="B3" s="11" t="s">
        <v>110</v>
      </c>
      <c r="C3" s="1" t="s">
        <v>111</v>
      </c>
      <c r="E3" s="3" t="s">
        <v>112</v>
      </c>
      <c r="F3" s="3" t="s">
        <v>113</v>
      </c>
      <c r="G3" s="3" t="s">
        <v>114</v>
      </c>
      <c r="H3" s="3" t="s">
        <v>115</v>
      </c>
      <c r="I3" s="3" t="s">
        <v>116</v>
      </c>
      <c r="J3" s="3" t="s">
        <v>117</v>
      </c>
      <c r="K3" s="0" t="s">
        <v>118</v>
      </c>
      <c r="L3" s="0" t="s">
        <v>119</v>
      </c>
    </row>
    <row r="4" customFormat="false" ht="12.8" hidden="false" customHeight="false" outlineLevel="0" collapsed="false">
      <c r="A4" s="7" t="n">
        <v>1</v>
      </c>
      <c r="B4" s="1" t="n">
        <v>0.753427301803647</v>
      </c>
      <c r="C4" s="1" t="n">
        <v>0.771814729489856</v>
      </c>
      <c r="E4" s="3" t="n">
        <f aca="false">_xlfn.STDEV.S(B4:B28)</f>
        <v>0.0498303802326085</v>
      </c>
      <c r="F4" s="3" t="n">
        <f aca="false">_xlfn.STDEV.S(C4:C28)</f>
        <v>0.0774803186336932</v>
      </c>
      <c r="G4" s="3" t="n">
        <f aca="false">_xlfn.F.TEST(B4:B28,C4:C28)</f>
        <v>0.0351127395895175</v>
      </c>
      <c r="H4" s="3" t="n">
        <f aca="false">_xlfn.T.TEST(B4:B28, C4:C28, 2,2)</f>
        <v>1.2042768205911E-006</v>
      </c>
      <c r="I4" s="3" t="n">
        <f aca="false">_xlfn.T.TEST(B4:B28,C4:C28, 2,3)</f>
        <v>1.88109653188933E-006</v>
      </c>
      <c r="J4" s="3" t="n">
        <f aca="false">AVERAGE(B4:B28)-AVERAGE(C4:C28)</f>
        <v>0.102284579112888</v>
      </c>
      <c r="K4" s="0" t="n">
        <f aca="false">AVERAGE(B4:B28)</f>
        <v>0.744065298731342</v>
      </c>
      <c r="L4" s="0" t="n">
        <f aca="false">AVERAGE(C4:C28)</f>
        <v>0.641780719618454</v>
      </c>
    </row>
    <row r="5" customFormat="false" ht="12.8" hidden="false" customHeight="false" outlineLevel="0" collapsed="false">
      <c r="A5" s="7" t="n">
        <v>2</v>
      </c>
      <c r="B5" s="1" t="n">
        <v>0.765371582562988</v>
      </c>
      <c r="C5" s="1" t="n">
        <v>0.585748724447829</v>
      </c>
    </row>
    <row r="6" customFormat="false" ht="12.8" hidden="false" customHeight="false" outlineLevel="0" collapsed="false">
      <c r="A6" s="7" t="n">
        <v>3</v>
      </c>
      <c r="B6" s="1" t="n">
        <v>0.753068668844285</v>
      </c>
      <c r="C6" s="1" t="n">
        <v>0.594422528559652</v>
      </c>
    </row>
    <row r="7" customFormat="false" ht="12.8" hidden="false" customHeight="false" outlineLevel="0" collapsed="false">
      <c r="A7" s="7" t="n">
        <v>4</v>
      </c>
      <c r="B7" s="1" t="n">
        <v>0.733184077559232</v>
      </c>
      <c r="C7" s="1" t="n">
        <v>0.60678636857711</v>
      </c>
    </row>
    <row r="8" customFormat="false" ht="12.8" hidden="false" customHeight="false" outlineLevel="0" collapsed="false">
      <c r="A8" s="7" t="n">
        <v>5</v>
      </c>
      <c r="B8" s="1" t="n">
        <v>0.839797661168354</v>
      </c>
      <c r="C8" s="1" t="n">
        <v>0.69941561269435</v>
      </c>
    </row>
    <row r="9" customFormat="false" ht="12.8" hidden="false" customHeight="false" outlineLevel="0" collapsed="false">
      <c r="A9" s="7" t="n">
        <v>6</v>
      </c>
      <c r="B9" s="1" t="n">
        <v>0.620764082289514</v>
      </c>
      <c r="C9" s="1" t="n">
        <v>0.584983605559223</v>
      </c>
    </row>
    <row r="10" customFormat="false" ht="12.8" hidden="false" customHeight="false" outlineLevel="0" collapsed="false">
      <c r="A10" s="7" t="n">
        <v>7</v>
      </c>
      <c r="B10" s="1" t="n">
        <v>0.708249150690089</v>
      </c>
      <c r="C10" s="1" t="n">
        <v>0.523434497974195</v>
      </c>
    </row>
    <row r="11" customFormat="false" ht="12.8" hidden="false" customHeight="false" outlineLevel="0" collapsed="false">
      <c r="A11" s="7" t="n">
        <v>8</v>
      </c>
      <c r="B11" s="1" t="n">
        <v>0.81183171273243</v>
      </c>
      <c r="C11" s="1" t="n">
        <v>0.733177377705096</v>
      </c>
    </row>
    <row r="12" customFormat="false" ht="12.8" hidden="false" customHeight="false" outlineLevel="0" collapsed="false">
      <c r="A12" s="7" t="n">
        <v>9</v>
      </c>
      <c r="B12" s="1" t="n">
        <v>0.717889791117422</v>
      </c>
      <c r="C12" s="1" t="n">
        <v>0.623029352644154</v>
      </c>
    </row>
    <row r="13" customFormat="false" ht="12.8" hidden="false" customHeight="false" outlineLevel="0" collapsed="false">
      <c r="A13" s="7" t="n">
        <v>10</v>
      </c>
      <c r="B13" s="1" t="n">
        <v>0.82670674249406</v>
      </c>
      <c r="C13" s="1" t="n">
        <v>0.569126443983933</v>
      </c>
    </row>
    <row r="14" customFormat="false" ht="12.8" hidden="false" customHeight="false" outlineLevel="0" collapsed="false">
      <c r="A14" s="7" t="n">
        <v>11</v>
      </c>
      <c r="B14" s="1" t="n">
        <v>0.751587201916451</v>
      </c>
      <c r="C14" s="1" t="n">
        <v>0.712616848746921</v>
      </c>
    </row>
    <row r="15" customFormat="false" ht="12.8" hidden="false" customHeight="false" outlineLevel="0" collapsed="false">
      <c r="A15" s="7" t="n">
        <v>12</v>
      </c>
      <c r="B15" s="1" t="n">
        <v>0.767576286083638</v>
      </c>
      <c r="C15" s="1" t="n">
        <v>0.623994668934615</v>
      </c>
    </row>
    <row r="16" customFormat="false" ht="12.8" hidden="false" customHeight="false" outlineLevel="0" collapsed="false">
      <c r="A16" s="7" t="n">
        <v>13</v>
      </c>
      <c r="B16" s="1" t="n">
        <v>0.77472229763671</v>
      </c>
      <c r="C16" s="1" t="n">
        <v>0.708175167658807</v>
      </c>
    </row>
    <row r="17" customFormat="false" ht="12.8" hidden="false" customHeight="false" outlineLevel="0" collapsed="false">
      <c r="A17" s="7" t="n">
        <v>14</v>
      </c>
      <c r="B17" s="1" t="n">
        <v>0.714363998847527</v>
      </c>
      <c r="C17" s="1" t="n">
        <v>0.598847369877094</v>
      </c>
    </row>
    <row r="18" customFormat="false" ht="12.8" hidden="false" customHeight="false" outlineLevel="0" collapsed="false">
      <c r="A18" s="7" t="n">
        <v>15</v>
      </c>
      <c r="B18" s="1" t="n">
        <v>0.714429881453235</v>
      </c>
      <c r="C18" s="1" t="n">
        <v>0.598448875288242</v>
      </c>
    </row>
    <row r="19" customFormat="false" ht="12.8" hidden="false" customHeight="false" outlineLevel="0" collapsed="false">
      <c r="A19" s="7" t="n">
        <v>16</v>
      </c>
      <c r="B19" s="1" t="n">
        <v>0.730575330250292</v>
      </c>
      <c r="C19" s="1" t="n">
        <v>0.686112684184051</v>
      </c>
    </row>
    <row r="20" customFormat="false" ht="12.8" hidden="false" customHeight="false" outlineLevel="0" collapsed="false">
      <c r="A20" s="7" t="n">
        <v>17</v>
      </c>
      <c r="B20" s="1" t="n">
        <v>0.731767373432006</v>
      </c>
      <c r="C20" s="1" t="n">
        <v>0.656452493829178</v>
      </c>
    </row>
    <row r="21" customFormat="false" ht="12.8" hidden="false" customHeight="false" outlineLevel="0" collapsed="false">
      <c r="A21" s="7" t="n">
        <v>18</v>
      </c>
      <c r="B21" s="1" t="n">
        <v>0.715924581106966</v>
      </c>
      <c r="C21" s="1" t="n">
        <v>0.708590115686799</v>
      </c>
    </row>
    <row r="22" customFormat="false" ht="12.8" hidden="false" customHeight="false" outlineLevel="0" collapsed="false">
      <c r="A22" s="7" t="n">
        <v>19</v>
      </c>
      <c r="B22" s="1" t="n">
        <v>0.781932724966578</v>
      </c>
      <c r="C22" s="1" t="n">
        <v>0.656250234555418</v>
      </c>
    </row>
    <row r="23" customFormat="false" ht="12.8" hidden="false" customHeight="false" outlineLevel="0" collapsed="false">
      <c r="A23" s="7" t="n">
        <v>20</v>
      </c>
      <c r="B23" s="1" t="n">
        <v>0.770211516204908</v>
      </c>
      <c r="C23" s="1" t="n">
        <v>0.766144095586904</v>
      </c>
    </row>
    <row r="24" customFormat="false" ht="12.8" hidden="false" customHeight="false" outlineLevel="0" collapsed="false">
      <c r="A24" s="7" t="n">
        <v>21</v>
      </c>
      <c r="B24" s="1" t="n">
        <v>0.65642930221378</v>
      </c>
      <c r="C24" s="1" t="n">
        <v>0.611673917355993</v>
      </c>
    </row>
    <row r="25" customFormat="false" ht="12.8" hidden="false" customHeight="false" outlineLevel="0" collapsed="false">
      <c r="A25" s="7" t="n">
        <v>22</v>
      </c>
      <c r="B25" s="1" t="n">
        <v>0.699675260395181</v>
      </c>
      <c r="C25" s="1" t="n">
        <v>0.57321383560315</v>
      </c>
    </row>
    <row r="26" customFormat="false" ht="12.8" hidden="false" customHeight="false" outlineLevel="0" collapsed="false">
      <c r="A26" s="7" t="n">
        <v>23</v>
      </c>
      <c r="B26" s="1" t="n">
        <v>0.736340390593237</v>
      </c>
      <c r="C26" s="1" t="n">
        <v>0.46202133657173</v>
      </c>
    </row>
    <row r="27" customFormat="false" ht="12.8" hidden="false" customHeight="false" outlineLevel="0" collapsed="false">
      <c r="A27" s="7" t="n">
        <v>24</v>
      </c>
      <c r="B27" s="1" t="n">
        <v>0.808304244936902</v>
      </c>
      <c r="C27" s="1" t="n">
        <v>0.752686085299576</v>
      </c>
    </row>
    <row r="28" customFormat="false" ht="12.8" hidden="false" customHeight="false" outlineLevel="0" collapsed="false">
      <c r="A28" s="3" t="n">
        <v>25</v>
      </c>
      <c r="B28" s="1" t="n">
        <v>0.717501306984114</v>
      </c>
      <c r="C28" s="1" t="n">
        <v>0.637351019647471</v>
      </c>
    </row>
    <row r="32" customFormat="false" ht="12.8" hidden="false" customHeight="false" outlineLevel="0" collapsed="false">
      <c r="A32" s="10" t="s">
        <v>109</v>
      </c>
      <c r="B32" s="11" t="s">
        <v>120</v>
      </c>
      <c r="C32" s="11" t="s">
        <v>110</v>
      </c>
      <c r="E32" s="12" t="s">
        <v>121</v>
      </c>
    </row>
    <row r="33" customFormat="false" ht="12.8" hidden="false" customHeight="false" outlineLevel="0" collapsed="false">
      <c r="A33" s="7" t="n">
        <v>1</v>
      </c>
      <c r="B33" s="1" t="n">
        <v>0.746899633688936</v>
      </c>
      <c r="C33" s="1" t="n">
        <v>0.753427301803647</v>
      </c>
      <c r="E33" s="13" t="s">
        <v>122</v>
      </c>
      <c r="F33" s="1" t="n">
        <v>0.05</v>
      </c>
    </row>
    <row r="34" customFormat="false" ht="12.8" hidden="false" customHeight="false" outlineLevel="0" collapsed="false">
      <c r="A34" s="7" t="n">
        <v>2</v>
      </c>
      <c r="B34" s="1" t="n">
        <v>0.760440771561493</v>
      </c>
      <c r="C34" s="1" t="n">
        <v>0.765371582562988</v>
      </c>
      <c r="E34" s="13" t="s">
        <v>123</v>
      </c>
      <c r="F34" s="1" t="n">
        <v>0</v>
      </c>
    </row>
    <row r="35" customFormat="false" ht="12.8" hidden="false" customHeight="false" outlineLevel="0" collapsed="false">
      <c r="A35" s="7" t="n">
        <v>3</v>
      </c>
      <c r="B35" s="1" t="n">
        <v>0.74542610185569</v>
      </c>
      <c r="C35" s="1" t="n">
        <v>0.753068668844285</v>
      </c>
      <c r="E35" s="13"/>
      <c r="F35" s="12" t="s">
        <v>124</v>
      </c>
      <c r="G35" s="12" t="s">
        <v>125</v>
      </c>
    </row>
    <row r="36" customFormat="false" ht="12.8" hidden="false" customHeight="false" outlineLevel="0" collapsed="false">
      <c r="A36" s="7" t="n">
        <v>4</v>
      </c>
      <c r="B36" s="1" t="n">
        <v>0.754518286707164</v>
      </c>
      <c r="C36" s="1" t="n">
        <v>0.733184077559232</v>
      </c>
      <c r="E36" s="13" t="s">
        <v>126</v>
      </c>
      <c r="F36" s="1" t="n">
        <f aca="false">AVERAGE(inter_system_stats!$B$32:$B$57)</f>
        <v>0.742060887181061</v>
      </c>
      <c r="G36" s="1" t="n">
        <f aca="false">AVERAGE(inter_system_stats!$C$32:$C$57)</f>
        <v>0.744065298731342</v>
      </c>
    </row>
    <row r="37" customFormat="false" ht="12.8" hidden="false" customHeight="false" outlineLevel="0" collapsed="false">
      <c r="A37" s="7" t="n">
        <v>5</v>
      </c>
      <c r="B37" s="1" t="n">
        <v>0.818716946973898</v>
      </c>
      <c r="C37" s="1" t="n">
        <v>0.839797661168354</v>
      </c>
      <c r="E37" s="13" t="s">
        <v>127</v>
      </c>
      <c r="F37" s="1" t="n">
        <f aca="false">VAR(inter_system_stats!$B$32:$B$57)</f>
        <v>0.00235702008329511</v>
      </c>
      <c r="G37" s="1" t="n">
        <f aca="false">VAR(inter_system_stats!$C$32:$C$57)</f>
        <v>0.00248306679412634</v>
      </c>
    </row>
    <row r="38" customFormat="false" ht="12.8" hidden="false" customHeight="false" outlineLevel="0" collapsed="false">
      <c r="A38" s="7" t="n">
        <v>6</v>
      </c>
      <c r="B38" s="1" t="n">
        <v>0.661475371813803</v>
      </c>
      <c r="C38" s="1" t="n">
        <v>0.620764082289514</v>
      </c>
      <c r="E38" s="13" t="s">
        <v>128</v>
      </c>
      <c r="F38" s="1" t="n">
        <f aca="false">COUNT(inter_system_stats!$B$32:$B$57)</f>
        <v>25</v>
      </c>
      <c r="G38" s="1" t="n">
        <f aca="false">COUNT(inter_system_stats!$C$32:$C$57)</f>
        <v>25</v>
      </c>
    </row>
    <row r="39" customFormat="false" ht="12.8" hidden="false" customHeight="false" outlineLevel="0" collapsed="false">
      <c r="A39" s="7" t="n">
        <v>7</v>
      </c>
      <c r="B39" s="1" t="n">
        <v>0.704831094854699</v>
      </c>
      <c r="C39" s="1" t="n">
        <v>0.708249150690089</v>
      </c>
      <c r="E39" s="13" t="s">
        <v>129</v>
      </c>
      <c r="F39" s="1" t="n">
        <f aca="false">CORREL(inter_system_stats!$B$32:$B$57,inter_system_stats!$C$32:$C$57)</f>
        <v>0.887465906493072</v>
      </c>
    </row>
    <row r="40" customFormat="false" ht="12.8" hidden="false" customHeight="false" outlineLevel="0" collapsed="false">
      <c r="A40" s="7" t="n">
        <v>8</v>
      </c>
      <c r="B40" s="1" t="n">
        <v>0.775445669459668</v>
      </c>
      <c r="C40" s="1" t="n">
        <v>0.81183171273243</v>
      </c>
      <c r="E40" s="13" t="s">
        <v>130</v>
      </c>
      <c r="F40" s="1" t="n">
        <f aca="false" t="array" ref="F40:F40">AVERAGE(IF(ISODD(IF(ISNUMBER(inter_system_stats!$B$32:$B$57), 1, 0) * IF(ISNUMBER(inter_system_stats!$C$32:$C$57), 1, 0)), inter_system_stats!$B$32:$B$57 - inter_system_stats!$C$32:$C$57, "NA"))</f>
        <v>-0.00200441155028072</v>
      </c>
    </row>
    <row r="41" customFormat="false" ht="12.8" hidden="false" customHeight="false" outlineLevel="0" collapsed="false">
      <c r="A41" s="7" t="n">
        <v>9</v>
      </c>
      <c r="B41" s="1" t="n">
        <v>0.734922592013555</v>
      </c>
      <c r="C41" s="1" t="n">
        <v>0.717889791117422</v>
      </c>
      <c r="E41" s="13" t="s">
        <v>131</v>
      </c>
      <c r="F41" s="1" t="n">
        <f aca="false" t="array" ref="F41:F41">VAR(IF(ISODD(IF(ISNUMBER(inter_system_stats!$B$32:$B$57), 1, 0) * IF(ISNUMBER(inter_system_stats!$C$32:$C$57), 1, 0)), inter_system_stats!$B$32:$B$57 - inter_system_stats!$C$32:$C$57, "NA"))</f>
        <v>0.000546131606957254</v>
      </c>
    </row>
    <row r="42" customFormat="false" ht="12.8" hidden="false" customHeight="false" outlineLevel="0" collapsed="false">
      <c r="A42" s="7" t="n">
        <v>10</v>
      </c>
      <c r="B42" s="1" t="n">
        <v>0.809553468856414</v>
      </c>
      <c r="C42" s="1" t="n">
        <v>0.82670674249406</v>
      </c>
      <c r="E42" s="13" t="s">
        <v>132</v>
      </c>
      <c r="F42" s="1" t="n">
        <f aca="false" t="array" ref="F42:F42">SUM(IF(ISNUMBER(inter_system_stats!$B$32:$B$57), 1, 0) * IF(ISNUMBER(inter_system_stats!$C$32:$C$57), 1, 0)) - 1</f>
        <v>24</v>
      </c>
    </row>
    <row r="43" customFormat="false" ht="12.8" hidden="false" customHeight="false" outlineLevel="0" collapsed="false">
      <c r="A43" s="7" t="n">
        <v>11</v>
      </c>
      <c r="B43" s="1" t="n">
        <v>0.736193634280327</v>
      </c>
      <c r="C43" s="1" t="n">
        <v>0.751587201916451</v>
      </c>
      <c r="E43" s="13" t="s">
        <v>133</v>
      </c>
      <c r="F43" s="1" t="n">
        <f aca="false">(inter_system_stats!$F$40 - inter_system_stats!$F$34) / (inter_system_stats!$F$41 / ( inter_system_stats!$F$42 + 1)) ^ 0.5</f>
        <v>-0.428852795248282</v>
      </c>
    </row>
    <row r="44" customFormat="false" ht="12.8" hidden="false" customHeight="false" outlineLevel="0" collapsed="false">
      <c r="A44" s="7" t="n">
        <v>12</v>
      </c>
      <c r="B44" s="1" t="n">
        <v>0.760450688692101</v>
      </c>
      <c r="C44" s="1" t="n">
        <v>0.767576286083638</v>
      </c>
      <c r="E44" s="13" t="s">
        <v>134</v>
      </c>
      <c r="F44" s="1" t="n">
        <f aca="false">TDIST(ABS(inter_system_stats!$F$43), inter_system_stats!$F$42, 1)</f>
        <v>0.335927615246034</v>
      </c>
    </row>
    <row r="45" customFormat="false" ht="12.8" hidden="false" customHeight="false" outlineLevel="0" collapsed="false">
      <c r="A45" s="7" t="n">
        <v>13</v>
      </c>
      <c r="B45" s="1" t="n">
        <v>0.783417145572671</v>
      </c>
      <c r="C45" s="1" t="n">
        <v>0.77472229763671</v>
      </c>
      <c r="E45" s="13" t="s">
        <v>135</v>
      </c>
      <c r="F45" s="1" t="n">
        <f aca="false">TINV(2*inter_system_stats!$F$33, inter_system_stats!$F$42)</f>
        <v>1.71088207990943</v>
      </c>
    </row>
    <row r="46" customFormat="false" ht="12.8" hidden="false" customHeight="false" outlineLevel="0" collapsed="false">
      <c r="A46" s="7" t="n">
        <v>14</v>
      </c>
      <c r="B46" s="1" t="n">
        <v>0.736351406600312</v>
      </c>
      <c r="C46" s="1" t="n">
        <v>0.714363998847527</v>
      </c>
      <c r="E46" s="13" t="s">
        <v>136</v>
      </c>
      <c r="F46" s="1" t="n">
        <f aca="false">TDIST(ABS(inter_system_stats!$F$43), inter_system_stats!$F$42, 2)</f>
        <v>0.671855230492069</v>
      </c>
    </row>
    <row r="47" customFormat="false" ht="12.8" hidden="false" customHeight="false" outlineLevel="0" collapsed="false">
      <c r="A47" s="7" t="n">
        <v>15</v>
      </c>
      <c r="B47" s="1" t="n">
        <v>0.695164645499178</v>
      </c>
      <c r="C47" s="1" t="n">
        <v>0.714429881453235</v>
      </c>
      <c r="E47" s="13" t="s">
        <v>137</v>
      </c>
      <c r="F47" s="1" t="n">
        <f aca="false">TINV(inter_system_stats!$F$33, inter_system_stats!$F$42)</f>
        <v>2.06389856162803</v>
      </c>
    </row>
    <row r="48" customFormat="false" ht="12.8" hidden="false" customHeight="false" outlineLevel="0" collapsed="false">
      <c r="A48" s="7" t="n">
        <v>16</v>
      </c>
      <c r="B48" s="1" t="n">
        <v>0.753663706301646</v>
      </c>
      <c r="C48" s="1" t="n">
        <v>0.730575330250292</v>
      </c>
    </row>
    <row r="49" customFormat="false" ht="12.8" hidden="false" customHeight="false" outlineLevel="0" collapsed="false">
      <c r="A49" s="7" t="n">
        <v>17</v>
      </c>
      <c r="B49" s="1" t="n">
        <v>0.75925493365687</v>
      </c>
      <c r="C49" s="1" t="n">
        <v>0.731767373432006</v>
      </c>
    </row>
    <row r="50" customFormat="false" ht="12.8" hidden="false" customHeight="false" outlineLevel="0" collapsed="false">
      <c r="A50" s="7" t="n">
        <v>18</v>
      </c>
      <c r="B50" s="1" t="n">
        <v>0.744001794349238</v>
      </c>
      <c r="C50" s="1" t="n">
        <v>0.715924581106966</v>
      </c>
    </row>
    <row r="51" customFormat="false" ht="12.8" hidden="false" customHeight="false" outlineLevel="0" collapsed="false">
      <c r="A51" s="7" t="n">
        <v>19</v>
      </c>
      <c r="B51" s="1" t="n">
        <v>0.777745722291328</v>
      </c>
      <c r="C51" s="1" t="n">
        <v>0.781932724966578</v>
      </c>
    </row>
    <row r="52" customFormat="false" ht="12.8" hidden="false" customHeight="false" outlineLevel="0" collapsed="false">
      <c r="A52" s="7" t="n">
        <v>20</v>
      </c>
      <c r="B52" s="1" t="n">
        <v>0.784404877175123</v>
      </c>
      <c r="C52" s="1" t="n">
        <v>0.770211516204908</v>
      </c>
    </row>
    <row r="53" customFormat="false" ht="12.8" hidden="false" customHeight="false" outlineLevel="0" collapsed="false">
      <c r="A53" s="7" t="n">
        <v>21</v>
      </c>
      <c r="B53" s="1" t="n">
        <v>0.646558702401536</v>
      </c>
      <c r="C53" s="1" t="n">
        <v>0.65642930221378</v>
      </c>
    </row>
    <row r="54" customFormat="false" ht="12.8" hidden="false" customHeight="false" outlineLevel="0" collapsed="false">
      <c r="A54" s="7" t="n">
        <v>22</v>
      </c>
      <c r="B54" s="1" t="n">
        <v>0.64627244396815</v>
      </c>
      <c r="C54" s="1" t="n">
        <v>0.699675260395181</v>
      </c>
    </row>
    <row r="55" customFormat="false" ht="12.8" hidden="false" customHeight="false" outlineLevel="0" collapsed="false">
      <c r="A55" s="7" t="n">
        <v>23</v>
      </c>
      <c r="B55" s="1" t="n">
        <v>0.72738343602134</v>
      </c>
      <c r="C55" s="1" t="n">
        <v>0.736340390593237</v>
      </c>
    </row>
    <row r="56" customFormat="false" ht="12.8" hidden="false" customHeight="false" outlineLevel="0" collapsed="false">
      <c r="A56" s="7" t="n">
        <v>24</v>
      </c>
      <c r="B56" s="1" t="n">
        <v>0.81572575422772</v>
      </c>
      <c r="C56" s="1" t="n">
        <v>0.808304244936902</v>
      </c>
    </row>
    <row r="57" customFormat="false" ht="12.8" hidden="false" customHeight="false" outlineLevel="0" collapsed="false">
      <c r="A57" s="3" t="n">
        <v>25</v>
      </c>
      <c r="B57" s="1" t="n">
        <v>0.672703350703668</v>
      </c>
      <c r="C57" s="1" t="n">
        <v>0.717501306984114</v>
      </c>
    </row>
  </sheetData>
  <mergeCells count="1"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2026-02-20T17:01:16Z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
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cen1_hybrid" sheetId="1" state="visible" r:id="rId3"/>
    <sheet name="Notes" sheetId="2" state="visible" r:id="rId4"/>
    <sheet name="activation delta to response_pr" sheetId="3" state="visible" r:id="rId5"/>
    <sheet name="control_hybrid sta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<sst xmlns="http://schemas.openxmlformats.org/spreadsheetml/2006/main" count="958" uniqueCount="137">
  <si>
    <t xml:space="preserve">turnId</t>
  </si>
  <si>
    <t xml:space="preserve">user_id</t>
  </si>
  <si>
    <t xml:space="preserve">assistant_id</t>
  </si>
  <si>
    <t xml:space="preserve">projectName</t>
  </si>
  <si>
    <t xml:space="preserve">sessionName</t>
  </si>
  <si>
    <t xml:space="preserve">seq</t>
  </si>
  <si>
    <t xml:space="preserve">anchorName</t>
  </si>
  <si>
    <t xml:space="preserve">weight</t>
  </si>
  <si>
    <t xml:space="preserve">promptSim</t>
  </si>
  <si>
    <t xml:space="preserve">responseSim</t>
  </si>
  <si>
    <t xml:space="preserve">activation delta</t>
  </si>
  <si>
    <t xml:space="preserve">prompt_to_response</t>
  </si>
  <si>
    <t xml:space="preserve">Average activation/turn</t>
  </si>
  <si>
    <t xml:space="preserve">average conversation activation</t>
  </si>
  <si>
    <t xml:space="preserve">count</t>
  </si>
  <si>
    <t xml:space="preserve">correlation weights / activation delta</t>
  </si>
  <si>
    <t xml:space="preserve">p</t>
  </si>
  <si>
    <t xml:space="preserve">f4ede5b4-c038-4a40-b329-69cd73d7aab8</t>
  </si>
  <si>
    <t xml:space="preserve">cmj8pszoe01dazcr39o3cdi6k</t>
  </si>
  <si>
    <t xml:space="preserve">cmj8pu37001drzcr35yt8d67v</t>
  </si>
  <si>
    <t xml:space="preserve">hybrid_v3_5</t>
  </si>
  <si>
    <t xml:space="preserve">Scenario_1_v2</t>
  </si>
  <si>
    <t xml:space="preserve">temporal_dynamics</t>
  </si>
  <si>
    <t xml:space="preserve">practicality_and_feasibility</t>
  </si>
  <si>
    <t xml:space="preserve">mathematics_computer_science_engineering</t>
  </si>
  <si>
    <t xml:space="preserve">sovereignty</t>
  </si>
  <si>
    <t xml:space="preserve">imagination_and_possibility</t>
  </si>
  <si>
    <t xml:space="preserve">truth_and_fact</t>
  </si>
  <si>
    <t xml:space="preserve">c2e55b84-7dbd-4275-b6c7-323945afe399</t>
  </si>
  <si>
    <t xml:space="preserve">cmj8pvqpw01dvzcr33bv3ng8n</t>
  </si>
  <si>
    <t xml:space="preserve">cmj8pwr4w01eczcr34zhtavni</t>
  </si>
  <si>
    <t xml:space="preserve">electricity</t>
  </si>
  <si>
    <t xml:space="preserve">4e496481-26f9-4d1d-821e-c401645f132a</t>
  </si>
  <si>
    <t xml:space="preserve">cmj8pxz7m01egzcr328xztkoj</t>
  </si>
  <si>
    <t xml:space="preserve">cmj8pyitc01exzcr396h6boq8</t>
  </si>
  <si>
    <t xml:space="preserve">ae7402a6-89a7-4c16-aa3f-c55eececa43f</t>
  </si>
  <si>
    <t xml:space="preserve">cmj8pzwqw01f1zcr3d51xaoso</t>
  </si>
  <si>
    <t xml:space="preserve">cmj8q0r3201fizcr3vb65kh1s</t>
  </si>
  <si>
    <t xml:space="preserve">a86f2c84-0509-49f0-be2b-be08ba78c870</t>
  </si>
  <si>
    <t xml:space="preserve">cmj8q1y9d01fmzcr3lc8dw4wp</t>
  </si>
  <si>
    <t xml:space="preserve">cmj8q2jyw01g3zcr3i7dc7lvb</t>
  </si>
  <si>
    <t xml:space="preserve">d348cd8c-23b1-446c-bd88-a3196505ce43</t>
  </si>
  <si>
    <t xml:space="preserve">cmj8q3maf01g7zcr3isx1glnz</t>
  </si>
  <si>
    <t xml:space="preserve">cmj8q4i6y01gozcr3xcx9qt7n</t>
  </si>
  <si>
    <t xml:space="preserve">9597a176-37f0-47a8-8c34-14f156e80ae4</t>
  </si>
  <si>
    <t xml:space="preserve">cmj8q88wo01gszcr3blu9fyyw</t>
  </si>
  <si>
    <t xml:space="preserve">cmj8q9bpi01h9zcr3a6ksrax4</t>
  </si>
  <si>
    <t xml:space="preserve">157193ea-52d9-4c1e-81e1-b7e57cc13ee4</t>
  </si>
  <si>
    <t xml:space="preserve">cmj8qadbo01hdzcr3j9uiy8kg</t>
  </si>
  <si>
    <t xml:space="preserve">cmj8qbbs901huzcr3cctin8m0</t>
  </si>
  <si>
    <t xml:space="preserve">affective_interface</t>
  </si>
  <si>
    <t xml:space="preserve">f8c71802-2db7-46f7-926b-dc495b49a65d</t>
  </si>
  <si>
    <t xml:space="preserve">cmj8qd6g001hyzcr30c43qoz1</t>
  </si>
  <si>
    <t xml:space="preserve">cmj8qdwor01ifzcr3dplhg7nb</t>
  </si>
  <si>
    <t xml:space="preserve">freedom_and_limitations</t>
  </si>
  <si>
    <t xml:space="preserve">a3637e84-64a7-4cea-9c66-eb2e00f0c622</t>
  </si>
  <si>
    <t xml:space="preserve">cmj8qfroy01ijzcr326ynap3k</t>
  </si>
  <si>
    <t xml:space="preserve">cmj8qgmg901j0zcr35f8tsqe6</t>
  </si>
  <si>
    <t xml:space="preserve">b434ee79-78e2-4375-b6bd-654db3dcb67e</t>
  </si>
  <si>
    <t xml:space="preserve">cmj8qhtqa01j4zcr3cph50jjy</t>
  </si>
  <si>
    <t xml:space="preserve">cmj8qinm301jlzcr3t0jy03j3</t>
  </si>
  <si>
    <t xml:space="preserve">1874bc44-4d64-48ba-a49d-8ad84a5fd7c6</t>
  </si>
  <si>
    <t xml:space="preserve">cmj8qk86601jpzcr35ncaa7mq</t>
  </si>
  <si>
    <t xml:space="preserve">cmj8qlfns01k6zcr3sxsj4qs4</t>
  </si>
  <si>
    <t xml:space="preserve">1dc312d2-64fd-4a4b-bfc5-51618509fc25</t>
  </si>
  <si>
    <t xml:space="preserve">cmj8qm76l01kazcr3y5nt4t5p</t>
  </si>
  <si>
    <t xml:space="preserve">cmj8qn8o101krzcr3vd36j2nx</t>
  </si>
  <si>
    <t xml:space="preserve">8e7a9267-6b6b-46ec-b23d-df4d775b84e4</t>
  </si>
  <si>
    <t xml:space="preserve">cmj8qo8fa01kvzcr3ieqq6x9f</t>
  </si>
  <si>
    <t xml:space="preserve">cmj8qp0tt01lczcr3xjcspcwv</t>
  </si>
  <si>
    <t xml:space="preserve">eb569240-11ff-4999-949b-89152967db06</t>
  </si>
  <si>
    <t xml:space="preserve">cmj8qpsef01lgzcr39qkqtxx2</t>
  </si>
  <si>
    <t xml:space="preserve">cmj8qqcc501lxzcr3r94jehsq</t>
  </si>
  <si>
    <t xml:space="preserve">18c78513-bd4b-466a-bc2a-6fdc389703e7</t>
  </si>
  <si>
    <t xml:space="preserve">cmj8qrmag01m1zcr3dsmjvtcs</t>
  </si>
  <si>
    <t xml:space="preserve">cmj8qsbg901mizcr3k6v55jyu</t>
  </si>
  <si>
    <t xml:space="preserve">21fe5585-445f-4d23-b6a9-213259d2c750</t>
  </si>
  <si>
    <t xml:space="preserve">cmj8qtvox01mmzcr3yv2d3umz</t>
  </si>
  <si>
    <t xml:space="preserve">cmj8qupau01n3zcr3kyeat5c8</t>
  </si>
  <si>
    <t xml:space="preserve">0215fb32-4454-47b1-8a57-1ef215837fae</t>
  </si>
  <si>
    <t xml:space="preserve">cmj8qvo8201n7zcr3eurnyjro</t>
  </si>
  <si>
    <t xml:space="preserve">cmj8qweyk01nozcr3ytzxjbov</t>
  </si>
  <si>
    <t xml:space="preserve">97d013d1-486c-4b0f-8a3d-58567a24d144</t>
  </si>
  <si>
    <t xml:space="preserve">cmj8qxbd101nszcr35ohmm11d</t>
  </si>
  <si>
    <t xml:space="preserve">cmj8qxu5t01o9zcr30pteao0i</t>
  </si>
  <si>
    <t xml:space="preserve">1f12571a-7502-4a23-a5d5-3a874ff20bd3</t>
  </si>
  <si>
    <t xml:space="preserve">cmj8qzq8d01odzcr330yduh8y</t>
  </si>
  <si>
    <t xml:space="preserve">cmj8qzyjm01ouzcr3b7pqjyz5</t>
  </si>
  <si>
    <t xml:space="preserve">5e0ba5ac-18ca-4fa7-929f-8c2c794e877e</t>
  </si>
  <si>
    <t xml:space="preserve">cmj8r124n01oyzcr3qq4nq2jx</t>
  </si>
  <si>
    <t xml:space="preserve">cmj8r1vj001pfzcr3spgu4bbd</t>
  </si>
  <si>
    <t xml:space="preserve">5e4a7d68-fb0c-42a5-9b64-9fa315c469cb</t>
  </si>
  <si>
    <t xml:space="preserve">cmj8r2fiq01pjzcr34odvoma0</t>
  </si>
  <si>
    <t xml:space="preserve">cmj8r2rg901q0zcr31i9228u4</t>
  </si>
  <si>
    <t xml:space="preserve">29845d05-754a-4486-9d1a-90005a89f87e</t>
  </si>
  <si>
    <t xml:space="preserve">cmj8r3x6301q4zcr3yr10tusn</t>
  </si>
  <si>
    <t xml:space="preserve">cmj8r4npq01qlzcr3t4cvr6mi</t>
  </si>
  <si>
    <t xml:space="preserve">1ec114a2-0708-4aa0-abe1-972333ffd075</t>
  </si>
  <si>
    <t xml:space="preserve">cmj8r58pe01qpzcr39nofcvz1</t>
  </si>
  <si>
    <t xml:space="preserve">cmj8r5skf01r6zcr338axljo9</t>
  </si>
  <si>
    <t xml:space="preserve">0018879e-ac90-4800-8770-57c7f0a4eec1</t>
  </si>
  <si>
    <t xml:space="preserve">cmj8r6nb201razcr3663cbiia</t>
  </si>
  <si>
    <t xml:space="preserve">cmj8r6zpg01rrzcr365l95icm</t>
  </si>
  <si>
    <t xml:space="preserve">p calculation</t>
  </si>
  <si>
    <t xml:space="preserve">1. count</t>
  </si>
  <si>
    <t xml:space="preserve"> activation delta</t>
  </si>
  <si>
    <t xml:space="preserve">2.  t statistic</t>
  </si>
  <si>
    <t xml:space="preserve">3. p</t>
  </si>
  <si>
    <t xml:space="preserve">Correlation</t>
  </si>
  <si>
    <t xml:space="preserve">T-statistic</t>
  </si>
  <si>
    <t xml:space="preserve">Tests</t>
  </si>
  <si>
    <t xml:space="preserve">Paired t-test</t>
  </si>
  <si>
    <t xml:space="preserve">hybrid</t>
  </si>
  <si>
    <t xml:space="preserve">control</t>
  </si>
  <si>
    <t xml:space="preserve">std. Hybrid</t>
  </si>
  <si>
    <t xml:space="preserve">std. Control</t>
  </si>
  <si>
    <t xml:space="preserve">F. test</t>
  </si>
  <si>
    <t xml:space="preserve">T. Test equal variances</t>
  </si>
  <si>
    <t xml:space="preserve">T.Test unequal</t>
  </si>
  <si>
    <t xml:space="preserve">Mean difference</t>
  </si>
  <si>
    <t xml:space="preserve">Alpha</t>
  </si>
  <si>
    <t xml:space="preserve">Hypothesized Mean Difference</t>
  </si>
  <si>
    <t xml:space="preserve">Variable 1</t>
  </si>
  <si>
    <t xml:space="preserve">Variable 2</t>
  </si>
  <si>
    <t xml:space="preserve">Mean</t>
  </si>
  <si>
    <t xml:space="preserve">Variance</t>
  </si>
  <si>
    <t xml:space="preserve">Observations</t>
  </si>
  <si>
    <t xml:space="preserve">Pearson Correlation</t>
  </si>
  <si>
    <t xml:space="preserve">Observed Mean Difference</t>
  </si>
  <si>
    <t xml:space="preserve">Variance of the Differences</t>
  </si>
  <si>
    <t xml:space="preserve">df</t>
  </si>
  <si>
    <t xml:space="preserve">t Stat</t>
  </si>
  <si>
    <t xml:space="preserve">P (T&lt;=t) one-tail</t>
  </si>
  <si>
    <t xml:space="preserve">t Critical one-tail</t>
  </si>
  <si>
    <t xml:space="preserve">P (T&lt;=t) two-tail</t>
  </si>
  <si>
    <t xml:space="preserve">t Critical two-tail</t>
  </si>
  <si>
    <t xml:space="preserve">ac15p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</si>
</sst>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theme="1"/>
      <name val="Calibri"/>
      <family val="2"/>
      <charset val="1"/>
    </font>
    <font>
      <b val="true"/>
      <sz val="9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16" activePane="bottomLeft" state="frozen"/>
      <selection pane="topLeft" activeCell="A1" activeCellId="0" sqref="A1"/>
      <selection pane="bottomLeft" activeCell="N143" activeCellId="0" sqref="N143"/>
    </sheetView>
  </sheetViews>
  <sheetFormatPr defaultColWidth="8.59765625" defaultRowHeight="15" zeroHeight="false" outlineLevelRow="0" outlineLevelCol="0"/>
  <cols>
    <col collapsed="false" customWidth="true" hidden="false" outlineLevel="0" max="4" min="4" style="1" width="17.03"/>
    <col collapsed="false" customWidth="true" hidden="false" outlineLevel="0" max="5" min="5" style="1" width="15.32"/>
    <col collapsed="false" customWidth="true" hidden="false" outlineLevel="0" max="7" min="7" style="1" width="39.37"/>
    <col collapsed="false" customWidth="true" hidden="false" outlineLevel="0" max="12" min="9" style="1" width="19.52"/>
  </cols>
  <sheetData>
    <row r="1" s="2" customFormat="true" ht="76.1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N1" s="3" t="s">
        <v>12</v>
      </c>
      <c r="O1" s="3" t="s">
        <v>13</v>
      </c>
      <c r="P1" s="2" t="s">
        <v>14</v>
      </c>
      <c r="Q1" s="3" t="s">
        <v>15</v>
      </c>
      <c r="R1" s="3" t="s">
        <v>16</v>
      </c>
    </row>
    <row r="2" customFormat="false" ht="15" hidden="false" customHeight="false" outlineLevel="0" collapsed="false">
      <c r="H2" s="4"/>
      <c r="I2" s="4"/>
      <c r="J2" s="4"/>
      <c r="K2" s="4"/>
      <c r="L2" s="4"/>
      <c r="Q2" s="4"/>
      <c r="R2" s="4"/>
    </row>
    <row r="3" customFormat="false" ht="15" hidden="false" customHeight="false" outlineLevel="0" collapsed="false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n">
        <v>1</v>
      </c>
      <c r="G3" s="1" t="s">
        <v>22</v>
      </c>
      <c r="H3" s="1" t="n">
        <v>0.208</v>
      </c>
      <c r="I3" s="1" t="n">
        <v>0.291402931059888</v>
      </c>
      <c r="J3" s="1" t="n">
        <v>0.314309431302155</v>
      </c>
      <c r="K3" s="1" t="n">
        <f aca="false">J3-I3</f>
        <v>0.0229065002422663</v>
      </c>
      <c r="L3" s="1" t="n">
        <v>0.834308337570909</v>
      </c>
      <c r="N3" s="1" t="n">
        <f aca="false">AVERAGE(K3:K8)</f>
        <v>0.0548663248159184</v>
      </c>
      <c r="O3" s="1" t="n">
        <f aca="false">SUM(N3:N143)/COUNT(N3:N143)</f>
        <v>0.0394906803730307</v>
      </c>
      <c r="P3" s="4" t="n">
        <f aca="false">COUNT(K3:K148)</f>
        <v>146</v>
      </c>
      <c r="Q3" s="4" t="n">
        <f aca="false">CORREL(H3:H148, K3:K148)</f>
        <v>-0.0405539100601715</v>
      </c>
      <c r="R3" s="4" t="n">
        <f aca="false">Notes!B5</f>
        <v>0.626965165257702</v>
      </c>
    </row>
    <row r="4" customFormat="false" ht="15" hidden="false" customHeight="false" outlineLevel="0" collapsed="false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n">
        <v>1</v>
      </c>
      <c r="G4" s="1" t="s">
        <v>23</v>
      </c>
      <c r="H4" s="1" t="n">
        <v>0.1948</v>
      </c>
      <c r="I4" s="1" t="n">
        <v>0.272869395482317</v>
      </c>
      <c r="J4" s="1" t="n">
        <v>0.347070367825892</v>
      </c>
      <c r="K4" s="1" t="n">
        <f aca="false">J4-I4</f>
        <v>0.0742009723435749</v>
      </c>
      <c r="L4" s="1" t="n">
        <v>0.834308337570909</v>
      </c>
    </row>
    <row r="5" customFormat="false" ht="15" hidden="false" customHeight="false" outlineLevel="0" collapsed="false">
      <c r="A5" s="1" t="s">
        <v>17</v>
      </c>
      <c r="B5" s="1" t="s">
        <v>18</v>
      </c>
      <c r="C5" s="1" t="s">
        <v>19</v>
      </c>
      <c r="D5" s="1" t="s">
        <v>20</v>
      </c>
      <c r="E5" s="1" t="s">
        <v>21</v>
      </c>
      <c r="F5" s="1" t="n">
        <v>1</v>
      </c>
      <c r="G5" s="1" t="s">
        <v>24</v>
      </c>
      <c r="H5" s="1" t="n">
        <v>0.1792</v>
      </c>
      <c r="I5" s="1" t="n">
        <v>0.250946793735252</v>
      </c>
      <c r="J5" s="1" t="n">
        <v>0.293060689272861</v>
      </c>
      <c r="K5" s="1" t="n">
        <f aca="false">J5-I5</f>
        <v>0.0421138955376095</v>
      </c>
      <c r="L5" s="1" t="n">
        <v>0.834308337570909</v>
      </c>
    </row>
    <row r="6" customFormat="false" ht="15" hidden="false" customHeight="false" outlineLevel="0" collapsed="false">
      <c r="A6" s="1" t="s">
        <v>17</v>
      </c>
      <c r="B6" s="1" t="s">
        <v>18</v>
      </c>
      <c r="C6" s="1" t="s">
        <v>19</v>
      </c>
      <c r="D6" s="1" t="s">
        <v>20</v>
      </c>
      <c r="E6" s="1" t="s">
        <v>21</v>
      </c>
      <c r="F6" s="1" t="n">
        <v>1</v>
      </c>
      <c r="G6" s="1" t="s">
        <v>25</v>
      </c>
      <c r="H6" s="1" t="n">
        <v>0.1612</v>
      </c>
      <c r="I6" s="1" t="n">
        <v>0.225747191138773</v>
      </c>
      <c r="J6" s="1" t="n">
        <v>0.304806695023062</v>
      </c>
      <c r="K6" s="1" t="n">
        <f aca="false">J6-I6</f>
        <v>0.0790595038842892</v>
      </c>
      <c r="L6" s="1" t="n">
        <v>0.834308337570909</v>
      </c>
    </row>
    <row r="7" customFormat="false" ht="15" hidden="false" customHeight="false" outlineLevel="0" collapsed="false">
      <c r="A7" s="1" t="s">
        <v>17</v>
      </c>
      <c r="B7" s="1" t="s">
        <v>18</v>
      </c>
      <c r="C7" s="1" t="s">
        <v>19</v>
      </c>
      <c r="D7" s="1" t="s">
        <v>20</v>
      </c>
      <c r="E7" s="1" t="s">
        <v>21</v>
      </c>
      <c r="F7" s="1" t="n">
        <v>1</v>
      </c>
      <c r="G7" s="1" t="s">
        <v>26</v>
      </c>
      <c r="H7" s="1" t="n">
        <v>0.1568</v>
      </c>
      <c r="I7" s="1" t="n">
        <v>0.219659359122588</v>
      </c>
      <c r="J7" s="1" t="n">
        <v>0.274051957089341</v>
      </c>
      <c r="K7" s="1" t="n">
        <f aca="false">J7-I7</f>
        <v>0.0543925979667531</v>
      </c>
      <c r="L7" s="1" t="n">
        <v>0.834308337570909</v>
      </c>
    </row>
    <row r="8" customFormat="false" ht="15" hidden="false" customHeight="false" outlineLevel="0" collapsed="false">
      <c r="A8" s="1" t="s">
        <v>17</v>
      </c>
      <c r="B8" s="1" t="s">
        <v>18</v>
      </c>
      <c r="C8" s="1" t="s">
        <v>19</v>
      </c>
      <c r="D8" s="1" t="s">
        <v>20</v>
      </c>
      <c r="E8" s="1" t="s">
        <v>21</v>
      </c>
      <c r="F8" s="1" t="n">
        <v>1</v>
      </c>
      <c r="G8" s="1" t="s">
        <v>27</v>
      </c>
      <c r="H8" s="1" t="n">
        <v>0.1</v>
      </c>
      <c r="I8" s="1" t="n">
        <v>0.16806198340828</v>
      </c>
      <c r="J8" s="1" t="n">
        <v>0.224586462329297</v>
      </c>
      <c r="K8" s="1" t="n">
        <f aca="false">J8-I8</f>
        <v>0.0565244789210171</v>
      </c>
      <c r="L8" s="1" t="n">
        <v>0.834308337570909</v>
      </c>
    </row>
    <row r="9" customFormat="false" ht="15" hidden="false" customHeight="false" outlineLevel="0" collapsed="false">
      <c r="A9" s="1" t="s">
        <v>28</v>
      </c>
      <c r="B9" s="1" t="s">
        <v>29</v>
      </c>
      <c r="C9" s="1" t="s">
        <v>30</v>
      </c>
      <c r="D9" s="1" t="s">
        <v>20</v>
      </c>
      <c r="E9" s="1" t="s">
        <v>21</v>
      </c>
      <c r="F9" s="1" t="n">
        <v>3</v>
      </c>
      <c r="G9" s="1" t="s">
        <v>22</v>
      </c>
      <c r="H9" s="1" t="n">
        <v>0.1956</v>
      </c>
      <c r="I9" s="1" t="n">
        <v>0.282358028728542</v>
      </c>
      <c r="J9" s="1" t="n">
        <v>0.306608034785243</v>
      </c>
      <c r="K9" s="1" t="n">
        <f aca="false">J9-I9</f>
        <v>0.0242500060567005</v>
      </c>
      <c r="L9" s="1" t="n">
        <v>0.78737808939176</v>
      </c>
      <c r="N9" s="1" t="n">
        <f aca="false">AVERAGE(K9:K14)</f>
        <v>0.049421284000314</v>
      </c>
    </row>
    <row r="10" customFormat="false" ht="15" hidden="false" customHeight="false" outlineLevel="0" collapsed="false">
      <c r="A10" s="1" t="s">
        <v>28</v>
      </c>
      <c r="B10" s="1" t="s">
        <v>29</v>
      </c>
      <c r="C10" s="1" t="s">
        <v>30</v>
      </c>
      <c r="D10" s="1" t="s">
        <v>20</v>
      </c>
      <c r="E10" s="1" t="s">
        <v>21</v>
      </c>
      <c r="F10" s="1" t="n">
        <v>3</v>
      </c>
      <c r="G10" s="1" t="s">
        <v>23</v>
      </c>
      <c r="H10" s="1" t="n">
        <v>0.1878</v>
      </c>
      <c r="I10" s="1" t="n">
        <v>0.271103509696958</v>
      </c>
      <c r="J10" s="1" t="n">
        <v>0.353419717927692</v>
      </c>
      <c r="K10" s="1" t="n">
        <f aca="false">J10-I10</f>
        <v>0.0823162082307339</v>
      </c>
      <c r="L10" s="1" t="n">
        <v>0.78737808939176</v>
      </c>
    </row>
    <row r="11" customFormat="false" ht="15" hidden="false" customHeight="false" outlineLevel="0" collapsed="false">
      <c r="A11" s="1" t="s">
        <v>28</v>
      </c>
      <c r="B11" s="1" t="s">
        <v>29</v>
      </c>
      <c r="C11" s="1" t="s">
        <v>30</v>
      </c>
      <c r="D11" s="1" t="s">
        <v>20</v>
      </c>
      <c r="E11" s="1" t="s">
        <v>21</v>
      </c>
      <c r="F11" s="1" t="n">
        <v>3</v>
      </c>
      <c r="G11" s="1" t="s">
        <v>25</v>
      </c>
      <c r="H11" s="1" t="n">
        <v>0.1832</v>
      </c>
      <c r="I11" s="1" t="n">
        <v>0.264473537648898</v>
      </c>
      <c r="J11" s="1" t="n">
        <v>0.311534937281779</v>
      </c>
      <c r="K11" s="1" t="n">
        <f aca="false">J11-I11</f>
        <v>0.0470613996328815</v>
      </c>
      <c r="L11" s="1" t="n">
        <v>0.78737808939176</v>
      </c>
    </row>
    <row r="12" customFormat="false" ht="15" hidden="false" customHeight="false" outlineLevel="0" collapsed="false">
      <c r="A12" s="1" t="s">
        <v>28</v>
      </c>
      <c r="B12" s="1" t="s">
        <v>29</v>
      </c>
      <c r="C12" s="1" t="s">
        <v>30</v>
      </c>
      <c r="D12" s="1" t="s">
        <v>20</v>
      </c>
      <c r="E12" s="1" t="s">
        <v>21</v>
      </c>
      <c r="F12" s="1" t="n">
        <v>3</v>
      </c>
      <c r="G12" s="1" t="s">
        <v>24</v>
      </c>
      <c r="H12" s="1" t="n">
        <v>0.17</v>
      </c>
      <c r="I12" s="1" t="n">
        <v>0.245313701186555</v>
      </c>
      <c r="J12" s="1" t="n">
        <v>0.300155468761343</v>
      </c>
      <c r="K12" s="1" t="n">
        <f aca="false">J12-I12</f>
        <v>0.0548417675747884</v>
      </c>
      <c r="L12" s="1" t="n">
        <v>0.78737808939176</v>
      </c>
    </row>
    <row r="13" customFormat="false" ht="15" hidden="false" customHeight="false" outlineLevel="0" collapsed="false">
      <c r="A13" s="1" t="s">
        <v>28</v>
      </c>
      <c r="B13" s="1" t="s">
        <v>29</v>
      </c>
      <c r="C13" s="1" t="s">
        <v>30</v>
      </c>
      <c r="D13" s="1" t="s">
        <v>20</v>
      </c>
      <c r="E13" s="1" t="s">
        <v>21</v>
      </c>
      <c r="F13" s="1" t="n">
        <v>3</v>
      </c>
      <c r="G13" s="1" t="s">
        <v>31</v>
      </c>
      <c r="H13" s="1" t="n">
        <v>0.1633</v>
      </c>
      <c r="I13" s="1" t="n">
        <v>0.235758980364991</v>
      </c>
      <c r="J13" s="1" t="n">
        <v>0.226992733301163</v>
      </c>
      <c r="K13" s="1" t="n">
        <f aca="false">J13-I13</f>
        <v>-0.0087662470638277</v>
      </c>
      <c r="L13" s="1" t="n">
        <v>0.78737808939176</v>
      </c>
    </row>
    <row r="14" customFormat="false" ht="15" hidden="false" customHeight="false" outlineLevel="0" collapsed="false">
      <c r="A14" s="1" t="s">
        <v>28</v>
      </c>
      <c r="B14" s="1" t="s">
        <v>29</v>
      </c>
      <c r="C14" s="1" t="s">
        <v>30</v>
      </c>
      <c r="D14" s="1" t="s">
        <v>20</v>
      </c>
      <c r="E14" s="1" t="s">
        <v>21</v>
      </c>
      <c r="F14" s="1" t="n">
        <v>3</v>
      </c>
      <c r="G14" s="1" t="s">
        <v>27</v>
      </c>
      <c r="H14" s="1" t="n">
        <v>0.1</v>
      </c>
      <c r="I14" s="1" t="n">
        <v>0.15286288759633</v>
      </c>
      <c r="J14" s="1" t="n">
        <v>0.249687457166937</v>
      </c>
      <c r="K14" s="1" t="n">
        <f aca="false">J14-I14</f>
        <v>0.0968245695706071</v>
      </c>
      <c r="L14" s="1" t="n">
        <v>0.78737808939176</v>
      </c>
    </row>
    <row r="15" customFormat="false" ht="15" hidden="false" customHeight="false" outlineLevel="0" collapsed="false">
      <c r="A15" s="1" t="s">
        <v>32</v>
      </c>
      <c r="B15" s="1" t="s">
        <v>33</v>
      </c>
      <c r="C15" s="1" t="s">
        <v>34</v>
      </c>
      <c r="D15" s="1" t="s">
        <v>20</v>
      </c>
      <c r="E15" s="1" t="s">
        <v>21</v>
      </c>
      <c r="F15" s="1" t="n">
        <v>5</v>
      </c>
      <c r="G15" s="1" t="s">
        <v>23</v>
      </c>
      <c r="H15" s="1" t="n">
        <v>0.2014</v>
      </c>
      <c r="I15" s="1" t="n">
        <v>0.342023522059772</v>
      </c>
      <c r="J15" s="1" t="n">
        <v>0.387476785529308</v>
      </c>
      <c r="K15" s="1" t="n">
        <f aca="false">J15-I15</f>
        <v>0.0454532634695361</v>
      </c>
      <c r="L15" s="1" t="n">
        <v>0.823470108869694</v>
      </c>
      <c r="N15" s="1" t="n">
        <f aca="false">AVERAGE(K15:K20)</f>
        <v>0.0325638982339968</v>
      </c>
    </row>
    <row r="16" customFormat="false" ht="15" hidden="false" customHeight="false" outlineLevel="0" collapsed="false">
      <c r="A16" s="1" t="s">
        <v>32</v>
      </c>
      <c r="B16" s="1" t="s">
        <v>33</v>
      </c>
      <c r="C16" s="1" t="s">
        <v>34</v>
      </c>
      <c r="D16" s="1" t="s">
        <v>20</v>
      </c>
      <c r="E16" s="1" t="s">
        <v>21</v>
      </c>
      <c r="F16" s="1" t="n">
        <v>5</v>
      </c>
      <c r="G16" s="1" t="s">
        <v>22</v>
      </c>
      <c r="H16" s="1" t="n">
        <v>0.1902</v>
      </c>
      <c r="I16" s="1" t="n">
        <v>0.322917888471385</v>
      </c>
      <c r="J16" s="1" t="n">
        <v>0.362414641064129</v>
      </c>
      <c r="K16" s="1" t="n">
        <f aca="false">J16-I16</f>
        <v>0.0394967525927442</v>
      </c>
      <c r="L16" s="1" t="n">
        <v>0.823470108869694</v>
      </c>
    </row>
    <row r="17" customFormat="false" ht="15" hidden="false" customHeight="false" outlineLevel="0" collapsed="false">
      <c r="A17" s="1" t="s">
        <v>32</v>
      </c>
      <c r="B17" s="1" t="s">
        <v>33</v>
      </c>
      <c r="C17" s="1" t="s">
        <v>34</v>
      </c>
      <c r="D17" s="1" t="s">
        <v>20</v>
      </c>
      <c r="E17" s="1" t="s">
        <v>21</v>
      </c>
      <c r="F17" s="1" t="n">
        <v>5</v>
      </c>
      <c r="G17" s="1" t="s">
        <v>24</v>
      </c>
      <c r="H17" s="1" t="n">
        <v>0.1751</v>
      </c>
      <c r="I17" s="1" t="n">
        <v>0.297366011117289</v>
      </c>
      <c r="J17" s="1" t="n">
        <v>0.310713923021015</v>
      </c>
      <c r="K17" s="1" t="n">
        <f aca="false">J17-I17</f>
        <v>0.0133479119037255</v>
      </c>
      <c r="L17" s="1" t="n">
        <v>0.823470108869694</v>
      </c>
    </row>
    <row r="18" customFormat="false" ht="15" hidden="false" customHeight="false" outlineLevel="0" collapsed="false">
      <c r="A18" s="1" t="s">
        <v>32</v>
      </c>
      <c r="B18" s="1" t="s">
        <v>33</v>
      </c>
      <c r="C18" s="1" t="s">
        <v>34</v>
      </c>
      <c r="D18" s="1" t="s">
        <v>20</v>
      </c>
      <c r="E18" s="1" t="s">
        <v>21</v>
      </c>
      <c r="F18" s="1" t="n">
        <v>5</v>
      </c>
      <c r="G18" s="1" t="s">
        <v>25</v>
      </c>
      <c r="H18" s="1" t="n">
        <v>0.1738</v>
      </c>
      <c r="I18" s="1" t="n">
        <v>0.295129089198684</v>
      </c>
      <c r="J18" s="1" t="n">
        <v>0.306135971943522</v>
      </c>
      <c r="K18" s="1" t="n">
        <f aca="false">J18-I18</f>
        <v>0.0110068827448387</v>
      </c>
      <c r="L18" s="1" t="n">
        <v>0.823470108869694</v>
      </c>
    </row>
    <row r="19" customFormat="false" ht="15" hidden="false" customHeight="false" outlineLevel="0" collapsed="false">
      <c r="A19" s="1" t="s">
        <v>32</v>
      </c>
      <c r="B19" s="1" t="s">
        <v>33</v>
      </c>
      <c r="C19" s="1" t="s">
        <v>34</v>
      </c>
      <c r="D19" s="1" t="s">
        <v>20</v>
      </c>
      <c r="E19" s="1" t="s">
        <v>21</v>
      </c>
      <c r="F19" s="1" t="n">
        <v>5</v>
      </c>
      <c r="G19" s="1" t="s">
        <v>26</v>
      </c>
      <c r="H19" s="1" t="n">
        <v>0.1594</v>
      </c>
      <c r="I19" s="1" t="n">
        <v>0.270689816270859</v>
      </c>
      <c r="J19" s="1" t="n">
        <v>0.298648090057368</v>
      </c>
      <c r="K19" s="1" t="n">
        <f aca="false">J19-I19</f>
        <v>0.027958273786509</v>
      </c>
      <c r="L19" s="1" t="n">
        <v>0.823470108869694</v>
      </c>
    </row>
    <row r="20" customFormat="false" ht="15" hidden="false" customHeight="false" outlineLevel="0" collapsed="false">
      <c r="A20" s="1" t="s">
        <v>32</v>
      </c>
      <c r="B20" s="1" t="s">
        <v>33</v>
      </c>
      <c r="C20" s="1" t="s">
        <v>34</v>
      </c>
      <c r="D20" s="1" t="s">
        <v>20</v>
      </c>
      <c r="E20" s="1" t="s">
        <v>21</v>
      </c>
      <c r="F20" s="1" t="n">
        <v>5</v>
      </c>
      <c r="G20" s="1" t="s">
        <v>27</v>
      </c>
      <c r="H20" s="1" t="n">
        <v>0.1</v>
      </c>
      <c r="I20" s="1" t="n">
        <v>0.210315644903191</v>
      </c>
      <c r="J20" s="1" t="n">
        <v>0.268435949809818</v>
      </c>
      <c r="K20" s="1" t="n">
        <f aca="false">J20-I20</f>
        <v>0.058120304906627</v>
      </c>
      <c r="L20" s="1" t="n">
        <v>0.823470108869694</v>
      </c>
    </row>
    <row r="21" customFormat="false" ht="15" hidden="false" customHeight="false" outlineLevel="0" collapsed="false">
      <c r="A21" s="1" t="s">
        <v>35</v>
      </c>
      <c r="B21" s="1" t="s">
        <v>36</v>
      </c>
      <c r="C21" s="1" t="s">
        <v>37</v>
      </c>
      <c r="D21" s="1" t="s">
        <v>20</v>
      </c>
      <c r="E21" s="1" t="s">
        <v>21</v>
      </c>
      <c r="F21" s="1" t="n">
        <v>7</v>
      </c>
      <c r="G21" s="1" t="s">
        <v>22</v>
      </c>
      <c r="H21" s="1" t="n">
        <v>0.2095</v>
      </c>
      <c r="I21" s="1" t="n">
        <v>0.317272987069745</v>
      </c>
      <c r="J21" s="1" t="n">
        <v>0.373711538030073</v>
      </c>
      <c r="K21" s="1" t="n">
        <f aca="false">J21-I21</f>
        <v>0.056438550960328</v>
      </c>
      <c r="L21" s="1" t="n">
        <v>0.641382187119465</v>
      </c>
      <c r="N21" s="1" t="n">
        <f aca="false">AVERAGE(K21:K26)</f>
        <v>0.0663487877009757</v>
      </c>
    </row>
    <row r="22" customFormat="false" ht="15" hidden="false" customHeight="false" outlineLevel="0" collapsed="false">
      <c r="A22" s="1" t="s">
        <v>35</v>
      </c>
      <c r="B22" s="1" t="s">
        <v>36</v>
      </c>
      <c r="C22" s="1" t="s">
        <v>37</v>
      </c>
      <c r="D22" s="1" t="s">
        <v>20</v>
      </c>
      <c r="E22" s="1" t="s">
        <v>21</v>
      </c>
      <c r="F22" s="1" t="n">
        <v>7</v>
      </c>
      <c r="G22" s="1" t="s">
        <v>23</v>
      </c>
      <c r="H22" s="1" t="n">
        <v>0.2004</v>
      </c>
      <c r="I22" s="1" t="n">
        <v>0.303382666800948</v>
      </c>
      <c r="J22" s="1" t="n">
        <v>0.384710157362311</v>
      </c>
      <c r="K22" s="1" t="n">
        <f aca="false">J22-I22</f>
        <v>0.0813274905613634</v>
      </c>
      <c r="L22" s="1" t="n">
        <v>0.641382187119465</v>
      </c>
    </row>
    <row r="23" customFormat="false" ht="15" hidden="false" customHeight="false" outlineLevel="0" collapsed="false">
      <c r="A23" s="1" t="s">
        <v>35</v>
      </c>
      <c r="B23" s="1" t="s">
        <v>36</v>
      </c>
      <c r="C23" s="1" t="s">
        <v>37</v>
      </c>
      <c r="D23" s="1" t="s">
        <v>20</v>
      </c>
      <c r="E23" s="1" t="s">
        <v>21</v>
      </c>
      <c r="F23" s="1" t="n">
        <v>7</v>
      </c>
      <c r="G23" s="1" t="s">
        <v>25</v>
      </c>
      <c r="H23" s="1" t="n">
        <v>0.1761</v>
      </c>
      <c r="I23" s="1" t="n">
        <v>0.266683207249149</v>
      </c>
      <c r="J23" s="1" t="n">
        <v>0.296686587320483</v>
      </c>
      <c r="K23" s="1" t="n">
        <f aca="false">J23-I23</f>
        <v>0.0300033800713343</v>
      </c>
      <c r="L23" s="1" t="n">
        <v>0.641382187119465</v>
      </c>
    </row>
    <row r="24" customFormat="false" ht="15" hidden="false" customHeight="false" outlineLevel="0" collapsed="false">
      <c r="A24" s="1" t="s">
        <v>35</v>
      </c>
      <c r="B24" s="1" t="s">
        <v>36</v>
      </c>
      <c r="C24" s="1" t="s">
        <v>37</v>
      </c>
      <c r="D24" s="1" t="s">
        <v>20</v>
      </c>
      <c r="E24" s="1" t="s">
        <v>21</v>
      </c>
      <c r="F24" s="1" t="n">
        <v>7</v>
      </c>
      <c r="G24" s="1" t="s">
        <v>24</v>
      </c>
      <c r="H24" s="1" t="n">
        <v>0.1678</v>
      </c>
      <c r="I24" s="1" t="n">
        <v>0.254030229020432</v>
      </c>
      <c r="J24" s="1" t="n">
        <v>0.324961732141411</v>
      </c>
      <c r="K24" s="1" t="n">
        <f aca="false">J24-I24</f>
        <v>0.0709315031209784</v>
      </c>
      <c r="L24" s="1" t="n">
        <v>0.641382187119465</v>
      </c>
    </row>
    <row r="25" customFormat="false" ht="15" hidden="false" customHeight="false" outlineLevel="0" collapsed="false">
      <c r="A25" s="1" t="s">
        <v>35</v>
      </c>
      <c r="B25" s="1" t="s">
        <v>36</v>
      </c>
      <c r="C25" s="1" t="s">
        <v>37</v>
      </c>
      <c r="D25" s="1" t="s">
        <v>20</v>
      </c>
      <c r="E25" s="1" t="s">
        <v>21</v>
      </c>
      <c r="F25" s="1" t="n">
        <v>7</v>
      </c>
      <c r="G25" s="1" t="s">
        <v>31</v>
      </c>
      <c r="H25" s="1" t="n">
        <v>0.1462</v>
      </c>
      <c r="I25" s="1" t="n">
        <v>0.221448965397508</v>
      </c>
      <c r="J25" s="1" t="n">
        <v>0.281541803354987</v>
      </c>
      <c r="K25" s="1" t="n">
        <f aca="false">J25-I25</f>
        <v>0.0600928379574789</v>
      </c>
      <c r="L25" s="1" t="n">
        <v>0.641382187119465</v>
      </c>
    </row>
    <row r="26" customFormat="false" ht="15" hidden="false" customHeight="false" outlineLevel="0" collapsed="false">
      <c r="A26" s="1" t="s">
        <v>35</v>
      </c>
      <c r="B26" s="1" t="s">
        <v>36</v>
      </c>
      <c r="C26" s="1" t="s">
        <v>37</v>
      </c>
      <c r="D26" s="1" t="s">
        <v>20</v>
      </c>
      <c r="E26" s="1" t="s">
        <v>21</v>
      </c>
      <c r="F26" s="1" t="n">
        <v>7</v>
      </c>
      <c r="G26" s="1" t="s">
        <v>27</v>
      </c>
      <c r="H26" s="1" t="n">
        <v>0.1</v>
      </c>
      <c r="I26" s="1" t="n">
        <v>0.184715102150929</v>
      </c>
      <c r="J26" s="1" t="n">
        <v>0.2840140656853</v>
      </c>
      <c r="K26" s="1" t="n">
        <f aca="false">J26-I26</f>
        <v>0.0992989635343714</v>
      </c>
      <c r="L26" s="1" t="n">
        <v>0.641382187119465</v>
      </c>
    </row>
    <row r="27" customFormat="false" ht="15" hidden="false" customHeight="false" outlineLevel="0" collapsed="false">
      <c r="A27" s="1" t="s">
        <v>38</v>
      </c>
      <c r="B27" s="1" t="s">
        <v>39</v>
      </c>
      <c r="C27" s="1" t="s">
        <v>40</v>
      </c>
      <c r="D27" s="1" t="s">
        <v>20</v>
      </c>
      <c r="E27" s="1" t="s">
        <v>21</v>
      </c>
      <c r="F27" s="1" t="n">
        <v>9</v>
      </c>
      <c r="G27" s="1" t="s">
        <v>23</v>
      </c>
      <c r="H27" s="1" t="n">
        <v>0.2042</v>
      </c>
      <c r="I27" s="1" t="n">
        <v>0.335747156782257</v>
      </c>
      <c r="J27" s="1" t="n">
        <v>0.393261813958571</v>
      </c>
      <c r="K27" s="1" t="n">
        <f aca="false">J27-I27</f>
        <v>0.0575146571763141</v>
      </c>
      <c r="L27" s="1" t="n">
        <v>0.648560742045417</v>
      </c>
      <c r="N27" s="1" t="n">
        <f aca="false">AVERAGE(K27:K32)</f>
        <v>0.0416988284354426</v>
      </c>
    </row>
    <row r="28" customFormat="false" ht="15" hidden="false" customHeight="false" outlineLevel="0" collapsed="false">
      <c r="A28" s="1" t="s">
        <v>38</v>
      </c>
      <c r="B28" s="1" t="s">
        <v>39</v>
      </c>
      <c r="C28" s="1" t="s">
        <v>40</v>
      </c>
      <c r="D28" s="1" t="s">
        <v>20</v>
      </c>
      <c r="E28" s="1" t="s">
        <v>21</v>
      </c>
      <c r="F28" s="1" t="n">
        <v>9</v>
      </c>
      <c r="G28" s="1" t="s">
        <v>22</v>
      </c>
      <c r="H28" s="1" t="n">
        <v>0.1986</v>
      </c>
      <c r="I28" s="1" t="n">
        <v>0.326660172768582</v>
      </c>
      <c r="J28" s="1" t="n">
        <v>0.334983263430581</v>
      </c>
      <c r="K28" s="1" t="n">
        <f aca="false">J28-I28</f>
        <v>0.00832309066199838</v>
      </c>
      <c r="L28" s="1" t="n">
        <v>0.648560742045417</v>
      </c>
    </row>
    <row r="29" customFormat="false" ht="15" hidden="false" customHeight="false" outlineLevel="0" collapsed="false">
      <c r="A29" s="1" t="s">
        <v>38</v>
      </c>
      <c r="B29" s="1" t="s">
        <v>39</v>
      </c>
      <c r="C29" s="1" t="s">
        <v>40</v>
      </c>
      <c r="D29" s="1" t="s">
        <v>20</v>
      </c>
      <c r="E29" s="1" t="s">
        <v>21</v>
      </c>
      <c r="F29" s="1" t="n">
        <v>9</v>
      </c>
      <c r="G29" s="1" t="s">
        <v>26</v>
      </c>
      <c r="H29" s="1" t="n">
        <v>0.1683</v>
      </c>
      <c r="I29" s="1" t="n">
        <v>0.276852597452299</v>
      </c>
      <c r="J29" s="1" t="n">
        <v>0.326364365193347</v>
      </c>
      <c r="K29" s="1" t="n">
        <f aca="false">J29-I29</f>
        <v>0.0495117677410481</v>
      </c>
      <c r="L29" s="1" t="n">
        <v>0.648560742045417</v>
      </c>
    </row>
    <row r="30" customFormat="false" ht="15" hidden="false" customHeight="false" outlineLevel="0" collapsed="false">
      <c r="A30" s="1" t="s">
        <v>38</v>
      </c>
      <c r="B30" s="1" t="s">
        <v>39</v>
      </c>
      <c r="C30" s="1" t="s">
        <v>40</v>
      </c>
      <c r="D30" s="1" t="s">
        <v>20</v>
      </c>
      <c r="E30" s="1" t="s">
        <v>21</v>
      </c>
      <c r="F30" s="1" t="n">
        <v>9</v>
      </c>
      <c r="G30" s="1" t="s">
        <v>24</v>
      </c>
      <c r="H30" s="1" t="n">
        <v>0.165</v>
      </c>
      <c r="I30" s="1" t="n">
        <v>0.271352646365983</v>
      </c>
      <c r="J30" s="1" t="n">
        <v>0.328629307993187</v>
      </c>
      <c r="K30" s="1" t="n">
        <f aca="false">J30-I30</f>
        <v>0.0572766616272032</v>
      </c>
      <c r="L30" s="1" t="n">
        <v>0.648560742045417</v>
      </c>
    </row>
    <row r="31" customFormat="false" ht="15" hidden="false" customHeight="false" outlineLevel="0" collapsed="false">
      <c r="A31" s="1" t="s">
        <v>38</v>
      </c>
      <c r="B31" s="1" t="s">
        <v>39</v>
      </c>
      <c r="C31" s="1" t="s">
        <v>40</v>
      </c>
      <c r="D31" s="1" t="s">
        <v>20</v>
      </c>
      <c r="E31" s="1" t="s">
        <v>21</v>
      </c>
      <c r="F31" s="1" t="n">
        <v>9</v>
      </c>
      <c r="G31" s="1" t="s">
        <v>31</v>
      </c>
      <c r="H31" s="1" t="n">
        <v>0.1639</v>
      </c>
      <c r="I31" s="1" t="n">
        <v>0.269525014221719</v>
      </c>
      <c r="J31" s="1" t="n">
        <v>0.271005160074681</v>
      </c>
      <c r="K31" s="1" t="n">
        <f aca="false">J31-I31</f>
        <v>0.00148014585296197</v>
      </c>
      <c r="L31" s="1" t="n">
        <v>0.648560742045417</v>
      </c>
    </row>
    <row r="32" customFormat="false" ht="15" hidden="false" customHeight="false" outlineLevel="0" collapsed="false">
      <c r="A32" s="1" t="s">
        <v>38</v>
      </c>
      <c r="B32" s="1" t="s">
        <v>39</v>
      </c>
      <c r="C32" s="1" t="s">
        <v>40</v>
      </c>
      <c r="D32" s="1" t="s">
        <v>20</v>
      </c>
      <c r="E32" s="1" t="s">
        <v>21</v>
      </c>
      <c r="F32" s="1" t="n">
        <v>9</v>
      </c>
      <c r="G32" s="1" t="s">
        <v>27</v>
      </c>
      <c r="H32" s="1" t="n">
        <v>0.1</v>
      </c>
      <c r="I32" s="1" t="n">
        <v>0.203606857326525</v>
      </c>
      <c r="J32" s="1" t="n">
        <v>0.279693504879655</v>
      </c>
      <c r="K32" s="1" t="n">
        <f aca="false">J32-I32</f>
        <v>0.0760866475531298</v>
      </c>
      <c r="L32" s="1" t="n">
        <v>0.648560742045417</v>
      </c>
    </row>
    <row r="33" customFormat="false" ht="15" hidden="false" customHeight="false" outlineLevel="0" collapsed="false">
      <c r="A33" s="1" t="s">
        <v>41</v>
      </c>
      <c r="B33" s="1" t="s">
        <v>42</v>
      </c>
      <c r="C33" s="1" t="s">
        <v>43</v>
      </c>
      <c r="D33" s="1" t="s">
        <v>20</v>
      </c>
      <c r="E33" s="1" t="s">
        <v>21</v>
      </c>
      <c r="F33" s="1" t="n">
        <v>11</v>
      </c>
      <c r="G33" s="1" t="s">
        <v>23</v>
      </c>
      <c r="H33" s="1" t="n">
        <v>0.2161</v>
      </c>
      <c r="I33" s="1" t="n">
        <v>0.353769000249569</v>
      </c>
      <c r="J33" s="1" t="n">
        <v>0.332343926418748</v>
      </c>
      <c r="K33" s="1" t="n">
        <f aca="false">J33-I33</f>
        <v>-0.0214250738308211</v>
      </c>
      <c r="L33" s="1" t="n">
        <v>0.737540725804953</v>
      </c>
      <c r="N33" s="1" t="n">
        <f aca="false">AVERAGE(K33:K38)</f>
        <v>-0.0101936930539264</v>
      </c>
    </row>
    <row r="34" customFormat="false" ht="15" hidden="false" customHeight="false" outlineLevel="0" collapsed="false">
      <c r="A34" s="1" t="s">
        <v>41</v>
      </c>
      <c r="B34" s="1" t="s">
        <v>42</v>
      </c>
      <c r="C34" s="1" t="s">
        <v>43</v>
      </c>
      <c r="D34" s="1" t="s">
        <v>20</v>
      </c>
      <c r="E34" s="1" t="s">
        <v>21</v>
      </c>
      <c r="F34" s="1" t="n">
        <v>11</v>
      </c>
      <c r="G34" s="1" t="s">
        <v>22</v>
      </c>
      <c r="H34" s="1" t="n">
        <v>0.185</v>
      </c>
      <c r="I34" s="1" t="n">
        <v>0.302966550327318</v>
      </c>
      <c r="J34" s="1" t="n">
        <v>0.318753919322412</v>
      </c>
      <c r="K34" s="1" t="n">
        <f aca="false">J34-I34</f>
        <v>0.015787368995094</v>
      </c>
      <c r="L34" s="1" t="n">
        <v>0.737540725804953</v>
      </c>
    </row>
    <row r="35" customFormat="false" ht="15" hidden="false" customHeight="false" outlineLevel="0" collapsed="false">
      <c r="A35" s="1" t="s">
        <v>41</v>
      </c>
      <c r="B35" s="1" t="s">
        <v>42</v>
      </c>
      <c r="C35" s="1" t="s">
        <v>43</v>
      </c>
      <c r="D35" s="1" t="s">
        <v>20</v>
      </c>
      <c r="E35" s="1" t="s">
        <v>21</v>
      </c>
      <c r="F35" s="1" t="n">
        <v>11</v>
      </c>
      <c r="G35" s="1" t="s">
        <v>24</v>
      </c>
      <c r="H35" s="1" t="n">
        <v>0.1704</v>
      </c>
      <c r="I35" s="1" t="n">
        <v>0.279062156107738</v>
      </c>
      <c r="J35" s="1" t="n">
        <v>0.271798287311755</v>
      </c>
      <c r="K35" s="1" t="n">
        <f aca="false">J35-I35</f>
        <v>-0.00726386879598218</v>
      </c>
      <c r="L35" s="1" t="n">
        <v>0.737540725804953</v>
      </c>
    </row>
    <row r="36" customFormat="false" ht="15" hidden="false" customHeight="false" outlineLevel="0" collapsed="false">
      <c r="A36" s="1" t="s">
        <v>41</v>
      </c>
      <c r="B36" s="1" t="s">
        <v>42</v>
      </c>
      <c r="C36" s="1" t="s">
        <v>43</v>
      </c>
      <c r="D36" s="1" t="s">
        <v>20</v>
      </c>
      <c r="E36" s="1" t="s">
        <v>21</v>
      </c>
      <c r="F36" s="1" t="n">
        <v>11</v>
      </c>
      <c r="G36" s="1" t="s">
        <v>26</v>
      </c>
      <c r="H36" s="1" t="n">
        <v>0.1656</v>
      </c>
      <c r="I36" s="1" t="n">
        <v>0.271174455987618</v>
      </c>
      <c r="J36" s="1" t="n">
        <v>0.257299103028476</v>
      </c>
      <c r="K36" s="1" t="n">
        <f aca="false">J36-I36</f>
        <v>-0.0138753529591423</v>
      </c>
      <c r="L36" s="1" t="n">
        <v>0.737540725804953</v>
      </c>
    </row>
    <row r="37" customFormat="false" ht="15" hidden="false" customHeight="false" outlineLevel="0" collapsed="false">
      <c r="A37" s="1" t="s">
        <v>41</v>
      </c>
      <c r="B37" s="1" t="s">
        <v>42</v>
      </c>
      <c r="C37" s="1" t="s">
        <v>43</v>
      </c>
      <c r="D37" s="1" t="s">
        <v>20</v>
      </c>
      <c r="E37" s="1" t="s">
        <v>21</v>
      </c>
      <c r="F37" s="1" t="n">
        <v>11</v>
      </c>
      <c r="G37" s="1" t="s">
        <v>25</v>
      </c>
      <c r="H37" s="1" t="n">
        <v>0.1628</v>
      </c>
      <c r="I37" s="1" t="n">
        <v>0.266541925097271</v>
      </c>
      <c r="J37" s="1" t="n">
        <v>0.229494581509541</v>
      </c>
      <c r="K37" s="1" t="n">
        <f aca="false">J37-I37</f>
        <v>-0.0370473435877298</v>
      </c>
      <c r="L37" s="1" t="n">
        <v>0.737540725804953</v>
      </c>
    </row>
    <row r="38" customFormat="false" ht="15" hidden="false" customHeight="false" outlineLevel="0" collapsed="false">
      <c r="A38" s="1" t="s">
        <v>41</v>
      </c>
      <c r="B38" s="1" t="s">
        <v>42</v>
      </c>
      <c r="C38" s="1" t="s">
        <v>43</v>
      </c>
      <c r="D38" s="1" t="s">
        <v>20</v>
      </c>
      <c r="E38" s="1" t="s">
        <v>21</v>
      </c>
      <c r="F38" s="1" t="n">
        <v>11</v>
      </c>
      <c r="G38" s="1" t="s">
        <v>27</v>
      </c>
      <c r="H38" s="1" t="n">
        <v>0.1</v>
      </c>
      <c r="I38" s="1" t="n">
        <v>0.198438433805343</v>
      </c>
      <c r="J38" s="1" t="n">
        <v>0.201100545660365</v>
      </c>
      <c r="K38" s="1" t="n">
        <f aca="false">J38-I38</f>
        <v>0.0026621118550228</v>
      </c>
      <c r="L38" s="1" t="n">
        <v>0.737540725804953</v>
      </c>
    </row>
    <row r="39" customFormat="false" ht="15" hidden="false" customHeight="false" outlineLevel="0" collapsed="false">
      <c r="A39" s="1" t="s">
        <v>44</v>
      </c>
      <c r="B39" s="1" t="s">
        <v>45</v>
      </c>
      <c r="C39" s="1" t="s">
        <v>46</v>
      </c>
      <c r="D39" s="1" t="s">
        <v>20</v>
      </c>
      <c r="E39" s="1" t="s">
        <v>21</v>
      </c>
      <c r="F39" s="1" t="n">
        <v>13</v>
      </c>
      <c r="G39" s="1" t="s">
        <v>23</v>
      </c>
      <c r="H39" s="1" t="n">
        <v>0.2161</v>
      </c>
      <c r="I39" s="1" t="n">
        <v>0.332312646707616</v>
      </c>
      <c r="J39" s="1" t="n">
        <v>0.374097714833965</v>
      </c>
      <c r="K39" s="1" t="n">
        <f aca="false">J39-I39</f>
        <v>0.0417850681263489</v>
      </c>
      <c r="L39" s="1" t="n">
        <v>0.634968083396197</v>
      </c>
      <c r="N39" s="1" t="n">
        <f aca="false">AVERAGE(K39:K44)</f>
        <v>0.0442062351683729</v>
      </c>
    </row>
    <row r="40" customFormat="false" ht="15" hidden="false" customHeight="false" outlineLevel="0" collapsed="false">
      <c r="A40" s="1" t="s">
        <v>44</v>
      </c>
      <c r="B40" s="1" t="s">
        <v>45</v>
      </c>
      <c r="C40" s="1" t="s">
        <v>46</v>
      </c>
      <c r="D40" s="1" t="s">
        <v>20</v>
      </c>
      <c r="E40" s="1" t="s">
        <v>21</v>
      </c>
      <c r="F40" s="1" t="n">
        <v>13</v>
      </c>
      <c r="G40" s="1" t="s">
        <v>22</v>
      </c>
      <c r="H40" s="1" t="n">
        <v>0.1946</v>
      </c>
      <c r="I40" s="1" t="n">
        <v>0.299272415837525</v>
      </c>
      <c r="J40" s="1" t="n">
        <v>0.334910086676019</v>
      </c>
      <c r="K40" s="1" t="n">
        <f aca="false">J40-I40</f>
        <v>0.0356376708384935</v>
      </c>
      <c r="L40" s="1" t="n">
        <v>0.634968083396197</v>
      </c>
    </row>
    <row r="41" customFormat="false" ht="15" hidden="false" customHeight="false" outlineLevel="0" collapsed="false">
      <c r="A41" s="1" t="s">
        <v>44</v>
      </c>
      <c r="B41" s="1" t="s">
        <v>45</v>
      </c>
      <c r="C41" s="1" t="s">
        <v>46</v>
      </c>
      <c r="D41" s="1" t="s">
        <v>20</v>
      </c>
      <c r="E41" s="1" t="s">
        <v>21</v>
      </c>
      <c r="F41" s="1" t="n">
        <v>13</v>
      </c>
      <c r="G41" s="1" t="s">
        <v>24</v>
      </c>
      <c r="H41" s="1" t="n">
        <v>0.1932</v>
      </c>
      <c r="I41" s="1" t="n">
        <v>0.29707505628042</v>
      </c>
      <c r="J41" s="1" t="n">
        <v>0.308191250014816</v>
      </c>
      <c r="K41" s="1" t="n">
        <f aca="false">J41-I41</f>
        <v>0.0111161937343961</v>
      </c>
      <c r="L41" s="1" t="n">
        <v>0.634968083396197</v>
      </c>
    </row>
    <row r="42" customFormat="false" ht="15" hidden="false" customHeight="false" outlineLevel="0" collapsed="false">
      <c r="A42" s="1" t="s">
        <v>44</v>
      </c>
      <c r="B42" s="1" t="s">
        <v>45</v>
      </c>
      <c r="C42" s="1" t="s">
        <v>46</v>
      </c>
      <c r="D42" s="1" t="s">
        <v>20</v>
      </c>
      <c r="E42" s="1" t="s">
        <v>21</v>
      </c>
      <c r="F42" s="1" t="n">
        <v>13</v>
      </c>
      <c r="G42" s="1" t="s">
        <v>26</v>
      </c>
      <c r="H42" s="1" t="n">
        <v>0.1534</v>
      </c>
      <c r="I42" s="1" t="n">
        <v>0.235959190928526</v>
      </c>
      <c r="J42" s="1" t="n">
        <v>0.321950000288634</v>
      </c>
      <c r="K42" s="1" t="n">
        <f aca="false">J42-I42</f>
        <v>0.0859908093601074</v>
      </c>
      <c r="L42" s="1" t="n">
        <v>0.634968083396197</v>
      </c>
    </row>
    <row r="43" customFormat="false" ht="15" hidden="false" customHeight="false" outlineLevel="0" collapsed="false">
      <c r="A43" s="1" t="s">
        <v>44</v>
      </c>
      <c r="B43" s="1" t="s">
        <v>45</v>
      </c>
      <c r="C43" s="1" t="s">
        <v>46</v>
      </c>
      <c r="D43" s="1" t="s">
        <v>20</v>
      </c>
      <c r="E43" s="1" t="s">
        <v>21</v>
      </c>
      <c r="F43" s="1" t="n">
        <v>13</v>
      </c>
      <c r="G43" s="1" t="s">
        <v>31</v>
      </c>
      <c r="H43" s="1" t="n">
        <v>0.1426</v>
      </c>
      <c r="I43" s="1" t="n">
        <v>0.219309924363698</v>
      </c>
      <c r="J43" s="1" t="n">
        <v>0.226432690751045</v>
      </c>
      <c r="K43" s="1" t="n">
        <f aca="false">J43-I43</f>
        <v>0.0071227663873468</v>
      </c>
      <c r="L43" s="1" t="n">
        <v>0.634968083396197</v>
      </c>
    </row>
    <row r="44" customFormat="false" ht="15" hidden="false" customHeight="false" outlineLevel="0" collapsed="false">
      <c r="A44" s="1" t="s">
        <v>44</v>
      </c>
      <c r="B44" s="1" t="s">
        <v>45</v>
      </c>
      <c r="C44" s="1" t="s">
        <v>46</v>
      </c>
      <c r="D44" s="1" t="s">
        <v>20</v>
      </c>
      <c r="E44" s="1" t="s">
        <v>21</v>
      </c>
      <c r="F44" s="1" t="n">
        <v>13</v>
      </c>
      <c r="G44" s="1" t="s">
        <v>27</v>
      </c>
      <c r="H44" s="1" t="n">
        <v>0.1</v>
      </c>
      <c r="I44" s="1" t="n">
        <v>0.167299641343275</v>
      </c>
      <c r="J44" s="1" t="n">
        <v>0.25088454390682</v>
      </c>
      <c r="K44" s="1" t="n">
        <f aca="false">J44-I44</f>
        <v>0.0835849025635445</v>
      </c>
      <c r="L44" s="1" t="n">
        <v>0.634968083396197</v>
      </c>
    </row>
    <row r="45" customFormat="false" ht="15" hidden="false" customHeight="false" outlineLevel="0" collapsed="false">
      <c r="A45" s="1" t="s">
        <v>47</v>
      </c>
      <c r="B45" s="1" t="s">
        <v>48</v>
      </c>
      <c r="C45" s="1" t="s">
        <v>49</v>
      </c>
      <c r="D45" s="1" t="s">
        <v>20</v>
      </c>
      <c r="E45" s="1" t="s">
        <v>21</v>
      </c>
      <c r="F45" s="1" t="n">
        <v>15</v>
      </c>
      <c r="G45" s="1" t="s">
        <v>23</v>
      </c>
      <c r="H45" s="1" t="n">
        <v>0.2051</v>
      </c>
      <c r="I45" s="1" t="n">
        <v>0.379914063664793</v>
      </c>
      <c r="J45" s="1" t="n">
        <v>0.402631539170449</v>
      </c>
      <c r="K45" s="1" t="n">
        <f aca="false">J45-I45</f>
        <v>0.022717475505656</v>
      </c>
      <c r="L45" s="1" t="n">
        <v>0.746400854814908</v>
      </c>
      <c r="N45" s="1" t="n">
        <f aca="false">AVERAGE(K45:K50)</f>
        <v>0.0260244862289847</v>
      </c>
    </row>
    <row r="46" customFormat="false" ht="15" hidden="false" customHeight="false" outlineLevel="0" collapsed="false">
      <c r="A46" s="1" t="s">
        <v>47</v>
      </c>
      <c r="B46" s="1" t="s">
        <v>48</v>
      </c>
      <c r="C46" s="1" t="s">
        <v>49</v>
      </c>
      <c r="D46" s="1" t="s">
        <v>20</v>
      </c>
      <c r="E46" s="1" t="s">
        <v>21</v>
      </c>
      <c r="F46" s="1" t="n">
        <v>15</v>
      </c>
      <c r="G46" s="1" t="s">
        <v>24</v>
      </c>
      <c r="H46" s="1" t="n">
        <v>0.1829</v>
      </c>
      <c r="I46" s="1" t="n">
        <v>0.338804643127926</v>
      </c>
      <c r="J46" s="1" t="n">
        <v>0.346595388336933</v>
      </c>
      <c r="K46" s="1" t="n">
        <f aca="false">J46-I46</f>
        <v>0.00779074520900691</v>
      </c>
      <c r="L46" s="1" t="n">
        <v>0.746400854814908</v>
      </c>
    </row>
    <row r="47" customFormat="false" ht="15" hidden="false" customHeight="false" outlineLevel="0" collapsed="false">
      <c r="A47" s="1" t="s">
        <v>47</v>
      </c>
      <c r="B47" s="1" t="s">
        <v>48</v>
      </c>
      <c r="C47" s="1" t="s">
        <v>49</v>
      </c>
      <c r="D47" s="1" t="s">
        <v>20</v>
      </c>
      <c r="E47" s="1" t="s">
        <v>21</v>
      </c>
      <c r="F47" s="1" t="n">
        <v>15</v>
      </c>
      <c r="G47" s="1" t="s">
        <v>22</v>
      </c>
      <c r="H47" s="1" t="n">
        <v>0.1817</v>
      </c>
      <c r="I47" s="1" t="n">
        <v>0.336473904883371</v>
      </c>
      <c r="J47" s="1" t="n">
        <v>0.353522382895364</v>
      </c>
      <c r="K47" s="1" t="n">
        <f aca="false">J47-I47</f>
        <v>0.0170484780119932</v>
      </c>
      <c r="L47" s="1" t="n">
        <v>0.746400854814908</v>
      </c>
    </row>
    <row r="48" customFormat="false" ht="15" hidden="false" customHeight="false" outlineLevel="0" collapsed="false">
      <c r="A48" s="1" t="s">
        <v>47</v>
      </c>
      <c r="B48" s="1" t="s">
        <v>48</v>
      </c>
      <c r="C48" s="1" t="s">
        <v>49</v>
      </c>
      <c r="D48" s="1" t="s">
        <v>20</v>
      </c>
      <c r="E48" s="1" t="s">
        <v>21</v>
      </c>
      <c r="F48" s="1" t="n">
        <v>15</v>
      </c>
      <c r="G48" s="1" t="s">
        <v>26</v>
      </c>
      <c r="H48" s="1" t="n">
        <v>0.1678</v>
      </c>
      <c r="I48" s="1" t="n">
        <v>0.310798401548595</v>
      </c>
      <c r="J48" s="1" t="n">
        <v>0.317998051885857</v>
      </c>
      <c r="K48" s="1" t="n">
        <f aca="false">J48-I48</f>
        <v>0.00719965033726211</v>
      </c>
      <c r="L48" s="1" t="n">
        <v>0.746400854814908</v>
      </c>
    </row>
    <row r="49" customFormat="false" ht="15" hidden="false" customHeight="false" outlineLevel="0" collapsed="false">
      <c r="A49" s="1" t="s">
        <v>47</v>
      </c>
      <c r="B49" s="1" t="s">
        <v>48</v>
      </c>
      <c r="C49" s="1" t="s">
        <v>49</v>
      </c>
      <c r="D49" s="1" t="s">
        <v>20</v>
      </c>
      <c r="E49" s="1" t="s">
        <v>21</v>
      </c>
      <c r="F49" s="1" t="n">
        <v>15</v>
      </c>
      <c r="G49" s="1" t="s">
        <v>50</v>
      </c>
      <c r="H49" s="1" t="n">
        <v>0.1625</v>
      </c>
      <c r="I49" s="1" t="n">
        <v>0.30098757676907</v>
      </c>
      <c r="J49" s="1" t="n">
        <v>0.356964867916744</v>
      </c>
      <c r="K49" s="1" t="n">
        <f aca="false">J49-I49</f>
        <v>0.0559772911476741</v>
      </c>
      <c r="L49" s="1" t="n">
        <v>0.746400854814908</v>
      </c>
    </row>
    <row r="50" customFormat="false" ht="15" hidden="false" customHeight="false" outlineLevel="0" collapsed="false">
      <c r="A50" s="1" t="s">
        <v>47</v>
      </c>
      <c r="B50" s="1" t="s">
        <v>48</v>
      </c>
      <c r="C50" s="1" t="s">
        <v>49</v>
      </c>
      <c r="D50" s="1" t="s">
        <v>20</v>
      </c>
      <c r="E50" s="1" t="s">
        <v>21</v>
      </c>
      <c r="F50" s="1" t="n">
        <v>15</v>
      </c>
      <c r="G50" s="1" t="s">
        <v>27</v>
      </c>
      <c r="H50" s="1" t="n">
        <v>0.1</v>
      </c>
      <c r="I50" s="1" t="n">
        <v>0.223498615857159</v>
      </c>
      <c r="J50" s="1" t="n">
        <v>0.268911893019475</v>
      </c>
      <c r="K50" s="1" t="n">
        <f aca="false">J50-I50</f>
        <v>0.045413277162316</v>
      </c>
      <c r="L50" s="1" t="n">
        <v>0.746400854814908</v>
      </c>
    </row>
    <row r="51" customFormat="false" ht="15" hidden="false" customHeight="false" outlineLevel="0" collapsed="false">
      <c r="A51" s="1" t="s">
        <v>51</v>
      </c>
      <c r="B51" s="1" t="s">
        <v>52</v>
      </c>
      <c r="C51" s="1" t="s">
        <v>53</v>
      </c>
      <c r="D51" s="1" t="s">
        <v>20</v>
      </c>
      <c r="E51" s="1" t="s">
        <v>21</v>
      </c>
      <c r="F51" s="1" t="n">
        <v>17</v>
      </c>
      <c r="G51" s="1" t="s">
        <v>22</v>
      </c>
      <c r="H51" s="1" t="n">
        <v>0.1992</v>
      </c>
      <c r="I51" s="1" t="n">
        <v>0.384494554577124</v>
      </c>
      <c r="J51" s="1" t="n">
        <v>0.344655709098794</v>
      </c>
      <c r="K51" s="1" t="n">
        <f aca="false">J51-I51</f>
        <v>-0.0398388454783305</v>
      </c>
      <c r="L51" s="1" t="n">
        <v>0.688805343346949</v>
      </c>
      <c r="N51" s="1" t="n">
        <f aca="false">AVERAGE(K51:K56)</f>
        <v>-0.00500472937292433</v>
      </c>
    </row>
    <row r="52" customFormat="false" ht="15" hidden="false" customHeight="false" outlineLevel="0" collapsed="false">
      <c r="A52" s="1" t="s">
        <v>51</v>
      </c>
      <c r="B52" s="1" t="s">
        <v>52</v>
      </c>
      <c r="C52" s="1" t="s">
        <v>53</v>
      </c>
      <c r="D52" s="1" t="s">
        <v>20</v>
      </c>
      <c r="E52" s="1" t="s">
        <v>21</v>
      </c>
      <c r="F52" s="1" t="n">
        <v>17</v>
      </c>
      <c r="G52" s="1" t="s">
        <v>23</v>
      </c>
      <c r="H52" s="1" t="n">
        <v>0.1863</v>
      </c>
      <c r="I52" s="1" t="n">
        <v>0.359596397118589</v>
      </c>
      <c r="J52" s="1" t="n">
        <v>0.379664589603796</v>
      </c>
      <c r="K52" s="1" t="n">
        <f aca="false">J52-I52</f>
        <v>0.0200681924852068</v>
      </c>
      <c r="L52" s="1" t="n">
        <v>0.688805343346949</v>
      </c>
    </row>
    <row r="53" customFormat="false" ht="15" hidden="false" customHeight="false" outlineLevel="0" collapsed="false">
      <c r="A53" s="1" t="s">
        <v>51</v>
      </c>
      <c r="B53" s="1" t="s">
        <v>52</v>
      </c>
      <c r="C53" s="1" t="s">
        <v>53</v>
      </c>
      <c r="D53" s="1" t="s">
        <v>20</v>
      </c>
      <c r="E53" s="1" t="s">
        <v>21</v>
      </c>
      <c r="F53" s="1" t="n">
        <v>17</v>
      </c>
      <c r="G53" s="1" t="s">
        <v>24</v>
      </c>
      <c r="H53" s="1" t="n">
        <v>0.1626</v>
      </c>
      <c r="I53" s="1" t="n">
        <v>0.313856409452144</v>
      </c>
      <c r="J53" s="1" t="n">
        <v>0.314963174615759</v>
      </c>
      <c r="K53" s="1" t="n">
        <f aca="false">J53-I53</f>
        <v>0.00110676516361508</v>
      </c>
      <c r="L53" s="1" t="n">
        <v>0.688805343346949</v>
      </c>
    </row>
    <row r="54" customFormat="false" ht="15" hidden="false" customHeight="false" outlineLevel="0" collapsed="false">
      <c r="A54" s="1" t="s">
        <v>51</v>
      </c>
      <c r="B54" s="1" t="s">
        <v>52</v>
      </c>
      <c r="C54" s="1" t="s">
        <v>53</v>
      </c>
      <c r="D54" s="1" t="s">
        <v>20</v>
      </c>
      <c r="E54" s="1" t="s">
        <v>21</v>
      </c>
      <c r="F54" s="1" t="n">
        <v>17</v>
      </c>
      <c r="G54" s="1" t="s">
        <v>26</v>
      </c>
      <c r="H54" s="1" t="n">
        <v>0.1605</v>
      </c>
      <c r="I54" s="1" t="n">
        <v>0.309853917258203</v>
      </c>
      <c r="J54" s="1" t="n">
        <v>0.320781507343062</v>
      </c>
      <c r="K54" s="1" t="n">
        <f aca="false">J54-I54</f>
        <v>0.0109275900848591</v>
      </c>
      <c r="L54" s="1" t="n">
        <v>0.688805343346949</v>
      </c>
    </row>
    <row r="55" customFormat="false" ht="15" hidden="false" customHeight="false" outlineLevel="0" collapsed="false">
      <c r="A55" s="1" t="s">
        <v>51</v>
      </c>
      <c r="B55" s="1" t="s">
        <v>52</v>
      </c>
      <c r="C55" s="1" t="s">
        <v>53</v>
      </c>
      <c r="D55" s="1" t="s">
        <v>20</v>
      </c>
      <c r="E55" s="1" t="s">
        <v>21</v>
      </c>
      <c r="F55" s="1" t="n">
        <v>17</v>
      </c>
      <c r="G55" s="1" t="s">
        <v>54</v>
      </c>
      <c r="H55" s="1" t="n">
        <v>0.148</v>
      </c>
      <c r="I55" s="1" t="n">
        <v>0.285777984053772</v>
      </c>
      <c r="J55" s="1" t="n">
        <v>0.268979100272231</v>
      </c>
      <c r="K55" s="1" t="n">
        <f aca="false">J55-I55</f>
        <v>-0.0167988837815408</v>
      </c>
      <c r="L55" s="1" t="n">
        <v>0.688805343346949</v>
      </c>
    </row>
    <row r="56" customFormat="false" ht="15" hidden="false" customHeight="false" outlineLevel="0" collapsed="false">
      <c r="A56" s="1" t="s">
        <v>51</v>
      </c>
      <c r="B56" s="1" t="s">
        <v>52</v>
      </c>
      <c r="C56" s="1" t="s">
        <v>53</v>
      </c>
      <c r="D56" s="1" t="s">
        <v>20</v>
      </c>
      <c r="E56" s="1" t="s">
        <v>21</v>
      </c>
      <c r="F56" s="1" t="n">
        <v>17</v>
      </c>
      <c r="G56" s="1" t="s">
        <v>27</v>
      </c>
      <c r="H56" s="1" t="n">
        <v>0.1435</v>
      </c>
      <c r="I56" s="1" t="n">
        <v>0.276959417817664</v>
      </c>
      <c r="J56" s="1" t="n">
        <v>0.271466223106308</v>
      </c>
      <c r="K56" s="1" t="n">
        <f aca="false">J56-I56</f>
        <v>-0.00549319471135562</v>
      </c>
      <c r="L56" s="1" t="n">
        <v>0.688805343346949</v>
      </c>
    </row>
    <row r="57" customFormat="false" ht="15" hidden="false" customHeight="false" outlineLevel="0" collapsed="false">
      <c r="A57" s="1" t="s">
        <v>55</v>
      </c>
      <c r="B57" s="1" t="s">
        <v>56</v>
      </c>
      <c r="C57" s="1" t="s">
        <v>57</v>
      </c>
      <c r="D57" s="1" t="s">
        <v>20</v>
      </c>
      <c r="E57" s="1" t="s">
        <v>21</v>
      </c>
      <c r="F57" s="1" t="n">
        <v>19</v>
      </c>
      <c r="G57" s="1" t="s">
        <v>23</v>
      </c>
      <c r="H57" s="1" t="n">
        <v>0.2012</v>
      </c>
      <c r="I57" s="1" t="n">
        <v>0.294310311871921</v>
      </c>
      <c r="J57" s="1" t="n">
        <v>0.34205130705217</v>
      </c>
      <c r="K57" s="1" t="n">
        <f aca="false">J57-I57</f>
        <v>0.0477409951802495</v>
      </c>
      <c r="L57" s="1" t="n">
        <v>0.743639794674361</v>
      </c>
      <c r="N57" s="1" t="n">
        <f aca="false">AVERAGE(K57:K62)</f>
        <v>0.0476229620358052</v>
      </c>
    </row>
    <row r="58" customFormat="false" ht="15" hidden="false" customHeight="false" outlineLevel="0" collapsed="false">
      <c r="A58" s="1" t="s">
        <v>55</v>
      </c>
      <c r="B58" s="1" t="s">
        <v>56</v>
      </c>
      <c r="C58" s="1" t="s">
        <v>57</v>
      </c>
      <c r="D58" s="1" t="s">
        <v>20</v>
      </c>
      <c r="E58" s="1" t="s">
        <v>21</v>
      </c>
      <c r="F58" s="1" t="n">
        <v>19</v>
      </c>
      <c r="G58" s="1" t="s">
        <v>22</v>
      </c>
      <c r="H58" s="1" t="n">
        <v>0.1861</v>
      </c>
      <c r="I58" s="1" t="n">
        <v>0.272160624464577</v>
      </c>
      <c r="J58" s="1" t="n">
        <v>0.330672896364486</v>
      </c>
      <c r="K58" s="1" t="n">
        <f aca="false">J58-I58</f>
        <v>0.0585122718999092</v>
      </c>
      <c r="L58" s="1" t="n">
        <v>0.743639794674361</v>
      </c>
    </row>
    <row r="59" customFormat="false" ht="15" hidden="false" customHeight="false" outlineLevel="0" collapsed="false">
      <c r="A59" s="1" t="s">
        <v>55</v>
      </c>
      <c r="B59" s="1" t="s">
        <v>56</v>
      </c>
      <c r="C59" s="1" t="s">
        <v>57</v>
      </c>
      <c r="D59" s="1" t="s">
        <v>20</v>
      </c>
      <c r="E59" s="1" t="s">
        <v>21</v>
      </c>
      <c r="F59" s="1" t="n">
        <v>19</v>
      </c>
      <c r="G59" s="1" t="s">
        <v>26</v>
      </c>
      <c r="H59" s="1" t="n">
        <v>0.1752</v>
      </c>
      <c r="I59" s="1" t="n">
        <v>0.256297046953482</v>
      </c>
      <c r="J59" s="1" t="n">
        <v>0.286400438537845</v>
      </c>
      <c r="K59" s="1" t="n">
        <f aca="false">J59-I59</f>
        <v>0.0301033915843633</v>
      </c>
      <c r="L59" s="1" t="n">
        <v>0.743639794674361</v>
      </c>
    </row>
    <row r="60" customFormat="false" ht="15" hidden="false" customHeight="false" outlineLevel="0" collapsed="false">
      <c r="A60" s="1" t="s">
        <v>55</v>
      </c>
      <c r="B60" s="1" t="s">
        <v>56</v>
      </c>
      <c r="C60" s="1" t="s">
        <v>57</v>
      </c>
      <c r="D60" s="1" t="s">
        <v>20</v>
      </c>
      <c r="E60" s="1" t="s">
        <v>21</v>
      </c>
      <c r="F60" s="1" t="n">
        <v>19</v>
      </c>
      <c r="G60" s="1" t="s">
        <v>25</v>
      </c>
      <c r="H60" s="1" t="n">
        <v>0.1695</v>
      </c>
      <c r="I60" s="1" t="n">
        <v>0.247865448310274</v>
      </c>
      <c r="J60" s="1" t="n">
        <v>0.274908110066665</v>
      </c>
      <c r="K60" s="1" t="n">
        <f aca="false">J60-I60</f>
        <v>0.0270426617563913</v>
      </c>
      <c r="L60" s="1" t="n">
        <v>0.743639794674361</v>
      </c>
    </row>
    <row r="61" customFormat="false" ht="15" hidden="false" customHeight="false" outlineLevel="0" collapsed="false">
      <c r="A61" s="1" t="s">
        <v>55</v>
      </c>
      <c r="B61" s="1" t="s">
        <v>56</v>
      </c>
      <c r="C61" s="1" t="s">
        <v>57</v>
      </c>
      <c r="D61" s="1" t="s">
        <v>20</v>
      </c>
      <c r="E61" s="1" t="s">
        <v>21</v>
      </c>
      <c r="F61" s="1" t="n">
        <v>19</v>
      </c>
      <c r="G61" s="1" t="s">
        <v>24</v>
      </c>
      <c r="H61" s="1" t="n">
        <v>0.168</v>
      </c>
      <c r="I61" s="1" t="n">
        <v>0.245631043933033</v>
      </c>
      <c r="J61" s="1" t="n">
        <v>0.302547121129624</v>
      </c>
      <c r="K61" s="1" t="n">
        <f aca="false">J61-I61</f>
        <v>0.0569160771965904</v>
      </c>
      <c r="L61" s="1" t="n">
        <v>0.743639794674361</v>
      </c>
    </row>
    <row r="62" customFormat="false" ht="15" hidden="false" customHeight="false" outlineLevel="0" collapsed="false">
      <c r="A62" s="1" t="s">
        <v>55</v>
      </c>
      <c r="B62" s="1" t="s">
        <v>56</v>
      </c>
      <c r="C62" s="1" t="s">
        <v>57</v>
      </c>
      <c r="D62" s="1" t="s">
        <v>20</v>
      </c>
      <c r="E62" s="1" t="s">
        <v>21</v>
      </c>
      <c r="F62" s="1" t="n">
        <v>19</v>
      </c>
      <c r="G62" s="1" t="s">
        <v>27</v>
      </c>
      <c r="H62" s="1" t="n">
        <v>0.1</v>
      </c>
      <c r="I62" s="1" t="n">
        <v>0.206335870558096</v>
      </c>
      <c r="J62" s="1" t="n">
        <v>0.271758245155423</v>
      </c>
      <c r="K62" s="1" t="n">
        <f aca="false">J62-I62</f>
        <v>0.0654223745973273</v>
      </c>
      <c r="L62" s="1" t="n">
        <v>0.743639794674361</v>
      </c>
    </row>
    <row r="63" customFormat="false" ht="15" hidden="false" customHeight="false" outlineLevel="0" collapsed="false">
      <c r="A63" s="1" t="s">
        <v>58</v>
      </c>
      <c r="B63" s="1" t="s">
        <v>59</v>
      </c>
      <c r="C63" s="1" t="s">
        <v>60</v>
      </c>
      <c r="D63" s="1" t="s">
        <v>20</v>
      </c>
      <c r="E63" s="1" t="s">
        <v>21</v>
      </c>
      <c r="F63" s="1" t="n">
        <v>21</v>
      </c>
      <c r="G63" s="1" t="s">
        <v>22</v>
      </c>
      <c r="H63" s="1" t="n">
        <v>0.2117</v>
      </c>
      <c r="I63" s="1" t="n">
        <v>0.295978814169151</v>
      </c>
      <c r="J63" s="1" t="n">
        <v>0.349680923090609</v>
      </c>
      <c r="K63" s="1" t="n">
        <f aca="false">J63-I63</f>
        <v>0.0537021089214581</v>
      </c>
      <c r="L63" s="1" t="n">
        <v>0.7131914659308</v>
      </c>
      <c r="N63" s="1" t="n">
        <f aca="false">AVERAGE(K63:K68)</f>
        <v>0.0656684767311388</v>
      </c>
    </row>
    <row r="64" customFormat="false" ht="15" hidden="false" customHeight="false" outlineLevel="0" collapsed="false">
      <c r="A64" s="1" t="s">
        <v>58</v>
      </c>
      <c r="B64" s="1" t="s">
        <v>59</v>
      </c>
      <c r="C64" s="1" t="s">
        <v>60</v>
      </c>
      <c r="D64" s="1" t="s">
        <v>20</v>
      </c>
      <c r="E64" s="1" t="s">
        <v>21</v>
      </c>
      <c r="F64" s="1" t="n">
        <v>21</v>
      </c>
      <c r="G64" s="1" t="s">
        <v>23</v>
      </c>
      <c r="H64" s="1" t="n">
        <v>0.1888</v>
      </c>
      <c r="I64" s="1" t="n">
        <v>0.263867498142457</v>
      </c>
      <c r="J64" s="1" t="n">
        <v>0.339255198357995</v>
      </c>
      <c r="K64" s="1" t="n">
        <f aca="false">J64-I64</f>
        <v>0.0753877002155384</v>
      </c>
      <c r="L64" s="1" t="n">
        <v>0.7131914659308</v>
      </c>
    </row>
    <row r="65" customFormat="false" ht="15" hidden="false" customHeight="false" outlineLevel="0" collapsed="false">
      <c r="A65" s="1" t="s">
        <v>58</v>
      </c>
      <c r="B65" s="1" t="s">
        <v>59</v>
      </c>
      <c r="C65" s="1" t="s">
        <v>60</v>
      </c>
      <c r="D65" s="1" t="s">
        <v>20</v>
      </c>
      <c r="E65" s="1" t="s">
        <v>21</v>
      </c>
      <c r="F65" s="1" t="n">
        <v>21</v>
      </c>
      <c r="G65" s="1" t="s">
        <v>24</v>
      </c>
      <c r="H65" s="1" t="n">
        <v>0.1748</v>
      </c>
      <c r="I65" s="1" t="n">
        <v>0.244298934763402</v>
      </c>
      <c r="J65" s="1" t="n">
        <v>0.285186668560152</v>
      </c>
      <c r="K65" s="1" t="n">
        <f aca="false">J65-I65</f>
        <v>0.0408877337967499</v>
      </c>
      <c r="L65" s="1" t="n">
        <v>0.7131914659308</v>
      </c>
    </row>
    <row r="66" customFormat="false" ht="15" hidden="false" customHeight="false" outlineLevel="0" collapsed="false">
      <c r="A66" s="1" t="s">
        <v>58</v>
      </c>
      <c r="B66" s="1" t="s">
        <v>59</v>
      </c>
      <c r="C66" s="1" t="s">
        <v>60</v>
      </c>
      <c r="D66" s="1" t="s">
        <v>20</v>
      </c>
      <c r="E66" s="1" t="s">
        <v>21</v>
      </c>
      <c r="F66" s="1" t="n">
        <v>21</v>
      </c>
      <c r="G66" s="1" t="s">
        <v>25</v>
      </c>
      <c r="H66" s="1" t="n">
        <v>0.164</v>
      </c>
      <c r="I66" s="1" t="n">
        <v>0.229263701805867</v>
      </c>
      <c r="J66" s="1" t="n">
        <v>0.303041154210659</v>
      </c>
      <c r="K66" s="1" t="n">
        <f aca="false">J66-I66</f>
        <v>0.0737774524047923</v>
      </c>
      <c r="L66" s="1" t="n">
        <v>0.7131914659308</v>
      </c>
    </row>
    <row r="67" customFormat="false" ht="15" hidden="false" customHeight="false" outlineLevel="0" collapsed="false">
      <c r="A67" s="1" t="s">
        <v>58</v>
      </c>
      <c r="B67" s="1" t="s">
        <v>59</v>
      </c>
      <c r="C67" s="1" t="s">
        <v>60</v>
      </c>
      <c r="D67" s="1" t="s">
        <v>20</v>
      </c>
      <c r="E67" s="1" t="s">
        <v>21</v>
      </c>
      <c r="F67" s="1" t="n">
        <v>21</v>
      </c>
      <c r="G67" s="1" t="s">
        <v>26</v>
      </c>
      <c r="H67" s="1" t="n">
        <v>0.1607</v>
      </c>
      <c r="I67" s="1" t="n">
        <v>0.224646441104243</v>
      </c>
      <c r="J67" s="1" t="n">
        <v>0.311425542412137</v>
      </c>
      <c r="K67" s="1" t="n">
        <f aca="false">J67-I67</f>
        <v>0.0867791013078935</v>
      </c>
      <c r="L67" s="1" t="n">
        <v>0.7131914659308</v>
      </c>
    </row>
    <row r="68" customFormat="false" ht="15" hidden="false" customHeight="false" outlineLevel="0" collapsed="false">
      <c r="A68" s="1" t="s">
        <v>58</v>
      </c>
      <c r="B68" s="1" t="s">
        <v>59</v>
      </c>
      <c r="C68" s="1" t="s">
        <v>60</v>
      </c>
      <c r="D68" s="1" t="s">
        <v>20</v>
      </c>
      <c r="E68" s="1" t="s">
        <v>21</v>
      </c>
      <c r="F68" s="1" t="n">
        <v>21</v>
      </c>
      <c r="G68" s="1" t="s">
        <v>27</v>
      </c>
      <c r="H68" s="1" t="n">
        <v>0.1</v>
      </c>
      <c r="I68" s="1" t="n">
        <v>0.177650746080763</v>
      </c>
      <c r="J68" s="1" t="n">
        <v>0.241127509821164</v>
      </c>
      <c r="K68" s="1" t="n">
        <f aca="false">J68-I68</f>
        <v>0.0634767637404007</v>
      </c>
      <c r="L68" s="1" t="n">
        <v>0.7131914659308</v>
      </c>
    </row>
    <row r="69" customFormat="false" ht="15" hidden="false" customHeight="false" outlineLevel="0" collapsed="false">
      <c r="A69" s="1" t="s">
        <v>61</v>
      </c>
      <c r="B69" s="1" t="s">
        <v>62</v>
      </c>
      <c r="C69" s="1" t="s">
        <v>63</v>
      </c>
      <c r="D69" s="1" t="s">
        <v>20</v>
      </c>
      <c r="E69" s="1" t="s">
        <v>21</v>
      </c>
      <c r="F69" s="1" t="n">
        <v>23</v>
      </c>
      <c r="G69" s="1" t="s">
        <v>22</v>
      </c>
      <c r="H69" s="1" t="n">
        <v>0.2036</v>
      </c>
      <c r="I69" s="1" t="n">
        <v>0.286079390219747</v>
      </c>
      <c r="J69" s="1" t="n">
        <v>0.340611829654088</v>
      </c>
      <c r="K69" s="1" t="n">
        <f aca="false">J69-I69</f>
        <v>0.0545324394343413</v>
      </c>
      <c r="L69" s="1" t="n">
        <v>0.767138956921052</v>
      </c>
      <c r="N69" s="1" t="n">
        <f aca="false">AVERAGE(K69:K74)</f>
        <v>0.0548922927256757</v>
      </c>
    </row>
    <row r="70" customFormat="false" ht="15" hidden="false" customHeight="false" outlineLevel="0" collapsed="false">
      <c r="A70" s="1" t="s">
        <v>61</v>
      </c>
      <c r="B70" s="1" t="s">
        <v>62</v>
      </c>
      <c r="C70" s="1" t="s">
        <v>63</v>
      </c>
      <c r="D70" s="1" t="s">
        <v>20</v>
      </c>
      <c r="E70" s="1" t="s">
        <v>21</v>
      </c>
      <c r="F70" s="1" t="n">
        <v>23</v>
      </c>
      <c r="G70" s="1" t="s">
        <v>23</v>
      </c>
      <c r="H70" s="1" t="n">
        <v>0.1983</v>
      </c>
      <c r="I70" s="1" t="n">
        <v>0.27869214023745</v>
      </c>
      <c r="J70" s="1" t="n">
        <v>0.333559480628799</v>
      </c>
      <c r="K70" s="1" t="n">
        <f aca="false">J70-I70</f>
        <v>0.0548673403913485</v>
      </c>
      <c r="L70" s="1" t="n">
        <v>0.767138956921052</v>
      </c>
    </row>
    <row r="71" customFormat="false" ht="15" hidden="false" customHeight="false" outlineLevel="0" collapsed="false">
      <c r="A71" s="1" t="s">
        <v>61</v>
      </c>
      <c r="B71" s="1" t="s">
        <v>62</v>
      </c>
      <c r="C71" s="1" t="s">
        <v>63</v>
      </c>
      <c r="D71" s="1" t="s">
        <v>20</v>
      </c>
      <c r="E71" s="1" t="s">
        <v>21</v>
      </c>
      <c r="F71" s="1" t="n">
        <v>23</v>
      </c>
      <c r="G71" s="1" t="s">
        <v>25</v>
      </c>
      <c r="H71" s="1" t="n">
        <v>0.1668</v>
      </c>
      <c r="I71" s="1" t="n">
        <v>0.234470350962839</v>
      </c>
      <c r="J71" s="1" t="n">
        <v>0.278864342942</v>
      </c>
      <c r="K71" s="1" t="n">
        <f aca="false">J71-I71</f>
        <v>0.044393991979161</v>
      </c>
      <c r="L71" s="1" t="n">
        <v>0.767138956921052</v>
      </c>
    </row>
    <row r="72" customFormat="false" ht="15" hidden="false" customHeight="false" outlineLevel="0" collapsed="false">
      <c r="A72" s="1" t="s">
        <v>61</v>
      </c>
      <c r="B72" s="1" t="s">
        <v>62</v>
      </c>
      <c r="C72" s="1" t="s">
        <v>63</v>
      </c>
      <c r="D72" s="1" t="s">
        <v>20</v>
      </c>
      <c r="E72" s="1" t="s">
        <v>21</v>
      </c>
      <c r="F72" s="1" t="n">
        <v>23</v>
      </c>
      <c r="G72" s="1" t="s">
        <v>24</v>
      </c>
      <c r="H72" s="1" t="n">
        <v>0.1662</v>
      </c>
      <c r="I72" s="1" t="n">
        <v>0.233559688220495</v>
      </c>
      <c r="J72" s="1" t="n">
        <v>0.269390624633081</v>
      </c>
      <c r="K72" s="1" t="n">
        <f aca="false">J72-I72</f>
        <v>0.0358309364125859</v>
      </c>
      <c r="L72" s="1" t="n">
        <v>0.767138956921052</v>
      </c>
    </row>
    <row r="73" customFormat="false" ht="15" hidden="false" customHeight="false" outlineLevel="0" collapsed="false">
      <c r="A73" s="1" t="s">
        <v>61</v>
      </c>
      <c r="B73" s="1" t="s">
        <v>62</v>
      </c>
      <c r="C73" s="1" t="s">
        <v>63</v>
      </c>
      <c r="D73" s="1" t="s">
        <v>20</v>
      </c>
      <c r="E73" s="1" t="s">
        <v>21</v>
      </c>
      <c r="F73" s="1" t="n">
        <v>23</v>
      </c>
      <c r="G73" s="1" t="s">
        <v>26</v>
      </c>
      <c r="H73" s="1" t="n">
        <v>0.1651</v>
      </c>
      <c r="I73" s="1" t="n">
        <v>0.231954726794443</v>
      </c>
      <c r="J73" s="1" t="n">
        <v>0.30128185828239</v>
      </c>
      <c r="K73" s="1" t="n">
        <f aca="false">J73-I73</f>
        <v>0.0693271314879462</v>
      </c>
      <c r="L73" s="1" t="n">
        <v>0.767138956921052</v>
      </c>
    </row>
    <row r="74" customFormat="false" ht="15" hidden="false" customHeight="false" outlineLevel="0" collapsed="false">
      <c r="A74" s="1" t="s">
        <v>61</v>
      </c>
      <c r="B74" s="1" t="s">
        <v>62</v>
      </c>
      <c r="C74" s="1" t="s">
        <v>63</v>
      </c>
      <c r="D74" s="1" t="s">
        <v>20</v>
      </c>
      <c r="E74" s="1" t="s">
        <v>21</v>
      </c>
      <c r="F74" s="1" t="n">
        <v>23</v>
      </c>
      <c r="G74" s="1" t="s">
        <v>27</v>
      </c>
      <c r="H74" s="1" t="n">
        <v>0.1</v>
      </c>
      <c r="I74" s="1" t="n">
        <v>0.161046519867478</v>
      </c>
      <c r="J74" s="1" t="n">
        <v>0.231448436516149</v>
      </c>
      <c r="K74" s="1" t="n">
        <f aca="false">J74-I74</f>
        <v>0.0704019166486714</v>
      </c>
      <c r="L74" s="1" t="n">
        <v>0.767138956921052</v>
      </c>
    </row>
    <row r="75" customFormat="false" ht="15" hidden="false" customHeight="false" outlineLevel="0" collapsed="false">
      <c r="A75" s="1" t="s">
        <v>64</v>
      </c>
      <c r="B75" s="1" t="s">
        <v>65</v>
      </c>
      <c r="C75" s="1" t="s">
        <v>66</v>
      </c>
      <c r="D75" s="1" t="s">
        <v>20</v>
      </c>
      <c r="E75" s="1" t="s">
        <v>21</v>
      </c>
      <c r="F75" s="1" t="n">
        <v>25</v>
      </c>
      <c r="G75" s="1" t="s">
        <v>23</v>
      </c>
      <c r="H75" s="1" t="n">
        <v>0.2075</v>
      </c>
      <c r="I75" s="1" t="n">
        <v>0.272377453224021</v>
      </c>
      <c r="J75" s="1" t="n">
        <v>0.390401927275749</v>
      </c>
      <c r="K75" s="1" t="n">
        <f aca="false">J75-I75</f>
        <v>0.118024474051728</v>
      </c>
      <c r="L75" s="1" t="n">
        <v>0.725689268577004</v>
      </c>
      <c r="N75" s="1" t="n">
        <f aca="false">AVERAGE(K75:K80)</f>
        <v>0.107232743081226</v>
      </c>
    </row>
    <row r="76" customFormat="false" ht="15" hidden="false" customHeight="false" outlineLevel="0" collapsed="false">
      <c r="A76" s="1" t="s">
        <v>64</v>
      </c>
      <c r="B76" s="1" t="s">
        <v>65</v>
      </c>
      <c r="C76" s="1" t="s">
        <v>66</v>
      </c>
      <c r="D76" s="1" t="s">
        <v>20</v>
      </c>
      <c r="E76" s="1" t="s">
        <v>21</v>
      </c>
      <c r="F76" s="1" t="n">
        <v>25</v>
      </c>
      <c r="G76" s="1" t="s">
        <v>22</v>
      </c>
      <c r="H76" s="1" t="n">
        <v>0.2043</v>
      </c>
      <c r="I76" s="1" t="n">
        <v>0.268226095113245</v>
      </c>
      <c r="J76" s="1" t="n">
        <v>0.338116037617081</v>
      </c>
      <c r="K76" s="1" t="n">
        <f aca="false">J76-I76</f>
        <v>0.0698899425038367</v>
      </c>
      <c r="L76" s="1" t="n">
        <v>0.725689268577004</v>
      </c>
    </row>
    <row r="77" customFormat="false" ht="15" hidden="false" customHeight="false" outlineLevel="0" collapsed="false">
      <c r="A77" s="1" t="s">
        <v>64</v>
      </c>
      <c r="B77" s="1" t="s">
        <v>65</v>
      </c>
      <c r="C77" s="1" t="s">
        <v>66</v>
      </c>
      <c r="D77" s="1" t="s">
        <v>20</v>
      </c>
      <c r="E77" s="1" t="s">
        <v>21</v>
      </c>
      <c r="F77" s="1" t="n">
        <v>25</v>
      </c>
      <c r="G77" s="1" t="s">
        <v>25</v>
      </c>
      <c r="H77" s="1" t="n">
        <v>0.1701</v>
      </c>
      <c r="I77" s="1" t="n">
        <v>0.223257727226623</v>
      </c>
      <c r="J77" s="1" t="n">
        <v>0.318529138585401</v>
      </c>
      <c r="K77" s="1" t="n">
        <f aca="false">J77-I77</f>
        <v>0.0952714113587784</v>
      </c>
      <c r="L77" s="1" t="n">
        <v>0.725689268577004</v>
      </c>
    </row>
    <row r="78" customFormat="false" ht="15" hidden="false" customHeight="false" outlineLevel="0" collapsed="false">
      <c r="A78" s="1" t="s">
        <v>64</v>
      </c>
      <c r="B78" s="1" t="s">
        <v>65</v>
      </c>
      <c r="C78" s="1" t="s">
        <v>66</v>
      </c>
      <c r="D78" s="1" t="s">
        <v>20</v>
      </c>
      <c r="E78" s="1" t="s">
        <v>21</v>
      </c>
      <c r="F78" s="1" t="n">
        <v>25</v>
      </c>
      <c r="G78" s="1" t="s">
        <v>24</v>
      </c>
      <c r="H78" s="1" t="n">
        <v>0.1657</v>
      </c>
      <c r="I78" s="1" t="n">
        <v>0.217531283128739</v>
      </c>
      <c r="J78" s="1" t="n">
        <v>0.330967558969083</v>
      </c>
      <c r="K78" s="1" t="n">
        <f aca="false">J78-I78</f>
        <v>0.113436275840345</v>
      </c>
      <c r="L78" s="1" t="n">
        <v>0.725689268577004</v>
      </c>
    </row>
    <row r="79" customFormat="false" ht="15" hidden="false" customHeight="false" outlineLevel="0" collapsed="false">
      <c r="A79" s="1" t="s">
        <v>64</v>
      </c>
      <c r="B79" s="1" t="s">
        <v>65</v>
      </c>
      <c r="C79" s="1" t="s">
        <v>66</v>
      </c>
      <c r="D79" s="1" t="s">
        <v>20</v>
      </c>
      <c r="E79" s="1" t="s">
        <v>21</v>
      </c>
      <c r="F79" s="1" t="n">
        <v>25</v>
      </c>
      <c r="G79" s="1" t="s">
        <v>54</v>
      </c>
      <c r="H79" s="1" t="n">
        <v>0.1524</v>
      </c>
      <c r="I79" s="1" t="n">
        <v>0.200022440650466</v>
      </c>
      <c r="J79" s="1" t="n">
        <v>0.306814184451044</v>
      </c>
      <c r="K79" s="1" t="n">
        <f aca="false">J79-I79</f>
        <v>0.106791743800579</v>
      </c>
      <c r="L79" s="1" t="n">
        <v>0.725689268577004</v>
      </c>
    </row>
    <row r="80" customFormat="false" ht="15" hidden="false" customHeight="false" outlineLevel="0" collapsed="false">
      <c r="A80" s="1" t="s">
        <v>64</v>
      </c>
      <c r="B80" s="1" t="s">
        <v>65</v>
      </c>
      <c r="C80" s="1" t="s">
        <v>66</v>
      </c>
      <c r="D80" s="1" t="s">
        <v>20</v>
      </c>
      <c r="E80" s="1" t="s">
        <v>21</v>
      </c>
      <c r="F80" s="1" t="n">
        <v>25</v>
      </c>
      <c r="G80" s="1" t="s">
        <v>27</v>
      </c>
      <c r="H80" s="1" t="n">
        <v>0.1</v>
      </c>
      <c r="I80" s="1" t="n">
        <v>0.162086700909666</v>
      </c>
      <c r="J80" s="1" t="n">
        <v>0.302069311841752</v>
      </c>
      <c r="K80" s="1" t="n">
        <f aca="false">J80-I80</f>
        <v>0.139982610932087</v>
      </c>
      <c r="L80" s="1" t="n">
        <v>0.725689268577004</v>
      </c>
    </row>
    <row r="81" customFormat="false" ht="15" hidden="false" customHeight="false" outlineLevel="0" collapsed="false">
      <c r="A81" s="1" t="s">
        <v>67</v>
      </c>
      <c r="B81" s="1" t="s">
        <v>68</v>
      </c>
      <c r="C81" s="1" t="s">
        <v>69</v>
      </c>
      <c r="D81" s="1" t="s">
        <v>20</v>
      </c>
      <c r="E81" s="1" t="s">
        <v>21</v>
      </c>
      <c r="F81" s="1" t="n">
        <v>27</v>
      </c>
      <c r="G81" s="1" t="s">
        <v>23</v>
      </c>
      <c r="H81" s="1" t="n">
        <v>0.2043</v>
      </c>
      <c r="I81" s="1" t="n">
        <v>0.364353990884434</v>
      </c>
      <c r="J81" s="1" t="n">
        <v>0.383231886064607</v>
      </c>
      <c r="K81" s="1" t="n">
        <f aca="false">J81-I81</f>
        <v>0.0188778951801736</v>
      </c>
      <c r="L81" s="1" t="n">
        <v>0.68375138396333</v>
      </c>
      <c r="N81" s="1" t="n">
        <f aca="false">AVERAGE(K81:K86)</f>
        <v>-0.0129069404370417</v>
      </c>
    </row>
    <row r="82" customFormat="false" ht="15" hidden="false" customHeight="false" outlineLevel="0" collapsed="false">
      <c r="A82" s="1" t="s">
        <v>67</v>
      </c>
      <c r="B82" s="1" t="s">
        <v>68</v>
      </c>
      <c r="C82" s="1" t="s">
        <v>69</v>
      </c>
      <c r="D82" s="1" t="s">
        <v>20</v>
      </c>
      <c r="E82" s="1" t="s">
        <v>21</v>
      </c>
      <c r="F82" s="1" t="n">
        <v>27</v>
      </c>
      <c r="G82" s="1" t="s">
        <v>22</v>
      </c>
      <c r="H82" s="1" t="n">
        <v>0.1877</v>
      </c>
      <c r="I82" s="1" t="n">
        <v>0.334772046338131</v>
      </c>
      <c r="J82" s="1" t="n">
        <v>0.334356631205902</v>
      </c>
      <c r="K82" s="1" t="n">
        <f aca="false">J82-I82</f>
        <v>-0.000415415132228703</v>
      </c>
      <c r="L82" s="1" t="n">
        <v>0.68375138396333</v>
      </c>
    </row>
    <row r="83" customFormat="false" ht="15" hidden="false" customHeight="false" outlineLevel="0" collapsed="false">
      <c r="A83" s="1" t="s">
        <v>67</v>
      </c>
      <c r="B83" s="1" t="s">
        <v>68</v>
      </c>
      <c r="C83" s="1" t="s">
        <v>69</v>
      </c>
      <c r="D83" s="1" t="s">
        <v>20</v>
      </c>
      <c r="E83" s="1" t="s">
        <v>21</v>
      </c>
      <c r="F83" s="1" t="n">
        <v>27</v>
      </c>
      <c r="G83" s="1" t="s">
        <v>24</v>
      </c>
      <c r="H83" s="1" t="n">
        <v>0.1795</v>
      </c>
      <c r="I83" s="1" t="n">
        <v>0.320101863792625</v>
      </c>
      <c r="J83" s="1" t="n">
        <v>0.289515712479707</v>
      </c>
      <c r="K83" s="1" t="n">
        <f aca="false">J83-I83</f>
        <v>-0.030586151312918</v>
      </c>
      <c r="L83" s="1" t="n">
        <v>0.68375138396333</v>
      </c>
    </row>
    <row r="84" customFormat="false" ht="15" hidden="false" customHeight="false" outlineLevel="0" collapsed="false">
      <c r="A84" s="1" t="s">
        <v>67</v>
      </c>
      <c r="B84" s="1" t="s">
        <v>68</v>
      </c>
      <c r="C84" s="1" t="s">
        <v>69</v>
      </c>
      <c r="D84" s="1" t="s">
        <v>20</v>
      </c>
      <c r="E84" s="1" t="s">
        <v>21</v>
      </c>
      <c r="F84" s="1" t="n">
        <v>27</v>
      </c>
      <c r="G84" s="1" t="s">
        <v>50</v>
      </c>
      <c r="H84" s="1" t="n">
        <v>0.1667</v>
      </c>
      <c r="I84" s="1" t="n">
        <v>0.297298493413004</v>
      </c>
      <c r="J84" s="1" t="n">
        <v>0.257915118382205</v>
      </c>
      <c r="K84" s="1" t="n">
        <f aca="false">J84-I84</f>
        <v>-0.0393833750307988</v>
      </c>
      <c r="L84" s="1" t="n">
        <v>0.68375138396333</v>
      </c>
    </row>
    <row r="85" customFormat="false" ht="15" hidden="false" customHeight="false" outlineLevel="0" collapsed="false">
      <c r="A85" s="1" t="s">
        <v>67</v>
      </c>
      <c r="B85" s="1" t="s">
        <v>68</v>
      </c>
      <c r="C85" s="1" t="s">
        <v>69</v>
      </c>
      <c r="D85" s="1" t="s">
        <v>20</v>
      </c>
      <c r="E85" s="1" t="s">
        <v>21</v>
      </c>
      <c r="F85" s="1" t="n">
        <v>27</v>
      </c>
      <c r="G85" s="1" t="s">
        <v>25</v>
      </c>
      <c r="H85" s="1" t="n">
        <v>0.1618</v>
      </c>
      <c r="I85" s="1" t="n">
        <v>0.288454639420394</v>
      </c>
      <c r="J85" s="1" t="n">
        <v>0.28722857609182</v>
      </c>
      <c r="K85" s="1" t="n">
        <f aca="false">J85-I85</f>
        <v>-0.00122606332857383</v>
      </c>
      <c r="L85" s="1" t="n">
        <v>0.68375138396333</v>
      </c>
    </row>
    <row r="86" customFormat="false" ht="15" hidden="false" customHeight="false" outlineLevel="0" collapsed="false">
      <c r="A86" s="1" t="s">
        <v>67</v>
      </c>
      <c r="B86" s="1" t="s">
        <v>68</v>
      </c>
      <c r="C86" s="1" t="s">
        <v>69</v>
      </c>
      <c r="D86" s="1" t="s">
        <v>20</v>
      </c>
      <c r="E86" s="1" t="s">
        <v>21</v>
      </c>
      <c r="F86" s="1" t="n">
        <v>27</v>
      </c>
      <c r="G86" s="1" t="s">
        <v>27</v>
      </c>
      <c r="H86" s="1" t="n">
        <v>0.1</v>
      </c>
      <c r="I86" s="1" t="n">
        <v>0.262018028934726</v>
      </c>
      <c r="J86" s="1" t="n">
        <v>0.237309495936821</v>
      </c>
      <c r="K86" s="1" t="n">
        <f aca="false">J86-I86</f>
        <v>-0.0247085329979048</v>
      </c>
      <c r="L86" s="1" t="n">
        <v>0.68375138396333</v>
      </c>
    </row>
    <row r="87" customFormat="false" ht="15" hidden="false" customHeight="false" outlineLevel="0" collapsed="false">
      <c r="A87" s="1" t="s">
        <v>70</v>
      </c>
      <c r="B87" s="1" t="s">
        <v>71</v>
      </c>
      <c r="C87" s="1" t="s">
        <v>72</v>
      </c>
      <c r="D87" s="1" t="s">
        <v>20</v>
      </c>
      <c r="E87" s="1" t="s">
        <v>21</v>
      </c>
      <c r="F87" s="1" t="n">
        <v>29</v>
      </c>
      <c r="G87" s="1" t="s">
        <v>23</v>
      </c>
      <c r="H87" s="1" t="n">
        <v>0.2187</v>
      </c>
      <c r="I87" s="1" t="n">
        <v>0.366264929286832</v>
      </c>
      <c r="J87" s="1" t="n">
        <v>0.391802811856402</v>
      </c>
      <c r="K87" s="1" t="n">
        <f aca="false">J87-I87</f>
        <v>0.0255378825695701</v>
      </c>
      <c r="L87" s="1" t="n">
        <v>0.778810655140002</v>
      </c>
      <c r="N87" s="1" t="n">
        <f aca="false">AVERAGE(K87:K92)</f>
        <v>0.0401741736554305</v>
      </c>
    </row>
    <row r="88" customFormat="false" ht="15" hidden="false" customHeight="false" outlineLevel="0" collapsed="false">
      <c r="A88" s="1" t="s">
        <v>70</v>
      </c>
      <c r="B88" s="1" t="s">
        <v>71</v>
      </c>
      <c r="C88" s="1" t="s">
        <v>72</v>
      </c>
      <c r="D88" s="1" t="s">
        <v>20</v>
      </c>
      <c r="E88" s="1" t="s">
        <v>21</v>
      </c>
      <c r="F88" s="1" t="n">
        <v>29</v>
      </c>
      <c r="G88" s="1" t="s">
        <v>22</v>
      </c>
      <c r="H88" s="1" t="n">
        <v>0.1879</v>
      </c>
      <c r="I88" s="1" t="n">
        <v>0.314810176401702</v>
      </c>
      <c r="J88" s="1" t="n">
        <v>0.340566288993548</v>
      </c>
      <c r="K88" s="1" t="n">
        <f aca="false">J88-I88</f>
        <v>0.0257561125918453</v>
      </c>
      <c r="L88" s="1" t="n">
        <v>0.778810655140002</v>
      </c>
    </row>
    <row r="89" customFormat="false" ht="15" hidden="false" customHeight="false" outlineLevel="0" collapsed="false">
      <c r="A89" s="1" t="s">
        <v>70</v>
      </c>
      <c r="B89" s="1" t="s">
        <v>71</v>
      </c>
      <c r="C89" s="1" t="s">
        <v>72</v>
      </c>
      <c r="D89" s="1" t="s">
        <v>20</v>
      </c>
      <c r="E89" s="1" t="s">
        <v>21</v>
      </c>
      <c r="F89" s="1" t="n">
        <v>29</v>
      </c>
      <c r="G89" s="1" t="s">
        <v>26</v>
      </c>
      <c r="H89" s="1" t="n">
        <v>0.1774</v>
      </c>
      <c r="I89" s="1" t="n">
        <v>0.29711748282609</v>
      </c>
      <c r="J89" s="1" t="n">
        <v>0.332765996866212</v>
      </c>
      <c r="K89" s="1" t="n">
        <f aca="false">J89-I89</f>
        <v>0.0356485140401223</v>
      </c>
      <c r="L89" s="1" t="n">
        <v>0.778810655140002</v>
      </c>
    </row>
    <row r="90" customFormat="false" ht="15" hidden="false" customHeight="false" outlineLevel="0" collapsed="false">
      <c r="A90" s="1" t="s">
        <v>70</v>
      </c>
      <c r="B90" s="1" t="s">
        <v>71</v>
      </c>
      <c r="C90" s="1" t="s">
        <v>72</v>
      </c>
      <c r="D90" s="1" t="s">
        <v>20</v>
      </c>
      <c r="E90" s="1" t="s">
        <v>21</v>
      </c>
      <c r="F90" s="1" t="n">
        <v>29</v>
      </c>
      <c r="G90" s="1" t="s">
        <v>24</v>
      </c>
      <c r="H90" s="1" t="n">
        <v>0.1668</v>
      </c>
      <c r="I90" s="1" t="n">
        <v>0.279391134255967</v>
      </c>
      <c r="J90" s="1" t="n">
        <v>0.349045749163908</v>
      </c>
      <c r="K90" s="1" t="n">
        <f aca="false">J90-I90</f>
        <v>0.0696546149079413</v>
      </c>
      <c r="L90" s="1" t="n">
        <v>0.778810655140002</v>
      </c>
    </row>
    <row r="91" customFormat="false" ht="15" hidden="false" customHeight="false" outlineLevel="0" collapsed="false">
      <c r="A91" s="1" t="s">
        <v>70</v>
      </c>
      <c r="B91" s="1" t="s">
        <v>71</v>
      </c>
      <c r="C91" s="1" t="s">
        <v>72</v>
      </c>
      <c r="D91" s="1" t="s">
        <v>20</v>
      </c>
      <c r="E91" s="1" t="s">
        <v>21</v>
      </c>
      <c r="F91" s="1" t="n">
        <v>29</v>
      </c>
      <c r="G91" s="1" t="s">
        <v>54</v>
      </c>
      <c r="H91" s="1" t="n">
        <v>0.1492</v>
      </c>
      <c r="I91" s="1" t="n">
        <v>0.249905789920009</v>
      </c>
      <c r="J91" s="1" t="n">
        <v>0.288452040199585</v>
      </c>
      <c r="K91" s="1" t="n">
        <f aca="false">J91-I91</f>
        <v>0.0385462502795759</v>
      </c>
      <c r="L91" s="1" t="n">
        <v>0.778810655140002</v>
      </c>
    </row>
    <row r="92" customFormat="false" ht="15" hidden="false" customHeight="false" outlineLevel="0" collapsed="false">
      <c r="A92" s="1" t="s">
        <v>70</v>
      </c>
      <c r="B92" s="1" t="s">
        <v>71</v>
      </c>
      <c r="C92" s="1" t="s">
        <v>72</v>
      </c>
      <c r="D92" s="1" t="s">
        <v>20</v>
      </c>
      <c r="E92" s="1" t="s">
        <v>21</v>
      </c>
      <c r="F92" s="1" t="n">
        <v>29</v>
      </c>
      <c r="G92" s="1" t="s">
        <v>27</v>
      </c>
      <c r="H92" s="1" t="n">
        <v>0.1</v>
      </c>
      <c r="I92" s="1" t="n">
        <v>0.220120066705344</v>
      </c>
      <c r="J92" s="1" t="n">
        <v>0.266021734248872</v>
      </c>
      <c r="K92" s="1" t="n">
        <f aca="false">J92-I92</f>
        <v>0.0459016675435279</v>
      </c>
      <c r="L92" s="1" t="n">
        <v>0.778810655140002</v>
      </c>
    </row>
    <row r="93" customFormat="false" ht="15" hidden="false" customHeight="false" outlineLevel="0" collapsed="false">
      <c r="A93" s="1" t="s">
        <v>73</v>
      </c>
      <c r="B93" s="1" t="s">
        <v>74</v>
      </c>
      <c r="C93" s="1" t="s">
        <v>75</v>
      </c>
      <c r="D93" s="1" t="s">
        <v>20</v>
      </c>
      <c r="E93" s="1" t="s">
        <v>21</v>
      </c>
      <c r="F93" s="1" t="n">
        <v>31</v>
      </c>
      <c r="G93" s="1" t="s">
        <v>23</v>
      </c>
      <c r="H93" s="1" t="n">
        <v>0.1972</v>
      </c>
      <c r="I93" s="1" t="n">
        <v>0.31167905107278</v>
      </c>
      <c r="J93" s="1" t="n">
        <v>0.333831915153724</v>
      </c>
      <c r="K93" s="1" t="n">
        <f aca="false">J93-I93</f>
        <v>0.0221528640809435</v>
      </c>
      <c r="L93" s="1" t="n">
        <v>0.720712807955728</v>
      </c>
      <c r="N93" s="1" t="n">
        <f aca="false">AVERAGE(K93:K98)</f>
        <v>0.0260855759582449</v>
      </c>
    </row>
    <row r="94" customFormat="false" ht="15" hidden="false" customHeight="false" outlineLevel="0" collapsed="false">
      <c r="A94" s="1" t="s">
        <v>73</v>
      </c>
      <c r="B94" s="1" t="s">
        <v>74</v>
      </c>
      <c r="C94" s="1" t="s">
        <v>75</v>
      </c>
      <c r="D94" s="1" t="s">
        <v>20</v>
      </c>
      <c r="E94" s="1" t="s">
        <v>21</v>
      </c>
      <c r="F94" s="1" t="n">
        <v>31</v>
      </c>
      <c r="G94" s="1" t="s">
        <v>24</v>
      </c>
      <c r="H94" s="1" t="n">
        <v>0.1912</v>
      </c>
      <c r="I94" s="1" t="n">
        <v>0.302182526664547</v>
      </c>
      <c r="J94" s="1" t="n">
        <v>0.308001765369682</v>
      </c>
      <c r="K94" s="1" t="n">
        <f aca="false">J94-I94</f>
        <v>0.00581923870513512</v>
      </c>
      <c r="L94" s="1" t="n">
        <v>0.720712807955728</v>
      </c>
    </row>
    <row r="95" customFormat="false" ht="15" hidden="false" customHeight="false" outlineLevel="0" collapsed="false">
      <c r="A95" s="1" t="s">
        <v>73</v>
      </c>
      <c r="B95" s="1" t="s">
        <v>74</v>
      </c>
      <c r="C95" s="1" t="s">
        <v>75</v>
      </c>
      <c r="D95" s="1" t="s">
        <v>20</v>
      </c>
      <c r="E95" s="1" t="s">
        <v>21</v>
      </c>
      <c r="F95" s="1" t="n">
        <v>31</v>
      </c>
      <c r="G95" s="1" t="s">
        <v>22</v>
      </c>
      <c r="H95" s="1" t="n">
        <v>0.1791</v>
      </c>
      <c r="I95" s="1" t="n">
        <v>0.283028898128376</v>
      </c>
      <c r="J95" s="1" t="n">
        <v>0.339847439415355</v>
      </c>
      <c r="K95" s="1" t="n">
        <f aca="false">J95-I95</f>
        <v>0.0568185412869784</v>
      </c>
      <c r="L95" s="1" t="n">
        <v>0.720712807955728</v>
      </c>
    </row>
    <row r="96" customFormat="false" ht="15" hidden="false" customHeight="false" outlineLevel="0" collapsed="false">
      <c r="A96" s="1" t="s">
        <v>73</v>
      </c>
      <c r="B96" s="1" t="s">
        <v>74</v>
      </c>
      <c r="C96" s="1" t="s">
        <v>75</v>
      </c>
      <c r="D96" s="1" t="s">
        <v>20</v>
      </c>
      <c r="E96" s="1" t="s">
        <v>21</v>
      </c>
      <c r="F96" s="1" t="n">
        <v>31</v>
      </c>
      <c r="G96" s="1" t="s">
        <v>26</v>
      </c>
      <c r="H96" s="1" t="n">
        <v>0.1684</v>
      </c>
      <c r="I96" s="1" t="n">
        <v>0.266088152383736</v>
      </c>
      <c r="J96" s="1" t="n">
        <v>0.289128374632748</v>
      </c>
      <c r="K96" s="1" t="n">
        <f aca="false">J96-I96</f>
        <v>0.0230402222490117</v>
      </c>
      <c r="L96" s="1" t="n">
        <v>0.720712807955728</v>
      </c>
    </row>
    <row r="97" customFormat="false" ht="15" hidden="false" customHeight="false" outlineLevel="0" collapsed="false">
      <c r="A97" s="1" t="s">
        <v>73</v>
      </c>
      <c r="B97" s="1" t="s">
        <v>74</v>
      </c>
      <c r="C97" s="1" t="s">
        <v>75</v>
      </c>
      <c r="D97" s="1" t="s">
        <v>20</v>
      </c>
      <c r="E97" s="1" t="s">
        <v>21</v>
      </c>
      <c r="F97" s="1" t="n">
        <v>31</v>
      </c>
      <c r="G97" s="1" t="s">
        <v>31</v>
      </c>
      <c r="H97" s="1" t="n">
        <v>0.1642</v>
      </c>
      <c r="I97" s="1" t="n">
        <v>0.259467160459441</v>
      </c>
      <c r="J97" s="1" t="n">
        <v>0.234209262294778</v>
      </c>
      <c r="K97" s="1" t="n">
        <f aca="false">J97-I97</f>
        <v>-0.0252578981646626</v>
      </c>
      <c r="L97" s="1" t="n">
        <v>0.720712807955728</v>
      </c>
    </row>
    <row r="98" customFormat="false" ht="15" hidden="false" customHeight="false" outlineLevel="0" collapsed="false">
      <c r="A98" s="1" t="s">
        <v>73</v>
      </c>
      <c r="B98" s="1" t="s">
        <v>74</v>
      </c>
      <c r="C98" s="1" t="s">
        <v>75</v>
      </c>
      <c r="D98" s="1" t="s">
        <v>20</v>
      </c>
      <c r="E98" s="1" t="s">
        <v>21</v>
      </c>
      <c r="F98" s="1" t="n">
        <v>31</v>
      </c>
      <c r="G98" s="1" t="s">
        <v>27</v>
      </c>
      <c r="H98" s="1" t="n">
        <v>0.1</v>
      </c>
      <c r="I98" s="1" t="n">
        <v>0.199814189574851</v>
      </c>
      <c r="J98" s="1" t="n">
        <v>0.273754677166915</v>
      </c>
      <c r="K98" s="1" t="n">
        <f aca="false">J98-I98</f>
        <v>0.0739404875920632</v>
      </c>
      <c r="L98" s="1" t="n">
        <v>0.720712807955728</v>
      </c>
    </row>
    <row r="99" customFormat="false" ht="15" hidden="false" customHeight="false" outlineLevel="0" collapsed="false">
      <c r="A99" s="1" t="s">
        <v>76</v>
      </c>
      <c r="B99" s="1" t="s">
        <v>77</v>
      </c>
      <c r="C99" s="1" t="s">
        <v>78</v>
      </c>
      <c r="D99" s="1" t="s">
        <v>20</v>
      </c>
      <c r="E99" s="1" t="s">
        <v>21</v>
      </c>
      <c r="F99" s="1" t="n">
        <v>33</v>
      </c>
      <c r="G99" s="1" t="s">
        <v>22</v>
      </c>
      <c r="H99" s="1" t="n">
        <v>0.2127</v>
      </c>
      <c r="I99" s="1" t="n">
        <v>0.299197346901591</v>
      </c>
      <c r="J99" s="1" t="n">
        <v>0.328979499663642</v>
      </c>
      <c r="K99" s="1" t="n">
        <f aca="false">J99-I99</f>
        <v>0.0297821527620505</v>
      </c>
      <c r="L99" s="1" t="n">
        <v>0.772536760552901</v>
      </c>
      <c r="N99" s="1" t="n">
        <f aca="false">AVERAGE(K99:K104)</f>
        <v>0.0305904691400738</v>
      </c>
    </row>
    <row r="100" customFormat="false" ht="15" hidden="false" customHeight="false" outlineLevel="0" collapsed="false">
      <c r="A100" s="1" t="s">
        <v>76</v>
      </c>
      <c r="B100" s="1" t="s">
        <v>77</v>
      </c>
      <c r="C100" s="1" t="s">
        <v>78</v>
      </c>
      <c r="D100" s="1" t="s">
        <v>20</v>
      </c>
      <c r="E100" s="1" t="s">
        <v>21</v>
      </c>
      <c r="F100" s="1" t="n">
        <v>33</v>
      </c>
      <c r="G100" s="1" t="s">
        <v>23</v>
      </c>
      <c r="H100" s="1" t="n">
        <v>0.1933</v>
      </c>
      <c r="I100" s="1" t="n">
        <v>0.27194391217628</v>
      </c>
      <c r="J100" s="1" t="n">
        <v>0.332616232539273</v>
      </c>
      <c r="K100" s="1" t="n">
        <f aca="false">J100-I100</f>
        <v>0.0606723203629934</v>
      </c>
      <c r="L100" s="1" t="n">
        <v>0.772536760552901</v>
      </c>
    </row>
    <row r="101" customFormat="false" ht="15" hidden="false" customHeight="false" outlineLevel="0" collapsed="false">
      <c r="A101" s="1" t="s">
        <v>76</v>
      </c>
      <c r="B101" s="1" t="s">
        <v>77</v>
      </c>
      <c r="C101" s="1" t="s">
        <v>78</v>
      </c>
      <c r="D101" s="1" t="s">
        <v>20</v>
      </c>
      <c r="E101" s="1" t="s">
        <v>21</v>
      </c>
      <c r="F101" s="1" t="n">
        <v>33</v>
      </c>
      <c r="G101" s="1" t="s">
        <v>31</v>
      </c>
      <c r="H101" s="1" t="n">
        <v>0.1702</v>
      </c>
      <c r="I101" s="1" t="n">
        <v>0.239455890117197</v>
      </c>
      <c r="J101" s="1" t="n">
        <v>0.218116757588407</v>
      </c>
      <c r="K101" s="1" t="n">
        <f aca="false">J101-I101</f>
        <v>-0.0213391325287906</v>
      </c>
      <c r="L101" s="1" t="n">
        <v>0.772536760552901</v>
      </c>
    </row>
    <row r="102" customFormat="false" ht="15" hidden="false" customHeight="false" outlineLevel="0" collapsed="false">
      <c r="A102" s="1" t="s">
        <v>76</v>
      </c>
      <c r="B102" s="1" t="s">
        <v>77</v>
      </c>
      <c r="C102" s="1" t="s">
        <v>78</v>
      </c>
      <c r="D102" s="1" t="s">
        <v>20</v>
      </c>
      <c r="E102" s="1" t="s">
        <v>21</v>
      </c>
      <c r="F102" s="1" t="n">
        <v>33</v>
      </c>
      <c r="G102" s="1" t="s">
        <v>24</v>
      </c>
      <c r="H102" s="1" t="n">
        <v>0.1649</v>
      </c>
      <c r="I102" s="1" t="n">
        <v>0.23194527175038</v>
      </c>
      <c r="J102" s="1" t="n">
        <v>0.261948170205987</v>
      </c>
      <c r="K102" s="1" t="n">
        <f aca="false">J102-I102</f>
        <v>0.0300028984556073</v>
      </c>
      <c r="L102" s="1" t="n">
        <v>0.772536760552901</v>
      </c>
    </row>
    <row r="103" customFormat="false" ht="15" hidden="false" customHeight="false" outlineLevel="0" collapsed="false">
      <c r="A103" s="1" t="s">
        <v>76</v>
      </c>
      <c r="B103" s="1" t="s">
        <v>77</v>
      </c>
      <c r="C103" s="1" t="s">
        <v>78</v>
      </c>
      <c r="D103" s="1" t="s">
        <v>20</v>
      </c>
      <c r="E103" s="1" t="s">
        <v>21</v>
      </c>
      <c r="F103" s="1" t="n">
        <v>33</v>
      </c>
      <c r="G103" s="1" t="s">
        <v>26</v>
      </c>
      <c r="H103" s="1" t="n">
        <v>0.1588</v>
      </c>
      <c r="I103" s="1" t="n">
        <v>0.22338184822266</v>
      </c>
      <c r="J103" s="1" t="n">
        <v>0.280707088435935</v>
      </c>
      <c r="K103" s="1" t="n">
        <f aca="false">J103-I103</f>
        <v>0.0573252402132751</v>
      </c>
      <c r="L103" s="1" t="n">
        <v>0.772536760552901</v>
      </c>
    </row>
    <row r="104" customFormat="false" ht="15" hidden="false" customHeight="false" outlineLevel="0" collapsed="false">
      <c r="A104" s="1" t="s">
        <v>76</v>
      </c>
      <c r="B104" s="1" t="s">
        <v>77</v>
      </c>
      <c r="C104" s="1" t="s">
        <v>78</v>
      </c>
      <c r="D104" s="1" t="s">
        <v>20</v>
      </c>
      <c r="E104" s="1" t="s">
        <v>21</v>
      </c>
      <c r="F104" s="1" t="n">
        <v>33</v>
      </c>
      <c r="G104" s="1" t="s">
        <v>27</v>
      </c>
      <c r="H104" s="1" t="n">
        <v>0.1</v>
      </c>
      <c r="I104" s="1" t="n">
        <v>0.178195796505512</v>
      </c>
      <c r="J104" s="1" t="n">
        <v>0.20529513208082</v>
      </c>
      <c r="K104" s="1" t="n">
        <f aca="false">J104-I104</f>
        <v>0.0270993355753073</v>
      </c>
      <c r="L104" s="1" t="n">
        <v>0.772536760552901</v>
      </c>
    </row>
    <row r="105" customFormat="false" ht="15" hidden="false" customHeight="false" outlineLevel="0" collapsed="false">
      <c r="A105" s="1" t="s">
        <v>79</v>
      </c>
      <c r="B105" s="1" t="s">
        <v>80</v>
      </c>
      <c r="C105" s="1" t="s">
        <v>81</v>
      </c>
      <c r="D105" s="1" t="s">
        <v>20</v>
      </c>
      <c r="E105" s="1" t="s">
        <v>21</v>
      </c>
      <c r="F105" s="1" t="n">
        <v>35</v>
      </c>
      <c r="G105" s="1" t="s">
        <v>23</v>
      </c>
      <c r="H105" s="1" t="n">
        <v>0.2122</v>
      </c>
      <c r="I105" s="1" t="n">
        <v>0.293033783626321</v>
      </c>
      <c r="J105" s="1" t="n">
        <v>0.368400515184383</v>
      </c>
      <c r="K105" s="1" t="n">
        <f aca="false">J105-I105</f>
        <v>0.0753667315580618</v>
      </c>
      <c r="L105" s="1" t="n">
        <v>0.705400471101386</v>
      </c>
      <c r="N105" s="1" t="n">
        <f aca="false">AVERAGE(K105:K110)</f>
        <v>0.0883243337584364</v>
      </c>
    </row>
    <row r="106" customFormat="false" ht="15" hidden="false" customHeight="false" outlineLevel="0" collapsed="false">
      <c r="A106" s="1" t="s">
        <v>79</v>
      </c>
      <c r="B106" s="1" t="s">
        <v>80</v>
      </c>
      <c r="C106" s="1" t="s">
        <v>81</v>
      </c>
      <c r="D106" s="1" t="s">
        <v>20</v>
      </c>
      <c r="E106" s="1" t="s">
        <v>21</v>
      </c>
      <c r="F106" s="1" t="n">
        <v>35</v>
      </c>
      <c r="G106" s="1" t="s">
        <v>22</v>
      </c>
      <c r="H106" s="1" t="n">
        <v>0.2122</v>
      </c>
      <c r="I106" s="1" t="n">
        <v>0.293057476925591</v>
      </c>
      <c r="J106" s="1" t="n">
        <v>0.369504485579409</v>
      </c>
      <c r="K106" s="1" t="n">
        <f aca="false">J106-I106</f>
        <v>0.0764470086538175</v>
      </c>
      <c r="L106" s="1" t="n">
        <v>0.705400471101386</v>
      </c>
    </row>
    <row r="107" customFormat="false" ht="15" hidden="false" customHeight="false" outlineLevel="0" collapsed="false">
      <c r="A107" s="1" t="s">
        <v>79</v>
      </c>
      <c r="B107" s="1" t="s">
        <v>80</v>
      </c>
      <c r="C107" s="1" t="s">
        <v>81</v>
      </c>
      <c r="D107" s="1" t="s">
        <v>20</v>
      </c>
      <c r="E107" s="1" t="s">
        <v>21</v>
      </c>
      <c r="F107" s="1" t="n">
        <v>35</v>
      </c>
      <c r="G107" s="1" t="s">
        <v>24</v>
      </c>
      <c r="H107" s="1" t="n">
        <v>0.1675</v>
      </c>
      <c r="I107" s="1" t="n">
        <v>0.231339696398999</v>
      </c>
      <c r="J107" s="1" t="n">
        <v>0.317856286636896</v>
      </c>
      <c r="K107" s="1" t="n">
        <f aca="false">J107-I107</f>
        <v>0.0865165902378971</v>
      </c>
      <c r="L107" s="1" t="n">
        <v>0.705400471101386</v>
      </c>
    </row>
    <row r="108" customFormat="false" ht="15" hidden="false" customHeight="false" outlineLevel="0" collapsed="false">
      <c r="A108" s="1" t="s">
        <v>79</v>
      </c>
      <c r="B108" s="1" t="s">
        <v>80</v>
      </c>
      <c r="C108" s="1" t="s">
        <v>81</v>
      </c>
      <c r="D108" s="1" t="s">
        <v>20</v>
      </c>
      <c r="E108" s="1" t="s">
        <v>21</v>
      </c>
      <c r="F108" s="1" t="n">
        <v>35</v>
      </c>
      <c r="G108" s="1" t="s">
        <v>26</v>
      </c>
      <c r="H108" s="1" t="n">
        <v>0.1552</v>
      </c>
      <c r="I108" s="1" t="n">
        <v>0.214313003057329</v>
      </c>
      <c r="J108" s="1" t="n">
        <v>0.291461754461071</v>
      </c>
      <c r="K108" s="1" t="n">
        <f aca="false">J108-I108</f>
        <v>0.0771487514037416</v>
      </c>
      <c r="L108" s="1" t="n">
        <v>0.705400471101386</v>
      </c>
    </row>
    <row r="109" customFormat="false" ht="15" hidden="false" customHeight="false" outlineLevel="0" collapsed="false">
      <c r="A109" s="1" t="s">
        <v>79</v>
      </c>
      <c r="B109" s="1" t="s">
        <v>80</v>
      </c>
      <c r="C109" s="1" t="s">
        <v>81</v>
      </c>
      <c r="D109" s="1" t="s">
        <v>20</v>
      </c>
      <c r="E109" s="1" t="s">
        <v>21</v>
      </c>
      <c r="F109" s="1" t="n">
        <v>35</v>
      </c>
      <c r="G109" s="1" t="s">
        <v>25</v>
      </c>
      <c r="H109" s="1" t="n">
        <v>0.1528</v>
      </c>
      <c r="I109" s="1" t="n">
        <v>0.210915030236643</v>
      </c>
      <c r="J109" s="1" t="n">
        <v>0.30113480239156</v>
      </c>
      <c r="K109" s="1" t="n">
        <f aca="false">J109-I109</f>
        <v>0.0902197721549174</v>
      </c>
      <c r="L109" s="1" t="n">
        <v>0.705400471101386</v>
      </c>
    </row>
    <row r="110" customFormat="false" ht="15" hidden="false" customHeight="false" outlineLevel="0" collapsed="false">
      <c r="A110" s="1" t="s">
        <v>79</v>
      </c>
      <c r="B110" s="1" t="s">
        <v>80</v>
      </c>
      <c r="C110" s="1" t="s">
        <v>81</v>
      </c>
      <c r="D110" s="1" t="s">
        <v>20</v>
      </c>
      <c r="E110" s="1" t="s">
        <v>21</v>
      </c>
      <c r="F110" s="1" t="n">
        <v>35</v>
      </c>
      <c r="G110" s="1" t="s">
        <v>27</v>
      </c>
      <c r="H110" s="1" t="n">
        <v>0.1</v>
      </c>
      <c r="I110" s="1" t="n">
        <v>0.165798669911407</v>
      </c>
      <c r="J110" s="1" t="n">
        <v>0.29004581845359</v>
      </c>
      <c r="K110" s="1" t="n">
        <f aca="false">J110-I110</f>
        <v>0.124247148542183</v>
      </c>
      <c r="L110" s="1" t="n">
        <v>0.705400471101386</v>
      </c>
    </row>
    <row r="111" customFormat="false" ht="15" hidden="false" customHeight="false" outlineLevel="0" collapsed="false">
      <c r="A111" s="1" t="s">
        <v>82</v>
      </c>
      <c r="B111" s="1" t="s">
        <v>83</v>
      </c>
      <c r="C111" s="1" t="s">
        <v>84</v>
      </c>
      <c r="D111" s="1" t="s">
        <v>20</v>
      </c>
      <c r="E111" s="1" t="s">
        <v>21</v>
      </c>
      <c r="F111" s="1" t="n">
        <v>37</v>
      </c>
      <c r="G111" s="1" t="s">
        <v>23</v>
      </c>
      <c r="H111" s="1" t="n">
        <v>0.2055</v>
      </c>
      <c r="I111" s="1" t="n">
        <v>0.358854602517038</v>
      </c>
      <c r="J111" s="1" t="n">
        <v>0.344143538802439</v>
      </c>
      <c r="K111" s="1" t="n">
        <f aca="false">J111-I111</f>
        <v>-0.0147110637145992</v>
      </c>
      <c r="L111" s="1" t="n">
        <v>0.654030504893449</v>
      </c>
      <c r="N111" s="1" t="n">
        <f aca="false">AVERAGE(K111:K116)</f>
        <v>-0.0048030066366881</v>
      </c>
    </row>
    <row r="112" customFormat="false" ht="15" hidden="false" customHeight="false" outlineLevel="0" collapsed="false">
      <c r="A112" s="1" t="s">
        <v>82</v>
      </c>
      <c r="B112" s="1" t="s">
        <v>83</v>
      </c>
      <c r="C112" s="1" t="s">
        <v>84</v>
      </c>
      <c r="D112" s="1" t="s">
        <v>20</v>
      </c>
      <c r="E112" s="1" t="s">
        <v>21</v>
      </c>
      <c r="F112" s="1" t="n">
        <v>37</v>
      </c>
      <c r="G112" s="1" t="s">
        <v>22</v>
      </c>
      <c r="H112" s="1" t="n">
        <v>0.1963</v>
      </c>
      <c r="I112" s="1" t="n">
        <v>0.342761229507392</v>
      </c>
      <c r="J112" s="1" t="n">
        <v>0.326007611566667</v>
      </c>
      <c r="K112" s="1" t="n">
        <f aca="false">J112-I112</f>
        <v>-0.0167536179407249</v>
      </c>
      <c r="L112" s="1" t="n">
        <v>0.654030504893449</v>
      </c>
    </row>
    <row r="113" customFormat="false" ht="15" hidden="false" customHeight="false" outlineLevel="0" collapsed="false">
      <c r="A113" s="1" t="s">
        <v>82</v>
      </c>
      <c r="B113" s="1" t="s">
        <v>83</v>
      </c>
      <c r="C113" s="1" t="s">
        <v>84</v>
      </c>
      <c r="D113" s="1" t="s">
        <v>20</v>
      </c>
      <c r="E113" s="1" t="s">
        <v>21</v>
      </c>
      <c r="F113" s="1" t="n">
        <v>37</v>
      </c>
      <c r="G113" s="1" t="s">
        <v>24</v>
      </c>
      <c r="H113" s="1" t="n">
        <v>0.1763</v>
      </c>
      <c r="I113" s="1" t="n">
        <v>0.307788295915055</v>
      </c>
      <c r="J113" s="1" t="n">
        <v>0.301178167097621</v>
      </c>
      <c r="K113" s="1" t="n">
        <f aca="false">J113-I113</f>
        <v>-0.00661012881743389</v>
      </c>
      <c r="L113" s="1" t="n">
        <v>0.654030504893449</v>
      </c>
    </row>
    <row r="114" customFormat="false" ht="15" hidden="false" customHeight="false" outlineLevel="0" collapsed="false">
      <c r="A114" s="1" t="s">
        <v>82</v>
      </c>
      <c r="B114" s="1" t="s">
        <v>83</v>
      </c>
      <c r="C114" s="1" t="s">
        <v>84</v>
      </c>
      <c r="D114" s="1" t="s">
        <v>20</v>
      </c>
      <c r="E114" s="1" t="s">
        <v>21</v>
      </c>
      <c r="F114" s="1" t="n">
        <v>37</v>
      </c>
      <c r="G114" s="1" t="s">
        <v>50</v>
      </c>
      <c r="H114" s="1" t="n">
        <v>0.163</v>
      </c>
      <c r="I114" s="1" t="n">
        <v>0.284662880223324</v>
      </c>
      <c r="J114" s="1" t="n">
        <v>0.269048905828299</v>
      </c>
      <c r="K114" s="1" t="n">
        <f aca="false">J114-I114</f>
        <v>-0.0156139743950248</v>
      </c>
      <c r="L114" s="1" t="n">
        <v>0.654030504893449</v>
      </c>
    </row>
    <row r="115" customFormat="false" ht="15" hidden="false" customHeight="false" outlineLevel="0" collapsed="false">
      <c r="A115" s="1" t="s">
        <v>82</v>
      </c>
      <c r="B115" s="1" t="s">
        <v>83</v>
      </c>
      <c r="C115" s="1" t="s">
        <v>84</v>
      </c>
      <c r="D115" s="1" t="s">
        <v>20</v>
      </c>
      <c r="E115" s="1" t="s">
        <v>21</v>
      </c>
      <c r="F115" s="1" t="n">
        <v>37</v>
      </c>
      <c r="G115" s="1" t="s">
        <v>25</v>
      </c>
      <c r="H115" s="1" t="n">
        <v>0.1589</v>
      </c>
      <c r="I115" s="1" t="n">
        <v>0.277382084778538</v>
      </c>
      <c r="J115" s="1" t="n">
        <v>0.310417066944814</v>
      </c>
      <c r="K115" s="1" t="n">
        <f aca="false">J115-I115</f>
        <v>0.0330349821662765</v>
      </c>
      <c r="L115" s="1" t="n">
        <v>0.654030504893449</v>
      </c>
    </row>
    <row r="116" customFormat="false" ht="15" hidden="false" customHeight="false" outlineLevel="0" collapsed="false">
      <c r="A116" s="1" t="s">
        <v>82</v>
      </c>
      <c r="B116" s="1" t="s">
        <v>83</v>
      </c>
      <c r="C116" s="1" t="s">
        <v>84</v>
      </c>
      <c r="D116" s="1" t="s">
        <v>20</v>
      </c>
      <c r="E116" s="1" t="s">
        <v>21</v>
      </c>
      <c r="F116" s="1" t="n">
        <v>37</v>
      </c>
      <c r="G116" s="1" t="s">
        <v>27</v>
      </c>
      <c r="H116" s="1" t="n">
        <v>0.1</v>
      </c>
      <c r="I116" s="1" t="n">
        <v>0.245911514260124</v>
      </c>
      <c r="J116" s="1" t="n">
        <v>0.237747277141502</v>
      </c>
      <c r="K116" s="1" t="n">
        <f aca="false">J116-I116</f>
        <v>-0.0081642371186223</v>
      </c>
      <c r="L116" s="1" t="n">
        <v>0.654030504893449</v>
      </c>
    </row>
    <row r="117" customFormat="false" ht="15" hidden="false" customHeight="false" outlineLevel="0" collapsed="false">
      <c r="A117" s="1" t="s">
        <v>85</v>
      </c>
      <c r="B117" s="1" t="s">
        <v>86</v>
      </c>
      <c r="C117" s="1" t="s">
        <v>87</v>
      </c>
      <c r="D117" s="1" t="s">
        <v>20</v>
      </c>
      <c r="E117" s="1" t="s">
        <v>21</v>
      </c>
      <c r="F117" s="1" t="n">
        <v>39</v>
      </c>
      <c r="G117" s="1" t="s">
        <v>23</v>
      </c>
      <c r="H117" s="1" t="n">
        <v>0.1957</v>
      </c>
      <c r="I117" s="1" t="n">
        <v>0.271151372347597</v>
      </c>
      <c r="J117" s="1" t="n">
        <v>0.352966905415872</v>
      </c>
      <c r="K117" s="1" t="n">
        <f aca="false">J117-I117</f>
        <v>0.081815533068275</v>
      </c>
      <c r="L117" s="1" t="n">
        <v>0.819935063298953</v>
      </c>
      <c r="N117" s="1" t="n">
        <f aca="false">AVERAGE(K117:K122)</f>
        <v>0.0668064528325964</v>
      </c>
    </row>
    <row r="118" customFormat="false" ht="15" hidden="false" customHeight="false" outlineLevel="0" collapsed="false">
      <c r="A118" s="1" t="s">
        <v>85</v>
      </c>
      <c r="B118" s="1" t="s">
        <v>86</v>
      </c>
      <c r="C118" s="1" t="s">
        <v>87</v>
      </c>
      <c r="D118" s="1" t="s">
        <v>20</v>
      </c>
      <c r="E118" s="1" t="s">
        <v>21</v>
      </c>
      <c r="F118" s="1" t="n">
        <v>39</v>
      </c>
      <c r="G118" s="1" t="s">
        <v>22</v>
      </c>
      <c r="H118" s="1" t="n">
        <v>0.1896</v>
      </c>
      <c r="I118" s="1" t="n">
        <v>0.26260382108825</v>
      </c>
      <c r="J118" s="1" t="n">
        <v>0.317088442234656</v>
      </c>
      <c r="K118" s="1" t="n">
        <f aca="false">J118-I118</f>
        <v>0.0544846211464058</v>
      </c>
      <c r="L118" s="1" t="n">
        <v>0.819935063298953</v>
      </c>
    </row>
    <row r="119" customFormat="false" ht="15" hidden="false" customHeight="false" outlineLevel="0" collapsed="false">
      <c r="A119" s="1" t="s">
        <v>85</v>
      </c>
      <c r="B119" s="1" t="s">
        <v>86</v>
      </c>
      <c r="C119" s="1" t="s">
        <v>87</v>
      </c>
      <c r="D119" s="1" t="s">
        <v>20</v>
      </c>
      <c r="E119" s="1" t="s">
        <v>21</v>
      </c>
      <c r="F119" s="1" t="n">
        <v>39</v>
      </c>
      <c r="G119" s="1" t="s">
        <v>25</v>
      </c>
      <c r="H119" s="1" t="n">
        <v>0.1829</v>
      </c>
      <c r="I119" s="1" t="n">
        <v>0.253418809875137</v>
      </c>
      <c r="J119" s="1" t="n">
        <v>0.308002113643605</v>
      </c>
      <c r="K119" s="1" t="n">
        <f aca="false">J119-I119</f>
        <v>0.054583303768468</v>
      </c>
      <c r="L119" s="1" t="n">
        <v>0.819935063298953</v>
      </c>
    </row>
    <row r="120" customFormat="false" ht="15" hidden="false" customHeight="false" outlineLevel="0" collapsed="false">
      <c r="A120" s="1" t="s">
        <v>85</v>
      </c>
      <c r="B120" s="1" t="s">
        <v>86</v>
      </c>
      <c r="C120" s="1" t="s">
        <v>87</v>
      </c>
      <c r="D120" s="1" t="s">
        <v>20</v>
      </c>
      <c r="E120" s="1" t="s">
        <v>21</v>
      </c>
      <c r="F120" s="1" t="n">
        <v>39</v>
      </c>
      <c r="G120" s="1" t="s">
        <v>24</v>
      </c>
      <c r="H120" s="1" t="n">
        <v>0.1745</v>
      </c>
      <c r="I120" s="1" t="n">
        <v>0.241710392600876</v>
      </c>
      <c r="J120" s="1" t="n">
        <v>0.315960495883981</v>
      </c>
      <c r="K120" s="1" t="n">
        <f aca="false">J120-I120</f>
        <v>0.0742501032831051</v>
      </c>
      <c r="L120" s="1" t="n">
        <v>0.819935063298953</v>
      </c>
    </row>
    <row r="121" customFormat="false" ht="15" hidden="false" customHeight="false" outlineLevel="0" collapsed="false">
      <c r="A121" s="1" t="s">
        <v>85</v>
      </c>
      <c r="B121" s="1" t="s">
        <v>86</v>
      </c>
      <c r="C121" s="1" t="s">
        <v>87</v>
      </c>
      <c r="D121" s="1" t="s">
        <v>20</v>
      </c>
      <c r="E121" s="1" t="s">
        <v>21</v>
      </c>
      <c r="F121" s="1" t="n">
        <v>39</v>
      </c>
      <c r="G121" s="1" t="s">
        <v>26</v>
      </c>
      <c r="H121" s="1" t="n">
        <v>0.1573</v>
      </c>
      <c r="I121" s="1" t="n">
        <v>0.217848698572901</v>
      </c>
      <c r="J121" s="1" t="n">
        <v>0.28876465370614</v>
      </c>
      <c r="K121" s="1" t="n">
        <f aca="false">J121-I121</f>
        <v>0.0709159551332392</v>
      </c>
      <c r="L121" s="1" t="n">
        <v>0.819935063298953</v>
      </c>
    </row>
    <row r="122" customFormat="false" ht="15" hidden="false" customHeight="false" outlineLevel="0" collapsed="false">
      <c r="A122" s="1" t="s">
        <v>85</v>
      </c>
      <c r="B122" s="1" t="s">
        <v>86</v>
      </c>
      <c r="C122" s="1" t="s">
        <v>87</v>
      </c>
      <c r="D122" s="1" t="s">
        <v>20</v>
      </c>
      <c r="E122" s="1" t="s">
        <v>21</v>
      </c>
      <c r="F122" s="1" t="n">
        <v>39</v>
      </c>
      <c r="G122" s="1" t="s">
        <v>27</v>
      </c>
      <c r="H122" s="1" t="n">
        <v>0.1</v>
      </c>
      <c r="I122" s="1" t="n">
        <v>0.186738588776882</v>
      </c>
      <c r="J122" s="1" t="n">
        <v>0.251527789372967</v>
      </c>
      <c r="K122" s="1" t="n">
        <f aca="false">J122-I122</f>
        <v>0.0647892005960851</v>
      </c>
      <c r="L122" s="1" t="n">
        <v>0.819935063298953</v>
      </c>
    </row>
    <row r="123" customFormat="false" ht="15" hidden="false" customHeight="false" outlineLevel="0" collapsed="false">
      <c r="A123" s="1" t="s">
        <v>88</v>
      </c>
      <c r="B123" s="1" t="s">
        <v>89</v>
      </c>
      <c r="C123" s="1" t="s">
        <v>90</v>
      </c>
      <c r="D123" s="1" t="s">
        <v>20</v>
      </c>
      <c r="E123" s="1" t="s">
        <v>21</v>
      </c>
      <c r="F123" s="1" t="n">
        <v>41</v>
      </c>
      <c r="G123" s="1" t="s">
        <v>23</v>
      </c>
      <c r="H123" s="1" t="n">
        <v>0.1994</v>
      </c>
      <c r="I123" s="1" t="n">
        <v>0.344856149056449</v>
      </c>
      <c r="J123" s="1" t="n">
        <v>0.393098024638693</v>
      </c>
      <c r="K123" s="1" t="n">
        <f aca="false">J123-I123</f>
        <v>0.0482418755822435</v>
      </c>
      <c r="L123" s="1" t="n">
        <v>0.775935289730371</v>
      </c>
      <c r="N123" s="1" t="n">
        <f aca="false">AVERAGE(K123:K128)</f>
        <v>0.0412518031830573</v>
      </c>
    </row>
    <row r="124" customFormat="false" ht="15" hidden="false" customHeight="false" outlineLevel="0" collapsed="false">
      <c r="A124" s="1" t="s">
        <v>88</v>
      </c>
      <c r="B124" s="1" t="s">
        <v>89</v>
      </c>
      <c r="C124" s="1" t="s">
        <v>90</v>
      </c>
      <c r="D124" s="1" t="s">
        <v>20</v>
      </c>
      <c r="E124" s="1" t="s">
        <v>21</v>
      </c>
      <c r="F124" s="1" t="n">
        <v>41</v>
      </c>
      <c r="G124" s="1" t="s">
        <v>22</v>
      </c>
      <c r="H124" s="1" t="n">
        <v>0.1904</v>
      </c>
      <c r="I124" s="1" t="n">
        <v>0.329303871775288</v>
      </c>
      <c r="J124" s="1" t="n">
        <v>0.367378636991698</v>
      </c>
      <c r="K124" s="1" t="n">
        <f aca="false">J124-I124</f>
        <v>0.0380747652164106</v>
      </c>
      <c r="L124" s="1" t="n">
        <v>0.775935289730371</v>
      </c>
    </row>
    <row r="125" customFormat="false" ht="15" hidden="false" customHeight="false" outlineLevel="0" collapsed="false">
      <c r="A125" s="1" t="s">
        <v>88</v>
      </c>
      <c r="B125" s="1" t="s">
        <v>89</v>
      </c>
      <c r="C125" s="1" t="s">
        <v>90</v>
      </c>
      <c r="D125" s="1" t="s">
        <v>20</v>
      </c>
      <c r="E125" s="1" t="s">
        <v>21</v>
      </c>
      <c r="F125" s="1" t="n">
        <v>41</v>
      </c>
      <c r="G125" s="1" t="s">
        <v>24</v>
      </c>
      <c r="H125" s="1" t="n">
        <v>0.1787</v>
      </c>
      <c r="I125" s="1" t="n">
        <v>0.309049206566439</v>
      </c>
      <c r="J125" s="1" t="n">
        <v>0.352588532518135</v>
      </c>
      <c r="K125" s="1" t="n">
        <f aca="false">J125-I125</f>
        <v>0.0435393259516958</v>
      </c>
      <c r="L125" s="1" t="n">
        <v>0.775935289730371</v>
      </c>
    </row>
    <row r="126" customFormat="false" ht="15" hidden="false" customHeight="false" outlineLevel="0" collapsed="false">
      <c r="A126" s="1" t="s">
        <v>88</v>
      </c>
      <c r="B126" s="1" t="s">
        <v>89</v>
      </c>
      <c r="C126" s="1" t="s">
        <v>90</v>
      </c>
      <c r="D126" s="1" t="s">
        <v>20</v>
      </c>
      <c r="E126" s="1" t="s">
        <v>21</v>
      </c>
      <c r="F126" s="1" t="n">
        <v>41</v>
      </c>
      <c r="G126" s="1" t="s">
        <v>26</v>
      </c>
      <c r="H126" s="1" t="n">
        <v>0.1697</v>
      </c>
      <c r="I126" s="1" t="n">
        <v>0.293538630245735</v>
      </c>
      <c r="J126" s="1" t="n">
        <v>0.320979137919237</v>
      </c>
      <c r="K126" s="1" t="n">
        <f aca="false">J126-I126</f>
        <v>0.0274405076735019</v>
      </c>
      <c r="L126" s="1" t="n">
        <v>0.775935289730371</v>
      </c>
    </row>
    <row r="127" customFormat="false" ht="15" hidden="false" customHeight="false" outlineLevel="0" collapsed="false">
      <c r="A127" s="1" t="s">
        <v>88</v>
      </c>
      <c r="B127" s="1" t="s">
        <v>89</v>
      </c>
      <c r="C127" s="1" t="s">
        <v>90</v>
      </c>
      <c r="D127" s="1" t="s">
        <v>20</v>
      </c>
      <c r="E127" s="1" t="s">
        <v>21</v>
      </c>
      <c r="F127" s="1" t="n">
        <v>41</v>
      </c>
      <c r="G127" s="1" t="s">
        <v>25</v>
      </c>
      <c r="H127" s="1" t="n">
        <v>0.1618</v>
      </c>
      <c r="I127" s="1" t="n">
        <v>0.279806888489847</v>
      </c>
      <c r="J127" s="1" t="n">
        <v>0.307229805428342</v>
      </c>
      <c r="K127" s="1" t="n">
        <f aca="false">J127-I127</f>
        <v>0.0274229169384947</v>
      </c>
      <c r="L127" s="1" t="n">
        <v>0.775935289730371</v>
      </c>
    </row>
    <row r="128" customFormat="false" ht="15" hidden="false" customHeight="false" outlineLevel="0" collapsed="false">
      <c r="A128" s="1" t="s">
        <v>88</v>
      </c>
      <c r="B128" s="1" t="s">
        <v>89</v>
      </c>
      <c r="C128" s="1" t="s">
        <v>90</v>
      </c>
      <c r="D128" s="1" t="s">
        <v>20</v>
      </c>
      <c r="E128" s="1" t="s">
        <v>21</v>
      </c>
      <c r="F128" s="1" t="n">
        <v>41</v>
      </c>
      <c r="G128" s="1" t="s">
        <v>27</v>
      </c>
      <c r="H128" s="1" t="n">
        <v>0.1</v>
      </c>
      <c r="I128" s="1" t="n">
        <v>0.217141386180951</v>
      </c>
      <c r="J128" s="1" t="n">
        <v>0.279932813916948</v>
      </c>
      <c r="K128" s="1" t="n">
        <f aca="false">J128-I128</f>
        <v>0.0627914277359972</v>
      </c>
      <c r="L128" s="1" t="n">
        <v>0.775935289730371</v>
      </c>
    </row>
    <row r="129" customFormat="false" ht="15" hidden="false" customHeight="false" outlineLevel="0" collapsed="false">
      <c r="A129" s="1" t="s">
        <v>91</v>
      </c>
      <c r="B129" s="1" t="s">
        <v>92</v>
      </c>
      <c r="C129" s="1" t="s">
        <v>93</v>
      </c>
      <c r="D129" s="1" t="s">
        <v>20</v>
      </c>
      <c r="E129" s="1" t="s">
        <v>21</v>
      </c>
      <c r="F129" s="1" t="n">
        <v>43</v>
      </c>
      <c r="G129" s="1" t="s">
        <v>24</v>
      </c>
      <c r="H129" s="1" t="n">
        <v>0.2122</v>
      </c>
      <c r="I129" s="1" t="n">
        <v>0.402817645980266</v>
      </c>
      <c r="J129" s="1" t="n">
        <v>0.295150485599445</v>
      </c>
      <c r="K129" s="1" t="n">
        <f aca="false">J129-I129</f>
        <v>-0.107667160380821</v>
      </c>
      <c r="L129" s="1" t="n">
        <v>0.689306055979394</v>
      </c>
      <c r="N129" s="1" t="n">
        <f aca="false">AVERAGE(K129:K134)</f>
        <v>-0.0491321761961383</v>
      </c>
    </row>
    <row r="130" customFormat="false" ht="15" hidden="false" customHeight="false" outlineLevel="0" collapsed="false">
      <c r="A130" s="1" t="s">
        <v>91</v>
      </c>
      <c r="B130" s="1" t="s">
        <v>92</v>
      </c>
      <c r="C130" s="1" t="s">
        <v>93</v>
      </c>
      <c r="D130" s="1" t="s">
        <v>20</v>
      </c>
      <c r="E130" s="1" t="s">
        <v>21</v>
      </c>
      <c r="F130" s="1" t="n">
        <v>43</v>
      </c>
      <c r="G130" s="1" t="s">
        <v>23</v>
      </c>
      <c r="H130" s="1" t="n">
        <v>0.197</v>
      </c>
      <c r="I130" s="1" t="n">
        <v>0.374020618040143</v>
      </c>
      <c r="J130" s="1" t="n">
        <v>0.327368929908792</v>
      </c>
      <c r="K130" s="1" t="n">
        <f aca="false">J130-I130</f>
        <v>-0.0466516881313513</v>
      </c>
      <c r="L130" s="1" t="n">
        <v>0.689306055979394</v>
      </c>
    </row>
    <row r="131" customFormat="false" ht="15" hidden="false" customHeight="false" outlineLevel="0" collapsed="false">
      <c r="A131" s="1" t="s">
        <v>91</v>
      </c>
      <c r="B131" s="1" t="s">
        <v>92</v>
      </c>
      <c r="C131" s="1" t="s">
        <v>93</v>
      </c>
      <c r="D131" s="1" t="s">
        <v>20</v>
      </c>
      <c r="E131" s="1" t="s">
        <v>21</v>
      </c>
      <c r="F131" s="1" t="n">
        <v>43</v>
      </c>
      <c r="G131" s="1" t="s">
        <v>26</v>
      </c>
      <c r="H131" s="1" t="n">
        <v>0.1694</v>
      </c>
      <c r="I131" s="1" t="n">
        <v>0.321644971171075</v>
      </c>
      <c r="J131" s="1" t="n">
        <v>0.274577245245117</v>
      </c>
      <c r="K131" s="1" t="n">
        <f aca="false">J131-I131</f>
        <v>-0.0470677259259581</v>
      </c>
      <c r="L131" s="1" t="n">
        <v>0.689306055979394</v>
      </c>
    </row>
    <row r="132" customFormat="false" ht="15" hidden="false" customHeight="false" outlineLevel="0" collapsed="false">
      <c r="A132" s="1" t="s">
        <v>91</v>
      </c>
      <c r="B132" s="1" t="s">
        <v>92</v>
      </c>
      <c r="C132" s="1" t="s">
        <v>93</v>
      </c>
      <c r="D132" s="1" t="s">
        <v>20</v>
      </c>
      <c r="E132" s="1" t="s">
        <v>21</v>
      </c>
      <c r="F132" s="1" t="n">
        <v>43</v>
      </c>
      <c r="G132" s="1" t="s">
        <v>22</v>
      </c>
      <c r="H132" s="1" t="n">
        <v>0.1634</v>
      </c>
      <c r="I132" s="1" t="n">
        <v>0.310161157060694</v>
      </c>
      <c r="J132" s="1" t="n">
        <v>0.307901796104187</v>
      </c>
      <c r="K132" s="1" t="n">
        <f aca="false">J132-I132</f>
        <v>-0.00225936095650681</v>
      </c>
      <c r="L132" s="1" t="n">
        <v>0.689306055979394</v>
      </c>
    </row>
    <row r="133" customFormat="false" ht="15" hidden="false" customHeight="false" outlineLevel="0" collapsed="false">
      <c r="A133" s="1" t="s">
        <v>91</v>
      </c>
      <c r="B133" s="1" t="s">
        <v>92</v>
      </c>
      <c r="C133" s="1" t="s">
        <v>93</v>
      </c>
      <c r="D133" s="1" t="s">
        <v>20</v>
      </c>
      <c r="E133" s="1" t="s">
        <v>21</v>
      </c>
      <c r="F133" s="1" t="n">
        <v>43</v>
      </c>
      <c r="G133" s="1" t="s">
        <v>54</v>
      </c>
      <c r="H133" s="1" t="n">
        <v>0.158</v>
      </c>
      <c r="I133" s="1" t="n">
        <v>0.300038404863526</v>
      </c>
      <c r="J133" s="1" t="n">
        <v>0.264971965300208</v>
      </c>
      <c r="K133" s="1" t="n">
        <f aca="false">J133-I133</f>
        <v>-0.035066439563318</v>
      </c>
      <c r="L133" s="1" t="n">
        <v>0.689306055979394</v>
      </c>
    </row>
    <row r="134" customFormat="false" ht="15" hidden="false" customHeight="false" outlineLevel="0" collapsed="false">
      <c r="A134" s="1" t="s">
        <v>91</v>
      </c>
      <c r="B134" s="1" t="s">
        <v>92</v>
      </c>
      <c r="C134" s="1" t="s">
        <v>93</v>
      </c>
      <c r="D134" s="1" t="s">
        <v>20</v>
      </c>
      <c r="E134" s="1" t="s">
        <v>21</v>
      </c>
      <c r="F134" s="1" t="n">
        <v>43</v>
      </c>
      <c r="G134" s="1" t="s">
        <v>27</v>
      </c>
      <c r="H134" s="1" t="n">
        <v>0.1</v>
      </c>
      <c r="I134" s="1" t="n">
        <v>0.278742177597251</v>
      </c>
      <c r="J134" s="1" t="n">
        <v>0.222661495378377</v>
      </c>
      <c r="K134" s="1" t="n">
        <f aca="false">J134-I134</f>
        <v>-0.0560806822188745</v>
      </c>
      <c r="L134" s="1" t="n">
        <v>0.689306055979394</v>
      </c>
    </row>
    <row r="135" customFormat="false" ht="15" hidden="false" customHeight="false" outlineLevel="0" collapsed="false">
      <c r="A135" s="1" t="s">
        <v>94</v>
      </c>
      <c r="B135" s="1" t="s">
        <v>95</v>
      </c>
      <c r="C135" s="1" t="s">
        <v>96</v>
      </c>
      <c r="D135" s="1" t="s">
        <v>20</v>
      </c>
      <c r="E135" s="1" t="s">
        <v>21</v>
      </c>
      <c r="F135" s="1" t="n">
        <v>45</v>
      </c>
      <c r="G135" s="1" t="s">
        <v>23</v>
      </c>
      <c r="H135" s="1" t="n">
        <v>0.4586</v>
      </c>
      <c r="I135" s="1" t="n">
        <v>0.246054905168136</v>
      </c>
      <c r="J135" s="1" t="n">
        <v>0.346576484095979</v>
      </c>
      <c r="K135" s="1" t="n">
        <f aca="false">J135-I135</f>
        <v>0.100521578927844</v>
      </c>
      <c r="L135" s="1" t="n">
        <v>0.757862366672276</v>
      </c>
      <c r="N135" s="1" t="n">
        <f aca="false">AVERAGE(K135:K137)</f>
        <v>0.083229632372335</v>
      </c>
    </row>
    <row r="136" customFormat="false" ht="15" hidden="false" customHeight="false" outlineLevel="0" collapsed="false">
      <c r="A136" s="1" t="s">
        <v>94</v>
      </c>
      <c r="B136" s="1" t="s">
        <v>95</v>
      </c>
      <c r="C136" s="1" t="s">
        <v>96</v>
      </c>
      <c r="D136" s="1" t="s">
        <v>20</v>
      </c>
      <c r="E136" s="1" t="s">
        <v>21</v>
      </c>
      <c r="F136" s="1" t="n">
        <v>45</v>
      </c>
      <c r="G136" s="1" t="s">
        <v>22</v>
      </c>
      <c r="H136" s="1" t="n">
        <v>0.4414</v>
      </c>
      <c r="I136" s="1" t="n">
        <v>0.236845685938634</v>
      </c>
      <c r="J136" s="1" t="n">
        <v>0.289410205938548</v>
      </c>
      <c r="K136" s="1" t="n">
        <f aca="false">J136-I136</f>
        <v>0.0525645199999146</v>
      </c>
      <c r="L136" s="1" t="n">
        <v>0.757862366672276</v>
      </c>
    </row>
    <row r="137" customFormat="false" ht="15" hidden="false" customHeight="false" outlineLevel="0" collapsed="false">
      <c r="A137" s="1" t="s">
        <v>94</v>
      </c>
      <c r="B137" s="1" t="s">
        <v>95</v>
      </c>
      <c r="C137" s="1" t="s">
        <v>96</v>
      </c>
      <c r="D137" s="1" t="s">
        <v>20</v>
      </c>
      <c r="E137" s="1" t="s">
        <v>21</v>
      </c>
      <c r="F137" s="1" t="n">
        <v>45</v>
      </c>
      <c r="G137" s="1" t="s">
        <v>27</v>
      </c>
      <c r="H137" s="1" t="n">
        <v>0.1</v>
      </c>
      <c r="I137" s="1" t="n">
        <v>0.141050386985676</v>
      </c>
      <c r="J137" s="1" t="n">
        <v>0.237653185174923</v>
      </c>
      <c r="K137" s="1" t="n">
        <f aca="false">J137-I137</f>
        <v>0.0966027981892464</v>
      </c>
      <c r="L137" s="1" t="n">
        <v>0.757862366672276</v>
      </c>
    </row>
    <row r="138" customFormat="false" ht="15" hidden="false" customHeight="false" outlineLevel="0" collapsed="false">
      <c r="A138" s="1" t="s">
        <v>97</v>
      </c>
      <c r="B138" s="1" t="s">
        <v>98</v>
      </c>
      <c r="C138" s="1" t="s">
        <v>99</v>
      </c>
      <c r="D138" s="1" t="s">
        <v>20</v>
      </c>
      <c r="E138" s="1" t="s">
        <v>21</v>
      </c>
      <c r="F138" s="1" t="n">
        <v>47</v>
      </c>
      <c r="G138" s="1" t="s">
        <v>23</v>
      </c>
      <c r="H138" s="1" t="n">
        <v>0.2568</v>
      </c>
      <c r="I138" s="1" t="n">
        <v>0.258428047761594</v>
      </c>
      <c r="J138" s="1" t="n">
        <v>0.344137705167747</v>
      </c>
      <c r="K138" s="1" t="n">
        <f aca="false">J138-I138</f>
        <v>0.0857096574061534</v>
      </c>
      <c r="L138" s="1" t="n">
        <v>0.706727669319429</v>
      </c>
      <c r="N138" s="1" t="n">
        <f aca="false">AVERAGE(K138:K142)</f>
        <v>0.0598889575258945</v>
      </c>
    </row>
    <row r="139" customFormat="false" ht="15" hidden="false" customHeight="false" outlineLevel="0" collapsed="false">
      <c r="A139" s="1" t="s">
        <v>97</v>
      </c>
      <c r="B139" s="1" t="s">
        <v>98</v>
      </c>
      <c r="C139" s="1" t="s">
        <v>99</v>
      </c>
      <c r="D139" s="1" t="s">
        <v>20</v>
      </c>
      <c r="E139" s="1" t="s">
        <v>21</v>
      </c>
      <c r="F139" s="1" t="n">
        <v>47</v>
      </c>
      <c r="G139" s="1" t="s">
        <v>24</v>
      </c>
      <c r="H139" s="1" t="n">
        <v>0.231</v>
      </c>
      <c r="I139" s="1" t="n">
        <v>0.232476100620523</v>
      </c>
      <c r="J139" s="1" t="n">
        <v>0.282757985565429</v>
      </c>
      <c r="K139" s="1" t="n">
        <f aca="false">J139-I139</f>
        <v>0.0502818849449057</v>
      </c>
      <c r="L139" s="1" t="n">
        <v>0.706727669319429</v>
      </c>
    </row>
    <row r="140" customFormat="false" ht="15" hidden="false" customHeight="false" outlineLevel="0" collapsed="false">
      <c r="A140" s="1" t="s">
        <v>97</v>
      </c>
      <c r="B140" s="1" t="s">
        <v>98</v>
      </c>
      <c r="C140" s="1" t="s">
        <v>99</v>
      </c>
      <c r="D140" s="1" t="s">
        <v>20</v>
      </c>
      <c r="E140" s="1" t="s">
        <v>21</v>
      </c>
      <c r="F140" s="1" t="n">
        <v>47</v>
      </c>
      <c r="G140" s="1" t="s">
        <v>31</v>
      </c>
      <c r="H140" s="1" t="n">
        <v>0.2132</v>
      </c>
      <c r="I140" s="1" t="n">
        <v>0.214541210635027</v>
      </c>
      <c r="J140" s="1" t="n">
        <v>0.218686301990888</v>
      </c>
      <c r="K140" s="1" t="n">
        <f aca="false">J140-I140</f>
        <v>0.0041450913558605</v>
      </c>
      <c r="L140" s="1" t="n">
        <v>0.706727669319429</v>
      </c>
    </row>
    <row r="141" customFormat="false" ht="15" hidden="false" customHeight="false" outlineLevel="0" collapsed="false">
      <c r="A141" s="1" t="s">
        <v>97</v>
      </c>
      <c r="B141" s="1" t="s">
        <v>98</v>
      </c>
      <c r="C141" s="1" t="s">
        <v>99</v>
      </c>
      <c r="D141" s="1" t="s">
        <v>20</v>
      </c>
      <c r="E141" s="1" t="s">
        <v>21</v>
      </c>
      <c r="F141" s="1" t="n">
        <v>47</v>
      </c>
      <c r="G141" s="1" t="s">
        <v>26</v>
      </c>
      <c r="H141" s="1" t="n">
        <v>0.1989</v>
      </c>
      <c r="I141" s="1" t="n">
        <v>0.200127629238331</v>
      </c>
      <c r="J141" s="1" t="n">
        <v>0.285537816635419</v>
      </c>
      <c r="K141" s="1" t="n">
        <f aca="false">J141-I141</f>
        <v>0.0854101873970878</v>
      </c>
      <c r="L141" s="1" t="n">
        <v>0.706727669319429</v>
      </c>
    </row>
    <row r="142" customFormat="false" ht="15" hidden="false" customHeight="false" outlineLevel="0" collapsed="false">
      <c r="A142" s="1" t="s">
        <v>97</v>
      </c>
      <c r="B142" s="1" t="s">
        <v>98</v>
      </c>
      <c r="C142" s="1" t="s">
        <v>99</v>
      </c>
      <c r="D142" s="1" t="s">
        <v>20</v>
      </c>
      <c r="E142" s="1" t="s">
        <v>21</v>
      </c>
      <c r="F142" s="1" t="n">
        <v>47</v>
      </c>
      <c r="G142" s="1" t="s">
        <v>27</v>
      </c>
      <c r="H142" s="1" t="n">
        <v>0.1</v>
      </c>
      <c r="I142" s="1" t="n">
        <v>0.169186795263773</v>
      </c>
      <c r="J142" s="1" t="n">
        <v>0.243084761789238</v>
      </c>
      <c r="K142" s="1" t="n">
        <f aca="false">J142-I142</f>
        <v>0.0738979665254652</v>
      </c>
      <c r="L142" s="1" t="n">
        <v>0.706727669319429</v>
      </c>
    </row>
    <row r="143" customFormat="false" ht="15" hidden="false" customHeight="false" outlineLevel="0" collapsed="false">
      <c r="A143" s="1" t="s">
        <v>100</v>
      </c>
      <c r="B143" s="1" t="s">
        <v>101</v>
      </c>
      <c r="C143" s="1" t="s">
        <v>102</v>
      </c>
      <c r="D143" s="1" t="s">
        <v>20</v>
      </c>
      <c r="E143" s="1" t="s">
        <v>21</v>
      </c>
      <c r="F143" s="1" t="n">
        <v>49</v>
      </c>
      <c r="G143" s="1" t="s">
        <v>23</v>
      </c>
      <c r="H143" s="1" t="n">
        <v>0.2064</v>
      </c>
      <c r="I143" s="1" t="n">
        <v>0.280777013929248</v>
      </c>
      <c r="J143" s="1" t="n">
        <v>0.338087613626696</v>
      </c>
      <c r="K143" s="1" t="n">
        <f aca="false">J143-I143</f>
        <v>0.0573105996974487</v>
      </c>
      <c r="L143" s="1" t="n">
        <v>0.70629147268637</v>
      </c>
      <c r="N143" s="1" t="n">
        <f aca="false">AVERAGE(K143:K148)</f>
        <v>0.0424098374385671</v>
      </c>
    </row>
    <row r="144" customFormat="false" ht="15" hidden="false" customHeight="false" outlineLevel="0" collapsed="false">
      <c r="A144" s="1" t="s">
        <v>100</v>
      </c>
      <c r="B144" s="1" t="s">
        <v>101</v>
      </c>
      <c r="C144" s="1" t="s">
        <v>102</v>
      </c>
      <c r="D144" s="1" t="s">
        <v>20</v>
      </c>
      <c r="E144" s="1" t="s">
        <v>21</v>
      </c>
      <c r="F144" s="1" t="n">
        <v>49</v>
      </c>
      <c r="G144" s="1" t="s">
        <v>25</v>
      </c>
      <c r="H144" s="1" t="n">
        <v>0.1851</v>
      </c>
      <c r="I144" s="1" t="n">
        <v>0.251860780744809</v>
      </c>
      <c r="J144" s="1" t="n">
        <v>0.295317469358819</v>
      </c>
      <c r="K144" s="1" t="n">
        <f aca="false">J144-I144</f>
        <v>0.0434566886140099</v>
      </c>
      <c r="L144" s="1" t="n">
        <v>0.70629147268637</v>
      </c>
    </row>
    <row r="145" customFormat="false" ht="15" hidden="false" customHeight="false" outlineLevel="0" collapsed="false">
      <c r="A145" s="1" t="s">
        <v>100</v>
      </c>
      <c r="B145" s="1" t="s">
        <v>101</v>
      </c>
      <c r="C145" s="1" t="s">
        <v>102</v>
      </c>
      <c r="D145" s="1" t="s">
        <v>20</v>
      </c>
      <c r="E145" s="1" t="s">
        <v>21</v>
      </c>
      <c r="F145" s="1" t="n">
        <v>49</v>
      </c>
      <c r="G145" s="1" t="s">
        <v>24</v>
      </c>
      <c r="H145" s="1" t="n">
        <v>0.1713</v>
      </c>
      <c r="I145" s="1" t="n">
        <v>0.233024809399068</v>
      </c>
      <c r="J145" s="1" t="n">
        <v>0.286508136485364</v>
      </c>
      <c r="K145" s="1" t="n">
        <f aca="false">J145-I145</f>
        <v>0.0534833270862954</v>
      </c>
      <c r="L145" s="1" t="n">
        <v>0.70629147268637</v>
      </c>
    </row>
    <row r="146" customFormat="false" ht="15" hidden="false" customHeight="false" outlineLevel="0" collapsed="false">
      <c r="A146" s="1" t="s">
        <v>100</v>
      </c>
      <c r="B146" s="1" t="s">
        <v>101</v>
      </c>
      <c r="C146" s="1" t="s">
        <v>102</v>
      </c>
      <c r="D146" s="1" t="s">
        <v>20</v>
      </c>
      <c r="E146" s="1" t="s">
        <v>21</v>
      </c>
      <c r="F146" s="1" t="n">
        <v>49</v>
      </c>
      <c r="G146" s="1" t="s">
        <v>26</v>
      </c>
      <c r="H146" s="1" t="n">
        <v>0.1712</v>
      </c>
      <c r="I146" s="1" t="n">
        <v>0.232920452333194</v>
      </c>
      <c r="J146" s="1" t="n">
        <v>0.260783110340707</v>
      </c>
      <c r="K146" s="1" t="n">
        <f aca="false">J146-I146</f>
        <v>0.0278626580075127</v>
      </c>
      <c r="L146" s="1" t="n">
        <v>0.70629147268637</v>
      </c>
    </row>
    <row r="147" customFormat="false" ht="15" hidden="false" customHeight="false" outlineLevel="0" collapsed="false">
      <c r="A147" s="1" t="s">
        <v>100</v>
      </c>
      <c r="B147" s="1" t="s">
        <v>101</v>
      </c>
      <c r="C147" s="1" t="s">
        <v>102</v>
      </c>
      <c r="D147" s="1" t="s">
        <v>20</v>
      </c>
      <c r="E147" s="1" t="s">
        <v>21</v>
      </c>
      <c r="F147" s="1" t="n">
        <v>49</v>
      </c>
      <c r="G147" s="1" t="s">
        <v>54</v>
      </c>
      <c r="H147" s="1" t="n">
        <v>0.166</v>
      </c>
      <c r="I147" s="1" t="n">
        <v>0.225916113058664</v>
      </c>
      <c r="J147" s="1" t="n">
        <v>0.262347122773402</v>
      </c>
      <c r="K147" s="1" t="n">
        <f aca="false">J147-I147</f>
        <v>0.036431009714738</v>
      </c>
      <c r="L147" s="1" t="n">
        <v>0.70629147268637</v>
      </c>
    </row>
    <row r="148" customFormat="false" ht="15" hidden="false" customHeight="false" outlineLevel="0" collapsed="false">
      <c r="A148" s="1" t="s">
        <v>100</v>
      </c>
      <c r="B148" s="1" t="s">
        <v>101</v>
      </c>
      <c r="C148" s="1" t="s">
        <v>102</v>
      </c>
      <c r="D148" s="1" t="s">
        <v>20</v>
      </c>
      <c r="E148" s="1" t="s">
        <v>21</v>
      </c>
      <c r="F148" s="1" t="n">
        <v>49</v>
      </c>
      <c r="G148" s="1" t="s">
        <v>27</v>
      </c>
      <c r="H148" s="1" t="n">
        <v>0.1</v>
      </c>
      <c r="I148" s="1" t="n">
        <v>0.19540277850996</v>
      </c>
      <c r="J148" s="1" t="n">
        <v>0.231317520021358</v>
      </c>
      <c r="K148" s="1" t="n">
        <f aca="false">J148-I148</f>
        <v>0.0359147415113978</v>
      </c>
      <c r="L148" s="1" t="n">
        <v>0.70629147268637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A1" activeCellId="0" sqref="A1"/>
    </sheetView>
  </sheetViews>
  <sheetFormatPr defaultColWidth="10.16015625" defaultRowHeight="12.8" zeroHeight="false" outlineLevelRow="0" outlineLevelCol="0"/>
  <cols>
    <col collapsed="false" customWidth="false" hidden="false" outlineLevel="0" max="1" min="1" style="5" width="10.16"/>
    <col collapsed="false" customWidth="true" hidden="false" outlineLevel="0" max="2" min="2" style="5" width="17.56"/>
    <col collapsed="false" customWidth="false" hidden="false" outlineLevel="0" max="5" min="3" style="5" width="10.16"/>
    <col collapsed="false" customWidth="true" hidden="false" outlineLevel="0" max="6" min="6" style="5" width="15.78"/>
    <col collapsed="false" customWidth="true" hidden="false" outlineLevel="0" max="8" min="7" style="5" width="14.51"/>
    <col collapsed="false" customWidth="false" hidden="false" outlineLevel="0" max="16384" min="9" style="5" width="10.16"/>
  </cols>
  <sheetData>
    <row r="1" customFormat="false" ht="26.85" hidden="false" customHeight="false" outlineLevel="0" collapsed="false">
      <c r="A1" s="5" t="s">
        <v>103</v>
      </c>
      <c r="F1" s="6" t="s">
        <v>11</v>
      </c>
      <c r="G1" s="6" t="s">
        <v>12</v>
      </c>
    </row>
    <row r="3" customFormat="false" ht="12.8" hidden="false" customHeight="false" outlineLevel="0" collapsed="false">
      <c r="A3" s="5" t="s">
        <v>104</v>
      </c>
      <c r="B3" s="5" t="n">
        <f aca="false">COUNT(scen1_hybrid!K3:K148)</f>
        <v>146</v>
      </c>
      <c r="C3" s="5" t="s">
        <v>105</v>
      </c>
    </row>
    <row r="4" customFormat="false" ht="12.8" hidden="false" customHeight="false" outlineLevel="0" collapsed="false">
      <c r="A4" s="5" t="s">
        <v>106</v>
      </c>
      <c r="B4" s="5" t="n">
        <f aca="false">scen1_hybrid!Q3*SQRT((B3-2)/(1-scen1_hybrid!Q3^2))</f>
        <v>-0.487047589537894</v>
      </c>
    </row>
    <row r="5" customFormat="false" ht="12.8" hidden="false" customHeight="false" outlineLevel="0" collapsed="false">
      <c r="A5" s="5" t="s">
        <v>107</v>
      </c>
      <c r="B5" s="5" t="n">
        <f aca="false">_xlfn.T.DIST.2T(ABS(B4),B3-2)</f>
        <v>0.626965165257702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176"/>
  <sheetViews>
    <sheetView showFormulas="false" showGridLines="true" showRowColHeaders="true" showZeros="true" rightToLeft="false" tabSelected="true" showOutlineSymbols="true" defaultGridColor="true" view="normal" topLeftCell="A1" colorId="64" zoomScale="125" zoomScaleNormal="125" zoomScalePageLayoutView="100" workbookViewId="0">
      <selection pane="topLeft" activeCell="F9" activeCellId="0" sqref="F9"/>
    </sheetView>
  </sheetViews>
  <sheetFormatPr defaultColWidth="10.16015625" defaultRowHeight="12.8" zeroHeight="false" outlineLevelRow="0" outlineLevelCol="0"/>
  <cols>
    <col collapsed="false" customWidth="false" hidden="false" outlineLevel="0" max="1" min="1" style="5" width="10.16"/>
    <col collapsed="false" customWidth="true" hidden="false" outlineLevel="0" max="2" min="2" style="5" width="16.37"/>
    <col collapsed="false" customWidth="true" hidden="false" outlineLevel="0" max="3" min="3" style="5" width="15.78"/>
    <col collapsed="false" customWidth="false" hidden="false" outlineLevel="0" max="7" min="4" style="5" width="10.16"/>
    <col collapsed="false" customWidth="true" hidden="false" outlineLevel="0" max="8" min="8" style="5" width="15.79"/>
    <col collapsed="false" customWidth="false" hidden="false" outlineLevel="0" max="9" min="9" style="5" width="10.16"/>
    <col collapsed="false" customWidth="true" hidden="false" outlineLevel="0" max="10" min="10" style="5" width="14.91"/>
    <col collapsed="false" customWidth="true" hidden="false" outlineLevel="0" max="11" min="11" style="5" width="15.79"/>
    <col collapsed="false" customWidth="false" hidden="false" outlineLevel="0" max="16384" min="12" style="5" width="10.16"/>
  </cols>
  <sheetData>
    <row r="2" customFormat="false" ht="26.85" hidden="false" customHeight="false" outlineLevel="0" collapsed="false">
      <c r="B2" s="6" t="s">
        <v>11</v>
      </c>
      <c r="C2" s="6" t="s">
        <v>12</v>
      </c>
      <c r="H2" s="7" t="s">
        <v>108</v>
      </c>
      <c r="I2" s="7" t="s">
        <v>14</v>
      </c>
      <c r="J2" s="7" t="s">
        <v>109</v>
      </c>
      <c r="K2" s="7" t="s">
        <v>16</v>
      </c>
    </row>
    <row r="3" customFormat="false" ht="12.8" hidden="false" customHeight="false" outlineLevel="0" collapsed="false">
      <c r="A3" s="5" t="n">
        <v>1</v>
      </c>
      <c r="B3" s="5" t="n">
        <v>0.834308337570909</v>
      </c>
      <c r="C3" s="5" t="n">
        <v>0.0548663248159184</v>
      </c>
      <c r="H3" s="7" t="n">
        <f aca="false">CORREL(B3:B27,C3:C27)</f>
        <v>0.228259487077809</v>
      </c>
      <c r="I3" s="7" t="n">
        <f aca="false">COUNT(C3:C27)</f>
        <v>25</v>
      </c>
      <c r="J3" s="7" t="n">
        <f aca="false">H3*SQRT((I3-2)/(1-H3^2))</f>
        <v>1.12437722912759</v>
      </c>
      <c r="K3" s="7" t="n">
        <f aca="false">_xlfn.T.DIST.2T(ABS(J3),I3-2)</f>
        <v>0.272451206325863</v>
      </c>
    </row>
    <row r="4" customFormat="false" ht="12.8" hidden="false" customHeight="false" outlineLevel="0" collapsed="false">
      <c r="A4" s="5" t="n">
        <v>2</v>
      </c>
      <c r="B4" s="5" t="n">
        <v>0.78737808939176</v>
      </c>
      <c r="C4" s="5" t="n">
        <v>0.049421284000314</v>
      </c>
    </row>
    <row r="5" customFormat="false" ht="12.8" hidden="false" customHeight="false" outlineLevel="0" collapsed="false">
      <c r="A5" s="5" t="n">
        <v>3</v>
      </c>
      <c r="B5" s="5" t="n">
        <v>0.823470108869694</v>
      </c>
      <c r="C5" s="5" t="n">
        <v>0.0325638982339968</v>
      </c>
    </row>
    <row r="6" customFormat="false" ht="12.8" hidden="false" customHeight="false" outlineLevel="0" collapsed="false">
      <c r="A6" s="5" t="n">
        <v>4</v>
      </c>
      <c r="B6" s="5" t="n">
        <v>0.641382187119465</v>
      </c>
      <c r="C6" s="5" t="n">
        <v>0.0663487877009757</v>
      </c>
    </row>
    <row r="7" customFormat="false" ht="12.8" hidden="false" customHeight="false" outlineLevel="0" collapsed="false">
      <c r="A7" s="5" t="n">
        <v>5</v>
      </c>
      <c r="B7" s="5" t="n">
        <v>0.648560742045417</v>
      </c>
      <c r="C7" s="5" t="n">
        <v>0.0416988284354426</v>
      </c>
    </row>
    <row r="8" customFormat="false" ht="12.8" hidden="false" customHeight="false" outlineLevel="0" collapsed="false">
      <c r="A8" s="5" t="n">
        <v>6</v>
      </c>
      <c r="B8" s="5" t="n">
        <v>0.737540725804953</v>
      </c>
      <c r="C8" s="5" t="n">
        <v>-0.0101936930539264</v>
      </c>
    </row>
    <row r="9" customFormat="false" ht="12.8" hidden="false" customHeight="false" outlineLevel="0" collapsed="false">
      <c r="A9" s="5" t="n">
        <v>7</v>
      </c>
      <c r="B9" s="5" t="n">
        <v>0.634968083396197</v>
      </c>
      <c r="C9" s="5" t="n">
        <v>0.0442062351683729</v>
      </c>
    </row>
    <row r="10" customFormat="false" ht="12.8" hidden="false" customHeight="false" outlineLevel="0" collapsed="false">
      <c r="A10" s="5" t="n">
        <v>8</v>
      </c>
      <c r="B10" s="5" t="n">
        <v>0.746400854814908</v>
      </c>
      <c r="C10" s="5" t="n">
        <v>0.0260244862289847</v>
      </c>
    </row>
    <row r="11" customFormat="false" ht="12.8" hidden="false" customHeight="false" outlineLevel="0" collapsed="false">
      <c r="A11" s="5" t="n">
        <v>9</v>
      </c>
      <c r="B11" s="5" t="n">
        <v>0.688805343346949</v>
      </c>
      <c r="C11" s="5" t="n">
        <v>-0.00500472937292433</v>
      </c>
    </row>
    <row r="12" customFormat="false" ht="12.8" hidden="false" customHeight="false" outlineLevel="0" collapsed="false">
      <c r="A12" s="5" t="n">
        <v>10</v>
      </c>
      <c r="B12" s="5" t="n">
        <v>0.743639794674361</v>
      </c>
      <c r="C12" s="5" t="n">
        <v>0.0476229620358052</v>
      </c>
    </row>
    <row r="13" customFormat="false" ht="12.8" hidden="false" customHeight="false" outlineLevel="0" collapsed="false">
      <c r="A13" s="5" t="n">
        <v>11</v>
      </c>
      <c r="B13" s="5" t="n">
        <v>0.7131914659308</v>
      </c>
      <c r="C13" s="5" t="n">
        <v>0.0656684767311388</v>
      </c>
    </row>
    <row r="14" customFormat="false" ht="12.8" hidden="false" customHeight="false" outlineLevel="0" collapsed="false">
      <c r="A14" s="5" t="n">
        <v>12</v>
      </c>
      <c r="B14" s="5" t="n">
        <v>0.767138956921052</v>
      </c>
      <c r="C14" s="5" t="n">
        <v>0.0548922927256757</v>
      </c>
    </row>
    <row r="15" customFormat="false" ht="12.8" hidden="false" customHeight="false" outlineLevel="0" collapsed="false">
      <c r="A15" s="5" t="n">
        <v>13</v>
      </c>
      <c r="B15" s="5" t="n">
        <v>0.725689268577004</v>
      </c>
      <c r="C15" s="5" t="n">
        <v>0.107232743081226</v>
      </c>
    </row>
    <row r="16" customFormat="false" ht="12.8" hidden="false" customHeight="false" outlineLevel="0" collapsed="false">
      <c r="A16" s="5" t="n">
        <v>14</v>
      </c>
      <c r="B16" s="5" t="n">
        <v>0.68375138396333</v>
      </c>
      <c r="C16" s="5" t="n">
        <v>-0.0129069404370417</v>
      </c>
    </row>
    <row r="17" customFormat="false" ht="12.8" hidden="false" customHeight="false" outlineLevel="0" collapsed="false">
      <c r="A17" s="5" t="n">
        <v>15</v>
      </c>
      <c r="B17" s="5" t="n">
        <v>0.778810655140002</v>
      </c>
      <c r="C17" s="5" t="n">
        <v>0.0401741736554305</v>
      </c>
    </row>
    <row r="18" customFormat="false" ht="12.8" hidden="false" customHeight="false" outlineLevel="0" collapsed="false">
      <c r="A18" s="5" t="n">
        <v>16</v>
      </c>
      <c r="B18" s="5" t="n">
        <v>0.720712807955728</v>
      </c>
      <c r="C18" s="5" t="n">
        <v>0.0260855759582449</v>
      </c>
    </row>
    <row r="19" customFormat="false" ht="12.8" hidden="false" customHeight="false" outlineLevel="0" collapsed="false">
      <c r="A19" s="5" t="n">
        <v>17</v>
      </c>
      <c r="B19" s="5" t="n">
        <v>0.772536760552901</v>
      </c>
      <c r="C19" s="5" t="n">
        <v>0.0305904691400738</v>
      </c>
    </row>
    <row r="20" customFormat="false" ht="12.8" hidden="false" customHeight="false" outlineLevel="0" collapsed="false">
      <c r="A20" s="5" t="n">
        <v>18</v>
      </c>
      <c r="B20" s="5" t="n">
        <v>0.705400471101386</v>
      </c>
      <c r="C20" s="5" t="n">
        <v>0.0883243337584364</v>
      </c>
    </row>
    <row r="21" customFormat="false" ht="12.8" hidden="false" customHeight="false" outlineLevel="0" collapsed="false">
      <c r="A21" s="5" t="n">
        <v>19</v>
      </c>
      <c r="B21" s="5" t="n">
        <v>0.654030504893449</v>
      </c>
      <c r="C21" s="5" t="n">
        <v>-0.0048030066366881</v>
      </c>
    </row>
    <row r="22" customFormat="false" ht="12.8" hidden="false" customHeight="false" outlineLevel="0" collapsed="false">
      <c r="A22" s="5" t="n">
        <v>20</v>
      </c>
      <c r="B22" s="5" t="n">
        <v>0.819935063298953</v>
      </c>
      <c r="C22" s="5" t="n">
        <v>0.0668064528325964</v>
      </c>
    </row>
    <row r="23" customFormat="false" ht="12.8" hidden="false" customHeight="false" outlineLevel="0" collapsed="false">
      <c r="A23" s="5" t="n">
        <v>21</v>
      </c>
      <c r="B23" s="5" t="n">
        <v>0.775935289730371</v>
      </c>
      <c r="C23" s="5" t="n">
        <v>0.0412518031830573</v>
      </c>
    </row>
    <row r="24" customFormat="false" ht="12.8" hidden="false" customHeight="false" outlineLevel="0" collapsed="false">
      <c r="A24" s="5" t="n">
        <v>22</v>
      </c>
      <c r="B24" s="5" t="n">
        <v>0.689306055979394</v>
      </c>
      <c r="C24" s="5" t="n">
        <v>-0.0491321761961383</v>
      </c>
    </row>
    <row r="25" customFormat="false" ht="12.8" hidden="false" customHeight="false" outlineLevel="0" collapsed="false">
      <c r="A25" s="5" t="n">
        <v>23</v>
      </c>
      <c r="B25" s="5" t="n">
        <v>0.757862366672276</v>
      </c>
      <c r="C25" s="5" t="n">
        <v>0.083229632372335</v>
      </c>
    </row>
    <row r="26" customFormat="false" ht="12.8" hidden="false" customHeight="false" outlineLevel="0" collapsed="false">
      <c r="A26" s="5" t="n">
        <v>24</v>
      </c>
      <c r="B26" s="5" t="n">
        <v>0.706727669319429</v>
      </c>
      <c r="C26" s="5" t="n">
        <v>0.0598889575258945</v>
      </c>
    </row>
    <row r="27" customFormat="false" ht="12.8" hidden="false" customHeight="false" outlineLevel="0" collapsed="false">
      <c r="A27" s="5" t="n">
        <v>25</v>
      </c>
      <c r="B27" s="5" t="n">
        <v>0.70629147268637</v>
      </c>
      <c r="C27" s="5" t="n">
        <v>0.0424098374385671</v>
      </c>
    </row>
    <row r="31" customFormat="false" ht="13.8" hidden="false" customHeight="false" outlineLevel="0" collapsed="false">
      <c r="B31" s="1"/>
    </row>
    <row r="32" customFormat="false" ht="13.8" hidden="false" customHeight="false" outlineLevel="0" collapsed="false">
      <c r="B32" s="1"/>
      <c r="D32" s="1"/>
    </row>
    <row r="33" customFormat="false" ht="13.8" hidden="false" customHeight="false" outlineLevel="0" collapsed="false">
      <c r="B33" s="1"/>
      <c r="D33" s="1"/>
    </row>
    <row r="34" customFormat="false" ht="13.8" hidden="false" customHeight="false" outlineLevel="0" collapsed="false">
      <c r="B34" s="1"/>
      <c r="D34" s="1"/>
    </row>
    <row r="35" customFormat="false" ht="13.8" hidden="false" customHeight="false" outlineLevel="0" collapsed="false">
      <c r="B35" s="1"/>
      <c r="D35" s="1"/>
    </row>
    <row r="36" customFormat="false" ht="13.8" hidden="false" customHeight="false" outlineLevel="0" collapsed="false">
      <c r="B36" s="1"/>
      <c r="D36" s="1"/>
    </row>
    <row r="37" customFormat="false" ht="13.8" hidden="false" customHeight="false" outlineLevel="0" collapsed="false">
      <c r="B37" s="1"/>
      <c r="D37" s="1"/>
    </row>
    <row r="38" customFormat="false" ht="13.8" hidden="false" customHeight="false" outlineLevel="0" collapsed="false">
      <c r="B38" s="1"/>
      <c r="D38" s="1"/>
    </row>
    <row r="39" customFormat="false" ht="13.8" hidden="false" customHeight="false" outlineLevel="0" collapsed="false">
      <c r="B39" s="1"/>
      <c r="D39" s="1"/>
    </row>
    <row r="40" customFormat="false" ht="13.8" hidden="false" customHeight="false" outlineLevel="0" collapsed="false">
      <c r="B40" s="1"/>
      <c r="D40" s="1"/>
    </row>
    <row r="41" customFormat="false" ht="13.8" hidden="false" customHeight="false" outlineLevel="0" collapsed="false">
      <c r="B41" s="1"/>
      <c r="D41" s="1"/>
    </row>
    <row r="42" customFormat="false" ht="13.8" hidden="false" customHeight="false" outlineLevel="0" collapsed="false">
      <c r="B42" s="1"/>
      <c r="D42" s="1"/>
    </row>
    <row r="43" customFormat="false" ht="13.8" hidden="false" customHeight="false" outlineLevel="0" collapsed="false">
      <c r="B43" s="1"/>
      <c r="D43" s="1"/>
    </row>
    <row r="44" customFormat="false" ht="13.8" hidden="false" customHeight="false" outlineLevel="0" collapsed="false">
      <c r="B44" s="1"/>
      <c r="D44" s="1"/>
    </row>
    <row r="45" customFormat="false" ht="13.8" hidden="false" customHeight="false" outlineLevel="0" collapsed="false">
      <c r="B45" s="1"/>
      <c r="D45" s="1"/>
    </row>
    <row r="46" customFormat="false" ht="13.8" hidden="false" customHeight="false" outlineLevel="0" collapsed="false">
      <c r="B46" s="1"/>
      <c r="D46" s="1"/>
    </row>
    <row r="47" customFormat="false" ht="13.8" hidden="false" customHeight="false" outlineLevel="0" collapsed="false">
      <c r="B47" s="1"/>
      <c r="D47" s="1"/>
    </row>
    <row r="48" customFormat="false" ht="13.8" hidden="false" customHeight="false" outlineLevel="0" collapsed="false">
      <c r="B48" s="1"/>
      <c r="D48" s="1"/>
    </row>
    <row r="49" customFormat="false" ht="13.8" hidden="false" customHeight="false" outlineLevel="0" collapsed="false">
      <c r="B49" s="1"/>
      <c r="D49" s="1"/>
    </row>
    <row r="50" customFormat="false" ht="13.8" hidden="false" customHeight="false" outlineLevel="0" collapsed="false">
      <c r="B50" s="1"/>
      <c r="D50" s="1"/>
    </row>
    <row r="51" customFormat="false" ht="13.8" hidden="false" customHeight="false" outlineLevel="0" collapsed="false">
      <c r="B51" s="1"/>
      <c r="D51" s="1"/>
    </row>
    <row r="52" customFormat="false" ht="13.8" hidden="false" customHeight="false" outlineLevel="0" collapsed="false">
      <c r="B52" s="1"/>
      <c r="D52" s="1"/>
    </row>
    <row r="53" customFormat="false" ht="13.8" hidden="false" customHeight="false" outlineLevel="0" collapsed="false">
      <c r="B53" s="1"/>
      <c r="D53" s="1"/>
    </row>
    <row r="54" customFormat="false" ht="13.8" hidden="false" customHeight="false" outlineLevel="0" collapsed="false">
      <c r="B54" s="1"/>
      <c r="D54" s="1"/>
    </row>
    <row r="55" customFormat="false" ht="13.8" hidden="false" customHeight="false" outlineLevel="0" collapsed="false">
      <c r="B55" s="1"/>
      <c r="D55" s="1"/>
    </row>
    <row r="56" customFormat="false" ht="13.8" hidden="false" customHeight="false" outlineLevel="0" collapsed="false">
      <c r="B56" s="1"/>
      <c r="D56" s="1"/>
    </row>
    <row r="57" customFormat="false" ht="13.8" hidden="false" customHeight="false" outlineLevel="0" collapsed="false">
      <c r="B57" s="1"/>
    </row>
    <row r="58" customFormat="false" ht="13.8" hidden="false" customHeight="false" outlineLevel="0" collapsed="false">
      <c r="B58" s="1"/>
    </row>
    <row r="59" customFormat="false" ht="13.8" hidden="false" customHeight="false" outlineLevel="0" collapsed="false">
      <c r="B59" s="1"/>
    </row>
    <row r="60" customFormat="false" ht="13.8" hidden="false" customHeight="false" outlineLevel="0" collapsed="false">
      <c r="B60" s="1"/>
    </row>
    <row r="61" customFormat="false" ht="13.8" hidden="false" customHeight="false" outlineLevel="0" collapsed="false">
      <c r="B61" s="1"/>
    </row>
    <row r="62" customFormat="false" ht="13.8" hidden="false" customHeight="false" outlineLevel="0" collapsed="false">
      <c r="B62" s="1"/>
    </row>
    <row r="63" customFormat="false" ht="13.8" hidden="false" customHeight="false" outlineLevel="0" collapsed="false">
      <c r="B63" s="1"/>
    </row>
    <row r="64" customFormat="false" ht="13.8" hidden="false" customHeight="false" outlineLevel="0" collapsed="false">
      <c r="B64" s="1"/>
    </row>
    <row r="65" customFormat="false" ht="13.8" hidden="false" customHeight="false" outlineLevel="0" collapsed="false">
      <c r="B65" s="1"/>
    </row>
    <row r="66" customFormat="false" ht="13.8" hidden="false" customHeight="false" outlineLevel="0" collapsed="false">
      <c r="B66" s="1"/>
    </row>
    <row r="67" customFormat="false" ht="13.8" hidden="false" customHeight="false" outlineLevel="0" collapsed="false">
      <c r="B67" s="1"/>
    </row>
    <row r="68" customFormat="false" ht="13.8" hidden="false" customHeight="false" outlineLevel="0" collapsed="false">
      <c r="B68" s="1"/>
    </row>
    <row r="69" customFormat="false" ht="13.8" hidden="false" customHeight="false" outlineLevel="0" collapsed="false">
      <c r="B69" s="1"/>
    </row>
    <row r="70" customFormat="false" ht="13.8" hidden="false" customHeight="false" outlineLevel="0" collapsed="false">
      <c r="B70" s="1"/>
    </row>
    <row r="71" customFormat="false" ht="13.8" hidden="false" customHeight="false" outlineLevel="0" collapsed="false">
      <c r="B71" s="1"/>
    </row>
    <row r="72" customFormat="false" ht="13.8" hidden="false" customHeight="false" outlineLevel="0" collapsed="false">
      <c r="B72" s="1"/>
    </row>
    <row r="73" customFormat="false" ht="13.8" hidden="false" customHeight="false" outlineLevel="0" collapsed="false">
      <c r="B73" s="1"/>
    </row>
    <row r="74" customFormat="false" ht="13.8" hidden="false" customHeight="false" outlineLevel="0" collapsed="false">
      <c r="B74" s="1"/>
    </row>
    <row r="75" customFormat="false" ht="13.8" hidden="false" customHeight="false" outlineLevel="0" collapsed="false">
      <c r="B75" s="1"/>
    </row>
    <row r="76" customFormat="false" ht="13.8" hidden="false" customHeight="false" outlineLevel="0" collapsed="false">
      <c r="B76" s="1"/>
    </row>
    <row r="77" customFormat="false" ht="13.8" hidden="false" customHeight="false" outlineLevel="0" collapsed="false">
      <c r="B77" s="1"/>
    </row>
    <row r="78" customFormat="false" ht="13.8" hidden="false" customHeight="false" outlineLevel="0" collapsed="false">
      <c r="B78" s="1"/>
    </row>
    <row r="79" customFormat="false" ht="13.8" hidden="false" customHeight="false" outlineLevel="0" collapsed="false">
      <c r="B79" s="1"/>
    </row>
    <row r="80" customFormat="false" ht="13.8" hidden="false" customHeight="false" outlineLevel="0" collapsed="false">
      <c r="B80" s="1"/>
    </row>
    <row r="81" customFormat="false" ht="13.8" hidden="false" customHeight="false" outlineLevel="0" collapsed="false">
      <c r="B81" s="1"/>
    </row>
    <row r="82" customFormat="false" ht="13.8" hidden="false" customHeight="false" outlineLevel="0" collapsed="false">
      <c r="B82" s="1"/>
    </row>
    <row r="83" customFormat="false" ht="13.8" hidden="false" customHeight="false" outlineLevel="0" collapsed="false">
      <c r="B83" s="1"/>
    </row>
    <row r="84" customFormat="false" ht="13.8" hidden="false" customHeight="false" outlineLevel="0" collapsed="false">
      <c r="B84" s="1"/>
    </row>
    <row r="85" customFormat="false" ht="13.8" hidden="false" customHeight="false" outlineLevel="0" collapsed="false">
      <c r="B85" s="1"/>
    </row>
    <row r="86" customFormat="false" ht="13.8" hidden="false" customHeight="false" outlineLevel="0" collapsed="false">
      <c r="B86" s="1"/>
    </row>
    <row r="87" customFormat="false" ht="13.8" hidden="false" customHeight="false" outlineLevel="0" collapsed="false">
      <c r="B87" s="1"/>
    </row>
    <row r="88" customFormat="false" ht="13.8" hidden="false" customHeight="false" outlineLevel="0" collapsed="false">
      <c r="B88" s="1"/>
    </row>
    <row r="89" customFormat="false" ht="13.8" hidden="false" customHeight="false" outlineLevel="0" collapsed="false">
      <c r="B89" s="1"/>
    </row>
    <row r="90" customFormat="false" ht="13.8" hidden="false" customHeight="false" outlineLevel="0" collapsed="false">
      <c r="B90" s="1"/>
    </row>
    <row r="91" customFormat="false" ht="13.8" hidden="false" customHeight="false" outlineLevel="0" collapsed="false">
      <c r="B91" s="1"/>
    </row>
    <row r="92" customFormat="false" ht="13.8" hidden="false" customHeight="false" outlineLevel="0" collapsed="false">
      <c r="B92" s="1"/>
    </row>
    <row r="93" customFormat="false" ht="13.8" hidden="false" customHeight="false" outlineLevel="0" collapsed="false">
      <c r="B93" s="1"/>
    </row>
    <row r="94" customFormat="false" ht="13.8" hidden="false" customHeight="false" outlineLevel="0" collapsed="false">
      <c r="B94" s="1"/>
    </row>
    <row r="95" customFormat="false" ht="13.8" hidden="false" customHeight="false" outlineLevel="0" collapsed="false">
      <c r="B95" s="1"/>
    </row>
    <row r="96" customFormat="false" ht="13.8" hidden="false" customHeight="false" outlineLevel="0" collapsed="false">
      <c r="B96" s="1"/>
    </row>
    <row r="97" customFormat="false" ht="13.8" hidden="false" customHeight="false" outlineLevel="0" collapsed="false">
      <c r="B97" s="1"/>
    </row>
    <row r="98" customFormat="false" ht="13.8" hidden="false" customHeight="false" outlineLevel="0" collapsed="false">
      <c r="B98" s="1"/>
    </row>
    <row r="99" customFormat="false" ht="13.8" hidden="false" customHeight="false" outlineLevel="0" collapsed="false">
      <c r="B99" s="1"/>
    </row>
    <row r="100" customFormat="false" ht="13.8" hidden="false" customHeight="false" outlineLevel="0" collapsed="false">
      <c r="B100" s="1"/>
    </row>
    <row r="101" customFormat="false" ht="13.8" hidden="false" customHeight="false" outlineLevel="0" collapsed="false">
      <c r="B101" s="1"/>
    </row>
    <row r="102" customFormat="false" ht="13.8" hidden="false" customHeight="false" outlineLevel="0" collapsed="false">
      <c r="B102" s="1"/>
    </row>
    <row r="103" customFormat="false" ht="13.8" hidden="false" customHeight="false" outlineLevel="0" collapsed="false">
      <c r="B103" s="1"/>
    </row>
    <row r="104" customFormat="false" ht="13.8" hidden="false" customHeight="false" outlineLevel="0" collapsed="false">
      <c r="B104" s="1"/>
    </row>
    <row r="105" customFormat="false" ht="13.8" hidden="false" customHeight="false" outlineLevel="0" collapsed="false">
      <c r="B105" s="1"/>
    </row>
    <row r="106" customFormat="false" ht="13.8" hidden="false" customHeight="false" outlineLevel="0" collapsed="false">
      <c r="B106" s="1"/>
    </row>
    <row r="107" customFormat="false" ht="13.8" hidden="false" customHeight="false" outlineLevel="0" collapsed="false">
      <c r="B107" s="1"/>
    </row>
    <row r="108" customFormat="false" ht="13.8" hidden="false" customHeight="false" outlineLevel="0" collapsed="false">
      <c r="B108" s="1"/>
    </row>
    <row r="109" customFormat="false" ht="13.8" hidden="false" customHeight="false" outlineLevel="0" collapsed="false">
      <c r="B109" s="1"/>
    </row>
    <row r="110" customFormat="false" ht="13.8" hidden="false" customHeight="false" outlineLevel="0" collapsed="false">
      <c r="B110" s="1"/>
    </row>
    <row r="111" customFormat="false" ht="13.8" hidden="false" customHeight="false" outlineLevel="0" collapsed="false">
      <c r="B111" s="1"/>
    </row>
    <row r="112" customFormat="false" ht="13.8" hidden="false" customHeight="false" outlineLevel="0" collapsed="false">
      <c r="B112" s="1"/>
    </row>
    <row r="113" customFormat="false" ht="13.8" hidden="false" customHeight="false" outlineLevel="0" collapsed="false">
      <c r="B113" s="1"/>
    </row>
    <row r="114" customFormat="false" ht="13.8" hidden="false" customHeight="false" outlineLevel="0" collapsed="false">
      <c r="B114" s="1"/>
    </row>
    <row r="115" customFormat="false" ht="13.8" hidden="false" customHeight="false" outlineLevel="0" collapsed="false">
      <c r="B115" s="1"/>
    </row>
    <row r="116" customFormat="false" ht="13.8" hidden="false" customHeight="false" outlineLevel="0" collapsed="false">
      <c r="B116" s="1"/>
    </row>
    <row r="117" customFormat="false" ht="13.8" hidden="false" customHeight="false" outlineLevel="0" collapsed="false">
      <c r="B117" s="1"/>
    </row>
    <row r="118" customFormat="false" ht="13.8" hidden="false" customHeight="false" outlineLevel="0" collapsed="false">
      <c r="B118" s="1"/>
    </row>
    <row r="119" customFormat="false" ht="13.8" hidden="false" customHeight="false" outlineLevel="0" collapsed="false">
      <c r="B119" s="1"/>
    </row>
    <row r="120" customFormat="false" ht="13.8" hidden="false" customHeight="false" outlineLevel="0" collapsed="false">
      <c r="B120" s="1"/>
    </row>
    <row r="121" customFormat="false" ht="13.8" hidden="false" customHeight="false" outlineLevel="0" collapsed="false">
      <c r="B121" s="1"/>
    </row>
    <row r="122" customFormat="false" ht="13.8" hidden="false" customHeight="false" outlineLevel="0" collapsed="false">
      <c r="B122" s="1"/>
    </row>
    <row r="123" customFormat="false" ht="13.8" hidden="false" customHeight="false" outlineLevel="0" collapsed="false">
      <c r="B123" s="1"/>
    </row>
    <row r="124" customFormat="false" ht="13.8" hidden="false" customHeight="false" outlineLevel="0" collapsed="false">
      <c r="B124" s="1"/>
    </row>
    <row r="125" customFormat="false" ht="13.8" hidden="false" customHeight="false" outlineLevel="0" collapsed="false">
      <c r="B125" s="1"/>
    </row>
    <row r="126" customFormat="false" ht="13.8" hidden="false" customHeight="false" outlineLevel="0" collapsed="false">
      <c r="B126" s="1"/>
    </row>
    <row r="127" customFormat="false" ht="13.8" hidden="false" customHeight="false" outlineLevel="0" collapsed="false">
      <c r="B127" s="1"/>
    </row>
    <row r="128" customFormat="false" ht="13.8" hidden="false" customHeight="false" outlineLevel="0" collapsed="false">
      <c r="B128" s="1"/>
    </row>
    <row r="129" customFormat="false" ht="13.8" hidden="false" customHeight="false" outlineLevel="0" collapsed="false">
      <c r="B129" s="1"/>
    </row>
    <row r="130" customFormat="false" ht="13.8" hidden="false" customHeight="false" outlineLevel="0" collapsed="false">
      <c r="B130" s="1"/>
    </row>
    <row r="131" customFormat="false" ht="13.8" hidden="false" customHeight="false" outlineLevel="0" collapsed="false">
      <c r="B131" s="1"/>
    </row>
    <row r="132" customFormat="false" ht="13.8" hidden="false" customHeight="false" outlineLevel="0" collapsed="false">
      <c r="B132" s="1"/>
    </row>
    <row r="133" customFormat="false" ht="13.8" hidden="false" customHeight="false" outlineLevel="0" collapsed="false">
      <c r="B133" s="1"/>
    </row>
    <row r="134" customFormat="false" ht="13.8" hidden="false" customHeight="false" outlineLevel="0" collapsed="false">
      <c r="B134" s="1"/>
    </row>
    <row r="135" customFormat="false" ht="13.8" hidden="false" customHeight="false" outlineLevel="0" collapsed="false">
      <c r="B135" s="1"/>
    </row>
    <row r="136" customFormat="false" ht="13.8" hidden="false" customHeight="false" outlineLevel="0" collapsed="false">
      <c r="B136" s="1"/>
    </row>
    <row r="137" customFormat="false" ht="13.8" hidden="false" customHeight="false" outlineLevel="0" collapsed="false">
      <c r="B137" s="1"/>
    </row>
    <row r="138" customFormat="false" ht="13.8" hidden="false" customHeight="false" outlineLevel="0" collapsed="false">
      <c r="B138" s="1"/>
    </row>
    <row r="139" customFormat="false" ht="13.8" hidden="false" customHeight="false" outlineLevel="0" collapsed="false">
      <c r="B139" s="1"/>
    </row>
    <row r="140" customFormat="false" ht="13.8" hidden="false" customHeight="false" outlineLevel="0" collapsed="false">
      <c r="B140" s="1"/>
    </row>
    <row r="141" customFormat="false" ht="13.8" hidden="false" customHeight="false" outlineLevel="0" collapsed="false">
      <c r="B141" s="1"/>
    </row>
    <row r="142" customFormat="false" ht="13.8" hidden="false" customHeight="false" outlineLevel="0" collapsed="false">
      <c r="B142" s="1"/>
    </row>
    <row r="143" customFormat="false" ht="13.8" hidden="false" customHeight="false" outlineLevel="0" collapsed="false">
      <c r="B143" s="1"/>
    </row>
    <row r="144" customFormat="false" ht="13.8" hidden="false" customHeight="false" outlineLevel="0" collapsed="false">
      <c r="B144" s="1"/>
    </row>
    <row r="145" customFormat="false" ht="13.8" hidden="false" customHeight="false" outlineLevel="0" collapsed="false">
      <c r="B145" s="1"/>
    </row>
    <row r="146" customFormat="false" ht="13.8" hidden="false" customHeight="false" outlineLevel="0" collapsed="false">
      <c r="B146" s="1"/>
    </row>
    <row r="147" customFormat="false" ht="13.8" hidden="false" customHeight="false" outlineLevel="0" collapsed="false">
      <c r="B147" s="1"/>
    </row>
    <row r="148" customFormat="false" ht="13.8" hidden="false" customHeight="false" outlineLevel="0" collapsed="false">
      <c r="B148" s="1"/>
    </row>
    <row r="149" customFormat="false" ht="13.8" hidden="false" customHeight="false" outlineLevel="0" collapsed="false">
      <c r="B149" s="1"/>
    </row>
    <row r="150" customFormat="false" ht="13.8" hidden="false" customHeight="false" outlineLevel="0" collapsed="false">
      <c r="B150" s="1"/>
    </row>
    <row r="151" customFormat="false" ht="13.8" hidden="false" customHeight="false" outlineLevel="0" collapsed="false">
      <c r="B151" s="1"/>
    </row>
    <row r="152" customFormat="false" ht="13.8" hidden="false" customHeight="false" outlineLevel="0" collapsed="false">
      <c r="B152" s="1"/>
    </row>
    <row r="153" customFormat="false" ht="13.8" hidden="false" customHeight="false" outlineLevel="0" collapsed="false">
      <c r="B153" s="1"/>
    </row>
    <row r="154" customFormat="false" ht="13.8" hidden="false" customHeight="false" outlineLevel="0" collapsed="false">
      <c r="B154" s="1"/>
    </row>
    <row r="155" customFormat="false" ht="13.8" hidden="false" customHeight="false" outlineLevel="0" collapsed="false">
      <c r="B155" s="1"/>
    </row>
    <row r="156" customFormat="false" ht="13.8" hidden="false" customHeight="false" outlineLevel="0" collapsed="false">
      <c r="B156" s="1"/>
    </row>
    <row r="157" customFormat="false" ht="13.8" hidden="false" customHeight="false" outlineLevel="0" collapsed="false">
      <c r="B157" s="1"/>
    </row>
    <row r="158" customFormat="false" ht="13.8" hidden="false" customHeight="false" outlineLevel="0" collapsed="false">
      <c r="B158" s="1"/>
    </row>
    <row r="159" customFormat="false" ht="13.8" hidden="false" customHeight="false" outlineLevel="0" collapsed="false">
      <c r="B159" s="1"/>
    </row>
    <row r="160" customFormat="false" ht="13.8" hidden="false" customHeight="false" outlineLevel="0" collapsed="false">
      <c r="B160" s="1"/>
    </row>
    <row r="161" customFormat="false" ht="13.8" hidden="false" customHeight="false" outlineLevel="0" collapsed="false">
      <c r="B161" s="1"/>
    </row>
    <row r="162" customFormat="false" ht="13.8" hidden="false" customHeight="false" outlineLevel="0" collapsed="false">
      <c r="B162" s="1"/>
    </row>
    <row r="163" customFormat="false" ht="13.8" hidden="false" customHeight="false" outlineLevel="0" collapsed="false">
      <c r="B163" s="1"/>
    </row>
    <row r="164" customFormat="false" ht="13.8" hidden="false" customHeight="false" outlineLevel="0" collapsed="false">
      <c r="B164" s="1"/>
    </row>
    <row r="165" customFormat="false" ht="13.8" hidden="false" customHeight="false" outlineLevel="0" collapsed="false">
      <c r="B165" s="1"/>
    </row>
    <row r="166" customFormat="false" ht="13.8" hidden="false" customHeight="false" outlineLevel="0" collapsed="false">
      <c r="B166" s="1"/>
    </row>
    <row r="167" customFormat="false" ht="13.8" hidden="false" customHeight="false" outlineLevel="0" collapsed="false">
      <c r="B167" s="1"/>
    </row>
    <row r="168" customFormat="false" ht="13.8" hidden="false" customHeight="false" outlineLevel="0" collapsed="false">
      <c r="B168" s="1"/>
    </row>
    <row r="169" customFormat="false" ht="13.8" hidden="false" customHeight="false" outlineLevel="0" collapsed="false">
      <c r="B169" s="1"/>
    </row>
    <row r="170" customFormat="false" ht="13.8" hidden="false" customHeight="false" outlineLevel="0" collapsed="false">
      <c r="B170" s="1"/>
    </row>
    <row r="171" customFormat="false" ht="13.8" hidden="false" customHeight="false" outlineLevel="0" collapsed="false">
      <c r="B171" s="1"/>
    </row>
    <row r="172" customFormat="false" ht="13.8" hidden="false" customHeight="false" outlineLevel="0" collapsed="false">
      <c r="B172" s="1"/>
    </row>
    <row r="173" customFormat="false" ht="13.8" hidden="false" customHeight="false" outlineLevel="0" collapsed="false">
      <c r="B173" s="1"/>
    </row>
    <row r="174" customFormat="false" ht="13.8" hidden="false" customHeight="false" outlineLevel="0" collapsed="false">
      <c r="B174" s="1"/>
    </row>
    <row r="175" customFormat="false" ht="13.8" hidden="false" customHeight="false" outlineLevel="0" collapsed="false">
      <c r="B175" s="1"/>
    </row>
    <row r="176" customFormat="false" ht="13.8" hidden="false" customHeight="false" outlineLevel="0" collapsed="false">
      <c r="B176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N61"/>
  <sheetViews>
    <sheetView showFormulas="false" showGridLines="true" showRowColHeaders="true" showZeros="true" rightToLeft="false" tabSelected="false" showOutlineSymbols="true" defaultGridColor="true" view="normal" topLeftCell="A10" colorId="64" zoomScale="125" zoomScaleNormal="125" zoomScalePageLayoutView="100" workbookViewId="0">
      <selection pane="topLeft" activeCell="B34" activeCellId="0" sqref="B34"/>
    </sheetView>
  </sheetViews>
  <sheetFormatPr defaultColWidth="10.16015625" defaultRowHeight="12.8" zeroHeight="false" outlineLevelRow="0" outlineLevelCol="0"/>
  <cols>
    <col collapsed="false" customWidth="false" hidden="false" outlineLevel="0" max="1" min="1" style="7" width="10.16"/>
    <col collapsed="false" customWidth="true" hidden="false" outlineLevel="0" max="2" min="2" style="7" width="17.44"/>
    <col collapsed="false" customWidth="true" hidden="false" outlineLevel="0" max="3" min="3" style="7" width="16.86"/>
    <col collapsed="false" customWidth="false" hidden="false" outlineLevel="0" max="4" min="4" style="7" width="10.16"/>
    <col collapsed="false" customWidth="true" hidden="false" outlineLevel="0" max="5" min="5" style="7" width="16.67"/>
    <col collapsed="false" customWidth="true" hidden="false" outlineLevel="0" max="6" min="6" style="7" width="15.79"/>
    <col collapsed="false" customWidth="true" hidden="false" outlineLevel="0" max="7" min="7" style="7" width="18.44"/>
    <col collapsed="false" customWidth="true" hidden="false" outlineLevel="0" max="9" min="8" style="7" width="17.95"/>
    <col collapsed="false" customWidth="true" hidden="false" outlineLevel="0" max="10" min="10" style="7" width="15.79"/>
    <col collapsed="false" customWidth="false" hidden="false" outlineLevel="0" max="11" min="11" style="7" width="10.16"/>
    <col collapsed="false" customWidth="true" hidden="false" outlineLevel="0" max="12" min="12" style="7" width="22.07"/>
    <col collapsed="false" customWidth="true" hidden="false" outlineLevel="0" max="13" min="13" style="7" width="18.94"/>
    <col collapsed="false" customWidth="true" hidden="false" outlineLevel="0" max="14" min="14" style="7" width="17.56"/>
    <col collapsed="false" customWidth="false" hidden="false" outlineLevel="0" max="16384" min="15" style="7" width="10.16"/>
  </cols>
  <sheetData>
    <row r="2" customFormat="false" ht="13.8" hidden="false" customHeight="false" outlineLevel="0" collapsed="false">
      <c r="G2" s="1"/>
      <c r="H2" s="7" t="s">
        <v>110</v>
      </c>
      <c r="L2" s="8" t="s">
        <v>111</v>
      </c>
    </row>
    <row r="3" customFormat="false" ht="12.8" hidden="false" customHeight="false" outlineLevel="0" collapsed="false">
      <c r="B3" s="7" t="s">
        <v>112</v>
      </c>
      <c r="C3" s="7" t="s">
        <v>113</v>
      </c>
      <c r="E3" s="7" t="s">
        <v>114</v>
      </c>
      <c r="F3" s="7" t="s">
        <v>115</v>
      </c>
      <c r="G3" s="7" t="s">
        <v>116</v>
      </c>
      <c r="H3" s="7" t="s">
        <v>117</v>
      </c>
      <c r="I3" s="7" t="s">
        <v>118</v>
      </c>
      <c r="J3" s="7" t="s">
        <v>119</v>
      </c>
      <c r="L3" s="7" t="s">
        <v>120</v>
      </c>
      <c r="M3" s="7" t="n">
        <v>0.05</v>
      </c>
    </row>
    <row r="4" customFormat="false" ht="12.8" hidden="false" customHeight="false" outlineLevel="0" collapsed="false">
      <c r="A4" s="7" t="n">
        <v>1</v>
      </c>
      <c r="B4" s="7" t="n">
        <v>0.834308337570909</v>
      </c>
      <c r="C4" s="7" t="n">
        <v>0.843168263254482</v>
      </c>
      <c r="E4" s="7" t="n">
        <f aca="false">_xlfn.STDEV.S(B4:B28)</f>
        <v>0.0565815417196385</v>
      </c>
      <c r="F4" s="7" t="n">
        <f aca="false">_xlfn.STDEV.S(C4:C28)</f>
        <v>0.117883055698871</v>
      </c>
      <c r="G4" s="7" t="n">
        <f aca="false">_xlfn.F.TEST(B4:B28,C4:C28)</f>
        <v>0.000632553113577771</v>
      </c>
      <c r="H4" s="7" t="n">
        <f aca="false">_xlfn.T.TEST(B4:B28, C4:C28, 2,2)</f>
        <v>5.71188422207568E-008</v>
      </c>
      <c r="I4" s="7" t="n">
        <f aca="false">_xlfn.T.TEST(B4:B28,C4:C28, 2,3)</f>
        <v>2.31320714089164E-007</v>
      </c>
      <c r="J4" s="7" t="n">
        <f aca="false">AVERAGE(B4:B28)-AVERAGE(C4:C28)</f>
        <v>0.167885490451302</v>
      </c>
      <c r="L4" s="7" t="s">
        <v>121</v>
      </c>
      <c r="M4" s="7" t="n">
        <v>0</v>
      </c>
    </row>
    <row r="5" customFormat="false" ht="13.8" hidden="false" customHeight="false" outlineLevel="0" collapsed="false">
      <c r="A5" s="7" t="n">
        <v>2</v>
      </c>
      <c r="B5" s="7" t="n">
        <v>0.78737808939176</v>
      </c>
      <c r="C5" s="7" t="n">
        <v>0.410481566775254</v>
      </c>
      <c r="E5" s="1"/>
      <c r="F5" s="1"/>
      <c r="G5" s="1"/>
      <c r="H5" s="1"/>
      <c r="I5" s="1"/>
      <c r="J5" s="1"/>
      <c r="M5" s="8" t="s">
        <v>122</v>
      </c>
      <c r="N5" s="8" t="s">
        <v>123</v>
      </c>
    </row>
    <row r="6" customFormat="false" ht="12.8" hidden="false" customHeight="false" outlineLevel="0" collapsed="false">
      <c r="A6" s="7" t="n">
        <v>3</v>
      </c>
      <c r="B6" s="7" t="n">
        <v>0.823470108869694</v>
      </c>
      <c r="C6" s="7" t="n">
        <v>0.557975369920795</v>
      </c>
      <c r="L6" s="7" t="s">
        <v>124</v>
      </c>
      <c r="M6" s="7" t="n">
        <f aca="false">AVERAGE('control_hybrid stats'!$B$4:$B$28)</f>
        <v>0.730550978390282</v>
      </c>
      <c r="N6" s="7" t="n">
        <f aca="false">AVERAGE('control_hybrid stats'!$C$4:$C$28)</f>
        <v>0.56266548793898</v>
      </c>
    </row>
    <row r="7" customFormat="false" ht="12.8" hidden="false" customHeight="false" outlineLevel="0" collapsed="false">
      <c r="A7" s="7" t="n">
        <v>4</v>
      </c>
      <c r="B7" s="7" t="n">
        <v>0.641382187119465</v>
      </c>
      <c r="C7" s="7" t="n">
        <v>0.619158269088556</v>
      </c>
      <c r="L7" s="7" t="s">
        <v>125</v>
      </c>
      <c r="M7" s="7" t="n">
        <f aca="false">VAR('control_hybrid stats'!$B$4:$B$28)</f>
        <v>0.0032014708633712</v>
      </c>
      <c r="N7" s="7" t="n">
        <f aca="false">VAR('control_hybrid stats'!$C$4:$C$28)</f>
        <v>0.013896414820903</v>
      </c>
    </row>
    <row r="8" customFormat="false" ht="12.8" hidden="false" customHeight="false" outlineLevel="0" collapsed="false">
      <c r="A8" s="7" t="n">
        <v>5</v>
      </c>
      <c r="B8" s="7" t="n">
        <v>0.648560742045417</v>
      </c>
      <c r="C8" s="7" t="n">
        <v>0.403963080119542</v>
      </c>
      <c r="L8" s="7" t="s">
        <v>126</v>
      </c>
      <c r="M8" s="7" t="n">
        <f aca="false">COUNT('control_hybrid stats'!$B$4:$B$28)</f>
        <v>25</v>
      </c>
      <c r="N8" s="7" t="n">
        <f aca="false">COUNT('control_hybrid stats'!$C$4:$C$28)</f>
        <v>25</v>
      </c>
    </row>
    <row r="9" customFormat="false" ht="12.8" hidden="false" customHeight="false" outlineLevel="0" collapsed="false">
      <c r="A9" s="7" t="n">
        <v>6</v>
      </c>
      <c r="B9" s="7" t="n">
        <v>0.737540725804953</v>
      </c>
      <c r="C9" s="7" t="n">
        <v>0.570743883878626</v>
      </c>
      <c r="L9" s="7" t="s">
        <v>127</v>
      </c>
      <c r="M9" s="7" t="n">
        <f aca="false">CORREL('control_hybrid stats'!$B$4:$B$28,'control_hybrid stats'!$C$4:$C$28)</f>
        <v>0.229241884127848</v>
      </c>
    </row>
    <row r="10" customFormat="false" ht="12.8" hidden="false" customHeight="false" outlineLevel="0" collapsed="false">
      <c r="A10" s="7" t="n">
        <v>7</v>
      </c>
      <c r="B10" s="7" t="n">
        <v>0.634968083396197</v>
      </c>
      <c r="C10" s="7" t="n">
        <v>0.611608951562061</v>
      </c>
      <c r="L10" s="7" t="s">
        <v>128</v>
      </c>
      <c r="M10" s="7" t="n">
        <f aca="false" t="array" ref="M10:M10">AVERAGE(IF(ISODD(IF(ISNUMBER('control_hybrid stats'!$B$4:$B$28), 1, 0) * IF(ISNUMBER('control_hybrid stats'!$C$4:$C$28), 1, 0)), 'control_hybrid stats'!$B$4:$B$28 - 'control_hybrid stats'!$C$4:$C$28, "NA"))</f>
        <v>0.167885490451302</v>
      </c>
    </row>
    <row r="11" customFormat="false" ht="12.8" hidden="false" customHeight="false" outlineLevel="0" collapsed="false">
      <c r="A11" s="7" t="n">
        <v>8</v>
      </c>
      <c r="B11" s="7" t="n">
        <v>0.746400854814908</v>
      </c>
      <c r="C11" s="7" t="n">
        <v>0.51665838871536</v>
      </c>
      <c r="L11" s="7" t="s">
        <v>129</v>
      </c>
      <c r="M11" s="7" t="n">
        <f aca="false" t="array" ref="M11:M11">VAR(IF(ISODD(IF(ISNUMBER('control_hybrid stats'!$B$4:$B$28), 1, 0) * IF(ISNUMBER('control_hybrid stats'!$C$4:$C$28), 1, 0)), 'control_hybrid stats'!$B$4:$B$28 - 'control_hybrid stats'!$C$4:$C$28, "NA"))</f>
        <v>0.0140397966419721</v>
      </c>
    </row>
    <row r="12" customFormat="false" ht="12.8" hidden="false" customHeight="false" outlineLevel="0" collapsed="false">
      <c r="A12" s="7" t="n">
        <v>9</v>
      </c>
      <c r="B12" s="7" t="n">
        <v>0.688805343346949</v>
      </c>
      <c r="C12" s="7" t="n">
        <v>0.519107279370953</v>
      </c>
      <c r="L12" s="7" t="s">
        <v>130</v>
      </c>
      <c r="M12" s="7" t="n">
        <f aca="false" t="array" ref="M12:M12">SUM(IF(ISNUMBER('control_hybrid stats'!$B$4:$B$28), 1, 0) * IF(ISNUMBER('control_hybrid stats'!$C$4:$C$28), 1, 0)) - 1</f>
        <v>24</v>
      </c>
    </row>
    <row r="13" customFormat="false" ht="12.8" hidden="false" customHeight="false" outlineLevel="0" collapsed="false">
      <c r="A13" s="7" t="n">
        <v>10</v>
      </c>
      <c r="B13" s="7" t="n">
        <v>0.743639794674361</v>
      </c>
      <c r="C13" s="7" t="n">
        <v>0.681242455451239</v>
      </c>
      <c r="L13" s="7" t="s">
        <v>131</v>
      </c>
      <c r="M13" s="7" t="n">
        <f aca="false">('control_hybrid stats'!$M$10 - 'control_hybrid stats'!$M$4) / ('control_hybrid stats'!$M$11 / ( 'control_hybrid stats'!$M$12 + 1)) ^ 0.5</f>
        <v>7.08439486197075</v>
      </c>
    </row>
    <row r="14" customFormat="false" ht="12.8" hidden="false" customHeight="false" outlineLevel="0" collapsed="false">
      <c r="A14" s="7" t="n">
        <v>11</v>
      </c>
      <c r="B14" s="7" t="n">
        <v>0.7131914659308</v>
      </c>
      <c r="C14" s="7" t="n">
        <v>0.665099248057114</v>
      </c>
      <c r="L14" s="7" t="s">
        <v>132</v>
      </c>
      <c r="M14" s="7" t="n">
        <f aca="false">TDIST(ABS('control_hybrid stats'!$M$13), 'control_hybrid stats'!$M$12, 1)</f>
        <v>1.26461316649605E-007</v>
      </c>
    </row>
    <row r="15" customFormat="false" ht="12.8" hidden="false" customHeight="false" outlineLevel="0" collapsed="false">
      <c r="A15" s="7" t="n">
        <v>12</v>
      </c>
      <c r="B15" s="7" t="n">
        <v>0.767138956921052</v>
      </c>
      <c r="C15" s="7" t="n">
        <v>0.685595116342696</v>
      </c>
      <c r="L15" s="7" t="s">
        <v>133</v>
      </c>
      <c r="M15" s="7" t="n">
        <f aca="false">TINV(2*'control_hybrid stats'!$M$3, 'control_hybrid stats'!$M$12)</f>
        <v>1.71088207990943</v>
      </c>
    </row>
    <row r="16" customFormat="false" ht="12.8" hidden="false" customHeight="false" outlineLevel="0" collapsed="false">
      <c r="A16" s="7" t="n">
        <v>13</v>
      </c>
      <c r="B16" s="7" t="n">
        <v>0.725689268577004</v>
      </c>
      <c r="C16" s="7" t="n">
        <v>0.65114377143955</v>
      </c>
      <c r="L16" s="7" t="s">
        <v>134</v>
      </c>
      <c r="M16" s="7" t="n">
        <f aca="false">TDIST(ABS('control_hybrid stats'!$M$13), 'control_hybrid stats'!$M$12, 2)</f>
        <v>2.5292263329921E-007</v>
      </c>
    </row>
    <row r="17" customFormat="false" ht="12.8" hidden="false" customHeight="false" outlineLevel="0" collapsed="false">
      <c r="A17" s="7" t="n">
        <v>14</v>
      </c>
      <c r="B17" s="7" t="n">
        <v>0.68375138396333</v>
      </c>
      <c r="C17" s="7" t="n">
        <v>0.603486770235985</v>
      </c>
      <c r="L17" s="7" t="s">
        <v>135</v>
      </c>
      <c r="M17" s="7" t="n">
        <f aca="false">TINV('control_hybrid stats'!$M$3, 'control_hybrid stats'!$M$12)</f>
        <v>2.06389856162803</v>
      </c>
    </row>
    <row r="18" customFormat="false" ht="12.8" hidden="false" customHeight="false" outlineLevel="0" collapsed="false">
      <c r="A18" s="7" t="n">
        <v>15</v>
      </c>
      <c r="B18" s="7" t="n">
        <v>0.778810655140002</v>
      </c>
      <c r="C18" s="7" t="n">
        <v>0.498068679989705</v>
      </c>
    </row>
    <row r="19" customFormat="false" ht="12.8" hidden="false" customHeight="false" outlineLevel="0" collapsed="false">
      <c r="A19" s="7" t="n">
        <v>16</v>
      </c>
      <c r="B19" s="7" t="n">
        <v>0.720712807955728</v>
      </c>
      <c r="C19" s="7" t="n">
        <v>0.630377968860656</v>
      </c>
    </row>
    <row r="20" customFormat="false" ht="12.8" hidden="false" customHeight="false" outlineLevel="0" collapsed="false">
      <c r="A20" s="7" t="n">
        <v>17</v>
      </c>
      <c r="B20" s="7" t="n">
        <v>0.772536760552901</v>
      </c>
      <c r="C20" s="7" t="n">
        <v>0.657927168337551</v>
      </c>
    </row>
    <row r="21" customFormat="false" ht="12.8" hidden="false" customHeight="false" outlineLevel="0" collapsed="false">
      <c r="A21" s="7" t="n">
        <v>18</v>
      </c>
      <c r="B21" s="7" t="n">
        <v>0.705400471101386</v>
      </c>
      <c r="C21" s="7" t="n">
        <v>0.560860510322618</v>
      </c>
    </row>
    <row r="22" customFormat="false" ht="12.8" hidden="false" customHeight="false" outlineLevel="0" collapsed="false">
      <c r="A22" s="7" t="n">
        <v>19</v>
      </c>
      <c r="B22" s="7" t="n">
        <v>0.654030504893449</v>
      </c>
      <c r="C22" s="7" t="n">
        <v>0.502077926373526</v>
      </c>
    </row>
    <row r="23" customFormat="false" ht="12.8" hidden="false" customHeight="false" outlineLevel="0" collapsed="false">
      <c r="A23" s="7" t="n">
        <v>20</v>
      </c>
      <c r="B23" s="7" t="n">
        <v>0.819935063298953</v>
      </c>
      <c r="C23" s="7" t="n">
        <v>0.477168485158792</v>
      </c>
    </row>
    <row r="24" customFormat="false" ht="12.8" hidden="false" customHeight="false" outlineLevel="0" collapsed="false">
      <c r="A24" s="7" t="n">
        <v>21</v>
      </c>
      <c r="B24" s="7" t="n">
        <v>0.775935289730371</v>
      </c>
      <c r="C24" s="7" t="n">
        <v>0.490712582964214</v>
      </c>
    </row>
    <row r="25" customFormat="false" ht="12.8" hidden="false" customHeight="false" outlineLevel="0" collapsed="false">
      <c r="A25" s="7" t="n">
        <v>22</v>
      </c>
      <c r="B25" s="7" t="n">
        <v>0.689306055979394</v>
      </c>
      <c r="C25" s="7" t="n">
        <v>0.373647233999626</v>
      </c>
    </row>
    <row r="26" customFormat="false" ht="12.8" hidden="false" customHeight="false" outlineLevel="0" collapsed="false">
      <c r="A26" s="7" t="n">
        <v>23</v>
      </c>
      <c r="B26" s="7" t="n">
        <v>0.757862366672276</v>
      </c>
      <c r="C26" s="7" t="n">
        <v>0.656354995088699</v>
      </c>
    </row>
    <row r="27" customFormat="false" ht="12.8" hidden="false" customHeight="false" outlineLevel="0" collapsed="false">
      <c r="A27" s="7" t="n">
        <v>24</v>
      </c>
      <c r="B27" s="7" t="n">
        <v>0.706727669319429</v>
      </c>
      <c r="C27" s="7" t="n">
        <v>0.579731827188496</v>
      </c>
    </row>
    <row r="28" customFormat="false" ht="12.8" hidden="false" customHeight="false" outlineLevel="0" collapsed="false">
      <c r="A28" s="7" t="n">
        <v>25</v>
      </c>
      <c r="B28" s="7" t="n">
        <v>0.70629147268637</v>
      </c>
      <c r="C28" s="7" t="n">
        <v>0.300277405978412</v>
      </c>
    </row>
    <row r="32" customFormat="false" ht="13.8" hidden="false" customHeight="false" outlineLevel="0" collapsed="false">
      <c r="G32" s="1"/>
      <c r="H32" s="7" t="s">
        <v>110</v>
      </c>
      <c r="L32" s="8" t="s">
        <v>111</v>
      </c>
    </row>
    <row r="33" customFormat="false" ht="12.8" hidden="false" customHeight="false" outlineLevel="0" collapsed="false">
      <c r="B33" s="7" t="s">
        <v>112</v>
      </c>
      <c r="C33" s="7" t="s">
        <v>136</v>
      </c>
      <c r="E33" s="7" t="s">
        <v>114</v>
      </c>
      <c r="F33" s="7" t="s">
        <v>136</v>
      </c>
      <c r="G33" s="7" t="s">
        <v>116</v>
      </c>
      <c r="H33" s="7" t="s">
        <v>117</v>
      </c>
      <c r="I33" s="7" t="s">
        <v>118</v>
      </c>
      <c r="J33" s="7" t="s">
        <v>119</v>
      </c>
      <c r="L33" s="7" t="s">
        <v>120</v>
      </c>
      <c r="M33" s="7" t="n">
        <v>0.05</v>
      </c>
    </row>
    <row r="34" customFormat="false" ht="12.8" hidden="false" customHeight="false" outlineLevel="0" collapsed="false">
      <c r="A34" s="7" t="n">
        <v>1</v>
      </c>
      <c r="B34" s="7" t="n">
        <v>0.834308337570909</v>
      </c>
      <c r="C34" s="7" t="n">
        <v>0.820329791398556</v>
      </c>
      <c r="E34" s="7" t="n">
        <f aca="false">_xlfn.STDEV.S(B34:B58)</f>
        <v>0.0565815417196385</v>
      </c>
      <c r="F34" s="7" t="n">
        <f aca="false">_xlfn.STDEV.S(C34:C58)</f>
        <v>0.0678968994940753</v>
      </c>
      <c r="G34" s="7" t="n">
        <f aca="false">_xlfn.F.TEST(B34:B58,C34:C58)</f>
        <v>0.378066461610384</v>
      </c>
      <c r="H34" s="7" t="n">
        <f aca="false">_xlfn.T.TEST(B34:B58, C34:C58, 2,2)</f>
        <v>0.992118134462215</v>
      </c>
      <c r="I34" s="7" t="n">
        <f aca="false">_xlfn.T.TEST(B34:B58,C34:C58, 2,3)</f>
        <v>0.992119468852159</v>
      </c>
      <c r="J34" s="7" t="n">
        <f aca="false">AVERAGE(B34:B58)-AVERAGE(C34:C58)</f>
        <v>-0.000175531122724171</v>
      </c>
      <c r="L34" s="7" t="s">
        <v>121</v>
      </c>
      <c r="M34" s="7" t="n">
        <v>0</v>
      </c>
    </row>
    <row r="35" customFormat="false" ht="12.8" hidden="false" customHeight="false" outlineLevel="0" collapsed="false">
      <c r="A35" s="7" t="n">
        <v>2</v>
      </c>
      <c r="B35" s="7" t="n">
        <v>0.78737808939176</v>
      </c>
      <c r="C35" s="7" t="n">
        <v>0.760208954092368</v>
      </c>
      <c r="M35" s="8" t="s">
        <v>122</v>
      </c>
      <c r="N35" s="8" t="s">
        <v>123</v>
      </c>
    </row>
    <row r="36" customFormat="false" ht="12.8" hidden="false" customHeight="false" outlineLevel="0" collapsed="false">
      <c r="A36" s="7" t="n">
        <v>3</v>
      </c>
      <c r="B36" s="7" t="n">
        <v>0.823470108869694</v>
      </c>
      <c r="C36" s="7" t="n">
        <v>0.779358920094772</v>
      </c>
      <c r="L36" s="7" t="s">
        <v>124</v>
      </c>
      <c r="M36" s="7" t="n">
        <f aca="false">AVERAGE('control_hybrid stats'!$B$34:$B$58)</f>
        <v>0.730550978390282</v>
      </c>
      <c r="N36" s="7" t="n">
        <f aca="false">AVERAGE('control_hybrid stats'!$C$34:$C$58)</f>
        <v>0.730726509513007</v>
      </c>
    </row>
    <row r="37" customFormat="false" ht="12.8" hidden="false" customHeight="false" outlineLevel="0" collapsed="false">
      <c r="A37" s="7" t="n">
        <v>4</v>
      </c>
      <c r="B37" s="7" t="n">
        <v>0.641382187119465</v>
      </c>
      <c r="C37" s="7" t="n">
        <v>0.655474168574833</v>
      </c>
      <c r="L37" s="7" t="s">
        <v>125</v>
      </c>
      <c r="M37" s="7" t="n">
        <f aca="false">VAR('control_hybrid stats'!$B$34:$B$58)</f>
        <v>0.0032014708633712</v>
      </c>
      <c r="N37" s="7" t="n">
        <f aca="false">VAR('control_hybrid stats'!$C$34:$C$58)</f>
        <v>0.00460998896090856</v>
      </c>
    </row>
    <row r="38" customFormat="false" ht="12.8" hidden="false" customHeight="false" outlineLevel="0" collapsed="false">
      <c r="A38" s="7" t="n">
        <v>5</v>
      </c>
      <c r="B38" s="7" t="n">
        <v>0.648560742045417</v>
      </c>
      <c r="C38" s="7" t="n">
        <v>0.601488270812317</v>
      </c>
      <c r="L38" s="7" t="s">
        <v>126</v>
      </c>
      <c r="M38" s="7" t="n">
        <f aca="false">COUNT('control_hybrid stats'!$B$34:$B$58)</f>
        <v>25</v>
      </c>
      <c r="N38" s="7" t="n">
        <f aca="false">COUNT('control_hybrid stats'!$C$34:$C$58)</f>
        <v>25</v>
      </c>
    </row>
    <row r="39" customFormat="false" ht="12.8" hidden="false" customHeight="false" outlineLevel="0" collapsed="false">
      <c r="A39" s="7" t="n">
        <v>6</v>
      </c>
      <c r="B39" s="7" t="n">
        <v>0.737540725804953</v>
      </c>
      <c r="C39" s="7" t="n">
        <v>0.802605111539465</v>
      </c>
      <c r="L39" s="7" t="s">
        <v>127</v>
      </c>
      <c r="M39" s="7" t="n">
        <f aca="false">CORREL('control_hybrid stats'!$B$34:$B$58,'control_hybrid stats'!$C$34:$C$58)</f>
        <v>0.759386213023102</v>
      </c>
    </row>
    <row r="40" customFormat="false" ht="12.8" hidden="false" customHeight="false" outlineLevel="0" collapsed="false">
      <c r="A40" s="7" t="n">
        <v>7</v>
      </c>
      <c r="B40" s="7" t="n">
        <v>0.634968083396197</v>
      </c>
      <c r="C40" s="7" t="n">
        <v>0.648878416428975</v>
      </c>
      <c r="L40" s="7" t="s">
        <v>128</v>
      </c>
      <c r="M40" s="7" t="n">
        <f aca="false" t="array" ref="M40:M40">AVERAGE(IF(ISODD(IF(ISNUMBER('control_hybrid stats'!$B$34:$B$58), 1, 0) * IF(ISNUMBER('control_hybrid stats'!$C$34:$C$58), 1, 0)), 'control_hybrid stats'!$B$34:$B$58 - 'control_hybrid stats'!$C$34:$C$58, "NA"))</f>
        <v>-0.000175531122724193</v>
      </c>
    </row>
    <row r="41" customFormat="false" ht="12.8" hidden="false" customHeight="false" outlineLevel="0" collapsed="false">
      <c r="A41" s="7" t="n">
        <v>8</v>
      </c>
      <c r="B41" s="7" t="n">
        <v>0.746400854814908</v>
      </c>
      <c r="C41" s="7" t="n">
        <v>0.75255045120181</v>
      </c>
      <c r="L41" s="7" t="s">
        <v>129</v>
      </c>
      <c r="M41" s="7" t="n">
        <f aca="false" t="array" ref="M41:M41">VAR(IF(ISODD(IF(ISNUMBER('control_hybrid stats'!$B$34:$B$58), 1, 0) * IF(ISNUMBER('control_hybrid stats'!$C$34:$C$58), 1, 0)), 'control_hybrid stats'!$B$34:$B$58 - 'control_hybrid stats'!$C$34:$C$58, "NA"))</f>
        <v>0.00197677470688559</v>
      </c>
    </row>
    <row r="42" customFormat="false" ht="12.8" hidden="false" customHeight="false" outlineLevel="0" collapsed="false">
      <c r="A42" s="7" t="n">
        <v>9</v>
      </c>
      <c r="B42" s="7" t="n">
        <v>0.688805343346949</v>
      </c>
      <c r="C42" s="7" t="n">
        <v>0.725998440426624</v>
      </c>
      <c r="L42" s="7" t="s">
        <v>130</v>
      </c>
      <c r="M42" s="7" t="n">
        <f aca="false" t="array" ref="M42:M42">SUM(IF(ISNUMBER('control_hybrid stats'!$B$34:$B$58), 1, 0) * IF(ISNUMBER('control_hybrid stats'!$C$34:$C$58), 1, 0)) - 1</f>
        <v>24</v>
      </c>
    </row>
    <row r="43" customFormat="false" ht="12.8" hidden="false" customHeight="false" outlineLevel="0" collapsed="false">
      <c r="A43" s="7" t="n">
        <v>10</v>
      </c>
      <c r="B43" s="7" t="n">
        <v>0.743639794674361</v>
      </c>
      <c r="C43" s="7" t="n">
        <v>0.706819355320024</v>
      </c>
      <c r="L43" s="7" t="s">
        <v>131</v>
      </c>
      <c r="M43" s="7" t="n">
        <f aca="false">('control_hybrid stats'!$M$40 - 'control_hybrid stats'!$M$34) / ('control_hybrid stats'!$M$41 / ( 'control_hybrid stats'!$M$42 + 1)) ^ 0.5</f>
        <v>-0.0197399272239903</v>
      </c>
    </row>
    <row r="44" customFormat="false" ht="12.8" hidden="false" customHeight="false" outlineLevel="0" collapsed="false">
      <c r="A44" s="7" t="n">
        <v>11</v>
      </c>
      <c r="B44" s="7" t="n">
        <v>0.7131914659308</v>
      </c>
      <c r="C44" s="7" t="n">
        <v>0.663884135279099</v>
      </c>
      <c r="L44" s="7" t="s">
        <v>132</v>
      </c>
      <c r="M44" s="7" t="n">
        <f aca="false">TDIST(ABS('control_hybrid stats'!$M$43), 'control_hybrid stats'!$M$42, 1)</f>
        <v>0.492207018606512</v>
      </c>
    </row>
    <row r="45" customFormat="false" ht="12.8" hidden="false" customHeight="false" outlineLevel="0" collapsed="false">
      <c r="A45" s="7" t="n">
        <v>12</v>
      </c>
      <c r="B45" s="7" t="n">
        <v>0.767138956921052</v>
      </c>
      <c r="C45" s="7" t="n">
        <v>0.808680515695504</v>
      </c>
      <c r="L45" s="7" t="s">
        <v>133</v>
      </c>
      <c r="M45" s="7" t="n">
        <f aca="false">TINV(2*'control_hybrid stats'!$M$33, 'control_hybrid stats'!$M$42)</f>
        <v>1.71088207990943</v>
      </c>
    </row>
    <row r="46" customFormat="false" ht="13.8" hidden="false" customHeight="false" outlineLevel="0" collapsed="false">
      <c r="A46" s="7" t="n">
        <v>13</v>
      </c>
      <c r="B46" s="7" t="n">
        <v>0.725689268577004</v>
      </c>
      <c r="C46" s="7" t="n">
        <v>0.697789785928682</v>
      </c>
      <c r="F46" s="1"/>
      <c r="G46" s="1"/>
      <c r="H46" s="1"/>
      <c r="L46" s="7" t="s">
        <v>134</v>
      </c>
      <c r="M46" s="7" t="n">
        <f aca="false">TDIST(ABS('control_hybrid stats'!$M$43), 'control_hybrid stats'!$M$42, 2)</f>
        <v>0.984414037213024</v>
      </c>
    </row>
    <row r="47" customFormat="false" ht="13.8" hidden="false" customHeight="false" outlineLevel="0" collapsed="false">
      <c r="A47" s="7" t="n">
        <v>14</v>
      </c>
      <c r="B47" s="7" t="n">
        <v>0.68375138396333</v>
      </c>
      <c r="C47" s="7" t="n">
        <v>0.749649894113733</v>
      </c>
      <c r="F47" s="1"/>
      <c r="G47" s="1"/>
      <c r="H47" s="1"/>
      <c r="L47" s="7" t="s">
        <v>135</v>
      </c>
      <c r="M47" s="7" t="n">
        <f aca="false">TINV('control_hybrid stats'!$M$33, 'control_hybrid stats'!$M$42)</f>
        <v>2.06389856162803</v>
      </c>
    </row>
    <row r="48" customFormat="false" ht="13.8" hidden="false" customHeight="false" outlineLevel="0" collapsed="false">
      <c r="A48" s="7" t="n">
        <v>15</v>
      </c>
      <c r="B48" s="7" t="n">
        <v>0.778810655140002</v>
      </c>
      <c r="C48" s="7" t="n">
        <v>0.736967328412209</v>
      </c>
      <c r="F48" s="1"/>
      <c r="G48" s="1"/>
      <c r="H48" s="1"/>
    </row>
    <row r="49" customFormat="false" ht="13.8" hidden="false" customHeight="false" outlineLevel="0" collapsed="false">
      <c r="A49" s="7" t="n">
        <v>16</v>
      </c>
      <c r="B49" s="7" t="n">
        <v>0.720712807955728</v>
      </c>
      <c r="C49" s="7" t="n">
        <v>0.764104736117937</v>
      </c>
      <c r="F49" s="1"/>
      <c r="G49" s="1"/>
      <c r="H49" s="1"/>
    </row>
    <row r="50" customFormat="false" ht="13.8" hidden="false" customHeight="false" outlineLevel="0" collapsed="false">
      <c r="A50" s="7" t="n">
        <v>17</v>
      </c>
      <c r="B50" s="7" t="n">
        <v>0.772536760552901</v>
      </c>
      <c r="C50" s="7" t="n">
        <v>0.722501085513047</v>
      </c>
      <c r="F50" s="1"/>
      <c r="G50" s="1"/>
      <c r="H50" s="1"/>
    </row>
    <row r="51" customFormat="false" ht="13.8" hidden="false" customHeight="false" outlineLevel="0" collapsed="false">
      <c r="A51" s="7" t="n">
        <v>18</v>
      </c>
      <c r="B51" s="7" t="n">
        <v>0.705400471101386</v>
      </c>
      <c r="C51" s="7" t="n">
        <v>0.68518214731593</v>
      </c>
      <c r="F51" s="1"/>
      <c r="G51" s="1"/>
      <c r="H51" s="1"/>
    </row>
    <row r="52" customFormat="false" ht="13.8" hidden="false" customHeight="false" outlineLevel="0" collapsed="false">
      <c r="A52" s="7" t="n">
        <v>19</v>
      </c>
      <c r="B52" s="7" t="n">
        <v>0.654030504893449</v>
      </c>
      <c r="C52" s="7" t="n">
        <v>0.57422986602436</v>
      </c>
      <c r="F52" s="1"/>
      <c r="G52" s="1"/>
      <c r="H52" s="1"/>
    </row>
    <row r="53" customFormat="false" ht="13.8" hidden="false" customHeight="false" outlineLevel="0" collapsed="false">
      <c r="A53" s="7" t="n">
        <v>20</v>
      </c>
      <c r="B53" s="7" t="n">
        <v>0.819935063298953</v>
      </c>
      <c r="C53" s="7" t="n">
        <v>0.862814658531392</v>
      </c>
      <c r="F53" s="1"/>
      <c r="G53" s="1"/>
      <c r="H53" s="1"/>
    </row>
    <row r="54" customFormat="false" ht="13.8" hidden="false" customHeight="false" outlineLevel="0" collapsed="false">
      <c r="A54" s="7" t="n">
        <v>21</v>
      </c>
      <c r="B54" s="7" t="n">
        <v>0.775935289730371</v>
      </c>
      <c r="C54" s="7" t="n">
        <v>0.766443599036539</v>
      </c>
      <c r="F54" s="1"/>
      <c r="G54" s="1"/>
      <c r="H54" s="1"/>
    </row>
    <row r="55" customFormat="false" ht="13.8" hidden="false" customHeight="false" outlineLevel="0" collapsed="false">
      <c r="A55" s="7" t="n">
        <v>22</v>
      </c>
      <c r="B55" s="7" t="n">
        <v>0.689306055979394</v>
      </c>
      <c r="C55" s="7" t="n">
        <v>0.757219448945817</v>
      </c>
      <c r="F55" s="1"/>
      <c r="G55" s="1"/>
      <c r="H55" s="1"/>
    </row>
    <row r="56" customFormat="false" ht="13.8" hidden="false" customHeight="false" outlineLevel="0" collapsed="false">
      <c r="A56" s="7" t="n">
        <v>23</v>
      </c>
      <c r="B56" s="7" t="n">
        <v>0.757862366672276</v>
      </c>
      <c r="C56" s="7" t="n">
        <v>0.75138094509243</v>
      </c>
      <c r="F56" s="1"/>
      <c r="G56" s="1"/>
      <c r="H56" s="1"/>
    </row>
    <row r="57" customFormat="false" ht="13.8" hidden="false" customHeight="false" outlineLevel="0" collapsed="false">
      <c r="A57" s="7" t="n">
        <v>24</v>
      </c>
      <c r="B57" s="7" t="n">
        <v>0.706727669319429</v>
      </c>
      <c r="C57" s="7" t="n">
        <v>0.783578798476775</v>
      </c>
      <c r="F57" s="1"/>
      <c r="G57" s="1"/>
      <c r="H57" s="1"/>
    </row>
    <row r="58" customFormat="false" ht="13.8" hidden="false" customHeight="false" outlineLevel="0" collapsed="false">
      <c r="A58" s="7" t="n">
        <v>25</v>
      </c>
      <c r="B58" s="7" t="n">
        <v>0.70629147268637</v>
      </c>
      <c r="C58" s="7" t="n">
        <v>0.690023913451965</v>
      </c>
      <c r="F58" s="1"/>
      <c r="G58" s="1"/>
      <c r="H58" s="1"/>
    </row>
    <row r="59" customFormat="false" ht="13.8" hidden="false" customHeight="false" outlineLevel="0" collapsed="false">
      <c r="F59" s="1"/>
      <c r="G59" s="1"/>
      <c r="H59" s="1"/>
    </row>
    <row r="60" customFormat="false" ht="13.8" hidden="false" customHeight="false" outlineLevel="0" collapsed="false">
      <c r="F60" s="1"/>
      <c r="G60" s="1"/>
      <c r="H60" s="1"/>
    </row>
    <row r="61" customFormat="false" ht="13.8" hidden="false" customHeight="false" outlineLevel="0" collapsed="false">
      <c r="F61" s="1"/>
      <c r="G61" s="1"/>
      <c r="H61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2026-02-11T16:41:07Z</dcterms:created>
  <dc:creator>openpyxl</dc:creator>
  <dc:description/>
  <dc:language>en-US</dc:language>
  <cp:lastModifiedBy/>
  <dcterms:modified xsi:type="dcterms:W3CDTF">2026-02-14T16:38:54Z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
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cen7_hybrid" sheetId="1" state="visible" r:id="rId3"/>
    <sheet name="Notes" sheetId="2" state="visible" r:id="rId4"/>
    <sheet name="actdel_prompt_response" sheetId="3" state="visible" r:id="rId5"/>
    <sheet name="inter_system_sta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<sst xmlns="http://schemas.openxmlformats.org/spreadsheetml/2006/main" count="820" uniqueCount="140">
  <si>
    <t xml:space="preserve">turnId</t>
  </si>
  <si>
    <t xml:space="preserve">user_id</t>
  </si>
  <si>
    <t xml:space="preserve">assistant_id</t>
  </si>
  <si>
    <t xml:space="preserve">projectName</t>
  </si>
  <si>
    <t xml:space="preserve">sessionName</t>
  </si>
  <si>
    <t xml:space="preserve">seq</t>
  </si>
  <si>
    <t xml:space="preserve">anchorName</t>
  </si>
  <si>
    <t xml:space="preserve">weight</t>
  </si>
  <si>
    <t xml:space="preserve">promptSim</t>
  </si>
  <si>
    <t xml:space="preserve">responseSim</t>
  </si>
  <si>
    <t xml:space="preserve">activation delta</t>
  </si>
  <si>
    <t xml:space="preserve">prompt_to_response</t>
  </si>
  <si>
    <t xml:space="preserve">count</t>
  </si>
  <si>
    <t xml:space="preserve">activation delta average</t>
  </si>
  <si>
    <t xml:space="preserve">correlation weights / activation delta</t>
  </si>
  <si>
    <t xml:space="preserve">p</t>
  </si>
  <si>
    <t xml:space="preserve">937b6ccc-6f0d-4a63-b80a-779859c628c5</t>
  </si>
  <si>
    <t xml:space="preserve">cmjjugzdk00g0zceeze9t0p2j</t>
  </si>
  <si>
    <t xml:space="preserve">cmjjui33y00ghzceeowd1wpeh</t>
  </si>
  <si>
    <t xml:space="preserve">hybrid_v3_5</t>
  </si>
  <si>
    <t xml:space="preserve">Scenario_7</t>
  </si>
  <si>
    <t xml:space="preserve">temporal_dynamics</t>
  </si>
  <si>
    <t xml:space="preserve">imagination_and_possibility</t>
  </si>
  <si>
    <t xml:space="preserve">affective_interface</t>
  </si>
  <si>
    <t xml:space="preserve">truth_and_fact</t>
  </si>
  <si>
    <t xml:space="preserve">d2817632-926f-4904-aa49-3bda712ab08c</t>
  </si>
  <si>
    <t xml:space="preserve">cmjjuivvf00glzceea066cb7b</t>
  </si>
  <si>
    <t xml:space="preserve">cmjjujcq500h2zcee45ucikpe</t>
  </si>
  <si>
    <t xml:space="preserve">36d4d1a5-59e4-41b1-b6c2-61c5d080cd6b</t>
  </si>
  <si>
    <t xml:space="preserve">cmjjujwln00h6zceelx4ss03s</t>
  </si>
  <si>
    <t xml:space="preserve">cmjjuki0w00hnzcee9n49ep9n</t>
  </si>
  <si>
    <t xml:space="preserve">identity</t>
  </si>
  <si>
    <t xml:space="preserve">electricity</t>
  </si>
  <si>
    <t xml:space="preserve">fa3ff29c-6efe-46bb-b339-b3218ac47ff5</t>
  </si>
  <si>
    <t xml:space="preserve">cmjjulpgw00hrzcee4oabclrw</t>
  </si>
  <si>
    <t xml:space="preserve">cmjjumc5z00i8zceem4dlf59z</t>
  </si>
  <si>
    <t xml:space="preserve">context_dependent_expression</t>
  </si>
  <si>
    <t xml:space="preserve">practicality_and_feasibility</t>
  </si>
  <si>
    <t xml:space="preserve">0a226805-03a0-4280-8a93-344cdf2c3d3a</t>
  </si>
  <si>
    <t xml:space="preserve">cmjjumtb800iczcee1hlh3vg7</t>
  </si>
  <si>
    <t xml:space="preserve">cmjjunbex00itzceeq6y4fmbw</t>
  </si>
  <si>
    <t xml:space="preserve">3f571272-2932-4560-8efb-6dae8851d277</t>
  </si>
  <si>
    <t xml:space="preserve">cmjjup3f400ixzceebclh0qls</t>
  </si>
  <si>
    <t xml:space="preserve">cmjjupmef00jezcee38lbtkz4</t>
  </si>
  <si>
    <t xml:space="preserve">8239be2e-c8d1-4663-bde6-478b825a5d0c</t>
  </si>
  <si>
    <t xml:space="preserve">cmjjuribh00jizceeybbqshof</t>
  </si>
  <si>
    <t xml:space="preserve">cmjjuryzv00jzzceepojripr3</t>
  </si>
  <si>
    <t xml:space="preserve">116a99fb-ae5c-41f4-8506-6c3a39afae14</t>
  </si>
  <si>
    <t xml:space="preserve">cmjjus5q600k3zceedl2h3ei8</t>
  </si>
  <si>
    <t xml:space="preserve">cmjjusnt800kkzceedn0b17ml</t>
  </si>
  <si>
    <t xml:space="preserve">sovereignty</t>
  </si>
  <si>
    <t xml:space="preserve">9c4297b4-c804-4359-ac65-10d77e2fbdcb</t>
  </si>
  <si>
    <t xml:space="preserve">cmjjut2uo00kozceeelbw6bfn</t>
  </si>
  <si>
    <t xml:space="preserve">cmjjutovk00l5zceeo9kkutp1</t>
  </si>
  <si>
    <t xml:space="preserve">8cf76ab6-63df-4b69-baa2-82e90e193f1b</t>
  </si>
  <si>
    <t xml:space="preserve">cmjjuvyj500l9zcee3sojvr43</t>
  </si>
  <si>
    <t xml:space="preserve">cmjjuwqdb00lqzceescmstdl2</t>
  </si>
  <si>
    <t xml:space="preserve">freedom_and_limitations</t>
  </si>
  <si>
    <t xml:space="preserve">mathematics_computer_science_engineering</t>
  </si>
  <si>
    <t xml:space="preserve">ec886333-88a1-4b8b-8005-7214afcbb180</t>
  </si>
  <si>
    <t xml:space="preserve">cmjjux08900luzcee60fkkph1</t>
  </si>
  <si>
    <t xml:space="preserve">cmjjuxddj00mbzceec6sg5phe</t>
  </si>
  <si>
    <t xml:space="preserve">science</t>
  </si>
  <si>
    <t xml:space="preserve">9e47a5b6-1717-4c19-a021-ba33ad0b0f57</t>
  </si>
  <si>
    <t xml:space="preserve">cmjjuy0dm00mfzceewj30972d</t>
  </si>
  <si>
    <t xml:space="preserve">cmjjuyj6c00mwzcee0yvj52y2</t>
  </si>
  <si>
    <t xml:space="preserve">f9e71100-4205-4121-9516-1b948a5365be</t>
  </si>
  <si>
    <t xml:space="preserve">cmjjuyye300n0zceewjec3baa</t>
  </si>
  <si>
    <t xml:space="preserve">cmjjuzg0n00nhzceej808zs1w</t>
  </si>
  <si>
    <t xml:space="preserve">6b5e6812-5b3f-430b-8e76-b99245b94687</t>
  </si>
  <si>
    <t xml:space="preserve">cmjjv0enz00nlzceejkhnghu6</t>
  </si>
  <si>
    <t xml:space="preserve">cmjjv0xiu00o2zceepnnctzz6</t>
  </si>
  <si>
    <t xml:space="preserve">71c04148-b933-49fc-a2da-e89665a808a5</t>
  </si>
  <si>
    <t xml:space="preserve">cmjjv13bn00o6zcee6i8y9c1t</t>
  </si>
  <si>
    <t xml:space="preserve">cmjjv1jho00onzceejhn6n5vt</t>
  </si>
  <si>
    <t xml:space="preserve">9de3f9dd-52f2-418e-806b-cf4f4ac21366</t>
  </si>
  <si>
    <t xml:space="preserve">cmjjv208h00orzceeuff4a8hf</t>
  </si>
  <si>
    <t xml:space="preserve">cmjjv2e5j00p8zceei95h3paw</t>
  </si>
  <si>
    <t xml:space="preserve">e3475b66-bd75-4b2a-a850-01c2039025f3</t>
  </si>
  <si>
    <t xml:space="preserve">cmjjv2pna00pczceeqryia85p</t>
  </si>
  <si>
    <t xml:space="preserve">cmjjv35gl00ptzceedb0bcut9</t>
  </si>
  <si>
    <t xml:space="preserve">552d37ea-c406-4424-baa9-5bd1f5221a50</t>
  </si>
  <si>
    <t xml:space="preserve">cmjjv3iak00pxzceeuxxgyny7</t>
  </si>
  <si>
    <t xml:space="preserve">cmjjv3v3700qezceeyhk2n71h</t>
  </si>
  <si>
    <t xml:space="preserve">4fec8544-ac42-418f-921a-c4769f748a35</t>
  </si>
  <si>
    <t xml:space="preserve">cmjjv42lj00qizcee8l149pwh</t>
  </si>
  <si>
    <t xml:space="preserve">cmjjv4je400qzzceesa1plthj</t>
  </si>
  <si>
    <t xml:space="preserve">f586d3cb-1a91-4e9a-9d37-65de41ae528d</t>
  </si>
  <si>
    <t xml:space="preserve">cmjjv55dx00r3zceegnk9eu7o</t>
  </si>
  <si>
    <t xml:space="preserve">cmjjv5mj600rkzceeyfedljgc</t>
  </si>
  <si>
    <t xml:space="preserve">5d307000-a2c2-4131-a3ee-bb4887a6f48d</t>
  </si>
  <si>
    <t xml:space="preserve">cmjjv5z0200rozceek9dh5hua</t>
  </si>
  <si>
    <t xml:space="preserve">cmjjv6h6000s5zceeh4b70in5</t>
  </si>
  <si>
    <t xml:space="preserve">e325d714-b570-4250-9d00-b7cfc10cde01</t>
  </si>
  <si>
    <t xml:space="preserve">cmjjv75da00s9zceeiw7z87fv</t>
  </si>
  <si>
    <t xml:space="preserve">cmjjv7jtr00sqzceel1qjlyw9</t>
  </si>
  <si>
    <t xml:space="preserve">4f82c915-8b74-45be-88c6-97ba897b06a9</t>
  </si>
  <si>
    <t xml:space="preserve">cmjjv7tug00suzcee06j91h0p</t>
  </si>
  <si>
    <t xml:space="preserve">cmjjv8hbb00tbzcee92ed86km</t>
  </si>
  <si>
    <t xml:space="preserve">32b90f28-5435-4b28-a621-cf3b0730b1b5</t>
  </si>
  <si>
    <t xml:space="preserve">cmjjv8wby00tfzceeelh72v3t</t>
  </si>
  <si>
    <t xml:space="preserve">cmjjv9bjz00twzceetl45tr6w</t>
  </si>
  <si>
    <t xml:space="preserve">50c6e73f-43d3-46aa-a4e1-479ffd87dee3</t>
  </si>
  <si>
    <t xml:space="preserve">cmjjv9ojb00u0zceey9sq4gmd</t>
  </si>
  <si>
    <t xml:space="preserve">cmjjva7z800uhzceedv2cegl5</t>
  </si>
  <si>
    <t xml:space="preserve">p calculation</t>
  </si>
  <si>
    <t xml:space="preserve">1. count</t>
  </si>
  <si>
    <t xml:space="preserve">2.  t statistic</t>
  </si>
  <si>
    <t xml:space="preserve">3. p</t>
  </si>
  <si>
    <t xml:space="preserve">Prompt-response</t>
  </si>
  <si>
    <t xml:space="preserve">Turn</t>
  </si>
  <si>
    <t xml:space="preserve">Hybrid</t>
  </si>
  <si>
    <t xml:space="preserve">control</t>
  </si>
  <si>
    <t xml:space="preserve">std. Hybrid</t>
  </si>
  <si>
    <t xml:space="preserve">std. Control</t>
  </si>
  <si>
    <t xml:space="preserve">F. test</t>
  </si>
  <si>
    <t xml:space="preserve">T. Test equal variances</t>
  </si>
  <si>
    <t xml:space="preserve">T.Test unequal</t>
  </si>
  <si>
    <t xml:space="preserve">Mean difference</t>
  </si>
  <si>
    <t xml:space="preserve">Mean hybrid</t>
  </si>
  <si>
    <t xml:space="preserve">Mean control</t>
  </si>
  <si>
    <t xml:space="preserve">General</t>
  </si>
  <si>
    <t xml:space="preserve">ac15p</t>
  </si>
  <si>
    <t xml:space="preserve">Paired t-test</t>
  </si>
  <si>
    <t xml:space="preserve">Alpha</t>
  </si>
  <si>
    <t xml:space="preserve">Hypothesized Mean Difference</t>
  </si>
  <si>
    <t xml:space="preserve">Variable 1</t>
  </si>
  <si>
    <t xml:space="preserve">Variable 2</t>
  </si>
  <si>
    <t xml:space="preserve">Mean</t>
  </si>
  <si>
    <t xml:space="preserve">Variance</t>
  </si>
  <si>
    <t xml:space="preserve">Observations</t>
  </si>
  <si>
    <t xml:space="preserve">Pearson Correlation</t>
  </si>
  <si>
    <t xml:space="preserve">Observed Mean Difference</t>
  </si>
  <si>
    <t xml:space="preserve">Variance of the Differences</t>
  </si>
  <si>
    <t xml:space="preserve">df</t>
  </si>
  <si>
    <t xml:space="preserve">t Stat</t>
  </si>
  <si>
    <t xml:space="preserve">P (T&lt;=t) one-tail</t>
  </si>
  <si>
    <t xml:space="preserve">t Critical one-tail</t>
  </si>
  <si>
    <t xml:space="preserve">P (T&lt;=t) two-tail</t>
  </si>
  <si>
    <t xml:space="preserve">t Critical two-tail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</si>
</sst>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;[RED]\-0.000000"/>
  </numFmts>
  <fonts count="6">
    <font>
      <sz val="9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b val="true"/>
      <sz val="9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center" vertical="center" textRotation="0" wrapText="true" indent="0" shrinkToFit="false"/>
    </xf>
  </cellStyleXfs>
  <cellXfs count="13">
    <xf numFmtId="164" fontId="0" fillId="0" borderId="0" xfId="0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dam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actdel_prompt_response!$B$2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actdel_prompt_response!$A$3:$A$27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actdel_prompt_response!$B$3:$B$27</c:f>
              <c:numCache>
                <c:formatCode>General</c:formatCode>
                <c:ptCount val="25"/>
                <c:pt idx="0">
                  <c:v>0.745618221992126</c:v>
                </c:pt>
                <c:pt idx="1">
                  <c:v>0.731965622484604</c:v>
                </c:pt>
                <c:pt idx="2">
                  <c:v>0.556349411838211</c:v>
                </c:pt>
                <c:pt idx="3">
                  <c:v>0.746961278269468</c:v>
                </c:pt>
                <c:pt idx="4">
                  <c:v>0.736303129517049</c:v>
                </c:pt>
                <c:pt idx="5">
                  <c:v>0.693060520928815</c:v>
                </c:pt>
                <c:pt idx="6">
                  <c:v>0.748597564255249</c:v>
                </c:pt>
                <c:pt idx="7">
                  <c:v>0.705165938537343</c:v>
                </c:pt>
                <c:pt idx="8">
                  <c:v>0.750368716676119</c:v>
                </c:pt>
                <c:pt idx="9">
                  <c:v>0.682432996770851</c:v>
                </c:pt>
                <c:pt idx="10">
                  <c:v>0.72387381443217</c:v>
                </c:pt>
                <c:pt idx="11">
                  <c:v>0.667701763619203</c:v>
                </c:pt>
                <c:pt idx="12">
                  <c:v>0.72995268032519</c:v>
                </c:pt>
                <c:pt idx="13">
                  <c:v>0.79516955513513</c:v>
                </c:pt>
                <c:pt idx="14">
                  <c:v>0.641361051891741</c:v>
                </c:pt>
                <c:pt idx="15">
                  <c:v>0.758550116405013</c:v>
                </c:pt>
                <c:pt idx="16">
                  <c:v>0.694176028461883</c:v>
                </c:pt>
                <c:pt idx="17">
                  <c:v>0.753547411776315</c:v>
                </c:pt>
                <c:pt idx="18">
                  <c:v>0.718473139733635</c:v>
                </c:pt>
                <c:pt idx="19">
                  <c:v>0.754538991520845</c:v>
                </c:pt>
                <c:pt idx="20">
                  <c:v>0.71601754844973</c:v>
                </c:pt>
                <c:pt idx="21">
                  <c:v>0.751876513039488</c:v>
                </c:pt>
                <c:pt idx="22">
                  <c:v>0.717330086490848</c:v>
                </c:pt>
                <c:pt idx="23">
                  <c:v>0.810165160416988</c:v>
                </c:pt>
                <c:pt idx="24">
                  <c:v>0.72772399535443</c:v>
                </c:pt>
              </c:numCache>
            </c:numRef>
          </c:yVal>
          <c:smooth val="0"/>
        </c:ser>
        <c:axId val="14457551"/>
        <c:axId val="86779522"/>
      </c:scatterChart>
      <c:valAx>
        <c:axId val="1445755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6779522"/>
        <c:crosses val="autoZero"/>
        <c:crossBetween val="midCat"/>
      </c:valAx>
      <c:valAx>
        <c:axId val="8677952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445755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inter_system_stats!$B$3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inter_system_stats!$B$4:$B$28</c:f>
              <c:numCache>
                <c:formatCode>General</c:formatCode>
                <c:ptCount val="25"/>
                <c:pt idx="0">
                  <c:v>0.745618221992126</c:v>
                </c:pt>
                <c:pt idx="1">
                  <c:v>0.731965622484604</c:v>
                </c:pt>
                <c:pt idx="2">
                  <c:v>0.556349411838211</c:v>
                </c:pt>
                <c:pt idx="3">
                  <c:v>0.746961278269468</c:v>
                </c:pt>
                <c:pt idx="4">
                  <c:v>0.736303129517049</c:v>
                </c:pt>
                <c:pt idx="5">
                  <c:v>0.693060520928815</c:v>
                </c:pt>
                <c:pt idx="6">
                  <c:v>0.748597564255249</c:v>
                </c:pt>
                <c:pt idx="7">
                  <c:v>0.705165938537343</c:v>
                </c:pt>
                <c:pt idx="8">
                  <c:v>0.750368716676119</c:v>
                </c:pt>
                <c:pt idx="9">
                  <c:v>0.682432996770851</c:v>
                </c:pt>
                <c:pt idx="10">
                  <c:v>0.72387381443217</c:v>
                </c:pt>
                <c:pt idx="11">
                  <c:v>0.667701763619203</c:v>
                </c:pt>
                <c:pt idx="12">
                  <c:v>0.72995268032519</c:v>
                </c:pt>
                <c:pt idx="13">
                  <c:v>0.79516955513513</c:v>
                </c:pt>
                <c:pt idx="14">
                  <c:v>0.641361051891741</c:v>
                </c:pt>
                <c:pt idx="15">
                  <c:v>0.758550116405013</c:v>
                </c:pt>
                <c:pt idx="16">
                  <c:v>0.694176028461883</c:v>
                </c:pt>
                <c:pt idx="17">
                  <c:v>0.753547411776315</c:v>
                </c:pt>
                <c:pt idx="18">
                  <c:v>0.718473139733635</c:v>
                </c:pt>
                <c:pt idx="19">
                  <c:v>0.754538991520845</c:v>
                </c:pt>
                <c:pt idx="20">
                  <c:v>0.71601754844973</c:v>
                </c:pt>
                <c:pt idx="21">
                  <c:v>0.751876513039488</c:v>
                </c:pt>
                <c:pt idx="22">
                  <c:v>0.717330086490848</c:v>
                </c:pt>
                <c:pt idx="23">
                  <c:v>0.810165160416988</c:v>
                </c:pt>
                <c:pt idx="24">
                  <c:v>0.72772399535443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inter_system_stats!$C$3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inter_system_stats!$C$4:$C$28</c:f>
              <c:numCache>
                <c:formatCode>General</c:formatCode>
                <c:ptCount val="25"/>
                <c:pt idx="0">
                  <c:v>0.780357842803317</c:v>
                </c:pt>
                <c:pt idx="1">
                  <c:v>0.416207094658953</c:v>
                </c:pt>
                <c:pt idx="2">
                  <c:v>0.440694734258005</c:v>
                </c:pt>
                <c:pt idx="3">
                  <c:v>0.50298342709053</c:v>
                </c:pt>
                <c:pt idx="4">
                  <c:v>0.648378238204048</c:v>
                </c:pt>
                <c:pt idx="5">
                  <c:v>0.556905413484638</c:v>
                </c:pt>
                <c:pt idx="6">
                  <c:v>0.676587781456039</c:v>
                </c:pt>
                <c:pt idx="7">
                  <c:v>0.537556987618538</c:v>
                </c:pt>
                <c:pt idx="8">
                  <c:v>0.547450655337536</c:v>
                </c:pt>
                <c:pt idx="9">
                  <c:v>0.404475709994457</c:v>
                </c:pt>
                <c:pt idx="10">
                  <c:v>0.573512450710954</c:v>
                </c:pt>
                <c:pt idx="11">
                  <c:v>0.688426389427952</c:v>
                </c:pt>
                <c:pt idx="12">
                  <c:v>0.536732539192105</c:v>
                </c:pt>
                <c:pt idx="13">
                  <c:v>0.706905423359106</c:v>
                </c:pt>
                <c:pt idx="14">
                  <c:v>0.559275980049327</c:v>
                </c:pt>
                <c:pt idx="15">
                  <c:v>0.696687598503719</c:v>
                </c:pt>
                <c:pt idx="16">
                  <c:v>0.48999145280364</c:v>
                </c:pt>
                <c:pt idx="17">
                  <c:v>0.703777326026319</c:v>
                </c:pt>
                <c:pt idx="18">
                  <c:v>0.538311826027795</c:v>
                </c:pt>
                <c:pt idx="19">
                  <c:v>0.658619577213029</c:v>
                </c:pt>
                <c:pt idx="20">
                  <c:v>0.407653544913038</c:v>
                </c:pt>
                <c:pt idx="21">
                  <c:v>0.515876791249462</c:v>
                </c:pt>
                <c:pt idx="22">
                  <c:v>0.47404366030989</c:v>
                </c:pt>
                <c:pt idx="23">
                  <c:v>0.690137110745753</c:v>
                </c:pt>
                <c:pt idx="24">
                  <c:v>0.454708104680646</c:v>
                </c:pt>
              </c:numCache>
            </c:numRef>
          </c:yVal>
          <c:smooth val="0"/>
        </c:ser>
        <c:axId val="47392889"/>
        <c:axId val="98606017"/>
      </c:scatterChart>
      <c:valAx>
        <c:axId val="4739288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8606017"/>
        <c:crosses val="autoZero"/>
        <c:crossBetween val="midCat"/>
      </c:valAx>
      <c:valAx>
        <c:axId val="9860601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739288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47520</xdr:colOff>
      <xdr:row>2</xdr:row>
      <xdr:rowOff>92880</xdr:rowOff>
    </xdr:from>
    <xdr:to>
      <xdr:col>10</xdr:col>
      <xdr:colOff>110160</xdr:colOff>
      <xdr:row>22</xdr:row>
      <xdr:rowOff>77040</xdr:rowOff>
    </xdr:to>
    <xdr:graphicFrame>
      <xdr:nvGraphicFramePr>
        <xdr:cNvPr id="1" name=""/>
        <xdr:cNvGraphicFramePr/>
      </xdr:nvGraphicFramePr>
      <xdr:xfrm>
        <a:off x="2485800" y="417960"/>
        <a:ext cx="5752440" cy="323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1234800</xdr:colOff>
      <xdr:row>7</xdr:row>
      <xdr:rowOff>7560</xdr:rowOff>
    </xdr:from>
    <xdr:to>
      <xdr:col>9</xdr:col>
      <xdr:colOff>249840</xdr:colOff>
      <xdr:row>26</xdr:row>
      <xdr:rowOff>154800</xdr:rowOff>
    </xdr:to>
    <xdr:graphicFrame>
      <xdr:nvGraphicFramePr>
        <xdr:cNvPr id="2" name=""/>
        <xdr:cNvGraphicFramePr/>
      </xdr:nvGraphicFramePr>
      <xdr:xfrm>
        <a:off x="4485960" y="1145520"/>
        <a:ext cx="5764320" cy="323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Q2" activeCellId="1" sqref="E4:L4 Q2"/>
    </sheetView>
  </sheetViews>
  <sheetFormatPr defaultColWidth="10.5859375" defaultRowHeight="15" customHeight="false" zeroHeight="false" outlineLevelRow="0" outlineLevelCol="0"/>
  <cols>
    <col collapsed="false" customWidth="true" hidden="false" outlineLevel="0" max="4" min="4" style="1" width="12.78"/>
    <col collapsed="false" customWidth="true" hidden="false" outlineLevel="0" max="5" min="5" style="1" width="13.12"/>
    <col collapsed="false" customWidth="true" hidden="false" outlineLevel="0" max="6" min="6" style="1" width="4.8"/>
    <col collapsed="false" customWidth="true" hidden="false" outlineLevel="0" max="7" min="7" style="1" width="39.93"/>
    <col collapsed="false" customWidth="true" hidden="false" outlineLevel="0" max="8" min="8" style="1" width="7.68"/>
    <col collapsed="false" customWidth="true" hidden="false" outlineLevel="0" max="9" min="9" style="1" width="19.74"/>
    <col collapsed="false" customWidth="true" hidden="false" outlineLevel="0" max="10" min="10" style="1" width="18.71"/>
    <col collapsed="false" customWidth="true" hidden="false" outlineLevel="0" max="11" min="11" style="1" width="21.77"/>
    <col collapsed="false" customWidth="true" hidden="false" outlineLevel="0" max="12" min="12" style="1" width="19.22"/>
    <col collapsed="false" customWidth="true" hidden="false" outlineLevel="0" max="17" min="17" style="0" width="18.71"/>
    <col collapsed="false" customWidth="true" hidden="false" outlineLevel="0" max="18" min="18" style="1" width="18.71"/>
    <col collapsed="false" customWidth="true" hidden="false" outlineLevel="0" max="19" min="19" style="1" width="14.07"/>
  </cols>
  <sheetData>
    <row r="1" customFormat="false" ht="19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P1" s="2" t="s">
        <v>12</v>
      </c>
      <c r="Q1" s="2" t="s">
        <v>13</v>
      </c>
      <c r="R1" s="2" t="s">
        <v>14</v>
      </c>
      <c r="S1" s="3" t="s">
        <v>15</v>
      </c>
    </row>
    <row r="2" customFormat="false" ht="15" hidden="false" customHeight="false" outlineLevel="0" collapsed="false">
      <c r="P2" s="4" t="n">
        <f aca="false">COUNT(K3:K129)</f>
        <v>127</v>
      </c>
      <c r="Q2" s="4" t="n">
        <f aca="false">AVERAGE(K3:K129)</f>
        <v>0.0451170162812093</v>
      </c>
      <c r="R2" s="4" t="n">
        <f aca="false">CORREL(H3:H129,K3:K129)</f>
        <v>0.144407810075167</v>
      </c>
      <c r="S2" s="4" t="n">
        <v>0.1053</v>
      </c>
    </row>
    <row r="3" customFormat="false" ht="15" hidden="false" customHeight="false" outlineLevel="0" collapsed="false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n">
        <v>0</v>
      </c>
      <c r="G3" s="1" t="s">
        <v>21</v>
      </c>
      <c r="H3" s="1" t="n">
        <v>0.3218</v>
      </c>
      <c r="I3" s="1" t="n">
        <v>0.232365962350736</v>
      </c>
      <c r="J3" s="1" t="n">
        <v>0.320794206199304</v>
      </c>
      <c r="K3" s="1" t="n">
        <f aca="false">J3-I3</f>
        <v>0.0884282438485679</v>
      </c>
      <c r="L3" s="1" t="n">
        <v>0.745618221992126</v>
      </c>
    </row>
    <row r="4" customFormat="false" ht="15" hidden="false" customHeight="false" outlineLevel="0" collapsed="false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n">
        <v>0</v>
      </c>
      <c r="G4" s="1" t="s">
        <v>22</v>
      </c>
      <c r="H4" s="1" t="n">
        <v>0.2954</v>
      </c>
      <c r="I4" s="1" t="n">
        <v>0.213281800739195</v>
      </c>
      <c r="J4" s="1" t="n">
        <v>0.300149873176821</v>
      </c>
      <c r="K4" s="1" t="n">
        <f aca="false">J4-I4</f>
        <v>0.086868072437626</v>
      </c>
      <c r="L4" s="1" t="n">
        <v>0.745618221992126</v>
      </c>
    </row>
    <row r="5" customFormat="false" ht="15" hidden="false" customHeight="false" outlineLevel="0" collapsed="false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1" t="n">
        <v>0</v>
      </c>
      <c r="G5" s="1" t="s">
        <v>23</v>
      </c>
      <c r="H5" s="1" t="n">
        <v>0.2828</v>
      </c>
      <c r="I5" s="1" t="n">
        <v>0.204191186213228</v>
      </c>
      <c r="J5" s="1" t="n">
        <v>0.337899558096049</v>
      </c>
      <c r="K5" s="1" t="n">
        <f aca="false">J5-I5</f>
        <v>0.133708371882821</v>
      </c>
      <c r="L5" s="1" t="n">
        <v>0.745618221992126</v>
      </c>
    </row>
    <row r="6" customFormat="false" ht="15" hidden="false" customHeight="false" outlineLevel="0" collapsed="false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n">
        <v>0</v>
      </c>
      <c r="G6" s="1" t="s">
        <v>24</v>
      </c>
      <c r="H6" s="1" t="n">
        <v>0.1</v>
      </c>
      <c r="I6" s="1" t="n">
        <v>0.141388294563291</v>
      </c>
      <c r="J6" s="1" t="n">
        <v>0.278909633589025</v>
      </c>
      <c r="K6" s="1" t="n">
        <f aca="false">J6-I6</f>
        <v>0.137521339025734</v>
      </c>
      <c r="L6" s="1" t="n">
        <v>0.745618221992126</v>
      </c>
    </row>
    <row r="7" customFormat="false" ht="15" hidden="false" customHeight="false" outlineLevel="0" collapsed="false">
      <c r="A7" s="1" t="s">
        <v>25</v>
      </c>
      <c r="B7" s="1" t="s">
        <v>26</v>
      </c>
      <c r="C7" s="1" t="s">
        <v>27</v>
      </c>
      <c r="D7" s="1" t="s">
        <v>19</v>
      </c>
      <c r="E7" s="1" t="s">
        <v>20</v>
      </c>
      <c r="F7" s="1" t="n">
        <v>2</v>
      </c>
      <c r="G7" s="1" t="s">
        <v>22</v>
      </c>
      <c r="H7" s="1" t="n">
        <v>0.9</v>
      </c>
      <c r="I7" s="1" t="n">
        <v>0.207993748927817</v>
      </c>
      <c r="J7" s="1" t="n">
        <v>0.320415601884142</v>
      </c>
      <c r="K7" s="1" t="n">
        <f aca="false">J7-I7</f>
        <v>0.112421852956325</v>
      </c>
      <c r="L7" s="1" t="n">
        <v>0.731965622484604</v>
      </c>
    </row>
    <row r="8" customFormat="false" ht="15" hidden="false" customHeight="false" outlineLevel="0" collapsed="false">
      <c r="A8" s="1" t="s">
        <v>25</v>
      </c>
      <c r="B8" s="1" t="s">
        <v>26</v>
      </c>
      <c r="C8" s="1" t="s">
        <v>27</v>
      </c>
      <c r="D8" s="1" t="s">
        <v>19</v>
      </c>
      <c r="E8" s="1" t="s">
        <v>20</v>
      </c>
      <c r="F8" s="1" t="n">
        <v>2</v>
      </c>
      <c r="G8" s="1" t="s">
        <v>24</v>
      </c>
      <c r="H8" s="1" t="n">
        <v>0.1</v>
      </c>
      <c r="I8" s="1" t="n">
        <v>0.146052588775726</v>
      </c>
      <c r="J8" s="1" t="n">
        <v>0.26708672363326</v>
      </c>
      <c r="K8" s="1" t="n">
        <f aca="false">J8-I8</f>
        <v>0.121034134857534</v>
      </c>
      <c r="L8" s="1" t="n">
        <v>0.731965622484604</v>
      </c>
    </row>
    <row r="9" customFormat="false" ht="15" hidden="false" customHeight="false" outlineLevel="0" collapsed="false">
      <c r="A9" s="1" t="s">
        <v>28</v>
      </c>
      <c r="B9" s="1" t="s">
        <v>29</v>
      </c>
      <c r="C9" s="1" t="s">
        <v>30</v>
      </c>
      <c r="D9" s="1" t="s">
        <v>19</v>
      </c>
      <c r="E9" s="1" t="s">
        <v>20</v>
      </c>
      <c r="F9" s="1" t="n">
        <v>4</v>
      </c>
      <c r="G9" s="1" t="s">
        <v>23</v>
      </c>
      <c r="H9" s="1" t="n">
        <v>0.303</v>
      </c>
      <c r="I9" s="1" t="n">
        <v>0.224581659034299</v>
      </c>
      <c r="J9" s="1" t="n">
        <v>0.306388925792846</v>
      </c>
      <c r="K9" s="1" t="n">
        <f aca="false">J9-I9</f>
        <v>0.0818072667585466</v>
      </c>
      <c r="L9" s="1" t="n">
        <v>0.556349411838211</v>
      </c>
    </row>
    <row r="10" customFormat="false" ht="15" hidden="false" customHeight="false" outlineLevel="0" collapsed="false">
      <c r="A10" s="1" t="s">
        <v>28</v>
      </c>
      <c r="B10" s="1" t="s">
        <v>29</v>
      </c>
      <c r="C10" s="1" t="s">
        <v>30</v>
      </c>
      <c r="D10" s="1" t="s">
        <v>19</v>
      </c>
      <c r="E10" s="1" t="s">
        <v>20</v>
      </c>
      <c r="F10" s="1" t="n">
        <v>4</v>
      </c>
      <c r="G10" s="1" t="s">
        <v>31</v>
      </c>
      <c r="H10" s="1" t="n">
        <v>0.3003</v>
      </c>
      <c r="I10" s="1" t="n">
        <v>0.222565910687734</v>
      </c>
      <c r="J10" s="1" t="n">
        <v>0.253831322963866</v>
      </c>
      <c r="K10" s="1" t="n">
        <f aca="false">J10-I10</f>
        <v>0.0312654122761317</v>
      </c>
      <c r="L10" s="1" t="n">
        <v>0.556349411838211</v>
      </c>
    </row>
    <row r="11" customFormat="false" ht="15" hidden="false" customHeight="false" outlineLevel="0" collapsed="false">
      <c r="A11" s="1" t="s">
        <v>28</v>
      </c>
      <c r="B11" s="1" t="s">
        <v>29</v>
      </c>
      <c r="C11" s="1" t="s">
        <v>30</v>
      </c>
      <c r="D11" s="1" t="s">
        <v>19</v>
      </c>
      <c r="E11" s="1" t="s">
        <v>20</v>
      </c>
      <c r="F11" s="1" t="n">
        <v>4</v>
      </c>
      <c r="G11" s="1" t="s">
        <v>32</v>
      </c>
      <c r="H11" s="1" t="n">
        <v>0.2967</v>
      </c>
      <c r="I11" s="1" t="n">
        <v>0.219863269935099</v>
      </c>
      <c r="J11" s="1" t="n">
        <v>0.176579745459298</v>
      </c>
      <c r="K11" s="1" t="n">
        <f aca="false">J11-I11</f>
        <v>-0.0432835244758013</v>
      </c>
      <c r="L11" s="1" t="n">
        <v>0.556349411838211</v>
      </c>
    </row>
    <row r="12" customFormat="false" ht="15" hidden="false" customHeight="false" outlineLevel="0" collapsed="false">
      <c r="A12" s="1" t="s">
        <v>28</v>
      </c>
      <c r="B12" s="1" t="s">
        <v>29</v>
      </c>
      <c r="C12" s="1" t="s">
        <v>30</v>
      </c>
      <c r="D12" s="1" t="s">
        <v>19</v>
      </c>
      <c r="E12" s="1" t="s">
        <v>20</v>
      </c>
      <c r="F12" s="1" t="n">
        <v>4</v>
      </c>
      <c r="G12" s="1" t="s">
        <v>24</v>
      </c>
      <c r="H12" s="1" t="n">
        <v>0.1</v>
      </c>
      <c r="I12" s="1" t="n">
        <v>0.152441671356278</v>
      </c>
      <c r="J12" s="1" t="n">
        <v>0.259747586324107</v>
      </c>
      <c r="K12" s="1" t="n">
        <f aca="false">J12-I12</f>
        <v>0.107305914967829</v>
      </c>
      <c r="L12" s="1" t="n">
        <v>0.556349411838211</v>
      </c>
    </row>
    <row r="13" customFormat="false" ht="15" hidden="false" customHeight="false" outlineLevel="0" collapsed="false">
      <c r="A13" s="1" t="s">
        <v>33</v>
      </c>
      <c r="B13" s="1" t="s">
        <v>34</v>
      </c>
      <c r="C13" s="1" t="s">
        <v>35</v>
      </c>
      <c r="D13" s="1" t="s">
        <v>19</v>
      </c>
      <c r="E13" s="1" t="s">
        <v>20</v>
      </c>
      <c r="F13" s="1" t="n">
        <v>6</v>
      </c>
      <c r="G13" s="1" t="s">
        <v>23</v>
      </c>
      <c r="H13" s="1" t="n">
        <v>0.1881</v>
      </c>
      <c r="I13" s="1" t="n">
        <v>0.30686584703986</v>
      </c>
      <c r="J13" s="1" t="n">
        <v>0.355128407930738</v>
      </c>
      <c r="K13" s="1" t="n">
        <f aca="false">J13-I13</f>
        <v>0.0482625608908776</v>
      </c>
      <c r="L13" s="1" t="n">
        <v>0.746961278269468</v>
      </c>
    </row>
    <row r="14" customFormat="false" ht="15" hidden="false" customHeight="false" outlineLevel="0" collapsed="false">
      <c r="A14" s="1" t="s">
        <v>33</v>
      </c>
      <c r="B14" s="1" t="s">
        <v>34</v>
      </c>
      <c r="C14" s="1" t="s">
        <v>35</v>
      </c>
      <c r="D14" s="1" t="s">
        <v>19</v>
      </c>
      <c r="E14" s="1" t="s">
        <v>20</v>
      </c>
      <c r="F14" s="1" t="n">
        <v>6</v>
      </c>
      <c r="G14" s="1" t="s">
        <v>22</v>
      </c>
      <c r="H14" s="1" t="n">
        <v>0.1665</v>
      </c>
      <c r="I14" s="1" t="n">
        <v>0.271721273631271</v>
      </c>
      <c r="J14" s="1" t="n">
        <v>0.334571167180913</v>
      </c>
      <c r="K14" s="1" t="n">
        <f aca="false">J14-I14</f>
        <v>0.0628498935496426</v>
      </c>
      <c r="L14" s="1" t="n">
        <v>0.746961278269468</v>
      </c>
    </row>
    <row r="15" customFormat="false" ht="15" hidden="false" customHeight="false" outlineLevel="0" collapsed="false">
      <c r="A15" s="1" t="s">
        <v>33</v>
      </c>
      <c r="B15" s="1" t="s">
        <v>34</v>
      </c>
      <c r="C15" s="1" t="s">
        <v>35</v>
      </c>
      <c r="D15" s="1" t="s">
        <v>19</v>
      </c>
      <c r="E15" s="1" t="s">
        <v>20</v>
      </c>
      <c r="F15" s="1" t="n">
        <v>6</v>
      </c>
      <c r="G15" s="1" t="s">
        <v>24</v>
      </c>
      <c r="H15" s="1" t="n">
        <v>0.1649</v>
      </c>
      <c r="I15" s="1" t="n">
        <v>0.269095301861437</v>
      </c>
      <c r="J15" s="1" t="n">
        <v>0.352323526595246</v>
      </c>
      <c r="K15" s="1" t="n">
        <f aca="false">J15-I15</f>
        <v>0.0832282247338083</v>
      </c>
      <c r="L15" s="1" t="n">
        <v>0.746961278269468</v>
      </c>
    </row>
    <row r="16" customFormat="false" ht="15" hidden="false" customHeight="false" outlineLevel="0" collapsed="false">
      <c r="A16" s="1" t="s">
        <v>33</v>
      </c>
      <c r="B16" s="1" t="s">
        <v>34</v>
      </c>
      <c r="C16" s="1" t="s">
        <v>35</v>
      </c>
      <c r="D16" s="1" t="s">
        <v>19</v>
      </c>
      <c r="E16" s="1" t="s">
        <v>20</v>
      </c>
      <c r="F16" s="1" t="n">
        <v>6</v>
      </c>
      <c r="G16" s="1" t="s">
        <v>21</v>
      </c>
      <c r="H16" s="1" t="n">
        <v>0.1635</v>
      </c>
      <c r="I16" s="1" t="n">
        <v>0.266723419273937</v>
      </c>
      <c r="J16" s="1" t="n">
        <v>0.327758305255079</v>
      </c>
      <c r="K16" s="1" t="n">
        <f aca="false">J16-I16</f>
        <v>0.0610348859811414</v>
      </c>
      <c r="L16" s="1" t="n">
        <v>0.746961278269468</v>
      </c>
    </row>
    <row r="17" customFormat="false" ht="15" hidden="false" customHeight="false" outlineLevel="0" collapsed="false">
      <c r="A17" s="1" t="s">
        <v>33</v>
      </c>
      <c r="B17" s="1" t="s">
        <v>34</v>
      </c>
      <c r="C17" s="1" t="s">
        <v>35</v>
      </c>
      <c r="D17" s="1" t="s">
        <v>19</v>
      </c>
      <c r="E17" s="1" t="s">
        <v>20</v>
      </c>
      <c r="F17" s="1" t="n">
        <v>6</v>
      </c>
      <c r="G17" s="1" t="s">
        <v>36</v>
      </c>
      <c r="H17" s="1" t="n">
        <v>0.1602</v>
      </c>
      <c r="I17" s="1" t="n">
        <v>0.261391258282415</v>
      </c>
      <c r="J17" s="1" t="n">
        <v>0.323896483658612</v>
      </c>
      <c r="K17" s="1" t="n">
        <f aca="false">J17-I17</f>
        <v>0.0625052253761971</v>
      </c>
      <c r="L17" s="1" t="n">
        <v>0.746961278269468</v>
      </c>
    </row>
    <row r="18" customFormat="false" ht="15" hidden="false" customHeight="false" outlineLevel="0" collapsed="false">
      <c r="A18" s="1" t="s">
        <v>33</v>
      </c>
      <c r="B18" s="1" t="s">
        <v>34</v>
      </c>
      <c r="C18" s="1" t="s">
        <v>35</v>
      </c>
      <c r="D18" s="1" t="s">
        <v>19</v>
      </c>
      <c r="E18" s="1" t="s">
        <v>20</v>
      </c>
      <c r="F18" s="1" t="n">
        <v>6</v>
      </c>
      <c r="G18" s="1" t="s">
        <v>37</v>
      </c>
      <c r="H18" s="1" t="n">
        <v>0.1568</v>
      </c>
      <c r="I18" s="1" t="n">
        <v>0.255838316520959</v>
      </c>
      <c r="J18" s="1" t="n">
        <v>0.345631111343238</v>
      </c>
      <c r="K18" s="1" t="n">
        <f aca="false">J18-I18</f>
        <v>0.089792794822279</v>
      </c>
      <c r="L18" s="1" t="n">
        <v>0.746961278269468</v>
      </c>
    </row>
    <row r="19" customFormat="false" ht="15" hidden="false" customHeight="false" outlineLevel="0" collapsed="false">
      <c r="A19" s="1" t="s">
        <v>38</v>
      </c>
      <c r="B19" s="1" t="s">
        <v>39</v>
      </c>
      <c r="C19" s="1" t="s">
        <v>40</v>
      </c>
      <c r="D19" s="1" t="s">
        <v>19</v>
      </c>
      <c r="E19" s="1" t="s">
        <v>20</v>
      </c>
      <c r="F19" s="1" t="n">
        <v>8</v>
      </c>
      <c r="G19" s="1" t="s">
        <v>23</v>
      </c>
      <c r="H19" s="1" t="n">
        <v>0.1829</v>
      </c>
      <c r="I19" s="1" t="n">
        <v>0.314910065434239</v>
      </c>
      <c r="J19" s="1" t="n">
        <v>0.333247316939418</v>
      </c>
      <c r="K19" s="1" t="n">
        <f aca="false">J19-I19</f>
        <v>0.0183372515051788</v>
      </c>
      <c r="L19" s="1" t="n">
        <v>0.736303129517049</v>
      </c>
    </row>
    <row r="20" customFormat="false" ht="15" hidden="false" customHeight="false" outlineLevel="0" collapsed="false">
      <c r="A20" s="1" t="s">
        <v>38</v>
      </c>
      <c r="B20" s="1" t="s">
        <v>39</v>
      </c>
      <c r="C20" s="1" t="s">
        <v>40</v>
      </c>
      <c r="D20" s="1" t="s">
        <v>19</v>
      </c>
      <c r="E20" s="1" t="s">
        <v>20</v>
      </c>
      <c r="F20" s="1" t="n">
        <v>8</v>
      </c>
      <c r="G20" s="1" t="s">
        <v>21</v>
      </c>
      <c r="H20" s="1" t="n">
        <v>0.1718</v>
      </c>
      <c r="I20" s="1" t="n">
        <v>0.29591899299641</v>
      </c>
      <c r="J20" s="1" t="n">
        <v>0.332741973308731</v>
      </c>
      <c r="K20" s="1" t="n">
        <f aca="false">J20-I20</f>
        <v>0.0368229803123209</v>
      </c>
      <c r="L20" s="1" t="n">
        <v>0.736303129517049</v>
      </c>
    </row>
    <row r="21" customFormat="false" ht="15" hidden="false" customHeight="false" outlineLevel="0" collapsed="false">
      <c r="A21" s="1" t="s">
        <v>38</v>
      </c>
      <c r="B21" s="1" t="s">
        <v>39</v>
      </c>
      <c r="C21" s="1" t="s">
        <v>40</v>
      </c>
      <c r="D21" s="1" t="s">
        <v>19</v>
      </c>
      <c r="E21" s="1" t="s">
        <v>20</v>
      </c>
      <c r="F21" s="1" t="n">
        <v>8</v>
      </c>
      <c r="G21" s="1" t="s">
        <v>22</v>
      </c>
      <c r="H21" s="1" t="n">
        <v>0.1653</v>
      </c>
      <c r="I21" s="1" t="n">
        <v>0.284603052621404</v>
      </c>
      <c r="J21" s="1" t="n">
        <v>0.296938831949329</v>
      </c>
      <c r="K21" s="1" t="n">
        <f aca="false">J21-I21</f>
        <v>0.0123357793279252</v>
      </c>
      <c r="L21" s="1" t="n">
        <v>0.736303129517049</v>
      </c>
    </row>
    <row r="22" customFormat="false" ht="15" hidden="false" customHeight="false" outlineLevel="0" collapsed="false">
      <c r="A22" s="1" t="s">
        <v>38</v>
      </c>
      <c r="B22" s="1" t="s">
        <v>39</v>
      </c>
      <c r="C22" s="1" t="s">
        <v>40</v>
      </c>
      <c r="D22" s="1" t="s">
        <v>19</v>
      </c>
      <c r="E22" s="1" t="s">
        <v>20</v>
      </c>
      <c r="F22" s="1" t="n">
        <v>8</v>
      </c>
      <c r="G22" s="1" t="s">
        <v>24</v>
      </c>
      <c r="H22" s="1" t="n">
        <v>0.163</v>
      </c>
      <c r="I22" s="1" t="n">
        <v>0.280784408744601</v>
      </c>
      <c r="J22" s="1" t="n">
        <v>0.30548207421002</v>
      </c>
      <c r="K22" s="1" t="n">
        <f aca="false">J22-I22</f>
        <v>0.0246976654654189</v>
      </c>
      <c r="L22" s="1" t="n">
        <v>0.736303129517049</v>
      </c>
    </row>
    <row r="23" customFormat="false" ht="15" hidden="false" customHeight="false" outlineLevel="0" collapsed="false">
      <c r="A23" s="1" t="s">
        <v>38</v>
      </c>
      <c r="B23" s="1" t="s">
        <v>39</v>
      </c>
      <c r="C23" s="1" t="s">
        <v>40</v>
      </c>
      <c r="D23" s="1" t="s">
        <v>19</v>
      </c>
      <c r="E23" s="1" t="s">
        <v>20</v>
      </c>
      <c r="F23" s="1" t="n">
        <v>8</v>
      </c>
      <c r="G23" s="1" t="s">
        <v>36</v>
      </c>
      <c r="H23" s="1" t="n">
        <v>0.1598</v>
      </c>
      <c r="I23" s="1" t="n">
        <v>0.275291932328179</v>
      </c>
      <c r="J23" s="1" t="n">
        <v>0.298130797619035</v>
      </c>
      <c r="K23" s="1" t="n">
        <f aca="false">J23-I23</f>
        <v>0.022838865290856</v>
      </c>
      <c r="L23" s="1" t="n">
        <v>0.736303129517049</v>
      </c>
    </row>
    <row r="24" customFormat="false" ht="15" hidden="false" customHeight="false" outlineLevel="0" collapsed="false">
      <c r="A24" s="1" t="s">
        <v>38</v>
      </c>
      <c r="B24" s="1" t="s">
        <v>39</v>
      </c>
      <c r="C24" s="1" t="s">
        <v>40</v>
      </c>
      <c r="D24" s="1" t="s">
        <v>19</v>
      </c>
      <c r="E24" s="1" t="s">
        <v>20</v>
      </c>
      <c r="F24" s="1" t="n">
        <v>8</v>
      </c>
      <c r="G24" s="1" t="s">
        <v>31</v>
      </c>
      <c r="H24" s="1" t="n">
        <v>0.1572</v>
      </c>
      <c r="I24" s="1" t="n">
        <v>0.270698139518273</v>
      </c>
      <c r="J24" s="1" t="n">
        <v>0.284574766112166</v>
      </c>
      <c r="K24" s="1" t="n">
        <f aca="false">J24-I24</f>
        <v>0.0138766265938927</v>
      </c>
      <c r="L24" s="1" t="n">
        <v>0.736303129517049</v>
      </c>
    </row>
    <row r="25" customFormat="false" ht="15" hidden="false" customHeight="false" outlineLevel="0" collapsed="false">
      <c r="A25" s="1" t="s">
        <v>41</v>
      </c>
      <c r="B25" s="1" t="s">
        <v>42</v>
      </c>
      <c r="C25" s="1" t="s">
        <v>43</v>
      </c>
      <c r="D25" s="1" t="s">
        <v>19</v>
      </c>
      <c r="E25" s="1" t="s">
        <v>20</v>
      </c>
      <c r="F25" s="1" t="n">
        <v>10</v>
      </c>
      <c r="G25" s="1" t="s">
        <v>21</v>
      </c>
      <c r="H25" s="1" t="n">
        <v>0.2217</v>
      </c>
      <c r="I25" s="1" t="n">
        <v>0.279717974662734</v>
      </c>
      <c r="J25" s="1" t="n">
        <v>0.298223232893305</v>
      </c>
      <c r="K25" s="1" t="n">
        <f aca="false">J25-I25</f>
        <v>0.0185052582305711</v>
      </c>
      <c r="L25" s="1" t="n">
        <v>0.693060520928815</v>
      </c>
    </row>
    <row r="26" customFormat="false" ht="15" hidden="false" customHeight="false" outlineLevel="0" collapsed="false">
      <c r="A26" s="1" t="s">
        <v>41</v>
      </c>
      <c r="B26" s="1" t="s">
        <v>42</v>
      </c>
      <c r="C26" s="1" t="s">
        <v>43</v>
      </c>
      <c r="D26" s="1" t="s">
        <v>19</v>
      </c>
      <c r="E26" s="1" t="s">
        <v>20</v>
      </c>
      <c r="F26" s="1" t="n">
        <v>10</v>
      </c>
      <c r="G26" s="1" t="s">
        <v>22</v>
      </c>
      <c r="H26" s="1" t="n">
        <v>0.1801</v>
      </c>
      <c r="I26" s="1" t="n">
        <v>0.227174652383578</v>
      </c>
      <c r="J26" s="1" t="n">
        <v>0.233058442838752</v>
      </c>
      <c r="K26" s="1" t="n">
        <f aca="false">J26-I26</f>
        <v>0.0058837904551739</v>
      </c>
      <c r="L26" s="1" t="n">
        <v>0.693060520928815</v>
      </c>
    </row>
    <row r="27" customFormat="false" ht="15" hidden="false" customHeight="false" outlineLevel="0" collapsed="false">
      <c r="A27" s="1" t="s">
        <v>41</v>
      </c>
      <c r="B27" s="1" t="s">
        <v>42</v>
      </c>
      <c r="C27" s="1" t="s">
        <v>43</v>
      </c>
      <c r="D27" s="1" t="s">
        <v>19</v>
      </c>
      <c r="E27" s="1" t="s">
        <v>20</v>
      </c>
      <c r="F27" s="1" t="n">
        <v>10</v>
      </c>
      <c r="G27" s="1" t="s">
        <v>36</v>
      </c>
      <c r="H27" s="1" t="n">
        <v>0.1705</v>
      </c>
      <c r="I27" s="1" t="n">
        <v>0.21512119168829</v>
      </c>
      <c r="J27" s="1" t="n">
        <v>0.212016032236874</v>
      </c>
      <c r="K27" s="1" t="n">
        <f aca="false">J27-I27</f>
        <v>-0.0031051594514161</v>
      </c>
      <c r="L27" s="1" t="n">
        <v>0.693060520928815</v>
      </c>
    </row>
    <row r="28" customFormat="false" ht="15" hidden="false" customHeight="false" outlineLevel="0" collapsed="false">
      <c r="A28" s="1" t="s">
        <v>41</v>
      </c>
      <c r="B28" s="1" t="s">
        <v>42</v>
      </c>
      <c r="C28" s="1" t="s">
        <v>43</v>
      </c>
      <c r="D28" s="1" t="s">
        <v>19</v>
      </c>
      <c r="E28" s="1" t="s">
        <v>20</v>
      </c>
      <c r="F28" s="1" t="n">
        <v>10</v>
      </c>
      <c r="G28" s="1" t="s">
        <v>37</v>
      </c>
      <c r="H28" s="1" t="n">
        <v>0.1641</v>
      </c>
      <c r="I28" s="1" t="n">
        <v>0.206982044993933</v>
      </c>
      <c r="J28" s="1" t="n">
        <v>0.291300648656147</v>
      </c>
      <c r="K28" s="1" t="n">
        <f aca="false">J28-I28</f>
        <v>0.0843186036622143</v>
      </c>
      <c r="L28" s="1" t="n">
        <v>0.693060520928815</v>
      </c>
    </row>
    <row r="29" customFormat="false" ht="15" hidden="false" customHeight="false" outlineLevel="0" collapsed="false">
      <c r="A29" s="1" t="s">
        <v>41</v>
      </c>
      <c r="B29" s="1" t="s">
        <v>42</v>
      </c>
      <c r="C29" s="1" t="s">
        <v>43</v>
      </c>
      <c r="D29" s="1" t="s">
        <v>19</v>
      </c>
      <c r="E29" s="1" t="s">
        <v>20</v>
      </c>
      <c r="F29" s="1" t="n">
        <v>10</v>
      </c>
      <c r="G29" s="1" t="s">
        <v>23</v>
      </c>
      <c r="H29" s="1" t="n">
        <v>0.1635</v>
      </c>
      <c r="I29" s="1" t="n">
        <v>0.206300867210421</v>
      </c>
      <c r="J29" s="1" t="n">
        <v>0.268019409380399</v>
      </c>
      <c r="K29" s="1" t="n">
        <f aca="false">J29-I29</f>
        <v>0.0617185421699782</v>
      </c>
      <c r="L29" s="1" t="n">
        <v>0.693060520928815</v>
      </c>
    </row>
    <row r="30" customFormat="false" ht="15" hidden="false" customHeight="false" outlineLevel="0" collapsed="false">
      <c r="A30" s="1" t="s">
        <v>41</v>
      </c>
      <c r="B30" s="1" t="s">
        <v>42</v>
      </c>
      <c r="C30" s="1" t="s">
        <v>43</v>
      </c>
      <c r="D30" s="1" t="s">
        <v>19</v>
      </c>
      <c r="E30" s="1" t="s">
        <v>20</v>
      </c>
      <c r="F30" s="1" t="n">
        <v>10</v>
      </c>
      <c r="G30" s="1" t="s">
        <v>24</v>
      </c>
      <c r="H30" s="1" t="n">
        <v>0.1</v>
      </c>
      <c r="I30" s="1" t="n">
        <v>0.169171671956029</v>
      </c>
      <c r="J30" s="1" t="n">
        <v>0.185944741086037</v>
      </c>
      <c r="K30" s="1" t="n">
        <f aca="false">J30-I30</f>
        <v>0.0167730691300081</v>
      </c>
      <c r="L30" s="1" t="n">
        <v>0.693060520928815</v>
      </c>
    </row>
    <row r="31" customFormat="false" ht="15" hidden="false" customHeight="false" outlineLevel="0" collapsed="false">
      <c r="A31" s="1" t="s">
        <v>44</v>
      </c>
      <c r="B31" s="1" t="s">
        <v>45</v>
      </c>
      <c r="C31" s="1" t="s">
        <v>46</v>
      </c>
      <c r="D31" s="1" t="s">
        <v>19</v>
      </c>
      <c r="E31" s="1" t="s">
        <v>20</v>
      </c>
      <c r="F31" s="1" t="n">
        <v>12</v>
      </c>
      <c r="G31" s="1" t="s">
        <v>21</v>
      </c>
      <c r="H31" s="1" t="n">
        <v>0.9</v>
      </c>
      <c r="I31" s="1" t="n">
        <v>0.21204380686937</v>
      </c>
      <c r="J31" s="1" t="n">
        <v>0.283996240677099</v>
      </c>
      <c r="K31" s="1" t="n">
        <f aca="false">J31-I31</f>
        <v>0.0719524338077291</v>
      </c>
      <c r="L31" s="1" t="n">
        <v>0.748597564255249</v>
      </c>
    </row>
    <row r="32" customFormat="false" ht="15" hidden="false" customHeight="false" outlineLevel="0" collapsed="false">
      <c r="A32" s="1" t="s">
        <v>44</v>
      </c>
      <c r="B32" s="1" t="s">
        <v>45</v>
      </c>
      <c r="C32" s="1" t="s">
        <v>46</v>
      </c>
      <c r="D32" s="1" t="s">
        <v>19</v>
      </c>
      <c r="E32" s="1" t="s">
        <v>20</v>
      </c>
      <c r="F32" s="1" t="n">
        <v>12</v>
      </c>
      <c r="G32" s="1" t="s">
        <v>24</v>
      </c>
      <c r="H32" s="1" t="n">
        <v>0.1</v>
      </c>
      <c r="I32" s="1" t="n">
        <v>0.0926367411264805</v>
      </c>
      <c r="J32" s="1" t="n">
        <v>0.243028591327073</v>
      </c>
      <c r="K32" s="1" t="n">
        <f aca="false">J32-I32</f>
        <v>0.150391850200592</v>
      </c>
      <c r="L32" s="1" t="n">
        <v>0.748597564255249</v>
      </c>
    </row>
    <row r="33" customFormat="false" ht="15" hidden="false" customHeight="false" outlineLevel="0" collapsed="false">
      <c r="A33" s="1" t="s">
        <v>47</v>
      </c>
      <c r="B33" s="1" t="s">
        <v>48</v>
      </c>
      <c r="C33" s="1" t="s">
        <v>49</v>
      </c>
      <c r="D33" s="1" t="s">
        <v>19</v>
      </c>
      <c r="E33" s="1" t="s">
        <v>20</v>
      </c>
      <c r="F33" s="1" t="n">
        <v>14</v>
      </c>
      <c r="G33" s="1" t="s">
        <v>50</v>
      </c>
      <c r="H33" s="1" t="n">
        <v>0.3239</v>
      </c>
      <c r="I33" s="1" t="n">
        <v>0.244248408490874</v>
      </c>
      <c r="J33" s="1" t="n">
        <v>0.256295946776795</v>
      </c>
      <c r="K33" s="1" t="n">
        <f aca="false">J33-I33</f>
        <v>0.0120475382859218</v>
      </c>
      <c r="L33" s="1" t="n">
        <v>0.705165938537343</v>
      </c>
    </row>
    <row r="34" customFormat="false" ht="15" hidden="false" customHeight="false" outlineLevel="0" collapsed="false">
      <c r="A34" s="1" t="s">
        <v>47</v>
      </c>
      <c r="B34" s="1" t="s">
        <v>48</v>
      </c>
      <c r="C34" s="1" t="s">
        <v>49</v>
      </c>
      <c r="D34" s="1" t="s">
        <v>19</v>
      </c>
      <c r="E34" s="1" t="s">
        <v>20</v>
      </c>
      <c r="F34" s="1" t="n">
        <v>14</v>
      </c>
      <c r="G34" s="1" t="s">
        <v>23</v>
      </c>
      <c r="H34" s="1" t="n">
        <v>0.2977</v>
      </c>
      <c r="I34" s="1" t="n">
        <v>0.224483314633888</v>
      </c>
      <c r="J34" s="1" t="n">
        <v>0.283419088759535</v>
      </c>
      <c r="K34" s="1" t="n">
        <f aca="false">J34-I34</f>
        <v>0.058935774125647</v>
      </c>
      <c r="L34" s="1" t="n">
        <v>0.705165938537343</v>
      </c>
    </row>
    <row r="35" customFormat="false" ht="15" hidden="false" customHeight="false" outlineLevel="0" collapsed="false">
      <c r="A35" s="1" t="s">
        <v>47</v>
      </c>
      <c r="B35" s="1" t="s">
        <v>48</v>
      </c>
      <c r="C35" s="1" t="s">
        <v>49</v>
      </c>
      <c r="D35" s="1" t="s">
        <v>19</v>
      </c>
      <c r="E35" s="1" t="s">
        <v>20</v>
      </c>
      <c r="F35" s="1" t="n">
        <v>14</v>
      </c>
      <c r="G35" s="1" t="s">
        <v>36</v>
      </c>
      <c r="H35" s="1" t="n">
        <v>0.2784</v>
      </c>
      <c r="I35" s="1" t="n">
        <v>0.209890777656965</v>
      </c>
      <c r="J35" s="1" t="n">
        <v>0.300928049147481</v>
      </c>
      <c r="K35" s="1" t="n">
        <f aca="false">J35-I35</f>
        <v>0.0910372714905161</v>
      </c>
      <c r="L35" s="1" t="n">
        <v>0.705165938537343</v>
      </c>
    </row>
    <row r="36" customFormat="false" ht="15" hidden="false" customHeight="false" outlineLevel="0" collapsed="false">
      <c r="A36" s="1" t="s">
        <v>47</v>
      </c>
      <c r="B36" s="1" t="s">
        <v>48</v>
      </c>
      <c r="C36" s="1" t="s">
        <v>49</v>
      </c>
      <c r="D36" s="1" t="s">
        <v>19</v>
      </c>
      <c r="E36" s="1" t="s">
        <v>20</v>
      </c>
      <c r="F36" s="1" t="n">
        <v>14</v>
      </c>
      <c r="G36" s="1" t="s">
        <v>24</v>
      </c>
      <c r="H36" s="1" t="n">
        <v>0.1</v>
      </c>
      <c r="I36" s="1" t="n">
        <v>0.112026164666839</v>
      </c>
      <c r="J36" s="1" t="n">
        <v>0.210818878289796</v>
      </c>
      <c r="K36" s="1" t="n">
        <f aca="false">J36-I36</f>
        <v>0.0987927136229565</v>
      </c>
      <c r="L36" s="1" t="n">
        <v>0.705165938537343</v>
      </c>
    </row>
    <row r="37" customFormat="false" ht="15" hidden="false" customHeight="false" outlineLevel="0" collapsed="false">
      <c r="A37" s="1" t="s">
        <v>51</v>
      </c>
      <c r="B37" s="1" t="s">
        <v>52</v>
      </c>
      <c r="C37" s="1" t="s">
        <v>53</v>
      </c>
      <c r="D37" s="1" t="s">
        <v>19</v>
      </c>
      <c r="E37" s="1" t="s">
        <v>20</v>
      </c>
      <c r="F37" s="1" t="n">
        <v>16</v>
      </c>
      <c r="G37" s="1" t="s">
        <v>37</v>
      </c>
      <c r="H37" s="1" t="n">
        <v>0.9</v>
      </c>
      <c r="I37" s="1" t="n">
        <v>0.238595868868793</v>
      </c>
      <c r="J37" s="1" t="n">
        <v>0.352900323043463</v>
      </c>
      <c r="K37" s="1" t="n">
        <f aca="false">J37-I37</f>
        <v>0.11430445417467</v>
      </c>
      <c r="L37" s="1" t="n">
        <v>0.750368716676119</v>
      </c>
    </row>
    <row r="38" customFormat="false" ht="15" hidden="false" customHeight="false" outlineLevel="0" collapsed="false">
      <c r="A38" s="1" t="s">
        <v>51</v>
      </c>
      <c r="B38" s="1" t="s">
        <v>52</v>
      </c>
      <c r="C38" s="1" t="s">
        <v>53</v>
      </c>
      <c r="D38" s="1" t="s">
        <v>19</v>
      </c>
      <c r="E38" s="1" t="s">
        <v>20</v>
      </c>
      <c r="F38" s="1" t="n">
        <v>16</v>
      </c>
      <c r="G38" s="1" t="s">
        <v>24</v>
      </c>
      <c r="H38" s="1" t="n">
        <v>0.1</v>
      </c>
      <c r="I38" s="1" t="n">
        <v>0.126156726386606</v>
      </c>
      <c r="J38" s="1" t="n">
        <v>0.227841350213159</v>
      </c>
      <c r="K38" s="1" t="n">
        <f aca="false">J38-I38</f>
        <v>0.101684623826553</v>
      </c>
      <c r="L38" s="1" t="n">
        <v>0.750368716676119</v>
      </c>
    </row>
    <row r="39" customFormat="false" ht="15" hidden="false" customHeight="false" outlineLevel="0" collapsed="false">
      <c r="A39" s="1" t="s">
        <v>54</v>
      </c>
      <c r="B39" s="1" t="s">
        <v>55</v>
      </c>
      <c r="C39" s="1" t="s">
        <v>56</v>
      </c>
      <c r="D39" s="1" t="s">
        <v>19</v>
      </c>
      <c r="E39" s="1" t="s">
        <v>20</v>
      </c>
      <c r="F39" s="1" t="n">
        <v>18</v>
      </c>
      <c r="G39" s="1" t="s">
        <v>37</v>
      </c>
      <c r="H39" s="1" t="n">
        <v>0.212</v>
      </c>
      <c r="I39" s="1" t="n">
        <v>0.342876091339466</v>
      </c>
      <c r="J39" s="1" t="n">
        <v>0.340885924209416</v>
      </c>
      <c r="K39" s="1" t="n">
        <f aca="false">J39-I39</f>
        <v>-0.00199016713005079</v>
      </c>
      <c r="L39" s="1" t="n">
        <v>0.682432996770851</v>
      </c>
    </row>
    <row r="40" customFormat="false" ht="15" hidden="false" customHeight="false" outlineLevel="0" collapsed="false">
      <c r="A40" s="1" t="s">
        <v>54</v>
      </c>
      <c r="B40" s="1" t="s">
        <v>55</v>
      </c>
      <c r="C40" s="1" t="s">
        <v>56</v>
      </c>
      <c r="D40" s="1" t="s">
        <v>19</v>
      </c>
      <c r="E40" s="1" t="s">
        <v>20</v>
      </c>
      <c r="F40" s="1" t="n">
        <v>18</v>
      </c>
      <c r="G40" s="1" t="s">
        <v>22</v>
      </c>
      <c r="H40" s="1" t="n">
        <v>0.1873</v>
      </c>
      <c r="I40" s="1" t="n">
        <v>0.302969794206661</v>
      </c>
      <c r="J40" s="1" t="n">
        <v>0.315147750889333</v>
      </c>
      <c r="K40" s="1" t="n">
        <f aca="false">J40-I40</f>
        <v>0.0121779566826714</v>
      </c>
      <c r="L40" s="1" t="n">
        <v>0.682432996770851</v>
      </c>
    </row>
    <row r="41" customFormat="false" ht="15" hidden="false" customHeight="false" outlineLevel="0" collapsed="false">
      <c r="A41" s="1" t="s">
        <v>54</v>
      </c>
      <c r="B41" s="1" t="s">
        <v>55</v>
      </c>
      <c r="C41" s="1" t="s">
        <v>56</v>
      </c>
      <c r="D41" s="1" t="s">
        <v>19</v>
      </c>
      <c r="E41" s="1" t="s">
        <v>20</v>
      </c>
      <c r="F41" s="1" t="n">
        <v>18</v>
      </c>
      <c r="G41" s="1" t="s">
        <v>57</v>
      </c>
      <c r="H41" s="1" t="n">
        <v>0.1737</v>
      </c>
      <c r="I41" s="1" t="n">
        <v>0.280979778727653</v>
      </c>
      <c r="J41" s="1" t="n">
        <v>0.293910507267048</v>
      </c>
      <c r="K41" s="1" t="n">
        <f aca="false">J41-I41</f>
        <v>0.0129307285393953</v>
      </c>
      <c r="L41" s="1" t="n">
        <v>0.682432996770851</v>
      </c>
    </row>
    <row r="42" customFormat="false" ht="15" hidden="false" customHeight="false" outlineLevel="0" collapsed="false">
      <c r="A42" s="1" t="s">
        <v>54</v>
      </c>
      <c r="B42" s="1" t="s">
        <v>55</v>
      </c>
      <c r="C42" s="1" t="s">
        <v>56</v>
      </c>
      <c r="D42" s="1" t="s">
        <v>19</v>
      </c>
      <c r="E42" s="1" t="s">
        <v>20</v>
      </c>
      <c r="F42" s="1" t="n">
        <v>18</v>
      </c>
      <c r="G42" s="1" t="s">
        <v>21</v>
      </c>
      <c r="H42" s="1" t="n">
        <v>0.1703</v>
      </c>
      <c r="I42" s="1" t="n">
        <v>0.275487599648398</v>
      </c>
      <c r="J42" s="1" t="n">
        <v>0.3169055664671</v>
      </c>
      <c r="K42" s="1" t="n">
        <f aca="false">J42-I42</f>
        <v>0.0414179668187014</v>
      </c>
      <c r="L42" s="1" t="n">
        <v>0.682432996770851</v>
      </c>
    </row>
    <row r="43" customFormat="false" ht="15" hidden="false" customHeight="false" outlineLevel="0" collapsed="false">
      <c r="A43" s="1" t="s">
        <v>54</v>
      </c>
      <c r="B43" s="1" t="s">
        <v>55</v>
      </c>
      <c r="C43" s="1" t="s">
        <v>56</v>
      </c>
      <c r="D43" s="1" t="s">
        <v>19</v>
      </c>
      <c r="E43" s="1" t="s">
        <v>20</v>
      </c>
      <c r="F43" s="1" t="n">
        <v>18</v>
      </c>
      <c r="G43" s="1" t="s">
        <v>58</v>
      </c>
      <c r="H43" s="1" t="n">
        <v>0.1567</v>
      </c>
      <c r="I43" s="1" t="n">
        <v>0.25342245961916</v>
      </c>
      <c r="J43" s="1" t="n">
        <v>0.287020760930168</v>
      </c>
      <c r="K43" s="1" t="n">
        <f aca="false">J43-I43</f>
        <v>0.0335983013110081</v>
      </c>
      <c r="L43" s="1" t="n">
        <v>0.682432996770851</v>
      </c>
    </row>
    <row r="44" customFormat="false" ht="15" hidden="false" customHeight="false" outlineLevel="0" collapsed="false">
      <c r="A44" s="1" t="s">
        <v>54</v>
      </c>
      <c r="B44" s="1" t="s">
        <v>55</v>
      </c>
      <c r="C44" s="1" t="s">
        <v>56</v>
      </c>
      <c r="D44" s="1" t="s">
        <v>19</v>
      </c>
      <c r="E44" s="1" t="s">
        <v>20</v>
      </c>
      <c r="F44" s="1" t="n">
        <v>18</v>
      </c>
      <c r="G44" s="1" t="s">
        <v>24</v>
      </c>
      <c r="H44" s="1" t="n">
        <v>0.1</v>
      </c>
      <c r="I44" s="1" t="n">
        <v>0.222993623340452</v>
      </c>
      <c r="J44" s="1" t="n">
        <v>0.304074413439148</v>
      </c>
      <c r="K44" s="1" t="n">
        <f aca="false">J44-I44</f>
        <v>0.081080790098696</v>
      </c>
      <c r="L44" s="1" t="n">
        <v>0.682432996770851</v>
      </c>
    </row>
    <row r="45" customFormat="false" ht="15" hidden="false" customHeight="false" outlineLevel="0" collapsed="false">
      <c r="A45" s="1" t="s">
        <v>59</v>
      </c>
      <c r="B45" s="1" t="s">
        <v>60</v>
      </c>
      <c r="C45" s="1" t="s">
        <v>61</v>
      </c>
      <c r="D45" s="1" t="s">
        <v>19</v>
      </c>
      <c r="E45" s="1" t="s">
        <v>20</v>
      </c>
      <c r="F45" s="1" t="n">
        <v>20</v>
      </c>
      <c r="G45" s="1" t="s">
        <v>24</v>
      </c>
      <c r="H45" s="1" t="n">
        <v>0.1787</v>
      </c>
      <c r="I45" s="1" t="n">
        <v>0.274440588966376</v>
      </c>
      <c r="J45" s="1" t="n">
        <v>0.264659017384246</v>
      </c>
      <c r="K45" s="1" t="n">
        <f aca="false">J45-I45</f>
        <v>-0.00978157158213017</v>
      </c>
      <c r="L45" s="1" t="n">
        <v>0.72387381443217</v>
      </c>
    </row>
    <row r="46" customFormat="false" ht="15" hidden="false" customHeight="false" outlineLevel="0" collapsed="false">
      <c r="A46" s="1" t="s">
        <v>59</v>
      </c>
      <c r="B46" s="1" t="s">
        <v>60</v>
      </c>
      <c r="C46" s="1" t="s">
        <v>61</v>
      </c>
      <c r="D46" s="1" t="s">
        <v>19</v>
      </c>
      <c r="E46" s="1" t="s">
        <v>20</v>
      </c>
      <c r="F46" s="1" t="n">
        <v>20</v>
      </c>
      <c r="G46" s="1" t="s">
        <v>62</v>
      </c>
      <c r="H46" s="1" t="n">
        <v>0.1766</v>
      </c>
      <c r="I46" s="1" t="n">
        <v>0.271209573087259</v>
      </c>
      <c r="J46" s="1" t="n">
        <v>0.205922073004418</v>
      </c>
      <c r="K46" s="1" t="n">
        <f aca="false">J46-I46</f>
        <v>-0.0652875000828411</v>
      </c>
      <c r="L46" s="1" t="n">
        <v>0.72387381443217</v>
      </c>
    </row>
    <row r="47" customFormat="false" ht="15" hidden="false" customHeight="false" outlineLevel="0" collapsed="false">
      <c r="A47" s="1" t="s">
        <v>59</v>
      </c>
      <c r="B47" s="1" t="s">
        <v>60</v>
      </c>
      <c r="C47" s="1" t="s">
        <v>61</v>
      </c>
      <c r="D47" s="1" t="s">
        <v>19</v>
      </c>
      <c r="E47" s="1" t="s">
        <v>20</v>
      </c>
      <c r="F47" s="1" t="n">
        <v>20</v>
      </c>
      <c r="G47" s="1" t="s">
        <v>22</v>
      </c>
      <c r="H47" s="1" t="n">
        <v>0.1684</v>
      </c>
      <c r="I47" s="1" t="n">
        <v>0.258594570680946</v>
      </c>
      <c r="J47" s="1" t="n">
        <v>0.256239673991547</v>
      </c>
      <c r="K47" s="1" t="n">
        <f aca="false">J47-I47</f>
        <v>-0.0023548966893992</v>
      </c>
      <c r="L47" s="1" t="n">
        <v>0.72387381443217</v>
      </c>
    </row>
    <row r="48" customFormat="false" ht="15" hidden="false" customHeight="false" outlineLevel="0" collapsed="false">
      <c r="A48" s="1" t="s">
        <v>59</v>
      </c>
      <c r="B48" s="1" t="s">
        <v>60</v>
      </c>
      <c r="C48" s="1" t="s">
        <v>61</v>
      </c>
      <c r="D48" s="1" t="s">
        <v>19</v>
      </c>
      <c r="E48" s="1" t="s">
        <v>20</v>
      </c>
      <c r="F48" s="1" t="n">
        <v>20</v>
      </c>
      <c r="G48" s="1" t="s">
        <v>37</v>
      </c>
      <c r="H48" s="1" t="n">
        <v>0.1606</v>
      </c>
      <c r="I48" s="1" t="n">
        <v>0.246559325026872</v>
      </c>
      <c r="J48" s="1" t="n">
        <v>0.258631921124675</v>
      </c>
      <c r="K48" s="1" t="n">
        <f aca="false">J48-I48</f>
        <v>0.0120725960978026</v>
      </c>
      <c r="L48" s="1" t="n">
        <v>0.72387381443217</v>
      </c>
    </row>
    <row r="49" customFormat="false" ht="15" hidden="false" customHeight="false" outlineLevel="0" collapsed="false">
      <c r="A49" s="1" t="s">
        <v>59</v>
      </c>
      <c r="B49" s="1" t="s">
        <v>60</v>
      </c>
      <c r="C49" s="1" t="s">
        <v>61</v>
      </c>
      <c r="D49" s="1" t="s">
        <v>19</v>
      </c>
      <c r="E49" s="1" t="s">
        <v>20</v>
      </c>
      <c r="F49" s="1" t="n">
        <v>20</v>
      </c>
      <c r="G49" s="1" t="s">
        <v>58</v>
      </c>
      <c r="H49" s="1" t="n">
        <v>0.1582</v>
      </c>
      <c r="I49" s="1" t="n">
        <v>0.242979476681103</v>
      </c>
      <c r="J49" s="1" t="n">
        <v>0.225456102885983</v>
      </c>
      <c r="K49" s="1" t="n">
        <f aca="false">J49-I49</f>
        <v>-0.0175233737951208</v>
      </c>
      <c r="L49" s="1" t="n">
        <v>0.72387381443217</v>
      </c>
    </row>
    <row r="50" customFormat="false" ht="15" hidden="false" customHeight="false" outlineLevel="0" collapsed="false">
      <c r="A50" s="1" t="s">
        <v>59</v>
      </c>
      <c r="B50" s="1" t="s">
        <v>60</v>
      </c>
      <c r="C50" s="1" t="s">
        <v>61</v>
      </c>
      <c r="D50" s="1" t="s">
        <v>19</v>
      </c>
      <c r="E50" s="1" t="s">
        <v>20</v>
      </c>
      <c r="F50" s="1" t="n">
        <v>20</v>
      </c>
      <c r="G50" s="1" t="s">
        <v>23</v>
      </c>
      <c r="H50" s="1" t="n">
        <v>0.1575</v>
      </c>
      <c r="I50" s="1" t="n">
        <v>0.241801741412517</v>
      </c>
      <c r="J50" s="1" t="n">
        <v>0.302716786431065</v>
      </c>
      <c r="K50" s="1" t="n">
        <f aca="false">J50-I50</f>
        <v>0.0609150450185484</v>
      </c>
      <c r="L50" s="1" t="n">
        <v>0.72387381443217</v>
      </c>
    </row>
    <row r="51" customFormat="false" ht="15" hidden="false" customHeight="false" outlineLevel="0" collapsed="false">
      <c r="A51" s="1" t="s">
        <v>63</v>
      </c>
      <c r="B51" s="1" t="s">
        <v>64</v>
      </c>
      <c r="C51" s="1" t="s">
        <v>65</v>
      </c>
      <c r="D51" s="1" t="s">
        <v>19</v>
      </c>
      <c r="E51" s="1" t="s">
        <v>20</v>
      </c>
      <c r="F51" s="1" t="n">
        <v>22</v>
      </c>
      <c r="G51" s="1" t="s">
        <v>23</v>
      </c>
      <c r="H51" s="1" t="n">
        <v>0.2635</v>
      </c>
      <c r="I51" s="1" t="n">
        <v>0.239299124504929</v>
      </c>
      <c r="J51" s="1" t="n">
        <v>0.333483605825655</v>
      </c>
      <c r="K51" s="1" t="n">
        <f aca="false">J51-I51</f>
        <v>0.0941844813207263</v>
      </c>
      <c r="L51" s="1" t="n">
        <v>0.667701763619203</v>
      </c>
    </row>
    <row r="52" customFormat="false" ht="15" hidden="false" customHeight="false" outlineLevel="0" collapsed="false">
      <c r="A52" s="1" t="s">
        <v>63</v>
      </c>
      <c r="B52" s="1" t="s">
        <v>64</v>
      </c>
      <c r="C52" s="1" t="s">
        <v>65</v>
      </c>
      <c r="D52" s="1" t="s">
        <v>19</v>
      </c>
      <c r="E52" s="1" t="s">
        <v>20</v>
      </c>
      <c r="F52" s="1" t="n">
        <v>22</v>
      </c>
      <c r="G52" s="1" t="s">
        <v>24</v>
      </c>
      <c r="H52" s="1" t="n">
        <v>0.2489</v>
      </c>
      <c r="I52" s="1" t="n">
        <v>0.226069035152155</v>
      </c>
      <c r="J52" s="1" t="n">
        <v>0.317708476744925</v>
      </c>
      <c r="K52" s="1" t="n">
        <f aca="false">J52-I52</f>
        <v>0.0916394415927708</v>
      </c>
      <c r="L52" s="1" t="n">
        <v>0.667701763619203</v>
      </c>
    </row>
    <row r="53" customFormat="false" ht="15" hidden="false" customHeight="false" outlineLevel="0" collapsed="false">
      <c r="A53" s="1" t="s">
        <v>63</v>
      </c>
      <c r="B53" s="1" t="s">
        <v>64</v>
      </c>
      <c r="C53" s="1" t="s">
        <v>65</v>
      </c>
      <c r="D53" s="1" t="s">
        <v>19</v>
      </c>
      <c r="E53" s="1" t="s">
        <v>20</v>
      </c>
      <c r="F53" s="1" t="n">
        <v>22</v>
      </c>
      <c r="G53" s="1" t="s">
        <v>22</v>
      </c>
      <c r="H53" s="1" t="n">
        <v>0.2456</v>
      </c>
      <c r="I53" s="1" t="n">
        <v>0.223073199337865</v>
      </c>
      <c r="J53" s="1" t="n">
        <v>0.304996767963994</v>
      </c>
      <c r="K53" s="1" t="n">
        <f aca="false">J53-I53</f>
        <v>0.0819235686261288</v>
      </c>
      <c r="L53" s="1" t="n">
        <v>0.667701763619203</v>
      </c>
    </row>
    <row r="54" customFormat="false" ht="15" hidden="false" customHeight="false" outlineLevel="0" collapsed="false">
      <c r="A54" s="1" t="s">
        <v>63</v>
      </c>
      <c r="B54" s="1" t="s">
        <v>64</v>
      </c>
      <c r="C54" s="1" t="s">
        <v>65</v>
      </c>
      <c r="D54" s="1" t="s">
        <v>19</v>
      </c>
      <c r="E54" s="1" t="s">
        <v>20</v>
      </c>
      <c r="F54" s="1" t="n">
        <v>22</v>
      </c>
      <c r="G54" s="1" t="s">
        <v>31</v>
      </c>
      <c r="H54" s="1" t="n">
        <v>0.242</v>
      </c>
      <c r="I54" s="1" t="n">
        <v>0.219793317697503</v>
      </c>
      <c r="J54" s="1" t="n">
        <v>0.28369676151679</v>
      </c>
      <c r="K54" s="1" t="n">
        <f aca="false">J54-I54</f>
        <v>0.0639034438192876</v>
      </c>
      <c r="L54" s="1" t="n">
        <v>0.667701763619203</v>
      </c>
    </row>
    <row r="55" customFormat="false" ht="15" hidden="false" customHeight="false" outlineLevel="0" collapsed="false">
      <c r="A55" s="1" t="s">
        <v>66</v>
      </c>
      <c r="B55" s="1" t="s">
        <v>67</v>
      </c>
      <c r="C55" s="1" t="s">
        <v>68</v>
      </c>
      <c r="D55" s="1" t="s">
        <v>19</v>
      </c>
      <c r="E55" s="1" t="s">
        <v>20</v>
      </c>
      <c r="F55" s="1" t="n">
        <v>24</v>
      </c>
      <c r="G55" s="1" t="s">
        <v>22</v>
      </c>
      <c r="H55" s="1" t="n">
        <v>0.2017</v>
      </c>
      <c r="I55" s="1" t="n">
        <v>0.254424551196403</v>
      </c>
      <c r="J55" s="1" t="n">
        <v>0.306757448800709</v>
      </c>
      <c r="K55" s="1" t="n">
        <f aca="false">J55-I55</f>
        <v>0.0523328976043058</v>
      </c>
      <c r="L55" s="1" t="n">
        <v>0.72995268032519</v>
      </c>
    </row>
    <row r="56" customFormat="false" ht="15" hidden="false" customHeight="false" outlineLevel="0" collapsed="false">
      <c r="A56" s="1" t="s">
        <v>66</v>
      </c>
      <c r="B56" s="1" t="s">
        <v>67</v>
      </c>
      <c r="C56" s="1" t="s">
        <v>68</v>
      </c>
      <c r="D56" s="1" t="s">
        <v>19</v>
      </c>
      <c r="E56" s="1" t="s">
        <v>20</v>
      </c>
      <c r="F56" s="1" t="n">
        <v>24</v>
      </c>
      <c r="G56" s="1" t="s">
        <v>37</v>
      </c>
      <c r="H56" s="1" t="n">
        <v>0.1871</v>
      </c>
      <c r="I56" s="1" t="n">
        <v>0.236049389362968</v>
      </c>
      <c r="J56" s="1" t="n">
        <v>0.314221119694384</v>
      </c>
      <c r="K56" s="1" t="n">
        <f aca="false">J56-I56</f>
        <v>0.0781717303314154</v>
      </c>
      <c r="L56" s="1" t="n">
        <v>0.72995268032519</v>
      </c>
    </row>
    <row r="57" customFormat="false" ht="15" hidden="false" customHeight="false" outlineLevel="0" collapsed="false">
      <c r="A57" s="1" t="s">
        <v>66</v>
      </c>
      <c r="B57" s="1" t="s">
        <v>67</v>
      </c>
      <c r="C57" s="1" t="s">
        <v>68</v>
      </c>
      <c r="D57" s="1" t="s">
        <v>19</v>
      </c>
      <c r="E57" s="1" t="s">
        <v>20</v>
      </c>
      <c r="F57" s="1" t="n">
        <v>24</v>
      </c>
      <c r="G57" s="1" t="s">
        <v>21</v>
      </c>
      <c r="H57" s="1" t="n">
        <v>0.186</v>
      </c>
      <c r="I57" s="1" t="n">
        <v>0.234566716422938</v>
      </c>
      <c r="J57" s="1" t="n">
        <v>0.325394813328584</v>
      </c>
      <c r="K57" s="1" t="n">
        <f aca="false">J57-I57</f>
        <v>0.0908280969056463</v>
      </c>
      <c r="L57" s="1" t="n">
        <v>0.72995268032519</v>
      </c>
    </row>
    <row r="58" customFormat="false" ht="15" hidden="false" customHeight="false" outlineLevel="0" collapsed="false">
      <c r="A58" s="1" t="s">
        <v>66</v>
      </c>
      <c r="B58" s="1" t="s">
        <v>67</v>
      </c>
      <c r="C58" s="1" t="s">
        <v>68</v>
      </c>
      <c r="D58" s="1" t="s">
        <v>19</v>
      </c>
      <c r="E58" s="1" t="s">
        <v>20</v>
      </c>
      <c r="F58" s="1" t="n">
        <v>24</v>
      </c>
      <c r="G58" s="1" t="s">
        <v>57</v>
      </c>
      <c r="H58" s="1" t="n">
        <v>0.1628</v>
      </c>
      <c r="I58" s="1" t="n">
        <v>0.205305896489795</v>
      </c>
      <c r="J58" s="1" t="n">
        <v>0.314671182883185</v>
      </c>
      <c r="K58" s="1" t="n">
        <f aca="false">J58-I58</f>
        <v>0.10936528639339</v>
      </c>
      <c r="L58" s="1" t="n">
        <v>0.72995268032519</v>
      </c>
    </row>
    <row r="59" customFormat="false" ht="15" hidden="false" customHeight="false" outlineLevel="0" collapsed="false">
      <c r="A59" s="1" t="s">
        <v>66</v>
      </c>
      <c r="B59" s="1" t="s">
        <v>67</v>
      </c>
      <c r="C59" s="1" t="s">
        <v>68</v>
      </c>
      <c r="D59" s="1" t="s">
        <v>19</v>
      </c>
      <c r="E59" s="1" t="s">
        <v>20</v>
      </c>
      <c r="F59" s="1" t="n">
        <v>24</v>
      </c>
      <c r="G59" s="1" t="s">
        <v>23</v>
      </c>
      <c r="H59" s="1" t="n">
        <v>0.1625</v>
      </c>
      <c r="I59" s="1" t="n">
        <v>0.204933977271932</v>
      </c>
      <c r="J59" s="1" t="n">
        <v>0.277441780260551</v>
      </c>
      <c r="K59" s="1" t="n">
        <f aca="false">J59-I59</f>
        <v>0.0725078029886193</v>
      </c>
      <c r="L59" s="1" t="n">
        <v>0.72995268032519</v>
      </c>
    </row>
    <row r="60" customFormat="false" ht="15" hidden="false" customHeight="false" outlineLevel="0" collapsed="false">
      <c r="A60" s="1" t="s">
        <v>66</v>
      </c>
      <c r="B60" s="1" t="s">
        <v>67</v>
      </c>
      <c r="C60" s="1" t="s">
        <v>68</v>
      </c>
      <c r="D60" s="1" t="s">
        <v>19</v>
      </c>
      <c r="E60" s="1" t="s">
        <v>20</v>
      </c>
      <c r="F60" s="1" t="n">
        <v>24</v>
      </c>
      <c r="G60" s="1" t="s">
        <v>24</v>
      </c>
      <c r="H60" s="1" t="n">
        <v>0.1</v>
      </c>
      <c r="I60" s="1" t="n">
        <v>0.187441793686605</v>
      </c>
      <c r="J60" s="1" t="n">
        <v>0.244625570106667</v>
      </c>
      <c r="K60" s="1" t="n">
        <f aca="false">J60-I60</f>
        <v>0.0571837764200623</v>
      </c>
      <c r="L60" s="1" t="n">
        <v>0.72995268032519</v>
      </c>
    </row>
    <row r="61" customFormat="false" ht="15" hidden="false" customHeight="false" outlineLevel="0" collapsed="false">
      <c r="A61" s="1" t="s">
        <v>69</v>
      </c>
      <c r="B61" s="1" t="s">
        <v>70</v>
      </c>
      <c r="C61" s="1" t="s">
        <v>71</v>
      </c>
      <c r="D61" s="1" t="s">
        <v>19</v>
      </c>
      <c r="E61" s="1" t="s">
        <v>20</v>
      </c>
      <c r="F61" s="1" t="n">
        <v>26</v>
      </c>
      <c r="G61" s="1" t="s">
        <v>22</v>
      </c>
      <c r="H61" s="1" t="n">
        <v>0.1904</v>
      </c>
      <c r="I61" s="1" t="n">
        <v>0.325040498533695</v>
      </c>
      <c r="J61" s="1" t="n">
        <v>0.371483712176262</v>
      </c>
      <c r="K61" s="1" t="n">
        <f aca="false">J61-I61</f>
        <v>0.0464432136425673</v>
      </c>
      <c r="L61" s="1" t="n">
        <v>0.79516955513513</v>
      </c>
    </row>
    <row r="62" customFormat="false" ht="15" hidden="false" customHeight="false" outlineLevel="0" collapsed="false">
      <c r="A62" s="1" t="s">
        <v>69</v>
      </c>
      <c r="B62" s="1" t="s">
        <v>70</v>
      </c>
      <c r="C62" s="1" t="s">
        <v>71</v>
      </c>
      <c r="D62" s="1" t="s">
        <v>19</v>
      </c>
      <c r="E62" s="1" t="s">
        <v>20</v>
      </c>
      <c r="F62" s="1" t="n">
        <v>26</v>
      </c>
      <c r="G62" s="1" t="s">
        <v>21</v>
      </c>
      <c r="H62" s="1" t="n">
        <v>0.1815</v>
      </c>
      <c r="I62" s="1" t="n">
        <v>0.309788193933235</v>
      </c>
      <c r="J62" s="1" t="n">
        <v>0.379614606108464</v>
      </c>
      <c r="K62" s="1" t="n">
        <f aca="false">J62-I62</f>
        <v>0.069826412175229</v>
      </c>
      <c r="L62" s="1" t="n">
        <v>0.79516955513513</v>
      </c>
    </row>
    <row r="63" customFormat="false" ht="15" hidden="false" customHeight="false" outlineLevel="0" collapsed="false">
      <c r="A63" s="1" t="s">
        <v>69</v>
      </c>
      <c r="B63" s="1" t="s">
        <v>70</v>
      </c>
      <c r="C63" s="1" t="s">
        <v>71</v>
      </c>
      <c r="D63" s="1" t="s">
        <v>19</v>
      </c>
      <c r="E63" s="1" t="s">
        <v>20</v>
      </c>
      <c r="F63" s="1" t="n">
        <v>26</v>
      </c>
      <c r="G63" s="1" t="s">
        <v>57</v>
      </c>
      <c r="H63" s="1" t="n">
        <v>0.1805</v>
      </c>
      <c r="I63" s="1" t="n">
        <v>0.308028823604384</v>
      </c>
      <c r="J63" s="1" t="n">
        <v>0.394114209167449</v>
      </c>
      <c r="K63" s="1" t="n">
        <f aca="false">J63-I63</f>
        <v>0.086085385563065</v>
      </c>
      <c r="L63" s="1" t="n">
        <v>0.79516955513513</v>
      </c>
    </row>
    <row r="64" customFormat="false" ht="15" hidden="false" customHeight="false" outlineLevel="0" collapsed="false">
      <c r="A64" s="1" t="s">
        <v>69</v>
      </c>
      <c r="B64" s="1" t="s">
        <v>70</v>
      </c>
      <c r="C64" s="1" t="s">
        <v>71</v>
      </c>
      <c r="D64" s="1" t="s">
        <v>19</v>
      </c>
      <c r="E64" s="1" t="s">
        <v>20</v>
      </c>
      <c r="F64" s="1" t="n">
        <v>26</v>
      </c>
      <c r="G64" s="1" t="s">
        <v>37</v>
      </c>
      <c r="H64" s="1" t="n">
        <v>0.1631</v>
      </c>
      <c r="I64" s="1" t="n">
        <v>0.278449959039288</v>
      </c>
      <c r="J64" s="1" t="n">
        <v>0.372859286937476</v>
      </c>
      <c r="K64" s="1" t="n">
        <f aca="false">J64-I64</f>
        <v>0.0944093278981875</v>
      </c>
      <c r="L64" s="1" t="n">
        <v>0.79516955513513</v>
      </c>
    </row>
    <row r="65" customFormat="false" ht="15" hidden="false" customHeight="false" outlineLevel="0" collapsed="false">
      <c r="A65" s="1" t="s">
        <v>69</v>
      </c>
      <c r="B65" s="1" t="s">
        <v>70</v>
      </c>
      <c r="C65" s="1" t="s">
        <v>71</v>
      </c>
      <c r="D65" s="1" t="s">
        <v>19</v>
      </c>
      <c r="E65" s="1" t="s">
        <v>20</v>
      </c>
      <c r="F65" s="1" t="n">
        <v>26</v>
      </c>
      <c r="G65" s="1" t="s">
        <v>24</v>
      </c>
      <c r="H65" s="1" t="n">
        <v>0.148</v>
      </c>
      <c r="I65" s="1" t="n">
        <v>0.252618955259595</v>
      </c>
      <c r="J65" s="1" t="n">
        <v>0.332860670818376</v>
      </c>
      <c r="K65" s="1" t="n">
        <f aca="false">J65-I65</f>
        <v>0.0802417155587813</v>
      </c>
      <c r="L65" s="1" t="n">
        <v>0.79516955513513</v>
      </c>
    </row>
    <row r="66" customFormat="false" ht="15" hidden="false" customHeight="false" outlineLevel="0" collapsed="false">
      <c r="A66" s="1" t="s">
        <v>69</v>
      </c>
      <c r="B66" s="1" t="s">
        <v>70</v>
      </c>
      <c r="C66" s="1" t="s">
        <v>71</v>
      </c>
      <c r="D66" s="1" t="s">
        <v>19</v>
      </c>
      <c r="E66" s="1" t="s">
        <v>20</v>
      </c>
      <c r="F66" s="1" t="n">
        <v>26</v>
      </c>
      <c r="G66" s="1" t="s">
        <v>58</v>
      </c>
      <c r="H66" s="1" t="n">
        <v>0.1365</v>
      </c>
      <c r="I66" s="1" t="n">
        <v>0.232919811208034</v>
      </c>
      <c r="J66" s="1" t="n">
        <v>0.308540585427041</v>
      </c>
      <c r="K66" s="1" t="n">
        <f aca="false">J66-I66</f>
        <v>0.0756207742190072</v>
      </c>
      <c r="L66" s="1" t="n">
        <v>0.79516955513513</v>
      </c>
    </row>
    <row r="67" customFormat="false" ht="15" hidden="false" customHeight="false" outlineLevel="0" collapsed="false">
      <c r="A67" s="1" t="s">
        <v>72</v>
      </c>
      <c r="B67" s="1" t="s">
        <v>73</v>
      </c>
      <c r="C67" s="1" t="s">
        <v>74</v>
      </c>
      <c r="D67" s="1" t="s">
        <v>19</v>
      </c>
      <c r="E67" s="1" t="s">
        <v>20</v>
      </c>
      <c r="F67" s="1" t="n">
        <v>28</v>
      </c>
      <c r="G67" s="1" t="s">
        <v>22</v>
      </c>
      <c r="H67" s="1" t="n">
        <v>0.1837</v>
      </c>
      <c r="I67" s="1" t="n">
        <v>0.381649441264636</v>
      </c>
      <c r="J67" s="1" t="n">
        <v>0.363996717915571</v>
      </c>
      <c r="K67" s="1" t="n">
        <f aca="false">J67-I67</f>
        <v>-0.0176527233490647</v>
      </c>
      <c r="L67" s="1" t="n">
        <v>0.641361051891741</v>
      </c>
    </row>
    <row r="68" customFormat="false" ht="15" hidden="false" customHeight="false" outlineLevel="0" collapsed="false">
      <c r="A68" s="1" t="s">
        <v>72</v>
      </c>
      <c r="B68" s="1" t="s">
        <v>73</v>
      </c>
      <c r="C68" s="1" t="s">
        <v>74</v>
      </c>
      <c r="D68" s="1" t="s">
        <v>19</v>
      </c>
      <c r="E68" s="1" t="s">
        <v>20</v>
      </c>
      <c r="F68" s="1" t="n">
        <v>28</v>
      </c>
      <c r="G68" s="1" t="s">
        <v>37</v>
      </c>
      <c r="H68" s="1" t="n">
        <v>0.1792</v>
      </c>
      <c r="I68" s="1" t="n">
        <v>0.372390049929047</v>
      </c>
      <c r="J68" s="1" t="n">
        <v>0.402554509043316</v>
      </c>
      <c r="K68" s="1" t="n">
        <f aca="false">J68-I68</f>
        <v>0.0301644591142692</v>
      </c>
      <c r="L68" s="1" t="n">
        <v>0.641361051891741</v>
      </c>
    </row>
    <row r="69" customFormat="false" ht="15" hidden="false" customHeight="false" outlineLevel="0" collapsed="false">
      <c r="A69" s="1" t="s">
        <v>72</v>
      </c>
      <c r="B69" s="1" t="s">
        <v>73</v>
      </c>
      <c r="C69" s="1" t="s">
        <v>74</v>
      </c>
      <c r="D69" s="1" t="s">
        <v>19</v>
      </c>
      <c r="E69" s="1" t="s">
        <v>20</v>
      </c>
      <c r="F69" s="1" t="n">
        <v>28</v>
      </c>
      <c r="G69" s="1" t="s">
        <v>21</v>
      </c>
      <c r="H69" s="1" t="n">
        <v>0.1792</v>
      </c>
      <c r="I69" s="1" t="n">
        <v>0.372303230870803</v>
      </c>
      <c r="J69" s="1" t="n">
        <v>0.332793198444498</v>
      </c>
      <c r="K69" s="1" t="n">
        <f aca="false">J69-I69</f>
        <v>-0.0395100324263046</v>
      </c>
      <c r="L69" s="1" t="n">
        <v>0.641361051891741</v>
      </c>
    </row>
    <row r="70" customFormat="false" ht="15" hidden="false" customHeight="false" outlineLevel="0" collapsed="false">
      <c r="A70" s="1" t="s">
        <v>72</v>
      </c>
      <c r="B70" s="1" t="s">
        <v>73</v>
      </c>
      <c r="C70" s="1" t="s">
        <v>74</v>
      </c>
      <c r="D70" s="1" t="s">
        <v>19</v>
      </c>
      <c r="E70" s="1" t="s">
        <v>20</v>
      </c>
      <c r="F70" s="1" t="n">
        <v>28</v>
      </c>
      <c r="G70" s="1" t="s">
        <v>57</v>
      </c>
      <c r="H70" s="1" t="n">
        <v>0.1744</v>
      </c>
      <c r="I70" s="1" t="n">
        <v>0.362333784856082</v>
      </c>
      <c r="J70" s="1" t="n">
        <v>0.375578415957655</v>
      </c>
      <c r="K70" s="1" t="n">
        <f aca="false">J70-I70</f>
        <v>0.0132446311015724</v>
      </c>
      <c r="L70" s="1" t="n">
        <v>0.641361051891741</v>
      </c>
    </row>
    <row r="71" customFormat="false" ht="15" hidden="false" customHeight="false" outlineLevel="0" collapsed="false">
      <c r="A71" s="1" t="s">
        <v>72</v>
      </c>
      <c r="B71" s="1" t="s">
        <v>73</v>
      </c>
      <c r="C71" s="1" t="s">
        <v>74</v>
      </c>
      <c r="D71" s="1" t="s">
        <v>19</v>
      </c>
      <c r="E71" s="1" t="s">
        <v>20</v>
      </c>
      <c r="F71" s="1" t="n">
        <v>28</v>
      </c>
      <c r="G71" s="1" t="s">
        <v>58</v>
      </c>
      <c r="H71" s="1" t="n">
        <v>0.1418</v>
      </c>
      <c r="I71" s="1" t="n">
        <v>0.294515395142974</v>
      </c>
      <c r="J71" s="1" t="n">
        <v>0.332777116038497</v>
      </c>
      <c r="K71" s="1" t="n">
        <f aca="false">J71-I71</f>
        <v>0.0382617208955226</v>
      </c>
      <c r="L71" s="1" t="n">
        <v>0.641361051891741</v>
      </c>
    </row>
    <row r="72" customFormat="false" ht="15" hidden="false" customHeight="false" outlineLevel="0" collapsed="false">
      <c r="A72" s="1" t="s">
        <v>72</v>
      </c>
      <c r="B72" s="1" t="s">
        <v>73</v>
      </c>
      <c r="C72" s="1" t="s">
        <v>74</v>
      </c>
      <c r="D72" s="1" t="s">
        <v>19</v>
      </c>
      <c r="E72" s="1" t="s">
        <v>20</v>
      </c>
      <c r="F72" s="1" t="n">
        <v>28</v>
      </c>
      <c r="G72" s="1" t="s">
        <v>24</v>
      </c>
      <c r="H72" s="1" t="n">
        <v>0.1417</v>
      </c>
      <c r="I72" s="1" t="n">
        <v>0.294390893726206</v>
      </c>
      <c r="J72" s="1" t="n">
        <v>0.316666787050873</v>
      </c>
      <c r="K72" s="1" t="n">
        <f aca="false">J72-I72</f>
        <v>0.0222758933246668</v>
      </c>
      <c r="L72" s="1" t="n">
        <v>0.641361051891741</v>
      </c>
    </row>
    <row r="73" customFormat="false" ht="15" hidden="false" customHeight="false" outlineLevel="0" collapsed="false">
      <c r="A73" s="1" t="s">
        <v>75</v>
      </c>
      <c r="B73" s="1" t="s">
        <v>76</v>
      </c>
      <c r="C73" s="1" t="s">
        <v>77</v>
      </c>
      <c r="D73" s="1" t="s">
        <v>19</v>
      </c>
      <c r="E73" s="1" t="s">
        <v>20</v>
      </c>
      <c r="F73" s="1" t="n">
        <v>30</v>
      </c>
      <c r="G73" s="1" t="s">
        <v>21</v>
      </c>
      <c r="H73" s="1" t="n">
        <v>0.1816</v>
      </c>
      <c r="I73" s="1" t="n">
        <v>0.269837345521357</v>
      </c>
      <c r="J73" s="1" t="n">
        <v>0.295171464486073</v>
      </c>
      <c r="K73" s="1" t="n">
        <f aca="false">J73-I73</f>
        <v>0.0253341189647155</v>
      </c>
      <c r="L73" s="1" t="n">
        <v>0.758550116405013</v>
      </c>
    </row>
    <row r="74" customFormat="false" ht="15" hidden="false" customHeight="false" outlineLevel="0" collapsed="false">
      <c r="A74" s="1" t="s">
        <v>75</v>
      </c>
      <c r="B74" s="1" t="s">
        <v>76</v>
      </c>
      <c r="C74" s="1" t="s">
        <v>77</v>
      </c>
      <c r="D74" s="1" t="s">
        <v>19</v>
      </c>
      <c r="E74" s="1" t="s">
        <v>20</v>
      </c>
      <c r="F74" s="1" t="n">
        <v>30</v>
      </c>
      <c r="G74" s="1" t="s">
        <v>37</v>
      </c>
      <c r="H74" s="1" t="n">
        <v>0.1752</v>
      </c>
      <c r="I74" s="1" t="n">
        <v>0.260291054667011</v>
      </c>
      <c r="J74" s="1" t="n">
        <v>0.289087235829336</v>
      </c>
      <c r="K74" s="1" t="n">
        <f aca="false">J74-I74</f>
        <v>0.0287961811623257</v>
      </c>
      <c r="L74" s="1" t="n">
        <v>0.758550116405013</v>
      </c>
    </row>
    <row r="75" customFormat="false" ht="15" hidden="false" customHeight="false" outlineLevel="0" collapsed="false">
      <c r="A75" s="1" t="s">
        <v>75</v>
      </c>
      <c r="B75" s="1" t="s">
        <v>76</v>
      </c>
      <c r="C75" s="1" t="s">
        <v>77</v>
      </c>
      <c r="D75" s="1" t="s">
        <v>19</v>
      </c>
      <c r="E75" s="1" t="s">
        <v>20</v>
      </c>
      <c r="F75" s="1" t="n">
        <v>30</v>
      </c>
      <c r="G75" s="1" t="s">
        <v>23</v>
      </c>
      <c r="H75" s="1" t="n">
        <v>0.1694</v>
      </c>
      <c r="I75" s="1" t="n">
        <v>0.251644165630789</v>
      </c>
      <c r="J75" s="1" t="n">
        <v>0.353972233352509</v>
      </c>
      <c r="K75" s="1" t="n">
        <f aca="false">J75-I75</f>
        <v>0.10232806772172</v>
      </c>
      <c r="L75" s="1" t="n">
        <v>0.758550116405013</v>
      </c>
    </row>
    <row r="76" customFormat="false" ht="15" hidden="false" customHeight="false" outlineLevel="0" collapsed="false">
      <c r="A76" s="1" t="s">
        <v>75</v>
      </c>
      <c r="B76" s="1" t="s">
        <v>76</v>
      </c>
      <c r="C76" s="1" t="s">
        <v>77</v>
      </c>
      <c r="D76" s="1" t="s">
        <v>19</v>
      </c>
      <c r="E76" s="1" t="s">
        <v>20</v>
      </c>
      <c r="F76" s="1" t="n">
        <v>30</v>
      </c>
      <c r="G76" s="1" t="s">
        <v>22</v>
      </c>
      <c r="H76" s="1" t="n">
        <v>0.1606</v>
      </c>
      <c r="I76" s="1" t="n">
        <v>0.238607430378227</v>
      </c>
      <c r="J76" s="1" t="n">
        <v>0.281605744796046</v>
      </c>
      <c r="K76" s="1" t="n">
        <f aca="false">J76-I76</f>
        <v>0.0429983144178189</v>
      </c>
      <c r="L76" s="1" t="n">
        <v>0.758550116405013</v>
      </c>
    </row>
    <row r="77" customFormat="false" ht="15" hidden="false" customHeight="false" outlineLevel="0" collapsed="false">
      <c r="A77" s="1" t="s">
        <v>75</v>
      </c>
      <c r="B77" s="1" t="s">
        <v>76</v>
      </c>
      <c r="C77" s="1" t="s">
        <v>77</v>
      </c>
      <c r="D77" s="1" t="s">
        <v>19</v>
      </c>
      <c r="E77" s="1" t="s">
        <v>20</v>
      </c>
      <c r="F77" s="1" t="n">
        <v>30</v>
      </c>
      <c r="G77" s="1" t="s">
        <v>24</v>
      </c>
      <c r="H77" s="1" t="n">
        <v>0.1572</v>
      </c>
      <c r="I77" s="1" t="n">
        <v>0.233542245556133</v>
      </c>
      <c r="J77" s="1" t="n">
        <v>0.279856887976906</v>
      </c>
      <c r="K77" s="1" t="n">
        <f aca="false">J77-I77</f>
        <v>0.0463146424207729</v>
      </c>
      <c r="L77" s="1" t="n">
        <v>0.758550116405013</v>
      </c>
    </row>
    <row r="78" customFormat="false" ht="15" hidden="false" customHeight="false" outlineLevel="0" collapsed="false">
      <c r="A78" s="1" t="s">
        <v>75</v>
      </c>
      <c r="B78" s="1" t="s">
        <v>76</v>
      </c>
      <c r="C78" s="1" t="s">
        <v>77</v>
      </c>
      <c r="D78" s="1" t="s">
        <v>19</v>
      </c>
      <c r="E78" s="1" t="s">
        <v>20</v>
      </c>
      <c r="F78" s="1" t="n">
        <v>30</v>
      </c>
      <c r="G78" s="1" t="s">
        <v>58</v>
      </c>
      <c r="H78" s="1" t="n">
        <v>0.156</v>
      </c>
      <c r="I78" s="1" t="n">
        <v>0.231772079192145</v>
      </c>
      <c r="J78" s="1" t="n">
        <v>0.261453339688106</v>
      </c>
      <c r="K78" s="1" t="n">
        <f aca="false">J78-I78</f>
        <v>0.0296812604959607</v>
      </c>
      <c r="L78" s="1" t="n">
        <v>0.758550116405013</v>
      </c>
    </row>
    <row r="79" customFormat="false" ht="15" hidden="false" customHeight="false" outlineLevel="0" collapsed="false">
      <c r="A79" s="1" t="s">
        <v>78</v>
      </c>
      <c r="B79" s="1" t="s">
        <v>79</v>
      </c>
      <c r="C79" s="1" t="s">
        <v>80</v>
      </c>
      <c r="D79" s="1" t="s">
        <v>19</v>
      </c>
      <c r="E79" s="1" t="s">
        <v>20</v>
      </c>
      <c r="F79" s="1" t="n">
        <v>32</v>
      </c>
      <c r="G79" s="1" t="s">
        <v>23</v>
      </c>
      <c r="H79" s="1" t="n">
        <v>0.1922</v>
      </c>
      <c r="I79" s="1" t="n">
        <v>0.300455535005476</v>
      </c>
      <c r="J79" s="1" t="n">
        <v>0.39905151098219</v>
      </c>
      <c r="K79" s="1" t="n">
        <f aca="false">J79-I79</f>
        <v>0.0985959759767136</v>
      </c>
      <c r="L79" s="1" t="n">
        <v>0.694176028461883</v>
      </c>
    </row>
    <row r="80" customFormat="false" ht="15" hidden="false" customHeight="false" outlineLevel="0" collapsed="false">
      <c r="A80" s="1" t="s">
        <v>78</v>
      </c>
      <c r="B80" s="1" t="s">
        <v>79</v>
      </c>
      <c r="C80" s="1" t="s">
        <v>80</v>
      </c>
      <c r="D80" s="1" t="s">
        <v>19</v>
      </c>
      <c r="E80" s="1" t="s">
        <v>20</v>
      </c>
      <c r="F80" s="1" t="n">
        <v>32</v>
      </c>
      <c r="G80" s="1" t="s">
        <v>24</v>
      </c>
      <c r="H80" s="1" t="n">
        <v>0.1716</v>
      </c>
      <c r="I80" s="1" t="n">
        <v>0.268205098207414</v>
      </c>
      <c r="J80" s="1" t="n">
        <v>0.386969901428883</v>
      </c>
      <c r="K80" s="1" t="n">
        <f aca="false">J80-I80</f>
        <v>0.11876480322147</v>
      </c>
      <c r="L80" s="1" t="n">
        <v>0.694176028461883</v>
      </c>
    </row>
    <row r="81" customFormat="false" ht="15" hidden="false" customHeight="false" outlineLevel="0" collapsed="false">
      <c r="A81" s="1" t="s">
        <v>78</v>
      </c>
      <c r="B81" s="1" t="s">
        <v>79</v>
      </c>
      <c r="C81" s="1" t="s">
        <v>80</v>
      </c>
      <c r="D81" s="1" t="s">
        <v>19</v>
      </c>
      <c r="E81" s="1" t="s">
        <v>20</v>
      </c>
      <c r="F81" s="1" t="n">
        <v>32</v>
      </c>
      <c r="G81" s="1" t="s">
        <v>37</v>
      </c>
      <c r="H81" s="1" t="n">
        <v>0.1671</v>
      </c>
      <c r="I81" s="1" t="n">
        <v>0.261199907243765</v>
      </c>
      <c r="J81" s="1" t="n">
        <v>0.344023519936643</v>
      </c>
      <c r="K81" s="1" t="n">
        <f aca="false">J81-I81</f>
        <v>0.0828236126928787</v>
      </c>
      <c r="L81" s="1" t="n">
        <v>0.694176028461883</v>
      </c>
    </row>
    <row r="82" customFormat="false" ht="15" hidden="false" customHeight="false" outlineLevel="0" collapsed="false">
      <c r="A82" s="1" t="s">
        <v>78</v>
      </c>
      <c r="B82" s="1" t="s">
        <v>79</v>
      </c>
      <c r="C82" s="1" t="s">
        <v>80</v>
      </c>
      <c r="D82" s="1" t="s">
        <v>19</v>
      </c>
      <c r="E82" s="1" t="s">
        <v>20</v>
      </c>
      <c r="F82" s="1" t="n">
        <v>32</v>
      </c>
      <c r="G82" s="1" t="s">
        <v>22</v>
      </c>
      <c r="H82" s="1" t="n">
        <v>0.1657</v>
      </c>
      <c r="I82" s="1" t="n">
        <v>0.259009220656814</v>
      </c>
      <c r="J82" s="1" t="n">
        <v>0.330798989422238</v>
      </c>
      <c r="K82" s="1" t="n">
        <f aca="false">J82-I82</f>
        <v>0.0717897687654241</v>
      </c>
      <c r="L82" s="1" t="n">
        <v>0.694176028461883</v>
      </c>
    </row>
    <row r="83" customFormat="false" ht="15" hidden="false" customHeight="false" outlineLevel="0" collapsed="false">
      <c r="A83" s="1" t="s">
        <v>78</v>
      </c>
      <c r="B83" s="1" t="s">
        <v>79</v>
      </c>
      <c r="C83" s="1" t="s">
        <v>80</v>
      </c>
      <c r="D83" s="1" t="s">
        <v>19</v>
      </c>
      <c r="E83" s="1" t="s">
        <v>20</v>
      </c>
      <c r="F83" s="1" t="n">
        <v>32</v>
      </c>
      <c r="G83" s="1" t="s">
        <v>58</v>
      </c>
      <c r="H83" s="1" t="n">
        <v>0.1546</v>
      </c>
      <c r="I83" s="1" t="n">
        <v>0.241699671222394</v>
      </c>
      <c r="J83" s="1" t="n">
        <v>0.327208575547773</v>
      </c>
      <c r="K83" s="1" t="n">
        <f aca="false">J83-I83</f>
        <v>0.0855089043253787</v>
      </c>
      <c r="L83" s="1" t="n">
        <v>0.694176028461883</v>
      </c>
    </row>
    <row r="84" customFormat="false" ht="15" hidden="false" customHeight="false" outlineLevel="0" collapsed="false">
      <c r="A84" s="1" t="s">
        <v>78</v>
      </c>
      <c r="B84" s="1" t="s">
        <v>79</v>
      </c>
      <c r="C84" s="1" t="s">
        <v>80</v>
      </c>
      <c r="D84" s="1" t="s">
        <v>19</v>
      </c>
      <c r="E84" s="1" t="s">
        <v>20</v>
      </c>
      <c r="F84" s="1" t="n">
        <v>32</v>
      </c>
      <c r="G84" s="1" t="s">
        <v>31</v>
      </c>
      <c r="H84" s="1" t="n">
        <v>0.1487</v>
      </c>
      <c r="I84" s="1" t="n">
        <v>0.232326421455413</v>
      </c>
      <c r="J84" s="1" t="n">
        <v>0.30107745077938</v>
      </c>
      <c r="K84" s="1" t="n">
        <f aca="false">J84-I84</f>
        <v>0.0687510293239666</v>
      </c>
      <c r="L84" s="1" t="n">
        <v>0.694176028461883</v>
      </c>
    </row>
    <row r="85" customFormat="false" ht="15" hidden="false" customHeight="false" outlineLevel="0" collapsed="false">
      <c r="A85" s="1" t="s">
        <v>81</v>
      </c>
      <c r="B85" s="1" t="s">
        <v>82</v>
      </c>
      <c r="C85" s="1" t="s">
        <v>83</v>
      </c>
      <c r="D85" s="1" t="s">
        <v>19</v>
      </c>
      <c r="E85" s="1" t="s">
        <v>20</v>
      </c>
      <c r="F85" s="1" t="n">
        <v>34</v>
      </c>
      <c r="G85" s="1" t="s">
        <v>23</v>
      </c>
      <c r="H85" s="1" t="n">
        <v>0.3474</v>
      </c>
      <c r="I85" s="1" t="n">
        <v>0.223957523660728</v>
      </c>
      <c r="J85" s="1" t="n">
        <v>0.273797021086506</v>
      </c>
      <c r="K85" s="1" t="n">
        <f aca="false">J85-I85</f>
        <v>0.0498394974257781</v>
      </c>
      <c r="L85" s="1" t="n">
        <v>0.753547411776315</v>
      </c>
    </row>
    <row r="86" customFormat="false" ht="15" hidden="false" customHeight="false" outlineLevel="0" collapsed="false">
      <c r="A86" s="1" t="s">
        <v>81</v>
      </c>
      <c r="B86" s="1" t="s">
        <v>82</v>
      </c>
      <c r="C86" s="1" t="s">
        <v>83</v>
      </c>
      <c r="D86" s="1" t="s">
        <v>19</v>
      </c>
      <c r="E86" s="1" t="s">
        <v>20</v>
      </c>
      <c r="F86" s="1" t="n">
        <v>34</v>
      </c>
      <c r="G86" s="1" t="s">
        <v>22</v>
      </c>
      <c r="H86" s="1" t="n">
        <v>0.3265</v>
      </c>
      <c r="I86" s="1" t="n">
        <v>0.210455428459951</v>
      </c>
      <c r="J86" s="1" t="n">
        <v>0.235991692353737</v>
      </c>
      <c r="K86" s="1" t="n">
        <f aca="false">J86-I86</f>
        <v>0.0255362638937863</v>
      </c>
      <c r="L86" s="1" t="n">
        <v>0.753547411776315</v>
      </c>
    </row>
    <row r="87" customFormat="false" ht="15" hidden="false" customHeight="false" outlineLevel="0" collapsed="false">
      <c r="A87" s="1" t="s">
        <v>81</v>
      </c>
      <c r="B87" s="1" t="s">
        <v>82</v>
      </c>
      <c r="C87" s="1" t="s">
        <v>83</v>
      </c>
      <c r="D87" s="1" t="s">
        <v>19</v>
      </c>
      <c r="E87" s="1" t="s">
        <v>20</v>
      </c>
      <c r="F87" s="1" t="n">
        <v>34</v>
      </c>
      <c r="G87" s="1" t="s">
        <v>24</v>
      </c>
      <c r="H87" s="1" t="n">
        <v>0.3261</v>
      </c>
      <c r="I87" s="1" t="n">
        <v>0.210249389706884</v>
      </c>
      <c r="J87" s="1" t="n">
        <v>0.244117986923082</v>
      </c>
      <c r="K87" s="1" t="n">
        <f aca="false">J87-I87</f>
        <v>0.0338685972161977</v>
      </c>
      <c r="L87" s="1" t="n">
        <v>0.753547411776315</v>
      </c>
    </row>
    <row r="88" customFormat="false" ht="15" hidden="false" customHeight="false" outlineLevel="0" collapsed="false">
      <c r="A88" s="1" t="s">
        <v>84</v>
      </c>
      <c r="B88" s="1" t="s">
        <v>85</v>
      </c>
      <c r="C88" s="1" t="s">
        <v>86</v>
      </c>
      <c r="D88" s="1" t="s">
        <v>19</v>
      </c>
      <c r="E88" s="1" t="s">
        <v>20</v>
      </c>
      <c r="F88" s="1" t="n">
        <v>36</v>
      </c>
      <c r="G88" s="1" t="s">
        <v>23</v>
      </c>
      <c r="H88" s="1" t="n">
        <v>0.1902</v>
      </c>
      <c r="I88" s="1" t="n">
        <v>0.260198053522038</v>
      </c>
      <c r="J88" s="1" t="n">
        <v>0.381770168735667</v>
      </c>
      <c r="K88" s="1" t="n">
        <f aca="false">J88-I88</f>
        <v>0.121572115213629</v>
      </c>
      <c r="L88" s="1" t="n">
        <v>0.718473139733635</v>
      </c>
    </row>
    <row r="89" customFormat="false" ht="15" hidden="false" customHeight="false" outlineLevel="0" collapsed="false">
      <c r="A89" s="1" t="s">
        <v>84</v>
      </c>
      <c r="B89" s="1" t="s">
        <v>85</v>
      </c>
      <c r="C89" s="1" t="s">
        <v>86</v>
      </c>
      <c r="D89" s="1" t="s">
        <v>19</v>
      </c>
      <c r="E89" s="1" t="s">
        <v>20</v>
      </c>
      <c r="F89" s="1" t="n">
        <v>36</v>
      </c>
      <c r="G89" s="1" t="s">
        <v>37</v>
      </c>
      <c r="H89" s="1" t="n">
        <v>0.1755</v>
      </c>
      <c r="I89" s="1" t="n">
        <v>0.24010181839873</v>
      </c>
      <c r="J89" s="1" t="n">
        <v>0.385245365378552</v>
      </c>
      <c r="K89" s="1" t="n">
        <f aca="false">J89-I89</f>
        <v>0.145143546979822</v>
      </c>
      <c r="L89" s="1" t="n">
        <v>0.718473139733635</v>
      </c>
    </row>
    <row r="90" customFormat="false" ht="15" hidden="false" customHeight="false" outlineLevel="0" collapsed="false">
      <c r="A90" s="1" t="s">
        <v>84</v>
      </c>
      <c r="B90" s="1" t="s">
        <v>85</v>
      </c>
      <c r="C90" s="1" t="s">
        <v>86</v>
      </c>
      <c r="D90" s="1" t="s">
        <v>19</v>
      </c>
      <c r="E90" s="1" t="s">
        <v>20</v>
      </c>
      <c r="F90" s="1" t="n">
        <v>36</v>
      </c>
      <c r="G90" s="1" t="s">
        <v>21</v>
      </c>
      <c r="H90" s="1" t="n">
        <v>0.1639</v>
      </c>
      <c r="I90" s="1" t="n">
        <v>0.224228487208363</v>
      </c>
      <c r="J90" s="1" t="n">
        <v>0.324049036982808</v>
      </c>
      <c r="K90" s="1" t="n">
        <f aca="false">J90-I90</f>
        <v>0.099820549774445</v>
      </c>
      <c r="L90" s="1" t="n">
        <v>0.718473139733635</v>
      </c>
    </row>
    <row r="91" customFormat="false" ht="15" hidden="false" customHeight="false" outlineLevel="0" collapsed="false">
      <c r="A91" s="1" t="s">
        <v>84</v>
      </c>
      <c r="B91" s="1" t="s">
        <v>85</v>
      </c>
      <c r="C91" s="1" t="s">
        <v>86</v>
      </c>
      <c r="D91" s="1" t="s">
        <v>19</v>
      </c>
      <c r="E91" s="1" t="s">
        <v>20</v>
      </c>
      <c r="F91" s="1" t="n">
        <v>36</v>
      </c>
      <c r="G91" s="1" t="s">
        <v>24</v>
      </c>
      <c r="H91" s="1" t="n">
        <v>0.1617</v>
      </c>
      <c r="I91" s="1" t="n">
        <v>0.221254293577428</v>
      </c>
      <c r="J91" s="1" t="n">
        <v>0.312446568973807</v>
      </c>
      <c r="K91" s="1" t="n">
        <f aca="false">J91-I91</f>
        <v>0.0911922753963787</v>
      </c>
      <c r="L91" s="1" t="n">
        <v>0.718473139733635</v>
      </c>
    </row>
    <row r="92" customFormat="false" ht="15" hidden="false" customHeight="false" outlineLevel="0" collapsed="false">
      <c r="A92" s="1" t="s">
        <v>84</v>
      </c>
      <c r="B92" s="1" t="s">
        <v>85</v>
      </c>
      <c r="C92" s="1" t="s">
        <v>86</v>
      </c>
      <c r="D92" s="1" t="s">
        <v>19</v>
      </c>
      <c r="E92" s="1" t="s">
        <v>20</v>
      </c>
      <c r="F92" s="1" t="n">
        <v>36</v>
      </c>
      <c r="G92" s="1" t="s">
        <v>22</v>
      </c>
      <c r="H92" s="1" t="n">
        <v>0.1593</v>
      </c>
      <c r="I92" s="1" t="n">
        <v>0.218015422388423</v>
      </c>
      <c r="J92" s="1" t="n">
        <v>0.291335763808995</v>
      </c>
      <c r="K92" s="1" t="n">
        <f aca="false">J92-I92</f>
        <v>0.0733203414205717</v>
      </c>
      <c r="L92" s="1" t="n">
        <v>0.718473139733635</v>
      </c>
    </row>
    <row r="93" customFormat="false" ht="15" hidden="false" customHeight="false" outlineLevel="0" collapsed="false">
      <c r="A93" s="1" t="s">
        <v>84</v>
      </c>
      <c r="B93" s="1" t="s">
        <v>85</v>
      </c>
      <c r="C93" s="1" t="s">
        <v>86</v>
      </c>
      <c r="D93" s="1" t="s">
        <v>19</v>
      </c>
      <c r="E93" s="1" t="s">
        <v>20</v>
      </c>
      <c r="F93" s="1" t="n">
        <v>36</v>
      </c>
      <c r="G93" s="1" t="s">
        <v>50</v>
      </c>
      <c r="H93" s="1" t="n">
        <v>0.1495</v>
      </c>
      <c r="I93" s="1" t="n">
        <v>0.204557563484083</v>
      </c>
      <c r="J93" s="1" t="n">
        <v>0.275190206870783</v>
      </c>
      <c r="K93" s="1" t="n">
        <f aca="false">J93-I93</f>
        <v>0.0706326433866999</v>
      </c>
      <c r="L93" s="1" t="n">
        <v>0.718473139733635</v>
      </c>
    </row>
    <row r="94" customFormat="false" ht="15" hidden="false" customHeight="false" outlineLevel="0" collapsed="false">
      <c r="A94" s="1" t="s">
        <v>87</v>
      </c>
      <c r="B94" s="1" t="s">
        <v>88</v>
      </c>
      <c r="C94" s="1" t="s">
        <v>89</v>
      </c>
      <c r="D94" s="1" t="s">
        <v>19</v>
      </c>
      <c r="E94" s="1" t="s">
        <v>20</v>
      </c>
      <c r="F94" s="1" t="n">
        <v>38</v>
      </c>
      <c r="G94" s="1" t="s">
        <v>37</v>
      </c>
      <c r="H94" s="1" t="n">
        <v>0.1929</v>
      </c>
      <c r="I94" s="1" t="n">
        <v>0.29938267129097</v>
      </c>
      <c r="J94" s="1" t="n">
        <v>0.331511596443344</v>
      </c>
      <c r="K94" s="1" t="n">
        <f aca="false">J94-I94</f>
        <v>0.0321289251523737</v>
      </c>
      <c r="L94" s="1" t="n">
        <v>0.754538991520845</v>
      </c>
    </row>
    <row r="95" customFormat="false" ht="15" hidden="false" customHeight="false" outlineLevel="0" collapsed="false">
      <c r="A95" s="1" t="s">
        <v>87</v>
      </c>
      <c r="B95" s="1" t="s">
        <v>88</v>
      </c>
      <c r="C95" s="1" t="s">
        <v>89</v>
      </c>
      <c r="D95" s="1" t="s">
        <v>19</v>
      </c>
      <c r="E95" s="1" t="s">
        <v>20</v>
      </c>
      <c r="F95" s="1" t="n">
        <v>38</v>
      </c>
      <c r="G95" s="1" t="s">
        <v>21</v>
      </c>
      <c r="H95" s="1" t="n">
        <v>0.1715</v>
      </c>
      <c r="I95" s="1" t="n">
        <v>0.266294265785523</v>
      </c>
      <c r="J95" s="1" t="n">
        <v>0.293644418185878</v>
      </c>
      <c r="K95" s="1" t="n">
        <f aca="false">J95-I95</f>
        <v>0.0273501524003554</v>
      </c>
      <c r="L95" s="1" t="n">
        <v>0.754538991520845</v>
      </c>
    </row>
    <row r="96" customFormat="false" ht="15" hidden="false" customHeight="false" outlineLevel="0" collapsed="false">
      <c r="A96" s="1" t="s">
        <v>87</v>
      </c>
      <c r="B96" s="1" t="s">
        <v>88</v>
      </c>
      <c r="C96" s="1" t="s">
        <v>89</v>
      </c>
      <c r="D96" s="1" t="s">
        <v>19</v>
      </c>
      <c r="E96" s="1" t="s">
        <v>20</v>
      </c>
      <c r="F96" s="1" t="n">
        <v>38</v>
      </c>
      <c r="G96" s="1" t="s">
        <v>23</v>
      </c>
      <c r="H96" s="1" t="n">
        <v>0.1658</v>
      </c>
      <c r="I96" s="1" t="n">
        <v>0.257399038388041</v>
      </c>
      <c r="J96" s="1" t="n">
        <v>0.276748069266628</v>
      </c>
      <c r="K96" s="1" t="n">
        <f aca="false">J96-I96</f>
        <v>0.019349030878587</v>
      </c>
      <c r="L96" s="1" t="n">
        <v>0.754538991520845</v>
      </c>
    </row>
    <row r="97" customFormat="false" ht="15" hidden="false" customHeight="false" outlineLevel="0" collapsed="false">
      <c r="A97" s="1" t="s">
        <v>87</v>
      </c>
      <c r="B97" s="1" t="s">
        <v>88</v>
      </c>
      <c r="C97" s="1" t="s">
        <v>89</v>
      </c>
      <c r="D97" s="1" t="s">
        <v>19</v>
      </c>
      <c r="E97" s="1" t="s">
        <v>20</v>
      </c>
      <c r="F97" s="1" t="n">
        <v>38</v>
      </c>
      <c r="G97" s="1" t="s">
        <v>22</v>
      </c>
      <c r="H97" s="1" t="n">
        <v>0.1652</v>
      </c>
      <c r="I97" s="1" t="n">
        <v>0.256442417169509</v>
      </c>
      <c r="J97" s="1" t="n">
        <v>0.301438563384895</v>
      </c>
      <c r="K97" s="1" t="n">
        <f aca="false">J97-I97</f>
        <v>0.044996146215386</v>
      </c>
      <c r="L97" s="1" t="n">
        <v>0.754538991520845</v>
      </c>
    </row>
    <row r="98" customFormat="false" ht="15" hidden="false" customHeight="false" outlineLevel="0" collapsed="false">
      <c r="A98" s="1" t="s">
        <v>87</v>
      </c>
      <c r="B98" s="1" t="s">
        <v>88</v>
      </c>
      <c r="C98" s="1" t="s">
        <v>89</v>
      </c>
      <c r="D98" s="1" t="s">
        <v>19</v>
      </c>
      <c r="E98" s="1" t="s">
        <v>20</v>
      </c>
      <c r="F98" s="1" t="n">
        <v>38</v>
      </c>
      <c r="G98" s="1" t="s">
        <v>57</v>
      </c>
      <c r="H98" s="1" t="n">
        <v>0.154</v>
      </c>
      <c r="I98" s="1" t="n">
        <v>0.239026382188409</v>
      </c>
      <c r="J98" s="1" t="n">
        <v>0.303212227669748</v>
      </c>
      <c r="K98" s="1" t="n">
        <f aca="false">J98-I98</f>
        <v>0.0641858454813396</v>
      </c>
      <c r="L98" s="1" t="n">
        <v>0.754538991520845</v>
      </c>
    </row>
    <row r="99" customFormat="false" ht="15" hidden="false" customHeight="false" outlineLevel="0" collapsed="false">
      <c r="A99" s="1" t="s">
        <v>87</v>
      </c>
      <c r="B99" s="1" t="s">
        <v>88</v>
      </c>
      <c r="C99" s="1" t="s">
        <v>89</v>
      </c>
      <c r="D99" s="1" t="s">
        <v>19</v>
      </c>
      <c r="E99" s="1" t="s">
        <v>20</v>
      </c>
      <c r="F99" s="1" t="n">
        <v>38</v>
      </c>
      <c r="G99" s="1" t="s">
        <v>24</v>
      </c>
      <c r="H99" s="1" t="n">
        <v>0.1506</v>
      </c>
      <c r="I99" s="1" t="n">
        <v>0.233863174213988</v>
      </c>
      <c r="J99" s="1" t="n">
        <v>0.261001994937803</v>
      </c>
      <c r="K99" s="1" t="n">
        <f aca="false">J99-I99</f>
        <v>0.0271388207238152</v>
      </c>
      <c r="L99" s="1" t="n">
        <v>0.754538991520845</v>
      </c>
    </row>
    <row r="100" customFormat="false" ht="15" hidden="false" customHeight="false" outlineLevel="0" collapsed="false">
      <c r="A100" s="1" t="s">
        <v>90</v>
      </c>
      <c r="B100" s="1" t="s">
        <v>91</v>
      </c>
      <c r="C100" s="1" t="s">
        <v>92</v>
      </c>
      <c r="D100" s="1" t="s">
        <v>19</v>
      </c>
      <c r="E100" s="1" t="s">
        <v>20</v>
      </c>
      <c r="F100" s="1" t="n">
        <v>40</v>
      </c>
      <c r="G100" s="1" t="s">
        <v>37</v>
      </c>
      <c r="H100" s="1" t="n">
        <v>0.1955</v>
      </c>
      <c r="I100" s="1" t="n">
        <v>0.338971742012486</v>
      </c>
      <c r="J100" s="1" t="n">
        <v>0.355990914625973</v>
      </c>
      <c r="K100" s="1" t="n">
        <f aca="false">J100-I100</f>
        <v>0.0170191726134864</v>
      </c>
      <c r="L100" s="1" t="n">
        <v>0.71601754844973</v>
      </c>
    </row>
    <row r="101" customFormat="false" ht="15" hidden="false" customHeight="false" outlineLevel="0" collapsed="false">
      <c r="A101" s="1" t="s">
        <v>90</v>
      </c>
      <c r="B101" s="1" t="s">
        <v>91</v>
      </c>
      <c r="C101" s="1" t="s">
        <v>92</v>
      </c>
      <c r="D101" s="1" t="s">
        <v>19</v>
      </c>
      <c r="E101" s="1" t="s">
        <v>20</v>
      </c>
      <c r="F101" s="1" t="n">
        <v>40</v>
      </c>
      <c r="G101" s="1" t="s">
        <v>22</v>
      </c>
      <c r="H101" s="1" t="n">
        <v>0.1846</v>
      </c>
      <c r="I101" s="1" t="n">
        <v>0.320011735277117</v>
      </c>
      <c r="J101" s="1" t="n">
        <v>0.327908771530117</v>
      </c>
      <c r="K101" s="1" t="n">
        <f aca="false">J101-I101</f>
        <v>0.00789703625300015</v>
      </c>
      <c r="L101" s="1" t="n">
        <v>0.71601754844973</v>
      </c>
    </row>
    <row r="102" customFormat="false" ht="15" hidden="false" customHeight="false" outlineLevel="0" collapsed="false">
      <c r="A102" s="1" t="s">
        <v>90</v>
      </c>
      <c r="B102" s="1" t="s">
        <v>91</v>
      </c>
      <c r="C102" s="1" t="s">
        <v>92</v>
      </c>
      <c r="D102" s="1" t="s">
        <v>19</v>
      </c>
      <c r="E102" s="1" t="s">
        <v>20</v>
      </c>
      <c r="F102" s="1" t="n">
        <v>40</v>
      </c>
      <c r="G102" s="1" t="s">
        <v>57</v>
      </c>
      <c r="H102" s="1" t="n">
        <v>0.1709</v>
      </c>
      <c r="I102" s="1" t="n">
        <v>0.296289209348357</v>
      </c>
      <c r="J102" s="1" t="n">
        <v>0.330510457438919</v>
      </c>
      <c r="K102" s="1" t="n">
        <f aca="false">J102-I102</f>
        <v>0.0342212480905625</v>
      </c>
      <c r="L102" s="1" t="n">
        <v>0.71601754844973</v>
      </c>
    </row>
    <row r="103" customFormat="false" ht="15" hidden="false" customHeight="false" outlineLevel="0" collapsed="false">
      <c r="A103" s="1" t="s">
        <v>90</v>
      </c>
      <c r="B103" s="1" t="s">
        <v>91</v>
      </c>
      <c r="C103" s="1" t="s">
        <v>92</v>
      </c>
      <c r="D103" s="1" t="s">
        <v>19</v>
      </c>
      <c r="E103" s="1" t="s">
        <v>20</v>
      </c>
      <c r="F103" s="1" t="n">
        <v>40</v>
      </c>
      <c r="G103" s="1" t="s">
        <v>21</v>
      </c>
      <c r="H103" s="1" t="n">
        <v>0.1665</v>
      </c>
      <c r="I103" s="1" t="n">
        <v>0.288778384141009</v>
      </c>
      <c r="J103" s="1" t="n">
        <v>0.326463266571341</v>
      </c>
      <c r="K103" s="1" t="n">
        <f aca="false">J103-I103</f>
        <v>0.0376848824303325</v>
      </c>
      <c r="L103" s="1" t="n">
        <v>0.71601754844973</v>
      </c>
    </row>
    <row r="104" customFormat="false" ht="15" hidden="false" customHeight="false" outlineLevel="0" collapsed="false">
      <c r="A104" s="1" t="s">
        <v>90</v>
      </c>
      <c r="B104" s="1" t="s">
        <v>91</v>
      </c>
      <c r="C104" s="1" t="s">
        <v>92</v>
      </c>
      <c r="D104" s="1" t="s">
        <v>19</v>
      </c>
      <c r="E104" s="1" t="s">
        <v>20</v>
      </c>
      <c r="F104" s="1" t="n">
        <v>40</v>
      </c>
      <c r="G104" s="1" t="s">
        <v>58</v>
      </c>
      <c r="H104" s="1" t="n">
        <v>0.1416</v>
      </c>
      <c r="I104" s="1" t="n">
        <v>0.245562269607362</v>
      </c>
      <c r="J104" s="1" t="n">
        <v>0.287665209380812</v>
      </c>
      <c r="K104" s="1" t="n">
        <f aca="false">J104-I104</f>
        <v>0.0421029397734502</v>
      </c>
      <c r="L104" s="1" t="n">
        <v>0.71601754844973</v>
      </c>
    </row>
    <row r="105" customFormat="false" ht="15" hidden="false" customHeight="false" outlineLevel="0" collapsed="false">
      <c r="A105" s="1" t="s">
        <v>90</v>
      </c>
      <c r="B105" s="1" t="s">
        <v>91</v>
      </c>
      <c r="C105" s="1" t="s">
        <v>92</v>
      </c>
      <c r="D105" s="1" t="s">
        <v>19</v>
      </c>
      <c r="E105" s="1" t="s">
        <v>20</v>
      </c>
      <c r="F105" s="1" t="n">
        <v>40</v>
      </c>
      <c r="G105" s="1" t="s">
        <v>24</v>
      </c>
      <c r="H105" s="1" t="n">
        <v>0.1409</v>
      </c>
      <c r="I105" s="1" t="n">
        <v>0.244373869151465</v>
      </c>
      <c r="J105" s="1" t="n">
        <v>0.327722864224853</v>
      </c>
      <c r="K105" s="1" t="n">
        <f aca="false">J105-I105</f>
        <v>0.0833489950733883</v>
      </c>
      <c r="L105" s="1" t="n">
        <v>0.71601754844973</v>
      </c>
    </row>
    <row r="106" customFormat="false" ht="15" hidden="false" customHeight="false" outlineLevel="0" collapsed="false">
      <c r="A106" s="1" t="s">
        <v>93</v>
      </c>
      <c r="B106" s="1" t="s">
        <v>94</v>
      </c>
      <c r="C106" s="1" t="s">
        <v>95</v>
      </c>
      <c r="D106" s="1" t="s">
        <v>19</v>
      </c>
      <c r="E106" s="1" t="s">
        <v>20</v>
      </c>
      <c r="F106" s="1" t="n">
        <v>42</v>
      </c>
      <c r="G106" s="1" t="s">
        <v>22</v>
      </c>
      <c r="H106" s="1" t="n">
        <v>0.1812</v>
      </c>
      <c r="I106" s="1" t="n">
        <v>0.341961075780121</v>
      </c>
      <c r="J106" s="1" t="n">
        <v>0.342833729882885</v>
      </c>
      <c r="K106" s="1" t="n">
        <f aca="false">J106-I106</f>
        <v>0.000872654102763881</v>
      </c>
      <c r="L106" s="1" t="n">
        <v>0.751876513039488</v>
      </c>
    </row>
    <row r="107" customFormat="false" ht="15" hidden="false" customHeight="false" outlineLevel="0" collapsed="false">
      <c r="A107" s="1" t="s">
        <v>93</v>
      </c>
      <c r="B107" s="1" t="s">
        <v>94</v>
      </c>
      <c r="C107" s="1" t="s">
        <v>95</v>
      </c>
      <c r="D107" s="1" t="s">
        <v>19</v>
      </c>
      <c r="E107" s="1" t="s">
        <v>20</v>
      </c>
      <c r="F107" s="1" t="n">
        <v>42</v>
      </c>
      <c r="G107" s="1" t="s">
        <v>37</v>
      </c>
      <c r="H107" s="1" t="n">
        <v>0.1749</v>
      </c>
      <c r="I107" s="1" t="n">
        <v>0.330225850152951</v>
      </c>
      <c r="J107" s="1" t="n">
        <v>0.337654767998928</v>
      </c>
      <c r="K107" s="1" t="n">
        <f aca="false">J107-I107</f>
        <v>0.00742891784597738</v>
      </c>
      <c r="L107" s="1" t="n">
        <v>0.751876513039488</v>
      </c>
    </row>
    <row r="108" customFormat="false" ht="15" hidden="false" customHeight="false" outlineLevel="0" collapsed="false">
      <c r="A108" s="1" t="s">
        <v>93</v>
      </c>
      <c r="B108" s="1" t="s">
        <v>94</v>
      </c>
      <c r="C108" s="1" t="s">
        <v>95</v>
      </c>
      <c r="D108" s="1" t="s">
        <v>19</v>
      </c>
      <c r="E108" s="1" t="s">
        <v>20</v>
      </c>
      <c r="F108" s="1" t="n">
        <v>42</v>
      </c>
      <c r="G108" s="1" t="s">
        <v>57</v>
      </c>
      <c r="H108" s="1" t="n">
        <v>0.1739</v>
      </c>
      <c r="I108" s="1" t="n">
        <v>0.328342219266221</v>
      </c>
      <c r="J108" s="1" t="n">
        <v>0.347694231805447</v>
      </c>
      <c r="K108" s="1" t="n">
        <f aca="false">J108-I108</f>
        <v>0.0193520125392265</v>
      </c>
      <c r="L108" s="1" t="n">
        <v>0.751876513039488</v>
      </c>
    </row>
    <row r="109" customFormat="false" ht="15" hidden="false" customHeight="false" outlineLevel="0" collapsed="false">
      <c r="A109" s="1" t="s">
        <v>93</v>
      </c>
      <c r="B109" s="1" t="s">
        <v>94</v>
      </c>
      <c r="C109" s="1" t="s">
        <v>95</v>
      </c>
      <c r="D109" s="1" t="s">
        <v>19</v>
      </c>
      <c r="E109" s="1" t="s">
        <v>20</v>
      </c>
      <c r="F109" s="1" t="n">
        <v>42</v>
      </c>
      <c r="G109" s="1" t="s">
        <v>21</v>
      </c>
      <c r="H109" s="1" t="n">
        <v>0.1675</v>
      </c>
      <c r="I109" s="1" t="n">
        <v>0.31626329283934</v>
      </c>
      <c r="J109" s="1" t="n">
        <v>0.345981798501112</v>
      </c>
      <c r="K109" s="1" t="n">
        <f aca="false">J109-I109</f>
        <v>0.0297185056617714</v>
      </c>
      <c r="L109" s="1" t="n">
        <v>0.751876513039488</v>
      </c>
    </row>
    <row r="110" customFormat="false" ht="15" hidden="false" customHeight="false" outlineLevel="0" collapsed="false">
      <c r="A110" s="1" t="s">
        <v>93</v>
      </c>
      <c r="B110" s="1" t="s">
        <v>94</v>
      </c>
      <c r="C110" s="1" t="s">
        <v>95</v>
      </c>
      <c r="D110" s="1" t="s">
        <v>19</v>
      </c>
      <c r="E110" s="1" t="s">
        <v>20</v>
      </c>
      <c r="F110" s="1" t="n">
        <v>42</v>
      </c>
      <c r="G110" s="1" t="s">
        <v>24</v>
      </c>
      <c r="H110" s="1" t="n">
        <v>0.1522</v>
      </c>
      <c r="I110" s="1" t="n">
        <v>0.28732240130892</v>
      </c>
      <c r="J110" s="1" t="n">
        <v>0.29386663491827</v>
      </c>
      <c r="K110" s="1" t="n">
        <f aca="false">J110-I110</f>
        <v>0.00654423360934964</v>
      </c>
      <c r="L110" s="1" t="n">
        <v>0.751876513039488</v>
      </c>
    </row>
    <row r="111" customFormat="false" ht="15" hidden="false" customHeight="false" outlineLevel="0" collapsed="false">
      <c r="A111" s="1" t="s">
        <v>93</v>
      </c>
      <c r="B111" s="1" t="s">
        <v>94</v>
      </c>
      <c r="C111" s="1" t="s">
        <v>95</v>
      </c>
      <c r="D111" s="1" t="s">
        <v>19</v>
      </c>
      <c r="E111" s="1" t="s">
        <v>20</v>
      </c>
      <c r="F111" s="1" t="n">
        <v>42</v>
      </c>
      <c r="G111" s="1" t="s">
        <v>58</v>
      </c>
      <c r="H111" s="1" t="n">
        <v>0.1502</v>
      </c>
      <c r="I111" s="1" t="n">
        <v>0.28353857904521</v>
      </c>
      <c r="J111" s="1" t="n">
        <v>0.301749030342032</v>
      </c>
      <c r="K111" s="1" t="n">
        <f aca="false">J111-I111</f>
        <v>0.018210451296822</v>
      </c>
      <c r="L111" s="1" t="n">
        <v>0.751876513039488</v>
      </c>
    </row>
    <row r="112" customFormat="false" ht="15" hidden="false" customHeight="false" outlineLevel="0" collapsed="false">
      <c r="A112" s="1" t="s">
        <v>96</v>
      </c>
      <c r="B112" s="1" t="s">
        <v>97</v>
      </c>
      <c r="C112" s="1" t="s">
        <v>98</v>
      </c>
      <c r="D112" s="1" t="s">
        <v>19</v>
      </c>
      <c r="E112" s="1" t="s">
        <v>20</v>
      </c>
      <c r="F112" s="1" t="n">
        <v>44</v>
      </c>
      <c r="G112" s="1" t="s">
        <v>37</v>
      </c>
      <c r="H112" s="1" t="n">
        <v>0.1813</v>
      </c>
      <c r="I112" s="1" t="n">
        <v>0.340521976706365</v>
      </c>
      <c r="J112" s="1" t="n">
        <v>0.315649589070927</v>
      </c>
      <c r="K112" s="1" t="n">
        <f aca="false">J112-I112</f>
        <v>-0.0248723876354384</v>
      </c>
      <c r="L112" s="1" t="n">
        <v>0.717330086490848</v>
      </c>
    </row>
    <row r="113" customFormat="false" ht="15" hidden="false" customHeight="false" outlineLevel="0" collapsed="false">
      <c r="A113" s="1" t="s">
        <v>96</v>
      </c>
      <c r="B113" s="1" t="s">
        <v>97</v>
      </c>
      <c r="C113" s="1" t="s">
        <v>98</v>
      </c>
      <c r="D113" s="1" t="s">
        <v>19</v>
      </c>
      <c r="E113" s="1" t="s">
        <v>20</v>
      </c>
      <c r="F113" s="1" t="n">
        <v>44</v>
      </c>
      <c r="G113" s="1" t="s">
        <v>21</v>
      </c>
      <c r="H113" s="1" t="n">
        <v>0.1753</v>
      </c>
      <c r="I113" s="1" t="n">
        <v>0.329339532948802</v>
      </c>
      <c r="J113" s="1" t="n">
        <v>0.298640591424968</v>
      </c>
      <c r="K113" s="1" t="n">
        <f aca="false">J113-I113</f>
        <v>-0.030698941523834</v>
      </c>
      <c r="L113" s="1" t="n">
        <v>0.717330086490848</v>
      </c>
    </row>
    <row r="114" customFormat="false" ht="15" hidden="false" customHeight="false" outlineLevel="0" collapsed="false">
      <c r="A114" s="1" t="s">
        <v>96</v>
      </c>
      <c r="B114" s="1" t="s">
        <v>97</v>
      </c>
      <c r="C114" s="1" t="s">
        <v>98</v>
      </c>
      <c r="D114" s="1" t="s">
        <v>19</v>
      </c>
      <c r="E114" s="1" t="s">
        <v>20</v>
      </c>
      <c r="F114" s="1" t="n">
        <v>44</v>
      </c>
      <c r="G114" s="1" t="s">
        <v>22</v>
      </c>
      <c r="H114" s="1" t="n">
        <v>0.1746</v>
      </c>
      <c r="I114" s="1" t="n">
        <v>0.32800252830002</v>
      </c>
      <c r="J114" s="1" t="n">
        <v>0.312041711859318</v>
      </c>
      <c r="K114" s="1" t="n">
        <f aca="false">J114-I114</f>
        <v>-0.0159608164407016</v>
      </c>
      <c r="L114" s="1" t="n">
        <v>0.717330086490848</v>
      </c>
    </row>
    <row r="115" customFormat="false" ht="15" hidden="false" customHeight="false" outlineLevel="0" collapsed="false">
      <c r="A115" s="1" t="s">
        <v>96</v>
      </c>
      <c r="B115" s="1" t="s">
        <v>97</v>
      </c>
      <c r="C115" s="1" t="s">
        <v>98</v>
      </c>
      <c r="D115" s="1" t="s">
        <v>19</v>
      </c>
      <c r="E115" s="1" t="s">
        <v>20</v>
      </c>
      <c r="F115" s="1" t="n">
        <v>44</v>
      </c>
      <c r="G115" s="1" t="s">
        <v>57</v>
      </c>
      <c r="H115" s="1" t="n">
        <v>0.1629</v>
      </c>
      <c r="I115" s="1" t="n">
        <v>0.305961838577042</v>
      </c>
      <c r="J115" s="1" t="n">
        <v>0.299172879189522</v>
      </c>
      <c r="K115" s="1" t="n">
        <f aca="false">J115-I115</f>
        <v>-0.00678895938751994</v>
      </c>
      <c r="L115" s="1" t="n">
        <v>0.717330086490848</v>
      </c>
    </row>
    <row r="116" customFormat="false" ht="15" hidden="false" customHeight="false" outlineLevel="0" collapsed="false">
      <c r="A116" s="1" t="s">
        <v>96</v>
      </c>
      <c r="B116" s="1" t="s">
        <v>97</v>
      </c>
      <c r="C116" s="1" t="s">
        <v>98</v>
      </c>
      <c r="D116" s="1" t="s">
        <v>19</v>
      </c>
      <c r="E116" s="1" t="s">
        <v>20</v>
      </c>
      <c r="F116" s="1" t="n">
        <v>44</v>
      </c>
      <c r="G116" s="1" t="s">
        <v>24</v>
      </c>
      <c r="H116" s="1" t="n">
        <v>0.1532</v>
      </c>
      <c r="I116" s="1" t="n">
        <v>0.287828100266859</v>
      </c>
      <c r="J116" s="1" t="n">
        <v>0.268484043968994</v>
      </c>
      <c r="K116" s="1" t="n">
        <f aca="false">J116-I116</f>
        <v>-0.0193440562978643</v>
      </c>
      <c r="L116" s="1" t="n">
        <v>0.717330086490848</v>
      </c>
    </row>
    <row r="117" customFormat="false" ht="15" hidden="false" customHeight="false" outlineLevel="0" collapsed="false">
      <c r="A117" s="1" t="s">
        <v>96</v>
      </c>
      <c r="B117" s="1" t="s">
        <v>97</v>
      </c>
      <c r="C117" s="1" t="s">
        <v>98</v>
      </c>
      <c r="D117" s="1" t="s">
        <v>19</v>
      </c>
      <c r="E117" s="1" t="s">
        <v>20</v>
      </c>
      <c r="F117" s="1" t="n">
        <v>44</v>
      </c>
      <c r="G117" s="1" t="s">
        <v>23</v>
      </c>
      <c r="H117" s="1" t="n">
        <v>0.1526</v>
      </c>
      <c r="I117" s="1" t="n">
        <v>0.286560351982854</v>
      </c>
      <c r="J117" s="1" t="n">
        <v>0.309702385132965</v>
      </c>
      <c r="K117" s="1" t="n">
        <f aca="false">J117-I117</f>
        <v>0.0231420331501107</v>
      </c>
      <c r="L117" s="1" t="n">
        <v>0.717330086490848</v>
      </c>
    </row>
    <row r="118" customFormat="false" ht="15" hidden="false" customHeight="false" outlineLevel="0" collapsed="false">
      <c r="A118" s="1" t="s">
        <v>99</v>
      </c>
      <c r="B118" s="1" t="s">
        <v>100</v>
      </c>
      <c r="C118" s="1" t="s">
        <v>101</v>
      </c>
      <c r="D118" s="1" t="s">
        <v>19</v>
      </c>
      <c r="E118" s="1" t="s">
        <v>20</v>
      </c>
      <c r="F118" s="1" t="n">
        <v>46</v>
      </c>
      <c r="G118" s="1" t="s">
        <v>22</v>
      </c>
      <c r="H118" s="1" t="n">
        <v>0.1902</v>
      </c>
      <c r="I118" s="1" t="n">
        <v>0.285960254789097</v>
      </c>
      <c r="J118" s="1" t="n">
        <v>0.308806648926856</v>
      </c>
      <c r="K118" s="1" t="n">
        <f aca="false">J118-I118</f>
        <v>0.0228463941377585</v>
      </c>
      <c r="L118" s="1" t="n">
        <v>0.810165160416988</v>
      </c>
    </row>
    <row r="119" customFormat="false" ht="15" hidden="false" customHeight="false" outlineLevel="0" collapsed="false">
      <c r="A119" s="1" t="s">
        <v>99</v>
      </c>
      <c r="B119" s="1" t="s">
        <v>100</v>
      </c>
      <c r="C119" s="1" t="s">
        <v>101</v>
      </c>
      <c r="D119" s="1" t="s">
        <v>19</v>
      </c>
      <c r="E119" s="1" t="s">
        <v>20</v>
      </c>
      <c r="F119" s="1" t="n">
        <v>46</v>
      </c>
      <c r="G119" s="1" t="s">
        <v>37</v>
      </c>
      <c r="H119" s="1" t="n">
        <v>0.1851</v>
      </c>
      <c r="I119" s="1" t="n">
        <v>0.278225490256909</v>
      </c>
      <c r="J119" s="1" t="n">
        <v>0.345798178612639</v>
      </c>
      <c r="K119" s="1" t="n">
        <f aca="false">J119-I119</f>
        <v>0.0675726883557296</v>
      </c>
      <c r="L119" s="1" t="n">
        <v>0.810165160416988</v>
      </c>
    </row>
    <row r="120" customFormat="false" ht="15" hidden="false" customHeight="false" outlineLevel="0" collapsed="false">
      <c r="A120" s="1" t="s">
        <v>99</v>
      </c>
      <c r="B120" s="1" t="s">
        <v>100</v>
      </c>
      <c r="C120" s="1" t="s">
        <v>101</v>
      </c>
      <c r="D120" s="1" t="s">
        <v>19</v>
      </c>
      <c r="E120" s="1" t="s">
        <v>20</v>
      </c>
      <c r="F120" s="1" t="n">
        <v>46</v>
      </c>
      <c r="G120" s="1" t="s">
        <v>57</v>
      </c>
      <c r="H120" s="1" t="n">
        <v>0.1757</v>
      </c>
      <c r="I120" s="1" t="n">
        <v>0.264182798426559</v>
      </c>
      <c r="J120" s="1" t="n">
        <v>0.320385173804238</v>
      </c>
      <c r="K120" s="1" t="n">
        <f aca="false">J120-I120</f>
        <v>0.0562023753776782</v>
      </c>
      <c r="L120" s="1" t="n">
        <v>0.810165160416988</v>
      </c>
    </row>
    <row r="121" customFormat="false" ht="15" hidden="false" customHeight="false" outlineLevel="0" collapsed="false">
      <c r="A121" s="1" t="s">
        <v>99</v>
      </c>
      <c r="B121" s="1" t="s">
        <v>100</v>
      </c>
      <c r="C121" s="1" t="s">
        <v>101</v>
      </c>
      <c r="D121" s="1" t="s">
        <v>19</v>
      </c>
      <c r="E121" s="1" t="s">
        <v>20</v>
      </c>
      <c r="F121" s="1" t="n">
        <v>46</v>
      </c>
      <c r="G121" s="1" t="s">
        <v>21</v>
      </c>
      <c r="H121" s="1" t="n">
        <v>0.1751</v>
      </c>
      <c r="I121" s="1" t="n">
        <v>0.263295906805587</v>
      </c>
      <c r="J121" s="1" t="n">
        <v>0.289868247623647</v>
      </c>
      <c r="K121" s="1" t="n">
        <f aca="false">J121-I121</f>
        <v>0.0265723408180597</v>
      </c>
      <c r="L121" s="1" t="n">
        <v>0.810165160416988</v>
      </c>
    </row>
    <row r="122" customFormat="false" ht="15" hidden="false" customHeight="false" outlineLevel="0" collapsed="false">
      <c r="A122" s="1" t="s">
        <v>99</v>
      </c>
      <c r="B122" s="1" t="s">
        <v>100</v>
      </c>
      <c r="C122" s="1" t="s">
        <v>101</v>
      </c>
      <c r="D122" s="1" t="s">
        <v>19</v>
      </c>
      <c r="E122" s="1" t="s">
        <v>20</v>
      </c>
      <c r="F122" s="1" t="n">
        <v>46</v>
      </c>
      <c r="G122" s="1" t="s">
        <v>58</v>
      </c>
      <c r="H122" s="1" t="n">
        <v>0.1738</v>
      </c>
      <c r="I122" s="1" t="n">
        <v>0.261293445758721</v>
      </c>
      <c r="J122" s="1" t="n">
        <v>0.287757540919958</v>
      </c>
      <c r="K122" s="1" t="n">
        <f aca="false">J122-I122</f>
        <v>0.0264640951612366</v>
      </c>
      <c r="L122" s="1" t="n">
        <v>0.810165160416988</v>
      </c>
    </row>
    <row r="123" customFormat="false" ht="15" hidden="false" customHeight="false" outlineLevel="0" collapsed="false">
      <c r="A123" s="1" t="s">
        <v>99</v>
      </c>
      <c r="B123" s="1" t="s">
        <v>100</v>
      </c>
      <c r="C123" s="1" t="s">
        <v>101</v>
      </c>
      <c r="D123" s="1" t="s">
        <v>19</v>
      </c>
      <c r="E123" s="1" t="s">
        <v>20</v>
      </c>
      <c r="F123" s="1" t="n">
        <v>46</v>
      </c>
      <c r="G123" s="1" t="s">
        <v>24</v>
      </c>
      <c r="H123" s="1" t="n">
        <v>0.1</v>
      </c>
      <c r="I123" s="1" t="n">
        <v>0.238194440502259</v>
      </c>
      <c r="J123" s="1" t="n">
        <v>0.314192600903752</v>
      </c>
      <c r="K123" s="1" t="n">
        <f aca="false">J123-I123</f>
        <v>0.0759981604014933</v>
      </c>
      <c r="L123" s="1" t="n">
        <v>0.810165160416988</v>
      </c>
    </row>
    <row r="124" customFormat="false" ht="15" hidden="false" customHeight="false" outlineLevel="0" collapsed="false">
      <c r="A124" s="1" t="s">
        <v>102</v>
      </c>
      <c r="B124" s="1" t="s">
        <v>103</v>
      </c>
      <c r="C124" s="1" t="s">
        <v>104</v>
      </c>
      <c r="D124" s="1" t="s">
        <v>19</v>
      </c>
      <c r="E124" s="1" t="s">
        <v>20</v>
      </c>
      <c r="F124" s="1" t="n">
        <v>48</v>
      </c>
      <c r="G124" s="1" t="s">
        <v>37</v>
      </c>
      <c r="H124" s="1" t="n">
        <v>0.1788</v>
      </c>
      <c r="I124" s="1" t="n">
        <v>0.325055118356497</v>
      </c>
      <c r="J124" s="1" t="n">
        <v>0.325600918043713</v>
      </c>
      <c r="K124" s="1" t="n">
        <f aca="false">J124-I124</f>
        <v>0.000545799687215853</v>
      </c>
      <c r="L124" s="1" t="n">
        <v>0.72772399535443</v>
      </c>
    </row>
    <row r="125" customFormat="false" ht="15" hidden="false" customHeight="false" outlineLevel="0" collapsed="false">
      <c r="A125" s="1" t="s">
        <v>102</v>
      </c>
      <c r="B125" s="1" t="s">
        <v>103</v>
      </c>
      <c r="C125" s="1" t="s">
        <v>104</v>
      </c>
      <c r="D125" s="1" t="s">
        <v>19</v>
      </c>
      <c r="E125" s="1" t="s">
        <v>20</v>
      </c>
      <c r="F125" s="1" t="n">
        <v>48</v>
      </c>
      <c r="G125" s="1" t="s">
        <v>57</v>
      </c>
      <c r="H125" s="1" t="n">
        <v>0.1724</v>
      </c>
      <c r="I125" s="1" t="n">
        <v>0.313350542400395</v>
      </c>
      <c r="J125" s="1" t="n">
        <v>0.253282416994338</v>
      </c>
      <c r="K125" s="1" t="n">
        <f aca="false">J125-I125</f>
        <v>-0.0600681254060578</v>
      </c>
      <c r="L125" s="1" t="n">
        <v>0.72772399535443</v>
      </c>
    </row>
    <row r="126" customFormat="false" ht="15" hidden="false" customHeight="false" outlineLevel="0" collapsed="false">
      <c r="A126" s="1" t="s">
        <v>102</v>
      </c>
      <c r="B126" s="1" t="s">
        <v>103</v>
      </c>
      <c r="C126" s="1" t="s">
        <v>104</v>
      </c>
      <c r="D126" s="1" t="s">
        <v>19</v>
      </c>
      <c r="E126" s="1" t="s">
        <v>20</v>
      </c>
      <c r="F126" s="1" t="n">
        <v>48</v>
      </c>
      <c r="G126" s="1" t="s">
        <v>22</v>
      </c>
      <c r="H126" s="1" t="n">
        <v>0.171</v>
      </c>
      <c r="I126" s="1" t="n">
        <v>0.310936798338881</v>
      </c>
      <c r="J126" s="1" t="n">
        <v>0.245157103168522</v>
      </c>
      <c r="K126" s="1" t="n">
        <f aca="false">J126-I126</f>
        <v>-0.0657796951703593</v>
      </c>
      <c r="L126" s="1" t="n">
        <v>0.72772399535443</v>
      </c>
    </row>
    <row r="127" customFormat="false" ht="15" hidden="false" customHeight="false" outlineLevel="0" collapsed="false">
      <c r="A127" s="1" t="s">
        <v>102</v>
      </c>
      <c r="B127" s="1" t="s">
        <v>103</v>
      </c>
      <c r="C127" s="1" t="s">
        <v>104</v>
      </c>
      <c r="D127" s="1" t="s">
        <v>19</v>
      </c>
      <c r="E127" s="1" t="s">
        <v>20</v>
      </c>
      <c r="F127" s="1" t="n">
        <v>48</v>
      </c>
      <c r="G127" s="1" t="s">
        <v>24</v>
      </c>
      <c r="H127" s="1" t="n">
        <v>0.1641</v>
      </c>
      <c r="I127" s="1" t="n">
        <v>0.298392829700588</v>
      </c>
      <c r="J127" s="1" t="n">
        <v>0.250879134533919</v>
      </c>
      <c r="K127" s="1" t="n">
        <f aca="false">J127-I127</f>
        <v>-0.0475136951666693</v>
      </c>
      <c r="L127" s="1" t="n">
        <v>0.72772399535443</v>
      </c>
    </row>
    <row r="128" customFormat="false" ht="15" hidden="false" customHeight="false" outlineLevel="0" collapsed="false">
      <c r="A128" s="1" t="s">
        <v>102</v>
      </c>
      <c r="B128" s="1" t="s">
        <v>103</v>
      </c>
      <c r="C128" s="1" t="s">
        <v>104</v>
      </c>
      <c r="D128" s="1" t="s">
        <v>19</v>
      </c>
      <c r="E128" s="1" t="s">
        <v>20</v>
      </c>
      <c r="F128" s="1" t="n">
        <v>48</v>
      </c>
      <c r="G128" s="1" t="s">
        <v>21</v>
      </c>
      <c r="H128" s="1" t="n">
        <v>0.1636</v>
      </c>
      <c r="I128" s="1" t="n">
        <v>0.297371558011176</v>
      </c>
      <c r="J128" s="1" t="n">
        <v>0.273523372430888</v>
      </c>
      <c r="K128" s="1" t="n">
        <f aca="false">J128-I128</f>
        <v>-0.0238481855802884</v>
      </c>
      <c r="L128" s="1" t="n">
        <v>0.72772399535443</v>
      </c>
    </row>
    <row r="129" customFormat="false" ht="15" hidden="false" customHeight="false" outlineLevel="0" collapsed="false">
      <c r="A129" s="1" t="s">
        <v>102</v>
      </c>
      <c r="B129" s="1" t="s">
        <v>103</v>
      </c>
      <c r="C129" s="1" t="s">
        <v>104</v>
      </c>
      <c r="D129" s="1" t="s">
        <v>19</v>
      </c>
      <c r="E129" s="1" t="s">
        <v>20</v>
      </c>
      <c r="F129" s="1" t="n">
        <v>48</v>
      </c>
      <c r="G129" s="1" t="s">
        <v>58</v>
      </c>
      <c r="H129" s="1" t="n">
        <v>0.1501</v>
      </c>
      <c r="I129" s="1" t="n">
        <v>0.272809712629914</v>
      </c>
      <c r="J129" s="1" t="n">
        <v>0.240431494401398</v>
      </c>
      <c r="K129" s="1" t="n">
        <f aca="false">J129-I129</f>
        <v>-0.0323782182285161</v>
      </c>
      <c r="L129" s="1" t="n">
        <v>0.72772399535443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B11" activeCellId="1" sqref="E4:L4 B11"/>
    </sheetView>
  </sheetViews>
  <sheetFormatPr defaultColWidth="14.0703125" defaultRowHeight="12.8" customHeight="false" zeroHeight="false" outlineLevelRow="0" outlineLevelCol="0"/>
  <cols>
    <col collapsed="false" customWidth="true" hidden="false" outlineLevel="0" max="2" min="2" style="1" width="20.79"/>
  </cols>
  <sheetData>
    <row r="1" customFormat="false" ht="12.8" hidden="false" customHeight="false" outlineLevel="0" collapsed="false">
      <c r="A1" s="5" t="s">
        <v>105</v>
      </c>
      <c r="B1" s="5"/>
    </row>
    <row r="2" customFormat="false" ht="12.8" hidden="false" customHeight="false" outlineLevel="0" collapsed="false">
      <c r="A2" s="5"/>
      <c r="B2" s="5"/>
    </row>
    <row r="3" customFormat="false" ht="12.8" hidden="false" customHeight="false" outlineLevel="0" collapsed="false">
      <c r="A3" s="5" t="s">
        <v>106</v>
      </c>
      <c r="B3" s="6" t="n">
        <f aca="false">scen7_hybrid!P2</f>
        <v>127</v>
      </c>
    </row>
    <row r="4" customFormat="false" ht="12.8" hidden="false" customHeight="false" outlineLevel="0" collapsed="false">
      <c r="A4" s="5" t="s">
        <v>107</v>
      </c>
      <c r="B4" s="5" t="n">
        <f aca="false">B10*SQRT((B3-2)/(1-B10^2))</f>
        <v>1.63163073018767</v>
      </c>
    </row>
    <row r="5" customFormat="false" ht="12.8" hidden="false" customHeight="false" outlineLevel="0" collapsed="false">
      <c r="A5" s="5" t="s">
        <v>108</v>
      </c>
      <c r="B5" s="5" t="n">
        <f aca="false">_xlfn.T.DIST.2T(ABS(B4),B3-2)</f>
        <v>0.105274187417646</v>
      </c>
    </row>
    <row r="6" customFormat="false" ht="12.8" hidden="false" customHeight="false" outlineLevel="0" collapsed="false">
      <c r="A6" s="5"/>
      <c r="B6" s="7"/>
    </row>
    <row r="7" customFormat="false" ht="12.8" hidden="false" customHeight="false" outlineLevel="0" collapsed="false">
      <c r="A7" s="5"/>
      <c r="B7" s="7"/>
    </row>
    <row r="8" customFormat="false" ht="12.8" hidden="false" customHeight="false" outlineLevel="0" collapsed="false">
      <c r="A8" s="5"/>
      <c r="B8" s="7"/>
    </row>
    <row r="9" customFormat="false" ht="19.4" hidden="false" customHeight="false" outlineLevel="0" collapsed="false">
      <c r="A9" s="2" t="s">
        <v>12</v>
      </c>
      <c r="B9" s="2" t="s">
        <v>14</v>
      </c>
    </row>
    <row r="10" customFormat="false" ht="12.8" hidden="false" customHeight="false" outlineLevel="0" collapsed="false">
      <c r="A10" s="8" t="n">
        <f aca="false">B3</f>
        <v>127</v>
      </c>
      <c r="B10" s="8" t="n">
        <f aca="false">scen7_hybrid!R2</f>
        <v>0.144407810075167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B2" activeCellId="1" sqref="E4:L4 B2"/>
    </sheetView>
  </sheetViews>
  <sheetFormatPr defaultColWidth="14.0703125" defaultRowHeight="12.8" customHeight="false" zeroHeight="false" outlineLevelRow="0" outlineLevelCol="0"/>
  <sheetData>
    <row r="1" customFormat="false" ht="12.8" hidden="false" customHeight="false" outlineLevel="0" collapsed="false">
      <c r="A1" s="9" t="s">
        <v>109</v>
      </c>
      <c r="B1" s="9"/>
    </row>
    <row r="2" customFormat="false" ht="12.8" hidden="false" customHeight="false" outlineLevel="0" collapsed="false">
      <c r="A2" s="10" t="s">
        <v>110</v>
      </c>
      <c r="B2" s="4" t="s">
        <v>111</v>
      </c>
    </row>
    <row r="3" customFormat="false" ht="12.8" hidden="false" customHeight="false" outlineLevel="0" collapsed="false">
      <c r="A3" s="7" t="n">
        <v>1</v>
      </c>
      <c r="B3" s="1" t="n">
        <v>0.745618221992126</v>
      </c>
    </row>
    <row r="4" customFormat="false" ht="12.8" hidden="false" customHeight="false" outlineLevel="0" collapsed="false">
      <c r="A4" s="7" t="n">
        <v>2</v>
      </c>
      <c r="B4" s="1" t="n">
        <v>0.731965622484604</v>
      </c>
    </row>
    <row r="5" customFormat="false" ht="12.8" hidden="false" customHeight="false" outlineLevel="0" collapsed="false">
      <c r="A5" s="7" t="n">
        <v>3</v>
      </c>
      <c r="B5" s="1" t="n">
        <v>0.556349411838211</v>
      </c>
    </row>
    <row r="6" customFormat="false" ht="12.8" hidden="false" customHeight="false" outlineLevel="0" collapsed="false">
      <c r="A6" s="7" t="n">
        <v>4</v>
      </c>
      <c r="B6" s="1" t="n">
        <v>0.746961278269468</v>
      </c>
    </row>
    <row r="7" customFormat="false" ht="12.8" hidden="false" customHeight="false" outlineLevel="0" collapsed="false">
      <c r="A7" s="7" t="n">
        <v>5</v>
      </c>
      <c r="B7" s="1" t="n">
        <v>0.736303129517049</v>
      </c>
    </row>
    <row r="8" customFormat="false" ht="12.8" hidden="false" customHeight="false" outlineLevel="0" collapsed="false">
      <c r="A8" s="7" t="n">
        <v>6</v>
      </c>
      <c r="B8" s="1" t="n">
        <v>0.693060520928815</v>
      </c>
    </row>
    <row r="9" customFormat="false" ht="12.8" hidden="false" customHeight="false" outlineLevel="0" collapsed="false">
      <c r="A9" s="7" t="n">
        <v>7</v>
      </c>
      <c r="B9" s="1" t="n">
        <v>0.748597564255249</v>
      </c>
    </row>
    <row r="10" customFormat="false" ht="12.8" hidden="false" customHeight="false" outlineLevel="0" collapsed="false">
      <c r="A10" s="7" t="n">
        <v>8</v>
      </c>
      <c r="B10" s="1" t="n">
        <v>0.705165938537343</v>
      </c>
    </row>
    <row r="11" customFormat="false" ht="12.8" hidden="false" customHeight="false" outlineLevel="0" collapsed="false">
      <c r="A11" s="7" t="n">
        <v>9</v>
      </c>
      <c r="B11" s="1" t="n">
        <v>0.750368716676119</v>
      </c>
    </row>
    <row r="12" customFormat="false" ht="12.8" hidden="false" customHeight="false" outlineLevel="0" collapsed="false">
      <c r="A12" s="7" t="n">
        <v>10</v>
      </c>
      <c r="B12" s="1" t="n">
        <v>0.682432996770851</v>
      </c>
    </row>
    <row r="13" customFormat="false" ht="12.8" hidden="false" customHeight="false" outlineLevel="0" collapsed="false">
      <c r="A13" s="7" t="n">
        <v>11</v>
      </c>
      <c r="B13" s="1" t="n">
        <v>0.72387381443217</v>
      </c>
    </row>
    <row r="14" customFormat="false" ht="12.8" hidden="false" customHeight="false" outlineLevel="0" collapsed="false">
      <c r="A14" s="7" t="n">
        <v>12</v>
      </c>
      <c r="B14" s="1" t="n">
        <v>0.667701763619203</v>
      </c>
    </row>
    <row r="15" customFormat="false" ht="12.8" hidden="false" customHeight="false" outlineLevel="0" collapsed="false">
      <c r="A15" s="7" t="n">
        <v>13</v>
      </c>
      <c r="B15" s="1" t="n">
        <v>0.72995268032519</v>
      </c>
    </row>
    <row r="16" customFormat="false" ht="12.8" hidden="false" customHeight="false" outlineLevel="0" collapsed="false">
      <c r="A16" s="7" t="n">
        <v>14</v>
      </c>
      <c r="B16" s="1" t="n">
        <v>0.79516955513513</v>
      </c>
    </row>
    <row r="17" customFormat="false" ht="12.8" hidden="false" customHeight="false" outlineLevel="0" collapsed="false">
      <c r="A17" s="7" t="n">
        <v>15</v>
      </c>
      <c r="B17" s="1" t="n">
        <v>0.641361051891741</v>
      </c>
    </row>
    <row r="18" customFormat="false" ht="12.8" hidden="false" customHeight="false" outlineLevel="0" collapsed="false">
      <c r="A18" s="7" t="n">
        <v>16</v>
      </c>
      <c r="B18" s="1" t="n">
        <v>0.758550116405013</v>
      </c>
    </row>
    <row r="19" customFormat="false" ht="12.8" hidden="false" customHeight="false" outlineLevel="0" collapsed="false">
      <c r="A19" s="7" t="n">
        <v>17</v>
      </c>
      <c r="B19" s="1" t="n">
        <v>0.694176028461883</v>
      </c>
    </row>
    <row r="20" customFormat="false" ht="12.8" hidden="false" customHeight="false" outlineLevel="0" collapsed="false">
      <c r="A20" s="7" t="n">
        <v>18</v>
      </c>
      <c r="B20" s="1" t="n">
        <v>0.753547411776315</v>
      </c>
    </row>
    <row r="21" customFormat="false" ht="12.8" hidden="false" customHeight="false" outlineLevel="0" collapsed="false">
      <c r="A21" s="7" t="n">
        <v>19</v>
      </c>
      <c r="B21" s="1" t="n">
        <v>0.718473139733635</v>
      </c>
    </row>
    <row r="22" customFormat="false" ht="12.8" hidden="false" customHeight="false" outlineLevel="0" collapsed="false">
      <c r="A22" s="7" t="n">
        <v>20</v>
      </c>
      <c r="B22" s="1" t="n">
        <v>0.754538991520845</v>
      </c>
    </row>
    <row r="23" customFormat="false" ht="12.8" hidden="false" customHeight="false" outlineLevel="0" collapsed="false">
      <c r="A23" s="7" t="n">
        <v>21</v>
      </c>
      <c r="B23" s="1" t="n">
        <v>0.71601754844973</v>
      </c>
    </row>
    <row r="24" customFormat="false" ht="12.8" hidden="false" customHeight="false" outlineLevel="0" collapsed="false">
      <c r="A24" s="7" t="n">
        <v>22</v>
      </c>
      <c r="B24" s="1" t="n">
        <v>0.751876513039488</v>
      </c>
    </row>
    <row r="25" customFormat="false" ht="12.8" hidden="false" customHeight="false" outlineLevel="0" collapsed="false">
      <c r="A25" s="7" t="n">
        <v>23</v>
      </c>
      <c r="B25" s="1" t="n">
        <v>0.717330086490848</v>
      </c>
    </row>
    <row r="26" customFormat="false" ht="12.8" hidden="false" customHeight="false" outlineLevel="0" collapsed="false">
      <c r="A26" s="7" t="n">
        <v>24</v>
      </c>
      <c r="B26" s="1" t="n">
        <v>0.810165160416988</v>
      </c>
    </row>
    <row r="27" customFormat="false" ht="12.8" hidden="false" customHeight="false" outlineLevel="0" collapsed="false">
      <c r="A27" s="3" t="n">
        <v>25</v>
      </c>
      <c r="B27" s="1" t="n">
        <v>0.72772399535443</v>
      </c>
    </row>
  </sheetData>
  <mergeCells count="1">
    <mergeCell ref="A1:B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57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E4" activeCellId="0" sqref="E4:L4"/>
    </sheetView>
  </sheetViews>
  <sheetFormatPr defaultColWidth="14.0703125" defaultRowHeight="12.8" customHeight="false" zeroHeight="false" outlineLevelRow="0" outlineLevelCol="0"/>
  <cols>
    <col collapsed="false" customWidth="true" hidden="false" outlineLevel="0" max="5" min="5" style="1" width="27.14"/>
    <col collapsed="false" customWidth="true" hidden="false" outlineLevel="0" max="6" min="6" style="1" width="21.87"/>
    <col collapsed="false" customWidth="true" hidden="false" outlineLevel="0" max="7" min="7" style="1" width="22.96"/>
    <col collapsed="false" customWidth="true" hidden="false" outlineLevel="0" max="9" min="8" style="1" width="22.42"/>
    <col collapsed="false" customWidth="true" hidden="false" outlineLevel="0" max="10" min="10" style="1" width="19.71"/>
  </cols>
  <sheetData>
    <row r="2" customFormat="false" ht="12.8" hidden="false" customHeight="false" outlineLevel="0" collapsed="false">
      <c r="A2" s="9" t="s">
        <v>109</v>
      </c>
      <c r="B2" s="9"/>
    </row>
    <row r="3" customFormat="false" ht="12.8" hidden="false" customHeight="false" outlineLevel="0" collapsed="false">
      <c r="A3" s="10" t="s">
        <v>110</v>
      </c>
      <c r="B3" s="4" t="s">
        <v>111</v>
      </c>
      <c r="C3" s="1" t="s">
        <v>112</v>
      </c>
      <c r="E3" s="3" t="s">
        <v>113</v>
      </c>
      <c r="F3" s="3" t="s">
        <v>114</v>
      </c>
      <c r="G3" s="3" t="s">
        <v>115</v>
      </c>
      <c r="H3" s="3" t="s">
        <v>116</v>
      </c>
      <c r="I3" s="3" t="s">
        <v>117</v>
      </c>
      <c r="J3" s="3" t="s">
        <v>118</v>
      </c>
      <c r="K3" s="0" t="s">
        <v>119</v>
      </c>
      <c r="L3" s="0" t="s">
        <v>120</v>
      </c>
    </row>
    <row r="4" customFormat="false" ht="12.8" hidden="false" customHeight="false" outlineLevel="0" collapsed="false">
      <c r="A4" s="7" t="n">
        <v>1</v>
      </c>
      <c r="B4" s="1" t="n">
        <v>0.745618221992126</v>
      </c>
      <c r="C4" s="1" t="n">
        <v>0.780357842803317</v>
      </c>
      <c r="E4" s="3" t="n">
        <f aca="false">_xlfn.STDEV.S(B4:B28)</f>
        <v>0.0503841523134984</v>
      </c>
      <c r="F4" s="3" t="n">
        <f aca="false">_xlfn.STDEV.S(C4:C28)</f>
        <v>0.108991128921815</v>
      </c>
      <c r="G4" s="3" t="n">
        <f aca="false">_xlfn.F.TEST(B4:B28,C4:C28)</f>
        <v>0.000345757509679409</v>
      </c>
      <c r="H4" s="3" t="n">
        <f aca="false">_xlfn.T.TEST(B4:B28, C4:C28, 2,2)</f>
        <v>5.81797607467323E-008</v>
      </c>
      <c r="I4" s="3" t="n">
        <f aca="false">_xlfn.T.TEST(B4:B28,C4:C28, 2,3)</f>
        <v>2.57028877583832E-007</v>
      </c>
      <c r="J4" s="3" t="n">
        <f aca="false">AVERAGE(B4:B28)-AVERAGE(C4:C28)</f>
        <v>0.154040943928146</v>
      </c>
      <c r="K4" s="0" t="n">
        <f aca="false">AVERAGE(B4:B28)</f>
        <v>0.722291250332898</v>
      </c>
      <c r="L4" s="0" t="n">
        <f aca="false">AVERAGE(C4:C28)</f>
        <v>0.568250306404752</v>
      </c>
    </row>
    <row r="5" customFormat="false" ht="12.8" hidden="false" customHeight="false" outlineLevel="0" collapsed="false">
      <c r="A5" s="7" t="n">
        <v>2</v>
      </c>
      <c r="B5" s="1" t="n">
        <v>0.731965622484604</v>
      </c>
      <c r="C5" s="1" t="n">
        <v>0.416207094658953</v>
      </c>
    </row>
    <row r="6" customFormat="false" ht="12.8" hidden="false" customHeight="false" outlineLevel="0" collapsed="false">
      <c r="A6" s="7" t="n">
        <v>3</v>
      </c>
      <c r="B6" s="1" t="n">
        <v>0.556349411838211</v>
      </c>
      <c r="C6" s="1" t="n">
        <v>0.440694734258005</v>
      </c>
    </row>
    <row r="7" customFormat="false" ht="12.8" hidden="false" customHeight="false" outlineLevel="0" collapsed="false">
      <c r="A7" s="7" t="n">
        <v>4</v>
      </c>
      <c r="B7" s="1" t="n">
        <v>0.746961278269468</v>
      </c>
      <c r="C7" s="1" t="n">
        <v>0.50298342709053</v>
      </c>
    </row>
    <row r="8" customFormat="false" ht="12.8" hidden="false" customHeight="false" outlineLevel="0" collapsed="false">
      <c r="A8" s="7" t="n">
        <v>5</v>
      </c>
      <c r="B8" s="1" t="n">
        <v>0.736303129517049</v>
      </c>
      <c r="C8" s="1" t="n">
        <v>0.648378238204048</v>
      </c>
    </row>
    <row r="9" customFormat="false" ht="12.8" hidden="false" customHeight="false" outlineLevel="0" collapsed="false">
      <c r="A9" s="7" t="n">
        <v>6</v>
      </c>
      <c r="B9" s="1" t="n">
        <v>0.693060520928815</v>
      </c>
      <c r="C9" s="1" t="n">
        <v>0.556905413484638</v>
      </c>
    </row>
    <row r="10" customFormat="false" ht="12.8" hidden="false" customHeight="false" outlineLevel="0" collapsed="false">
      <c r="A10" s="7" t="n">
        <v>7</v>
      </c>
      <c r="B10" s="1" t="n">
        <v>0.748597564255249</v>
      </c>
      <c r="C10" s="1" t="n">
        <v>0.676587781456039</v>
      </c>
    </row>
    <row r="11" customFormat="false" ht="12.8" hidden="false" customHeight="false" outlineLevel="0" collapsed="false">
      <c r="A11" s="7" t="n">
        <v>8</v>
      </c>
      <c r="B11" s="1" t="n">
        <v>0.705165938537343</v>
      </c>
      <c r="C11" s="1" t="n">
        <v>0.537556987618538</v>
      </c>
    </row>
    <row r="12" customFormat="false" ht="12.8" hidden="false" customHeight="false" outlineLevel="0" collapsed="false">
      <c r="A12" s="7" t="n">
        <v>9</v>
      </c>
      <c r="B12" s="1" t="n">
        <v>0.750368716676119</v>
      </c>
      <c r="C12" s="1" t="n">
        <v>0.547450655337536</v>
      </c>
    </row>
    <row r="13" customFormat="false" ht="12.8" hidden="false" customHeight="false" outlineLevel="0" collapsed="false">
      <c r="A13" s="7" t="n">
        <v>10</v>
      </c>
      <c r="B13" s="1" t="n">
        <v>0.682432996770851</v>
      </c>
      <c r="C13" s="1" t="n">
        <v>0.404475709994457</v>
      </c>
    </row>
    <row r="14" customFormat="false" ht="12.8" hidden="false" customHeight="false" outlineLevel="0" collapsed="false">
      <c r="A14" s="7" t="n">
        <v>11</v>
      </c>
      <c r="B14" s="1" t="n">
        <v>0.72387381443217</v>
      </c>
      <c r="C14" s="1" t="n">
        <v>0.573512450710954</v>
      </c>
    </row>
    <row r="15" customFormat="false" ht="12.8" hidden="false" customHeight="false" outlineLevel="0" collapsed="false">
      <c r="A15" s="7" t="n">
        <v>12</v>
      </c>
      <c r="B15" s="1" t="n">
        <v>0.667701763619203</v>
      </c>
      <c r="C15" s="1" t="n">
        <v>0.688426389427952</v>
      </c>
    </row>
    <row r="16" customFormat="false" ht="12.8" hidden="false" customHeight="false" outlineLevel="0" collapsed="false">
      <c r="A16" s="7" t="n">
        <v>13</v>
      </c>
      <c r="B16" s="1" t="n">
        <v>0.72995268032519</v>
      </c>
      <c r="C16" s="1" t="n">
        <v>0.536732539192105</v>
      </c>
    </row>
    <row r="17" customFormat="false" ht="12.8" hidden="false" customHeight="false" outlineLevel="0" collapsed="false">
      <c r="A17" s="7" t="n">
        <v>14</v>
      </c>
      <c r="B17" s="1" t="n">
        <v>0.79516955513513</v>
      </c>
      <c r="C17" s="1" t="n">
        <v>0.706905423359106</v>
      </c>
    </row>
    <row r="18" customFormat="false" ht="12.8" hidden="false" customHeight="false" outlineLevel="0" collapsed="false">
      <c r="A18" s="7" t="n">
        <v>15</v>
      </c>
      <c r="B18" s="1" t="n">
        <v>0.641361051891741</v>
      </c>
      <c r="C18" s="1" t="n">
        <v>0.559275980049327</v>
      </c>
    </row>
    <row r="19" customFormat="false" ht="12.8" hidden="false" customHeight="false" outlineLevel="0" collapsed="false">
      <c r="A19" s="7" t="n">
        <v>16</v>
      </c>
      <c r="B19" s="1" t="n">
        <v>0.758550116405013</v>
      </c>
      <c r="C19" s="1" t="n">
        <v>0.696687598503719</v>
      </c>
    </row>
    <row r="20" customFormat="false" ht="12.8" hidden="false" customHeight="false" outlineLevel="0" collapsed="false">
      <c r="A20" s="7" t="n">
        <v>17</v>
      </c>
      <c r="B20" s="1" t="n">
        <v>0.694176028461883</v>
      </c>
      <c r="C20" s="1" t="n">
        <v>0.48999145280364</v>
      </c>
    </row>
    <row r="21" customFormat="false" ht="12.8" hidden="false" customHeight="false" outlineLevel="0" collapsed="false">
      <c r="A21" s="7" t="n">
        <v>18</v>
      </c>
      <c r="B21" s="1" t="n">
        <v>0.753547411776315</v>
      </c>
      <c r="C21" s="1" t="n">
        <v>0.703777326026319</v>
      </c>
    </row>
    <row r="22" customFormat="false" ht="12.8" hidden="false" customHeight="false" outlineLevel="0" collapsed="false">
      <c r="A22" s="7" t="n">
        <v>19</v>
      </c>
      <c r="B22" s="1" t="n">
        <v>0.718473139733635</v>
      </c>
      <c r="C22" s="1" t="n">
        <v>0.538311826027795</v>
      </c>
    </row>
    <row r="23" customFormat="false" ht="12.8" hidden="false" customHeight="false" outlineLevel="0" collapsed="false">
      <c r="A23" s="7" t="n">
        <v>20</v>
      </c>
      <c r="B23" s="1" t="n">
        <v>0.754538991520845</v>
      </c>
      <c r="C23" s="1" t="n">
        <v>0.658619577213029</v>
      </c>
    </row>
    <row r="24" customFormat="false" ht="12.8" hidden="false" customHeight="false" outlineLevel="0" collapsed="false">
      <c r="A24" s="7" t="n">
        <v>21</v>
      </c>
      <c r="B24" s="1" t="n">
        <v>0.71601754844973</v>
      </c>
      <c r="C24" s="1" t="n">
        <v>0.407653544913038</v>
      </c>
    </row>
    <row r="25" customFormat="false" ht="12.8" hidden="false" customHeight="false" outlineLevel="0" collapsed="false">
      <c r="A25" s="7" t="n">
        <v>22</v>
      </c>
      <c r="B25" s="1" t="n">
        <v>0.751876513039488</v>
      </c>
      <c r="C25" s="1" t="n">
        <v>0.515876791249462</v>
      </c>
    </row>
    <row r="26" customFormat="false" ht="12.8" hidden="false" customHeight="false" outlineLevel="0" collapsed="false">
      <c r="A26" s="7" t="n">
        <v>23</v>
      </c>
      <c r="B26" s="1" t="n">
        <v>0.717330086490848</v>
      </c>
      <c r="C26" s="1" t="n">
        <v>0.47404366030989</v>
      </c>
    </row>
    <row r="27" customFormat="false" ht="12.8" hidden="false" customHeight="false" outlineLevel="0" collapsed="false">
      <c r="A27" s="7" t="n">
        <v>24</v>
      </c>
      <c r="B27" s="1" t="n">
        <v>0.810165160416988</v>
      </c>
      <c r="C27" s="1" t="n">
        <v>0.690137110745753</v>
      </c>
    </row>
    <row r="28" customFormat="false" ht="12.8" hidden="false" customHeight="false" outlineLevel="0" collapsed="false">
      <c r="A28" s="3" t="n">
        <v>25</v>
      </c>
      <c r="B28" s="1" t="n">
        <v>0.72772399535443</v>
      </c>
      <c r="C28" s="1" t="n">
        <v>0.454708104680646</v>
      </c>
    </row>
    <row r="29" customFormat="false" ht="12.8" hidden="false" customHeight="false" outlineLevel="0" collapsed="false">
      <c r="A29" s="3"/>
      <c r="B29" s="1"/>
    </row>
    <row r="30" customFormat="false" ht="12.8" hidden="false" customHeight="false" outlineLevel="0" collapsed="false">
      <c r="A30" s="1" t="s">
        <v>121</v>
      </c>
    </row>
    <row r="32" customFormat="false" ht="12.8" hidden="false" customHeight="false" outlineLevel="0" collapsed="false">
      <c r="A32" s="10" t="s">
        <v>110</v>
      </c>
      <c r="B32" s="4" t="s">
        <v>122</v>
      </c>
      <c r="C32" s="4" t="s">
        <v>111</v>
      </c>
      <c r="E32" s="11" t="s">
        <v>123</v>
      </c>
    </row>
    <row r="33" customFormat="false" ht="12.8" hidden="false" customHeight="false" outlineLevel="0" collapsed="false">
      <c r="A33" s="7" t="n">
        <v>1</v>
      </c>
      <c r="B33" s="1" t="n">
        <v>0.726604447396414</v>
      </c>
      <c r="C33" s="1" t="n">
        <v>0.745618221992126</v>
      </c>
      <c r="E33" s="12" t="s">
        <v>124</v>
      </c>
      <c r="F33" s="1" t="n">
        <v>0.05</v>
      </c>
    </row>
    <row r="34" customFormat="false" ht="12.8" hidden="false" customHeight="false" outlineLevel="0" collapsed="false">
      <c r="A34" s="7" t="n">
        <v>2</v>
      </c>
      <c r="B34" s="1" t="n">
        <v>0.708959829151642</v>
      </c>
      <c r="C34" s="1" t="n">
        <v>0.731965622484604</v>
      </c>
      <c r="E34" s="12" t="s">
        <v>125</v>
      </c>
      <c r="F34" s="1" t="n">
        <v>0</v>
      </c>
    </row>
    <row r="35" customFormat="false" ht="12.8" hidden="false" customHeight="false" outlineLevel="0" collapsed="false">
      <c r="A35" s="7" t="n">
        <v>3</v>
      </c>
      <c r="B35" s="1" t="n">
        <v>0.656250791088745</v>
      </c>
      <c r="C35" s="1" t="n">
        <v>0.556349411838211</v>
      </c>
      <c r="E35" s="12"/>
      <c r="F35" s="11" t="s">
        <v>126</v>
      </c>
      <c r="G35" s="11" t="s">
        <v>127</v>
      </c>
    </row>
    <row r="36" customFormat="false" ht="12.8" hidden="false" customHeight="false" outlineLevel="0" collapsed="false">
      <c r="A36" s="7" t="n">
        <v>4</v>
      </c>
      <c r="B36" s="1" t="n">
        <v>0.682480064346605</v>
      </c>
      <c r="C36" s="1" t="n">
        <v>0.746961278269468</v>
      </c>
      <c r="E36" s="12" t="s">
        <v>128</v>
      </c>
      <c r="F36" s="1" t="n">
        <f aca="false">AVERAGE(inter_system_stats!$B$32:$B$57)</f>
        <v>0.711415890650289</v>
      </c>
      <c r="G36" s="1" t="n">
        <f aca="false">AVERAGE(inter_system_stats!$C$32:$C$57)</f>
        <v>0.722291250332898</v>
      </c>
    </row>
    <row r="37" customFormat="false" ht="12.8" hidden="false" customHeight="false" outlineLevel="0" collapsed="false">
      <c r="A37" s="7" t="n">
        <v>5</v>
      </c>
      <c r="B37" s="1" t="n">
        <v>0.750666088952323</v>
      </c>
      <c r="C37" s="1" t="n">
        <v>0.736303129517049</v>
      </c>
      <c r="E37" s="12" t="s">
        <v>129</v>
      </c>
      <c r="F37" s="1" t="n">
        <f aca="false">VAR(inter_system_stats!$B$32:$B$57)</f>
        <v>0.0022639833703396</v>
      </c>
      <c r="G37" s="1" t="n">
        <f aca="false">VAR(inter_system_stats!$C$32:$C$57)</f>
        <v>0.0025385628043498</v>
      </c>
    </row>
    <row r="38" customFormat="false" ht="12.8" hidden="false" customHeight="false" outlineLevel="0" collapsed="false">
      <c r="A38" s="7" t="n">
        <v>6</v>
      </c>
      <c r="B38" s="1" t="n">
        <v>0.690037613967929</v>
      </c>
      <c r="C38" s="1" t="n">
        <v>0.693060520928815</v>
      </c>
      <c r="E38" s="12" t="s">
        <v>130</v>
      </c>
      <c r="F38" s="1" t="n">
        <f aca="false">COUNT(inter_system_stats!$B$32:$B$57)</f>
        <v>25</v>
      </c>
      <c r="G38" s="1" t="n">
        <f aca="false">COUNT(inter_system_stats!$C$32:$C$57)</f>
        <v>25</v>
      </c>
    </row>
    <row r="39" customFormat="false" ht="12.8" hidden="false" customHeight="false" outlineLevel="0" collapsed="false">
      <c r="A39" s="7" t="n">
        <v>7</v>
      </c>
      <c r="B39" s="1" t="n">
        <v>0.70889799084929</v>
      </c>
      <c r="C39" s="1" t="n">
        <v>0.748597564255249</v>
      </c>
      <c r="E39" s="12" t="s">
        <v>131</v>
      </c>
      <c r="F39" s="1" t="n">
        <f aca="false">CORREL(inter_system_stats!$B$32:$B$57,inter_system_stats!$C$32:$C$57)</f>
        <v>0.639246810676259</v>
      </c>
    </row>
    <row r="40" customFormat="false" ht="12.8" hidden="false" customHeight="false" outlineLevel="0" collapsed="false">
      <c r="A40" s="7" t="n">
        <v>8</v>
      </c>
      <c r="B40" s="1" t="n">
        <v>0.685546620467512</v>
      </c>
      <c r="C40" s="1" t="n">
        <v>0.705165938537343</v>
      </c>
      <c r="E40" s="12" t="s">
        <v>132</v>
      </c>
      <c r="F40" s="1" t="n">
        <f aca="false" t="array" ref="F40:F40">AVERAGE(IF(ISODD(IF(ISNUMBER(inter_system_stats!$B$32:$B$57), 1, 0) * IF(ISNUMBER(inter_system_stats!$C$32:$C$57), 1, 0)), inter_system_stats!$B$32:$B$57 - inter_system_stats!$C$32:$C$57, "NA"))</f>
        <v>-0.0108753596826089</v>
      </c>
    </row>
    <row r="41" customFormat="false" ht="12.8" hidden="false" customHeight="false" outlineLevel="0" collapsed="false">
      <c r="A41" s="7" t="n">
        <v>9</v>
      </c>
      <c r="B41" s="1" t="n">
        <v>0.727629515141836</v>
      </c>
      <c r="C41" s="1" t="n">
        <v>0.750368716676119</v>
      </c>
      <c r="E41" s="12" t="s">
        <v>133</v>
      </c>
      <c r="F41" s="1" t="n">
        <f aca="false" t="array" ref="F41:F41">VAR(IF(ISODD(IF(ISNUMBER(inter_system_stats!$B$32:$B$57), 1, 0) * IF(ISNUMBER(inter_system_stats!$C$32:$C$57), 1, 0)), inter_system_stats!$B$32:$B$57 - inter_system_stats!$C$32:$C$57, "NA"))</f>
        <v>0.00173755563746932</v>
      </c>
    </row>
    <row r="42" customFormat="false" ht="12.8" hidden="false" customHeight="false" outlineLevel="0" collapsed="false">
      <c r="A42" s="7" t="n">
        <v>10</v>
      </c>
      <c r="B42" s="1" t="n">
        <v>0.637485514971611</v>
      </c>
      <c r="C42" s="1" t="n">
        <v>0.682432996770851</v>
      </c>
      <c r="E42" s="12" t="s">
        <v>134</v>
      </c>
      <c r="F42" s="1" t="n">
        <f aca="false" t="array" ref="F42:F42">SUM(IF(ISNUMBER(inter_system_stats!$B$32:$B$57), 1, 0) * IF(ISNUMBER(inter_system_stats!$C$32:$C$57), 1, 0)) - 1</f>
        <v>24</v>
      </c>
    </row>
    <row r="43" customFormat="false" ht="12.8" hidden="false" customHeight="false" outlineLevel="0" collapsed="false">
      <c r="A43" s="7" t="n">
        <v>11</v>
      </c>
      <c r="B43" s="1" t="n">
        <v>0.717989456556699</v>
      </c>
      <c r="C43" s="1" t="n">
        <v>0.72387381443217</v>
      </c>
      <c r="E43" s="12" t="s">
        <v>135</v>
      </c>
      <c r="F43" s="1" t="n">
        <f aca="false">(inter_system_stats!$F$40 - inter_system_stats!$F$34) / (inter_system_stats!$F$41 / ( inter_system_stats!$F$42 + 1)) ^ 0.5</f>
        <v>-1.30450057174222</v>
      </c>
    </row>
    <row r="44" customFormat="false" ht="12.8" hidden="false" customHeight="false" outlineLevel="0" collapsed="false">
      <c r="A44" s="7" t="n">
        <v>12</v>
      </c>
      <c r="B44" s="1" t="n">
        <v>0.770906292597071</v>
      </c>
      <c r="C44" s="1" t="n">
        <v>0.667701763619203</v>
      </c>
      <c r="E44" s="12" t="s">
        <v>136</v>
      </c>
      <c r="F44" s="1" t="n">
        <f aca="false">TDIST(ABS(inter_system_stats!$F$43), inter_system_stats!$F$42, 1)</f>
        <v>0.102217303297368</v>
      </c>
    </row>
    <row r="45" customFormat="false" ht="12.8" hidden="false" customHeight="false" outlineLevel="0" collapsed="false">
      <c r="A45" s="7" t="n">
        <v>13</v>
      </c>
      <c r="B45" s="1" t="n">
        <v>0.709827899363474</v>
      </c>
      <c r="C45" s="1" t="n">
        <v>0.72995268032519</v>
      </c>
      <c r="E45" s="12" t="s">
        <v>137</v>
      </c>
      <c r="F45" s="1" t="n">
        <f aca="false">TINV(2*inter_system_stats!$F$33, inter_system_stats!$F$42)</f>
        <v>1.71088207990943</v>
      </c>
    </row>
    <row r="46" customFormat="false" ht="12.8" hidden="false" customHeight="false" outlineLevel="0" collapsed="false">
      <c r="A46" s="7" t="n">
        <v>14</v>
      </c>
      <c r="B46" s="1" t="n">
        <v>0.824775999287701</v>
      </c>
      <c r="C46" s="1" t="n">
        <v>0.79516955513513</v>
      </c>
      <c r="E46" s="12" t="s">
        <v>138</v>
      </c>
      <c r="F46" s="1" t="n">
        <f aca="false">TDIST(ABS(inter_system_stats!$F$43), inter_system_stats!$F$42, 2)</f>
        <v>0.204434606594735</v>
      </c>
    </row>
    <row r="47" customFormat="false" ht="12.8" hidden="false" customHeight="false" outlineLevel="0" collapsed="false">
      <c r="A47" s="7" t="n">
        <v>15</v>
      </c>
      <c r="B47" s="1" t="n">
        <v>0.611331502918536</v>
      </c>
      <c r="C47" s="1" t="n">
        <v>0.641361051891741</v>
      </c>
      <c r="E47" s="12" t="s">
        <v>139</v>
      </c>
      <c r="F47" s="1" t="n">
        <f aca="false">TINV(inter_system_stats!$F$33, inter_system_stats!$F$42)</f>
        <v>2.06389856162803</v>
      </c>
    </row>
    <row r="48" customFormat="false" ht="12.8" hidden="false" customHeight="false" outlineLevel="0" collapsed="false">
      <c r="A48" s="7" t="n">
        <v>16</v>
      </c>
      <c r="B48" s="1" t="n">
        <v>0.743473367956861</v>
      </c>
      <c r="C48" s="1" t="n">
        <v>0.758550116405013</v>
      </c>
    </row>
    <row r="49" customFormat="false" ht="12.8" hidden="false" customHeight="false" outlineLevel="0" collapsed="false">
      <c r="A49" s="7" t="n">
        <v>17</v>
      </c>
      <c r="B49" s="1" t="n">
        <v>0.657769103514598</v>
      </c>
      <c r="C49" s="1" t="n">
        <v>0.694176028461883</v>
      </c>
    </row>
    <row r="50" customFormat="false" ht="12.8" hidden="false" customHeight="false" outlineLevel="0" collapsed="false">
      <c r="A50" s="7" t="n">
        <v>18</v>
      </c>
      <c r="B50" s="1" t="n">
        <v>0.7336678926738</v>
      </c>
      <c r="C50" s="1" t="n">
        <v>0.753547411776315</v>
      </c>
    </row>
    <row r="51" customFormat="false" ht="12.8" hidden="false" customHeight="false" outlineLevel="0" collapsed="false">
      <c r="A51" s="7" t="n">
        <v>19</v>
      </c>
      <c r="B51" s="1" t="n">
        <v>0.664769831999005</v>
      </c>
      <c r="C51" s="1" t="n">
        <v>0.718473139733635</v>
      </c>
    </row>
    <row r="52" customFormat="false" ht="12.8" hidden="false" customHeight="false" outlineLevel="0" collapsed="false">
      <c r="A52" s="7" t="n">
        <v>20</v>
      </c>
      <c r="B52" s="1" t="n">
        <v>0.735511761701567</v>
      </c>
      <c r="C52" s="1" t="n">
        <v>0.754538991520845</v>
      </c>
    </row>
    <row r="53" customFormat="false" ht="12.8" hidden="false" customHeight="false" outlineLevel="0" collapsed="false">
      <c r="A53" s="7" t="n">
        <v>21</v>
      </c>
      <c r="B53" s="1" t="n">
        <v>0.715466613809298</v>
      </c>
      <c r="C53" s="1" t="n">
        <v>0.71601754844973</v>
      </c>
    </row>
    <row r="54" customFormat="false" ht="12.8" hidden="false" customHeight="false" outlineLevel="0" collapsed="false">
      <c r="A54" s="7" t="n">
        <v>22</v>
      </c>
      <c r="B54" s="1" t="n">
        <v>0.70902009513028</v>
      </c>
      <c r="C54" s="1" t="n">
        <v>0.751876513039488</v>
      </c>
    </row>
    <row r="55" customFormat="false" ht="12.8" hidden="false" customHeight="false" outlineLevel="0" collapsed="false">
      <c r="A55" s="7" t="n">
        <v>23</v>
      </c>
      <c r="B55" s="1" t="n">
        <v>0.675856447847683</v>
      </c>
      <c r="C55" s="1" t="n">
        <v>0.717330086490848</v>
      </c>
    </row>
    <row r="56" customFormat="false" ht="12.8" hidden="false" customHeight="false" outlineLevel="0" collapsed="false">
      <c r="A56" s="7" t="n">
        <v>24</v>
      </c>
      <c r="B56" s="1" t="n">
        <v>0.770886115042279</v>
      </c>
      <c r="C56" s="1" t="n">
        <v>0.810165160416988</v>
      </c>
    </row>
    <row r="57" customFormat="false" ht="12.8" hidden="false" customHeight="false" outlineLevel="0" collapsed="false">
      <c r="A57" s="3" t="n">
        <v>25</v>
      </c>
      <c r="B57" s="1" t="n">
        <v>0.769586409524463</v>
      </c>
      <c r="C57" s="1" t="n">
        <v>0.72772399535443</v>
      </c>
    </row>
  </sheetData>
  <mergeCells count="1">
    <mergeCell ref="A2:B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2026-02-11T16:41:07Z</dcterms:created>
  <dc:creator>openpyxl</dc:creator>
  <dc:description/>
  <dc:language>en-US</dc:language>
  <cp:lastModifiedBy/>
  <dcterms:modified xsi:type="dcterms:W3CDTF">2026-02-20T16:44:12Z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
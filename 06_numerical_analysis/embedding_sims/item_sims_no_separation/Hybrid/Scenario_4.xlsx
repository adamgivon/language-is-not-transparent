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en4_hybrid" sheetId="1" state="visible" r:id="rId3"/>
    <sheet name="Notes" sheetId="2" state="visible" r:id="rId4"/>
    <sheet name="actdel_prompt_response" sheetId="3" state="visible" r:id="rId5"/>
    <sheet name="inter_system_st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<sst xmlns="http://schemas.openxmlformats.org/spreadsheetml/2006/main" count="928" uniqueCount="139">
  <si>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</si>
  <si>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</si>
  <si>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</si>
  <si>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</si>
  <si>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</si>
  <si>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</si>
  <si>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</si>
  <si>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</si>
  <si>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</si>
  <si>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</si>
  <si>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</si>
  <si>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</si>
  <si>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count</t>
  </si>
  <si>
    <t xml:space="preserve">average activation delta</t>
  </si>
  <si>
    <t xml:space="preserve">correlation weights / activation delta</t>
  </si>
  <si>
    <t xml:space="preserve">p</t>
  </si>
  <si>
    <t xml:space="preserve">3c6e77ea-5a26-47dd-a507-b33f85e398c8</t>
  </si>
  <si>
    <t xml:space="preserve">cmjbk6y9p00glzc8goa91nwq4</t>
  </si>
  <si>
    <t xml:space="preserve">cmjbk820j00h2zc8g73iiwdu8</t>
  </si>
  <si>
    <t xml:space="preserve">hybrid_v3_5</t>
  </si>
  <si>
    <t xml:space="preserve">Scenario_4</t>
  </si>
  <si>
    <t xml:space="preserve">practicality_and_feasibility</t>
  </si>
  <si>
    <t xml:space="preserve">identity</t>
  </si>
  <si>
    <t xml:space="preserve">mathematics_computer_science_engineering</t>
  </si>
  <si>
    <t xml:space="preserve">imagination_and_possibility</t>
  </si>
  <si>
    <t xml:space="preserve">metaphorical_scaffolding</t>
  </si>
  <si>
    <t xml:space="preserve">truth_and_fact</t>
  </si>
  <si>
    <t xml:space="preserve">38e658f8-e0d6-4dbb-a8bf-cfd590ba56e8</t>
  </si>
  <si>
    <t xml:space="preserve">cmjbk8zt100h6zc8gouesc057</t>
  </si>
  <si>
    <t xml:space="preserve">cmjbk9st500hnzc8gzhdq6c5b</t>
  </si>
  <si>
    <t xml:space="preserve">affective_interface</t>
  </si>
  <si>
    <t xml:space="preserve">46889d74-7945-46a1-805a-29cb0ebce710</t>
  </si>
  <si>
    <t xml:space="preserve">cmjbkaz9m00hrzc8gqw0xr5tq</t>
  </si>
  <si>
    <t xml:space="preserve">cmjbkboot00i8zc8g066szyo6</t>
  </si>
  <si>
    <t xml:space="preserve">sovereignty</t>
  </si>
  <si>
    <t xml:space="preserve">3c346345-6524-4cc6-94d8-9138a2a9e802</t>
  </si>
  <si>
    <t xml:space="preserve">cmjbkeij300iczc8gj72ndmae</t>
  </si>
  <si>
    <t xml:space="preserve">cmjbkf9vh00itzc8g4pwt6k75</t>
  </si>
  <si>
    <t xml:space="preserve">context_dependent_expression</t>
  </si>
  <si>
    <t xml:space="preserve">97941909-a575-4b66-8292-34749af39da1</t>
  </si>
  <si>
    <t xml:space="preserve">cmjbkgd7u00ixzc8g27n56ltc</t>
  </si>
  <si>
    <t xml:space="preserve">cmjbkgsbr00jezc8goug8w3og</t>
  </si>
  <si>
    <t xml:space="preserve">freedom_and_limitations</t>
  </si>
  <si>
    <t xml:space="preserve">25564180-8534-4fa7-b4ab-5a28a0b1e89d</t>
  </si>
  <si>
    <t xml:space="preserve">cmjbkhbxe00jizc8gvzi5x8pz</t>
  </si>
  <si>
    <t xml:space="preserve">cmjbki1li00jzzc8giux9reys</t>
  </si>
  <si>
    <t xml:space="preserve">temporal_dynamics</t>
  </si>
  <si>
    <t xml:space="preserve">266134bf-1fd8-44a1-b221-f8ae0d4e47f8</t>
  </si>
  <si>
    <t xml:space="preserve">cmjbkj75d00k3zc8g0vlovaas</t>
  </si>
  <si>
    <t xml:space="preserve">cmjbkjsw000kkzc8gpqkax8hs</t>
  </si>
  <si>
    <t xml:space="preserve">f82bf58d-7385-4ce0-9e79-067213e8006f</t>
  </si>
  <si>
    <t xml:space="preserve">cmjbkkhb900kozc8g2g86qcw3</t>
  </si>
  <si>
    <t xml:space="preserve">cmjbkl2rx00l5zc8gdk7j4434</t>
  </si>
  <si>
    <t xml:space="preserve">451c2cf3-3ab6-4eb0-813d-96b76d7cdb8a</t>
  </si>
  <si>
    <t xml:space="preserve">cmjbklkc100l9zc8gvqvvfkgg</t>
  </si>
  <si>
    <t xml:space="preserve">cmjbkme9i00lqzc8gwau8zht2</t>
  </si>
  <si>
    <t xml:space="preserve">38c3e7d3-e66d-41c9-a249-40d5bb5e9e64</t>
  </si>
  <si>
    <t xml:space="preserve">cmjbkntyg00luzc8g7p2zww89</t>
  </si>
  <si>
    <t xml:space="preserve">cmjbko28b00mbzc8gkbux2rgt</t>
  </si>
  <si>
    <t xml:space="preserve">bce60bb4-a730-4b5a-87c7-2af24e9b4eb5</t>
  </si>
  <si>
    <t xml:space="preserve">cmjbkqm5d00mfzc8gyh9sno7f</t>
  </si>
  <si>
    <t xml:space="preserve">cmjbkr5l700mwzc8gt3fwlh7l</t>
  </si>
  <si>
    <t xml:space="preserve">df5c4112-f6f6-408e-b39d-1edcc0f1c7a8</t>
  </si>
  <si>
    <t xml:space="preserve">cmjbkrr4800n0zc8gdhy65fmb</t>
  </si>
  <si>
    <t xml:space="preserve">cmjbksch700nhzc8g91a6udnl</t>
  </si>
  <si>
    <t xml:space="preserve">c3503219-5d94-42a2-8756-49013e062360</t>
  </si>
  <si>
    <t xml:space="preserve">cmjbkt1b600nlzc8ghsp6l58q</t>
  </si>
  <si>
    <t xml:space="preserve">cmjbktq9o00o2zc8gecl6tg8f</t>
  </si>
  <si>
    <t xml:space="preserve">5ba9bca1-cd55-4fed-99a3-544c84f5d5c0</t>
  </si>
  <si>
    <t xml:space="preserve">cmjbkuiru00o6zc8g72zgmil2</t>
  </si>
  <si>
    <t xml:space="preserve">cmjbkv82900onzc8gsiz139am</t>
  </si>
  <si>
    <t xml:space="preserve">6b290f28-54b5-47d2-9403-a999ae2bd062</t>
  </si>
  <si>
    <t xml:space="preserve">cmjbkvu6q00orzc8g7ykrjog0</t>
  </si>
  <si>
    <t xml:space="preserve">cmjbkwiif00p8zc8gjx44k5c5</t>
  </si>
  <si>
    <t xml:space="preserve">83f24787-90f4-4011-9c42-a468c786e945</t>
  </si>
  <si>
    <t xml:space="preserve">cmjbkxgz900pczc8gktbin4so</t>
  </si>
  <si>
    <t xml:space="preserve">cmjbky8rn00ptzc8ghwygxewa</t>
  </si>
  <si>
    <t xml:space="preserve">7f3d7280-87ea-4395-a495-fcd9a4764d70</t>
  </si>
  <si>
    <t xml:space="preserve">cmjbkzd0o00pxzc8gc1ip0gor</t>
  </si>
  <si>
    <t xml:space="preserve">cmjbkzqfa00qezc8gpl6tmvb4</t>
  </si>
  <si>
    <t xml:space="preserve">e98f4854-1c81-4876-bccd-d9873b175efe</t>
  </si>
  <si>
    <t xml:space="preserve">cmjbl0vno00qizc8gmb0vvsjm</t>
  </si>
  <si>
    <t xml:space="preserve">cmjbl1p8l00qzzc8grdrvuk6n</t>
  </si>
  <si>
    <t xml:space="preserve">e4459c44-841a-4579-8e68-672877147262</t>
  </si>
  <si>
    <t xml:space="preserve">cmjbl2m8300r3zc8g26b3816g</t>
  </si>
  <si>
    <t xml:space="preserve">cmjbl3aud00rkzc8gna8w7j8i</t>
  </si>
  <si>
    <t xml:space="preserve">7673f7e4-14ea-4ebf-aded-89a851e46df5</t>
  </si>
  <si>
    <t xml:space="preserve">cmjbl495l00rozc8g737196an</t>
  </si>
  <si>
    <t xml:space="preserve">cmjbl4uor00s5zc8gvvitkj86</t>
  </si>
  <si>
    <t xml:space="preserve">3154a496-c238-4494-bc01-08fbb4ff9191</t>
  </si>
  <si>
    <t xml:space="preserve">cmjbl70cu00s9zc8gzivi2x47</t>
  </si>
  <si>
    <t xml:space="preserve">cmjbl7h9u00sqzc8g95x9udha</t>
  </si>
  <si>
    <t xml:space="preserve">4e38b238-0a7f-4142-8235-49809947a0a7</t>
  </si>
  <si>
    <t xml:space="preserve">cmjbl86uw00suzc8g4n4b2l4u</t>
  </si>
  <si>
    <t xml:space="preserve">cmjbl8r0z00tbzc8ggfhsls9m</t>
  </si>
  <si>
    <t xml:space="preserve">e4cfe906-50b1-4b5f-9f08-3fcca3e0e75e</t>
  </si>
  <si>
    <t xml:space="preserve">cmjbl9cg600tfzc8gw1ttfrrn</t>
  </si>
  <si>
    <t xml:space="preserve">cmjbl9qav00twzc8goi0ulepl</t>
  </si>
  <si>
    <t xml:space="preserve">a8ad4912-f0c7-4d4f-a08a-a841ee9d8a8e</t>
  </si>
  <si>
    <t xml:space="preserve">cmjblay7300u0zc8gjtlrg70v</t>
  </si>
  <si>
    <t xml:space="preserve">cmjblbiu500uhzc8g2ed22lni</t>
  </si>
  <si>
    <t xml:space="preserve">2fdfa08d-753c-4370-9365-b2befef3c73e</t>
  </si>
  <si>
    <t xml:space="preserve">cmjblcc8400ulzc8gdbvejap6</t>
  </si>
  <si>
    <t xml:space="preserve">cmjblcsde00v2zc8gglyjcggd</t>
  </si>
  <si>
    <t xml:space="preserve">p calculation</t>
  </si>
  <si>
    <t xml:space="preserve">1. count</t>
  </si>
  <si>
    <t xml:space="preserve">2.  t statistic</t>
  </si>
  <si>
    <t xml:space="preserve">3. p</t>
  </si>
  <si>
    <t xml:space="preserve">Prompt-response</t>
  </si>
  <si>
    <t xml:space="preserve">Turn</t>
  </si>
  <si>
    <t xml:space="preserve">hybrid</t>
  </si>
  <si>
    <t xml:space="preserve">control</t>
  </si>
  <si>
    <t xml:space="preserve">std.ac15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</si>
  <si>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</si>
  <si>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</si>
  <si>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</si>
  <si>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</si>
  <si>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</si>
  <si>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Average Scenario</t>
  </si>
  <si>
    <t xml:space="preserve">Average control</t>
  </si>
  <si>
    <t xml:space="preserve">General</t>
  </si>
  <si>
    <t xml:space="preserve">ac15p</t>
  </si>
  <si>
    <t xml:space="preserve">Paired t-test</t>
  </si>
  <si>
    <t xml:space="preserve">Alpha</t>
  </si>
  <si>
    <t xml:space="preserve">Hypothesized Mean Difference</t>
  </si>
  <si>
    <t xml:space="preserve">Variable 1</t>
  </si>
  <si>
    <t xml:space="preserve">Variable 2</t>
  </si>
  <si>
    <t xml:space="preserve">Mean</t>
  </si>
  <si>
    <t xml:space="preserve">Variance</t>
  </si>
  <si>
    <t xml:space="preserve">Observations</t>
  </si>
  <si>
    <t xml:space="preserve">Pearson Correlation</t>
  </si>
  <si>
    <t xml:space="preserve">Observed Mean Difference</t>
  </si>
  <si>
    <t xml:space="preserve">Variance of the Differences</t>
  </si>
  <si>
    <t xml:space="preserve">df</t>
  </si>
  <si>
    <t xml:space="preserve">t Stat</t>
  </si>
  <si>
    <t xml:space="preserve">P (T&lt;=t) one-tail</t>
  </si>
  <si>
    <t xml:space="preserve">t Critical one-tail</t>
  </si>
  <si>
    <t xml:space="preserve">P (T&lt;=t) two-tail</t>
  </si>
  <si>
    <t xml:space="preserve">t Critical two-tail</t>
  </si>
</sst>
</file>

<file path=xl/styles.xml><?xml version="1.0" encoding="utf-8"?>
<styleSheet xmlns="http://schemas.openxmlformats.org/spreadsheetml/2006/main">
  <numFmts count="2">
    <numFmt numFmtId="164" formatCode="0.000000;[RED]\-0.000000"/>
    <numFmt numFmtId="165" formatCode="General"/>
  </numFmts>
  <fonts count="7">
    <font>
      <sz val="9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rgb="FF000000"/>
      <name val="Arial"/>
      <family val="2"/>
    </font>
    <font>
      <b val="true"/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center" vertical="center" textRotation="0" wrapText="true" indent="0" shrinkToFit="false"/>
    </xf>
  </cellStyleXfs>
  <cellXfs count="15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dam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actdel_prompt_response!$B$3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actdel_prompt_response!$A$4:$A$28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actdel_prompt_response!$B$4:$B$28</c:f>
              <c:numCache>
                <c:formatCode>0.000000;[RED]\-0.000000</c:formatCode>
                <c:ptCount val="25"/>
                <c:pt idx="0">
                  <c:v>0.796298769133089</c:v>
                </c:pt>
                <c:pt idx="1">
                  <c:v>0.739558549996658</c:v>
                </c:pt>
                <c:pt idx="2">
                  <c:v>0.739544897773702</c:v>
                </c:pt>
                <c:pt idx="3">
                  <c:v>0.743029391601184</c:v>
                </c:pt>
                <c:pt idx="4">
                  <c:v>0.725502046355756</c:v>
                </c:pt>
                <c:pt idx="5">
                  <c:v>0.74855685096753</c:v>
                </c:pt>
                <c:pt idx="6">
                  <c:v>0.734138467252432</c:v>
                </c:pt>
                <c:pt idx="7">
                  <c:v>0.668701341307149</c:v>
                </c:pt>
                <c:pt idx="8">
                  <c:v>0.786880036989265</c:v>
                </c:pt>
                <c:pt idx="9">
                  <c:v>0.80994865911664</c:v>
                </c:pt>
                <c:pt idx="10">
                  <c:v>0.690171891444283</c:v>
                </c:pt>
                <c:pt idx="11">
                  <c:v>0.749125347769507</c:v>
                </c:pt>
                <c:pt idx="12">
                  <c:v>0.677480782400821</c:v>
                </c:pt>
                <c:pt idx="13">
                  <c:v>0.792919049793641</c:v>
                </c:pt>
                <c:pt idx="14">
                  <c:v>0.800884410132615</c:v>
                </c:pt>
                <c:pt idx="15">
                  <c:v>0.645399166816264</c:v>
                </c:pt>
                <c:pt idx="16">
                  <c:v>0.773016224974695</c:v>
                </c:pt>
                <c:pt idx="17">
                  <c:v>0.583045440245199</c:v>
                </c:pt>
                <c:pt idx="18">
                  <c:v>0.795481203585273</c:v>
                </c:pt>
                <c:pt idx="19">
                  <c:v>0.652507768318238</c:v>
                </c:pt>
                <c:pt idx="20">
                  <c:v>0.613427900388095</c:v>
                </c:pt>
                <c:pt idx="21">
                  <c:v>0.656999422835807</c:v>
                </c:pt>
                <c:pt idx="22">
                  <c:v>0.779435389877834</c:v>
                </c:pt>
                <c:pt idx="23">
                  <c:v>0.795672429591334</c:v>
                </c:pt>
                <c:pt idx="24">
                  <c:v>0.695664418244049</c:v>
                </c:pt>
              </c:numCache>
            </c:numRef>
          </c:yVal>
          <c:smooth val="0"/>
        </c:ser>
        <c:axId val="21476674"/>
        <c:axId val="14596537"/>
      </c:scatterChart>
      <c:valAx>
        <c:axId val="2147667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4596537"/>
        <c:crosses val="autoZero"/>
        <c:crossBetween val="midCat"/>
      </c:valAx>
      <c:valAx>
        <c:axId val="145965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000;[RED]\-0.000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147667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inter_system_stats!$B$3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inter_system_stats!$B$4:$B$28</c:f>
              <c:numCache>
                <c:formatCode>0.000000;[RED]\-0.000000</c:formatCode>
                <c:ptCount val="25"/>
                <c:pt idx="0">
                  <c:v>0.796298769133089</c:v>
                </c:pt>
                <c:pt idx="1">
                  <c:v>0.739558549996658</c:v>
                </c:pt>
                <c:pt idx="2">
                  <c:v>0.739544897773702</c:v>
                </c:pt>
                <c:pt idx="3">
                  <c:v>0.743029391601184</c:v>
                </c:pt>
                <c:pt idx="4">
                  <c:v>0.725502046355756</c:v>
                </c:pt>
                <c:pt idx="5">
                  <c:v>0.74855685096753</c:v>
                </c:pt>
                <c:pt idx="6">
                  <c:v>0.734138467252432</c:v>
                </c:pt>
                <c:pt idx="7">
                  <c:v>0.668701341307149</c:v>
                </c:pt>
                <c:pt idx="8">
                  <c:v>0.786880036989265</c:v>
                </c:pt>
                <c:pt idx="9">
                  <c:v>0.80994865911664</c:v>
                </c:pt>
                <c:pt idx="10">
                  <c:v>0.690171891444283</c:v>
                </c:pt>
                <c:pt idx="11">
                  <c:v>0.749125347769507</c:v>
                </c:pt>
                <c:pt idx="12">
                  <c:v>0.677480782400821</c:v>
                </c:pt>
                <c:pt idx="13">
                  <c:v>0.792919049793641</c:v>
                </c:pt>
                <c:pt idx="14">
                  <c:v>0.800884410132615</c:v>
                </c:pt>
                <c:pt idx="15">
                  <c:v>0.645399166816264</c:v>
                </c:pt>
                <c:pt idx="16">
                  <c:v>0.773016224974695</c:v>
                </c:pt>
                <c:pt idx="17">
                  <c:v>0.583045440245199</c:v>
                </c:pt>
                <c:pt idx="18">
                  <c:v>0.795481203585273</c:v>
                </c:pt>
                <c:pt idx="19">
                  <c:v>0.652507768318238</c:v>
                </c:pt>
                <c:pt idx="20">
                  <c:v>0.613427900388095</c:v>
                </c:pt>
                <c:pt idx="21">
                  <c:v>0.656999422835807</c:v>
                </c:pt>
                <c:pt idx="22">
                  <c:v>0.779435389877834</c:v>
                </c:pt>
                <c:pt idx="23">
                  <c:v>0.795672429591334</c:v>
                </c:pt>
                <c:pt idx="24">
                  <c:v>0.695664418244049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inter_system_stats!$C$3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inter_system_stats!$C$4:$C$28</c:f>
              <c:numCache>
                <c:formatCode>0.000000;[RED]\-0.000000</c:formatCode>
                <c:ptCount val="25"/>
                <c:pt idx="0">
                  <c:v>0.820620353982448</c:v>
                </c:pt>
                <c:pt idx="1">
                  <c:v>0.677850780887192</c:v>
                </c:pt>
                <c:pt idx="2">
                  <c:v>0.677952285287439</c:v>
                </c:pt>
                <c:pt idx="3">
                  <c:v>0.661353165434158</c:v>
                </c:pt>
                <c:pt idx="4">
                  <c:v>0.593991040073877</c:v>
                </c:pt>
                <c:pt idx="5">
                  <c:v>0.608645298556612</c:v>
                </c:pt>
                <c:pt idx="6">
                  <c:v>0.574818823501635</c:v>
                </c:pt>
                <c:pt idx="7">
                  <c:v>0.522250049685591</c:v>
                </c:pt>
                <c:pt idx="8">
                  <c:v>0.763435630553549</c:v>
                </c:pt>
                <c:pt idx="9">
                  <c:v>0.690362904205506</c:v>
                </c:pt>
                <c:pt idx="10">
                  <c:v>0.669616305799924</c:v>
                </c:pt>
                <c:pt idx="11">
                  <c:v>0.750515577717232</c:v>
                </c:pt>
                <c:pt idx="12">
                  <c:v>0.709222966214306</c:v>
                </c:pt>
                <c:pt idx="13">
                  <c:v>0.526107506619162</c:v>
                </c:pt>
                <c:pt idx="14">
                  <c:v>0.568606644280233</c:v>
                </c:pt>
                <c:pt idx="15">
                  <c:v>0.495011712365797</c:v>
                </c:pt>
                <c:pt idx="16">
                  <c:v>0.672995011679508</c:v>
                </c:pt>
                <c:pt idx="17">
                  <c:v>0.637832242885566</c:v>
                </c:pt>
                <c:pt idx="18">
                  <c:v>0.677348078562667</c:v>
                </c:pt>
                <c:pt idx="19">
                  <c:v>0.675947228908232</c:v>
                </c:pt>
                <c:pt idx="20">
                  <c:v>0.610943329404948</c:v>
                </c:pt>
                <c:pt idx="21">
                  <c:v>0.750091190228488</c:v>
                </c:pt>
                <c:pt idx="22">
                  <c:v>0.569584008433566</c:v>
                </c:pt>
                <c:pt idx="23">
                  <c:v>0.517039819129782</c:v>
                </c:pt>
                <c:pt idx="24">
                  <c:v>0.629656577085868</c:v>
                </c:pt>
              </c:numCache>
            </c:numRef>
          </c:yVal>
          <c:smooth val="0"/>
        </c:ser>
        <c:axId val="16580387"/>
        <c:axId val="92045820"/>
      </c:scatterChart>
      <c:valAx>
        <c:axId val="1658038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2045820"/>
        <c:crosses val="autoZero"/>
        <c:crossBetween val="midCat"/>
      </c:valAx>
      <c:valAx>
        <c:axId val="9204582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000;[RED]\-0.000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658038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inter_system_stats!$B$34</c:f>
              <c:strCache>
                <c:ptCount val="1"/>
                <c:pt idx="0">
                  <c:v>ac15p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inter_system_stats!$A$35:$A$59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inter_system_stats!$B$35:$B$59</c:f>
              <c:numCache>
                <c:formatCode>0.000000;[RED]\-0.000000</c:formatCode>
                <c:ptCount val="25"/>
                <c:pt idx="0">
                  <c:v>0.782943341241136</c:v>
                </c:pt>
                <c:pt idx="1">
                  <c:v>0.72616787514369</c:v>
                </c:pt>
                <c:pt idx="2">
                  <c:v>0.762384843564062</c:v>
                </c:pt>
                <c:pt idx="3">
                  <c:v>0.703293963123335</c:v>
                </c:pt>
                <c:pt idx="4">
                  <c:v>0.729690702766813</c:v>
                </c:pt>
                <c:pt idx="5">
                  <c:v>0.752076127330993</c:v>
                </c:pt>
                <c:pt idx="6">
                  <c:v>0.811772559323065</c:v>
                </c:pt>
                <c:pt idx="7">
                  <c:v>0.718329243982785</c:v>
                </c:pt>
                <c:pt idx="8">
                  <c:v>0.750898507673254</c:v>
                </c:pt>
                <c:pt idx="9">
                  <c:v>0.712335367494729</c:v>
                </c:pt>
                <c:pt idx="10">
                  <c:v>0.77617002993037</c:v>
                </c:pt>
                <c:pt idx="11">
                  <c:v>0.770418007906113</c:v>
                </c:pt>
                <c:pt idx="12">
                  <c:v>0.687181835442281</c:v>
                </c:pt>
                <c:pt idx="13">
                  <c:v>0.81381364646817</c:v>
                </c:pt>
                <c:pt idx="14">
                  <c:v>0.78154173279719</c:v>
                </c:pt>
                <c:pt idx="15">
                  <c:v>0.679973262997131</c:v>
                </c:pt>
                <c:pt idx="16">
                  <c:v>0.804539740964931</c:v>
                </c:pt>
                <c:pt idx="17">
                  <c:v>0.575788380252692</c:v>
                </c:pt>
                <c:pt idx="18">
                  <c:v>0.808293439836629</c:v>
                </c:pt>
                <c:pt idx="19">
                  <c:v>0.631098700615939</c:v>
                </c:pt>
                <c:pt idx="20">
                  <c:v>0.723521456744309</c:v>
                </c:pt>
                <c:pt idx="21">
                  <c:v>0.667636089020494</c:v>
                </c:pt>
                <c:pt idx="22">
                  <c:v>0.729145136576755</c:v>
                </c:pt>
                <c:pt idx="23">
                  <c:v>0.768909591560026</c:v>
                </c:pt>
                <c:pt idx="24">
                  <c:v>0.694335761858647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inter_system_stats!$C$34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inter_system_stats!$A$35:$A$59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inter_system_stats!$C$35:$C$59</c:f>
              <c:numCache>
                <c:formatCode>0.000000;[RED]\-0.000000</c:formatCode>
                <c:ptCount val="25"/>
                <c:pt idx="0">
                  <c:v>0.796298769133089</c:v>
                </c:pt>
                <c:pt idx="1">
                  <c:v>0.739558549996658</c:v>
                </c:pt>
                <c:pt idx="2">
                  <c:v>0.739544897773702</c:v>
                </c:pt>
                <c:pt idx="3">
                  <c:v>0.743029391601184</c:v>
                </c:pt>
                <c:pt idx="4">
                  <c:v>0.725502046355756</c:v>
                </c:pt>
                <c:pt idx="5">
                  <c:v>0.74855685096753</c:v>
                </c:pt>
                <c:pt idx="6">
                  <c:v>0.734138467252432</c:v>
                </c:pt>
                <c:pt idx="7">
                  <c:v>0.668701341307149</c:v>
                </c:pt>
                <c:pt idx="8">
                  <c:v>0.786880036989265</c:v>
                </c:pt>
                <c:pt idx="9">
                  <c:v>0.80994865911664</c:v>
                </c:pt>
                <c:pt idx="10">
                  <c:v>0.690171891444283</c:v>
                </c:pt>
                <c:pt idx="11">
                  <c:v>0.749125347769507</c:v>
                </c:pt>
                <c:pt idx="12">
                  <c:v>0.677480782400821</c:v>
                </c:pt>
                <c:pt idx="13">
                  <c:v>0.792919049793641</c:v>
                </c:pt>
                <c:pt idx="14">
                  <c:v>0.800884410132615</c:v>
                </c:pt>
                <c:pt idx="15">
                  <c:v>0.645399166816264</c:v>
                </c:pt>
                <c:pt idx="16">
                  <c:v>0.773016224974695</c:v>
                </c:pt>
                <c:pt idx="17">
                  <c:v>0.583045440245199</c:v>
                </c:pt>
                <c:pt idx="18">
                  <c:v>0.795481203585273</c:v>
                </c:pt>
                <c:pt idx="19">
                  <c:v>0.652507768318238</c:v>
                </c:pt>
                <c:pt idx="20">
                  <c:v>0.613427900388095</c:v>
                </c:pt>
                <c:pt idx="21">
                  <c:v>0.656999422835807</c:v>
                </c:pt>
                <c:pt idx="22">
                  <c:v>0.779435389877834</c:v>
                </c:pt>
                <c:pt idx="23">
                  <c:v>0.795672429591334</c:v>
                </c:pt>
                <c:pt idx="24">
                  <c:v>0.695664418244049</c:v>
                </c:pt>
              </c:numCache>
            </c:numRef>
          </c:yVal>
          <c:smooth val="0"/>
        </c:ser>
        <c:axId val="95277055"/>
        <c:axId val="41728229"/>
      </c:scatterChart>
      <c:valAx>
        <c:axId val="9527705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1728229"/>
        <c:crosses val="autoZero"/>
        <c:crossBetween val="midCat"/>
      </c:valAx>
      <c:valAx>
        <c:axId val="4172822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000;[RED]\-0.000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527705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716760</xdr:colOff>
      <xdr:row>2</xdr:row>
      <xdr:rowOff>54360</xdr:rowOff>
    </xdr:from>
    <xdr:to>
      <xdr:col>10</xdr:col>
      <xdr:colOff>33840</xdr:colOff>
      <xdr:row>22</xdr:row>
      <xdr:rowOff>39600</xdr:rowOff>
    </xdr:to>
    <xdr:graphicFrame>
      <xdr:nvGraphicFramePr>
        <xdr:cNvPr id="1" name=""/>
        <xdr:cNvGraphicFramePr/>
      </xdr:nvGraphicFramePr>
      <xdr:xfrm>
        <a:off x="2356920" y="379440"/>
        <a:ext cx="5062680" cy="323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1260360</xdr:colOff>
      <xdr:row>6</xdr:row>
      <xdr:rowOff>23400</xdr:rowOff>
    </xdr:from>
    <xdr:to>
      <xdr:col>8</xdr:col>
      <xdr:colOff>839880</xdr:colOff>
      <xdr:row>26</xdr:row>
      <xdr:rowOff>7560</xdr:rowOff>
    </xdr:to>
    <xdr:graphicFrame>
      <xdr:nvGraphicFramePr>
        <xdr:cNvPr id="2" name=""/>
        <xdr:cNvGraphicFramePr/>
      </xdr:nvGraphicFramePr>
      <xdr:xfrm>
        <a:off x="4133160" y="998640"/>
        <a:ext cx="5042520" cy="323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687600</xdr:colOff>
      <xdr:row>33</xdr:row>
      <xdr:rowOff>23400</xdr:rowOff>
    </xdr:from>
    <xdr:to>
      <xdr:col>12</xdr:col>
      <xdr:colOff>288720</xdr:colOff>
      <xdr:row>53</xdr:row>
      <xdr:rowOff>7560</xdr:rowOff>
    </xdr:to>
    <xdr:graphicFrame>
      <xdr:nvGraphicFramePr>
        <xdr:cNvPr id="3" name=""/>
        <xdr:cNvGraphicFramePr/>
      </xdr:nvGraphicFramePr>
      <xdr:xfrm>
        <a:off x="7719480" y="5387760"/>
        <a:ext cx="5083920" cy="323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Q2" activeCellId="0" sqref="Q2"/>
    </sheetView>
  </sheetViews>
  <sheetFormatPr defaultColWidth="10.51953125" defaultRowHeight="15" customHeight="false" zeroHeight="false" outlineLevelRow="0" outlineLevelCol="0"/>
  <cols>
    <col collapsed="false" customWidth="true" hidden="false" outlineLevel="0" max="4" min="4" style="1" width="15.05"/>
    <col collapsed="false" customWidth="true" hidden="false" outlineLevel="0" max="5" min="5" style="1" width="15.48"/>
    <col collapsed="false" customWidth="false" hidden="false" outlineLevel="0" max="6" min="6" style="1" width="10.5"/>
    <col collapsed="false" customWidth="true" hidden="false" outlineLevel="0" max="7" min="7" style="2" width="51.73"/>
    <col collapsed="false" customWidth="true" hidden="false" outlineLevel="0" max="8" min="8" style="1" width="9.05"/>
    <col collapsed="false" customWidth="true" hidden="false" outlineLevel="0" max="10" min="9" style="1" width="23.88"/>
    <col collapsed="false" customWidth="true" hidden="false" outlineLevel="0" max="11" min="11" style="1" width="27.33"/>
    <col collapsed="false" customWidth="true" hidden="false" outlineLevel="0" max="12" min="12" style="1" width="23.88"/>
    <col collapsed="false" customWidth="true" hidden="false" outlineLevel="0" max="17" min="17" style="0" width="25.23"/>
    <col collapsed="false" customWidth="true" hidden="false" outlineLevel="0" max="18" min="18" style="1" width="25.23"/>
  </cols>
  <sheetData>
    <row r="1" customFormat="false" ht="19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P1" s="3" t="s">
        <v>12</v>
      </c>
      <c r="Q1" s="3" t="s">
        <v>13</v>
      </c>
      <c r="R1" s="3" t="s">
        <v>14</v>
      </c>
      <c r="S1" s="4" t="s">
        <v>15</v>
      </c>
    </row>
    <row r="2" customFormat="false" ht="15" hidden="false" customHeight="false" outlineLevel="0" collapsed="false">
      <c r="P2" s="5" t="n">
        <f aca="false">COUNT(K3:K147)</f>
        <v>145</v>
      </c>
      <c r="Q2" s="5" t="n">
        <f aca="false">AVERAGE(K3:K147)</f>
        <v>0.054236473713062</v>
      </c>
      <c r="R2" s="5" t="n">
        <f aca="false">CORREL(H3:H147,K3:K147)</f>
        <v>0.0413936769502948</v>
      </c>
      <c r="S2" s="5" t="n">
        <v>0.621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n">
        <v>0</v>
      </c>
      <c r="G3" s="2" t="s">
        <v>21</v>
      </c>
      <c r="H3" s="1" t="n">
        <v>0.2025</v>
      </c>
      <c r="I3" s="1" t="n">
        <v>0.327678273159176</v>
      </c>
      <c r="J3" s="1" t="n">
        <v>0.415768914067866</v>
      </c>
      <c r="K3" s="1" t="n">
        <f aca="false">J3-I3</f>
        <v>0.0880906409086899</v>
      </c>
      <c r="L3" s="1" t="n">
        <v>0.796298769133089</v>
      </c>
    </row>
    <row r="4" customFormat="false" ht="15" hidden="false" customHeight="false" outlineLevel="0" collapsed="false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n">
        <v>0</v>
      </c>
      <c r="G4" s="2" t="s">
        <v>22</v>
      </c>
      <c r="H4" s="1" t="n">
        <v>0.192</v>
      </c>
      <c r="I4" s="1" t="n">
        <v>0.310640447317838</v>
      </c>
      <c r="J4" s="1" t="n">
        <v>0.334682791901959</v>
      </c>
      <c r="K4" s="1" t="n">
        <f aca="false">J4-I4</f>
        <v>0.0240423445841205</v>
      </c>
      <c r="L4" s="1" t="n">
        <v>0.796298769133089</v>
      </c>
    </row>
    <row r="5" customFormat="false" ht="15" hidden="false" customHeight="false" outlineLevel="0" collapsed="false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n">
        <v>0</v>
      </c>
      <c r="G5" s="2" t="s">
        <v>23</v>
      </c>
      <c r="H5" s="1" t="n">
        <v>0.176</v>
      </c>
      <c r="I5" s="1" t="n">
        <v>0.284874536853764</v>
      </c>
      <c r="J5" s="1" t="n">
        <v>0.322187536298825</v>
      </c>
      <c r="K5" s="1" t="n">
        <f aca="false">J5-I5</f>
        <v>0.0373129994450613</v>
      </c>
      <c r="L5" s="1" t="n">
        <v>0.796298769133089</v>
      </c>
    </row>
    <row r="6" customFormat="false" ht="15" hidden="false" customHeight="false" outlineLevel="0" collapsed="false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n">
        <v>0</v>
      </c>
      <c r="G6" s="2" t="s">
        <v>24</v>
      </c>
      <c r="H6" s="1" t="n">
        <v>0.1713</v>
      </c>
      <c r="I6" s="1" t="n">
        <v>0.277204818357501</v>
      </c>
      <c r="J6" s="1" t="n">
        <v>0.318217175388099</v>
      </c>
      <c r="K6" s="1" t="n">
        <f aca="false">J6-I6</f>
        <v>0.0410123570305973</v>
      </c>
      <c r="L6" s="1" t="n">
        <v>0.796298769133089</v>
      </c>
    </row>
    <row r="7" customFormat="false" ht="15" hidden="false" customHeight="false" outlineLevel="0" collapsed="false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  <c r="F7" s="1" t="n">
        <v>0</v>
      </c>
      <c r="G7" s="2" t="s">
        <v>25</v>
      </c>
      <c r="H7" s="1" t="n">
        <v>0.1582</v>
      </c>
      <c r="I7" s="1" t="n">
        <v>0.255984440618413</v>
      </c>
      <c r="J7" s="1" t="n">
        <v>0.327164529234516</v>
      </c>
      <c r="K7" s="1" t="n">
        <f aca="false">J7-I7</f>
        <v>0.0711800886161032</v>
      </c>
      <c r="L7" s="1" t="n">
        <v>0.796298769133089</v>
      </c>
    </row>
    <row r="8" customFormat="false" ht="15" hidden="false" customHeight="false" outlineLevel="0" collapsed="false">
      <c r="A8" s="1" t="s">
        <v>16</v>
      </c>
      <c r="B8" s="1" t="s">
        <v>17</v>
      </c>
      <c r="C8" s="1" t="s">
        <v>18</v>
      </c>
      <c r="D8" s="1" t="s">
        <v>19</v>
      </c>
      <c r="E8" s="1" t="s">
        <v>20</v>
      </c>
      <c r="F8" s="1" t="n">
        <v>0</v>
      </c>
      <c r="G8" s="2" t="s">
        <v>26</v>
      </c>
      <c r="H8" s="1" t="n">
        <v>0.1</v>
      </c>
      <c r="I8" s="1" t="n">
        <v>0.208788122212914</v>
      </c>
      <c r="J8" s="1" t="n">
        <v>0.257018563897122</v>
      </c>
      <c r="K8" s="1" t="n">
        <f aca="false">J8-I8</f>
        <v>0.0482304416842084</v>
      </c>
      <c r="L8" s="1" t="n">
        <v>0.796298769133089</v>
      </c>
    </row>
    <row r="9" customFormat="false" ht="15" hidden="false" customHeight="false" outlineLevel="0" collapsed="false">
      <c r="A9" s="1" t="s">
        <v>27</v>
      </c>
      <c r="B9" s="1" t="s">
        <v>28</v>
      </c>
      <c r="C9" s="1" t="s">
        <v>29</v>
      </c>
      <c r="D9" s="1" t="s">
        <v>19</v>
      </c>
      <c r="E9" s="1" t="s">
        <v>20</v>
      </c>
      <c r="F9" s="1" t="n">
        <v>2</v>
      </c>
      <c r="G9" s="2" t="s">
        <v>21</v>
      </c>
      <c r="H9" s="1" t="n">
        <v>0.2144</v>
      </c>
      <c r="I9" s="1" t="n">
        <v>0.364570193085512</v>
      </c>
      <c r="J9" s="1" t="n">
        <v>0.366682579752975</v>
      </c>
      <c r="K9" s="1" t="n">
        <f aca="false">J9-I9</f>
        <v>0.002112386667463</v>
      </c>
      <c r="L9" s="1" t="n">
        <v>0.739558549996658</v>
      </c>
    </row>
    <row r="10" customFormat="false" ht="15" hidden="false" customHeight="false" outlineLevel="0" collapsed="false">
      <c r="A10" s="1" t="s">
        <v>27</v>
      </c>
      <c r="B10" s="1" t="s">
        <v>28</v>
      </c>
      <c r="C10" s="1" t="s">
        <v>29</v>
      </c>
      <c r="D10" s="1" t="s">
        <v>19</v>
      </c>
      <c r="E10" s="1" t="s">
        <v>20</v>
      </c>
      <c r="F10" s="1" t="n">
        <v>2</v>
      </c>
      <c r="G10" s="2" t="s">
        <v>22</v>
      </c>
      <c r="H10" s="1" t="n">
        <v>0.1822</v>
      </c>
      <c r="I10" s="1" t="n">
        <v>0.309682053826628</v>
      </c>
      <c r="J10" s="1" t="n">
        <v>0.362580038882232</v>
      </c>
      <c r="K10" s="1" t="n">
        <f aca="false">J10-I10</f>
        <v>0.0528979850556036</v>
      </c>
      <c r="L10" s="1" t="n">
        <v>0.739558549996658</v>
      </c>
    </row>
    <row r="11" customFormat="false" ht="15" hidden="false" customHeight="false" outlineLevel="0" collapsed="false">
      <c r="A11" s="1" t="s">
        <v>27</v>
      </c>
      <c r="B11" s="1" t="s">
        <v>28</v>
      </c>
      <c r="C11" s="1" t="s">
        <v>29</v>
      </c>
      <c r="D11" s="1" t="s">
        <v>19</v>
      </c>
      <c r="E11" s="1" t="s">
        <v>20</v>
      </c>
      <c r="F11" s="1" t="n">
        <v>2</v>
      </c>
      <c r="G11" s="2" t="s">
        <v>25</v>
      </c>
      <c r="H11" s="1" t="n">
        <v>0.1713</v>
      </c>
      <c r="I11" s="1" t="n">
        <v>0.291197511736555</v>
      </c>
      <c r="J11" s="1" t="n">
        <v>0.310690129792736</v>
      </c>
      <c r="K11" s="1" t="n">
        <f aca="false">J11-I11</f>
        <v>0.0194926180561813</v>
      </c>
      <c r="L11" s="1" t="n">
        <v>0.739558549996658</v>
      </c>
    </row>
    <row r="12" customFormat="false" ht="15" hidden="false" customHeight="false" outlineLevel="0" collapsed="false">
      <c r="A12" s="1" t="s">
        <v>27</v>
      </c>
      <c r="B12" s="1" t="s">
        <v>28</v>
      </c>
      <c r="C12" s="1" t="s">
        <v>29</v>
      </c>
      <c r="D12" s="1" t="s">
        <v>19</v>
      </c>
      <c r="E12" s="1" t="s">
        <v>20</v>
      </c>
      <c r="F12" s="1" t="n">
        <v>2</v>
      </c>
      <c r="G12" s="2" t="s">
        <v>24</v>
      </c>
      <c r="H12" s="1" t="n">
        <v>0.1663</v>
      </c>
      <c r="I12" s="1" t="n">
        <v>0.282801686452873</v>
      </c>
      <c r="J12" s="1" t="n">
        <v>0.314242876445655</v>
      </c>
      <c r="K12" s="1" t="n">
        <f aca="false">J12-I12</f>
        <v>0.0314411899927818</v>
      </c>
      <c r="L12" s="1" t="n">
        <v>0.739558549996658</v>
      </c>
    </row>
    <row r="13" customFormat="false" ht="15" hidden="false" customHeight="false" outlineLevel="0" collapsed="false">
      <c r="A13" s="1" t="s">
        <v>27</v>
      </c>
      <c r="B13" s="1" t="s">
        <v>28</v>
      </c>
      <c r="C13" s="1" t="s">
        <v>29</v>
      </c>
      <c r="D13" s="1" t="s">
        <v>19</v>
      </c>
      <c r="E13" s="1" t="s">
        <v>20</v>
      </c>
      <c r="F13" s="1" t="n">
        <v>2</v>
      </c>
      <c r="G13" s="2" t="s">
        <v>30</v>
      </c>
      <c r="H13" s="1" t="n">
        <v>0.1658</v>
      </c>
      <c r="I13" s="1" t="n">
        <v>0.281793008149649</v>
      </c>
      <c r="J13" s="1" t="n">
        <v>0.352225479729319</v>
      </c>
      <c r="K13" s="1" t="n">
        <f aca="false">J13-I13</f>
        <v>0.0704324715796697</v>
      </c>
      <c r="L13" s="1" t="n">
        <v>0.739558549996658</v>
      </c>
    </row>
    <row r="14" customFormat="false" ht="15" hidden="false" customHeight="false" outlineLevel="0" collapsed="false">
      <c r="A14" s="1" t="s">
        <v>27</v>
      </c>
      <c r="B14" s="1" t="s">
        <v>28</v>
      </c>
      <c r="C14" s="1" t="s">
        <v>29</v>
      </c>
      <c r="D14" s="1" t="s">
        <v>19</v>
      </c>
      <c r="E14" s="1" t="s">
        <v>20</v>
      </c>
      <c r="F14" s="1" t="n">
        <v>2</v>
      </c>
      <c r="G14" s="2" t="s">
        <v>26</v>
      </c>
      <c r="H14" s="1" t="n">
        <v>0.1</v>
      </c>
      <c r="I14" s="1" t="n">
        <v>0.261874784851799</v>
      </c>
      <c r="J14" s="1" t="n">
        <v>0.299904086757429</v>
      </c>
      <c r="K14" s="1" t="n">
        <f aca="false">J14-I14</f>
        <v>0.0380293019056295</v>
      </c>
      <c r="L14" s="1" t="n">
        <v>0.739558549996658</v>
      </c>
    </row>
    <row r="15" customFormat="false" ht="15" hidden="false" customHeight="false" outlineLevel="0" collapsed="false">
      <c r="A15" s="1" t="s">
        <v>31</v>
      </c>
      <c r="B15" s="1" t="s">
        <v>32</v>
      </c>
      <c r="C15" s="1" t="s">
        <v>33</v>
      </c>
      <c r="D15" s="1" t="s">
        <v>19</v>
      </c>
      <c r="E15" s="1" t="s">
        <v>20</v>
      </c>
      <c r="F15" s="1" t="n">
        <v>4</v>
      </c>
      <c r="G15" s="2" t="s">
        <v>22</v>
      </c>
      <c r="H15" s="1" t="n">
        <v>0.2066</v>
      </c>
      <c r="I15" s="1" t="n">
        <v>0.336114537889185</v>
      </c>
      <c r="J15" s="1" t="n">
        <v>0.393351430278335</v>
      </c>
      <c r="K15" s="1" t="n">
        <f aca="false">J15-I15</f>
        <v>0.0572368923891502</v>
      </c>
      <c r="L15" s="1" t="n">
        <v>0.739544897773702</v>
      </c>
    </row>
    <row r="16" customFormat="false" ht="15" hidden="false" customHeight="false" outlineLevel="0" collapsed="false">
      <c r="A16" s="1" t="s">
        <v>31</v>
      </c>
      <c r="B16" s="1" t="s">
        <v>32</v>
      </c>
      <c r="C16" s="1" t="s">
        <v>33</v>
      </c>
      <c r="D16" s="1" t="s">
        <v>19</v>
      </c>
      <c r="E16" s="1" t="s">
        <v>20</v>
      </c>
      <c r="F16" s="1" t="n">
        <v>4</v>
      </c>
      <c r="G16" s="2" t="s">
        <v>34</v>
      </c>
      <c r="H16" s="1" t="n">
        <v>0.1879</v>
      </c>
      <c r="I16" s="1" t="n">
        <v>0.305674037503584</v>
      </c>
      <c r="J16" s="1" t="n">
        <v>0.352800322628205</v>
      </c>
      <c r="K16" s="1" t="n">
        <f aca="false">J16-I16</f>
        <v>0.0471262851246206</v>
      </c>
      <c r="L16" s="1" t="n">
        <v>0.739544897773702</v>
      </c>
    </row>
    <row r="17" customFormat="false" ht="15" hidden="false" customHeight="false" outlineLevel="0" collapsed="false">
      <c r="A17" s="1" t="s">
        <v>31</v>
      </c>
      <c r="B17" s="1" t="s">
        <v>32</v>
      </c>
      <c r="C17" s="1" t="s">
        <v>33</v>
      </c>
      <c r="D17" s="1" t="s">
        <v>19</v>
      </c>
      <c r="E17" s="1" t="s">
        <v>20</v>
      </c>
      <c r="F17" s="1" t="n">
        <v>4</v>
      </c>
      <c r="G17" s="2" t="s">
        <v>21</v>
      </c>
      <c r="H17" s="1" t="n">
        <v>0.1769</v>
      </c>
      <c r="I17" s="1" t="n">
        <v>0.287776931012574</v>
      </c>
      <c r="J17" s="1" t="n">
        <v>0.396066826627217</v>
      </c>
      <c r="K17" s="1" t="n">
        <f aca="false">J17-I17</f>
        <v>0.108289895614644</v>
      </c>
      <c r="L17" s="1" t="n">
        <v>0.739544897773702</v>
      </c>
    </row>
    <row r="18" customFormat="false" ht="15" hidden="false" customHeight="false" outlineLevel="0" collapsed="false">
      <c r="A18" s="1" t="s">
        <v>31</v>
      </c>
      <c r="B18" s="1" t="s">
        <v>32</v>
      </c>
      <c r="C18" s="1" t="s">
        <v>33</v>
      </c>
      <c r="D18" s="1" t="s">
        <v>19</v>
      </c>
      <c r="E18" s="1" t="s">
        <v>20</v>
      </c>
      <c r="F18" s="1" t="n">
        <v>4</v>
      </c>
      <c r="G18" s="2" t="s">
        <v>30</v>
      </c>
      <c r="H18" s="1" t="n">
        <v>0.1693</v>
      </c>
      <c r="I18" s="1" t="n">
        <v>0.275363438843991</v>
      </c>
      <c r="J18" s="1" t="n">
        <v>0.338683608052274</v>
      </c>
      <c r="K18" s="1" t="n">
        <f aca="false">J18-I18</f>
        <v>0.063320169208283</v>
      </c>
      <c r="L18" s="1" t="n">
        <v>0.739544897773702</v>
      </c>
    </row>
    <row r="19" customFormat="false" ht="15" hidden="false" customHeight="false" outlineLevel="0" collapsed="false">
      <c r="A19" s="1" t="s">
        <v>31</v>
      </c>
      <c r="B19" s="1" t="s">
        <v>32</v>
      </c>
      <c r="C19" s="1" t="s">
        <v>33</v>
      </c>
      <c r="D19" s="1" t="s">
        <v>19</v>
      </c>
      <c r="E19" s="1" t="s">
        <v>20</v>
      </c>
      <c r="F19" s="1" t="n">
        <v>4</v>
      </c>
      <c r="G19" s="2" t="s">
        <v>24</v>
      </c>
      <c r="H19" s="1" t="n">
        <v>0.1594</v>
      </c>
      <c r="I19" s="1" t="n">
        <v>0.25929648007566</v>
      </c>
      <c r="J19" s="1" t="n">
        <v>0.364942953386213</v>
      </c>
      <c r="K19" s="1" t="n">
        <f aca="false">J19-I19</f>
        <v>0.105646473310553</v>
      </c>
      <c r="L19" s="1" t="n">
        <v>0.739544897773702</v>
      </c>
    </row>
    <row r="20" customFormat="false" ht="15" hidden="false" customHeight="false" outlineLevel="0" collapsed="false">
      <c r="A20" s="1" t="s">
        <v>31</v>
      </c>
      <c r="B20" s="1" t="s">
        <v>32</v>
      </c>
      <c r="C20" s="1" t="s">
        <v>33</v>
      </c>
      <c r="D20" s="1" t="s">
        <v>19</v>
      </c>
      <c r="E20" s="1" t="s">
        <v>20</v>
      </c>
      <c r="F20" s="1" t="n">
        <v>4</v>
      </c>
      <c r="G20" s="2" t="s">
        <v>26</v>
      </c>
      <c r="H20" s="1" t="n">
        <v>0.1</v>
      </c>
      <c r="I20" s="1" t="n">
        <v>0.213569184990391</v>
      </c>
      <c r="J20" s="1" t="n">
        <v>0.306812636879158</v>
      </c>
      <c r="K20" s="1" t="n">
        <f aca="false">J20-I20</f>
        <v>0.0932434518887664</v>
      </c>
      <c r="L20" s="1" t="n">
        <v>0.739544897773702</v>
      </c>
    </row>
    <row r="21" customFormat="false" ht="15" hidden="false" customHeight="false" outlineLevel="0" collapsed="false">
      <c r="A21" s="1" t="s">
        <v>35</v>
      </c>
      <c r="B21" s="1" t="s">
        <v>36</v>
      </c>
      <c r="C21" s="1" t="s">
        <v>37</v>
      </c>
      <c r="D21" s="1" t="s">
        <v>19</v>
      </c>
      <c r="E21" s="1" t="s">
        <v>20</v>
      </c>
      <c r="F21" s="1" t="n">
        <v>6</v>
      </c>
      <c r="G21" s="2" t="s">
        <v>22</v>
      </c>
      <c r="H21" s="1" t="n">
        <v>0.2022</v>
      </c>
      <c r="I21" s="1" t="n">
        <v>0.324644693447119</v>
      </c>
      <c r="J21" s="1" t="n">
        <v>0.307710782756272</v>
      </c>
      <c r="K21" s="1" t="n">
        <f aca="false">J21-I21</f>
        <v>-0.0169339106908469</v>
      </c>
      <c r="L21" s="1" t="n">
        <v>0.743029391601184</v>
      </c>
    </row>
    <row r="22" customFormat="false" ht="15" hidden="false" customHeight="false" outlineLevel="0" collapsed="false">
      <c r="A22" s="1" t="s">
        <v>35</v>
      </c>
      <c r="B22" s="1" t="s">
        <v>36</v>
      </c>
      <c r="C22" s="1" t="s">
        <v>37</v>
      </c>
      <c r="D22" s="1" t="s">
        <v>19</v>
      </c>
      <c r="E22" s="1" t="s">
        <v>20</v>
      </c>
      <c r="F22" s="1" t="n">
        <v>6</v>
      </c>
      <c r="G22" s="2" t="s">
        <v>21</v>
      </c>
      <c r="H22" s="1" t="n">
        <v>0.1992</v>
      </c>
      <c r="I22" s="1" t="n">
        <v>0.319760598433981</v>
      </c>
      <c r="J22" s="1" t="n">
        <v>0.368808343142611</v>
      </c>
      <c r="K22" s="1" t="n">
        <f aca="false">J22-I22</f>
        <v>0.0490477447086307</v>
      </c>
      <c r="L22" s="1" t="n">
        <v>0.743029391601184</v>
      </c>
    </row>
    <row r="23" customFormat="false" ht="15" hidden="false" customHeight="false" outlineLevel="0" collapsed="false">
      <c r="A23" s="1" t="s">
        <v>35</v>
      </c>
      <c r="B23" s="1" t="s">
        <v>36</v>
      </c>
      <c r="C23" s="1" t="s">
        <v>37</v>
      </c>
      <c r="D23" s="1" t="s">
        <v>19</v>
      </c>
      <c r="E23" s="1" t="s">
        <v>20</v>
      </c>
      <c r="F23" s="1" t="n">
        <v>6</v>
      </c>
      <c r="G23" s="2" t="s">
        <v>24</v>
      </c>
      <c r="H23" s="1" t="n">
        <v>0.1713</v>
      </c>
      <c r="I23" s="1" t="n">
        <v>0.27503229131882</v>
      </c>
      <c r="J23" s="1" t="n">
        <v>0.29051397371485</v>
      </c>
      <c r="K23" s="1" t="n">
        <f aca="false">J23-I23</f>
        <v>0.0154816823960298</v>
      </c>
      <c r="L23" s="1" t="n">
        <v>0.743029391601184</v>
      </c>
    </row>
    <row r="24" customFormat="false" ht="15" hidden="false" customHeight="false" outlineLevel="0" collapsed="false">
      <c r="A24" s="1" t="s">
        <v>35</v>
      </c>
      <c r="B24" s="1" t="s">
        <v>36</v>
      </c>
      <c r="C24" s="1" t="s">
        <v>37</v>
      </c>
      <c r="D24" s="1" t="s">
        <v>19</v>
      </c>
      <c r="E24" s="1" t="s">
        <v>20</v>
      </c>
      <c r="F24" s="1" t="n">
        <v>6</v>
      </c>
      <c r="G24" s="2" t="s">
        <v>38</v>
      </c>
      <c r="H24" s="1" t="n">
        <v>0.1654</v>
      </c>
      <c r="I24" s="1" t="n">
        <v>0.265609362907084</v>
      </c>
      <c r="J24" s="1" t="n">
        <v>0.229993202861059</v>
      </c>
      <c r="K24" s="1" t="n">
        <f aca="false">J24-I24</f>
        <v>-0.0356161600460255</v>
      </c>
      <c r="L24" s="1" t="n">
        <v>0.743029391601184</v>
      </c>
    </row>
    <row r="25" customFormat="false" ht="15" hidden="false" customHeight="false" outlineLevel="0" collapsed="false">
      <c r="A25" s="1" t="s">
        <v>35</v>
      </c>
      <c r="B25" s="1" t="s">
        <v>36</v>
      </c>
      <c r="C25" s="1" t="s">
        <v>37</v>
      </c>
      <c r="D25" s="1" t="s">
        <v>19</v>
      </c>
      <c r="E25" s="1" t="s">
        <v>20</v>
      </c>
      <c r="F25" s="1" t="n">
        <v>6</v>
      </c>
      <c r="G25" s="2" t="s">
        <v>34</v>
      </c>
      <c r="H25" s="1" t="n">
        <v>0.1619</v>
      </c>
      <c r="I25" s="1" t="n">
        <v>0.259968333354922</v>
      </c>
      <c r="J25" s="1" t="n">
        <v>0.265581586779588</v>
      </c>
      <c r="K25" s="1" t="n">
        <f aca="false">J25-I25</f>
        <v>0.00561325342466518</v>
      </c>
      <c r="L25" s="1" t="n">
        <v>0.743029391601184</v>
      </c>
    </row>
    <row r="26" customFormat="false" ht="15" hidden="false" customHeight="false" outlineLevel="0" collapsed="false">
      <c r="A26" s="1" t="s">
        <v>35</v>
      </c>
      <c r="B26" s="1" t="s">
        <v>36</v>
      </c>
      <c r="C26" s="1" t="s">
        <v>37</v>
      </c>
      <c r="D26" s="1" t="s">
        <v>19</v>
      </c>
      <c r="E26" s="1" t="s">
        <v>20</v>
      </c>
      <c r="F26" s="1" t="n">
        <v>6</v>
      </c>
      <c r="G26" s="2" t="s">
        <v>26</v>
      </c>
      <c r="H26" s="1" t="n">
        <v>0.1</v>
      </c>
      <c r="I26" s="1" t="n">
        <v>0.222850473390232</v>
      </c>
      <c r="J26" s="1" t="n">
        <v>0.255651667866316</v>
      </c>
      <c r="K26" s="1" t="n">
        <f aca="false">J26-I26</f>
        <v>0.032801194476084</v>
      </c>
      <c r="L26" s="1" t="n">
        <v>0.743029391601184</v>
      </c>
    </row>
    <row r="27" customFormat="false" ht="15" hidden="false" customHeight="false" outlineLevel="0" collapsed="false">
      <c r="A27" s="1" t="s">
        <v>39</v>
      </c>
      <c r="B27" s="1" t="s">
        <v>40</v>
      </c>
      <c r="C27" s="1" t="s">
        <v>41</v>
      </c>
      <c r="D27" s="1" t="s">
        <v>19</v>
      </c>
      <c r="E27" s="1" t="s">
        <v>20</v>
      </c>
      <c r="F27" s="1" t="n">
        <v>8</v>
      </c>
      <c r="G27" s="2" t="s">
        <v>21</v>
      </c>
      <c r="H27" s="1" t="n">
        <v>0.2271</v>
      </c>
      <c r="I27" s="1" t="n">
        <v>0.349432751987012</v>
      </c>
      <c r="J27" s="1" t="n">
        <v>0.446128889263846</v>
      </c>
      <c r="K27" s="1" t="n">
        <f aca="false">J27-I27</f>
        <v>0.0966961372768337</v>
      </c>
      <c r="L27" s="1" t="n">
        <v>0.725502046355756</v>
      </c>
    </row>
    <row r="28" customFormat="false" ht="15" hidden="false" customHeight="false" outlineLevel="0" collapsed="false">
      <c r="A28" s="1" t="s">
        <v>39</v>
      </c>
      <c r="B28" s="1" t="s">
        <v>40</v>
      </c>
      <c r="C28" s="1" t="s">
        <v>41</v>
      </c>
      <c r="D28" s="1" t="s">
        <v>19</v>
      </c>
      <c r="E28" s="1" t="s">
        <v>20</v>
      </c>
      <c r="F28" s="1" t="n">
        <v>8</v>
      </c>
      <c r="G28" s="2" t="s">
        <v>24</v>
      </c>
      <c r="H28" s="1" t="n">
        <v>0.1729</v>
      </c>
      <c r="I28" s="1" t="n">
        <v>0.266074968882589</v>
      </c>
      <c r="J28" s="1" t="n">
        <v>0.35672769069746</v>
      </c>
      <c r="K28" s="1" t="n">
        <f aca="false">J28-I28</f>
        <v>0.0906527218148712</v>
      </c>
      <c r="L28" s="1" t="n">
        <v>0.725502046355756</v>
      </c>
    </row>
    <row r="29" customFormat="false" ht="15" hidden="false" customHeight="false" outlineLevel="0" collapsed="false">
      <c r="A29" s="1" t="s">
        <v>39</v>
      </c>
      <c r="B29" s="1" t="s">
        <v>40</v>
      </c>
      <c r="C29" s="1" t="s">
        <v>41</v>
      </c>
      <c r="D29" s="1" t="s">
        <v>19</v>
      </c>
      <c r="E29" s="1" t="s">
        <v>20</v>
      </c>
      <c r="F29" s="1" t="n">
        <v>8</v>
      </c>
      <c r="G29" s="2" t="s">
        <v>23</v>
      </c>
      <c r="H29" s="1" t="n">
        <v>0.1696</v>
      </c>
      <c r="I29" s="1" t="n">
        <v>0.260913858656237</v>
      </c>
      <c r="J29" s="1" t="n">
        <v>0.32662074352577</v>
      </c>
      <c r="K29" s="1" t="n">
        <f aca="false">J29-I29</f>
        <v>0.0657068848695329</v>
      </c>
      <c r="L29" s="1" t="n">
        <v>0.725502046355756</v>
      </c>
    </row>
    <row r="30" customFormat="false" ht="15" hidden="false" customHeight="false" outlineLevel="0" collapsed="false">
      <c r="A30" s="1" t="s">
        <v>39</v>
      </c>
      <c r="B30" s="1" t="s">
        <v>40</v>
      </c>
      <c r="C30" s="1" t="s">
        <v>41</v>
      </c>
      <c r="D30" s="1" t="s">
        <v>19</v>
      </c>
      <c r="E30" s="1" t="s">
        <v>20</v>
      </c>
      <c r="F30" s="1" t="n">
        <v>8</v>
      </c>
      <c r="G30" s="2" t="s">
        <v>22</v>
      </c>
      <c r="H30" s="1" t="n">
        <v>0.1653</v>
      </c>
      <c r="I30" s="1" t="n">
        <v>0.254290940988738</v>
      </c>
      <c r="J30" s="1" t="n">
        <v>0.339400630401912</v>
      </c>
      <c r="K30" s="1" t="n">
        <f aca="false">J30-I30</f>
        <v>0.0851096894131746</v>
      </c>
      <c r="L30" s="1" t="n">
        <v>0.725502046355756</v>
      </c>
    </row>
    <row r="31" customFormat="false" ht="15" hidden="false" customHeight="false" outlineLevel="0" collapsed="false">
      <c r="A31" s="1" t="s">
        <v>39</v>
      </c>
      <c r="B31" s="1" t="s">
        <v>40</v>
      </c>
      <c r="C31" s="1" t="s">
        <v>41</v>
      </c>
      <c r="D31" s="1" t="s">
        <v>19</v>
      </c>
      <c r="E31" s="1" t="s">
        <v>20</v>
      </c>
      <c r="F31" s="1" t="n">
        <v>8</v>
      </c>
      <c r="G31" s="2" t="s">
        <v>42</v>
      </c>
      <c r="H31" s="1" t="n">
        <v>0.1652</v>
      </c>
      <c r="I31" s="1" t="n">
        <v>0.254148974716073</v>
      </c>
      <c r="J31" s="1" t="n">
        <v>0.318797530552729</v>
      </c>
      <c r="K31" s="1" t="n">
        <f aca="false">J31-I31</f>
        <v>0.0646485558366556</v>
      </c>
      <c r="L31" s="1" t="n">
        <v>0.725502046355756</v>
      </c>
    </row>
    <row r="32" customFormat="false" ht="15" hidden="false" customHeight="false" outlineLevel="0" collapsed="false">
      <c r="A32" s="1" t="s">
        <v>39</v>
      </c>
      <c r="B32" s="1" t="s">
        <v>40</v>
      </c>
      <c r="C32" s="1" t="s">
        <v>41</v>
      </c>
      <c r="D32" s="1" t="s">
        <v>19</v>
      </c>
      <c r="E32" s="1" t="s">
        <v>20</v>
      </c>
      <c r="F32" s="1" t="n">
        <v>8</v>
      </c>
      <c r="G32" s="2" t="s">
        <v>26</v>
      </c>
      <c r="H32" s="1" t="n">
        <v>0.1</v>
      </c>
      <c r="I32" s="1" t="n">
        <v>0.220818486633562</v>
      </c>
      <c r="J32" s="1" t="n">
        <v>0.262674633995538</v>
      </c>
      <c r="K32" s="1" t="n">
        <f aca="false">J32-I32</f>
        <v>0.0418561473619751</v>
      </c>
      <c r="L32" s="1" t="n">
        <v>0.725502046355756</v>
      </c>
    </row>
    <row r="33" customFormat="false" ht="15" hidden="false" customHeight="false" outlineLevel="0" collapsed="false">
      <c r="A33" s="1" t="s">
        <v>43</v>
      </c>
      <c r="B33" s="1" t="s">
        <v>44</v>
      </c>
      <c r="C33" s="1" t="s">
        <v>45</v>
      </c>
      <c r="D33" s="1" t="s">
        <v>19</v>
      </c>
      <c r="E33" s="1" t="s">
        <v>20</v>
      </c>
      <c r="F33" s="1" t="n">
        <v>10</v>
      </c>
      <c r="G33" s="2" t="s">
        <v>21</v>
      </c>
      <c r="H33" s="1" t="n">
        <v>0.2067</v>
      </c>
      <c r="I33" s="1" t="n">
        <v>0.321733589087937</v>
      </c>
      <c r="J33" s="1" t="n">
        <v>0.410959949363708</v>
      </c>
      <c r="K33" s="1" t="n">
        <f aca="false">J33-I33</f>
        <v>0.089226360275771</v>
      </c>
      <c r="L33" s="1" t="n">
        <v>0.74855685096753</v>
      </c>
    </row>
    <row r="34" customFormat="false" ht="15" hidden="false" customHeight="false" outlineLevel="0" collapsed="false">
      <c r="A34" s="1" t="s">
        <v>43</v>
      </c>
      <c r="B34" s="1" t="s">
        <v>44</v>
      </c>
      <c r="C34" s="1" t="s">
        <v>45</v>
      </c>
      <c r="D34" s="1" t="s">
        <v>19</v>
      </c>
      <c r="E34" s="1" t="s">
        <v>20</v>
      </c>
      <c r="F34" s="1" t="n">
        <v>10</v>
      </c>
      <c r="G34" s="2" t="s">
        <v>22</v>
      </c>
      <c r="H34" s="1" t="n">
        <v>0.1831</v>
      </c>
      <c r="I34" s="1" t="n">
        <v>0.285050055800919</v>
      </c>
      <c r="J34" s="1" t="n">
        <v>0.355646309426998</v>
      </c>
      <c r="K34" s="1" t="n">
        <f aca="false">J34-I34</f>
        <v>0.0705962536260792</v>
      </c>
      <c r="L34" s="1" t="n">
        <v>0.74855685096753</v>
      </c>
    </row>
    <row r="35" customFormat="false" ht="15" hidden="false" customHeight="false" outlineLevel="0" collapsed="false">
      <c r="A35" s="1" t="s">
        <v>43</v>
      </c>
      <c r="B35" s="1" t="s">
        <v>44</v>
      </c>
      <c r="C35" s="1" t="s">
        <v>45</v>
      </c>
      <c r="D35" s="1" t="s">
        <v>19</v>
      </c>
      <c r="E35" s="1" t="s">
        <v>20</v>
      </c>
      <c r="F35" s="1" t="n">
        <v>10</v>
      </c>
      <c r="G35" s="2" t="s">
        <v>46</v>
      </c>
      <c r="H35" s="1" t="n">
        <v>0.1717</v>
      </c>
      <c r="I35" s="1" t="n">
        <v>0.267335182221522</v>
      </c>
      <c r="J35" s="1" t="n">
        <v>0.320105345535717</v>
      </c>
      <c r="K35" s="1" t="n">
        <f aca="false">J35-I35</f>
        <v>0.0527701633141949</v>
      </c>
      <c r="L35" s="1" t="n">
        <v>0.74855685096753</v>
      </c>
    </row>
    <row r="36" customFormat="false" ht="15" hidden="false" customHeight="false" outlineLevel="0" collapsed="false">
      <c r="A36" s="1" t="s">
        <v>43</v>
      </c>
      <c r="B36" s="1" t="s">
        <v>44</v>
      </c>
      <c r="C36" s="1" t="s">
        <v>45</v>
      </c>
      <c r="D36" s="1" t="s">
        <v>19</v>
      </c>
      <c r="E36" s="1" t="s">
        <v>20</v>
      </c>
      <c r="F36" s="1" t="n">
        <v>10</v>
      </c>
      <c r="G36" s="2" t="s">
        <v>24</v>
      </c>
      <c r="H36" s="1" t="n">
        <v>0.1701</v>
      </c>
      <c r="I36" s="1" t="n">
        <v>0.264839476924479</v>
      </c>
      <c r="J36" s="1" t="n">
        <v>0.336455854559206</v>
      </c>
      <c r="K36" s="1" t="n">
        <f aca="false">J36-I36</f>
        <v>0.071616377634727</v>
      </c>
      <c r="L36" s="1" t="n">
        <v>0.74855685096753</v>
      </c>
    </row>
    <row r="37" customFormat="false" ht="15" hidden="false" customHeight="false" outlineLevel="0" collapsed="false">
      <c r="A37" s="1" t="s">
        <v>43</v>
      </c>
      <c r="B37" s="1" t="s">
        <v>44</v>
      </c>
      <c r="C37" s="1" t="s">
        <v>45</v>
      </c>
      <c r="D37" s="1" t="s">
        <v>19</v>
      </c>
      <c r="E37" s="1" t="s">
        <v>20</v>
      </c>
      <c r="F37" s="1" t="n">
        <v>10</v>
      </c>
      <c r="G37" s="2" t="s">
        <v>23</v>
      </c>
      <c r="H37" s="1" t="n">
        <v>0.1684</v>
      </c>
      <c r="I37" s="1" t="n">
        <v>0.262202027492787</v>
      </c>
      <c r="J37" s="1" t="n">
        <v>0.323205530664544</v>
      </c>
      <c r="K37" s="1" t="n">
        <f aca="false">J37-I37</f>
        <v>0.0610035031717578</v>
      </c>
      <c r="L37" s="1" t="n">
        <v>0.74855685096753</v>
      </c>
    </row>
    <row r="38" customFormat="false" ht="15" hidden="false" customHeight="false" outlineLevel="0" collapsed="false">
      <c r="A38" s="1" t="s">
        <v>43</v>
      </c>
      <c r="B38" s="1" t="s">
        <v>44</v>
      </c>
      <c r="C38" s="1" t="s">
        <v>45</v>
      </c>
      <c r="D38" s="1" t="s">
        <v>19</v>
      </c>
      <c r="E38" s="1" t="s">
        <v>20</v>
      </c>
      <c r="F38" s="1" t="n">
        <v>10</v>
      </c>
      <c r="G38" s="2" t="s">
        <v>26</v>
      </c>
      <c r="H38" s="1" t="n">
        <v>0.1</v>
      </c>
      <c r="I38" s="1" t="n">
        <v>0.213343743014619</v>
      </c>
      <c r="J38" s="1" t="n">
        <v>0.301803411116487</v>
      </c>
      <c r="K38" s="1" t="n">
        <f aca="false">J38-I38</f>
        <v>0.0884596681018676</v>
      </c>
      <c r="L38" s="1" t="n">
        <v>0.74855685096753</v>
      </c>
    </row>
    <row r="39" customFormat="false" ht="15" hidden="false" customHeight="false" outlineLevel="0" collapsed="false">
      <c r="A39" s="1" t="s">
        <v>47</v>
      </c>
      <c r="B39" s="1" t="s">
        <v>48</v>
      </c>
      <c r="C39" s="1" t="s">
        <v>49</v>
      </c>
      <c r="D39" s="1" t="s">
        <v>19</v>
      </c>
      <c r="E39" s="1" t="s">
        <v>20</v>
      </c>
      <c r="F39" s="1" t="n">
        <v>12</v>
      </c>
      <c r="G39" s="2" t="s">
        <v>21</v>
      </c>
      <c r="H39" s="1" t="n">
        <v>0.222</v>
      </c>
      <c r="I39" s="1" t="n">
        <v>0.33863242539367</v>
      </c>
      <c r="J39" s="1" t="n">
        <v>0.399132656591992</v>
      </c>
      <c r="K39" s="1" t="n">
        <f aca="false">J39-I39</f>
        <v>0.0605002311983225</v>
      </c>
      <c r="L39" s="1" t="n">
        <v>0.734138467252432</v>
      </c>
    </row>
    <row r="40" customFormat="false" ht="15" hidden="false" customHeight="false" outlineLevel="0" collapsed="false">
      <c r="A40" s="1" t="s">
        <v>47</v>
      </c>
      <c r="B40" s="1" t="s">
        <v>48</v>
      </c>
      <c r="C40" s="1" t="s">
        <v>49</v>
      </c>
      <c r="D40" s="1" t="s">
        <v>19</v>
      </c>
      <c r="E40" s="1" t="s">
        <v>20</v>
      </c>
      <c r="F40" s="1" t="n">
        <v>12</v>
      </c>
      <c r="G40" s="2" t="s">
        <v>42</v>
      </c>
      <c r="H40" s="1" t="n">
        <v>0.1751</v>
      </c>
      <c r="I40" s="1" t="n">
        <v>0.267044629676519</v>
      </c>
      <c r="J40" s="1" t="n">
        <v>0.341462924737304</v>
      </c>
      <c r="K40" s="1" t="n">
        <f aca="false">J40-I40</f>
        <v>0.074418295060785</v>
      </c>
      <c r="L40" s="1" t="n">
        <v>0.734138467252432</v>
      </c>
    </row>
    <row r="41" customFormat="false" ht="15" hidden="false" customHeight="false" outlineLevel="0" collapsed="false">
      <c r="A41" s="1" t="s">
        <v>47</v>
      </c>
      <c r="B41" s="1" t="s">
        <v>48</v>
      </c>
      <c r="C41" s="1" t="s">
        <v>49</v>
      </c>
      <c r="D41" s="1" t="s">
        <v>19</v>
      </c>
      <c r="E41" s="1" t="s">
        <v>20</v>
      </c>
      <c r="F41" s="1" t="n">
        <v>12</v>
      </c>
      <c r="G41" s="2" t="s">
        <v>34</v>
      </c>
      <c r="H41" s="1" t="n">
        <v>0.1699</v>
      </c>
      <c r="I41" s="1" t="n">
        <v>0.259205566675402</v>
      </c>
      <c r="J41" s="1" t="n">
        <v>0.314564308011276</v>
      </c>
      <c r="K41" s="1" t="n">
        <f aca="false">J41-I41</f>
        <v>0.0553587413358745</v>
      </c>
      <c r="L41" s="1" t="n">
        <v>0.734138467252432</v>
      </c>
    </row>
    <row r="42" customFormat="false" ht="15" hidden="false" customHeight="false" outlineLevel="0" collapsed="false">
      <c r="A42" s="1" t="s">
        <v>47</v>
      </c>
      <c r="B42" s="1" t="s">
        <v>48</v>
      </c>
      <c r="C42" s="1" t="s">
        <v>49</v>
      </c>
      <c r="D42" s="1" t="s">
        <v>19</v>
      </c>
      <c r="E42" s="1" t="s">
        <v>20</v>
      </c>
      <c r="F42" s="1" t="n">
        <v>12</v>
      </c>
      <c r="G42" s="2" t="s">
        <v>46</v>
      </c>
      <c r="H42" s="1" t="n">
        <v>0.1673</v>
      </c>
      <c r="I42" s="1" t="n">
        <v>0.255200840241833</v>
      </c>
      <c r="J42" s="1" t="n">
        <v>0.342397097661833</v>
      </c>
      <c r="K42" s="1" t="n">
        <f aca="false">J42-I42</f>
        <v>0.0871962574199995</v>
      </c>
      <c r="L42" s="1" t="n">
        <v>0.734138467252432</v>
      </c>
    </row>
    <row r="43" customFormat="false" ht="15" hidden="false" customHeight="false" outlineLevel="0" collapsed="false">
      <c r="A43" s="1" t="s">
        <v>47</v>
      </c>
      <c r="B43" s="1" t="s">
        <v>48</v>
      </c>
      <c r="C43" s="1" t="s">
        <v>49</v>
      </c>
      <c r="D43" s="1" t="s">
        <v>19</v>
      </c>
      <c r="E43" s="1" t="s">
        <v>20</v>
      </c>
      <c r="F43" s="1" t="n">
        <v>12</v>
      </c>
      <c r="G43" s="2" t="s">
        <v>24</v>
      </c>
      <c r="H43" s="1" t="n">
        <v>0.1657</v>
      </c>
      <c r="I43" s="1" t="n">
        <v>0.25270793195568</v>
      </c>
      <c r="J43" s="1" t="n">
        <v>0.331334693305796</v>
      </c>
      <c r="K43" s="1" t="n">
        <f aca="false">J43-I43</f>
        <v>0.0786267613501164</v>
      </c>
      <c r="L43" s="1" t="n">
        <v>0.734138467252432</v>
      </c>
    </row>
    <row r="44" customFormat="false" ht="15" hidden="false" customHeight="false" outlineLevel="0" collapsed="false">
      <c r="A44" s="1" t="s">
        <v>47</v>
      </c>
      <c r="B44" s="1" t="s">
        <v>48</v>
      </c>
      <c r="C44" s="1" t="s">
        <v>49</v>
      </c>
      <c r="D44" s="1" t="s">
        <v>19</v>
      </c>
      <c r="E44" s="1" t="s">
        <v>20</v>
      </c>
      <c r="F44" s="1" t="n">
        <v>12</v>
      </c>
      <c r="G44" s="2" t="s">
        <v>26</v>
      </c>
      <c r="H44" s="1" t="n">
        <v>0.1</v>
      </c>
      <c r="I44" s="1" t="n">
        <v>0.213822027919643</v>
      </c>
      <c r="J44" s="1" t="n">
        <v>0.302789390661089</v>
      </c>
      <c r="K44" s="1" t="n">
        <f aca="false">J44-I44</f>
        <v>0.0889673627414458</v>
      </c>
      <c r="L44" s="1" t="n">
        <v>0.734138467252432</v>
      </c>
    </row>
    <row r="45" customFormat="false" ht="15" hidden="false" customHeight="false" outlineLevel="0" collapsed="false">
      <c r="A45" s="1" t="s">
        <v>50</v>
      </c>
      <c r="B45" s="1" t="s">
        <v>51</v>
      </c>
      <c r="C45" s="1" t="s">
        <v>52</v>
      </c>
      <c r="D45" s="1" t="s">
        <v>19</v>
      </c>
      <c r="E45" s="1" t="s">
        <v>20</v>
      </c>
      <c r="F45" s="1" t="n">
        <v>14</v>
      </c>
      <c r="G45" s="2" t="s">
        <v>21</v>
      </c>
      <c r="H45" s="1" t="n">
        <v>0.2092</v>
      </c>
      <c r="I45" s="1" t="n">
        <v>0.344001825924565</v>
      </c>
      <c r="J45" s="1" t="n">
        <v>0.395552555622676</v>
      </c>
      <c r="K45" s="1" t="n">
        <f aca="false">J45-I45</f>
        <v>0.0515507296981111</v>
      </c>
      <c r="L45" s="1" t="n">
        <v>0.668701341307149</v>
      </c>
    </row>
    <row r="46" customFormat="false" ht="15" hidden="false" customHeight="false" outlineLevel="0" collapsed="false">
      <c r="A46" s="1" t="s">
        <v>50</v>
      </c>
      <c r="B46" s="1" t="s">
        <v>51</v>
      </c>
      <c r="C46" s="1" t="s">
        <v>52</v>
      </c>
      <c r="D46" s="1" t="s">
        <v>19</v>
      </c>
      <c r="E46" s="1" t="s">
        <v>20</v>
      </c>
      <c r="F46" s="1" t="n">
        <v>14</v>
      </c>
      <c r="G46" s="2" t="s">
        <v>25</v>
      </c>
      <c r="H46" s="1" t="n">
        <v>0.1824</v>
      </c>
      <c r="I46" s="1" t="n">
        <v>0.300028174152425</v>
      </c>
      <c r="J46" s="1" t="n">
        <v>0.34980825145838</v>
      </c>
      <c r="K46" s="1" t="n">
        <f aca="false">J46-I46</f>
        <v>0.0497800773059553</v>
      </c>
      <c r="L46" s="1" t="n">
        <v>0.668701341307149</v>
      </c>
    </row>
    <row r="47" customFormat="false" ht="15" hidden="false" customHeight="false" outlineLevel="0" collapsed="false">
      <c r="A47" s="1" t="s">
        <v>50</v>
      </c>
      <c r="B47" s="1" t="s">
        <v>51</v>
      </c>
      <c r="C47" s="1" t="s">
        <v>52</v>
      </c>
      <c r="D47" s="1" t="s">
        <v>19</v>
      </c>
      <c r="E47" s="1" t="s">
        <v>20</v>
      </c>
      <c r="F47" s="1" t="n">
        <v>14</v>
      </c>
      <c r="G47" s="2" t="s">
        <v>42</v>
      </c>
      <c r="H47" s="1" t="n">
        <v>0.1741</v>
      </c>
      <c r="I47" s="1" t="n">
        <v>0.286313594194305</v>
      </c>
      <c r="J47" s="1" t="n">
        <v>0.36753227288856</v>
      </c>
      <c r="K47" s="1" t="n">
        <f aca="false">J47-I47</f>
        <v>0.0812186786942552</v>
      </c>
      <c r="L47" s="1" t="n">
        <v>0.668701341307149</v>
      </c>
    </row>
    <row r="48" customFormat="false" ht="15" hidden="false" customHeight="false" outlineLevel="0" collapsed="false">
      <c r="A48" s="1" t="s">
        <v>50</v>
      </c>
      <c r="B48" s="1" t="s">
        <v>51</v>
      </c>
      <c r="C48" s="1" t="s">
        <v>52</v>
      </c>
      <c r="D48" s="1" t="s">
        <v>19</v>
      </c>
      <c r="E48" s="1" t="s">
        <v>20</v>
      </c>
      <c r="F48" s="1" t="n">
        <v>14</v>
      </c>
      <c r="G48" s="2" t="s">
        <v>22</v>
      </c>
      <c r="H48" s="1" t="n">
        <v>0.168</v>
      </c>
      <c r="I48" s="1" t="n">
        <v>0.276264139652536</v>
      </c>
      <c r="J48" s="1" t="n">
        <v>0.388396726597289</v>
      </c>
      <c r="K48" s="1" t="n">
        <f aca="false">J48-I48</f>
        <v>0.112132586944753</v>
      </c>
      <c r="L48" s="1" t="n">
        <v>0.668701341307149</v>
      </c>
    </row>
    <row r="49" customFormat="false" ht="15" hidden="false" customHeight="false" outlineLevel="0" collapsed="false">
      <c r="A49" s="1" t="s">
        <v>50</v>
      </c>
      <c r="B49" s="1" t="s">
        <v>51</v>
      </c>
      <c r="C49" s="1" t="s">
        <v>52</v>
      </c>
      <c r="D49" s="1" t="s">
        <v>19</v>
      </c>
      <c r="E49" s="1" t="s">
        <v>20</v>
      </c>
      <c r="F49" s="1" t="n">
        <v>14</v>
      </c>
      <c r="G49" s="2" t="s">
        <v>24</v>
      </c>
      <c r="H49" s="1" t="n">
        <v>0.1663</v>
      </c>
      <c r="I49" s="1" t="n">
        <v>0.27351498271363</v>
      </c>
      <c r="J49" s="1" t="n">
        <v>0.339700238877832</v>
      </c>
      <c r="K49" s="1" t="n">
        <f aca="false">J49-I49</f>
        <v>0.0661852561642018</v>
      </c>
      <c r="L49" s="1" t="n">
        <v>0.668701341307149</v>
      </c>
    </row>
    <row r="50" customFormat="false" ht="15" hidden="false" customHeight="false" outlineLevel="0" collapsed="false">
      <c r="A50" s="1" t="s">
        <v>50</v>
      </c>
      <c r="B50" s="1" t="s">
        <v>51</v>
      </c>
      <c r="C50" s="1" t="s">
        <v>52</v>
      </c>
      <c r="D50" s="1" t="s">
        <v>19</v>
      </c>
      <c r="E50" s="1" t="s">
        <v>20</v>
      </c>
      <c r="F50" s="1" t="n">
        <v>14</v>
      </c>
      <c r="G50" s="2" t="s">
        <v>26</v>
      </c>
      <c r="H50" s="1" t="n">
        <v>0.1</v>
      </c>
      <c r="I50" s="1" t="n">
        <v>0.217280931931237</v>
      </c>
      <c r="J50" s="1" t="n">
        <v>0.301309010449518</v>
      </c>
      <c r="K50" s="1" t="n">
        <f aca="false">J50-I50</f>
        <v>0.0840280785182804</v>
      </c>
      <c r="L50" s="1" t="n">
        <v>0.668701341307149</v>
      </c>
    </row>
    <row r="51" customFormat="false" ht="15" hidden="false" customHeight="false" outlineLevel="0" collapsed="false">
      <c r="A51" s="1" t="s">
        <v>53</v>
      </c>
      <c r="B51" s="1" t="s">
        <v>54</v>
      </c>
      <c r="C51" s="1" t="s">
        <v>55</v>
      </c>
      <c r="D51" s="1" t="s">
        <v>19</v>
      </c>
      <c r="E51" s="1" t="s">
        <v>20</v>
      </c>
      <c r="F51" s="1" t="n">
        <v>16</v>
      </c>
      <c r="G51" s="2" t="s">
        <v>22</v>
      </c>
      <c r="H51" s="1" t="n">
        <v>0.193</v>
      </c>
      <c r="I51" s="1" t="n">
        <v>0.361144368897127</v>
      </c>
      <c r="J51" s="1" t="n">
        <v>0.435224631808864</v>
      </c>
      <c r="K51" s="1" t="n">
        <f aca="false">J51-I51</f>
        <v>0.0740802629117371</v>
      </c>
      <c r="L51" s="1" t="n">
        <v>0.786880036989265</v>
      </c>
    </row>
    <row r="52" customFormat="false" ht="15" hidden="false" customHeight="false" outlineLevel="0" collapsed="false">
      <c r="A52" s="1" t="s">
        <v>53</v>
      </c>
      <c r="B52" s="1" t="s">
        <v>54</v>
      </c>
      <c r="C52" s="1" t="s">
        <v>55</v>
      </c>
      <c r="D52" s="1" t="s">
        <v>19</v>
      </c>
      <c r="E52" s="1" t="s">
        <v>20</v>
      </c>
      <c r="F52" s="1" t="n">
        <v>16</v>
      </c>
      <c r="G52" s="2" t="s">
        <v>21</v>
      </c>
      <c r="H52" s="1" t="n">
        <v>0.1814</v>
      </c>
      <c r="I52" s="1" t="n">
        <v>0.339481755680532</v>
      </c>
      <c r="J52" s="1" t="n">
        <v>0.423601932554898</v>
      </c>
      <c r="K52" s="1" t="n">
        <f aca="false">J52-I52</f>
        <v>0.0841201768743656</v>
      </c>
      <c r="L52" s="1" t="n">
        <v>0.786880036989265</v>
      </c>
    </row>
    <row r="53" customFormat="false" ht="15" hidden="false" customHeight="false" outlineLevel="0" collapsed="false">
      <c r="A53" s="1" t="s">
        <v>53</v>
      </c>
      <c r="B53" s="1" t="s">
        <v>54</v>
      </c>
      <c r="C53" s="1" t="s">
        <v>55</v>
      </c>
      <c r="D53" s="1" t="s">
        <v>19</v>
      </c>
      <c r="E53" s="1" t="s">
        <v>20</v>
      </c>
      <c r="F53" s="1" t="n">
        <v>16</v>
      </c>
      <c r="G53" s="2" t="s">
        <v>42</v>
      </c>
      <c r="H53" s="1" t="n">
        <v>0.176</v>
      </c>
      <c r="I53" s="1" t="n">
        <v>0.329218792107455</v>
      </c>
      <c r="J53" s="1" t="n">
        <v>0.412454651104864</v>
      </c>
      <c r="K53" s="1" t="n">
        <f aca="false">J53-I53</f>
        <v>0.0832358589974094</v>
      </c>
      <c r="L53" s="1" t="n">
        <v>0.786880036989265</v>
      </c>
    </row>
    <row r="54" customFormat="false" ht="15" hidden="false" customHeight="false" outlineLevel="0" collapsed="false">
      <c r="A54" s="1" t="s">
        <v>53</v>
      </c>
      <c r="B54" s="1" t="s">
        <v>54</v>
      </c>
      <c r="C54" s="1" t="s">
        <v>55</v>
      </c>
      <c r="D54" s="1" t="s">
        <v>19</v>
      </c>
      <c r="E54" s="1" t="s">
        <v>20</v>
      </c>
      <c r="F54" s="1" t="n">
        <v>16</v>
      </c>
      <c r="G54" s="2" t="s">
        <v>24</v>
      </c>
      <c r="H54" s="1" t="n">
        <v>0.1759</v>
      </c>
      <c r="I54" s="1" t="n">
        <v>0.329051952116128</v>
      </c>
      <c r="J54" s="1" t="n">
        <v>0.416297648652301</v>
      </c>
      <c r="K54" s="1" t="n">
        <f aca="false">J54-I54</f>
        <v>0.0872456965361733</v>
      </c>
      <c r="L54" s="1" t="n">
        <v>0.786880036989265</v>
      </c>
    </row>
    <row r="55" customFormat="false" ht="15" hidden="false" customHeight="false" outlineLevel="0" collapsed="false">
      <c r="A55" s="1" t="s">
        <v>53</v>
      </c>
      <c r="B55" s="1" t="s">
        <v>54</v>
      </c>
      <c r="C55" s="1" t="s">
        <v>55</v>
      </c>
      <c r="D55" s="1" t="s">
        <v>19</v>
      </c>
      <c r="E55" s="1" t="s">
        <v>20</v>
      </c>
      <c r="F55" s="1" t="n">
        <v>16</v>
      </c>
      <c r="G55" s="2" t="s">
        <v>30</v>
      </c>
      <c r="H55" s="1" t="n">
        <v>0.1737</v>
      </c>
      <c r="I55" s="1" t="n">
        <v>0.325080536330016</v>
      </c>
      <c r="J55" s="1" t="n">
        <v>0.406915293649924</v>
      </c>
      <c r="K55" s="1" t="n">
        <f aca="false">J55-I55</f>
        <v>0.0818347573199078</v>
      </c>
      <c r="L55" s="1" t="n">
        <v>0.786880036989265</v>
      </c>
    </row>
    <row r="56" customFormat="false" ht="15" hidden="false" customHeight="false" outlineLevel="0" collapsed="false">
      <c r="A56" s="1" t="s">
        <v>53</v>
      </c>
      <c r="B56" s="1" t="s">
        <v>54</v>
      </c>
      <c r="C56" s="1" t="s">
        <v>55</v>
      </c>
      <c r="D56" s="1" t="s">
        <v>19</v>
      </c>
      <c r="E56" s="1" t="s">
        <v>20</v>
      </c>
      <c r="F56" s="1" t="n">
        <v>16</v>
      </c>
      <c r="G56" s="2" t="s">
        <v>26</v>
      </c>
      <c r="H56" s="1" t="n">
        <v>0.1</v>
      </c>
      <c r="I56" s="1" t="n">
        <v>0.286166746361522</v>
      </c>
      <c r="J56" s="1" t="n">
        <v>0.385790314931026</v>
      </c>
      <c r="K56" s="1" t="n">
        <f aca="false">J56-I56</f>
        <v>0.0996235685695046</v>
      </c>
      <c r="L56" s="1" t="n">
        <v>0.786880036989265</v>
      </c>
    </row>
    <row r="57" customFormat="false" ht="15" hidden="false" customHeight="false" outlineLevel="0" collapsed="false">
      <c r="A57" s="1" t="s">
        <v>56</v>
      </c>
      <c r="B57" s="1" t="s">
        <v>57</v>
      </c>
      <c r="C57" s="1" t="s">
        <v>58</v>
      </c>
      <c r="D57" s="1" t="s">
        <v>19</v>
      </c>
      <c r="E57" s="1" t="s">
        <v>20</v>
      </c>
      <c r="F57" s="1" t="n">
        <v>18</v>
      </c>
      <c r="G57" s="2" t="s">
        <v>22</v>
      </c>
      <c r="H57" s="1" t="n">
        <v>0.1871</v>
      </c>
      <c r="I57" s="1" t="n">
        <v>0.399300488843956</v>
      </c>
      <c r="J57" s="1" t="n">
        <v>0.38583773729727</v>
      </c>
      <c r="K57" s="1" t="n">
        <f aca="false">J57-I57</f>
        <v>-0.0134627515466865</v>
      </c>
      <c r="L57" s="1" t="n">
        <v>0.80994865911664</v>
      </c>
    </row>
    <row r="58" customFormat="false" ht="15" hidden="false" customHeight="false" outlineLevel="0" collapsed="false">
      <c r="A58" s="1" t="s">
        <v>56</v>
      </c>
      <c r="B58" s="1" t="s">
        <v>57</v>
      </c>
      <c r="C58" s="1" t="s">
        <v>58</v>
      </c>
      <c r="D58" s="1" t="s">
        <v>19</v>
      </c>
      <c r="E58" s="1" t="s">
        <v>20</v>
      </c>
      <c r="F58" s="1" t="n">
        <v>18</v>
      </c>
      <c r="G58" s="2" t="s">
        <v>21</v>
      </c>
      <c r="H58" s="1" t="n">
        <v>0.1845</v>
      </c>
      <c r="I58" s="1" t="n">
        <v>0.393616443318809</v>
      </c>
      <c r="J58" s="1" t="n">
        <v>0.452193966797762</v>
      </c>
      <c r="K58" s="1" t="n">
        <f aca="false">J58-I58</f>
        <v>0.0585775234789529</v>
      </c>
      <c r="L58" s="1" t="n">
        <v>0.80994865911664</v>
      </c>
    </row>
    <row r="59" customFormat="false" ht="15" hidden="false" customHeight="false" outlineLevel="0" collapsed="false">
      <c r="A59" s="1" t="s">
        <v>56</v>
      </c>
      <c r="B59" s="1" t="s">
        <v>57</v>
      </c>
      <c r="C59" s="1" t="s">
        <v>58</v>
      </c>
      <c r="D59" s="1" t="s">
        <v>19</v>
      </c>
      <c r="E59" s="1" t="s">
        <v>20</v>
      </c>
      <c r="F59" s="1" t="n">
        <v>18</v>
      </c>
      <c r="G59" s="2" t="s">
        <v>24</v>
      </c>
      <c r="H59" s="1" t="n">
        <v>0.1808</v>
      </c>
      <c r="I59" s="1" t="n">
        <v>0.385854211554939</v>
      </c>
      <c r="J59" s="1" t="n">
        <v>0.407018001665855</v>
      </c>
      <c r="K59" s="1" t="n">
        <f aca="false">J59-I59</f>
        <v>0.0211637901109162</v>
      </c>
      <c r="L59" s="1" t="n">
        <v>0.80994865911664</v>
      </c>
    </row>
    <row r="60" customFormat="false" ht="15" hidden="false" customHeight="false" outlineLevel="0" collapsed="false">
      <c r="A60" s="1" t="s">
        <v>56</v>
      </c>
      <c r="B60" s="1" t="s">
        <v>57</v>
      </c>
      <c r="C60" s="1" t="s">
        <v>58</v>
      </c>
      <c r="D60" s="1" t="s">
        <v>19</v>
      </c>
      <c r="E60" s="1" t="s">
        <v>20</v>
      </c>
      <c r="F60" s="1" t="n">
        <v>18</v>
      </c>
      <c r="G60" s="2" t="s">
        <v>23</v>
      </c>
      <c r="H60" s="1" t="n">
        <v>0.1756</v>
      </c>
      <c r="I60" s="1" t="n">
        <v>0.374743429870854</v>
      </c>
      <c r="J60" s="1" t="n">
        <v>0.380328285075599</v>
      </c>
      <c r="K60" s="1" t="n">
        <f aca="false">J60-I60</f>
        <v>0.00558485520474539</v>
      </c>
      <c r="L60" s="1" t="n">
        <v>0.80994865911664</v>
      </c>
    </row>
    <row r="61" customFormat="false" ht="15" hidden="false" customHeight="false" outlineLevel="0" collapsed="false">
      <c r="A61" s="1" t="s">
        <v>56</v>
      </c>
      <c r="B61" s="1" t="s">
        <v>57</v>
      </c>
      <c r="C61" s="1" t="s">
        <v>58</v>
      </c>
      <c r="D61" s="1" t="s">
        <v>19</v>
      </c>
      <c r="E61" s="1" t="s">
        <v>20</v>
      </c>
      <c r="F61" s="1" t="n">
        <v>18</v>
      </c>
      <c r="G61" s="2" t="s">
        <v>25</v>
      </c>
      <c r="H61" s="1" t="n">
        <v>0.172</v>
      </c>
      <c r="I61" s="1" t="n">
        <v>0.367082628463084</v>
      </c>
      <c r="J61" s="1" t="n">
        <v>0.401351029895807</v>
      </c>
      <c r="K61" s="1" t="n">
        <f aca="false">J61-I61</f>
        <v>0.0342684014327237</v>
      </c>
      <c r="L61" s="1" t="n">
        <v>0.80994865911664</v>
      </c>
    </row>
    <row r="62" customFormat="false" ht="15" hidden="false" customHeight="false" outlineLevel="0" collapsed="false">
      <c r="A62" s="1" t="s">
        <v>56</v>
      </c>
      <c r="B62" s="1" t="s">
        <v>57</v>
      </c>
      <c r="C62" s="1" t="s">
        <v>58</v>
      </c>
      <c r="D62" s="1" t="s">
        <v>19</v>
      </c>
      <c r="E62" s="1" t="s">
        <v>20</v>
      </c>
      <c r="F62" s="1" t="n">
        <v>18</v>
      </c>
      <c r="G62" s="2" t="s">
        <v>26</v>
      </c>
      <c r="H62" s="1" t="n">
        <v>0.1</v>
      </c>
      <c r="I62" s="1" t="n">
        <v>0.304688193344323</v>
      </c>
      <c r="J62" s="1" t="n">
        <v>0.326979614783784</v>
      </c>
      <c r="K62" s="1" t="n">
        <f aca="false">J62-I62</f>
        <v>0.0222914214394614</v>
      </c>
      <c r="L62" s="1" t="n">
        <v>0.80994865911664</v>
      </c>
    </row>
    <row r="63" customFormat="false" ht="15" hidden="false" customHeight="false" outlineLevel="0" collapsed="false">
      <c r="A63" s="1" t="s">
        <v>59</v>
      </c>
      <c r="B63" s="1" t="s">
        <v>60</v>
      </c>
      <c r="C63" s="1" t="s">
        <v>61</v>
      </c>
      <c r="D63" s="1" t="s">
        <v>19</v>
      </c>
      <c r="E63" s="1" t="s">
        <v>20</v>
      </c>
      <c r="F63" s="1" t="n">
        <v>20</v>
      </c>
      <c r="G63" s="2" t="s">
        <v>21</v>
      </c>
      <c r="H63" s="1" t="n">
        <v>0.2049</v>
      </c>
      <c r="I63" s="1" t="n">
        <v>0.360424673917778</v>
      </c>
      <c r="J63" s="1" t="n">
        <v>0.397441157041848</v>
      </c>
      <c r="K63" s="1" t="n">
        <f aca="false">J63-I63</f>
        <v>0.0370164831240703</v>
      </c>
      <c r="L63" s="1" t="n">
        <v>0.690171891444283</v>
      </c>
    </row>
    <row r="64" customFormat="false" ht="15" hidden="false" customHeight="false" outlineLevel="0" collapsed="false">
      <c r="A64" s="1" t="s">
        <v>59</v>
      </c>
      <c r="B64" s="1" t="s">
        <v>60</v>
      </c>
      <c r="C64" s="1" t="s">
        <v>61</v>
      </c>
      <c r="D64" s="1" t="s">
        <v>19</v>
      </c>
      <c r="E64" s="1" t="s">
        <v>20</v>
      </c>
      <c r="F64" s="1" t="n">
        <v>20</v>
      </c>
      <c r="G64" s="2" t="s">
        <v>23</v>
      </c>
      <c r="H64" s="1" t="n">
        <v>0.178</v>
      </c>
      <c r="I64" s="1" t="n">
        <v>0.31324582805013</v>
      </c>
      <c r="J64" s="1" t="n">
        <v>0.333144964489601</v>
      </c>
      <c r="K64" s="1" t="n">
        <f aca="false">J64-I64</f>
        <v>0.0198991364394707</v>
      </c>
      <c r="L64" s="1" t="n">
        <v>0.690171891444283</v>
      </c>
    </row>
    <row r="65" customFormat="false" ht="15" hidden="false" customHeight="false" outlineLevel="0" collapsed="false">
      <c r="A65" s="1" t="s">
        <v>59</v>
      </c>
      <c r="B65" s="1" t="s">
        <v>60</v>
      </c>
      <c r="C65" s="1" t="s">
        <v>61</v>
      </c>
      <c r="D65" s="1" t="s">
        <v>19</v>
      </c>
      <c r="E65" s="1" t="s">
        <v>20</v>
      </c>
      <c r="F65" s="1" t="n">
        <v>20</v>
      </c>
      <c r="G65" s="2" t="s">
        <v>42</v>
      </c>
      <c r="H65" s="1" t="n">
        <v>0.176</v>
      </c>
      <c r="I65" s="1" t="n">
        <v>0.309557063076623</v>
      </c>
      <c r="J65" s="1" t="n">
        <v>0.318121530340258</v>
      </c>
      <c r="K65" s="1" t="n">
        <f aca="false">J65-I65</f>
        <v>0.00856446726363458</v>
      </c>
      <c r="L65" s="1" t="n">
        <v>0.690171891444283</v>
      </c>
    </row>
    <row r="66" customFormat="false" ht="15" hidden="false" customHeight="false" outlineLevel="0" collapsed="false">
      <c r="A66" s="1" t="s">
        <v>59</v>
      </c>
      <c r="B66" s="1" t="s">
        <v>60</v>
      </c>
      <c r="C66" s="1" t="s">
        <v>61</v>
      </c>
      <c r="D66" s="1" t="s">
        <v>19</v>
      </c>
      <c r="E66" s="1" t="s">
        <v>20</v>
      </c>
      <c r="F66" s="1" t="n">
        <v>20</v>
      </c>
      <c r="G66" s="2" t="s">
        <v>24</v>
      </c>
      <c r="H66" s="1" t="n">
        <v>0.172</v>
      </c>
      <c r="I66" s="1" t="n">
        <v>0.302529655655856</v>
      </c>
      <c r="J66" s="1" t="n">
        <v>0.29777087415924</v>
      </c>
      <c r="K66" s="1" t="n">
        <f aca="false">J66-I66</f>
        <v>-0.00475878149661607</v>
      </c>
      <c r="L66" s="1" t="n">
        <v>0.690171891444283</v>
      </c>
    </row>
    <row r="67" customFormat="false" ht="15" hidden="false" customHeight="false" outlineLevel="0" collapsed="false">
      <c r="A67" s="1" t="s">
        <v>59</v>
      </c>
      <c r="B67" s="1" t="s">
        <v>60</v>
      </c>
      <c r="C67" s="1" t="s">
        <v>61</v>
      </c>
      <c r="D67" s="1" t="s">
        <v>19</v>
      </c>
      <c r="E67" s="1" t="s">
        <v>20</v>
      </c>
      <c r="F67" s="1" t="n">
        <v>20</v>
      </c>
      <c r="G67" s="2" t="s">
        <v>22</v>
      </c>
      <c r="H67" s="1" t="n">
        <v>0.1692</v>
      </c>
      <c r="I67" s="1" t="n">
        <v>0.297653277033214</v>
      </c>
      <c r="J67" s="1" t="n">
        <v>0.301304761259682</v>
      </c>
      <c r="K67" s="1" t="n">
        <f aca="false">J67-I67</f>
        <v>0.00365148422646794</v>
      </c>
      <c r="L67" s="1" t="n">
        <v>0.690171891444283</v>
      </c>
    </row>
    <row r="68" customFormat="false" ht="15" hidden="false" customHeight="false" outlineLevel="0" collapsed="false">
      <c r="A68" s="1" t="s">
        <v>59</v>
      </c>
      <c r="B68" s="1" t="s">
        <v>60</v>
      </c>
      <c r="C68" s="1" t="s">
        <v>61</v>
      </c>
      <c r="D68" s="1" t="s">
        <v>19</v>
      </c>
      <c r="E68" s="1" t="s">
        <v>20</v>
      </c>
      <c r="F68" s="1" t="n">
        <v>20</v>
      </c>
      <c r="G68" s="2" t="s">
        <v>26</v>
      </c>
      <c r="H68" s="1" t="n">
        <v>0.1</v>
      </c>
      <c r="I68" s="1" t="n">
        <v>0.232593400411822</v>
      </c>
      <c r="J68" s="1" t="n">
        <v>0.241906168289945</v>
      </c>
      <c r="K68" s="1" t="n">
        <f aca="false">J68-I68</f>
        <v>0.00931276787812341</v>
      </c>
      <c r="L68" s="1" t="n">
        <v>0.690171891444283</v>
      </c>
    </row>
    <row r="69" customFormat="false" ht="15" hidden="false" customHeight="false" outlineLevel="0" collapsed="false">
      <c r="A69" s="1" t="s">
        <v>62</v>
      </c>
      <c r="B69" s="1" t="s">
        <v>63</v>
      </c>
      <c r="C69" s="1" t="s">
        <v>64</v>
      </c>
      <c r="D69" s="1" t="s">
        <v>19</v>
      </c>
      <c r="E69" s="1" t="s">
        <v>20</v>
      </c>
      <c r="F69" s="1" t="n">
        <v>22</v>
      </c>
      <c r="G69" s="2" t="s">
        <v>21</v>
      </c>
      <c r="H69" s="1" t="n">
        <v>0.2224</v>
      </c>
      <c r="I69" s="1" t="n">
        <v>0.318890340809073</v>
      </c>
      <c r="J69" s="1" t="n">
        <v>0.409126599570359</v>
      </c>
      <c r="K69" s="1" t="n">
        <f aca="false">J69-I69</f>
        <v>0.0902362587612859</v>
      </c>
      <c r="L69" s="1" t="n">
        <v>0.749125347769507</v>
      </c>
    </row>
    <row r="70" customFormat="false" ht="15" hidden="false" customHeight="false" outlineLevel="0" collapsed="false">
      <c r="A70" s="1" t="s">
        <v>62</v>
      </c>
      <c r="B70" s="1" t="s">
        <v>63</v>
      </c>
      <c r="C70" s="1" t="s">
        <v>64</v>
      </c>
      <c r="D70" s="1" t="s">
        <v>19</v>
      </c>
      <c r="E70" s="1" t="s">
        <v>20</v>
      </c>
      <c r="F70" s="1" t="n">
        <v>22</v>
      </c>
      <c r="G70" s="2" t="s">
        <v>23</v>
      </c>
      <c r="H70" s="1" t="n">
        <v>0.1802</v>
      </c>
      <c r="I70" s="1" t="n">
        <v>0.258484112355076</v>
      </c>
      <c r="J70" s="1" t="n">
        <v>0.304751349021216</v>
      </c>
      <c r="K70" s="1" t="n">
        <f aca="false">J70-I70</f>
        <v>0.0462672366661398</v>
      </c>
      <c r="L70" s="1" t="n">
        <v>0.749125347769507</v>
      </c>
    </row>
    <row r="71" customFormat="false" ht="15" hidden="false" customHeight="false" outlineLevel="0" collapsed="false">
      <c r="A71" s="1" t="s">
        <v>62</v>
      </c>
      <c r="B71" s="1" t="s">
        <v>63</v>
      </c>
      <c r="C71" s="1" t="s">
        <v>64</v>
      </c>
      <c r="D71" s="1" t="s">
        <v>19</v>
      </c>
      <c r="E71" s="1" t="s">
        <v>20</v>
      </c>
      <c r="F71" s="1" t="n">
        <v>22</v>
      </c>
      <c r="G71" s="2" t="s">
        <v>42</v>
      </c>
      <c r="H71" s="1" t="n">
        <v>0.1752</v>
      </c>
      <c r="I71" s="1" t="n">
        <v>0.251258068800921</v>
      </c>
      <c r="J71" s="1" t="n">
        <v>0.285560461289266</v>
      </c>
      <c r="K71" s="1" t="n">
        <f aca="false">J71-I71</f>
        <v>0.0343023924883452</v>
      </c>
      <c r="L71" s="1" t="n">
        <v>0.749125347769507</v>
      </c>
    </row>
    <row r="72" customFormat="false" ht="15" hidden="false" customHeight="false" outlineLevel="0" collapsed="false">
      <c r="A72" s="1" t="s">
        <v>62</v>
      </c>
      <c r="B72" s="1" t="s">
        <v>63</v>
      </c>
      <c r="C72" s="1" t="s">
        <v>64</v>
      </c>
      <c r="D72" s="1" t="s">
        <v>19</v>
      </c>
      <c r="E72" s="1" t="s">
        <v>20</v>
      </c>
      <c r="F72" s="1" t="n">
        <v>22</v>
      </c>
      <c r="G72" s="2" t="s">
        <v>24</v>
      </c>
      <c r="H72" s="1" t="n">
        <v>0.1711</v>
      </c>
      <c r="I72" s="1" t="n">
        <v>0.245400542376209</v>
      </c>
      <c r="J72" s="1" t="n">
        <v>0.304039003150247</v>
      </c>
      <c r="K72" s="1" t="n">
        <f aca="false">J72-I72</f>
        <v>0.0586384607740378</v>
      </c>
      <c r="L72" s="1" t="n">
        <v>0.749125347769507</v>
      </c>
    </row>
    <row r="73" customFormat="false" ht="15" hidden="false" customHeight="false" outlineLevel="0" collapsed="false">
      <c r="A73" s="1" t="s">
        <v>62</v>
      </c>
      <c r="B73" s="1" t="s">
        <v>63</v>
      </c>
      <c r="C73" s="1" t="s">
        <v>64</v>
      </c>
      <c r="D73" s="1" t="s">
        <v>19</v>
      </c>
      <c r="E73" s="1" t="s">
        <v>20</v>
      </c>
      <c r="F73" s="1" t="n">
        <v>22</v>
      </c>
      <c r="G73" s="2" t="s">
        <v>25</v>
      </c>
      <c r="H73" s="1" t="n">
        <v>0.1511</v>
      </c>
      <c r="I73" s="1" t="n">
        <v>0.216724421784383</v>
      </c>
      <c r="J73" s="1" t="n">
        <v>0.295269443714648</v>
      </c>
      <c r="K73" s="1" t="n">
        <f aca="false">J73-I73</f>
        <v>0.078545021930265</v>
      </c>
      <c r="L73" s="1" t="n">
        <v>0.749125347769507</v>
      </c>
    </row>
    <row r="74" customFormat="false" ht="15" hidden="false" customHeight="false" outlineLevel="0" collapsed="false">
      <c r="A74" s="1" t="s">
        <v>62</v>
      </c>
      <c r="B74" s="1" t="s">
        <v>63</v>
      </c>
      <c r="C74" s="1" t="s">
        <v>64</v>
      </c>
      <c r="D74" s="1" t="s">
        <v>19</v>
      </c>
      <c r="E74" s="1" t="s">
        <v>20</v>
      </c>
      <c r="F74" s="1" t="n">
        <v>22</v>
      </c>
      <c r="G74" s="2" t="s">
        <v>26</v>
      </c>
      <c r="H74" s="1" t="n">
        <v>0.1</v>
      </c>
      <c r="I74" s="1" t="n">
        <v>0.155061508312893</v>
      </c>
      <c r="J74" s="1" t="n">
        <v>0.261840884444511</v>
      </c>
      <c r="K74" s="1" t="n">
        <f aca="false">J74-I74</f>
        <v>0.106779376131618</v>
      </c>
      <c r="L74" s="1" t="n">
        <v>0.749125347769507</v>
      </c>
    </row>
    <row r="75" customFormat="false" ht="15" hidden="false" customHeight="false" outlineLevel="0" collapsed="false">
      <c r="A75" s="1" t="s">
        <v>65</v>
      </c>
      <c r="B75" s="1" t="s">
        <v>66</v>
      </c>
      <c r="C75" s="1" t="s">
        <v>67</v>
      </c>
      <c r="D75" s="1" t="s">
        <v>19</v>
      </c>
      <c r="E75" s="1" t="s">
        <v>20</v>
      </c>
      <c r="F75" s="1" t="n">
        <v>24</v>
      </c>
      <c r="G75" s="2" t="s">
        <v>21</v>
      </c>
      <c r="H75" s="1" t="n">
        <v>0.2157</v>
      </c>
      <c r="I75" s="1" t="n">
        <v>0.308991268641674</v>
      </c>
      <c r="J75" s="1" t="n">
        <v>0.336652158446569</v>
      </c>
      <c r="K75" s="1" t="n">
        <f aca="false">J75-I75</f>
        <v>0.0276608898048958</v>
      </c>
      <c r="L75" s="1" t="n">
        <v>0.677480782400821</v>
      </c>
    </row>
    <row r="76" customFormat="false" ht="15" hidden="false" customHeight="false" outlineLevel="0" collapsed="false">
      <c r="A76" s="1" t="s">
        <v>65</v>
      </c>
      <c r="B76" s="1" t="s">
        <v>66</v>
      </c>
      <c r="C76" s="1" t="s">
        <v>67</v>
      </c>
      <c r="D76" s="1" t="s">
        <v>19</v>
      </c>
      <c r="E76" s="1" t="s">
        <v>20</v>
      </c>
      <c r="F76" s="1" t="n">
        <v>24</v>
      </c>
      <c r="G76" s="2" t="s">
        <v>23</v>
      </c>
      <c r="H76" s="1" t="n">
        <v>0.1782</v>
      </c>
      <c r="I76" s="1" t="n">
        <v>0.25536313561926</v>
      </c>
      <c r="J76" s="1" t="n">
        <v>0.28441788695177</v>
      </c>
      <c r="K76" s="1" t="n">
        <f aca="false">J76-I76</f>
        <v>0.0290547513325101</v>
      </c>
      <c r="L76" s="1" t="n">
        <v>0.677480782400821</v>
      </c>
    </row>
    <row r="77" customFormat="false" ht="15" hidden="false" customHeight="false" outlineLevel="0" collapsed="false">
      <c r="A77" s="1" t="s">
        <v>65</v>
      </c>
      <c r="B77" s="1" t="s">
        <v>66</v>
      </c>
      <c r="C77" s="1" t="s">
        <v>67</v>
      </c>
      <c r="D77" s="1" t="s">
        <v>19</v>
      </c>
      <c r="E77" s="1" t="s">
        <v>20</v>
      </c>
      <c r="F77" s="1" t="n">
        <v>24</v>
      </c>
      <c r="G77" s="2" t="s">
        <v>24</v>
      </c>
      <c r="H77" s="1" t="n">
        <v>0.1749</v>
      </c>
      <c r="I77" s="1" t="n">
        <v>0.250591529529818</v>
      </c>
      <c r="J77" s="1" t="n">
        <v>0.279988414365845</v>
      </c>
      <c r="K77" s="1" t="n">
        <f aca="false">J77-I77</f>
        <v>0.0293968848360264</v>
      </c>
      <c r="L77" s="1" t="n">
        <v>0.677480782400821</v>
      </c>
    </row>
    <row r="78" customFormat="false" ht="15" hidden="false" customHeight="false" outlineLevel="0" collapsed="false">
      <c r="A78" s="1" t="s">
        <v>65</v>
      </c>
      <c r="B78" s="1" t="s">
        <v>66</v>
      </c>
      <c r="C78" s="1" t="s">
        <v>67</v>
      </c>
      <c r="D78" s="1" t="s">
        <v>19</v>
      </c>
      <c r="E78" s="1" t="s">
        <v>20</v>
      </c>
      <c r="F78" s="1" t="n">
        <v>24</v>
      </c>
      <c r="G78" s="2" t="s">
        <v>42</v>
      </c>
      <c r="H78" s="1" t="n">
        <v>0.1709</v>
      </c>
      <c r="I78" s="1" t="n">
        <v>0.244892299281343</v>
      </c>
      <c r="J78" s="1" t="n">
        <v>0.33016234165408</v>
      </c>
      <c r="K78" s="1" t="n">
        <f aca="false">J78-I78</f>
        <v>0.0852700423727368</v>
      </c>
      <c r="L78" s="1" t="n">
        <v>0.677480782400821</v>
      </c>
    </row>
    <row r="79" customFormat="false" ht="15" hidden="false" customHeight="false" outlineLevel="0" collapsed="false">
      <c r="A79" s="1" t="s">
        <v>65</v>
      </c>
      <c r="B79" s="1" t="s">
        <v>66</v>
      </c>
      <c r="C79" s="1" t="s">
        <v>67</v>
      </c>
      <c r="D79" s="1" t="s">
        <v>19</v>
      </c>
      <c r="E79" s="1" t="s">
        <v>20</v>
      </c>
      <c r="F79" s="1" t="n">
        <v>24</v>
      </c>
      <c r="G79" s="2" t="s">
        <v>25</v>
      </c>
      <c r="H79" s="1" t="n">
        <v>0.1603</v>
      </c>
      <c r="I79" s="1" t="n">
        <v>0.229708013792372</v>
      </c>
      <c r="J79" s="1" t="n">
        <v>0.286768448386242</v>
      </c>
      <c r="K79" s="1" t="n">
        <f aca="false">J79-I79</f>
        <v>0.0570604345938701</v>
      </c>
      <c r="L79" s="1" t="n">
        <v>0.677480782400821</v>
      </c>
    </row>
    <row r="80" customFormat="false" ht="15" hidden="false" customHeight="false" outlineLevel="0" collapsed="false">
      <c r="A80" s="1" t="s">
        <v>65</v>
      </c>
      <c r="B80" s="1" t="s">
        <v>66</v>
      </c>
      <c r="C80" s="1" t="s">
        <v>67</v>
      </c>
      <c r="D80" s="1" t="s">
        <v>19</v>
      </c>
      <c r="E80" s="1" t="s">
        <v>20</v>
      </c>
      <c r="F80" s="1" t="n">
        <v>24</v>
      </c>
      <c r="G80" s="2" t="s">
        <v>26</v>
      </c>
      <c r="H80" s="1" t="n">
        <v>0.1</v>
      </c>
      <c r="I80" s="1" t="n">
        <v>0.176106516722912</v>
      </c>
      <c r="J80" s="1" t="n">
        <v>0.243343145551346</v>
      </c>
      <c r="K80" s="1" t="n">
        <f aca="false">J80-I80</f>
        <v>0.0672366288284346</v>
      </c>
      <c r="L80" s="1" t="n">
        <v>0.677480782400821</v>
      </c>
    </row>
    <row r="81" customFormat="false" ht="15" hidden="false" customHeight="false" outlineLevel="0" collapsed="false">
      <c r="A81" s="1" t="s">
        <v>68</v>
      </c>
      <c r="B81" s="1" t="s">
        <v>69</v>
      </c>
      <c r="C81" s="1" t="s">
        <v>70</v>
      </c>
      <c r="D81" s="1" t="s">
        <v>19</v>
      </c>
      <c r="E81" s="1" t="s">
        <v>20</v>
      </c>
      <c r="F81" s="1" t="n">
        <v>26</v>
      </c>
      <c r="G81" s="2" t="s">
        <v>42</v>
      </c>
      <c r="H81" s="1" t="n">
        <v>0.3157</v>
      </c>
      <c r="I81" s="1" t="n">
        <v>0.245166704408067</v>
      </c>
      <c r="J81" s="1" t="n">
        <v>0.350312288446981</v>
      </c>
      <c r="K81" s="1" t="n">
        <f aca="false">J81-I81</f>
        <v>0.105145584038914</v>
      </c>
      <c r="L81" s="1" t="n">
        <v>0.792919049793641</v>
      </c>
    </row>
    <row r="82" customFormat="false" ht="15" hidden="false" customHeight="false" outlineLevel="0" collapsed="false">
      <c r="A82" s="1" t="s">
        <v>68</v>
      </c>
      <c r="B82" s="1" t="s">
        <v>69</v>
      </c>
      <c r="C82" s="1" t="s">
        <v>70</v>
      </c>
      <c r="D82" s="1" t="s">
        <v>19</v>
      </c>
      <c r="E82" s="1" t="s">
        <v>20</v>
      </c>
      <c r="F82" s="1" t="n">
        <v>26</v>
      </c>
      <c r="G82" s="2" t="s">
        <v>21</v>
      </c>
      <c r="H82" s="1" t="n">
        <v>0.3131</v>
      </c>
      <c r="I82" s="1" t="n">
        <v>0.243199299317168</v>
      </c>
      <c r="J82" s="1" t="n">
        <v>0.350533440976001</v>
      </c>
      <c r="K82" s="1" t="n">
        <f aca="false">J82-I82</f>
        <v>0.107334141658833</v>
      </c>
      <c r="L82" s="1" t="n">
        <v>0.792919049793641</v>
      </c>
    </row>
    <row r="83" customFormat="false" ht="15" hidden="false" customHeight="false" outlineLevel="0" collapsed="false">
      <c r="A83" s="1" t="s">
        <v>68</v>
      </c>
      <c r="B83" s="1" t="s">
        <v>69</v>
      </c>
      <c r="C83" s="1" t="s">
        <v>70</v>
      </c>
      <c r="D83" s="1" t="s">
        <v>19</v>
      </c>
      <c r="E83" s="1" t="s">
        <v>20</v>
      </c>
      <c r="F83" s="1" t="n">
        <v>26</v>
      </c>
      <c r="G83" s="2" t="s">
        <v>46</v>
      </c>
      <c r="H83" s="1" t="n">
        <v>0.2712</v>
      </c>
      <c r="I83" s="1" t="n">
        <v>0.210651307194183</v>
      </c>
      <c r="J83" s="1" t="n">
        <v>0.288440225838631</v>
      </c>
      <c r="K83" s="1" t="n">
        <f aca="false">J83-I83</f>
        <v>0.0777889186444483</v>
      </c>
      <c r="L83" s="1" t="n">
        <v>0.792919049793641</v>
      </c>
    </row>
    <row r="84" customFormat="false" ht="15" hidden="false" customHeight="false" outlineLevel="0" collapsed="false">
      <c r="A84" s="1" t="s">
        <v>68</v>
      </c>
      <c r="B84" s="1" t="s">
        <v>69</v>
      </c>
      <c r="C84" s="1" t="s">
        <v>70</v>
      </c>
      <c r="D84" s="1" t="s">
        <v>19</v>
      </c>
      <c r="E84" s="1" t="s">
        <v>20</v>
      </c>
      <c r="F84" s="1" t="n">
        <v>26</v>
      </c>
      <c r="G84" s="2" t="s">
        <v>26</v>
      </c>
      <c r="H84" s="1" t="n">
        <v>0.1</v>
      </c>
      <c r="I84" s="1" t="n">
        <v>0.155299236592184</v>
      </c>
      <c r="J84" s="1" t="n">
        <v>0.240766458742552</v>
      </c>
      <c r="K84" s="1" t="n">
        <f aca="false">J84-I84</f>
        <v>0.0854672221503679</v>
      </c>
      <c r="L84" s="1" t="n">
        <v>0.792919049793641</v>
      </c>
    </row>
    <row r="85" customFormat="false" ht="15" hidden="false" customHeight="false" outlineLevel="0" collapsed="false">
      <c r="A85" s="1" t="s">
        <v>71</v>
      </c>
      <c r="B85" s="1" t="s">
        <v>72</v>
      </c>
      <c r="C85" s="1" t="s">
        <v>73</v>
      </c>
      <c r="D85" s="1" t="s">
        <v>19</v>
      </c>
      <c r="E85" s="1" t="s">
        <v>20</v>
      </c>
      <c r="F85" s="1" t="n">
        <v>28</v>
      </c>
      <c r="G85" s="2" t="s">
        <v>42</v>
      </c>
      <c r="H85" s="1" t="n">
        <v>0.2116</v>
      </c>
      <c r="I85" s="1" t="n">
        <v>0.353818625293175</v>
      </c>
      <c r="J85" s="1" t="n">
        <v>0.366182079764362</v>
      </c>
      <c r="K85" s="1" t="n">
        <f aca="false">J85-I85</f>
        <v>0.0123634544711869</v>
      </c>
      <c r="L85" s="1" t="n">
        <v>0.800884410132615</v>
      </c>
    </row>
    <row r="86" customFormat="false" ht="15" hidden="false" customHeight="false" outlineLevel="0" collapsed="false">
      <c r="A86" s="1" t="s">
        <v>71</v>
      </c>
      <c r="B86" s="1" t="s">
        <v>72</v>
      </c>
      <c r="C86" s="1" t="s">
        <v>73</v>
      </c>
      <c r="D86" s="1" t="s">
        <v>19</v>
      </c>
      <c r="E86" s="1" t="s">
        <v>20</v>
      </c>
      <c r="F86" s="1" t="n">
        <v>28</v>
      </c>
      <c r="G86" s="2" t="s">
        <v>21</v>
      </c>
      <c r="H86" s="1" t="n">
        <v>0.1935</v>
      </c>
      <c r="I86" s="1" t="n">
        <v>0.323416521720082</v>
      </c>
      <c r="J86" s="1" t="n">
        <v>0.393877221502368</v>
      </c>
      <c r="K86" s="1" t="n">
        <f aca="false">J86-I86</f>
        <v>0.0704606997822858</v>
      </c>
      <c r="L86" s="1" t="n">
        <v>0.800884410132615</v>
      </c>
    </row>
    <row r="87" customFormat="false" ht="15" hidden="false" customHeight="false" outlineLevel="0" collapsed="false">
      <c r="A87" s="1" t="s">
        <v>71</v>
      </c>
      <c r="B87" s="1" t="s">
        <v>72</v>
      </c>
      <c r="C87" s="1" t="s">
        <v>73</v>
      </c>
      <c r="D87" s="1" t="s">
        <v>19</v>
      </c>
      <c r="E87" s="1" t="s">
        <v>20</v>
      </c>
      <c r="F87" s="1" t="n">
        <v>28</v>
      </c>
      <c r="G87" s="2" t="s">
        <v>24</v>
      </c>
      <c r="H87" s="1" t="n">
        <v>0.1715</v>
      </c>
      <c r="I87" s="1" t="n">
        <v>0.286750323120734</v>
      </c>
      <c r="J87" s="1" t="n">
        <v>0.333054664816319</v>
      </c>
      <c r="K87" s="1" t="n">
        <f aca="false">J87-I87</f>
        <v>0.0463043416955857</v>
      </c>
      <c r="L87" s="1" t="n">
        <v>0.800884410132615</v>
      </c>
    </row>
    <row r="88" customFormat="false" ht="15" hidden="false" customHeight="false" outlineLevel="0" collapsed="false">
      <c r="A88" s="1" t="s">
        <v>71</v>
      </c>
      <c r="B88" s="1" t="s">
        <v>72</v>
      </c>
      <c r="C88" s="1" t="s">
        <v>73</v>
      </c>
      <c r="D88" s="1" t="s">
        <v>19</v>
      </c>
      <c r="E88" s="1" t="s">
        <v>20</v>
      </c>
      <c r="F88" s="1" t="n">
        <v>28</v>
      </c>
      <c r="G88" s="2" t="s">
        <v>46</v>
      </c>
      <c r="H88" s="1" t="n">
        <v>0.162</v>
      </c>
      <c r="I88" s="1" t="n">
        <v>0.270797154753943</v>
      </c>
      <c r="J88" s="1" t="n">
        <v>0.332779958404245</v>
      </c>
      <c r="K88" s="1" t="n">
        <f aca="false">J88-I88</f>
        <v>0.0619828036503024</v>
      </c>
      <c r="L88" s="1" t="n">
        <v>0.800884410132615</v>
      </c>
    </row>
    <row r="89" customFormat="false" ht="15" hidden="false" customHeight="false" outlineLevel="0" collapsed="false">
      <c r="A89" s="1" t="s">
        <v>71</v>
      </c>
      <c r="B89" s="1" t="s">
        <v>72</v>
      </c>
      <c r="C89" s="1" t="s">
        <v>73</v>
      </c>
      <c r="D89" s="1" t="s">
        <v>19</v>
      </c>
      <c r="E89" s="1" t="s">
        <v>20</v>
      </c>
      <c r="F89" s="1" t="n">
        <v>28</v>
      </c>
      <c r="G89" s="2" t="s">
        <v>23</v>
      </c>
      <c r="H89" s="1" t="n">
        <v>0.1614</v>
      </c>
      <c r="I89" s="1" t="n">
        <v>0.269811219954905</v>
      </c>
      <c r="J89" s="1" t="n">
        <v>0.328425611276293</v>
      </c>
      <c r="K89" s="1" t="n">
        <f aca="false">J89-I89</f>
        <v>0.0586143913213879</v>
      </c>
      <c r="L89" s="1" t="n">
        <v>0.800884410132615</v>
      </c>
    </row>
    <row r="90" customFormat="false" ht="15" hidden="false" customHeight="false" outlineLevel="0" collapsed="false">
      <c r="A90" s="1" t="s">
        <v>71</v>
      </c>
      <c r="B90" s="1" t="s">
        <v>72</v>
      </c>
      <c r="C90" s="1" t="s">
        <v>73</v>
      </c>
      <c r="D90" s="1" t="s">
        <v>19</v>
      </c>
      <c r="E90" s="1" t="s">
        <v>20</v>
      </c>
      <c r="F90" s="1" t="n">
        <v>28</v>
      </c>
      <c r="G90" s="2" t="s">
        <v>26</v>
      </c>
      <c r="H90" s="1" t="n">
        <v>0.1</v>
      </c>
      <c r="I90" s="1" t="n">
        <v>0.196482632294146</v>
      </c>
      <c r="J90" s="1" t="n">
        <v>0.258739527360321</v>
      </c>
      <c r="K90" s="1" t="n">
        <f aca="false">J90-I90</f>
        <v>0.0622568950661751</v>
      </c>
      <c r="L90" s="1" t="n">
        <v>0.800884410132615</v>
      </c>
    </row>
    <row r="91" customFormat="false" ht="15" hidden="false" customHeight="false" outlineLevel="0" collapsed="false">
      <c r="A91" s="1" t="s">
        <v>74</v>
      </c>
      <c r="B91" s="1" t="s">
        <v>75</v>
      </c>
      <c r="C91" s="1" t="s">
        <v>76</v>
      </c>
      <c r="D91" s="1" t="s">
        <v>19</v>
      </c>
      <c r="E91" s="1" t="s">
        <v>20</v>
      </c>
      <c r="F91" s="1" t="n">
        <v>30</v>
      </c>
      <c r="G91" s="2" t="s">
        <v>21</v>
      </c>
      <c r="H91" s="1" t="n">
        <v>0.1902</v>
      </c>
      <c r="I91" s="1" t="n">
        <v>0.289072876627668</v>
      </c>
      <c r="J91" s="1" t="n">
        <v>0.352254805184468</v>
      </c>
      <c r="K91" s="1" t="n">
        <f aca="false">J91-I91</f>
        <v>0.0631819285568006</v>
      </c>
      <c r="L91" s="1" t="n">
        <v>0.645399166816264</v>
      </c>
    </row>
    <row r="92" customFormat="false" ht="15" hidden="false" customHeight="false" outlineLevel="0" collapsed="false">
      <c r="A92" s="1" t="s">
        <v>74</v>
      </c>
      <c r="B92" s="1" t="s">
        <v>75</v>
      </c>
      <c r="C92" s="1" t="s">
        <v>76</v>
      </c>
      <c r="D92" s="1" t="s">
        <v>19</v>
      </c>
      <c r="E92" s="1" t="s">
        <v>20</v>
      </c>
      <c r="F92" s="1" t="n">
        <v>30</v>
      </c>
      <c r="G92" s="2" t="s">
        <v>42</v>
      </c>
      <c r="H92" s="1" t="n">
        <v>0.1847</v>
      </c>
      <c r="I92" s="1" t="n">
        <v>0.280735277597734</v>
      </c>
      <c r="J92" s="1" t="n">
        <v>0.269343351786789</v>
      </c>
      <c r="K92" s="1" t="n">
        <f aca="false">J92-I92</f>
        <v>-0.0113919258109451</v>
      </c>
      <c r="L92" s="1" t="n">
        <v>0.645399166816264</v>
      </c>
    </row>
    <row r="93" customFormat="false" ht="15" hidden="false" customHeight="false" outlineLevel="0" collapsed="false">
      <c r="A93" s="1" t="s">
        <v>74</v>
      </c>
      <c r="B93" s="1" t="s">
        <v>75</v>
      </c>
      <c r="C93" s="1" t="s">
        <v>76</v>
      </c>
      <c r="D93" s="1" t="s">
        <v>19</v>
      </c>
      <c r="E93" s="1" t="s">
        <v>20</v>
      </c>
      <c r="F93" s="1" t="n">
        <v>30</v>
      </c>
      <c r="G93" s="2" t="s">
        <v>24</v>
      </c>
      <c r="H93" s="1" t="n">
        <v>0.1797</v>
      </c>
      <c r="I93" s="1" t="n">
        <v>0.272997877715109</v>
      </c>
      <c r="J93" s="1" t="n">
        <v>0.270666153957639</v>
      </c>
      <c r="K93" s="1" t="n">
        <f aca="false">J93-I93</f>
        <v>-0.00233172375747004</v>
      </c>
      <c r="L93" s="1" t="n">
        <v>0.645399166816264</v>
      </c>
    </row>
    <row r="94" customFormat="false" ht="15" hidden="false" customHeight="false" outlineLevel="0" collapsed="false">
      <c r="A94" s="1" t="s">
        <v>74</v>
      </c>
      <c r="B94" s="1" t="s">
        <v>75</v>
      </c>
      <c r="C94" s="1" t="s">
        <v>76</v>
      </c>
      <c r="D94" s="1" t="s">
        <v>19</v>
      </c>
      <c r="E94" s="1" t="s">
        <v>20</v>
      </c>
      <c r="F94" s="1" t="n">
        <v>30</v>
      </c>
      <c r="G94" s="2" t="s">
        <v>46</v>
      </c>
      <c r="H94" s="1" t="n">
        <v>0.1771</v>
      </c>
      <c r="I94" s="1" t="n">
        <v>0.269116361146666</v>
      </c>
      <c r="J94" s="1" t="n">
        <v>0.283121907706589</v>
      </c>
      <c r="K94" s="1" t="n">
        <f aca="false">J94-I94</f>
        <v>0.0140055465599227</v>
      </c>
      <c r="L94" s="1" t="n">
        <v>0.645399166816264</v>
      </c>
    </row>
    <row r="95" customFormat="false" ht="15" hidden="false" customHeight="false" outlineLevel="0" collapsed="false">
      <c r="A95" s="1" t="s">
        <v>74</v>
      </c>
      <c r="B95" s="1" t="s">
        <v>75</v>
      </c>
      <c r="C95" s="1" t="s">
        <v>76</v>
      </c>
      <c r="D95" s="1" t="s">
        <v>19</v>
      </c>
      <c r="E95" s="1" t="s">
        <v>20</v>
      </c>
      <c r="F95" s="1" t="n">
        <v>30</v>
      </c>
      <c r="G95" s="2" t="s">
        <v>23</v>
      </c>
      <c r="H95" s="1" t="n">
        <v>0.1683</v>
      </c>
      <c r="I95" s="1" t="n">
        <v>0.255720116327987</v>
      </c>
      <c r="J95" s="1" t="n">
        <v>0.281398335587167</v>
      </c>
      <c r="K95" s="1" t="n">
        <f aca="false">J95-I95</f>
        <v>0.0256782192591796</v>
      </c>
      <c r="L95" s="1" t="n">
        <v>0.645399166816264</v>
      </c>
    </row>
    <row r="96" customFormat="false" ht="15" hidden="false" customHeight="false" outlineLevel="0" collapsed="false">
      <c r="A96" s="1" t="s">
        <v>74</v>
      </c>
      <c r="B96" s="1" t="s">
        <v>75</v>
      </c>
      <c r="C96" s="1" t="s">
        <v>76</v>
      </c>
      <c r="D96" s="1" t="s">
        <v>19</v>
      </c>
      <c r="E96" s="1" t="s">
        <v>20</v>
      </c>
      <c r="F96" s="1" t="n">
        <v>30</v>
      </c>
      <c r="G96" s="2" t="s">
        <v>26</v>
      </c>
      <c r="H96" s="1" t="n">
        <v>0.1</v>
      </c>
      <c r="I96" s="1" t="n">
        <v>0.201200334367131</v>
      </c>
      <c r="J96" s="1" t="n">
        <v>0.252605448482035</v>
      </c>
      <c r="K96" s="1" t="n">
        <f aca="false">J96-I96</f>
        <v>0.0514051141149044</v>
      </c>
      <c r="L96" s="1" t="n">
        <v>0.645399166816264</v>
      </c>
    </row>
    <row r="97" customFormat="false" ht="15" hidden="false" customHeight="false" outlineLevel="0" collapsed="false">
      <c r="A97" s="1" t="s">
        <v>77</v>
      </c>
      <c r="B97" s="1" t="s">
        <v>78</v>
      </c>
      <c r="C97" s="1" t="s">
        <v>79</v>
      </c>
      <c r="D97" s="1" t="s">
        <v>19</v>
      </c>
      <c r="E97" s="1" t="s">
        <v>20</v>
      </c>
      <c r="F97" s="1" t="n">
        <v>32</v>
      </c>
      <c r="G97" s="2" t="s">
        <v>21</v>
      </c>
      <c r="H97" s="1" t="n">
        <v>0.3425</v>
      </c>
      <c r="I97" s="1" t="n">
        <v>0.263679243571299</v>
      </c>
      <c r="J97" s="1" t="n">
        <v>0.344740203516752</v>
      </c>
      <c r="K97" s="1" t="n">
        <f aca="false">J97-I97</f>
        <v>0.0810609599454536</v>
      </c>
      <c r="L97" s="1" t="n">
        <v>0.773016224974695</v>
      </c>
    </row>
    <row r="98" customFormat="false" ht="15" hidden="false" customHeight="false" outlineLevel="0" collapsed="false">
      <c r="A98" s="1" t="s">
        <v>77</v>
      </c>
      <c r="B98" s="1" t="s">
        <v>78</v>
      </c>
      <c r="C98" s="1" t="s">
        <v>79</v>
      </c>
      <c r="D98" s="1" t="s">
        <v>19</v>
      </c>
      <c r="E98" s="1" t="s">
        <v>20</v>
      </c>
      <c r="F98" s="1" t="n">
        <v>32</v>
      </c>
      <c r="G98" s="2" t="s">
        <v>23</v>
      </c>
      <c r="H98" s="1" t="n">
        <v>0.2955</v>
      </c>
      <c r="I98" s="1" t="n">
        <v>0.227478601678492</v>
      </c>
      <c r="J98" s="1" t="n">
        <v>0.290316662605819</v>
      </c>
      <c r="K98" s="1" t="n">
        <f aca="false">J98-I98</f>
        <v>0.0628380609273266</v>
      </c>
      <c r="L98" s="1" t="n">
        <v>0.773016224974695</v>
      </c>
    </row>
    <row r="99" customFormat="false" ht="15" hidden="false" customHeight="false" outlineLevel="0" collapsed="false">
      <c r="A99" s="1" t="s">
        <v>77</v>
      </c>
      <c r="B99" s="1" t="s">
        <v>78</v>
      </c>
      <c r="C99" s="1" t="s">
        <v>79</v>
      </c>
      <c r="D99" s="1" t="s">
        <v>19</v>
      </c>
      <c r="E99" s="1" t="s">
        <v>20</v>
      </c>
      <c r="F99" s="1" t="n">
        <v>32</v>
      </c>
      <c r="G99" s="2" t="s">
        <v>30</v>
      </c>
      <c r="H99" s="1" t="n">
        <v>0.262</v>
      </c>
      <c r="I99" s="1" t="n">
        <v>0.201727349903192</v>
      </c>
      <c r="J99" s="1" t="n">
        <v>0.258899173340393</v>
      </c>
      <c r="K99" s="1" t="n">
        <f aca="false">J99-I99</f>
        <v>0.0571718234372017</v>
      </c>
      <c r="L99" s="1" t="n">
        <v>0.773016224974695</v>
      </c>
    </row>
    <row r="100" customFormat="false" ht="15" hidden="false" customHeight="false" outlineLevel="0" collapsed="false">
      <c r="A100" s="1" t="s">
        <v>77</v>
      </c>
      <c r="B100" s="1" t="s">
        <v>78</v>
      </c>
      <c r="C100" s="1" t="s">
        <v>79</v>
      </c>
      <c r="D100" s="1" t="s">
        <v>19</v>
      </c>
      <c r="E100" s="1" t="s">
        <v>20</v>
      </c>
      <c r="F100" s="1" t="n">
        <v>32</v>
      </c>
      <c r="G100" s="2" t="s">
        <v>26</v>
      </c>
      <c r="H100" s="1" t="n">
        <v>0.1</v>
      </c>
      <c r="I100" s="1" t="n">
        <v>0.196038773772917</v>
      </c>
      <c r="J100" s="1" t="n">
        <v>0.262344933991905</v>
      </c>
      <c r="K100" s="1" t="n">
        <f aca="false">J100-I100</f>
        <v>0.0663061602189884</v>
      </c>
      <c r="L100" s="1" t="n">
        <v>0.773016224974695</v>
      </c>
    </row>
    <row r="101" customFormat="false" ht="15" hidden="false" customHeight="false" outlineLevel="0" collapsed="false">
      <c r="A101" s="1" t="s">
        <v>80</v>
      </c>
      <c r="B101" s="1" t="s">
        <v>81</v>
      </c>
      <c r="C101" s="1" t="s">
        <v>82</v>
      </c>
      <c r="D101" s="1" t="s">
        <v>19</v>
      </c>
      <c r="E101" s="1" t="s">
        <v>20</v>
      </c>
      <c r="F101" s="1" t="n">
        <v>34</v>
      </c>
      <c r="G101" s="2" t="s">
        <v>21</v>
      </c>
      <c r="H101" s="1" t="n">
        <v>0.2068</v>
      </c>
      <c r="I101" s="1" t="n">
        <v>0.304551016655737</v>
      </c>
      <c r="J101" s="1" t="n">
        <v>0.369442904091758</v>
      </c>
      <c r="K101" s="1" t="n">
        <f aca="false">J101-I101</f>
        <v>0.064891887436021</v>
      </c>
      <c r="L101" s="1" t="n">
        <v>0.583045440245199</v>
      </c>
    </row>
    <row r="102" customFormat="false" ht="15" hidden="false" customHeight="false" outlineLevel="0" collapsed="false">
      <c r="A102" s="1" t="s">
        <v>80</v>
      </c>
      <c r="B102" s="1" t="s">
        <v>81</v>
      </c>
      <c r="C102" s="1" t="s">
        <v>82</v>
      </c>
      <c r="D102" s="1" t="s">
        <v>19</v>
      </c>
      <c r="E102" s="1" t="s">
        <v>20</v>
      </c>
      <c r="F102" s="1" t="n">
        <v>34</v>
      </c>
      <c r="G102" s="2" t="s">
        <v>23</v>
      </c>
      <c r="H102" s="1" t="n">
        <v>0.1818</v>
      </c>
      <c r="I102" s="1" t="n">
        <v>0.267720822827154</v>
      </c>
      <c r="J102" s="1" t="n">
        <v>0.315849728375144</v>
      </c>
      <c r="K102" s="1" t="n">
        <f aca="false">J102-I102</f>
        <v>0.0481289055479901</v>
      </c>
      <c r="L102" s="1" t="n">
        <v>0.583045440245199</v>
      </c>
    </row>
    <row r="103" customFormat="false" ht="15" hidden="false" customHeight="false" outlineLevel="0" collapsed="false">
      <c r="A103" s="1" t="s">
        <v>80</v>
      </c>
      <c r="B103" s="1" t="s">
        <v>81</v>
      </c>
      <c r="C103" s="1" t="s">
        <v>82</v>
      </c>
      <c r="D103" s="1" t="s">
        <v>19</v>
      </c>
      <c r="E103" s="1" t="s">
        <v>20</v>
      </c>
      <c r="F103" s="1" t="n">
        <v>34</v>
      </c>
      <c r="G103" s="2" t="s">
        <v>24</v>
      </c>
      <c r="H103" s="1" t="n">
        <v>0.1768</v>
      </c>
      <c r="I103" s="1" t="n">
        <v>0.260339503338735</v>
      </c>
      <c r="J103" s="1" t="n">
        <v>0.281766921775824</v>
      </c>
      <c r="K103" s="1" t="n">
        <f aca="false">J103-I103</f>
        <v>0.021427418437089</v>
      </c>
      <c r="L103" s="1" t="n">
        <v>0.583045440245199</v>
      </c>
    </row>
    <row r="104" customFormat="false" ht="15" hidden="false" customHeight="false" outlineLevel="0" collapsed="false">
      <c r="A104" s="1" t="s">
        <v>80</v>
      </c>
      <c r="B104" s="1" t="s">
        <v>81</v>
      </c>
      <c r="C104" s="1" t="s">
        <v>82</v>
      </c>
      <c r="D104" s="1" t="s">
        <v>19</v>
      </c>
      <c r="E104" s="1" t="s">
        <v>20</v>
      </c>
      <c r="F104" s="1" t="n">
        <v>34</v>
      </c>
      <c r="G104" s="2" t="s">
        <v>42</v>
      </c>
      <c r="H104" s="1" t="n">
        <v>0.1681</v>
      </c>
      <c r="I104" s="1" t="n">
        <v>0.247539267071817</v>
      </c>
      <c r="J104" s="1" t="n">
        <v>0.294398708663006</v>
      </c>
      <c r="K104" s="1" t="n">
        <f aca="false">J104-I104</f>
        <v>0.0468594415911889</v>
      </c>
      <c r="L104" s="1" t="n">
        <v>0.583045440245199</v>
      </c>
    </row>
    <row r="105" customFormat="false" ht="15" hidden="false" customHeight="false" outlineLevel="0" collapsed="false">
      <c r="A105" s="1" t="s">
        <v>80</v>
      </c>
      <c r="B105" s="1" t="s">
        <v>81</v>
      </c>
      <c r="C105" s="1" t="s">
        <v>82</v>
      </c>
      <c r="D105" s="1" t="s">
        <v>19</v>
      </c>
      <c r="E105" s="1" t="s">
        <v>20</v>
      </c>
      <c r="F105" s="1" t="n">
        <v>34</v>
      </c>
      <c r="G105" s="2" t="s">
        <v>30</v>
      </c>
      <c r="H105" s="1" t="n">
        <v>0.1665</v>
      </c>
      <c r="I105" s="1" t="n">
        <v>0.245155113051215</v>
      </c>
      <c r="J105" s="1" t="n">
        <v>0.28127767150278</v>
      </c>
      <c r="K105" s="1" t="n">
        <f aca="false">J105-I105</f>
        <v>0.0361225584515649</v>
      </c>
      <c r="L105" s="1" t="n">
        <v>0.583045440245199</v>
      </c>
    </row>
    <row r="106" customFormat="false" ht="15" hidden="false" customHeight="false" outlineLevel="0" collapsed="false">
      <c r="A106" s="1" t="s">
        <v>80</v>
      </c>
      <c r="B106" s="1" t="s">
        <v>81</v>
      </c>
      <c r="C106" s="1" t="s">
        <v>82</v>
      </c>
      <c r="D106" s="1" t="s">
        <v>19</v>
      </c>
      <c r="E106" s="1" t="s">
        <v>20</v>
      </c>
      <c r="F106" s="1" t="n">
        <v>34</v>
      </c>
      <c r="G106" s="2" t="s">
        <v>26</v>
      </c>
      <c r="H106" s="1" t="n">
        <v>0.1</v>
      </c>
      <c r="I106" s="1" t="n">
        <v>0.195970421594357</v>
      </c>
      <c r="J106" s="1" t="n">
        <v>0.237946235587097</v>
      </c>
      <c r="K106" s="1" t="n">
        <f aca="false">J106-I106</f>
        <v>0.0419758139927395</v>
      </c>
      <c r="L106" s="1" t="n">
        <v>0.583045440245199</v>
      </c>
    </row>
    <row r="107" customFormat="false" ht="15" hidden="false" customHeight="false" outlineLevel="0" collapsed="false">
      <c r="A107" s="1" t="s">
        <v>83</v>
      </c>
      <c r="B107" s="1" t="s">
        <v>84</v>
      </c>
      <c r="C107" s="1" t="s">
        <v>85</v>
      </c>
      <c r="D107" s="1" t="s">
        <v>19</v>
      </c>
      <c r="E107" s="1" t="s">
        <v>20</v>
      </c>
      <c r="F107" s="1" t="n">
        <v>36</v>
      </c>
      <c r="G107" s="2" t="s">
        <v>21</v>
      </c>
      <c r="H107" s="1" t="n">
        <v>0.1907</v>
      </c>
      <c r="I107" s="1" t="n">
        <v>0.321197235492462</v>
      </c>
      <c r="J107" s="1" t="n">
        <v>0.456773854239121</v>
      </c>
      <c r="K107" s="1" t="n">
        <f aca="false">J107-I107</f>
        <v>0.13557661874666</v>
      </c>
      <c r="L107" s="1" t="n">
        <v>0.795481203585273</v>
      </c>
    </row>
    <row r="108" customFormat="false" ht="15" hidden="false" customHeight="false" outlineLevel="0" collapsed="false">
      <c r="A108" s="1" t="s">
        <v>83</v>
      </c>
      <c r="B108" s="1" t="s">
        <v>84</v>
      </c>
      <c r="C108" s="1" t="s">
        <v>85</v>
      </c>
      <c r="D108" s="1" t="s">
        <v>19</v>
      </c>
      <c r="E108" s="1" t="s">
        <v>20</v>
      </c>
      <c r="F108" s="1" t="n">
        <v>36</v>
      </c>
      <c r="G108" s="2" t="s">
        <v>46</v>
      </c>
      <c r="H108" s="1" t="n">
        <v>0.1895</v>
      </c>
      <c r="I108" s="1" t="n">
        <v>0.319054605601865</v>
      </c>
      <c r="J108" s="1" t="n">
        <v>0.421573570137155</v>
      </c>
      <c r="K108" s="1" t="n">
        <f aca="false">J108-I108</f>
        <v>0.10251896453529</v>
      </c>
      <c r="L108" s="1" t="n">
        <v>0.795481203585273</v>
      </c>
    </row>
    <row r="109" customFormat="false" ht="15" hidden="false" customHeight="false" outlineLevel="0" collapsed="false">
      <c r="A109" s="1" t="s">
        <v>83</v>
      </c>
      <c r="B109" s="1" t="s">
        <v>84</v>
      </c>
      <c r="C109" s="1" t="s">
        <v>85</v>
      </c>
      <c r="D109" s="1" t="s">
        <v>19</v>
      </c>
      <c r="E109" s="1" t="s">
        <v>20</v>
      </c>
      <c r="F109" s="1" t="n">
        <v>36</v>
      </c>
      <c r="G109" s="2" t="s">
        <v>25</v>
      </c>
      <c r="H109" s="1" t="n">
        <v>0.1866</v>
      </c>
      <c r="I109" s="1" t="n">
        <v>0.314162650854527</v>
      </c>
      <c r="J109" s="1" t="n">
        <v>0.384055650938057</v>
      </c>
      <c r="K109" s="1" t="n">
        <f aca="false">J109-I109</f>
        <v>0.0698930000835303</v>
      </c>
      <c r="L109" s="1" t="n">
        <v>0.795481203585273</v>
      </c>
    </row>
    <row r="110" customFormat="false" ht="15" hidden="false" customHeight="false" outlineLevel="0" collapsed="false">
      <c r="A110" s="1" t="s">
        <v>83</v>
      </c>
      <c r="B110" s="1" t="s">
        <v>84</v>
      </c>
      <c r="C110" s="1" t="s">
        <v>85</v>
      </c>
      <c r="D110" s="1" t="s">
        <v>19</v>
      </c>
      <c r="E110" s="1" t="s">
        <v>20</v>
      </c>
      <c r="F110" s="1" t="n">
        <v>36</v>
      </c>
      <c r="G110" s="2" t="s">
        <v>23</v>
      </c>
      <c r="H110" s="1" t="n">
        <v>0.1725</v>
      </c>
      <c r="I110" s="1" t="n">
        <v>0.290526215356474</v>
      </c>
      <c r="J110" s="1" t="n">
        <v>0.397887560572155</v>
      </c>
      <c r="K110" s="1" t="n">
        <f aca="false">J110-I110</f>
        <v>0.107361345215681</v>
      </c>
      <c r="L110" s="1" t="n">
        <v>0.795481203585273</v>
      </c>
    </row>
    <row r="111" customFormat="false" ht="15" hidden="false" customHeight="false" outlineLevel="0" collapsed="false">
      <c r="A111" s="1" t="s">
        <v>83</v>
      </c>
      <c r="B111" s="1" t="s">
        <v>84</v>
      </c>
      <c r="C111" s="1" t="s">
        <v>85</v>
      </c>
      <c r="D111" s="1" t="s">
        <v>19</v>
      </c>
      <c r="E111" s="1" t="s">
        <v>20</v>
      </c>
      <c r="F111" s="1" t="n">
        <v>36</v>
      </c>
      <c r="G111" s="2" t="s">
        <v>38</v>
      </c>
      <c r="H111" s="1" t="n">
        <v>0.1607</v>
      </c>
      <c r="I111" s="1" t="n">
        <v>0.270649584755901</v>
      </c>
      <c r="J111" s="1" t="n">
        <v>0.353076060263353</v>
      </c>
      <c r="K111" s="1" t="n">
        <f aca="false">J111-I111</f>
        <v>0.0824264755074527</v>
      </c>
      <c r="L111" s="1" t="n">
        <v>0.795481203585273</v>
      </c>
    </row>
    <row r="112" customFormat="false" ht="15" hidden="false" customHeight="false" outlineLevel="0" collapsed="false">
      <c r="A112" s="1" t="s">
        <v>83</v>
      </c>
      <c r="B112" s="1" t="s">
        <v>84</v>
      </c>
      <c r="C112" s="1" t="s">
        <v>85</v>
      </c>
      <c r="D112" s="1" t="s">
        <v>19</v>
      </c>
      <c r="E112" s="1" t="s">
        <v>20</v>
      </c>
      <c r="F112" s="1" t="n">
        <v>36</v>
      </c>
      <c r="G112" s="2" t="s">
        <v>26</v>
      </c>
      <c r="H112" s="1" t="n">
        <v>0.1</v>
      </c>
      <c r="I112" s="1" t="n">
        <v>0.210492531809519</v>
      </c>
      <c r="J112" s="1" t="n">
        <v>0.327896777006294</v>
      </c>
      <c r="K112" s="1" t="n">
        <f aca="false">J112-I112</f>
        <v>0.117404245196775</v>
      </c>
      <c r="L112" s="1" t="n">
        <v>0.795481203585273</v>
      </c>
    </row>
    <row r="113" customFormat="false" ht="15" hidden="false" customHeight="false" outlineLevel="0" collapsed="false">
      <c r="A113" s="1" t="s">
        <v>86</v>
      </c>
      <c r="B113" s="1" t="s">
        <v>87</v>
      </c>
      <c r="C113" s="1" t="s">
        <v>88</v>
      </c>
      <c r="D113" s="1" t="s">
        <v>19</v>
      </c>
      <c r="E113" s="1" t="s">
        <v>20</v>
      </c>
      <c r="F113" s="1" t="n">
        <v>38</v>
      </c>
      <c r="G113" s="2" t="s">
        <v>34</v>
      </c>
      <c r="H113" s="1" t="n">
        <v>0.1945</v>
      </c>
      <c r="I113" s="1" t="n">
        <v>0.291882094280922</v>
      </c>
      <c r="J113" s="1" t="n">
        <v>0.29527737129254</v>
      </c>
      <c r="K113" s="1" t="n">
        <f aca="false">J113-I113</f>
        <v>0.00339527701161868</v>
      </c>
      <c r="L113" s="1" t="n">
        <v>0.652507768318238</v>
      </c>
    </row>
    <row r="114" customFormat="false" ht="15" hidden="false" customHeight="false" outlineLevel="0" collapsed="false">
      <c r="A114" s="1" t="s">
        <v>86</v>
      </c>
      <c r="B114" s="1" t="s">
        <v>87</v>
      </c>
      <c r="C114" s="1" t="s">
        <v>88</v>
      </c>
      <c r="D114" s="1" t="s">
        <v>19</v>
      </c>
      <c r="E114" s="1" t="s">
        <v>20</v>
      </c>
      <c r="F114" s="1" t="n">
        <v>38</v>
      </c>
      <c r="G114" s="2" t="s">
        <v>23</v>
      </c>
      <c r="H114" s="1" t="n">
        <v>0.189</v>
      </c>
      <c r="I114" s="1" t="n">
        <v>0.283732504231664</v>
      </c>
      <c r="J114" s="1" t="n">
        <v>0.306332864228265</v>
      </c>
      <c r="K114" s="1" t="n">
        <f aca="false">J114-I114</f>
        <v>0.0226003599966016</v>
      </c>
      <c r="L114" s="1" t="n">
        <v>0.652507768318238</v>
      </c>
    </row>
    <row r="115" customFormat="false" ht="15" hidden="false" customHeight="false" outlineLevel="0" collapsed="false">
      <c r="A115" s="1" t="s">
        <v>86</v>
      </c>
      <c r="B115" s="1" t="s">
        <v>87</v>
      </c>
      <c r="C115" s="1" t="s">
        <v>88</v>
      </c>
      <c r="D115" s="1" t="s">
        <v>19</v>
      </c>
      <c r="E115" s="1" t="s">
        <v>20</v>
      </c>
      <c r="F115" s="1" t="n">
        <v>38</v>
      </c>
      <c r="G115" s="2" t="s">
        <v>21</v>
      </c>
      <c r="H115" s="1" t="n">
        <v>0.1886</v>
      </c>
      <c r="I115" s="1" t="n">
        <v>0.28309886028775</v>
      </c>
      <c r="J115" s="1" t="n">
        <v>0.343661251071034</v>
      </c>
      <c r="K115" s="1" t="n">
        <f aca="false">J115-I115</f>
        <v>0.0605623907832848</v>
      </c>
      <c r="L115" s="1" t="n">
        <v>0.652507768318238</v>
      </c>
    </row>
    <row r="116" customFormat="false" ht="15" hidden="false" customHeight="false" outlineLevel="0" collapsed="false">
      <c r="A116" s="1" t="s">
        <v>86</v>
      </c>
      <c r="B116" s="1" t="s">
        <v>87</v>
      </c>
      <c r="C116" s="1" t="s">
        <v>88</v>
      </c>
      <c r="D116" s="1" t="s">
        <v>19</v>
      </c>
      <c r="E116" s="1" t="s">
        <v>20</v>
      </c>
      <c r="F116" s="1" t="n">
        <v>38</v>
      </c>
      <c r="G116" s="2" t="s">
        <v>42</v>
      </c>
      <c r="H116" s="1" t="n">
        <v>0.1642</v>
      </c>
      <c r="I116" s="1" t="n">
        <v>0.246470037182246</v>
      </c>
      <c r="J116" s="1" t="n">
        <v>0.326445166189689</v>
      </c>
      <c r="K116" s="1" t="n">
        <f aca="false">J116-I116</f>
        <v>0.0799751290074431</v>
      </c>
      <c r="L116" s="1" t="n">
        <v>0.652507768318238</v>
      </c>
    </row>
    <row r="117" customFormat="false" ht="15" hidden="false" customHeight="false" outlineLevel="0" collapsed="false">
      <c r="A117" s="1" t="s">
        <v>86</v>
      </c>
      <c r="B117" s="1" t="s">
        <v>87</v>
      </c>
      <c r="C117" s="1" t="s">
        <v>88</v>
      </c>
      <c r="D117" s="1" t="s">
        <v>19</v>
      </c>
      <c r="E117" s="1" t="s">
        <v>20</v>
      </c>
      <c r="F117" s="1" t="n">
        <v>38</v>
      </c>
      <c r="G117" s="2" t="s">
        <v>24</v>
      </c>
      <c r="H117" s="1" t="n">
        <v>0.1637</v>
      </c>
      <c r="I117" s="1" t="n">
        <v>0.245725988250756</v>
      </c>
      <c r="J117" s="1" t="n">
        <v>0.289744426529448</v>
      </c>
      <c r="K117" s="1" t="n">
        <f aca="false">J117-I117</f>
        <v>0.0440184382786917</v>
      </c>
      <c r="L117" s="1" t="n">
        <v>0.652507768318238</v>
      </c>
    </row>
    <row r="118" customFormat="false" ht="15" hidden="false" customHeight="false" outlineLevel="0" collapsed="false">
      <c r="A118" s="1" t="s">
        <v>86</v>
      </c>
      <c r="B118" s="1" t="s">
        <v>87</v>
      </c>
      <c r="C118" s="1" t="s">
        <v>88</v>
      </c>
      <c r="D118" s="1" t="s">
        <v>19</v>
      </c>
      <c r="E118" s="1" t="s">
        <v>20</v>
      </c>
      <c r="F118" s="1" t="n">
        <v>38</v>
      </c>
      <c r="G118" s="2" t="s">
        <v>26</v>
      </c>
      <c r="H118" s="1" t="n">
        <v>0.1</v>
      </c>
      <c r="I118" s="1" t="n">
        <v>0.224192114951546</v>
      </c>
      <c r="J118" s="1" t="n">
        <v>0.245541806894272</v>
      </c>
      <c r="K118" s="1" t="n">
        <f aca="false">J118-I118</f>
        <v>0.0213496919427254</v>
      </c>
      <c r="L118" s="1" t="n">
        <v>0.652507768318238</v>
      </c>
    </row>
    <row r="119" customFormat="false" ht="15" hidden="false" customHeight="false" outlineLevel="0" collapsed="false">
      <c r="A119" s="1" t="s">
        <v>89</v>
      </c>
      <c r="B119" s="1" t="s">
        <v>90</v>
      </c>
      <c r="C119" s="1" t="s">
        <v>91</v>
      </c>
      <c r="D119" s="1" t="s">
        <v>19</v>
      </c>
      <c r="E119" s="1" t="s">
        <v>20</v>
      </c>
      <c r="F119" s="1" t="n">
        <v>40</v>
      </c>
      <c r="G119" s="2" t="s">
        <v>21</v>
      </c>
      <c r="H119" s="1" t="n">
        <v>0.1937</v>
      </c>
      <c r="I119" s="1" t="n">
        <v>0.246828351920166</v>
      </c>
      <c r="J119" s="1" t="n">
        <v>0.275208040528759</v>
      </c>
      <c r="K119" s="1" t="n">
        <f aca="false">J119-I119</f>
        <v>0.028379688608593</v>
      </c>
      <c r="L119" s="1" t="n">
        <v>0.613427900388095</v>
      </c>
    </row>
    <row r="120" customFormat="false" ht="15" hidden="false" customHeight="false" outlineLevel="0" collapsed="false">
      <c r="A120" s="1" t="s">
        <v>89</v>
      </c>
      <c r="B120" s="1" t="s">
        <v>90</v>
      </c>
      <c r="C120" s="1" t="s">
        <v>91</v>
      </c>
      <c r="D120" s="1" t="s">
        <v>19</v>
      </c>
      <c r="E120" s="1" t="s">
        <v>20</v>
      </c>
      <c r="F120" s="1" t="n">
        <v>40</v>
      </c>
      <c r="G120" s="2" t="s">
        <v>34</v>
      </c>
      <c r="H120" s="1" t="n">
        <v>0.1853</v>
      </c>
      <c r="I120" s="1" t="n">
        <v>0.236139881648228</v>
      </c>
      <c r="J120" s="1" t="n">
        <v>0.175629535521207</v>
      </c>
      <c r="K120" s="1" t="n">
        <f aca="false">J120-I120</f>
        <v>-0.0605103461270202</v>
      </c>
      <c r="L120" s="1" t="n">
        <v>0.613427900388095</v>
      </c>
    </row>
    <row r="121" customFormat="false" ht="15" hidden="false" customHeight="false" outlineLevel="0" collapsed="false">
      <c r="A121" s="1" t="s">
        <v>89</v>
      </c>
      <c r="B121" s="1" t="s">
        <v>90</v>
      </c>
      <c r="C121" s="1" t="s">
        <v>91</v>
      </c>
      <c r="D121" s="1" t="s">
        <v>19</v>
      </c>
      <c r="E121" s="1" t="s">
        <v>20</v>
      </c>
      <c r="F121" s="1" t="n">
        <v>40</v>
      </c>
      <c r="G121" s="2" t="s">
        <v>24</v>
      </c>
      <c r="H121" s="1" t="n">
        <v>0.1784</v>
      </c>
      <c r="I121" s="1" t="n">
        <v>0.227420085368161</v>
      </c>
      <c r="J121" s="1" t="n">
        <v>0.231590453783078</v>
      </c>
      <c r="K121" s="1" t="n">
        <f aca="false">J121-I121</f>
        <v>0.0041703684149175</v>
      </c>
      <c r="L121" s="1" t="n">
        <v>0.613427900388095</v>
      </c>
    </row>
    <row r="122" customFormat="false" ht="15" hidden="false" customHeight="false" outlineLevel="0" collapsed="false">
      <c r="A122" s="1" t="s">
        <v>89</v>
      </c>
      <c r="B122" s="1" t="s">
        <v>90</v>
      </c>
      <c r="C122" s="1" t="s">
        <v>91</v>
      </c>
      <c r="D122" s="1" t="s">
        <v>19</v>
      </c>
      <c r="E122" s="1" t="s">
        <v>20</v>
      </c>
      <c r="F122" s="1" t="n">
        <v>40</v>
      </c>
      <c r="G122" s="2" t="s">
        <v>42</v>
      </c>
      <c r="H122" s="1" t="n">
        <v>0.1738</v>
      </c>
      <c r="I122" s="1" t="n">
        <v>0.221540624837141</v>
      </c>
      <c r="J122" s="1" t="n">
        <v>0.182508977900612</v>
      </c>
      <c r="K122" s="1" t="n">
        <f aca="false">J122-I122</f>
        <v>-0.0390316469365299</v>
      </c>
      <c r="L122" s="1" t="n">
        <v>0.613427900388095</v>
      </c>
    </row>
    <row r="123" customFormat="false" ht="15" hidden="false" customHeight="false" outlineLevel="0" collapsed="false">
      <c r="A123" s="1" t="s">
        <v>89</v>
      </c>
      <c r="B123" s="1" t="s">
        <v>90</v>
      </c>
      <c r="C123" s="1" t="s">
        <v>91</v>
      </c>
      <c r="D123" s="1" t="s">
        <v>19</v>
      </c>
      <c r="E123" s="1" t="s">
        <v>20</v>
      </c>
      <c r="F123" s="1" t="n">
        <v>40</v>
      </c>
      <c r="G123" s="2" t="s">
        <v>23</v>
      </c>
      <c r="H123" s="1" t="n">
        <v>0.1688</v>
      </c>
      <c r="I123" s="1" t="n">
        <v>0.215189647443695</v>
      </c>
      <c r="J123" s="1" t="n">
        <v>0.245444318992349</v>
      </c>
      <c r="K123" s="1" t="n">
        <f aca="false">J123-I123</f>
        <v>0.0302546715486539</v>
      </c>
      <c r="L123" s="1" t="n">
        <v>0.613427900388095</v>
      </c>
    </row>
    <row r="124" customFormat="false" ht="15" hidden="false" customHeight="false" outlineLevel="0" collapsed="false">
      <c r="A124" s="1" t="s">
        <v>89</v>
      </c>
      <c r="B124" s="1" t="s">
        <v>90</v>
      </c>
      <c r="C124" s="1" t="s">
        <v>91</v>
      </c>
      <c r="D124" s="1" t="s">
        <v>19</v>
      </c>
      <c r="E124" s="1" t="s">
        <v>20</v>
      </c>
      <c r="F124" s="1" t="n">
        <v>40</v>
      </c>
      <c r="G124" s="2" t="s">
        <v>26</v>
      </c>
      <c r="H124" s="1" t="n">
        <v>0.1</v>
      </c>
      <c r="I124" s="1" t="n">
        <v>0.149071960144647</v>
      </c>
      <c r="J124" s="1" t="n">
        <v>0.200392427029745</v>
      </c>
      <c r="K124" s="1" t="n">
        <f aca="false">J124-I124</f>
        <v>0.0513204668850978</v>
      </c>
      <c r="L124" s="1" t="n">
        <v>0.613427900388095</v>
      </c>
    </row>
    <row r="125" customFormat="false" ht="15" hidden="false" customHeight="false" outlineLevel="0" collapsed="false">
      <c r="A125" s="1" t="s">
        <v>92</v>
      </c>
      <c r="B125" s="1" t="s">
        <v>93</v>
      </c>
      <c r="C125" s="1" t="s">
        <v>94</v>
      </c>
      <c r="D125" s="1" t="s">
        <v>19</v>
      </c>
      <c r="E125" s="1" t="s">
        <v>20</v>
      </c>
      <c r="F125" s="1" t="n">
        <v>42</v>
      </c>
      <c r="G125" s="2" t="s">
        <v>21</v>
      </c>
      <c r="H125" s="1" t="n">
        <v>0.191</v>
      </c>
      <c r="I125" s="1" t="n">
        <v>0.256226784448883</v>
      </c>
      <c r="J125" s="1" t="n">
        <v>0.360196447745489</v>
      </c>
      <c r="K125" s="1" t="n">
        <f aca="false">J125-I125</f>
        <v>0.103969663296606</v>
      </c>
      <c r="L125" s="1" t="n">
        <v>0.656999422835807</v>
      </c>
    </row>
    <row r="126" customFormat="false" ht="15" hidden="false" customHeight="false" outlineLevel="0" collapsed="false">
      <c r="A126" s="1" t="s">
        <v>92</v>
      </c>
      <c r="B126" s="1" t="s">
        <v>93</v>
      </c>
      <c r="C126" s="1" t="s">
        <v>94</v>
      </c>
      <c r="D126" s="1" t="s">
        <v>19</v>
      </c>
      <c r="E126" s="1" t="s">
        <v>20</v>
      </c>
      <c r="F126" s="1" t="n">
        <v>42</v>
      </c>
      <c r="G126" s="2" t="s">
        <v>23</v>
      </c>
      <c r="H126" s="1" t="n">
        <v>0.1844</v>
      </c>
      <c r="I126" s="1" t="n">
        <v>0.247407843000672</v>
      </c>
      <c r="J126" s="1" t="n">
        <v>0.321552286042812</v>
      </c>
      <c r="K126" s="1" t="n">
        <f aca="false">J126-I126</f>
        <v>0.0741444430421405</v>
      </c>
      <c r="L126" s="1" t="n">
        <v>0.656999422835807</v>
      </c>
    </row>
    <row r="127" customFormat="false" ht="15" hidden="false" customHeight="false" outlineLevel="0" collapsed="false">
      <c r="A127" s="1" t="s">
        <v>92</v>
      </c>
      <c r="B127" s="1" t="s">
        <v>93</v>
      </c>
      <c r="C127" s="1" t="s">
        <v>94</v>
      </c>
      <c r="D127" s="1" t="s">
        <v>19</v>
      </c>
      <c r="E127" s="1" t="s">
        <v>20</v>
      </c>
      <c r="F127" s="1" t="n">
        <v>42</v>
      </c>
      <c r="G127" s="2" t="s">
        <v>24</v>
      </c>
      <c r="H127" s="1" t="n">
        <v>0.1794</v>
      </c>
      <c r="I127" s="1" t="n">
        <v>0.240628768748797</v>
      </c>
      <c r="J127" s="1" t="n">
        <v>0.325494815258958</v>
      </c>
      <c r="K127" s="1" t="n">
        <f aca="false">J127-I127</f>
        <v>0.084866046510161</v>
      </c>
      <c r="L127" s="1" t="n">
        <v>0.656999422835807</v>
      </c>
    </row>
    <row r="128" customFormat="false" ht="15" hidden="false" customHeight="false" outlineLevel="0" collapsed="false">
      <c r="A128" s="1" t="s">
        <v>92</v>
      </c>
      <c r="B128" s="1" t="s">
        <v>93</v>
      </c>
      <c r="C128" s="1" t="s">
        <v>94</v>
      </c>
      <c r="D128" s="1" t="s">
        <v>19</v>
      </c>
      <c r="E128" s="1" t="s">
        <v>20</v>
      </c>
      <c r="F128" s="1" t="n">
        <v>42</v>
      </c>
      <c r="G128" s="2" t="s">
        <v>42</v>
      </c>
      <c r="H128" s="1" t="n">
        <v>0.178</v>
      </c>
      <c r="I128" s="1" t="n">
        <v>0.238854246766376</v>
      </c>
      <c r="J128" s="1" t="n">
        <v>0.37164952726065</v>
      </c>
      <c r="K128" s="1" t="n">
        <f aca="false">J128-I128</f>
        <v>0.132795280494274</v>
      </c>
      <c r="L128" s="1" t="n">
        <v>0.656999422835807</v>
      </c>
    </row>
    <row r="129" customFormat="false" ht="15" hidden="false" customHeight="false" outlineLevel="0" collapsed="false">
      <c r="A129" s="1" t="s">
        <v>92</v>
      </c>
      <c r="B129" s="1" t="s">
        <v>93</v>
      </c>
      <c r="C129" s="1" t="s">
        <v>94</v>
      </c>
      <c r="D129" s="1" t="s">
        <v>19</v>
      </c>
      <c r="E129" s="1" t="s">
        <v>20</v>
      </c>
      <c r="F129" s="1" t="n">
        <v>42</v>
      </c>
      <c r="G129" s="2" t="s">
        <v>22</v>
      </c>
      <c r="H129" s="1" t="n">
        <v>0.1672</v>
      </c>
      <c r="I129" s="1" t="n">
        <v>0.224258829593504</v>
      </c>
      <c r="J129" s="1" t="n">
        <v>0.296229292026377</v>
      </c>
      <c r="K129" s="1" t="n">
        <f aca="false">J129-I129</f>
        <v>0.0719704624328728</v>
      </c>
      <c r="L129" s="1" t="n">
        <v>0.656999422835807</v>
      </c>
    </row>
    <row r="130" customFormat="false" ht="15" hidden="false" customHeight="false" outlineLevel="0" collapsed="false">
      <c r="A130" s="1" t="s">
        <v>92</v>
      </c>
      <c r="B130" s="1" t="s">
        <v>93</v>
      </c>
      <c r="C130" s="1" t="s">
        <v>94</v>
      </c>
      <c r="D130" s="1" t="s">
        <v>19</v>
      </c>
      <c r="E130" s="1" t="s">
        <v>20</v>
      </c>
      <c r="F130" s="1" t="n">
        <v>42</v>
      </c>
      <c r="G130" s="2" t="s">
        <v>26</v>
      </c>
      <c r="H130" s="1" t="n">
        <v>0.1</v>
      </c>
      <c r="I130" s="1" t="n">
        <v>0.203448010020969</v>
      </c>
      <c r="J130" s="1" t="n">
        <v>0.278586677920665</v>
      </c>
      <c r="K130" s="1" t="n">
        <f aca="false">J130-I130</f>
        <v>0.0751386678996957</v>
      </c>
      <c r="L130" s="1" t="n">
        <v>0.656999422835807</v>
      </c>
    </row>
    <row r="131" customFormat="false" ht="15" hidden="false" customHeight="false" outlineLevel="0" collapsed="false">
      <c r="A131" s="1" t="s">
        <v>95</v>
      </c>
      <c r="B131" s="1" t="s">
        <v>96</v>
      </c>
      <c r="C131" s="1" t="s">
        <v>97</v>
      </c>
      <c r="D131" s="1" t="s">
        <v>19</v>
      </c>
      <c r="E131" s="1" t="s">
        <v>20</v>
      </c>
      <c r="F131" s="1" t="n">
        <v>44</v>
      </c>
      <c r="G131" s="2" t="s">
        <v>42</v>
      </c>
      <c r="H131" s="1" t="n">
        <v>0.1966</v>
      </c>
      <c r="I131" s="1" t="n">
        <v>0.30774601087689</v>
      </c>
      <c r="J131" s="1" t="n">
        <v>0.326901321163775</v>
      </c>
      <c r="K131" s="1" t="n">
        <f aca="false">J131-I131</f>
        <v>0.0191553102868851</v>
      </c>
      <c r="L131" s="1" t="n">
        <v>0.779435389877834</v>
      </c>
    </row>
    <row r="132" customFormat="false" ht="15" hidden="false" customHeight="false" outlineLevel="0" collapsed="false">
      <c r="A132" s="1" t="s">
        <v>95</v>
      </c>
      <c r="B132" s="1" t="s">
        <v>96</v>
      </c>
      <c r="C132" s="1" t="s">
        <v>97</v>
      </c>
      <c r="D132" s="1" t="s">
        <v>19</v>
      </c>
      <c r="E132" s="1" t="s">
        <v>20</v>
      </c>
      <c r="F132" s="1" t="n">
        <v>44</v>
      </c>
      <c r="G132" s="2" t="s">
        <v>21</v>
      </c>
      <c r="H132" s="1" t="n">
        <v>0.189</v>
      </c>
      <c r="I132" s="1" t="n">
        <v>0.295793862540245</v>
      </c>
      <c r="J132" s="1" t="n">
        <v>0.389770620581332</v>
      </c>
      <c r="K132" s="1" t="n">
        <f aca="false">J132-I132</f>
        <v>0.0939767580410877</v>
      </c>
      <c r="L132" s="1" t="n">
        <v>0.779435389877834</v>
      </c>
    </row>
    <row r="133" customFormat="false" ht="15" hidden="false" customHeight="false" outlineLevel="0" collapsed="false">
      <c r="A133" s="1" t="s">
        <v>95</v>
      </c>
      <c r="B133" s="1" t="s">
        <v>96</v>
      </c>
      <c r="C133" s="1" t="s">
        <v>97</v>
      </c>
      <c r="D133" s="1" t="s">
        <v>19</v>
      </c>
      <c r="E133" s="1" t="s">
        <v>20</v>
      </c>
      <c r="F133" s="1" t="n">
        <v>44</v>
      </c>
      <c r="G133" s="2" t="s">
        <v>23</v>
      </c>
      <c r="H133" s="1" t="n">
        <v>0.1745</v>
      </c>
      <c r="I133" s="1" t="n">
        <v>0.273151519209332</v>
      </c>
      <c r="J133" s="1" t="n">
        <v>0.332052946250015</v>
      </c>
      <c r="K133" s="1" t="n">
        <f aca="false">J133-I133</f>
        <v>0.058901427040683</v>
      </c>
      <c r="L133" s="1" t="n">
        <v>0.779435389877834</v>
      </c>
    </row>
    <row r="134" customFormat="false" ht="15" hidden="false" customHeight="false" outlineLevel="0" collapsed="false">
      <c r="A134" s="1" t="s">
        <v>95</v>
      </c>
      <c r="B134" s="1" t="s">
        <v>96</v>
      </c>
      <c r="C134" s="1" t="s">
        <v>97</v>
      </c>
      <c r="D134" s="1" t="s">
        <v>19</v>
      </c>
      <c r="E134" s="1" t="s">
        <v>20</v>
      </c>
      <c r="F134" s="1" t="n">
        <v>44</v>
      </c>
      <c r="G134" s="2" t="s">
        <v>24</v>
      </c>
      <c r="H134" s="1" t="n">
        <v>0.1743</v>
      </c>
      <c r="I134" s="1" t="n">
        <v>0.272714361217645</v>
      </c>
      <c r="J134" s="1" t="n">
        <v>0.316766239044827</v>
      </c>
      <c r="K134" s="1" t="n">
        <f aca="false">J134-I134</f>
        <v>0.0440518778271819</v>
      </c>
      <c r="L134" s="1" t="n">
        <v>0.779435389877834</v>
      </c>
    </row>
    <row r="135" customFormat="false" ht="15" hidden="false" customHeight="false" outlineLevel="0" collapsed="false">
      <c r="A135" s="1" t="s">
        <v>95</v>
      </c>
      <c r="B135" s="1" t="s">
        <v>96</v>
      </c>
      <c r="C135" s="1" t="s">
        <v>97</v>
      </c>
      <c r="D135" s="1" t="s">
        <v>19</v>
      </c>
      <c r="E135" s="1" t="s">
        <v>20</v>
      </c>
      <c r="F135" s="1" t="n">
        <v>44</v>
      </c>
      <c r="G135" s="2" t="s">
        <v>34</v>
      </c>
      <c r="H135" s="1" t="n">
        <v>0.1656</v>
      </c>
      <c r="I135" s="1" t="n">
        <v>0.259149419139952</v>
      </c>
      <c r="J135" s="1" t="n">
        <v>0.298180894600524</v>
      </c>
      <c r="K135" s="1" t="n">
        <f aca="false">J135-I135</f>
        <v>0.0390314754605719</v>
      </c>
      <c r="L135" s="1" t="n">
        <v>0.779435389877834</v>
      </c>
    </row>
    <row r="136" customFormat="false" ht="15" hidden="false" customHeight="false" outlineLevel="0" collapsed="false">
      <c r="A136" s="1" t="s">
        <v>95</v>
      </c>
      <c r="B136" s="1" t="s">
        <v>96</v>
      </c>
      <c r="C136" s="1" t="s">
        <v>97</v>
      </c>
      <c r="D136" s="1" t="s">
        <v>19</v>
      </c>
      <c r="E136" s="1" t="s">
        <v>20</v>
      </c>
      <c r="F136" s="1" t="n">
        <v>44</v>
      </c>
      <c r="G136" s="2" t="s">
        <v>26</v>
      </c>
      <c r="H136" s="1" t="n">
        <v>0.1</v>
      </c>
      <c r="I136" s="1" t="n">
        <v>0.213589537134166</v>
      </c>
      <c r="J136" s="1" t="n">
        <v>0.272302487146297</v>
      </c>
      <c r="K136" s="1" t="n">
        <f aca="false">J136-I136</f>
        <v>0.0587129500121305</v>
      </c>
      <c r="L136" s="1" t="n">
        <v>0.779435389877834</v>
      </c>
    </row>
    <row r="137" customFormat="false" ht="15" hidden="false" customHeight="false" outlineLevel="0" collapsed="false">
      <c r="A137" s="1" t="s">
        <v>98</v>
      </c>
      <c r="B137" s="1" t="s">
        <v>99</v>
      </c>
      <c r="C137" s="1" t="s">
        <v>100</v>
      </c>
      <c r="D137" s="1" t="s">
        <v>19</v>
      </c>
      <c r="E137" s="1" t="s">
        <v>20</v>
      </c>
      <c r="F137" s="1" t="n">
        <v>46</v>
      </c>
      <c r="G137" s="2" t="s">
        <v>21</v>
      </c>
      <c r="H137" s="1" t="n">
        <v>0.2363</v>
      </c>
      <c r="I137" s="1" t="n">
        <v>0.223339404572036</v>
      </c>
      <c r="J137" s="1" t="n">
        <v>0.355365405212624</v>
      </c>
      <c r="K137" s="1" t="n">
        <f aca="false">J137-I137</f>
        <v>0.132026000640589</v>
      </c>
      <c r="L137" s="1" t="n">
        <v>0.795672429591334</v>
      </c>
    </row>
    <row r="138" customFormat="false" ht="15" hidden="false" customHeight="false" outlineLevel="0" collapsed="false">
      <c r="A138" s="1" t="s">
        <v>98</v>
      </c>
      <c r="B138" s="1" t="s">
        <v>99</v>
      </c>
      <c r="C138" s="1" t="s">
        <v>100</v>
      </c>
      <c r="D138" s="1" t="s">
        <v>19</v>
      </c>
      <c r="E138" s="1" t="s">
        <v>20</v>
      </c>
      <c r="F138" s="1" t="n">
        <v>46</v>
      </c>
      <c r="G138" s="2" t="s">
        <v>23</v>
      </c>
      <c r="H138" s="1" t="n">
        <v>0.2255</v>
      </c>
      <c r="I138" s="1" t="n">
        <v>0.213138495446791</v>
      </c>
      <c r="J138" s="1" t="n">
        <v>0.309286269523601</v>
      </c>
      <c r="K138" s="1" t="n">
        <f aca="false">J138-I138</f>
        <v>0.0961477740768099</v>
      </c>
      <c r="L138" s="1" t="n">
        <v>0.795672429591334</v>
      </c>
    </row>
    <row r="139" customFormat="false" ht="15" hidden="false" customHeight="false" outlineLevel="0" collapsed="false">
      <c r="A139" s="1" t="s">
        <v>98</v>
      </c>
      <c r="B139" s="1" t="s">
        <v>99</v>
      </c>
      <c r="C139" s="1" t="s">
        <v>100</v>
      </c>
      <c r="D139" s="1" t="s">
        <v>19</v>
      </c>
      <c r="E139" s="1" t="s">
        <v>20</v>
      </c>
      <c r="F139" s="1" t="n">
        <v>46</v>
      </c>
      <c r="G139" s="2" t="s">
        <v>34</v>
      </c>
      <c r="H139" s="1" t="n">
        <v>0.2236</v>
      </c>
      <c r="I139" s="1" t="n">
        <v>0.211326059165435</v>
      </c>
      <c r="J139" s="1" t="n">
        <v>0.277437450063434</v>
      </c>
      <c r="K139" s="1" t="n">
        <f aca="false">J139-I139</f>
        <v>0.0661113908979984</v>
      </c>
      <c r="L139" s="1" t="n">
        <v>0.795672429591334</v>
      </c>
    </row>
    <row r="140" customFormat="false" ht="15" hidden="false" customHeight="false" outlineLevel="0" collapsed="false">
      <c r="A140" s="1" t="s">
        <v>98</v>
      </c>
      <c r="B140" s="1" t="s">
        <v>99</v>
      </c>
      <c r="C140" s="1" t="s">
        <v>100</v>
      </c>
      <c r="D140" s="1" t="s">
        <v>19</v>
      </c>
      <c r="E140" s="1" t="s">
        <v>20</v>
      </c>
      <c r="F140" s="1" t="n">
        <v>46</v>
      </c>
      <c r="G140" s="2" t="s">
        <v>22</v>
      </c>
      <c r="H140" s="1" t="n">
        <v>0.2147</v>
      </c>
      <c r="I140" s="1" t="n">
        <v>0.20291203655343</v>
      </c>
      <c r="J140" s="1" t="n">
        <v>0.284000397925197</v>
      </c>
      <c r="K140" s="1" t="n">
        <f aca="false">J140-I140</f>
        <v>0.0810883613717671</v>
      </c>
      <c r="L140" s="1" t="n">
        <v>0.795672429591334</v>
      </c>
    </row>
    <row r="141" customFormat="false" ht="15" hidden="false" customHeight="false" outlineLevel="0" collapsed="false">
      <c r="A141" s="1" t="s">
        <v>98</v>
      </c>
      <c r="B141" s="1" t="s">
        <v>99</v>
      </c>
      <c r="C141" s="1" t="s">
        <v>100</v>
      </c>
      <c r="D141" s="1" t="s">
        <v>19</v>
      </c>
      <c r="E141" s="1" t="s">
        <v>20</v>
      </c>
      <c r="F141" s="1" t="n">
        <v>46</v>
      </c>
      <c r="G141" s="2" t="s">
        <v>26</v>
      </c>
      <c r="H141" s="1" t="n">
        <v>0.1</v>
      </c>
      <c r="I141" s="1" t="n">
        <v>0.174523044914714</v>
      </c>
      <c r="J141" s="1" t="n">
        <v>0.261654602108688</v>
      </c>
      <c r="K141" s="1" t="n">
        <f aca="false">J141-I141</f>
        <v>0.0871315571939744</v>
      </c>
      <c r="L141" s="1" t="n">
        <v>0.795672429591334</v>
      </c>
    </row>
    <row r="142" customFormat="false" ht="15" hidden="false" customHeight="false" outlineLevel="0" collapsed="false">
      <c r="A142" s="1" t="s">
        <v>101</v>
      </c>
      <c r="B142" s="1" t="s">
        <v>102</v>
      </c>
      <c r="C142" s="1" t="s">
        <v>103</v>
      </c>
      <c r="D142" s="1" t="s">
        <v>19</v>
      </c>
      <c r="E142" s="1" t="s">
        <v>20</v>
      </c>
      <c r="F142" s="1" t="n">
        <v>48</v>
      </c>
      <c r="G142" s="2" t="s">
        <v>21</v>
      </c>
      <c r="H142" s="1" t="n">
        <v>0.213</v>
      </c>
      <c r="I142" s="1" t="n">
        <v>0.365373255096384</v>
      </c>
      <c r="J142" s="1" t="n">
        <v>0.363228187185851</v>
      </c>
      <c r="K142" s="1" t="n">
        <f aca="false">J142-I142</f>
        <v>-0.00214506791053259</v>
      </c>
      <c r="L142" s="1" t="n">
        <v>0.695664418244049</v>
      </c>
    </row>
    <row r="143" customFormat="false" ht="15" hidden="false" customHeight="false" outlineLevel="0" collapsed="false">
      <c r="A143" s="1" t="s">
        <v>101</v>
      </c>
      <c r="B143" s="1" t="s">
        <v>102</v>
      </c>
      <c r="C143" s="1" t="s">
        <v>103</v>
      </c>
      <c r="D143" s="1" t="s">
        <v>19</v>
      </c>
      <c r="E143" s="1" t="s">
        <v>20</v>
      </c>
      <c r="F143" s="1" t="n">
        <v>48</v>
      </c>
      <c r="G143" s="2" t="s">
        <v>23</v>
      </c>
      <c r="H143" s="1" t="n">
        <v>0.1859</v>
      </c>
      <c r="I143" s="1" t="n">
        <v>0.318838714001837</v>
      </c>
      <c r="J143" s="1" t="n">
        <v>0.305591116583313</v>
      </c>
      <c r="K143" s="1" t="n">
        <f aca="false">J143-I143</f>
        <v>-0.0132475974185237</v>
      </c>
      <c r="L143" s="1" t="n">
        <v>0.695664418244049</v>
      </c>
    </row>
    <row r="144" customFormat="false" ht="15" hidden="false" customHeight="false" outlineLevel="0" collapsed="false">
      <c r="A144" s="1" t="s">
        <v>101</v>
      </c>
      <c r="B144" s="1" t="s">
        <v>102</v>
      </c>
      <c r="C144" s="1" t="s">
        <v>103</v>
      </c>
      <c r="D144" s="1" t="s">
        <v>19</v>
      </c>
      <c r="E144" s="1" t="s">
        <v>20</v>
      </c>
      <c r="F144" s="1" t="n">
        <v>48</v>
      </c>
      <c r="G144" s="2" t="s">
        <v>22</v>
      </c>
      <c r="H144" s="1" t="n">
        <v>0.1543</v>
      </c>
      <c r="I144" s="1" t="n">
        <v>0.264656429015268</v>
      </c>
      <c r="J144" s="1" t="n">
        <v>0.298176696991572</v>
      </c>
      <c r="K144" s="1" t="n">
        <f aca="false">J144-I144</f>
        <v>0.0335202679763046</v>
      </c>
      <c r="L144" s="1" t="n">
        <v>0.695664418244049</v>
      </c>
    </row>
    <row r="145" customFormat="false" ht="15" hidden="false" customHeight="false" outlineLevel="0" collapsed="false">
      <c r="A145" s="1" t="s">
        <v>101</v>
      </c>
      <c r="B145" s="1" t="s">
        <v>102</v>
      </c>
      <c r="C145" s="1" t="s">
        <v>103</v>
      </c>
      <c r="D145" s="1" t="s">
        <v>19</v>
      </c>
      <c r="E145" s="1" t="s">
        <v>20</v>
      </c>
      <c r="F145" s="1" t="n">
        <v>48</v>
      </c>
      <c r="G145" s="2" t="s">
        <v>42</v>
      </c>
      <c r="H145" s="1" t="n">
        <v>0.1528</v>
      </c>
      <c r="I145" s="1" t="n">
        <v>0.262051659163157</v>
      </c>
      <c r="J145" s="1" t="n">
        <v>0.284611034236908</v>
      </c>
      <c r="K145" s="1" t="n">
        <f aca="false">J145-I145</f>
        <v>0.0225593750737513</v>
      </c>
      <c r="L145" s="1" t="n">
        <v>0.695664418244049</v>
      </c>
    </row>
    <row r="146" customFormat="false" ht="15" hidden="false" customHeight="false" outlineLevel="0" collapsed="false">
      <c r="A146" s="1" t="s">
        <v>101</v>
      </c>
      <c r="B146" s="1" t="s">
        <v>102</v>
      </c>
      <c r="C146" s="1" t="s">
        <v>103</v>
      </c>
      <c r="D146" s="1" t="s">
        <v>19</v>
      </c>
      <c r="E146" s="1" t="s">
        <v>20</v>
      </c>
      <c r="F146" s="1" t="n">
        <v>48</v>
      </c>
      <c r="G146" s="2" t="s">
        <v>34</v>
      </c>
      <c r="H146" s="1" t="n">
        <v>0.1507</v>
      </c>
      <c r="I146" s="1" t="n">
        <v>0.258435051187498</v>
      </c>
      <c r="J146" s="1" t="n">
        <v>0.2627985463015</v>
      </c>
      <c r="K146" s="1" t="n">
        <f aca="false">J146-I146</f>
        <v>0.0043634951140018</v>
      </c>
      <c r="L146" s="1" t="n">
        <v>0.695664418244049</v>
      </c>
    </row>
    <row r="147" customFormat="false" ht="15" hidden="false" customHeight="false" outlineLevel="0" collapsed="false">
      <c r="A147" s="1" t="s">
        <v>101</v>
      </c>
      <c r="B147" s="1" t="s">
        <v>102</v>
      </c>
      <c r="C147" s="1" t="s">
        <v>103</v>
      </c>
      <c r="D147" s="1" t="s">
        <v>19</v>
      </c>
      <c r="E147" s="1" t="s">
        <v>20</v>
      </c>
      <c r="F147" s="1" t="n">
        <v>48</v>
      </c>
      <c r="G147" s="2" t="s">
        <v>26</v>
      </c>
      <c r="H147" s="1" t="n">
        <v>0.1433</v>
      </c>
      <c r="I147" s="1" t="n">
        <v>0.245829129566232</v>
      </c>
      <c r="J147" s="1" t="n">
        <v>0.288599304768152</v>
      </c>
      <c r="K147" s="1" t="n">
        <f aca="false">J147-I147</f>
        <v>0.0427701752019191</v>
      </c>
      <c r="L147" s="1" t="n">
        <v>0.695664418244049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10" activeCellId="0" sqref="B10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2" min="2" style="1" width="19.94"/>
  </cols>
  <sheetData>
    <row r="1" customFormat="false" ht="12.8" hidden="false" customHeight="false" outlineLevel="0" collapsed="false">
      <c r="A1" s="6" t="s">
        <v>104</v>
      </c>
      <c r="B1" s="6"/>
    </row>
    <row r="2" customFormat="false" ht="12.8" hidden="false" customHeight="false" outlineLevel="0" collapsed="false">
      <c r="A2" s="6"/>
      <c r="B2" s="6"/>
    </row>
    <row r="3" customFormat="false" ht="12.8" hidden="false" customHeight="false" outlineLevel="0" collapsed="false">
      <c r="A3" s="6" t="s">
        <v>105</v>
      </c>
      <c r="B3" s="7" t="n">
        <f aca="false">scen4_hybrid!P2</f>
        <v>145</v>
      </c>
    </row>
    <row r="4" customFormat="false" ht="12.8" hidden="false" customHeight="false" outlineLevel="0" collapsed="false">
      <c r="A4" s="6" t="s">
        <v>106</v>
      </c>
      <c r="B4" s="6" t="n">
        <f aca="false">B10*SQRT((B3-2)/(1-B10^2))</f>
        <v>0.495421000264628</v>
      </c>
    </row>
    <row r="5" customFormat="false" ht="12.8" hidden="false" customHeight="false" outlineLevel="0" collapsed="false">
      <c r="A5" s="6" t="s">
        <v>107</v>
      </c>
      <c r="B5" s="6" t="n">
        <f aca="false">_xlfn.T.DIST.2T(ABS(B4),B3-2)</f>
        <v>0.621063429996972</v>
      </c>
    </row>
    <row r="6" customFormat="false" ht="12.8" hidden="false" customHeight="false" outlineLevel="0" collapsed="false">
      <c r="A6" s="6"/>
      <c r="B6" s="8"/>
    </row>
    <row r="7" customFormat="false" ht="12.8" hidden="false" customHeight="false" outlineLevel="0" collapsed="false">
      <c r="A7" s="6"/>
      <c r="B7" s="8"/>
    </row>
    <row r="8" customFormat="false" ht="12.8" hidden="false" customHeight="false" outlineLevel="0" collapsed="false">
      <c r="A8" s="6"/>
      <c r="B8" s="8"/>
    </row>
    <row r="9" customFormat="false" ht="19.4" hidden="false" customHeight="false" outlineLevel="0" collapsed="false">
      <c r="A9" s="3" t="s">
        <v>12</v>
      </c>
      <c r="B9" s="3" t="s">
        <v>14</v>
      </c>
    </row>
    <row r="10" customFormat="false" ht="13.1" hidden="false" customHeight="false" outlineLevel="0" collapsed="false">
      <c r="A10" s="9" t="n">
        <f aca="false">B3</f>
        <v>145</v>
      </c>
      <c r="B10" s="9" t="n">
        <f aca="false">scen4_hybrid!R2</f>
        <v>0.0413936769502948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8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4" activeCellId="0" sqref="B4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2" min="2" style="1" width="15.96"/>
  </cols>
  <sheetData>
    <row r="2" customFormat="false" ht="12.8" hidden="false" customHeight="false" outlineLevel="0" collapsed="false">
      <c r="B2" s="6" t="s">
        <v>108</v>
      </c>
    </row>
    <row r="3" customFormat="false" ht="12.8" hidden="false" customHeight="false" outlineLevel="0" collapsed="false">
      <c r="A3" s="10" t="s">
        <v>109</v>
      </c>
      <c r="B3" s="5" t="s">
        <v>110</v>
      </c>
    </row>
    <row r="4" customFormat="false" ht="12.8" hidden="false" customHeight="false" outlineLevel="0" collapsed="false">
      <c r="A4" s="8" t="n">
        <v>1</v>
      </c>
      <c r="B4" s="1" t="n">
        <v>0.796298769133089</v>
      </c>
    </row>
    <row r="5" customFormat="false" ht="12.8" hidden="false" customHeight="false" outlineLevel="0" collapsed="false">
      <c r="A5" s="8" t="n">
        <v>2</v>
      </c>
      <c r="B5" s="1" t="n">
        <v>0.739558549996658</v>
      </c>
    </row>
    <row r="6" customFormat="false" ht="12.8" hidden="false" customHeight="false" outlineLevel="0" collapsed="false">
      <c r="A6" s="8" t="n">
        <v>3</v>
      </c>
      <c r="B6" s="1" t="n">
        <v>0.739544897773702</v>
      </c>
    </row>
    <row r="7" customFormat="false" ht="12.8" hidden="false" customHeight="false" outlineLevel="0" collapsed="false">
      <c r="A7" s="8" t="n">
        <v>4</v>
      </c>
      <c r="B7" s="1" t="n">
        <v>0.743029391601184</v>
      </c>
    </row>
    <row r="8" customFormat="false" ht="12.8" hidden="false" customHeight="false" outlineLevel="0" collapsed="false">
      <c r="A8" s="8" t="n">
        <v>5</v>
      </c>
      <c r="B8" s="1" t="n">
        <v>0.725502046355756</v>
      </c>
    </row>
    <row r="9" customFormat="false" ht="12.8" hidden="false" customHeight="false" outlineLevel="0" collapsed="false">
      <c r="A9" s="8" t="n">
        <v>6</v>
      </c>
      <c r="B9" s="1" t="n">
        <v>0.74855685096753</v>
      </c>
    </row>
    <row r="10" customFormat="false" ht="12.8" hidden="false" customHeight="false" outlineLevel="0" collapsed="false">
      <c r="A10" s="8" t="n">
        <v>7</v>
      </c>
      <c r="B10" s="1" t="n">
        <v>0.734138467252432</v>
      </c>
    </row>
    <row r="11" customFormat="false" ht="12.8" hidden="false" customHeight="false" outlineLevel="0" collapsed="false">
      <c r="A11" s="8" t="n">
        <v>8</v>
      </c>
      <c r="B11" s="1" t="n">
        <v>0.668701341307149</v>
      </c>
    </row>
    <row r="12" customFormat="false" ht="12.8" hidden="false" customHeight="false" outlineLevel="0" collapsed="false">
      <c r="A12" s="8" t="n">
        <v>9</v>
      </c>
      <c r="B12" s="1" t="n">
        <v>0.786880036989265</v>
      </c>
    </row>
    <row r="13" customFormat="false" ht="12.8" hidden="false" customHeight="false" outlineLevel="0" collapsed="false">
      <c r="A13" s="8" t="n">
        <v>10</v>
      </c>
      <c r="B13" s="1" t="n">
        <v>0.80994865911664</v>
      </c>
    </row>
    <row r="14" customFormat="false" ht="12.8" hidden="false" customHeight="false" outlineLevel="0" collapsed="false">
      <c r="A14" s="8" t="n">
        <v>11</v>
      </c>
      <c r="B14" s="1" t="n">
        <v>0.690171891444283</v>
      </c>
    </row>
    <row r="15" customFormat="false" ht="12.8" hidden="false" customHeight="false" outlineLevel="0" collapsed="false">
      <c r="A15" s="8" t="n">
        <v>12</v>
      </c>
      <c r="B15" s="1" t="n">
        <v>0.749125347769507</v>
      </c>
    </row>
    <row r="16" customFormat="false" ht="12.8" hidden="false" customHeight="false" outlineLevel="0" collapsed="false">
      <c r="A16" s="8" t="n">
        <v>13</v>
      </c>
      <c r="B16" s="1" t="n">
        <v>0.677480782400821</v>
      </c>
    </row>
    <row r="17" customFormat="false" ht="12.8" hidden="false" customHeight="false" outlineLevel="0" collapsed="false">
      <c r="A17" s="8" t="n">
        <v>14</v>
      </c>
      <c r="B17" s="1" t="n">
        <v>0.792919049793641</v>
      </c>
    </row>
    <row r="18" customFormat="false" ht="12.8" hidden="false" customHeight="false" outlineLevel="0" collapsed="false">
      <c r="A18" s="8" t="n">
        <v>15</v>
      </c>
      <c r="B18" s="1" t="n">
        <v>0.800884410132615</v>
      </c>
    </row>
    <row r="19" customFormat="false" ht="12.8" hidden="false" customHeight="false" outlineLevel="0" collapsed="false">
      <c r="A19" s="8" t="n">
        <v>16</v>
      </c>
      <c r="B19" s="1" t="n">
        <v>0.645399166816264</v>
      </c>
    </row>
    <row r="20" customFormat="false" ht="12.8" hidden="false" customHeight="false" outlineLevel="0" collapsed="false">
      <c r="A20" s="8" t="n">
        <v>17</v>
      </c>
      <c r="B20" s="1" t="n">
        <v>0.773016224974695</v>
      </c>
    </row>
    <row r="21" customFormat="false" ht="12.8" hidden="false" customHeight="false" outlineLevel="0" collapsed="false">
      <c r="A21" s="8" t="n">
        <v>18</v>
      </c>
      <c r="B21" s="1" t="n">
        <v>0.583045440245199</v>
      </c>
    </row>
    <row r="22" customFormat="false" ht="12.8" hidden="false" customHeight="false" outlineLevel="0" collapsed="false">
      <c r="A22" s="8" t="n">
        <v>19</v>
      </c>
      <c r="B22" s="1" t="n">
        <v>0.795481203585273</v>
      </c>
    </row>
    <row r="23" customFormat="false" ht="12.8" hidden="false" customHeight="false" outlineLevel="0" collapsed="false">
      <c r="A23" s="8" t="n">
        <v>20</v>
      </c>
      <c r="B23" s="1" t="n">
        <v>0.652507768318238</v>
      </c>
    </row>
    <row r="24" customFormat="false" ht="12.8" hidden="false" customHeight="false" outlineLevel="0" collapsed="false">
      <c r="A24" s="8" t="n">
        <v>21</v>
      </c>
      <c r="B24" s="1" t="n">
        <v>0.613427900388095</v>
      </c>
    </row>
    <row r="25" customFormat="false" ht="12.8" hidden="false" customHeight="false" outlineLevel="0" collapsed="false">
      <c r="A25" s="8" t="n">
        <v>22</v>
      </c>
      <c r="B25" s="1" t="n">
        <v>0.656999422835807</v>
      </c>
    </row>
    <row r="26" customFormat="false" ht="12.8" hidden="false" customHeight="false" outlineLevel="0" collapsed="false">
      <c r="A26" s="8" t="n">
        <v>23</v>
      </c>
      <c r="B26" s="1" t="n">
        <v>0.779435389877834</v>
      </c>
    </row>
    <row r="27" customFormat="false" ht="12.8" hidden="false" customHeight="false" outlineLevel="0" collapsed="false">
      <c r="A27" s="8" t="n">
        <v>24</v>
      </c>
      <c r="B27" s="1" t="n">
        <v>0.795672429591334</v>
      </c>
    </row>
    <row r="28" customFormat="false" ht="12.8" hidden="false" customHeight="false" outlineLevel="0" collapsed="false">
      <c r="A28" s="11" t="n">
        <v>25</v>
      </c>
      <c r="B28" s="1" t="n">
        <v>0.695664418244049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9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L20" activeCellId="0" sqref="L20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5" min="5" style="1" width="32.27"/>
    <col collapsed="false" customWidth="true" hidden="false" outlineLevel="0" max="6" min="6" style="1" width="20.4"/>
    <col collapsed="false" customWidth="true" hidden="false" outlineLevel="0" max="7" min="7" style="1" width="19.32"/>
    <col collapsed="false" customWidth="true" hidden="false" outlineLevel="0" max="9" min="8" style="1" width="22.56"/>
    <col collapsed="false" customWidth="true" hidden="false" outlineLevel="0" max="10" min="10" style="1" width="19.32"/>
    <col collapsed="false" customWidth="true" hidden="false" outlineLevel="0" max="11" min="11" style="0" width="15.76"/>
    <col collapsed="false" customWidth="true" hidden="false" outlineLevel="0" max="12" min="12" style="0" width="14.68"/>
  </cols>
  <sheetData>
    <row r="1" customFormat="false" ht="12.8" hidden="false" customHeight="false" outlineLevel="0" collapsed="false">
      <c r="B1" s="12"/>
      <c r="C1" s="12"/>
    </row>
    <row r="2" customFormat="false" ht="12.8" hidden="false" customHeight="true" outlineLevel="0" collapsed="false">
      <c r="B2" s="12" t="s">
        <v>11</v>
      </c>
      <c r="C2" s="12"/>
    </row>
    <row r="3" customFormat="false" ht="12.8" hidden="false" customHeight="false" outlineLevel="0" collapsed="false">
      <c r="A3" s="10" t="s">
        <v>109</v>
      </c>
      <c r="B3" s="5" t="s">
        <v>110</v>
      </c>
      <c r="C3" s="11" t="s">
        <v>111</v>
      </c>
      <c r="E3" s="11" t="s">
        <v>112</v>
      </c>
      <c r="F3" s="11" t="s">
        <v>113</v>
      </c>
      <c r="G3" s="11" t="s">
        <v>114</v>
      </c>
      <c r="H3" s="11" t="s">
        <v>115</v>
      </c>
      <c r="I3" s="11" t="s">
        <v>116</v>
      </c>
      <c r="J3" s="11" t="s">
        <v>117</v>
      </c>
      <c r="K3" s="0" t="s">
        <v>118</v>
      </c>
      <c r="L3" s="0" t="s">
        <v>119</v>
      </c>
    </row>
    <row r="4" customFormat="false" ht="12.8" hidden="false" customHeight="false" outlineLevel="0" collapsed="false">
      <c r="A4" s="8" t="n">
        <v>1</v>
      </c>
      <c r="B4" s="1" t="n">
        <v>0.796298769133089</v>
      </c>
      <c r="C4" s="1" t="n">
        <v>0.820620353982448</v>
      </c>
      <c r="E4" s="11" t="n">
        <f aca="false">_xlfn.STDEV.S(B4:B28)</f>
        <v>0.0644947167005343</v>
      </c>
      <c r="F4" s="11" t="n">
        <f aca="false">_xlfn.STDEV.S(C4:C28)</f>
        <v>0.0838485560603297</v>
      </c>
      <c r="G4" s="11" t="n">
        <f aca="false">_xlfn.F.TEST(B4:B28,C4:C28)</f>
        <v>0.205799358881334</v>
      </c>
      <c r="H4" s="11" t="n">
        <f aca="false">_xlfn.T.TEST(B4:B28, C4:C28, 2,2)</f>
        <v>0.000186628978553067</v>
      </c>
      <c r="I4" s="11" t="n">
        <f aca="false">_xlfn.T.TEST(B4:B28,C4:C28, 2,3)</f>
        <v>0.000200032245163382</v>
      </c>
      <c r="J4" s="11" t="n">
        <f aca="false">AVERAGE(B4:B28)-AVERAGE(C4:C28)</f>
        <v>0.085663653017111</v>
      </c>
      <c r="K4" s="0" t="n">
        <f aca="false">AVERAGE(B4:B28)</f>
        <v>0.727735594276442</v>
      </c>
      <c r="L4" s="0" t="n">
        <f aca="false">AVERAGE(C4:C28)</f>
        <v>0.642071941259331</v>
      </c>
    </row>
    <row r="5" customFormat="false" ht="12.8" hidden="false" customHeight="false" outlineLevel="0" collapsed="false">
      <c r="A5" s="8" t="n">
        <v>2</v>
      </c>
      <c r="B5" s="1" t="n">
        <v>0.739558549996658</v>
      </c>
      <c r="C5" s="1" t="n">
        <v>0.677850780887192</v>
      </c>
    </row>
    <row r="6" customFormat="false" ht="12.8" hidden="false" customHeight="false" outlineLevel="0" collapsed="false">
      <c r="A6" s="8" t="n">
        <v>3</v>
      </c>
      <c r="B6" s="1" t="n">
        <v>0.739544897773702</v>
      </c>
      <c r="C6" s="1" t="n">
        <v>0.677952285287439</v>
      </c>
    </row>
    <row r="7" customFormat="false" ht="12.8" hidden="false" customHeight="false" outlineLevel="0" collapsed="false">
      <c r="A7" s="8" t="n">
        <v>4</v>
      </c>
      <c r="B7" s="1" t="n">
        <v>0.743029391601184</v>
      </c>
      <c r="C7" s="1" t="n">
        <v>0.661353165434158</v>
      </c>
    </row>
    <row r="8" customFormat="false" ht="12.8" hidden="false" customHeight="false" outlineLevel="0" collapsed="false">
      <c r="A8" s="8" t="n">
        <v>5</v>
      </c>
      <c r="B8" s="1" t="n">
        <v>0.725502046355756</v>
      </c>
      <c r="C8" s="1" t="n">
        <v>0.593991040073877</v>
      </c>
    </row>
    <row r="9" customFormat="false" ht="12.8" hidden="false" customHeight="false" outlineLevel="0" collapsed="false">
      <c r="A9" s="8" t="n">
        <v>6</v>
      </c>
      <c r="B9" s="1" t="n">
        <v>0.74855685096753</v>
      </c>
      <c r="C9" s="1" t="n">
        <v>0.608645298556612</v>
      </c>
    </row>
    <row r="10" customFormat="false" ht="12.8" hidden="false" customHeight="false" outlineLevel="0" collapsed="false">
      <c r="A10" s="8" t="n">
        <v>7</v>
      </c>
      <c r="B10" s="1" t="n">
        <v>0.734138467252432</v>
      </c>
      <c r="C10" s="1" t="n">
        <v>0.574818823501635</v>
      </c>
    </row>
    <row r="11" customFormat="false" ht="12.8" hidden="false" customHeight="false" outlineLevel="0" collapsed="false">
      <c r="A11" s="8" t="n">
        <v>8</v>
      </c>
      <c r="B11" s="1" t="n">
        <v>0.668701341307149</v>
      </c>
      <c r="C11" s="1" t="n">
        <v>0.522250049685591</v>
      </c>
    </row>
    <row r="12" customFormat="false" ht="12.8" hidden="false" customHeight="false" outlineLevel="0" collapsed="false">
      <c r="A12" s="8" t="n">
        <v>9</v>
      </c>
      <c r="B12" s="1" t="n">
        <v>0.786880036989265</v>
      </c>
      <c r="C12" s="1" t="n">
        <v>0.763435630553549</v>
      </c>
    </row>
    <row r="13" customFormat="false" ht="12.8" hidden="false" customHeight="false" outlineLevel="0" collapsed="false">
      <c r="A13" s="8" t="n">
        <v>10</v>
      </c>
      <c r="B13" s="1" t="n">
        <v>0.80994865911664</v>
      </c>
      <c r="C13" s="1" t="n">
        <v>0.690362904205506</v>
      </c>
    </row>
    <row r="14" customFormat="false" ht="12.8" hidden="false" customHeight="false" outlineLevel="0" collapsed="false">
      <c r="A14" s="8" t="n">
        <v>11</v>
      </c>
      <c r="B14" s="1" t="n">
        <v>0.690171891444283</v>
      </c>
      <c r="C14" s="1" t="n">
        <v>0.669616305799924</v>
      </c>
    </row>
    <row r="15" customFormat="false" ht="12.8" hidden="false" customHeight="false" outlineLevel="0" collapsed="false">
      <c r="A15" s="8" t="n">
        <v>12</v>
      </c>
      <c r="B15" s="1" t="n">
        <v>0.749125347769507</v>
      </c>
      <c r="C15" s="1" t="n">
        <v>0.750515577717232</v>
      </c>
    </row>
    <row r="16" customFormat="false" ht="12.8" hidden="false" customHeight="false" outlineLevel="0" collapsed="false">
      <c r="A16" s="8" t="n">
        <v>13</v>
      </c>
      <c r="B16" s="1" t="n">
        <v>0.677480782400821</v>
      </c>
      <c r="C16" s="1" t="n">
        <v>0.709222966214306</v>
      </c>
    </row>
    <row r="17" customFormat="false" ht="12.8" hidden="false" customHeight="false" outlineLevel="0" collapsed="false">
      <c r="A17" s="8" t="n">
        <v>14</v>
      </c>
      <c r="B17" s="1" t="n">
        <v>0.792919049793641</v>
      </c>
      <c r="C17" s="1" t="n">
        <v>0.526107506619162</v>
      </c>
    </row>
    <row r="18" customFormat="false" ht="12.8" hidden="false" customHeight="false" outlineLevel="0" collapsed="false">
      <c r="A18" s="8" t="n">
        <v>15</v>
      </c>
      <c r="B18" s="1" t="n">
        <v>0.800884410132615</v>
      </c>
      <c r="C18" s="1" t="n">
        <v>0.568606644280233</v>
      </c>
    </row>
    <row r="19" customFormat="false" ht="12.8" hidden="false" customHeight="false" outlineLevel="0" collapsed="false">
      <c r="A19" s="8" t="n">
        <v>16</v>
      </c>
      <c r="B19" s="1" t="n">
        <v>0.645399166816264</v>
      </c>
      <c r="C19" s="1" t="n">
        <v>0.495011712365797</v>
      </c>
    </row>
    <row r="20" customFormat="false" ht="12.8" hidden="false" customHeight="false" outlineLevel="0" collapsed="false">
      <c r="A20" s="8" t="n">
        <v>17</v>
      </c>
      <c r="B20" s="1" t="n">
        <v>0.773016224974695</v>
      </c>
      <c r="C20" s="1" t="n">
        <v>0.672995011679508</v>
      </c>
    </row>
    <row r="21" customFormat="false" ht="12.8" hidden="false" customHeight="false" outlineLevel="0" collapsed="false">
      <c r="A21" s="8" t="n">
        <v>18</v>
      </c>
      <c r="B21" s="1" t="n">
        <v>0.583045440245199</v>
      </c>
      <c r="C21" s="1" t="n">
        <v>0.637832242885566</v>
      </c>
    </row>
    <row r="22" customFormat="false" ht="12.8" hidden="false" customHeight="false" outlineLevel="0" collapsed="false">
      <c r="A22" s="8" t="n">
        <v>19</v>
      </c>
      <c r="B22" s="1" t="n">
        <v>0.795481203585273</v>
      </c>
      <c r="C22" s="1" t="n">
        <v>0.677348078562667</v>
      </c>
    </row>
    <row r="23" customFormat="false" ht="12.8" hidden="false" customHeight="false" outlineLevel="0" collapsed="false">
      <c r="A23" s="8" t="n">
        <v>20</v>
      </c>
      <c r="B23" s="1" t="n">
        <v>0.652507768318238</v>
      </c>
      <c r="C23" s="1" t="n">
        <v>0.675947228908232</v>
      </c>
    </row>
    <row r="24" customFormat="false" ht="12.8" hidden="false" customHeight="false" outlineLevel="0" collapsed="false">
      <c r="A24" s="8" t="n">
        <v>21</v>
      </c>
      <c r="B24" s="1" t="n">
        <v>0.613427900388095</v>
      </c>
      <c r="C24" s="1" t="n">
        <v>0.610943329404948</v>
      </c>
    </row>
    <row r="25" customFormat="false" ht="12.8" hidden="false" customHeight="false" outlineLevel="0" collapsed="false">
      <c r="A25" s="8" t="n">
        <v>22</v>
      </c>
      <c r="B25" s="1" t="n">
        <v>0.656999422835807</v>
      </c>
      <c r="C25" s="1" t="n">
        <v>0.750091190228488</v>
      </c>
    </row>
    <row r="26" customFormat="false" ht="12.8" hidden="false" customHeight="false" outlineLevel="0" collapsed="false">
      <c r="A26" s="8" t="n">
        <v>23</v>
      </c>
      <c r="B26" s="1" t="n">
        <v>0.779435389877834</v>
      </c>
      <c r="C26" s="1" t="n">
        <v>0.569584008433566</v>
      </c>
    </row>
    <row r="27" customFormat="false" ht="12.8" hidden="false" customHeight="false" outlineLevel="0" collapsed="false">
      <c r="A27" s="8" t="n">
        <v>24</v>
      </c>
      <c r="B27" s="1" t="n">
        <v>0.795672429591334</v>
      </c>
      <c r="C27" s="1" t="n">
        <v>0.517039819129782</v>
      </c>
    </row>
    <row r="28" customFormat="false" ht="12.8" hidden="false" customHeight="false" outlineLevel="0" collapsed="false">
      <c r="A28" s="11" t="n">
        <v>25</v>
      </c>
      <c r="B28" s="1" t="n">
        <v>0.695664418244049</v>
      </c>
      <c r="C28" s="1" t="n">
        <v>0.629656577085868</v>
      </c>
    </row>
    <row r="32" customFormat="false" ht="12.8" hidden="false" customHeight="false" outlineLevel="0" collapsed="false">
      <c r="A32" s="1" t="s">
        <v>120</v>
      </c>
    </row>
    <row r="34" customFormat="false" ht="12.8" hidden="false" customHeight="false" outlineLevel="0" collapsed="false">
      <c r="A34" s="10" t="s">
        <v>109</v>
      </c>
      <c r="B34" s="13" t="s">
        <v>121</v>
      </c>
      <c r="C34" s="5" t="s">
        <v>110</v>
      </c>
      <c r="E34" s="14" t="s">
        <v>122</v>
      </c>
    </row>
    <row r="35" customFormat="false" ht="12.8" hidden="false" customHeight="false" outlineLevel="0" collapsed="false">
      <c r="A35" s="8" t="n">
        <v>1</v>
      </c>
      <c r="B35" s="1" t="n">
        <v>0.782943341241136</v>
      </c>
      <c r="C35" s="1" t="n">
        <v>0.796298769133089</v>
      </c>
      <c r="E35" s="2" t="s">
        <v>123</v>
      </c>
      <c r="F35" s="1" t="n">
        <v>0.05</v>
      </c>
    </row>
    <row r="36" customFormat="false" ht="12.8" hidden="false" customHeight="false" outlineLevel="0" collapsed="false">
      <c r="A36" s="8" t="n">
        <v>2</v>
      </c>
      <c r="B36" s="1" t="n">
        <v>0.72616787514369</v>
      </c>
      <c r="C36" s="1" t="n">
        <v>0.739558549996658</v>
      </c>
      <c r="E36" s="2" t="s">
        <v>124</v>
      </c>
      <c r="F36" s="1" t="n">
        <v>0</v>
      </c>
    </row>
    <row r="37" customFormat="false" ht="12.8" hidden="false" customHeight="false" outlineLevel="0" collapsed="false">
      <c r="A37" s="8" t="n">
        <v>3</v>
      </c>
      <c r="B37" s="1" t="n">
        <v>0.762384843564062</v>
      </c>
      <c r="C37" s="1" t="n">
        <v>0.739544897773702</v>
      </c>
      <c r="E37" s="2"/>
      <c r="F37" s="14" t="s">
        <v>125</v>
      </c>
      <c r="G37" s="14" t="s">
        <v>126</v>
      </c>
    </row>
    <row r="38" customFormat="false" ht="12.8" hidden="false" customHeight="false" outlineLevel="0" collapsed="false">
      <c r="A38" s="8" t="n">
        <v>4</v>
      </c>
      <c r="B38" s="1" t="n">
        <v>0.703293963123335</v>
      </c>
      <c r="C38" s="1" t="n">
        <v>0.743029391601184</v>
      </c>
      <c r="E38" s="2" t="s">
        <v>127</v>
      </c>
      <c r="F38" s="1" t="n">
        <f aca="false">AVERAGE(inter_system_stats!$B$34:$B$59)</f>
        <v>0.734490373784622</v>
      </c>
      <c r="G38" s="1" t="n">
        <f aca="false">AVERAGE(inter_system_stats!$C$34:$C$59)</f>
        <v>0.727735594276442</v>
      </c>
    </row>
    <row r="39" customFormat="false" ht="12.8" hidden="false" customHeight="false" outlineLevel="0" collapsed="false">
      <c r="A39" s="8" t="n">
        <v>5</v>
      </c>
      <c r="B39" s="1" t="n">
        <v>0.729690702766813</v>
      </c>
      <c r="C39" s="1" t="n">
        <v>0.725502046355756</v>
      </c>
      <c r="E39" s="2" t="s">
        <v>128</v>
      </c>
      <c r="F39" s="1" t="n">
        <f aca="false">VAR(inter_system_stats!$B$34:$B$59)</f>
        <v>0.00341183321168499</v>
      </c>
      <c r="G39" s="1" t="n">
        <f aca="false">VAR(inter_system_stats!$C$34:$C$59)</f>
        <v>0.00415956848228218</v>
      </c>
    </row>
    <row r="40" customFormat="false" ht="12.8" hidden="false" customHeight="false" outlineLevel="0" collapsed="false">
      <c r="A40" s="8" t="n">
        <v>6</v>
      </c>
      <c r="B40" s="1" t="n">
        <v>0.752076127330993</v>
      </c>
      <c r="C40" s="1" t="n">
        <v>0.74855685096753</v>
      </c>
      <c r="E40" s="2" t="s">
        <v>129</v>
      </c>
      <c r="F40" s="1" t="n">
        <f aca="false">COUNT(inter_system_stats!$B$34:$B$59)</f>
        <v>25</v>
      </c>
      <c r="G40" s="1" t="n">
        <f aca="false">COUNT(inter_system_stats!$C$34:$C$59)</f>
        <v>25</v>
      </c>
    </row>
    <row r="41" customFormat="false" ht="12.8" hidden="false" customHeight="false" outlineLevel="0" collapsed="false">
      <c r="A41" s="8" t="n">
        <v>7</v>
      </c>
      <c r="B41" s="1" t="n">
        <v>0.811772559323065</v>
      </c>
      <c r="C41" s="1" t="n">
        <v>0.734138467252432</v>
      </c>
      <c r="E41" s="2" t="s">
        <v>130</v>
      </c>
      <c r="F41" s="1" t="n">
        <f aca="false">CORREL(inter_system_stats!$B$34:$B$59,inter_system_stats!$C$34:$C$59)</f>
        <v>0.740792905391764</v>
      </c>
    </row>
    <row r="42" customFormat="false" ht="12.8" hidden="false" customHeight="false" outlineLevel="0" collapsed="false">
      <c r="A42" s="8" t="n">
        <v>8</v>
      </c>
      <c r="B42" s="1" t="n">
        <v>0.718329243982785</v>
      </c>
      <c r="C42" s="1" t="n">
        <v>0.668701341307149</v>
      </c>
      <c r="E42" s="2" t="s">
        <v>131</v>
      </c>
      <c r="F42" s="1" t="n">
        <f aca="false" t="array" ref="F42:F42">AVERAGE(IF(ISODD(IF(ISNUMBER(inter_system_stats!$B$34:$B$59), 1, 0) * IF(ISNUMBER(inter_system_stats!$C$34:$C$59), 1, 0)), inter_system_stats!$B$34:$B$59 - inter_system_stats!$C$34:$C$59, "NA"))</f>
        <v>0.00675477950817915</v>
      </c>
    </row>
    <row r="43" customFormat="false" ht="12.8" hidden="false" customHeight="false" outlineLevel="0" collapsed="false">
      <c r="A43" s="8" t="n">
        <v>9</v>
      </c>
      <c r="B43" s="1" t="n">
        <v>0.750898507673254</v>
      </c>
      <c r="C43" s="1" t="n">
        <v>0.786880036989265</v>
      </c>
      <c r="E43" s="2" t="s">
        <v>132</v>
      </c>
      <c r="F43" s="1" t="n">
        <f aca="false" t="array" ref="F43:F43">VAR(IF(ISODD(IF(ISNUMBER(inter_system_stats!$B$34:$B$59), 1, 0) * IF(ISNUMBER(inter_system_stats!$C$34:$C$59), 1, 0)), inter_system_stats!$B$34:$B$59 - inter_system_stats!$C$34:$C$59, "NA"))</f>
        <v>0.00198997987594485</v>
      </c>
    </row>
    <row r="44" customFormat="false" ht="12.8" hidden="false" customHeight="false" outlineLevel="0" collapsed="false">
      <c r="A44" s="8" t="n">
        <v>10</v>
      </c>
      <c r="B44" s="1" t="n">
        <v>0.712335367494729</v>
      </c>
      <c r="C44" s="1" t="n">
        <v>0.80994865911664</v>
      </c>
      <c r="E44" s="2" t="s">
        <v>133</v>
      </c>
      <c r="F44" s="1" t="n">
        <f aca="false" t="array" ref="F44:F44">SUM(IF(ISNUMBER(inter_system_stats!$B$34:$B$59), 1, 0) * IF(ISNUMBER(inter_system_stats!$C$34:$C$59), 1, 0)) - 1</f>
        <v>24</v>
      </c>
    </row>
    <row r="45" customFormat="false" ht="12.8" hidden="false" customHeight="false" outlineLevel="0" collapsed="false">
      <c r="A45" s="8" t="n">
        <v>11</v>
      </c>
      <c r="B45" s="1" t="n">
        <v>0.77617002993037</v>
      </c>
      <c r="C45" s="1" t="n">
        <v>0.690171891444283</v>
      </c>
      <c r="E45" s="2" t="s">
        <v>134</v>
      </c>
      <c r="F45" s="1" t="n">
        <f aca="false">(inter_system_stats!$F$42 - inter_system_stats!$F$36) / (inter_system_stats!$F$43 / ( inter_system_stats!$F$44 + 1)) ^ 0.5</f>
        <v>0.757106263795658</v>
      </c>
    </row>
    <row r="46" customFormat="false" ht="12.8" hidden="false" customHeight="false" outlineLevel="0" collapsed="false">
      <c r="A46" s="8" t="n">
        <v>12</v>
      </c>
      <c r="B46" s="1" t="n">
        <v>0.770418007906113</v>
      </c>
      <c r="C46" s="1" t="n">
        <v>0.749125347769507</v>
      </c>
      <c r="E46" s="2" t="s">
        <v>135</v>
      </c>
      <c r="F46" s="1" t="n">
        <f aca="false">TDIST(ABS(inter_system_stats!$F$45), inter_system_stats!$F$44, 1)</f>
        <v>0.228177677983557</v>
      </c>
    </row>
    <row r="47" customFormat="false" ht="12.8" hidden="false" customHeight="false" outlineLevel="0" collapsed="false">
      <c r="A47" s="8" t="n">
        <v>13</v>
      </c>
      <c r="B47" s="1" t="n">
        <v>0.687181835442281</v>
      </c>
      <c r="C47" s="1" t="n">
        <v>0.677480782400821</v>
      </c>
      <c r="E47" s="2" t="s">
        <v>136</v>
      </c>
      <c r="F47" s="1" t="n">
        <f aca="false">TINV(2*inter_system_stats!$F$35, inter_system_stats!$F$44)</f>
        <v>1.71088207990943</v>
      </c>
    </row>
    <row r="48" customFormat="false" ht="12.8" hidden="false" customHeight="false" outlineLevel="0" collapsed="false">
      <c r="A48" s="8" t="n">
        <v>14</v>
      </c>
      <c r="B48" s="1" t="n">
        <v>0.81381364646817</v>
      </c>
      <c r="C48" s="1" t="n">
        <v>0.792919049793641</v>
      </c>
      <c r="E48" s="2" t="s">
        <v>137</v>
      </c>
      <c r="F48" s="1" t="n">
        <f aca="false">TDIST(ABS(inter_system_stats!$F$45), inter_system_stats!$F$44, 2)</f>
        <v>0.456355355967113</v>
      </c>
    </row>
    <row r="49" customFormat="false" ht="12.8" hidden="false" customHeight="false" outlineLevel="0" collapsed="false">
      <c r="A49" s="8" t="n">
        <v>15</v>
      </c>
      <c r="B49" s="1" t="n">
        <v>0.78154173279719</v>
      </c>
      <c r="C49" s="1" t="n">
        <v>0.800884410132615</v>
      </c>
      <c r="E49" s="2" t="s">
        <v>138</v>
      </c>
      <c r="F49" s="1" t="n">
        <f aca="false">TINV(inter_system_stats!$F$35, inter_system_stats!$F$44)</f>
        <v>2.06389856162803</v>
      </c>
    </row>
    <row r="50" customFormat="false" ht="12.8" hidden="false" customHeight="false" outlineLevel="0" collapsed="false">
      <c r="A50" s="8" t="n">
        <v>16</v>
      </c>
      <c r="B50" s="1" t="n">
        <v>0.679973262997131</v>
      </c>
      <c r="C50" s="1" t="n">
        <v>0.645399166816264</v>
      </c>
    </row>
    <row r="51" customFormat="false" ht="12.8" hidden="false" customHeight="false" outlineLevel="0" collapsed="false">
      <c r="A51" s="8" t="n">
        <v>17</v>
      </c>
      <c r="B51" s="1" t="n">
        <v>0.804539740964931</v>
      </c>
      <c r="C51" s="1" t="n">
        <v>0.773016224974695</v>
      </c>
    </row>
    <row r="52" customFormat="false" ht="12.8" hidden="false" customHeight="false" outlineLevel="0" collapsed="false">
      <c r="A52" s="8" t="n">
        <v>18</v>
      </c>
      <c r="B52" s="1" t="n">
        <v>0.575788380252692</v>
      </c>
      <c r="C52" s="1" t="n">
        <v>0.583045440245199</v>
      </c>
    </row>
    <row r="53" customFormat="false" ht="12.8" hidden="false" customHeight="false" outlineLevel="0" collapsed="false">
      <c r="A53" s="8" t="n">
        <v>19</v>
      </c>
      <c r="B53" s="1" t="n">
        <v>0.808293439836629</v>
      </c>
      <c r="C53" s="1" t="n">
        <v>0.795481203585273</v>
      </c>
    </row>
    <row r="54" customFormat="false" ht="12.8" hidden="false" customHeight="false" outlineLevel="0" collapsed="false">
      <c r="A54" s="8" t="n">
        <v>20</v>
      </c>
      <c r="B54" s="1" t="n">
        <v>0.631098700615939</v>
      </c>
      <c r="C54" s="1" t="n">
        <v>0.652507768318238</v>
      </c>
    </row>
    <row r="55" customFormat="false" ht="12.8" hidden="false" customHeight="false" outlineLevel="0" collapsed="false">
      <c r="A55" s="8" t="n">
        <v>21</v>
      </c>
      <c r="B55" s="1" t="n">
        <v>0.723521456744309</v>
      </c>
      <c r="C55" s="1" t="n">
        <v>0.613427900388095</v>
      </c>
    </row>
    <row r="56" customFormat="false" ht="12.8" hidden="false" customHeight="false" outlineLevel="0" collapsed="false">
      <c r="A56" s="8" t="n">
        <v>22</v>
      </c>
      <c r="B56" s="1" t="n">
        <v>0.667636089020494</v>
      </c>
      <c r="C56" s="1" t="n">
        <v>0.656999422835807</v>
      </c>
    </row>
    <row r="57" customFormat="false" ht="12.8" hidden="false" customHeight="false" outlineLevel="0" collapsed="false">
      <c r="A57" s="8" t="n">
        <v>23</v>
      </c>
      <c r="B57" s="1" t="n">
        <v>0.729145136576755</v>
      </c>
      <c r="C57" s="1" t="n">
        <v>0.779435389877834</v>
      </c>
    </row>
    <row r="58" customFormat="false" ht="12.8" hidden="false" customHeight="false" outlineLevel="0" collapsed="false">
      <c r="A58" s="8" t="n">
        <v>24</v>
      </c>
      <c r="B58" s="1" t="n">
        <v>0.768909591560026</v>
      </c>
      <c r="C58" s="1" t="n">
        <v>0.795672429591334</v>
      </c>
    </row>
    <row r="59" customFormat="false" ht="12.8" hidden="false" customHeight="false" outlineLevel="0" collapsed="false">
      <c r="A59" s="11" t="n">
        <v>25</v>
      </c>
      <c r="B59" s="1" t="n">
        <v>0.694335761858647</v>
      </c>
      <c r="C59" s="1" t="n">
        <v>0.695664418244049</v>
      </c>
    </row>
  </sheetData>
  <mergeCells count="1">
    <mergeCell ref="B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2026-02-11T16:41:07Z</dcterms:created>
  <dc:creator>openpyxl</dc:creator>
  <dc:description/>
  <dc:language>en-US</dc:language>
  <cp:lastModifiedBy/>
  <dcterms:modified xsi:type="dcterms:W3CDTF">2026-02-20T16:06:27Z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
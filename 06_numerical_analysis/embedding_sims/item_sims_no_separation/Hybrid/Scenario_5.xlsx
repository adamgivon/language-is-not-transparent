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5_hybrid" sheetId="1" state="visible" r:id="rId3"/>
    <sheet name="notes" sheetId="2" state="visible" r:id="rId4"/>
    <sheet name="actdel_prompt_response" sheetId="3" state="visible" r:id="rId5"/>
    <sheet name="inter_sys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<sst xmlns="http://schemas.openxmlformats.org/spreadsheetml/2006/main" count="958" uniqueCount="140">
  <si>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</si>
  <si>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</si>
  <si>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</si>
  <si>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</si>
  <si>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</si>
  <si>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</si>
  <si>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</si>
  <si>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</si>
  <si>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</si>
  <si>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</si>
  <si>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</si>
  <si>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</si>
  <si>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</si>
  <si>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</si>
  <si>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</si>
  <si>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</si>
  <si>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71edbd34-23c9-4b6e-81bf-6d7a15aa4c99</t>
  </si>
  <si>
    <t xml:space="preserve">cmjcpymd300u0zc7e4niyf78c</t>
  </si>
  <si>
    <t xml:space="preserve">cmjcpzt7300uhzc7ehx6l6qwo</t>
  </si>
  <si>
    <t xml:space="preserve">hybrid_v3_5</t>
  </si>
  <si>
    <t xml:space="preserve">Scenario_5</t>
  </si>
  <si>
    <t xml:space="preserve">identity</t>
  </si>
  <si>
    <t xml:space="preserve">temporal_dynamics</t>
  </si>
  <si>
    <t xml:space="preserve">practicality_and_feasibility</t>
  </si>
  <si>
    <t xml:space="preserve">imagination_and_possibility</t>
  </si>
  <si>
    <t xml:space="preserve">affective_interface</t>
  </si>
  <si>
    <t xml:space="preserve">truth_and_fact</t>
  </si>
  <si>
    <t xml:space="preserve">8bbb6f15-4dc1-4cda-9328-42f22ce733e3</t>
  </si>
  <si>
    <t xml:space="preserve">cmjcq0iv100ulzc7eb4e2fdrr</t>
  </si>
  <si>
    <t xml:space="preserve">cmjcq0xps00v2zc7eeznbsu0r</t>
  </si>
  <si>
    <t xml:space="preserve">mathematics_computer_science_engineering</t>
  </si>
  <si>
    <t xml:space="preserve">a214fdc0-fb34-4bf6-9cb3-9f91cad58128</t>
  </si>
  <si>
    <t xml:space="preserve">cmjcq16qn00v6zc7ehpgjqark</t>
  </si>
  <si>
    <t xml:space="preserve">cmjcq1jip00vnzc7elz67g5sy</t>
  </si>
  <si>
    <t xml:space="preserve">science</t>
  </si>
  <si>
    <t xml:space="preserve">7ad4fd94-807b-4e13-a2ff-cd2aa56ecb9d</t>
  </si>
  <si>
    <t xml:space="preserve">cmjcq243300vrzc7eck3u3svq</t>
  </si>
  <si>
    <t xml:space="preserve">cmjcq2mv300w8zc7ey2xcv2qs</t>
  </si>
  <si>
    <t xml:space="preserve">freedom_and_limitations</t>
  </si>
  <si>
    <t xml:space="preserve">context_dependent_expression</t>
  </si>
  <si>
    <t xml:space="preserve">650f1cc7-520d-4367-b4f1-9f0e8a86efce</t>
  </si>
  <si>
    <t xml:space="preserve">cmjcq2vpx00wczc7e3bndeofg</t>
  </si>
  <si>
    <t xml:space="preserve">cmjcq35cl00wtzc7egqy9xkkv</t>
  </si>
  <si>
    <t xml:space="preserve">ba7528da-29f4-490d-a7ba-192fe584e9a0</t>
  </si>
  <si>
    <t xml:space="preserve">cmjcq3gu400wxzc7eqsvk5l2l</t>
  </si>
  <si>
    <t xml:space="preserve">cmjcq43bq00xezc7e8rqdejgw</t>
  </si>
  <si>
    <t xml:space="preserve">9557f187-0496-4877-985d-116e0dbbadc5</t>
  </si>
  <si>
    <t xml:space="preserve">cmjcq4l3u00xizc7ea3ffg6c8</t>
  </si>
  <si>
    <t xml:space="preserve">cmjcq50zl00xzzc7eyza65ye6</t>
  </si>
  <si>
    <t xml:space="preserve">metaphorical_scaffolding</t>
  </si>
  <si>
    <t xml:space="preserve">27a398fe-3a42-4ff9-a44d-6456bb60dfa1</t>
  </si>
  <si>
    <t xml:space="preserve">cmjcq5aw800y3zc7estfbqu5c</t>
  </si>
  <si>
    <t xml:space="preserve">cmjcq5m3y00ykzc7eqrnc1ogn</t>
  </si>
  <si>
    <t xml:space="preserve">19334b5c-2bca-4116-9b84-27935c230cf6</t>
  </si>
  <si>
    <t xml:space="preserve">cmjcq6ikw00yozc7eg0c1ylu0</t>
  </si>
  <si>
    <t xml:space="preserve">cmjcq6uk500z5zc7ez6dsqz26</t>
  </si>
  <si>
    <t xml:space="preserve">sovereignty</t>
  </si>
  <si>
    <t xml:space="preserve">ac7c79ed-584f-4cb4-a433-af829f8b6b03</t>
  </si>
  <si>
    <t xml:space="preserve">cmjcq7ibb00z9zc7e3fphaql1</t>
  </si>
  <si>
    <t xml:space="preserve">cmjcq7tyb00zqzc7egjdhjuyu</t>
  </si>
  <si>
    <t xml:space="preserve">3d5fcbdb-163d-4863-9c33-af0c6104fe39</t>
  </si>
  <si>
    <t xml:space="preserve">cmjcq8agz00zuzc7earre37kv</t>
  </si>
  <si>
    <t xml:space="preserve">cmjcq8rso010bzc7evk2vf4y4</t>
  </si>
  <si>
    <t xml:space="preserve">0e6d9b53-df45-4e41-a8d7-d73db2a683e3</t>
  </si>
  <si>
    <t xml:space="preserve">cmjcq9j6m010fzc7eiqfk9wd9</t>
  </si>
  <si>
    <t xml:space="preserve">cmjcq9tyl010wzc7e4859cgru</t>
  </si>
  <si>
    <t xml:space="preserve">dcae6ba3-b48a-459d-b818-9dbb1120b279</t>
  </si>
  <si>
    <t xml:space="preserve">cmjcqa7tx0110zc7ez4433azx</t>
  </si>
  <si>
    <t xml:space="preserve">cmjcqardu011hzc7evch26mm9</t>
  </si>
  <si>
    <t xml:space="preserve">3acf9bd5-42ab-4bad-b67a-caa4c851f28f</t>
  </si>
  <si>
    <t xml:space="preserve">cmjcqbk1u011lzc7eavh0b16t</t>
  </si>
  <si>
    <t xml:space="preserve">cmjcqbv880122zc7eixnnah9v</t>
  </si>
  <si>
    <t xml:space="preserve">eaea46dd-157b-4e0f-bb0c-7d7ce95b1d44</t>
  </si>
  <si>
    <t xml:space="preserve">cmjcqccrc0126zc7edl3cvb3o</t>
  </si>
  <si>
    <t xml:space="preserve">cmjcqd410012nzc7erjon1a0u</t>
  </si>
  <si>
    <t xml:space="preserve">ed0e2568-b2f6-400a-b64e-27f3e1a9cbba</t>
  </si>
  <si>
    <t xml:space="preserve">cmjcqdq54012rzc7elwcjeeom</t>
  </si>
  <si>
    <t xml:space="preserve">cmjcqe6j40138zc7evr6f9y58</t>
  </si>
  <si>
    <t xml:space="preserve">59251136-3949-482a-8920-c0288289ea38</t>
  </si>
  <si>
    <t xml:space="preserve">cmjcqelma013czc7ext87pp9q</t>
  </si>
  <si>
    <t xml:space="preserve">cmjcqeyjt013tzc7en6ks4q2g</t>
  </si>
  <si>
    <t xml:space="preserve">d1f4a02f-c3d3-4b98-ad7a-9181925a479f</t>
  </si>
  <si>
    <t xml:space="preserve">cmjcqf73l013xzc7escp9305c</t>
  </si>
  <si>
    <t xml:space="preserve">cmjcqfmr7014ezc7etrenurii</t>
  </si>
  <si>
    <t xml:space="preserve">dcaeb030-59fb-475b-8c39-7770284ecdc4</t>
  </si>
  <si>
    <t xml:space="preserve">cmjcqfvhb014izc7ep6db9vdo</t>
  </si>
  <si>
    <t xml:space="preserve">cmjcqg8xy014zzc7egpfiuck0</t>
  </si>
  <si>
    <t xml:space="preserve">23ebf050-a06b-4975-9a79-0296f103e75b</t>
  </si>
  <si>
    <t xml:space="preserve">cmjcqgukp0153zc7ess1d2hwn</t>
  </si>
  <si>
    <t xml:space="preserve">cmjcqhelz015kzc7ea5sy6qnt</t>
  </si>
  <si>
    <t xml:space="preserve">c7490869-51ed-4687-915a-21dc7ccf8da0</t>
  </si>
  <si>
    <t xml:space="preserve">cmjcqhynk015ozc7e4effirfx</t>
  </si>
  <si>
    <t xml:space="preserve">cmjcqi9ct0165zc7e1nhs97u7</t>
  </si>
  <si>
    <t xml:space="preserve">aaae716e-60df-4d44-bdab-d1506a6d1508</t>
  </si>
  <si>
    <t xml:space="preserve">cmjcqiihs0169zc7eqjsmbuc3</t>
  </si>
  <si>
    <t xml:space="preserve">cmjcqivwj016qzc7ebah3f5nj</t>
  </si>
  <si>
    <t xml:space="preserve">e9cecaf4-e722-4ae1-8191-9cea968964a4</t>
  </si>
  <si>
    <t xml:space="preserve">cmjcqj4lt016uzc7ex1doe8w9</t>
  </si>
  <si>
    <t xml:space="preserve">cmjcqjiug017bzc7ei64rsl8u</t>
  </si>
  <si>
    <t xml:space="preserve">0738b072-6d4b-4f82-9740-1d87c6ea049f</t>
  </si>
  <si>
    <t xml:space="preserve">cmjcqjrdf017fzc7emunqe6vk</t>
  </si>
  <si>
    <t xml:space="preserve">cmjcqk8dc017wzc7e8lnwcpuc</t>
  </si>
  <si>
    <t xml:space="preserve">5bc5bec0-edaa-4c93-a592-9f4cc69a6b65</t>
  </si>
  <si>
    <t xml:space="preserve">cmjcqki5z0180zc7e6p7r0bxw</t>
  </si>
  <si>
    <t xml:space="preserve">cmjcqkx0p018hzc7eg5kpxwy3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</si>
  <si>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</si>
  <si>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</si>
  <si>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</si>
  <si>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</si>
  <si>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</si>
  <si>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</si>
  <si>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hybrid</t>
  </si>
  <si>
    <t xml:space="preserve">control</t>
  </si>
  <si>
    <t xml:space="preserve">std.hybrid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</si>
  <si>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</si>
  <si>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</si>
  <si>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</si>
  <si>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</si>
  <si>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</si>
  <si>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</t>
  </si>
  <si>
    <t xml:space="preserve">Average cont</t>
  </si>
  <si>
    <t xml:space="preserve">General</t>
  </si>
  <si>
    <t xml:space="preserve">ac15p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</si>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</sst>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4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0.748858285036974</c:v>
                </c:pt>
                <c:pt idx="1">
                  <c:v>0.759506316896281</c:v>
                </c:pt>
                <c:pt idx="2">
                  <c:v>0.715413876782416</c:v>
                </c:pt>
                <c:pt idx="3">
                  <c:v>0.758348390419844</c:v>
                </c:pt>
                <c:pt idx="4">
                  <c:v>0.810565062673861</c:v>
                </c:pt>
                <c:pt idx="5">
                  <c:v>0.742289112695254</c:v>
                </c:pt>
                <c:pt idx="6">
                  <c:v>0.764250642039974</c:v>
                </c:pt>
                <c:pt idx="7">
                  <c:v>0.698577720903755</c:v>
                </c:pt>
                <c:pt idx="8">
                  <c:v>0.766115238968207</c:v>
                </c:pt>
                <c:pt idx="9">
                  <c:v>0.777924199556208</c:v>
                </c:pt>
                <c:pt idx="10">
                  <c:v>0.73133786448165</c:v>
                </c:pt>
                <c:pt idx="11">
                  <c:v>0.761644594705368</c:v>
                </c:pt>
                <c:pt idx="12">
                  <c:v>0.719429365683328</c:v>
                </c:pt>
                <c:pt idx="13">
                  <c:v>0.678645514763614</c:v>
                </c:pt>
                <c:pt idx="14">
                  <c:v>0.704961007003307</c:v>
                </c:pt>
                <c:pt idx="15">
                  <c:v>0.701208294690294</c:v>
                </c:pt>
                <c:pt idx="16">
                  <c:v>0.790013915764348</c:v>
                </c:pt>
                <c:pt idx="17">
                  <c:v>0.717785998437983</c:v>
                </c:pt>
                <c:pt idx="18">
                  <c:v>0.704767716501297</c:v>
                </c:pt>
                <c:pt idx="19">
                  <c:v>0.731804893130237</c:v>
                </c:pt>
                <c:pt idx="20">
                  <c:v>0.766896688339251</c:v>
                </c:pt>
                <c:pt idx="21">
                  <c:v>0.628025866777813</c:v>
                </c:pt>
                <c:pt idx="22">
                  <c:v>0.720769368294172</c:v>
                </c:pt>
                <c:pt idx="23">
                  <c:v>0.722411929605002</c:v>
                </c:pt>
                <c:pt idx="24">
                  <c:v>0.687879271648785</c:v>
                </c:pt>
              </c:numCache>
            </c:numRef>
          </c:yVal>
          <c:smooth val="0"/>
        </c:ser>
        <c:axId val="90985730"/>
        <c:axId val="87230888"/>
      </c:scatterChart>
      <c:valAx>
        <c:axId val="909857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230888"/>
        <c:crosses val="autoZero"/>
        <c:crossBetween val="midCat"/>
      </c:valAx>
      <c:valAx>
        <c:axId val="872308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98573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inter_sysem_stats!$B$3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inter_sysem_stats!$B$4:$B$28</c:f>
              <c:numCache>
                <c:formatCode>General</c:formatCode>
                <c:ptCount val="25"/>
                <c:pt idx="0">
                  <c:v>0.748858285036974</c:v>
                </c:pt>
                <c:pt idx="1">
                  <c:v>0.759506316896281</c:v>
                </c:pt>
                <c:pt idx="2">
                  <c:v>0.715413876782416</c:v>
                </c:pt>
                <c:pt idx="3">
                  <c:v>0.758348390419844</c:v>
                </c:pt>
                <c:pt idx="4">
                  <c:v>0.810565062673861</c:v>
                </c:pt>
                <c:pt idx="5">
                  <c:v>0.742289112695254</c:v>
                </c:pt>
                <c:pt idx="6">
                  <c:v>0.764250642039974</c:v>
                </c:pt>
                <c:pt idx="7">
                  <c:v>0.698577720903755</c:v>
                </c:pt>
                <c:pt idx="8">
                  <c:v>0.766115238968207</c:v>
                </c:pt>
                <c:pt idx="9">
                  <c:v>0.777924199556208</c:v>
                </c:pt>
                <c:pt idx="10">
                  <c:v>0.73133786448165</c:v>
                </c:pt>
                <c:pt idx="11">
                  <c:v>0.761644594705368</c:v>
                </c:pt>
                <c:pt idx="12">
                  <c:v>0.719429365683328</c:v>
                </c:pt>
                <c:pt idx="13">
                  <c:v>0.678645514763614</c:v>
                </c:pt>
                <c:pt idx="14">
                  <c:v>0.704961007003307</c:v>
                </c:pt>
                <c:pt idx="15">
                  <c:v>0.701208294690294</c:v>
                </c:pt>
                <c:pt idx="16">
                  <c:v>0.790013915764348</c:v>
                </c:pt>
                <c:pt idx="17">
                  <c:v>0.717785998437983</c:v>
                </c:pt>
                <c:pt idx="18">
                  <c:v>0.704767716501297</c:v>
                </c:pt>
                <c:pt idx="19">
                  <c:v>0.731804893130237</c:v>
                </c:pt>
                <c:pt idx="20">
                  <c:v>0.766896688339251</c:v>
                </c:pt>
                <c:pt idx="21">
                  <c:v>0.628025866777813</c:v>
                </c:pt>
                <c:pt idx="22">
                  <c:v>0.720769368294172</c:v>
                </c:pt>
                <c:pt idx="23">
                  <c:v>0.722411929605002</c:v>
                </c:pt>
                <c:pt idx="24">
                  <c:v>0.687879271648785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inter_sysem_stats!$C$4:$C$28</c:f>
              <c:numCache>
                <c:formatCode>General</c:formatCode>
                <c:ptCount val="25"/>
                <c:pt idx="0">
                  <c:v>0.75451956501659</c:v>
                </c:pt>
                <c:pt idx="1">
                  <c:v>0.583157820853806</c:v>
                </c:pt>
                <c:pt idx="2">
                  <c:v>0.618904917761491</c:v>
                </c:pt>
                <c:pt idx="3">
                  <c:v>0.74737712465141</c:v>
                </c:pt>
                <c:pt idx="4">
                  <c:v>0.548980230623881</c:v>
                </c:pt>
                <c:pt idx="5">
                  <c:v>0.632690227255637</c:v>
                </c:pt>
                <c:pt idx="6">
                  <c:v>0.701786769943752</c:v>
                </c:pt>
                <c:pt idx="7">
                  <c:v>0.584562320768019</c:v>
                </c:pt>
                <c:pt idx="8">
                  <c:v>0.635530236435515</c:v>
                </c:pt>
                <c:pt idx="9">
                  <c:v>0.69186077854627</c:v>
                </c:pt>
                <c:pt idx="10">
                  <c:v>0.746874410758284</c:v>
                </c:pt>
                <c:pt idx="11">
                  <c:v>0.646103343046236</c:v>
                </c:pt>
                <c:pt idx="12">
                  <c:v>0.714267452106315</c:v>
                </c:pt>
                <c:pt idx="13">
                  <c:v>0.64598849418726</c:v>
                </c:pt>
                <c:pt idx="14">
                  <c:v>0.559125581602383</c:v>
                </c:pt>
                <c:pt idx="15">
                  <c:v>0.664444142276853</c:v>
                </c:pt>
                <c:pt idx="16">
                  <c:v>0.682928718328554</c:v>
                </c:pt>
                <c:pt idx="17">
                  <c:v>0.609029777075647</c:v>
                </c:pt>
                <c:pt idx="18">
                  <c:v>0.625136354501309</c:v>
                </c:pt>
                <c:pt idx="19">
                  <c:v>0.628896991007055</c:v>
                </c:pt>
                <c:pt idx="20">
                  <c:v>0.49049501481858</c:v>
                </c:pt>
                <c:pt idx="21">
                  <c:v>0.551218385467124</c:v>
                </c:pt>
                <c:pt idx="22">
                  <c:v>0.644659585583856</c:v>
                </c:pt>
                <c:pt idx="23">
                  <c:v>0.654980886002206</c:v>
                </c:pt>
                <c:pt idx="24">
                  <c:v>0.512869586028254</c:v>
                </c:pt>
              </c:numCache>
            </c:numRef>
          </c:yVal>
          <c:smooth val="0"/>
        </c:ser>
        <c:axId val="47819647"/>
        <c:axId val="8564577"/>
      </c:scatterChart>
      <c:valAx>
        <c:axId val="478196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564577"/>
        <c:crosses val="autoZero"/>
        <c:crossBetween val="midCat"/>
      </c:valAx>
      <c:valAx>
        <c:axId val="85645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81964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281520</xdr:colOff>
      <xdr:row>2</xdr:row>
      <xdr:rowOff>147240</xdr:rowOff>
    </xdr:from>
    <xdr:to>
      <xdr:col>10</xdr:col>
      <xdr:colOff>349920</xdr:colOff>
      <xdr:row>22</xdr:row>
      <xdr:rowOff>131040</xdr:rowOff>
    </xdr:to>
    <xdr:graphicFrame>
      <xdr:nvGraphicFramePr>
        <xdr:cNvPr id="1" name=""/>
        <xdr:cNvGraphicFramePr/>
      </xdr:nvGraphicFramePr>
      <xdr:xfrm>
        <a:off x="2834280" y="472320"/>
        <a:ext cx="5095800" cy="323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31320</xdr:colOff>
      <xdr:row>5</xdr:row>
      <xdr:rowOff>25560</xdr:rowOff>
    </xdr:from>
    <xdr:to>
      <xdr:col>7</xdr:col>
      <xdr:colOff>941400</xdr:colOff>
      <xdr:row>25</xdr:row>
      <xdr:rowOff>15480</xdr:rowOff>
    </xdr:to>
    <xdr:graphicFrame>
      <xdr:nvGraphicFramePr>
        <xdr:cNvPr id="2" name=""/>
        <xdr:cNvGraphicFramePr/>
      </xdr:nvGraphicFramePr>
      <xdr:xfrm>
        <a:off x="3647160" y="842040"/>
        <a:ext cx="519480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12.63"/>
    <col collapsed="false" customWidth="true" hidden="false" outlineLevel="0" max="5" min="5" style="1" width="13.09"/>
    <col collapsed="false" customWidth="true" hidden="false" outlineLevel="0" max="7" min="7" style="1" width="39.32"/>
    <col collapsed="false" customWidth="true" hidden="false" outlineLevel="0" max="8" min="8" style="1" width="7.38"/>
    <col collapsed="false" customWidth="true" hidden="false" outlineLevel="0" max="10" min="9" style="1" width="18.93"/>
    <col collapsed="false" customWidth="true" hidden="false" outlineLevel="0" max="11" min="11" style="1" width="22.68"/>
    <col collapsed="false" customWidth="true" hidden="false" outlineLevel="0" max="12" min="12" style="1" width="18.93"/>
    <col collapsed="false" customWidth="true" hidden="false" outlineLevel="0" max="16" min="16" style="1" width="10.79"/>
    <col collapsed="false" customWidth="true" hidden="false" outlineLevel="0" max="18" min="17" style="1" width="19.52"/>
    <col collapsed="false" customWidth="true" hidden="false" outlineLevel="0" max="19" min="19" style="1" width="10.79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2" t="s">
        <v>12</v>
      </c>
      <c r="Q1" s="2" t="s">
        <v>13</v>
      </c>
      <c r="R1" s="2" t="s">
        <v>14</v>
      </c>
      <c r="S1" s="3" t="s">
        <v>15</v>
      </c>
    </row>
    <row r="2" customFormat="false" ht="15" hidden="false" customHeight="false" outlineLevel="0" collapsed="false">
      <c r="P2" s="4" t="n">
        <f aca="false">COUNT(K3:K152)</f>
        <v>150</v>
      </c>
      <c r="Q2" s="4" t="n">
        <f aca="false">AVERAGE(K3:K152)</f>
        <v>0.0376318776183238</v>
      </c>
      <c r="R2" s="4" t="n">
        <f aca="false">CORREL(H3:H152,K3:K152)</f>
        <v>-0.209987278309567</v>
      </c>
      <c r="S2" s="4" t="n">
        <f aca="false">notes!B5</f>
        <v>0.00990535003696562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1" t="s">
        <v>21</v>
      </c>
      <c r="H3" s="1" t="n">
        <v>0.199</v>
      </c>
      <c r="I3" s="1" t="n">
        <v>0.383267947933597</v>
      </c>
      <c r="J3" s="1" t="n">
        <v>0.429049170107623</v>
      </c>
      <c r="K3" s="1" t="n">
        <f aca="false">J3-I3</f>
        <v>0.0457812221740262</v>
      </c>
      <c r="L3" s="1" t="n">
        <v>0.748858285036974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1" t="s">
        <v>22</v>
      </c>
      <c r="H4" s="1" t="n">
        <v>0.1803</v>
      </c>
      <c r="I4" s="1" t="n">
        <v>0.347137414928398</v>
      </c>
      <c r="J4" s="1" t="n">
        <v>0.440333074898502</v>
      </c>
      <c r="K4" s="1" t="n">
        <f aca="false">J4-I4</f>
        <v>0.0931956599701032</v>
      </c>
      <c r="L4" s="1" t="n">
        <v>0.748858285036974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1" t="s">
        <v>23</v>
      </c>
      <c r="H5" s="1" t="n">
        <v>0.1754</v>
      </c>
      <c r="I5" s="1" t="n">
        <v>0.337839000679598</v>
      </c>
      <c r="J5" s="1" t="n">
        <v>0.426133706459839</v>
      </c>
      <c r="K5" s="1" t="n">
        <f aca="false">J5-I5</f>
        <v>0.0882947057802416</v>
      </c>
      <c r="L5" s="1" t="n">
        <v>0.748858285036974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1" t="s">
        <v>24</v>
      </c>
      <c r="H6" s="1" t="n">
        <v>0.1732</v>
      </c>
      <c r="I6" s="1" t="n">
        <v>0.333464580750406</v>
      </c>
      <c r="J6" s="1" t="n">
        <v>0.426293626481677</v>
      </c>
      <c r="K6" s="1" t="n">
        <f aca="false">J6-I6</f>
        <v>0.0928290457312714</v>
      </c>
      <c r="L6" s="1" t="n">
        <v>0.748858285036974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n">
        <v>0</v>
      </c>
      <c r="G7" s="1" t="s">
        <v>25</v>
      </c>
      <c r="H7" s="1" t="n">
        <v>0.1721</v>
      </c>
      <c r="I7" s="1" t="n">
        <v>0.331426380569573</v>
      </c>
      <c r="J7" s="1" t="n">
        <v>0.408233143218087</v>
      </c>
      <c r="K7" s="1" t="n">
        <f aca="false">J7-I7</f>
        <v>0.0768067626485141</v>
      </c>
      <c r="L7" s="1" t="n">
        <v>0.748858285036974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n">
        <v>0</v>
      </c>
      <c r="G8" s="1" t="s">
        <v>26</v>
      </c>
      <c r="H8" s="1" t="n">
        <v>0.1</v>
      </c>
      <c r="I8" s="1" t="n">
        <v>0.240447262981017</v>
      </c>
      <c r="J8" s="1" t="n">
        <v>0.369172369649829</v>
      </c>
      <c r="K8" s="1" t="n">
        <f aca="false">J8-I8</f>
        <v>0.128725106668812</v>
      </c>
      <c r="L8" s="1" t="n">
        <v>0.748858285036974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1" t="n">
        <v>2</v>
      </c>
      <c r="G9" s="1" t="s">
        <v>22</v>
      </c>
      <c r="H9" s="1" t="n">
        <v>0.1954</v>
      </c>
      <c r="I9" s="1" t="n">
        <v>0.375971312451411</v>
      </c>
      <c r="J9" s="1" t="n">
        <v>0.390530406265202</v>
      </c>
      <c r="K9" s="1" t="n">
        <f aca="false">J9-I9</f>
        <v>0.0145590938137917</v>
      </c>
      <c r="L9" s="1" t="n">
        <v>0.759506316896281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1" t="n">
        <v>2</v>
      </c>
      <c r="G10" s="1" t="s">
        <v>21</v>
      </c>
      <c r="H10" s="1" t="n">
        <v>0.1855</v>
      </c>
      <c r="I10" s="1" t="n">
        <v>0.356879580032366</v>
      </c>
      <c r="J10" s="1" t="n">
        <v>0.398908875436904</v>
      </c>
      <c r="K10" s="1" t="n">
        <f aca="false">J10-I10</f>
        <v>0.042029295404538</v>
      </c>
      <c r="L10" s="1" t="n">
        <v>0.759506316896281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1" t="n">
        <v>2</v>
      </c>
      <c r="G11" s="1" t="s">
        <v>30</v>
      </c>
      <c r="H11" s="1" t="n">
        <v>0.174</v>
      </c>
      <c r="I11" s="1" t="n">
        <v>0.334847292741923</v>
      </c>
      <c r="J11" s="1" t="n">
        <v>0.382169391296551</v>
      </c>
      <c r="K11" s="1" t="n">
        <f aca="false">J11-I11</f>
        <v>0.0473220985546278</v>
      </c>
      <c r="L11" s="1" t="n">
        <v>0.759506316896281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1" t="n">
        <v>2</v>
      </c>
      <c r="G12" s="1" t="s">
        <v>23</v>
      </c>
      <c r="H12" s="1" t="n">
        <v>0.1735</v>
      </c>
      <c r="I12" s="1" t="n">
        <v>0.333792934013887</v>
      </c>
      <c r="J12" s="1" t="n">
        <v>0.40052793494084</v>
      </c>
      <c r="K12" s="1" t="n">
        <f aca="false">J12-I12</f>
        <v>0.066735000926953</v>
      </c>
      <c r="L12" s="1" t="n">
        <v>0.759506316896281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1" t="n">
        <v>2</v>
      </c>
      <c r="G13" s="1" t="s">
        <v>24</v>
      </c>
      <c r="H13" s="1" t="n">
        <v>0.1716</v>
      </c>
      <c r="I13" s="1" t="n">
        <v>0.330225985239478</v>
      </c>
      <c r="J13" s="1" t="n">
        <v>0.380823008263575</v>
      </c>
      <c r="K13" s="1" t="n">
        <f aca="false">J13-I13</f>
        <v>0.0505970230240969</v>
      </c>
      <c r="L13" s="1" t="n">
        <v>0.759506316896281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1" t="n">
        <v>2</v>
      </c>
      <c r="G14" s="1" t="s">
        <v>26</v>
      </c>
      <c r="H14" s="1" t="n">
        <v>0.1</v>
      </c>
      <c r="I14" s="1" t="n">
        <v>0.289929378362649</v>
      </c>
      <c r="J14" s="1" t="n">
        <v>0.336751241211065</v>
      </c>
      <c r="K14" s="1" t="n">
        <f aca="false">J14-I14</f>
        <v>0.046821862848416</v>
      </c>
      <c r="L14" s="1" t="n">
        <v>0.759506316896281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1" t="n">
        <v>4</v>
      </c>
      <c r="G15" s="1" t="s">
        <v>22</v>
      </c>
      <c r="H15" s="1" t="n">
        <v>0.1898</v>
      </c>
      <c r="I15" s="1" t="n">
        <v>0.39004898177155</v>
      </c>
      <c r="J15" s="1" t="n">
        <v>0.345479805460628</v>
      </c>
      <c r="K15" s="1" t="n">
        <f aca="false">J15-I15</f>
        <v>-0.044569176310922</v>
      </c>
      <c r="L15" s="1" t="n">
        <v>0.715413876782416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19</v>
      </c>
      <c r="E16" s="1" t="s">
        <v>20</v>
      </c>
      <c r="F16" s="1" t="n">
        <v>4</v>
      </c>
      <c r="G16" s="1" t="s">
        <v>23</v>
      </c>
      <c r="H16" s="1" t="n">
        <v>0.1736</v>
      </c>
      <c r="I16" s="1" t="n">
        <v>0.356868772832483</v>
      </c>
      <c r="J16" s="1" t="n">
        <v>0.378931459178574</v>
      </c>
      <c r="K16" s="1" t="n">
        <f aca="false">J16-I16</f>
        <v>0.0220626863460913</v>
      </c>
      <c r="L16" s="1" t="n">
        <v>0.715413876782416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1" t="s">
        <v>19</v>
      </c>
      <c r="E17" s="1" t="s">
        <v>20</v>
      </c>
      <c r="F17" s="1" t="n">
        <v>4</v>
      </c>
      <c r="G17" s="1" t="s">
        <v>21</v>
      </c>
      <c r="H17" s="1" t="n">
        <v>0.1611</v>
      </c>
      <c r="I17" s="1" t="n">
        <v>0.331071291796498</v>
      </c>
      <c r="J17" s="1" t="n">
        <v>0.369836696026077</v>
      </c>
      <c r="K17" s="1" t="n">
        <f aca="false">J17-I17</f>
        <v>0.0387654042295788</v>
      </c>
      <c r="L17" s="1" t="n">
        <v>0.715413876782416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19</v>
      </c>
      <c r="E18" s="1" t="s">
        <v>20</v>
      </c>
      <c r="F18" s="1" t="n">
        <v>4</v>
      </c>
      <c r="G18" s="1" t="s">
        <v>34</v>
      </c>
      <c r="H18" s="1" t="n">
        <v>0.1596</v>
      </c>
      <c r="I18" s="1" t="n">
        <v>0.327920173403763</v>
      </c>
      <c r="J18" s="1" t="n">
        <v>0.267217492865939</v>
      </c>
      <c r="K18" s="1" t="n">
        <f aca="false">J18-I18</f>
        <v>-0.0607026805378242</v>
      </c>
      <c r="L18" s="1" t="n">
        <v>0.715413876782416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1" t="s">
        <v>19</v>
      </c>
      <c r="E19" s="1" t="s">
        <v>20</v>
      </c>
      <c r="F19" s="1" t="n">
        <v>4</v>
      </c>
      <c r="G19" s="1" t="s">
        <v>26</v>
      </c>
      <c r="H19" s="1" t="n">
        <v>0.158</v>
      </c>
      <c r="I19" s="1" t="n">
        <v>0.324775611089402</v>
      </c>
      <c r="J19" s="1" t="n">
        <v>0.3049212305255</v>
      </c>
      <c r="K19" s="1" t="n">
        <f aca="false">J19-I19</f>
        <v>-0.0198543805639019</v>
      </c>
      <c r="L19" s="1" t="n">
        <v>0.715413876782416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1" t="s">
        <v>19</v>
      </c>
      <c r="E20" s="1" t="s">
        <v>20</v>
      </c>
      <c r="F20" s="1" t="n">
        <v>4</v>
      </c>
      <c r="G20" s="1" t="s">
        <v>30</v>
      </c>
      <c r="H20" s="1" t="n">
        <v>0.1579</v>
      </c>
      <c r="I20" s="1" t="n">
        <v>0.32451809020579</v>
      </c>
      <c r="J20" s="1" t="n">
        <v>0.303090020650643</v>
      </c>
      <c r="K20" s="1" t="n">
        <f aca="false">J20-I20</f>
        <v>-0.0214280695551471</v>
      </c>
      <c r="L20" s="1" t="n">
        <v>0.715413876782416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19</v>
      </c>
      <c r="E21" s="1" t="s">
        <v>20</v>
      </c>
      <c r="F21" s="1" t="n">
        <v>6</v>
      </c>
      <c r="G21" s="1" t="s">
        <v>22</v>
      </c>
      <c r="H21" s="1" t="n">
        <v>0.1933</v>
      </c>
      <c r="I21" s="1" t="n">
        <v>0.379269227021075</v>
      </c>
      <c r="J21" s="1" t="n">
        <v>0.419578778416828</v>
      </c>
      <c r="K21" s="1" t="n">
        <f aca="false">J21-I21</f>
        <v>0.0403095513957531</v>
      </c>
      <c r="L21" s="1" t="n">
        <v>0.758348390419844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37</v>
      </c>
      <c r="D22" s="1" t="s">
        <v>19</v>
      </c>
      <c r="E22" s="1" t="s">
        <v>20</v>
      </c>
      <c r="F22" s="1" t="n">
        <v>6</v>
      </c>
      <c r="G22" s="1" t="s">
        <v>23</v>
      </c>
      <c r="H22" s="1" t="n">
        <v>0.1828</v>
      </c>
      <c r="I22" s="1" t="n">
        <v>0.358583601238289</v>
      </c>
      <c r="J22" s="1" t="n">
        <v>0.377647938156553</v>
      </c>
      <c r="K22" s="1" t="n">
        <f aca="false">J22-I22</f>
        <v>0.0190643369182645</v>
      </c>
      <c r="L22" s="1" t="n">
        <v>0.758348390419844</v>
      </c>
    </row>
    <row r="23" customFormat="false" ht="15" hidden="false" customHeight="false" outlineLevel="0" collapsed="false">
      <c r="A23" s="1" t="s">
        <v>35</v>
      </c>
      <c r="B23" s="1" t="s">
        <v>36</v>
      </c>
      <c r="C23" s="1" t="s">
        <v>37</v>
      </c>
      <c r="D23" s="1" t="s">
        <v>19</v>
      </c>
      <c r="E23" s="1" t="s">
        <v>20</v>
      </c>
      <c r="F23" s="1" t="n">
        <v>6</v>
      </c>
      <c r="G23" s="1" t="s">
        <v>24</v>
      </c>
      <c r="H23" s="1" t="n">
        <v>0.1785</v>
      </c>
      <c r="I23" s="1" t="n">
        <v>0.350204713544933</v>
      </c>
      <c r="J23" s="1" t="n">
        <v>0.390218380534649</v>
      </c>
      <c r="K23" s="1" t="n">
        <f aca="false">J23-I23</f>
        <v>0.0400136669897158</v>
      </c>
      <c r="L23" s="1" t="n">
        <v>0.758348390419844</v>
      </c>
    </row>
    <row r="24" customFormat="false" ht="15" hidden="false" customHeight="false" outlineLevel="0" collapsed="false">
      <c r="A24" s="1" t="s">
        <v>35</v>
      </c>
      <c r="B24" s="1" t="s">
        <v>36</v>
      </c>
      <c r="C24" s="1" t="s">
        <v>37</v>
      </c>
      <c r="D24" s="1" t="s">
        <v>19</v>
      </c>
      <c r="E24" s="1" t="s">
        <v>20</v>
      </c>
      <c r="F24" s="1" t="n">
        <v>6</v>
      </c>
      <c r="G24" s="1" t="s">
        <v>38</v>
      </c>
      <c r="H24" s="1" t="n">
        <v>0.1741</v>
      </c>
      <c r="I24" s="1" t="n">
        <v>0.341555017146899</v>
      </c>
      <c r="J24" s="1" t="n">
        <v>0.361890229737558</v>
      </c>
      <c r="K24" s="1" t="n">
        <f aca="false">J24-I24</f>
        <v>0.0203352125906587</v>
      </c>
      <c r="L24" s="1" t="n">
        <v>0.758348390419844</v>
      </c>
    </row>
    <row r="25" customFormat="false" ht="15" hidden="false" customHeight="false" outlineLevel="0" collapsed="false">
      <c r="A25" s="1" t="s">
        <v>35</v>
      </c>
      <c r="B25" s="1" t="s">
        <v>36</v>
      </c>
      <c r="C25" s="1" t="s">
        <v>37</v>
      </c>
      <c r="D25" s="1" t="s">
        <v>19</v>
      </c>
      <c r="E25" s="1" t="s">
        <v>20</v>
      </c>
      <c r="F25" s="1" t="n">
        <v>6</v>
      </c>
      <c r="G25" s="1" t="s">
        <v>39</v>
      </c>
      <c r="H25" s="1" t="n">
        <v>0.1713</v>
      </c>
      <c r="I25" s="1" t="n">
        <v>0.335950784483991</v>
      </c>
      <c r="J25" s="1" t="n">
        <v>0.379960111042735</v>
      </c>
      <c r="K25" s="1" t="n">
        <f aca="false">J25-I25</f>
        <v>0.0440093265587443</v>
      </c>
      <c r="L25" s="1" t="n">
        <v>0.758348390419844</v>
      </c>
    </row>
    <row r="26" customFormat="false" ht="15" hidden="false" customHeight="false" outlineLevel="0" collapsed="false">
      <c r="A26" s="1" t="s">
        <v>35</v>
      </c>
      <c r="B26" s="1" t="s">
        <v>36</v>
      </c>
      <c r="C26" s="1" t="s">
        <v>37</v>
      </c>
      <c r="D26" s="1" t="s">
        <v>19</v>
      </c>
      <c r="E26" s="1" t="s">
        <v>20</v>
      </c>
      <c r="F26" s="1" t="n">
        <v>6</v>
      </c>
      <c r="G26" s="1" t="s">
        <v>26</v>
      </c>
      <c r="H26" s="1" t="n">
        <v>0.1</v>
      </c>
      <c r="I26" s="1" t="n">
        <v>0.28390401501745</v>
      </c>
      <c r="J26" s="1" t="n">
        <v>0.327213198772544</v>
      </c>
      <c r="K26" s="1" t="n">
        <f aca="false">J26-I26</f>
        <v>0.0433091837550934</v>
      </c>
      <c r="L26" s="1" t="n">
        <v>0.758348390419844</v>
      </c>
    </row>
    <row r="27" customFormat="false" ht="15" hidden="false" customHeight="false" outlineLevel="0" collapsed="false">
      <c r="A27" s="1" t="s">
        <v>40</v>
      </c>
      <c r="B27" s="1" t="s">
        <v>41</v>
      </c>
      <c r="C27" s="1" t="s">
        <v>42</v>
      </c>
      <c r="D27" s="1" t="s">
        <v>19</v>
      </c>
      <c r="E27" s="1" t="s">
        <v>20</v>
      </c>
      <c r="F27" s="1" t="n">
        <v>8</v>
      </c>
      <c r="G27" s="1" t="s">
        <v>22</v>
      </c>
      <c r="H27" s="1" t="n">
        <v>0.2088</v>
      </c>
      <c r="I27" s="1" t="n">
        <v>0.407979847175377</v>
      </c>
      <c r="J27" s="1" t="n">
        <v>0.427110819524937</v>
      </c>
      <c r="K27" s="1" t="n">
        <f aca="false">J27-I27</f>
        <v>0.0191309723495605</v>
      </c>
      <c r="L27" s="1" t="n">
        <v>0.810565062673861</v>
      </c>
    </row>
    <row r="28" customFormat="false" ht="15" hidden="false" customHeight="false" outlineLevel="0" collapsed="false">
      <c r="A28" s="1" t="s">
        <v>40</v>
      </c>
      <c r="B28" s="1" t="s">
        <v>41</v>
      </c>
      <c r="C28" s="1" t="s">
        <v>42</v>
      </c>
      <c r="D28" s="1" t="s">
        <v>19</v>
      </c>
      <c r="E28" s="1" t="s">
        <v>20</v>
      </c>
      <c r="F28" s="1" t="n">
        <v>8</v>
      </c>
      <c r="G28" s="1" t="s">
        <v>24</v>
      </c>
      <c r="H28" s="1" t="n">
        <v>0.1792</v>
      </c>
      <c r="I28" s="1" t="n">
        <v>0.350089534208812</v>
      </c>
      <c r="J28" s="1" t="n">
        <v>0.393983660153262</v>
      </c>
      <c r="K28" s="1" t="n">
        <f aca="false">J28-I28</f>
        <v>0.0438941259444492</v>
      </c>
      <c r="L28" s="1" t="n">
        <v>0.810565062673861</v>
      </c>
    </row>
    <row r="29" customFormat="false" ht="15" hidden="false" customHeight="false" outlineLevel="0" collapsed="false">
      <c r="A29" s="1" t="s">
        <v>40</v>
      </c>
      <c r="B29" s="1" t="s">
        <v>41</v>
      </c>
      <c r="C29" s="1" t="s">
        <v>42</v>
      </c>
      <c r="D29" s="1" t="s">
        <v>19</v>
      </c>
      <c r="E29" s="1" t="s">
        <v>20</v>
      </c>
      <c r="F29" s="1" t="n">
        <v>8</v>
      </c>
      <c r="G29" s="1" t="s">
        <v>30</v>
      </c>
      <c r="H29" s="1" t="n">
        <v>0.1744</v>
      </c>
      <c r="I29" s="1" t="n">
        <v>0.340756831727651</v>
      </c>
      <c r="J29" s="1" t="n">
        <v>0.381207412752679</v>
      </c>
      <c r="K29" s="1" t="n">
        <f aca="false">J29-I29</f>
        <v>0.0404505810250282</v>
      </c>
      <c r="L29" s="1" t="n">
        <v>0.810565062673861</v>
      </c>
    </row>
    <row r="30" customFormat="false" ht="15" hidden="false" customHeight="false" outlineLevel="0" collapsed="false">
      <c r="A30" s="1" t="s">
        <v>40</v>
      </c>
      <c r="B30" s="1" t="s">
        <v>41</v>
      </c>
      <c r="C30" s="1" t="s">
        <v>42</v>
      </c>
      <c r="D30" s="1" t="s">
        <v>19</v>
      </c>
      <c r="E30" s="1" t="s">
        <v>20</v>
      </c>
      <c r="F30" s="1" t="n">
        <v>8</v>
      </c>
      <c r="G30" s="1" t="s">
        <v>23</v>
      </c>
      <c r="H30" s="1" t="n">
        <v>0.1732</v>
      </c>
      <c r="I30" s="1" t="n">
        <v>0.33843982562656</v>
      </c>
      <c r="J30" s="1" t="n">
        <v>0.426737881195976</v>
      </c>
      <c r="K30" s="1" t="n">
        <f aca="false">J30-I30</f>
        <v>0.0882980555694155</v>
      </c>
      <c r="L30" s="1" t="n">
        <v>0.810565062673861</v>
      </c>
    </row>
    <row r="31" customFormat="false" ht="15" hidden="false" customHeight="false" outlineLevel="0" collapsed="false">
      <c r="A31" s="1" t="s">
        <v>40</v>
      </c>
      <c r="B31" s="1" t="s">
        <v>41</v>
      </c>
      <c r="C31" s="1" t="s">
        <v>42</v>
      </c>
      <c r="D31" s="1" t="s">
        <v>19</v>
      </c>
      <c r="E31" s="1" t="s">
        <v>20</v>
      </c>
      <c r="F31" s="1" t="n">
        <v>8</v>
      </c>
      <c r="G31" s="1" t="s">
        <v>39</v>
      </c>
      <c r="H31" s="1" t="n">
        <v>0.1643</v>
      </c>
      <c r="I31" s="1" t="n">
        <v>0.320873037036866</v>
      </c>
      <c r="J31" s="1" t="n">
        <v>0.334030717484448</v>
      </c>
      <c r="K31" s="1" t="n">
        <f aca="false">J31-I31</f>
        <v>0.0131576804475827</v>
      </c>
      <c r="L31" s="1" t="n">
        <v>0.810565062673861</v>
      </c>
    </row>
    <row r="32" customFormat="false" ht="15" hidden="false" customHeight="false" outlineLevel="0" collapsed="false">
      <c r="A32" s="1" t="s">
        <v>40</v>
      </c>
      <c r="B32" s="1" t="s">
        <v>41</v>
      </c>
      <c r="C32" s="1" t="s">
        <v>42</v>
      </c>
      <c r="D32" s="1" t="s">
        <v>19</v>
      </c>
      <c r="E32" s="1" t="s">
        <v>20</v>
      </c>
      <c r="F32" s="1" t="n">
        <v>8</v>
      </c>
      <c r="G32" s="1" t="s">
        <v>26</v>
      </c>
      <c r="H32" s="1" t="n">
        <v>0.1</v>
      </c>
      <c r="I32" s="1" t="n">
        <v>0.311426410011433</v>
      </c>
      <c r="J32" s="1" t="n">
        <v>0.339943440102236</v>
      </c>
      <c r="K32" s="1" t="n">
        <f aca="false">J32-I32</f>
        <v>0.0285170300908029</v>
      </c>
      <c r="L32" s="1" t="n">
        <v>0.810565062673861</v>
      </c>
    </row>
    <row r="33" customFormat="false" ht="15" hidden="false" customHeight="false" outlineLevel="0" collapsed="false">
      <c r="A33" s="1" t="s">
        <v>43</v>
      </c>
      <c r="B33" s="1" t="s">
        <v>44</v>
      </c>
      <c r="C33" s="1" t="s">
        <v>45</v>
      </c>
      <c r="D33" s="1" t="s">
        <v>19</v>
      </c>
      <c r="E33" s="1" t="s">
        <v>20</v>
      </c>
      <c r="F33" s="1" t="n">
        <v>10</v>
      </c>
      <c r="G33" s="1" t="s">
        <v>22</v>
      </c>
      <c r="H33" s="1" t="n">
        <v>0.2085</v>
      </c>
      <c r="I33" s="1" t="n">
        <v>0.422425696521639</v>
      </c>
      <c r="J33" s="1" t="n">
        <v>0.468508794834373</v>
      </c>
      <c r="K33" s="1" t="n">
        <f aca="false">J33-I33</f>
        <v>0.0460830983127344</v>
      </c>
      <c r="L33" s="1" t="n">
        <v>0.742289112695254</v>
      </c>
    </row>
    <row r="34" customFormat="false" ht="15" hidden="false" customHeight="false" outlineLevel="0" collapsed="false">
      <c r="A34" s="1" t="s">
        <v>43</v>
      </c>
      <c r="B34" s="1" t="s">
        <v>44</v>
      </c>
      <c r="C34" s="1" t="s">
        <v>45</v>
      </c>
      <c r="D34" s="1" t="s">
        <v>19</v>
      </c>
      <c r="E34" s="1" t="s">
        <v>20</v>
      </c>
      <c r="F34" s="1" t="n">
        <v>10</v>
      </c>
      <c r="G34" s="1" t="s">
        <v>23</v>
      </c>
      <c r="H34" s="1" t="n">
        <v>0.1834</v>
      </c>
      <c r="I34" s="1" t="n">
        <v>0.371628238197122</v>
      </c>
      <c r="J34" s="1" t="n">
        <v>0.380285255691577</v>
      </c>
      <c r="K34" s="1" t="n">
        <f aca="false">J34-I34</f>
        <v>0.00865701749445424</v>
      </c>
      <c r="L34" s="1" t="n">
        <v>0.742289112695254</v>
      </c>
    </row>
    <row r="35" customFormat="false" ht="15" hidden="false" customHeight="false" outlineLevel="0" collapsed="false">
      <c r="A35" s="1" t="s">
        <v>43</v>
      </c>
      <c r="B35" s="1" t="s">
        <v>44</v>
      </c>
      <c r="C35" s="1" t="s">
        <v>45</v>
      </c>
      <c r="D35" s="1" t="s">
        <v>19</v>
      </c>
      <c r="E35" s="1" t="s">
        <v>20</v>
      </c>
      <c r="F35" s="1" t="n">
        <v>10</v>
      </c>
      <c r="G35" s="1" t="s">
        <v>24</v>
      </c>
      <c r="H35" s="1" t="n">
        <v>0.1716</v>
      </c>
      <c r="I35" s="1" t="n">
        <v>0.347628355328851</v>
      </c>
      <c r="J35" s="1" t="n">
        <v>0.379091852415517</v>
      </c>
      <c r="K35" s="1" t="n">
        <f aca="false">J35-I35</f>
        <v>0.0314634970866658</v>
      </c>
      <c r="L35" s="1" t="n">
        <v>0.742289112695254</v>
      </c>
    </row>
    <row r="36" customFormat="false" ht="15" hidden="false" customHeight="false" outlineLevel="0" collapsed="false">
      <c r="A36" s="1" t="s">
        <v>43</v>
      </c>
      <c r="B36" s="1" t="s">
        <v>44</v>
      </c>
      <c r="C36" s="1" t="s">
        <v>45</v>
      </c>
      <c r="D36" s="1" t="s">
        <v>19</v>
      </c>
      <c r="E36" s="1" t="s">
        <v>20</v>
      </c>
      <c r="F36" s="1" t="n">
        <v>10</v>
      </c>
      <c r="G36" s="1" t="s">
        <v>21</v>
      </c>
      <c r="H36" s="1" t="n">
        <v>0.1685</v>
      </c>
      <c r="I36" s="1" t="n">
        <v>0.341413164826895</v>
      </c>
      <c r="J36" s="1" t="n">
        <v>0.410651936499969</v>
      </c>
      <c r="K36" s="1" t="n">
        <f aca="false">J36-I36</f>
        <v>0.0692387716730739</v>
      </c>
      <c r="L36" s="1" t="n">
        <v>0.742289112695254</v>
      </c>
    </row>
    <row r="37" customFormat="false" ht="15" hidden="false" customHeight="false" outlineLevel="0" collapsed="false">
      <c r="A37" s="1" t="s">
        <v>43</v>
      </c>
      <c r="B37" s="1" t="s">
        <v>44</v>
      </c>
      <c r="C37" s="1" t="s">
        <v>45</v>
      </c>
      <c r="D37" s="1" t="s">
        <v>19</v>
      </c>
      <c r="E37" s="1" t="s">
        <v>20</v>
      </c>
      <c r="F37" s="1" t="n">
        <v>10</v>
      </c>
      <c r="G37" s="1" t="s">
        <v>30</v>
      </c>
      <c r="H37" s="1" t="n">
        <v>0.168</v>
      </c>
      <c r="I37" s="1" t="n">
        <v>0.340275173327797</v>
      </c>
      <c r="J37" s="1" t="n">
        <v>0.372953012199271</v>
      </c>
      <c r="K37" s="1" t="n">
        <f aca="false">J37-I37</f>
        <v>0.0326778388714732</v>
      </c>
      <c r="L37" s="1" t="n">
        <v>0.742289112695254</v>
      </c>
    </row>
    <row r="38" customFormat="false" ht="15" hidden="false" customHeight="false" outlineLevel="0" collapsed="false">
      <c r="A38" s="1" t="s">
        <v>43</v>
      </c>
      <c r="B38" s="1" t="s">
        <v>44</v>
      </c>
      <c r="C38" s="1" t="s">
        <v>45</v>
      </c>
      <c r="D38" s="1" t="s">
        <v>19</v>
      </c>
      <c r="E38" s="1" t="s">
        <v>20</v>
      </c>
      <c r="F38" s="1" t="n">
        <v>10</v>
      </c>
      <c r="G38" s="1" t="s">
        <v>26</v>
      </c>
      <c r="H38" s="1" t="n">
        <v>0.1</v>
      </c>
      <c r="I38" s="1" t="n">
        <v>0.297115166423916</v>
      </c>
      <c r="J38" s="1" t="n">
        <v>0.349613302671268</v>
      </c>
      <c r="K38" s="1" t="n">
        <f aca="false">J38-I38</f>
        <v>0.0524981362473517</v>
      </c>
      <c r="L38" s="1" t="n">
        <v>0.742289112695254</v>
      </c>
    </row>
    <row r="39" customFormat="false" ht="15" hidden="false" customHeight="false" outlineLevel="0" collapsed="false">
      <c r="A39" s="1" t="s">
        <v>46</v>
      </c>
      <c r="B39" s="1" t="s">
        <v>47</v>
      </c>
      <c r="C39" s="1" t="s">
        <v>48</v>
      </c>
      <c r="D39" s="1" t="s">
        <v>19</v>
      </c>
      <c r="E39" s="1" t="s">
        <v>20</v>
      </c>
      <c r="F39" s="1" t="n">
        <v>12</v>
      </c>
      <c r="G39" s="1" t="s">
        <v>22</v>
      </c>
      <c r="H39" s="1" t="n">
        <v>0.2077</v>
      </c>
      <c r="I39" s="1" t="n">
        <v>0.425750590082858</v>
      </c>
      <c r="J39" s="1" t="n">
        <v>0.408293559145853</v>
      </c>
      <c r="K39" s="1" t="n">
        <f aca="false">J39-I39</f>
        <v>-0.0174570309370046</v>
      </c>
      <c r="L39" s="1" t="n">
        <v>0.764250642039974</v>
      </c>
    </row>
    <row r="40" customFormat="false" ht="15" hidden="false" customHeight="false" outlineLevel="0" collapsed="false">
      <c r="A40" s="1" t="s">
        <v>46</v>
      </c>
      <c r="B40" s="1" t="s">
        <v>47</v>
      </c>
      <c r="C40" s="1" t="s">
        <v>48</v>
      </c>
      <c r="D40" s="1" t="s">
        <v>19</v>
      </c>
      <c r="E40" s="1" t="s">
        <v>20</v>
      </c>
      <c r="F40" s="1" t="n">
        <v>12</v>
      </c>
      <c r="G40" s="1" t="s">
        <v>21</v>
      </c>
      <c r="H40" s="1" t="n">
        <v>0.1734</v>
      </c>
      <c r="I40" s="1" t="n">
        <v>0.355564194421502</v>
      </c>
      <c r="J40" s="1" t="n">
        <v>0.402312620014013</v>
      </c>
      <c r="K40" s="1" t="n">
        <f aca="false">J40-I40</f>
        <v>0.046748425592511</v>
      </c>
      <c r="L40" s="1" t="n">
        <v>0.764250642039974</v>
      </c>
    </row>
    <row r="41" customFormat="false" ht="15" hidden="false" customHeight="false" outlineLevel="0" collapsed="false">
      <c r="A41" s="1" t="s">
        <v>46</v>
      </c>
      <c r="B41" s="1" t="s">
        <v>47</v>
      </c>
      <c r="C41" s="1" t="s">
        <v>48</v>
      </c>
      <c r="D41" s="1" t="s">
        <v>19</v>
      </c>
      <c r="E41" s="1" t="s">
        <v>20</v>
      </c>
      <c r="F41" s="1" t="n">
        <v>12</v>
      </c>
      <c r="G41" s="1" t="s">
        <v>30</v>
      </c>
      <c r="H41" s="1" t="n">
        <v>0.1625</v>
      </c>
      <c r="I41" s="1" t="n">
        <v>0.33304848042121</v>
      </c>
      <c r="J41" s="1" t="n">
        <v>0.394821513106864</v>
      </c>
      <c r="K41" s="1" t="n">
        <f aca="false">J41-I41</f>
        <v>0.0617730326856542</v>
      </c>
      <c r="L41" s="1" t="n">
        <v>0.764250642039974</v>
      </c>
    </row>
    <row r="42" customFormat="false" ht="15" hidden="false" customHeight="false" outlineLevel="0" collapsed="false">
      <c r="A42" s="1" t="s">
        <v>46</v>
      </c>
      <c r="B42" s="1" t="s">
        <v>47</v>
      </c>
      <c r="C42" s="1" t="s">
        <v>48</v>
      </c>
      <c r="D42" s="1" t="s">
        <v>19</v>
      </c>
      <c r="E42" s="1" t="s">
        <v>20</v>
      </c>
      <c r="F42" s="1" t="n">
        <v>12</v>
      </c>
      <c r="G42" s="1" t="s">
        <v>24</v>
      </c>
      <c r="H42" s="1" t="n">
        <v>0.1551</v>
      </c>
      <c r="I42" s="1" t="n">
        <v>0.318021320748449</v>
      </c>
      <c r="J42" s="1" t="n">
        <v>0.364317667376378</v>
      </c>
      <c r="K42" s="1" t="n">
        <f aca="false">J42-I42</f>
        <v>0.046296346627929</v>
      </c>
      <c r="L42" s="1" t="n">
        <v>0.764250642039974</v>
      </c>
    </row>
    <row r="43" customFormat="false" ht="15" hidden="false" customHeight="false" outlineLevel="0" collapsed="false">
      <c r="A43" s="1" t="s">
        <v>46</v>
      </c>
      <c r="B43" s="1" t="s">
        <v>47</v>
      </c>
      <c r="C43" s="1" t="s">
        <v>48</v>
      </c>
      <c r="D43" s="1" t="s">
        <v>19</v>
      </c>
      <c r="E43" s="1" t="s">
        <v>20</v>
      </c>
      <c r="F43" s="1" t="n">
        <v>12</v>
      </c>
      <c r="G43" s="1" t="s">
        <v>49</v>
      </c>
      <c r="H43" s="1" t="n">
        <v>0.152</v>
      </c>
      <c r="I43" s="1" t="n">
        <v>0.311564639917575</v>
      </c>
      <c r="J43" s="1" t="n">
        <v>0.387553683039612</v>
      </c>
      <c r="K43" s="1" t="n">
        <f aca="false">J43-I43</f>
        <v>0.075989043122037</v>
      </c>
      <c r="L43" s="1" t="n">
        <v>0.764250642039974</v>
      </c>
    </row>
    <row r="44" customFormat="false" ht="15" hidden="false" customHeight="false" outlineLevel="0" collapsed="false">
      <c r="A44" s="1" t="s">
        <v>46</v>
      </c>
      <c r="B44" s="1" t="s">
        <v>47</v>
      </c>
      <c r="C44" s="1" t="s">
        <v>48</v>
      </c>
      <c r="D44" s="1" t="s">
        <v>19</v>
      </c>
      <c r="E44" s="1" t="s">
        <v>20</v>
      </c>
      <c r="F44" s="1" t="n">
        <v>12</v>
      </c>
      <c r="G44" s="1" t="s">
        <v>26</v>
      </c>
      <c r="H44" s="1" t="n">
        <v>0.1493</v>
      </c>
      <c r="I44" s="1" t="n">
        <v>0.306096372548378</v>
      </c>
      <c r="J44" s="1" t="n">
        <v>0.360046219629352</v>
      </c>
      <c r="K44" s="1" t="n">
        <f aca="false">J44-I44</f>
        <v>0.053949847080974</v>
      </c>
      <c r="L44" s="1" t="n">
        <v>0.764250642039974</v>
      </c>
    </row>
    <row r="45" customFormat="false" ht="15" hidden="false" customHeight="false" outlineLevel="0" collapsed="false">
      <c r="A45" s="1" t="s">
        <v>50</v>
      </c>
      <c r="B45" s="1" t="s">
        <v>51</v>
      </c>
      <c r="C45" s="1" t="s">
        <v>52</v>
      </c>
      <c r="D45" s="1" t="s">
        <v>19</v>
      </c>
      <c r="E45" s="1" t="s">
        <v>20</v>
      </c>
      <c r="F45" s="1" t="n">
        <v>14</v>
      </c>
      <c r="G45" s="1" t="s">
        <v>22</v>
      </c>
      <c r="H45" s="1" t="n">
        <v>0.1915</v>
      </c>
      <c r="I45" s="1" t="n">
        <v>0.352845464388643</v>
      </c>
      <c r="J45" s="1" t="n">
        <v>0.432533193045476</v>
      </c>
      <c r="K45" s="1" t="n">
        <f aca="false">J45-I45</f>
        <v>0.0796877286568327</v>
      </c>
      <c r="L45" s="1" t="n">
        <v>0.698577720903755</v>
      </c>
    </row>
    <row r="46" customFormat="false" ht="15" hidden="false" customHeight="false" outlineLevel="0" collapsed="false">
      <c r="A46" s="1" t="s">
        <v>50</v>
      </c>
      <c r="B46" s="1" t="s">
        <v>51</v>
      </c>
      <c r="C46" s="1" t="s">
        <v>52</v>
      </c>
      <c r="D46" s="1" t="s">
        <v>19</v>
      </c>
      <c r="E46" s="1" t="s">
        <v>20</v>
      </c>
      <c r="F46" s="1" t="n">
        <v>14</v>
      </c>
      <c r="G46" s="1" t="s">
        <v>21</v>
      </c>
      <c r="H46" s="1" t="n">
        <v>0.1811</v>
      </c>
      <c r="I46" s="1" t="n">
        <v>0.333684577881432</v>
      </c>
      <c r="J46" s="1" t="n">
        <v>0.435891189849766</v>
      </c>
      <c r="K46" s="1" t="n">
        <f aca="false">J46-I46</f>
        <v>0.102206611968334</v>
      </c>
      <c r="L46" s="1" t="n">
        <v>0.698577720903755</v>
      </c>
    </row>
    <row r="47" customFormat="false" ht="15" hidden="false" customHeight="false" outlineLevel="0" collapsed="false">
      <c r="A47" s="1" t="s">
        <v>50</v>
      </c>
      <c r="B47" s="1" t="s">
        <v>51</v>
      </c>
      <c r="C47" s="1" t="s">
        <v>52</v>
      </c>
      <c r="D47" s="1" t="s">
        <v>19</v>
      </c>
      <c r="E47" s="1" t="s">
        <v>20</v>
      </c>
      <c r="F47" s="1" t="n">
        <v>14</v>
      </c>
      <c r="G47" s="1" t="s">
        <v>30</v>
      </c>
      <c r="H47" s="1" t="n">
        <v>0.1777</v>
      </c>
      <c r="I47" s="1" t="n">
        <v>0.327410318562196</v>
      </c>
      <c r="J47" s="1" t="n">
        <v>0.397663672743059</v>
      </c>
      <c r="K47" s="1" t="n">
        <f aca="false">J47-I47</f>
        <v>0.0702533541808631</v>
      </c>
      <c r="L47" s="1" t="n">
        <v>0.698577720903755</v>
      </c>
    </row>
    <row r="48" customFormat="false" ht="15" hidden="false" customHeight="false" outlineLevel="0" collapsed="false">
      <c r="A48" s="1" t="s">
        <v>50</v>
      </c>
      <c r="B48" s="1" t="s">
        <v>51</v>
      </c>
      <c r="C48" s="1" t="s">
        <v>52</v>
      </c>
      <c r="D48" s="1" t="s">
        <v>19</v>
      </c>
      <c r="E48" s="1" t="s">
        <v>20</v>
      </c>
      <c r="F48" s="1" t="n">
        <v>14</v>
      </c>
      <c r="G48" s="1" t="s">
        <v>25</v>
      </c>
      <c r="H48" s="1" t="n">
        <v>0.1751</v>
      </c>
      <c r="I48" s="1" t="n">
        <v>0.32274696599061</v>
      </c>
      <c r="J48" s="1" t="n">
        <v>0.421864398299174</v>
      </c>
      <c r="K48" s="1" t="n">
        <f aca="false">J48-I48</f>
        <v>0.0991174323085633</v>
      </c>
      <c r="L48" s="1" t="n">
        <v>0.698577720903755</v>
      </c>
    </row>
    <row r="49" customFormat="false" ht="15" hidden="false" customHeight="false" outlineLevel="0" collapsed="false">
      <c r="A49" s="1" t="s">
        <v>50</v>
      </c>
      <c r="B49" s="1" t="s">
        <v>51</v>
      </c>
      <c r="C49" s="1" t="s">
        <v>52</v>
      </c>
      <c r="D49" s="1" t="s">
        <v>19</v>
      </c>
      <c r="E49" s="1" t="s">
        <v>20</v>
      </c>
      <c r="F49" s="1" t="n">
        <v>14</v>
      </c>
      <c r="G49" s="1" t="s">
        <v>23</v>
      </c>
      <c r="H49" s="1" t="n">
        <v>0.1746</v>
      </c>
      <c r="I49" s="1" t="n">
        <v>0.321749607988483</v>
      </c>
      <c r="J49" s="1" t="n">
        <v>0.381663797155161</v>
      </c>
      <c r="K49" s="1" t="n">
        <f aca="false">J49-I49</f>
        <v>0.0599141891666778</v>
      </c>
      <c r="L49" s="1" t="n">
        <v>0.698577720903755</v>
      </c>
    </row>
    <row r="50" customFormat="false" ht="15" hidden="false" customHeight="false" outlineLevel="0" collapsed="false">
      <c r="A50" s="1" t="s">
        <v>50</v>
      </c>
      <c r="B50" s="1" t="s">
        <v>51</v>
      </c>
      <c r="C50" s="1" t="s">
        <v>52</v>
      </c>
      <c r="D50" s="1" t="s">
        <v>19</v>
      </c>
      <c r="E50" s="1" t="s">
        <v>20</v>
      </c>
      <c r="F50" s="1" t="n">
        <v>14</v>
      </c>
      <c r="G50" s="1" t="s">
        <v>26</v>
      </c>
      <c r="H50" s="1" t="n">
        <v>0.1</v>
      </c>
      <c r="I50" s="1" t="n">
        <v>0.307389667728376</v>
      </c>
      <c r="J50" s="1" t="n">
        <v>0.407458521030078</v>
      </c>
      <c r="K50" s="1" t="n">
        <f aca="false">J50-I50</f>
        <v>0.100068853301702</v>
      </c>
      <c r="L50" s="1" t="n">
        <v>0.698577720903755</v>
      </c>
    </row>
    <row r="51" customFormat="false" ht="15" hidden="false" customHeight="false" outlineLevel="0" collapsed="false">
      <c r="A51" s="1" t="s">
        <v>53</v>
      </c>
      <c r="B51" s="1" t="s">
        <v>54</v>
      </c>
      <c r="C51" s="1" t="s">
        <v>55</v>
      </c>
      <c r="D51" s="1" t="s">
        <v>19</v>
      </c>
      <c r="E51" s="1" t="s">
        <v>20</v>
      </c>
      <c r="F51" s="1" t="n">
        <v>16</v>
      </c>
      <c r="G51" s="1" t="s">
        <v>21</v>
      </c>
      <c r="H51" s="1" t="n">
        <v>0.1844</v>
      </c>
      <c r="I51" s="1" t="n">
        <v>0.384609269980257</v>
      </c>
      <c r="J51" s="1" t="n">
        <v>0.427235666355824</v>
      </c>
      <c r="K51" s="1" t="n">
        <f aca="false">J51-I51</f>
        <v>0.0426263963755667</v>
      </c>
      <c r="L51" s="1" t="n">
        <v>0.766115238968207</v>
      </c>
    </row>
    <row r="52" customFormat="false" ht="15" hidden="false" customHeight="false" outlineLevel="0" collapsed="false">
      <c r="A52" s="1" t="s">
        <v>53</v>
      </c>
      <c r="B52" s="1" t="s">
        <v>54</v>
      </c>
      <c r="C52" s="1" t="s">
        <v>55</v>
      </c>
      <c r="D52" s="1" t="s">
        <v>19</v>
      </c>
      <c r="E52" s="1" t="s">
        <v>20</v>
      </c>
      <c r="F52" s="1" t="n">
        <v>16</v>
      </c>
      <c r="G52" s="1" t="s">
        <v>22</v>
      </c>
      <c r="H52" s="1" t="n">
        <v>0.1787</v>
      </c>
      <c r="I52" s="1" t="n">
        <v>0.372751980977081</v>
      </c>
      <c r="J52" s="1" t="n">
        <v>0.377701091803706</v>
      </c>
      <c r="K52" s="1" t="n">
        <f aca="false">J52-I52</f>
        <v>0.00494911082662508</v>
      </c>
      <c r="L52" s="1" t="n">
        <v>0.766115238968207</v>
      </c>
    </row>
    <row r="53" customFormat="false" ht="15" hidden="false" customHeight="false" outlineLevel="0" collapsed="false">
      <c r="A53" s="1" t="s">
        <v>53</v>
      </c>
      <c r="B53" s="1" t="s">
        <v>54</v>
      </c>
      <c r="C53" s="1" t="s">
        <v>55</v>
      </c>
      <c r="D53" s="1" t="s">
        <v>19</v>
      </c>
      <c r="E53" s="1" t="s">
        <v>20</v>
      </c>
      <c r="F53" s="1" t="n">
        <v>16</v>
      </c>
      <c r="G53" s="1" t="s">
        <v>25</v>
      </c>
      <c r="H53" s="1" t="n">
        <v>0.1639</v>
      </c>
      <c r="I53" s="1" t="n">
        <v>0.341917005890237</v>
      </c>
      <c r="J53" s="1" t="n">
        <v>0.37226432633806</v>
      </c>
      <c r="K53" s="1" t="n">
        <f aca="false">J53-I53</f>
        <v>0.0303473204478239</v>
      </c>
      <c r="L53" s="1" t="n">
        <v>0.766115238968207</v>
      </c>
    </row>
    <row r="54" customFormat="false" ht="15" hidden="false" customHeight="false" outlineLevel="0" collapsed="false">
      <c r="A54" s="1" t="s">
        <v>53</v>
      </c>
      <c r="B54" s="1" t="s">
        <v>54</v>
      </c>
      <c r="C54" s="1" t="s">
        <v>55</v>
      </c>
      <c r="D54" s="1" t="s">
        <v>19</v>
      </c>
      <c r="E54" s="1" t="s">
        <v>20</v>
      </c>
      <c r="F54" s="1" t="n">
        <v>16</v>
      </c>
      <c r="G54" s="1" t="s">
        <v>26</v>
      </c>
      <c r="H54" s="1" t="n">
        <v>0.1609</v>
      </c>
      <c r="I54" s="1" t="n">
        <v>0.335654042901947</v>
      </c>
      <c r="J54" s="1" t="n">
        <v>0.329391279347439</v>
      </c>
      <c r="K54" s="1" t="n">
        <f aca="false">J54-I54</f>
        <v>-0.00626276355450789</v>
      </c>
      <c r="L54" s="1" t="n">
        <v>0.766115238968207</v>
      </c>
    </row>
    <row r="55" customFormat="false" ht="15" hidden="false" customHeight="false" outlineLevel="0" collapsed="false">
      <c r="A55" s="1" t="s">
        <v>53</v>
      </c>
      <c r="B55" s="1" t="s">
        <v>54</v>
      </c>
      <c r="C55" s="1" t="s">
        <v>55</v>
      </c>
      <c r="D55" s="1" t="s">
        <v>19</v>
      </c>
      <c r="E55" s="1" t="s">
        <v>20</v>
      </c>
      <c r="F55" s="1" t="n">
        <v>16</v>
      </c>
      <c r="G55" s="1" t="s">
        <v>30</v>
      </c>
      <c r="H55" s="1" t="n">
        <v>0.1599</v>
      </c>
      <c r="I55" s="1" t="n">
        <v>0.333698986953585</v>
      </c>
      <c r="J55" s="1" t="n">
        <v>0.343433511971691</v>
      </c>
      <c r="K55" s="1" t="n">
        <f aca="false">J55-I55</f>
        <v>0.00973452501810651</v>
      </c>
      <c r="L55" s="1" t="n">
        <v>0.766115238968207</v>
      </c>
    </row>
    <row r="56" customFormat="false" ht="15" hidden="false" customHeight="false" outlineLevel="0" collapsed="false">
      <c r="A56" s="1" t="s">
        <v>53</v>
      </c>
      <c r="B56" s="1" t="s">
        <v>54</v>
      </c>
      <c r="C56" s="1" t="s">
        <v>55</v>
      </c>
      <c r="D56" s="1" t="s">
        <v>19</v>
      </c>
      <c r="E56" s="1" t="s">
        <v>20</v>
      </c>
      <c r="F56" s="1" t="n">
        <v>16</v>
      </c>
      <c r="G56" s="1" t="s">
        <v>56</v>
      </c>
      <c r="H56" s="1" t="n">
        <v>0.1523</v>
      </c>
      <c r="I56" s="1" t="n">
        <v>0.317646015730826</v>
      </c>
      <c r="J56" s="1" t="n">
        <v>0.332235385592086</v>
      </c>
      <c r="K56" s="1" t="n">
        <f aca="false">J56-I56</f>
        <v>0.0145893698612599</v>
      </c>
      <c r="L56" s="1" t="n">
        <v>0.766115238968207</v>
      </c>
    </row>
    <row r="57" customFormat="false" ht="15" hidden="false" customHeight="false" outlineLevel="0" collapsed="false">
      <c r="A57" s="1" t="s">
        <v>57</v>
      </c>
      <c r="B57" s="1" t="s">
        <v>58</v>
      </c>
      <c r="C57" s="1" t="s">
        <v>59</v>
      </c>
      <c r="D57" s="1" t="s">
        <v>19</v>
      </c>
      <c r="E57" s="1" t="s">
        <v>20</v>
      </c>
      <c r="F57" s="1" t="n">
        <v>18</v>
      </c>
      <c r="G57" s="1" t="s">
        <v>22</v>
      </c>
      <c r="H57" s="1" t="n">
        <v>0.1888</v>
      </c>
      <c r="I57" s="1" t="n">
        <v>0.381061055001823</v>
      </c>
      <c r="J57" s="1" t="n">
        <v>0.471163131813701</v>
      </c>
      <c r="K57" s="1" t="n">
        <f aca="false">J57-I57</f>
        <v>0.0901020768118781</v>
      </c>
      <c r="L57" s="1" t="n">
        <v>0.777924199556208</v>
      </c>
    </row>
    <row r="58" customFormat="false" ht="15" hidden="false" customHeight="false" outlineLevel="0" collapsed="false">
      <c r="A58" s="1" t="s">
        <v>57</v>
      </c>
      <c r="B58" s="1" t="s">
        <v>58</v>
      </c>
      <c r="C58" s="1" t="s">
        <v>59</v>
      </c>
      <c r="D58" s="1" t="s">
        <v>19</v>
      </c>
      <c r="E58" s="1" t="s">
        <v>20</v>
      </c>
      <c r="F58" s="1" t="n">
        <v>18</v>
      </c>
      <c r="G58" s="1" t="s">
        <v>24</v>
      </c>
      <c r="H58" s="1" t="n">
        <v>0.182</v>
      </c>
      <c r="I58" s="1" t="n">
        <v>0.367399226233356</v>
      </c>
      <c r="J58" s="1" t="n">
        <v>0.428155280685543</v>
      </c>
      <c r="K58" s="1" t="n">
        <f aca="false">J58-I58</f>
        <v>0.0607560544521875</v>
      </c>
      <c r="L58" s="1" t="n">
        <v>0.777924199556208</v>
      </c>
    </row>
    <row r="59" customFormat="false" ht="15" hidden="false" customHeight="false" outlineLevel="0" collapsed="false">
      <c r="A59" s="1" t="s">
        <v>57</v>
      </c>
      <c r="B59" s="1" t="s">
        <v>58</v>
      </c>
      <c r="C59" s="1" t="s">
        <v>59</v>
      </c>
      <c r="D59" s="1" t="s">
        <v>19</v>
      </c>
      <c r="E59" s="1" t="s">
        <v>20</v>
      </c>
      <c r="F59" s="1" t="n">
        <v>18</v>
      </c>
      <c r="G59" s="1" t="s">
        <v>23</v>
      </c>
      <c r="H59" s="1" t="n">
        <v>0.1818</v>
      </c>
      <c r="I59" s="1" t="n">
        <v>0.366942198452989</v>
      </c>
      <c r="J59" s="1" t="n">
        <v>0.398682022103495</v>
      </c>
      <c r="K59" s="1" t="n">
        <f aca="false">J59-I59</f>
        <v>0.0317398236505055</v>
      </c>
      <c r="L59" s="1" t="n">
        <v>0.777924199556208</v>
      </c>
    </row>
    <row r="60" customFormat="false" ht="15" hidden="false" customHeight="false" outlineLevel="0" collapsed="false">
      <c r="A60" s="1" t="s">
        <v>57</v>
      </c>
      <c r="B60" s="1" t="s">
        <v>58</v>
      </c>
      <c r="C60" s="1" t="s">
        <v>59</v>
      </c>
      <c r="D60" s="1" t="s">
        <v>19</v>
      </c>
      <c r="E60" s="1" t="s">
        <v>20</v>
      </c>
      <c r="F60" s="1" t="n">
        <v>18</v>
      </c>
      <c r="G60" s="1" t="s">
        <v>30</v>
      </c>
      <c r="H60" s="1" t="n">
        <v>0.1759</v>
      </c>
      <c r="I60" s="1" t="n">
        <v>0.355085616447138</v>
      </c>
      <c r="J60" s="1" t="n">
        <v>0.397083342893287</v>
      </c>
      <c r="K60" s="1" t="n">
        <f aca="false">J60-I60</f>
        <v>0.0419977264461487</v>
      </c>
      <c r="L60" s="1" t="n">
        <v>0.777924199556208</v>
      </c>
    </row>
    <row r="61" customFormat="false" ht="15" hidden="false" customHeight="false" outlineLevel="0" collapsed="false">
      <c r="A61" s="1" t="s">
        <v>57</v>
      </c>
      <c r="B61" s="1" t="s">
        <v>58</v>
      </c>
      <c r="C61" s="1" t="s">
        <v>59</v>
      </c>
      <c r="D61" s="1" t="s">
        <v>19</v>
      </c>
      <c r="E61" s="1" t="s">
        <v>20</v>
      </c>
      <c r="F61" s="1" t="n">
        <v>18</v>
      </c>
      <c r="G61" s="1" t="s">
        <v>21</v>
      </c>
      <c r="H61" s="1" t="n">
        <v>0.1714</v>
      </c>
      <c r="I61" s="1" t="n">
        <v>0.345860780552462</v>
      </c>
      <c r="J61" s="1" t="n">
        <v>0.399812855950104</v>
      </c>
      <c r="K61" s="1" t="n">
        <f aca="false">J61-I61</f>
        <v>0.0539520753976413</v>
      </c>
      <c r="L61" s="1" t="n">
        <v>0.777924199556208</v>
      </c>
    </row>
    <row r="62" customFormat="false" ht="15" hidden="false" customHeight="false" outlineLevel="0" collapsed="false">
      <c r="A62" s="1" t="s">
        <v>57</v>
      </c>
      <c r="B62" s="1" t="s">
        <v>58</v>
      </c>
      <c r="C62" s="1" t="s">
        <v>59</v>
      </c>
      <c r="D62" s="1" t="s">
        <v>19</v>
      </c>
      <c r="E62" s="1" t="s">
        <v>20</v>
      </c>
      <c r="F62" s="1" t="n">
        <v>18</v>
      </c>
      <c r="G62" s="1" t="s">
        <v>26</v>
      </c>
      <c r="H62" s="1" t="n">
        <v>0.1</v>
      </c>
      <c r="I62" s="1" t="n">
        <v>0.302524583794076</v>
      </c>
      <c r="J62" s="1" t="n">
        <v>0.378596575865834</v>
      </c>
      <c r="K62" s="1" t="n">
        <f aca="false">J62-I62</f>
        <v>0.0760719920717581</v>
      </c>
      <c r="L62" s="1" t="n">
        <v>0.777924199556208</v>
      </c>
    </row>
    <row r="63" customFormat="false" ht="15" hidden="false" customHeight="false" outlineLevel="0" collapsed="false">
      <c r="A63" s="1" t="s">
        <v>60</v>
      </c>
      <c r="B63" s="1" t="s">
        <v>61</v>
      </c>
      <c r="C63" s="1" t="s">
        <v>62</v>
      </c>
      <c r="D63" s="1" t="s">
        <v>19</v>
      </c>
      <c r="E63" s="1" t="s">
        <v>20</v>
      </c>
      <c r="F63" s="1" t="n">
        <v>20</v>
      </c>
      <c r="G63" s="1" t="s">
        <v>22</v>
      </c>
      <c r="H63" s="1" t="n">
        <v>0.1978</v>
      </c>
      <c r="I63" s="1" t="n">
        <v>0.448097844134626</v>
      </c>
      <c r="J63" s="1" t="n">
        <v>0.390367750496196</v>
      </c>
      <c r="K63" s="1" t="n">
        <f aca="false">J63-I63</f>
        <v>-0.0577300936384301</v>
      </c>
      <c r="L63" s="1" t="n">
        <v>0.73133786448165</v>
      </c>
    </row>
    <row r="64" customFormat="false" ht="15" hidden="false" customHeight="false" outlineLevel="0" collapsed="false">
      <c r="A64" s="1" t="s">
        <v>60</v>
      </c>
      <c r="B64" s="1" t="s">
        <v>61</v>
      </c>
      <c r="C64" s="1" t="s">
        <v>62</v>
      </c>
      <c r="D64" s="1" t="s">
        <v>19</v>
      </c>
      <c r="E64" s="1" t="s">
        <v>20</v>
      </c>
      <c r="F64" s="1" t="n">
        <v>20</v>
      </c>
      <c r="G64" s="1" t="s">
        <v>24</v>
      </c>
      <c r="H64" s="1" t="n">
        <v>0.1677</v>
      </c>
      <c r="I64" s="1" t="n">
        <v>0.37984451989933</v>
      </c>
      <c r="J64" s="1" t="n">
        <v>0.41503596002777</v>
      </c>
      <c r="K64" s="1" t="n">
        <f aca="false">J64-I64</f>
        <v>0.0351914401284409</v>
      </c>
      <c r="L64" s="1" t="n">
        <v>0.73133786448165</v>
      </c>
    </row>
    <row r="65" customFormat="false" ht="15" hidden="false" customHeight="false" outlineLevel="0" collapsed="false">
      <c r="A65" s="1" t="s">
        <v>60</v>
      </c>
      <c r="B65" s="1" t="s">
        <v>61</v>
      </c>
      <c r="C65" s="1" t="s">
        <v>62</v>
      </c>
      <c r="D65" s="1" t="s">
        <v>19</v>
      </c>
      <c r="E65" s="1" t="s">
        <v>20</v>
      </c>
      <c r="F65" s="1" t="n">
        <v>20</v>
      </c>
      <c r="G65" s="1" t="s">
        <v>26</v>
      </c>
      <c r="H65" s="1" t="n">
        <v>0.1599</v>
      </c>
      <c r="I65" s="1" t="n">
        <v>0.362302990588257</v>
      </c>
      <c r="J65" s="1" t="n">
        <v>0.448864152544298</v>
      </c>
      <c r="K65" s="1" t="n">
        <f aca="false">J65-I65</f>
        <v>0.086561161956041</v>
      </c>
      <c r="L65" s="1" t="n">
        <v>0.73133786448165</v>
      </c>
    </row>
    <row r="66" customFormat="false" ht="15" hidden="false" customHeight="false" outlineLevel="0" collapsed="false">
      <c r="A66" s="1" t="s">
        <v>60</v>
      </c>
      <c r="B66" s="1" t="s">
        <v>61</v>
      </c>
      <c r="C66" s="1" t="s">
        <v>62</v>
      </c>
      <c r="D66" s="1" t="s">
        <v>19</v>
      </c>
      <c r="E66" s="1" t="s">
        <v>20</v>
      </c>
      <c r="F66" s="1" t="n">
        <v>20</v>
      </c>
      <c r="G66" s="1" t="s">
        <v>30</v>
      </c>
      <c r="H66" s="1" t="n">
        <v>0.1587</v>
      </c>
      <c r="I66" s="1" t="n">
        <v>0.359411581885525</v>
      </c>
      <c r="J66" s="1" t="n">
        <v>0.41789755055216</v>
      </c>
      <c r="K66" s="1" t="n">
        <f aca="false">J66-I66</f>
        <v>0.0584859686666348</v>
      </c>
      <c r="L66" s="1" t="n">
        <v>0.73133786448165</v>
      </c>
    </row>
    <row r="67" customFormat="false" ht="15" hidden="false" customHeight="false" outlineLevel="0" collapsed="false">
      <c r="A67" s="1" t="s">
        <v>60</v>
      </c>
      <c r="B67" s="1" t="s">
        <v>61</v>
      </c>
      <c r="C67" s="1" t="s">
        <v>62</v>
      </c>
      <c r="D67" s="1" t="s">
        <v>19</v>
      </c>
      <c r="E67" s="1" t="s">
        <v>20</v>
      </c>
      <c r="F67" s="1" t="n">
        <v>20</v>
      </c>
      <c r="G67" s="1" t="s">
        <v>39</v>
      </c>
      <c r="H67" s="1" t="n">
        <v>0.1584</v>
      </c>
      <c r="I67" s="1" t="n">
        <v>0.358842396651849</v>
      </c>
      <c r="J67" s="1" t="n">
        <v>0.340305417053391</v>
      </c>
      <c r="K67" s="1" t="n">
        <f aca="false">J67-I67</f>
        <v>-0.0185369795984579</v>
      </c>
      <c r="L67" s="1" t="n">
        <v>0.73133786448165</v>
      </c>
    </row>
    <row r="68" customFormat="false" ht="15" hidden="false" customHeight="false" outlineLevel="0" collapsed="false">
      <c r="A68" s="1" t="s">
        <v>60</v>
      </c>
      <c r="B68" s="1" t="s">
        <v>61</v>
      </c>
      <c r="C68" s="1" t="s">
        <v>62</v>
      </c>
      <c r="D68" s="1" t="s">
        <v>19</v>
      </c>
      <c r="E68" s="1" t="s">
        <v>20</v>
      </c>
      <c r="F68" s="1" t="n">
        <v>20</v>
      </c>
      <c r="G68" s="1" t="s">
        <v>23</v>
      </c>
      <c r="H68" s="1" t="n">
        <v>0.1575</v>
      </c>
      <c r="I68" s="1" t="n">
        <v>0.356914147202158</v>
      </c>
      <c r="J68" s="1" t="n">
        <v>0.399760150098269</v>
      </c>
      <c r="K68" s="1" t="n">
        <f aca="false">J68-I68</f>
        <v>0.0428460028961104</v>
      </c>
      <c r="L68" s="1" t="n">
        <v>0.73133786448165</v>
      </c>
    </row>
    <row r="69" customFormat="false" ht="15" hidden="false" customHeight="false" outlineLevel="0" collapsed="false">
      <c r="A69" s="1" t="s">
        <v>63</v>
      </c>
      <c r="B69" s="1" t="s">
        <v>64</v>
      </c>
      <c r="C69" s="1" t="s">
        <v>65</v>
      </c>
      <c r="D69" s="1" t="s">
        <v>19</v>
      </c>
      <c r="E69" s="1" t="s">
        <v>20</v>
      </c>
      <c r="F69" s="1" t="n">
        <v>22</v>
      </c>
      <c r="G69" s="1" t="s">
        <v>25</v>
      </c>
      <c r="H69" s="1" t="n">
        <v>0.1748</v>
      </c>
      <c r="I69" s="1" t="n">
        <v>0.377088379424837</v>
      </c>
      <c r="J69" s="1" t="n">
        <v>0.422854338131619</v>
      </c>
      <c r="K69" s="1" t="n">
        <f aca="false">J69-I69</f>
        <v>0.045765958706782</v>
      </c>
      <c r="L69" s="1" t="n">
        <v>0.761644594705368</v>
      </c>
    </row>
    <row r="70" customFormat="false" ht="15" hidden="false" customHeight="false" outlineLevel="0" collapsed="false">
      <c r="A70" s="1" t="s">
        <v>63</v>
      </c>
      <c r="B70" s="1" t="s">
        <v>64</v>
      </c>
      <c r="C70" s="1" t="s">
        <v>65</v>
      </c>
      <c r="D70" s="1" t="s">
        <v>19</v>
      </c>
      <c r="E70" s="1" t="s">
        <v>20</v>
      </c>
      <c r="F70" s="1" t="n">
        <v>22</v>
      </c>
      <c r="G70" s="1" t="s">
        <v>56</v>
      </c>
      <c r="H70" s="1" t="n">
        <v>0.1739</v>
      </c>
      <c r="I70" s="1" t="n">
        <v>0.375127863885978</v>
      </c>
      <c r="J70" s="1" t="n">
        <v>0.441726042667034</v>
      </c>
      <c r="K70" s="1" t="n">
        <f aca="false">J70-I70</f>
        <v>0.066598178781056</v>
      </c>
      <c r="L70" s="1" t="n">
        <v>0.761644594705368</v>
      </c>
    </row>
    <row r="71" customFormat="false" ht="15" hidden="false" customHeight="false" outlineLevel="0" collapsed="false">
      <c r="A71" s="1" t="s">
        <v>63</v>
      </c>
      <c r="B71" s="1" t="s">
        <v>64</v>
      </c>
      <c r="C71" s="1" t="s">
        <v>65</v>
      </c>
      <c r="D71" s="1" t="s">
        <v>19</v>
      </c>
      <c r="E71" s="1" t="s">
        <v>20</v>
      </c>
      <c r="F71" s="1" t="n">
        <v>22</v>
      </c>
      <c r="G71" s="1" t="s">
        <v>26</v>
      </c>
      <c r="H71" s="1" t="n">
        <v>0.1723</v>
      </c>
      <c r="I71" s="1" t="n">
        <v>0.371625654536696</v>
      </c>
      <c r="J71" s="1" t="n">
        <v>0.41095423588397</v>
      </c>
      <c r="K71" s="1" t="n">
        <f aca="false">J71-I71</f>
        <v>0.0393285813472746</v>
      </c>
      <c r="L71" s="1" t="n">
        <v>0.761644594705368</v>
      </c>
    </row>
    <row r="72" customFormat="false" ht="15" hidden="false" customHeight="false" outlineLevel="0" collapsed="false">
      <c r="A72" s="1" t="s">
        <v>63</v>
      </c>
      <c r="B72" s="1" t="s">
        <v>64</v>
      </c>
      <c r="C72" s="1" t="s">
        <v>65</v>
      </c>
      <c r="D72" s="1" t="s">
        <v>19</v>
      </c>
      <c r="E72" s="1" t="s">
        <v>20</v>
      </c>
      <c r="F72" s="1" t="n">
        <v>22</v>
      </c>
      <c r="G72" s="1" t="s">
        <v>34</v>
      </c>
      <c r="H72" s="1" t="n">
        <v>0.1709</v>
      </c>
      <c r="I72" s="1" t="n">
        <v>0.368583367151723</v>
      </c>
      <c r="J72" s="1" t="n">
        <v>0.370322987037253</v>
      </c>
      <c r="K72" s="1" t="n">
        <f aca="false">J72-I72</f>
        <v>0.00173961988553001</v>
      </c>
      <c r="L72" s="1" t="n">
        <v>0.761644594705368</v>
      </c>
    </row>
    <row r="73" customFormat="false" ht="15" hidden="false" customHeight="false" outlineLevel="0" collapsed="false">
      <c r="A73" s="1" t="s">
        <v>63</v>
      </c>
      <c r="B73" s="1" t="s">
        <v>64</v>
      </c>
      <c r="C73" s="1" t="s">
        <v>65</v>
      </c>
      <c r="D73" s="1" t="s">
        <v>19</v>
      </c>
      <c r="E73" s="1" t="s">
        <v>20</v>
      </c>
      <c r="F73" s="1" t="n">
        <v>22</v>
      </c>
      <c r="G73" s="1" t="s">
        <v>21</v>
      </c>
      <c r="H73" s="1" t="n">
        <v>0.1661</v>
      </c>
      <c r="I73" s="1" t="n">
        <v>0.358377097095324</v>
      </c>
      <c r="J73" s="1" t="n">
        <v>0.473255173323241</v>
      </c>
      <c r="K73" s="1" t="n">
        <f aca="false">J73-I73</f>
        <v>0.114878076227917</v>
      </c>
      <c r="L73" s="1" t="n">
        <v>0.761644594705368</v>
      </c>
    </row>
    <row r="74" customFormat="false" ht="15" hidden="false" customHeight="false" outlineLevel="0" collapsed="false">
      <c r="A74" s="1" t="s">
        <v>63</v>
      </c>
      <c r="B74" s="1" t="s">
        <v>64</v>
      </c>
      <c r="C74" s="1" t="s">
        <v>65</v>
      </c>
      <c r="D74" s="1" t="s">
        <v>19</v>
      </c>
      <c r="E74" s="1" t="s">
        <v>20</v>
      </c>
      <c r="F74" s="1" t="n">
        <v>22</v>
      </c>
      <c r="G74" s="1" t="s">
        <v>22</v>
      </c>
      <c r="H74" s="1" t="n">
        <v>0.142</v>
      </c>
      <c r="I74" s="1" t="n">
        <v>0.306231427151015</v>
      </c>
      <c r="J74" s="1" t="n">
        <v>0.411639993415038</v>
      </c>
      <c r="K74" s="1" t="n">
        <f aca="false">J74-I74</f>
        <v>0.105408566264023</v>
      </c>
      <c r="L74" s="1" t="n">
        <v>0.761644594705368</v>
      </c>
    </row>
    <row r="75" customFormat="false" ht="15" hidden="false" customHeight="false" outlineLevel="0" collapsed="false">
      <c r="A75" s="1" t="s">
        <v>66</v>
      </c>
      <c r="B75" s="1" t="s">
        <v>67</v>
      </c>
      <c r="C75" s="1" t="s">
        <v>68</v>
      </c>
      <c r="D75" s="1" t="s">
        <v>19</v>
      </c>
      <c r="E75" s="1" t="s">
        <v>20</v>
      </c>
      <c r="F75" s="1" t="n">
        <v>24</v>
      </c>
      <c r="G75" s="1" t="s">
        <v>21</v>
      </c>
      <c r="H75" s="1" t="n">
        <v>0.1867</v>
      </c>
      <c r="I75" s="1" t="n">
        <v>0.418034214473664</v>
      </c>
      <c r="J75" s="1" t="n">
        <v>0.410786102013571</v>
      </c>
      <c r="K75" s="1" t="n">
        <f aca="false">J75-I75</f>
        <v>-0.0072481124600926</v>
      </c>
      <c r="L75" s="1" t="n">
        <v>0.719429365683328</v>
      </c>
    </row>
    <row r="76" customFormat="false" ht="15" hidden="false" customHeight="false" outlineLevel="0" collapsed="false">
      <c r="A76" s="1" t="s">
        <v>66</v>
      </c>
      <c r="B76" s="1" t="s">
        <v>67</v>
      </c>
      <c r="C76" s="1" t="s">
        <v>68</v>
      </c>
      <c r="D76" s="1" t="s">
        <v>19</v>
      </c>
      <c r="E76" s="1" t="s">
        <v>20</v>
      </c>
      <c r="F76" s="1" t="n">
        <v>24</v>
      </c>
      <c r="G76" s="1" t="s">
        <v>56</v>
      </c>
      <c r="H76" s="1" t="n">
        <v>0.1705</v>
      </c>
      <c r="I76" s="1" t="n">
        <v>0.381838009189934</v>
      </c>
      <c r="J76" s="1" t="n">
        <v>0.362148016021904</v>
      </c>
      <c r="K76" s="1" t="n">
        <f aca="false">J76-I76</f>
        <v>-0.0196899931680308</v>
      </c>
      <c r="L76" s="1" t="n">
        <v>0.719429365683328</v>
      </c>
    </row>
    <row r="77" customFormat="false" ht="15" hidden="false" customHeight="false" outlineLevel="0" collapsed="false">
      <c r="A77" s="1" t="s">
        <v>66</v>
      </c>
      <c r="B77" s="1" t="s">
        <v>67</v>
      </c>
      <c r="C77" s="1" t="s">
        <v>68</v>
      </c>
      <c r="D77" s="1" t="s">
        <v>19</v>
      </c>
      <c r="E77" s="1" t="s">
        <v>20</v>
      </c>
      <c r="F77" s="1" t="n">
        <v>24</v>
      </c>
      <c r="G77" s="1" t="s">
        <v>22</v>
      </c>
      <c r="H77" s="1" t="n">
        <v>0.1622</v>
      </c>
      <c r="I77" s="1" t="n">
        <v>0.363167319648019</v>
      </c>
      <c r="J77" s="1" t="n">
        <v>0.434547063936579</v>
      </c>
      <c r="K77" s="1" t="n">
        <f aca="false">J77-I77</f>
        <v>0.0713797442885607</v>
      </c>
      <c r="L77" s="1" t="n">
        <v>0.719429365683328</v>
      </c>
    </row>
    <row r="78" customFormat="false" ht="15" hidden="false" customHeight="false" outlineLevel="0" collapsed="false">
      <c r="A78" s="1" t="s">
        <v>66</v>
      </c>
      <c r="B78" s="1" t="s">
        <v>67</v>
      </c>
      <c r="C78" s="1" t="s">
        <v>68</v>
      </c>
      <c r="D78" s="1" t="s">
        <v>19</v>
      </c>
      <c r="E78" s="1" t="s">
        <v>20</v>
      </c>
      <c r="F78" s="1" t="n">
        <v>24</v>
      </c>
      <c r="G78" s="1" t="s">
        <v>26</v>
      </c>
      <c r="H78" s="1" t="n">
        <v>0.1614</v>
      </c>
      <c r="I78" s="1" t="n">
        <v>0.36148899784921</v>
      </c>
      <c r="J78" s="1" t="n">
        <v>0.356071319701878</v>
      </c>
      <c r="K78" s="1" t="n">
        <f aca="false">J78-I78</f>
        <v>-0.00541767814733152</v>
      </c>
      <c r="L78" s="1" t="n">
        <v>0.719429365683328</v>
      </c>
    </row>
    <row r="79" customFormat="false" ht="15" hidden="false" customHeight="false" outlineLevel="0" collapsed="false">
      <c r="A79" s="1" t="s">
        <v>66</v>
      </c>
      <c r="B79" s="1" t="s">
        <v>67</v>
      </c>
      <c r="C79" s="1" t="s">
        <v>68</v>
      </c>
      <c r="D79" s="1" t="s">
        <v>19</v>
      </c>
      <c r="E79" s="1" t="s">
        <v>20</v>
      </c>
      <c r="F79" s="1" t="n">
        <v>24</v>
      </c>
      <c r="G79" s="1" t="s">
        <v>24</v>
      </c>
      <c r="H79" s="1" t="n">
        <v>0.1602</v>
      </c>
      <c r="I79" s="1" t="n">
        <v>0.358800396446808</v>
      </c>
      <c r="J79" s="1" t="n">
        <v>0.414697775590642</v>
      </c>
      <c r="K79" s="1" t="n">
        <f aca="false">J79-I79</f>
        <v>0.0558973791438333</v>
      </c>
      <c r="L79" s="1" t="n">
        <v>0.719429365683328</v>
      </c>
    </row>
    <row r="80" customFormat="false" ht="15" hidden="false" customHeight="false" outlineLevel="0" collapsed="false">
      <c r="A80" s="1" t="s">
        <v>66</v>
      </c>
      <c r="B80" s="1" t="s">
        <v>67</v>
      </c>
      <c r="C80" s="1" t="s">
        <v>68</v>
      </c>
      <c r="D80" s="1" t="s">
        <v>19</v>
      </c>
      <c r="E80" s="1" t="s">
        <v>20</v>
      </c>
      <c r="F80" s="1" t="n">
        <v>24</v>
      </c>
      <c r="G80" s="1" t="s">
        <v>25</v>
      </c>
      <c r="H80" s="1" t="n">
        <v>0.1589</v>
      </c>
      <c r="I80" s="1" t="n">
        <v>0.35572449898891</v>
      </c>
      <c r="J80" s="1" t="n">
        <v>0.392072059178756</v>
      </c>
      <c r="K80" s="1" t="n">
        <f aca="false">J80-I80</f>
        <v>0.036347560189846</v>
      </c>
      <c r="L80" s="1" t="n">
        <v>0.719429365683328</v>
      </c>
    </row>
    <row r="81" customFormat="false" ht="15" hidden="false" customHeight="false" outlineLevel="0" collapsed="false">
      <c r="A81" s="1" t="s">
        <v>69</v>
      </c>
      <c r="B81" s="1" t="s">
        <v>70</v>
      </c>
      <c r="C81" s="1" t="s">
        <v>71</v>
      </c>
      <c r="D81" s="1" t="s">
        <v>19</v>
      </c>
      <c r="E81" s="1" t="s">
        <v>20</v>
      </c>
      <c r="F81" s="1" t="n">
        <v>26</v>
      </c>
      <c r="G81" s="1" t="s">
        <v>22</v>
      </c>
      <c r="H81" s="1" t="n">
        <v>0.1971</v>
      </c>
      <c r="I81" s="1" t="n">
        <v>0.385826288498375</v>
      </c>
      <c r="J81" s="1" t="n">
        <v>0.382802974646072</v>
      </c>
      <c r="K81" s="1" t="n">
        <f aca="false">J81-I81</f>
        <v>-0.0030233138523027</v>
      </c>
      <c r="L81" s="1" t="n">
        <v>0.678645514763614</v>
      </c>
    </row>
    <row r="82" customFormat="false" ht="15" hidden="false" customHeight="false" outlineLevel="0" collapsed="false">
      <c r="A82" s="1" t="s">
        <v>69</v>
      </c>
      <c r="B82" s="1" t="s">
        <v>70</v>
      </c>
      <c r="C82" s="1" t="s">
        <v>71</v>
      </c>
      <c r="D82" s="1" t="s">
        <v>19</v>
      </c>
      <c r="E82" s="1" t="s">
        <v>20</v>
      </c>
      <c r="F82" s="1" t="n">
        <v>26</v>
      </c>
      <c r="G82" s="1" t="s">
        <v>24</v>
      </c>
      <c r="H82" s="1" t="n">
        <v>0.1838</v>
      </c>
      <c r="I82" s="1" t="n">
        <v>0.359950682316895</v>
      </c>
      <c r="J82" s="1" t="n">
        <v>0.399892403729235</v>
      </c>
      <c r="K82" s="1" t="n">
        <f aca="false">J82-I82</f>
        <v>0.0399417214123402</v>
      </c>
      <c r="L82" s="1" t="n">
        <v>0.678645514763614</v>
      </c>
    </row>
    <row r="83" customFormat="false" ht="15" hidden="false" customHeight="false" outlineLevel="0" collapsed="false">
      <c r="A83" s="1" t="s">
        <v>69</v>
      </c>
      <c r="B83" s="1" t="s">
        <v>70</v>
      </c>
      <c r="C83" s="1" t="s">
        <v>71</v>
      </c>
      <c r="D83" s="1" t="s">
        <v>19</v>
      </c>
      <c r="E83" s="1" t="s">
        <v>20</v>
      </c>
      <c r="F83" s="1" t="n">
        <v>26</v>
      </c>
      <c r="G83" s="1" t="s">
        <v>38</v>
      </c>
      <c r="H83" s="1" t="n">
        <v>0.1748</v>
      </c>
      <c r="I83" s="1" t="n">
        <v>0.342284299393722</v>
      </c>
      <c r="J83" s="1" t="n">
        <v>0.36451155238157</v>
      </c>
      <c r="K83" s="1" t="n">
        <f aca="false">J83-I83</f>
        <v>0.0222272529878476</v>
      </c>
      <c r="L83" s="1" t="n">
        <v>0.678645514763614</v>
      </c>
    </row>
    <row r="84" customFormat="false" ht="15" hidden="false" customHeight="false" outlineLevel="0" collapsed="false">
      <c r="A84" s="1" t="s">
        <v>69</v>
      </c>
      <c r="B84" s="1" t="s">
        <v>70</v>
      </c>
      <c r="C84" s="1" t="s">
        <v>71</v>
      </c>
      <c r="D84" s="1" t="s">
        <v>19</v>
      </c>
      <c r="E84" s="1" t="s">
        <v>20</v>
      </c>
      <c r="F84" s="1" t="n">
        <v>26</v>
      </c>
      <c r="G84" s="1" t="s">
        <v>49</v>
      </c>
      <c r="H84" s="1" t="n">
        <v>0.1739</v>
      </c>
      <c r="I84" s="1" t="n">
        <v>0.340453707496135</v>
      </c>
      <c r="J84" s="1" t="n">
        <v>0.390854395825619</v>
      </c>
      <c r="K84" s="1" t="n">
        <f aca="false">J84-I84</f>
        <v>0.0504006883294835</v>
      </c>
      <c r="L84" s="1" t="n">
        <v>0.678645514763614</v>
      </c>
    </row>
    <row r="85" customFormat="false" ht="15" hidden="false" customHeight="false" outlineLevel="0" collapsed="false">
      <c r="A85" s="1" t="s">
        <v>69</v>
      </c>
      <c r="B85" s="1" t="s">
        <v>70</v>
      </c>
      <c r="C85" s="1" t="s">
        <v>71</v>
      </c>
      <c r="D85" s="1" t="s">
        <v>19</v>
      </c>
      <c r="E85" s="1" t="s">
        <v>20</v>
      </c>
      <c r="F85" s="1" t="n">
        <v>26</v>
      </c>
      <c r="G85" s="1" t="s">
        <v>21</v>
      </c>
      <c r="H85" s="1" t="n">
        <v>0.1704</v>
      </c>
      <c r="I85" s="1" t="n">
        <v>0.333693230509097</v>
      </c>
      <c r="J85" s="1" t="n">
        <v>0.373285763525366</v>
      </c>
      <c r="K85" s="1" t="n">
        <f aca="false">J85-I85</f>
        <v>0.0395925330162688</v>
      </c>
      <c r="L85" s="1" t="n">
        <v>0.678645514763614</v>
      </c>
    </row>
    <row r="86" customFormat="false" ht="15" hidden="false" customHeight="false" outlineLevel="0" collapsed="false">
      <c r="A86" s="1" t="s">
        <v>69</v>
      </c>
      <c r="B86" s="1" t="s">
        <v>70</v>
      </c>
      <c r="C86" s="1" t="s">
        <v>71</v>
      </c>
      <c r="D86" s="1" t="s">
        <v>19</v>
      </c>
      <c r="E86" s="1" t="s">
        <v>20</v>
      </c>
      <c r="F86" s="1" t="n">
        <v>26</v>
      </c>
      <c r="G86" s="1" t="s">
        <v>26</v>
      </c>
      <c r="H86" s="1" t="n">
        <v>0.1</v>
      </c>
      <c r="I86" s="1" t="n">
        <v>0.289795945581886</v>
      </c>
      <c r="J86" s="1" t="n">
        <v>0.371579598717521</v>
      </c>
      <c r="K86" s="1" t="n">
        <f aca="false">J86-I86</f>
        <v>0.0817836531356349</v>
      </c>
      <c r="L86" s="1" t="n">
        <v>0.678645514763614</v>
      </c>
    </row>
    <row r="87" customFormat="false" ht="15" hidden="false" customHeight="false" outlineLevel="0" collapsed="false">
      <c r="A87" s="1" t="s">
        <v>72</v>
      </c>
      <c r="B87" s="1" t="s">
        <v>73</v>
      </c>
      <c r="C87" s="1" t="s">
        <v>74</v>
      </c>
      <c r="D87" s="1" t="s">
        <v>19</v>
      </c>
      <c r="E87" s="1" t="s">
        <v>20</v>
      </c>
      <c r="F87" s="1" t="n">
        <v>28</v>
      </c>
      <c r="G87" s="1" t="s">
        <v>23</v>
      </c>
      <c r="H87" s="1" t="n">
        <v>0.1864</v>
      </c>
      <c r="I87" s="1" t="n">
        <v>0.358840797713593</v>
      </c>
      <c r="J87" s="1" t="n">
        <v>0.399824888651237</v>
      </c>
      <c r="K87" s="1" t="n">
        <f aca="false">J87-I87</f>
        <v>0.0409840909376434</v>
      </c>
      <c r="L87" s="1" t="n">
        <v>0.704961007003307</v>
      </c>
    </row>
    <row r="88" customFormat="false" ht="15" hidden="false" customHeight="false" outlineLevel="0" collapsed="false">
      <c r="A88" s="1" t="s">
        <v>72</v>
      </c>
      <c r="B88" s="1" t="s">
        <v>73</v>
      </c>
      <c r="C88" s="1" t="s">
        <v>74</v>
      </c>
      <c r="D88" s="1" t="s">
        <v>19</v>
      </c>
      <c r="E88" s="1" t="s">
        <v>20</v>
      </c>
      <c r="F88" s="1" t="n">
        <v>28</v>
      </c>
      <c r="G88" s="1" t="s">
        <v>30</v>
      </c>
      <c r="H88" s="1" t="n">
        <v>0.1839</v>
      </c>
      <c r="I88" s="1" t="n">
        <v>0.354044208080006</v>
      </c>
      <c r="J88" s="1" t="n">
        <v>0.383467784881102</v>
      </c>
      <c r="K88" s="1" t="n">
        <f aca="false">J88-I88</f>
        <v>0.0294235768010955</v>
      </c>
      <c r="L88" s="1" t="n">
        <v>0.704961007003307</v>
      </c>
    </row>
    <row r="89" customFormat="false" ht="15" hidden="false" customHeight="false" outlineLevel="0" collapsed="false">
      <c r="A89" s="1" t="s">
        <v>72</v>
      </c>
      <c r="B89" s="1" t="s">
        <v>73</v>
      </c>
      <c r="C89" s="1" t="s">
        <v>74</v>
      </c>
      <c r="D89" s="1" t="s">
        <v>19</v>
      </c>
      <c r="E89" s="1" t="s">
        <v>20</v>
      </c>
      <c r="F89" s="1" t="n">
        <v>28</v>
      </c>
      <c r="G89" s="1" t="s">
        <v>22</v>
      </c>
      <c r="H89" s="1" t="n">
        <v>0.1819</v>
      </c>
      <c r="I89" s="1" t="n">
        <v>0.350131234584386</v>
      </c>
      <c r="J89" s="1" t="n">
        <v>0.41498228039126</v>
      </c>
      <c r="K89" s="1" t="n">
        <f aca="false">J89-I89</f>
        <v>0.0648510458068738</v>
      </c>
      <c r="L89" s="1" t="n">
        <v>0.704961007003307</v>
      </c>
    </row>
    <row r="90" customFormat="false" ht="15" hidden="false" customHeight="false" outlineLevel="0" collapsed="false">
      <c r="A90" s="1" t="s">
        <v>72</v>
      </c>
      <c r="B90" s="1" t="s">
        <v>73</v>
      </c>
      <c r="C90" s="1" t="s">
        <v>74</v>
      </c>
      <c r="D90" s="1" t="s">
        <v>19</v>
      </c>
      <c r="E90" s="1" t="s">
        <v>20</v>
      </c>
      <c r="F90" s="1" t="n">
        <v>28</v>
      </c>
      <c r="G90" s="1" t="s">
        <v>24</v>
      </c>
      <c r="H90" s="1" t="n">
        <v>0.18</v>
      </c>
      <c r="I90" s="1" t="n">
        <v>0.346452592795141</v>
      </c>
      <c r="J90" s="1" t="n">
        <v>0.40841522404961</v>
      </c>
      <c r="K90" s="1" t="n">
        <f aca="false">J90-I90</f>
        <v>0.061962631254469</v>
      </c>
      <c r="L90" s="1" t="n">
        <v>0.704961007003307</v>
      </c>
    </row>
    <row r="91" customFormat="false" ht="15" hidden="false" customHeight="false" outlineLevel="0" collapsed="false">
      <c r="A91" s="1" t="s">
        <v>72</v>
      </c>
      <c r="B91" s="1" t="s">
        <v>73</v>
      </c>
      <c r="C91" s="1" t="s">
        <v>74</v>
      </c>
      <c r="D91" s="1" t="s">
        <v>19</v>
      </c>
      <c r="E91" s="1" t="s">
        <v>20</v>
      </c>
      <c r="F91" s="1" t="n">
        <v>28</v>
      </c>
      <c r="G91" s="1" t="s">
        <v>39</v>
      </c>
      <c r="H91" s="1" t="n">
        <v>0.1678</v>
      </c>
      <c r="I91" s="1" t="n">
        <v>0.323000455324017</v>
      </c>
      <c r="J91" s="1" t="n">
        <v>0.33967201009711</v>
      </c>
      <c r="K91" s="1" t="n">
        <f aca="false">J91-I91</f>
        <v>0.0166715547730936</v>
      </c>
      <c r="L91" s="1" t="n">
        <v>0.704961007003307</v>
      </c>
    </row>
    <row r="92" customFormat="false" ht="15" hidden="false" customHeight="false" outlineLevel="0" collapsed="false">
      <c r="A92" s="1" t="s">
        <v>72</v>
      </c>
      <c r="B92" s="1" t="s">
        <v>73</v>
      </c>
      <c r="C92" s="1" t="s">
        <v>74</v>
      </c>
      <c r="D92" s="1" t="s">
        <v>19</v>
      </c>
      <c r="E92" s="1" t="s">
        <v>20</v>
      </c>
      <c r="F92" s="1" t="n">
        <v>28</v>
      </c>
      <c r="G92" s="1" t="s">
        <v>26</v>
      </c>
      <c r="H92" s="1" t="n">
        <v>0.1</v>
      </c>
      <c r="I92" s="1" t="n">
        <v>0.292241104037207</v>
      </c>
      <c r="J92" s="1" t="n">
        <v>0.375740892152184</v>
      </c>
      <c r="K92" s="1" t="n">
        <f aca="false">J92-I92</f>
        <v>0.0834997881149772</v>
      </c>
      <c r="L92" s="1" t="n">
        <v>0.704961007003307</v>
      </c>
    </row>
    <row r="93" customFormat="false" ht="15" hidden="false" customHeight="false" outlineLevel="0" collapsed="false">
      <c r="A93" s="1" t="s">
        <v>75</v>
      </c>
      <c r="B93" s="1" t="s">
        <v>76</v>
      </c>
      <c r="C93" s="1" t="s">
        <v>77</v>
      </c>
      <c r="D93" s="1" t="s">
        <v>19</v>
      </c>
      <c r="E93" s="1" t="s">
        <v>20</v>
      </c>
      <c r="F93" s="1" t="n">
        <v>30</v>
      </c>
      <c r="G93" s="1" t="s">
        <v>22</v>
      </c>
      <c r="H93" s="1" t="n">
        <v>0.1909</v>
      </c>
      <c r="I93" s="1" t="n">
        <v>0.41439807348237</v>
      </c>
      <c r="J93" s="1" t="n">
        <v>0.344514316403571</v>
      </c>
      <c r="K93" s="1" t="n">
        <f aca="false">J93-I93</f>
        <v>-0.0698837570787989</v>
      </c>
      <c r="L93" s="1" t="n">
        <v>0.701208294690294</v>
      </c>
    </row>
    <row r="94" customFormat="false" ht="15" hidden="false" customHeight="false" outlineLevel="0" collapsed="false">
      <c r="A94" s="1" t="s">
        <v>75</v>
      </c>
      <c r="B94" s="1" t="s">
        <v>76</v>
      </c>
      <c r="C94" s="1" t="s">
        <v>77</v>
      </c>
      <c r="D94" s="1" t="s">
        <v>19</v>
      </c>
      <c r="E94" s="1" t="s">
        <v>20</v>
      </c>
      <c r="F94" s="1" t="n">
        <v>30</v>
      </c>
      <c r="G94" s="1" t="s">
        <v>26</v>
      </c>
      <c r="H94" s="1" t="n">
        <v>0.174</v>
      </c>
      <c r="I94" s="1" t="n">
        <v>0.377761454281978</v>
      </c>
      <c r="J94" s="1" t="n">
        <v>0.292841836437308</v>
      </c>
      <c r="K94" s="1" t="n">
        <f aca="false">J94-I94</f>
        <v>-0.0849196178446701</v>
      </c>
      <c r="L94" s="1" t="n">
        <v>0.701208294690294</v>
      </c>
    </row>
    <row r="95" customFormat="false" ht="15" hidden="false" customHeight="false" outlineLevel="0" collapsed="false">
      <c r="A95" s="1" t="s">
        <v>75</v>
      </c>
      <c r="B95" s="1" t="s">
        <v>76</v>
      </c>
      <c r="C95" s="1" t="s">
        <v>77</v>
      </c>
      <c r="D95" s="1" t="s">
        <v>19</v>
      </c>
      <c r="E95" s="1" t="s">
        <v>20</v>
      </c>
      <c r="F95" s="1" t="n">
        <v>30</v>
      </c>
      <c r="G95" s="1" t="s">
        <v>30</v>
      </c>
      <c r="H95" s="1" t="n">
        <v>0.1633</v>
      </c>
      <c r="I95" s="1" t="n">
        <v>0.354508608184448</v>
      </c>
      <c r="J95" s="1" t="n">
        <v>0.290832546582483</v>
      </c>
      <c r="K95" s="1" t="n">
        <f aca="false">J95-I95</f>
        <v>-0.0636760616019652</v>
      </c>
      <c r="L95" s="1" t="n">
        <v>0.701208294690294</v>
      </c>
    </row>
    <row r="96" customFormat="false" ht="15" hidden="false" customHeight="false" outlineLevel="0" collapsed="false">
      <c r="A96" s="1" t="s">
        <v>75</v>
      </c>
      <c r="B96" s="1" t="s">
        <v>76</v>
      </c>
      <c r="C96" s="1" t="s">
        <v>77</v>
      </c>
      <c r="D96" s="1" t="s">
        <v>19</v>
      </c>
      <c r="E96" s="1" t="s">
        <v>20</v>
      </c>
      <c r="F96" s="1" t="n">
        <v>30</v>
      </c>
      <c r="G96" s="1" t="s">
        <v>24</v>
      </c>
      <c r="H96" s="1" t="n">
        <v>0.1626</v>
      </c>
      <c r="I96" s="1" t="n">
        <v>0.352990152860012</v>
      </c>
      <c r="J96" s="1" t="n">
        <v>0.297584691211089</v>
      </c>
      <c r="K96" s="1" t="n">
        <f aca="false">J96-I96</f>
        <v>-0.0554054616489222</v>
      </c>
      <c r="L96" s="1" t="n">
        <v>0.701208294690294</v>
      </c>
    </row>
    <row r="97" customFormat="false" ht="15" hidden="false" customHeight="false" outlineLevel="0" collapsed="false">
      <c r="A97" s="1" t="s">
        <v>75</v>
      </c>
      <c r="B97" s="1" t="s">
        <v>76</v>
      </c>
      <c r="C97" s="1" t="s">
        <v>77</v>
      </c>
      <c r="D97" s="1" t="s">
        <v>19</v>
      </c>
      <c r="E97" s="1" t="s">
        <v>20</v>
      </c>
      <c r="F97" s="1" t="n">
        <v>30</v>
      </c>
      <c r="G97" s="1" t="s">
        <v>23</v>
      </c>
      <c r="H97" s="1" t="n">
        <v>0.1623</v>
      </c>
      <c r="I97" s="1" t="n">
        <v>0.352315506747781</v>
      </c>
      <c r="J97" s="1" t="n">
        <v>0.327781998860273</v>
      </c>
      <c r="K97" s="1" t="n">
        <f aca="false">J97-I97</f>
        <v>-0.0245335078875086</v>
      </c>
      <c r="L97" s="1" t="n">
        <v>0.701208294690294</v>
      </c>
    </row>
    <row r="98" customFormat="false" ht="15" hidden="false" customHeight="false" outlineLevel="0" collapsed="false">
      <c r="A98" s="1" t="s">
        <v>75</v>
      </c>
      <c r="B98" s="1" t="s">
        <v>76</v>
      </c>
      <c r="C98" s="1" t="s">
        <v>77</v>
      </c>
      <c r="D98" s="1" t="s">
        <v>19</v>
      </c>
      <c r="E98" s="1" t="s">
        <v>20</v>
      </c>
      <c r="F98" s="1" t="n">
        <v>30</v>
      </c>
      <c r="G98" s="1" t="s">
        <v>34</v>
      </c>
      <c r="H98" s="1" t="n">
        <v>0.1469</v>
      </c>
      <c r="I98" s="1" t="n">
        <v>0.318783247656821</v>
      </c>
      <c r="J98" s="1" t="n">
        <v>0.260497993640046</v>
      </c>
      <c r="K98" s="1" t="n">
        <f aca="false">J98-I98</f>
        <v>-0.0582852540167754</v>
      </c>
      <c r="L98" s="1" t="n">
        <v>0.701208294690294</v>
      </c>
    </row>
    <row r="99" customFormat="false" ht="15" hidden="false" customHeight="false" outlineLevel="0" collapsed="false">
      <c r="A99" s="1" t="s">
        <v>78</v>
      </c>
      <c r="B99" s="1" t="s">
        <v>79</v>
      </c>
      <c r="C99" s="1" t="s">
        <v>80</v>
      </c>
      <c r="D99" s="1" t="s">
        <v>19</v>
      </c>
      <c r="E99" s="1" t="s">
        <v>20</v>
      </c>
      <c r="F99" s="1" t="n">
        <v>32</v>
      </c>
      <c r="G99" s="1" t="s">
        <v>22</v>
      </c>
      <c r="H99" s="1" t="n">
        <v>0.2072</v>
      </c>
      <c r="I99" s="1" t="n">
        <v>0.344732069898184</v>
      </c>
      <c r="J99" s="1" t="n">
        <v>0.436164163381836</v>
      </c>
      <c r="K99" s="1" t="n">
        <f aca="false">J99-I99</f>
        <v>0.0914320934836523</v>
      </c>
      <c r="L99" s="1" t="n">
        <v>0.790013915764348</v>
      </c>
    </row>
    <row r="100" customFormat="false" ht="15" hidden="false" customHeight="false" outlineLevel="0" collapsed="false">
      <c r="A100" s="1" t="s">
        <v>78</v>
      </c>
      <c r="B100" s="1" t="s">
        <v>79</v>
      </c>
      <c r="C100" s="1" t="s">
        <v>80</v>
      </c>
      <c r="D100" s="1" t="s">
        <v>19</v>
      </c>
      <c r="E100" s="1" t="s">
        <v>20</v>
      </c>
      <c r="F100" s="1" t="n">
        <v>32</v>
      </c>
      <c r="G100" s="1" t="s">
        <v>23</v>
      </c>
      <c r="H100" s="1" t="n">
        <v>0.1755</v>
      </c>
      <c r="I100" s="1" t="n">
        <v>0.291930028906744</v>
      </c>
      <c r="J100" s="1" t="n">
        <v>0.39305205999407</v>
      </c>
      <c r="K100" s="1" t="n">
        <f aca="false">J100-I100</f>
        <v>0.101122031087325</v>
      </c>
      <c r="L100" s="1" t="n">
        <v>0.790013915764348</v>
      </c>
    </row>
    <row r="101" customFormat="false" ht="15" hidden="false" customHeight="false" outlineLevel="0" collapsed="false">
      <c r="A101" s="1" t="s">
        <v>78</v>
      </c>
      <c r="B101" s="1" t="s">
        <v>79</v>
      </c>
      <c r="C101" s="1" t="s">
        <v>80</v>
      </c>
      <c r="D101" s="1" t="s">
        <v>19</v>
      </c>
      <c r="E101" s="1" t="s">
        <v>20</v>
      </c>
      <c r="F101" s="1" t="n">
        <v>32</v>
      </c>
      <c r="G101" s="1" t="s">
        <v>21</v>
      </c>
      <c r="H101" s="1" t="n">
        <v>0.174</v>
      </c>
      <c r="I101" s="1" t="n">
        <v>0.289481003129599</v>
      </c>
      <c r="J101" s="1" t="n">
        <v>0.385002195266233</v>
      </c>
      <c r="K101" s="1" t="n">
        <f aca="false">J101-I101</f>
        <v>0.0955211921366337</v>
      </c>
      <c r="L101" s="1" t="n">
        <v>0.790013915764348</v>
      </c>
    </row>
    <row r="102" customFormat="false" ht="15" hidden="false" customHeight="false" outlineLevel="0" collapsed="false">
      <c r="A102" s="1" t="s">
        <v>78</v>
      </c>
      <c r="B102" s="1" t="s">
        <v>79</v>
      </c>
      <c r="C102" s="1" t="s">
        <v>80</v>
      </c>
      <c r="D102" s="1" t="s">
        <v>19</v>
      </c>
      <c r="E102" s="1" t="s">
        <v>20</v>
      </c>
      <c r="F102" s="1" t="n">
        <v>32</v>
      </c>
      <c r="G102" s="1" t="s">
        <v>24</v>
      </c>
      <c r="H102" s="1" t="n">
        <v>0.1722</v>
      </c>
      <c r="I102" s="1" t="n">
        <v>0.286441654237018</v>
      </c>
      <c r="J102" s="1" t="n">
        <v>0.381880181571862</v>
      </c>
      <c r="K102" s="1" t="n">
        <f aca="false">J102-I102</f>
        <v>0.0954385273348437</v>
      </c>
      <c r="L102" s="1" t="n">
        <v>0.790013915764348</v>
      </c>
    </row>
    <row r="103" customFormat="false" ht="15" hidden="false" customHeight="false" outlineLevel="0" collapsed="false">
      <c r="A103" s="1" t="s">
        <v>78</v>
      </c>
      <c r="B103" s="1" t="s">
        <v>79</v>
      </c>
      <c r="C103" s="1" t="s">
        <v>80</v>
      </c>
      <c r="D103" s="1" t="s">
        <v>19</v>
      </c>
      <c r="E103" s="1" t="s">
        <v>20</v>
      </c>
      <c r="F103" s="1" t="n">
        <v>32</v>
      </c>
      <c r="G103" s="1" t="s">
        <v>38</v>
      </c>
      <c r="H103" s="1" t="n">
        <v>0.1711</v>
      </c>
      <c r="I103" s="1" t="n">
        <v>0.284603923227572</v>
      </c>
      <c r="J103" s="1" t="n">
        <v>0.398191468912556</v>
      </c>
      <c r="K103" s="1" t="n">
        <f aca="false">J103-I103</f>
        <v>0.113587545684984</v>
      </c>
      <c r="L103" s="1" t="n">
        <v>0.790013915764348</v>
      </c>
    </row>
    <row r="104" customFormat="false" ht="15" hidden="false" customHeight="false" outlineLevel="0" collapsed="false">
      <c r="A104" s="1" t="s">
        <v>78</v>
      </c>
      <c r="B104" s="1" t="s">
        <v>79</v>
      </c>
      <c r="C104" s="1" t="s">
        <v>80</v>
      </c>
      <c r="D104" s="1" t="s">
        <v>19</v>
      </c>
      <c r="E104" s="1" t="s">
        <v>20</v>
      </c>
      <c r="F104" s="1" t="n">
        <v>32</v>
      </c>
      <c r="G104" s="1" t="s">
        <v>26</v>
      </c>
      <c r="H104" s="1" t="n">
        <v>0.1</v>
      </c>
      <c r="I104" s="1" t="n">
        <v>0.276638156539417</v>
      </c>
      <c r="J104" s="1" t="n">
        <v>0.367545024993616</v>
      </c>
      <c r="K104" s="1" t="n">
        <f aca="false">J104-I104</f>
        <v>0.090906868454199</v>
      </c>
      <c r="L104" s="1" t="n">
        <v>0.790013915764348</v>
      </c>
    </row>
    <row r="105" customFormat="false" ht="15" hidden="false" customHeight="false" outlineLevel="0" collapsed="false">
      <c r="A105" s="1" t="s">
        <v>81</v>
      </c>
      <c r="B105" s="1" t="s">
        <v>82</v>
      </c>
      <c r="C105" s="1" t="s">
        <v>83</v>
      </c>
      <c r="D105" s="1" t="s">
        <v>19</v>
      </c>
      <c r="E105" s="1" t="s">
        <v>20</v>
      </c>
      <c r="F105" s="1" t="n">
        <v>34</v>
      </c>
      <c r="G105" s="1" t="s">
        <v>23</v>
      </c>
      <c r="H105" s="1" t="n">
        <v>0.1926</v>
      </c>
      <c r="I105" s="1" t="n">
        <v>0.385373168171562</v>
      </c>
      <c r="J105" s="1" t="n">
        <v>0.449860542803087</v>
      </c>
      <c r="K105" s="1" t="n">
        <f aca="false">J105-I105</f>
        <v>0.0644873746315245</v>
      </c>
      <c r="L105" s="1" t="n">
        <v>0.717785998437983</v>
      </c>
    </row>
    <row r="106" customFormat="false" ht="15" hidden="false" customHeight="false" outlineLevel="0" collapsed="false">
      <c r="A106" s="1" t="s">
        <v>81</v>
      </c>
      <c r="B106" s="1" t="s">
        <v>82</v>
      </c>
      <c r="C106" s="1" t="s">
        <v>83</v>
      </c>
      <c r="D106" s="1" t="s">
        <v>19</v>
      </c>
      <c r="E106" s="1" t="s">
        <v>20</v>
      </c>
      <c r="F106" s="1" t="n">
        <v>34</v>
      </c>
      <c r="G106" s="1" t="s">
        <v>22</v>
      </c>
      <c r="H106" s="1" t="n">
        <v>0.1926</v>
      </c>
      <c r="I106" s="1" t="n">
        <v>0.385430113217295</v>
      </c>
      <c r="J106" s="1" t="n">
        <v>0.446635739506015</v>
      </c>
      <c r="K106" s="1" t="n">
        <f aca="false">J106-I106</f>
        <v>0.0612056262887197</v>
      </c>
      <c r="L106" s="1" t="n">
        <v>0.717785998437983</v>
      </c>
    </row>
    <row r="107" customFormat="false" ht="15" hidden="false" customHeight="false" outlineLevel="0" collapsed="false">
      <c r="A107" s="1" t="s">
        <v>81</v>
      </c>
      <c r="B107" s="1" t="s">
        <v>82</v>
      </c>
      <c r="C107" s="1" t="s">
        <v>83</v>
      </c>
      <c r="D107" s="1" t="s">
        <v>19</v>
      </c>
      <c r="E107" s="1" t="s">
        <v>20</v>
      </c>
      <c r="F107" s="1" t="n">
        <v>34</v>
      </c>
      <c r="G107" s="1" t="s">
        <v>30</v>
      </c>
      <c r="H107" s="1" t="n">
        <v>0.1764</v>
      </c>
      <c r="I107" s="1" t="n">
        <v>0.352966461742041</v>
      </c>
      <c r="J107" s="1" t="n">
        <v>0.364672614647369</v>
      </c>
      <c r="K107" s="1" t="n">
        <f aca="false">J107-I107</f>
        <v>0.0117061529053282</v>
      </c>
      <c r="L107" s="1" t="n">
        <v>0.717785998437983</v>
      </c>
    </row>
    <row r="108" customFormat="false" ht="15" hidden="false" customHeight="false" outlineLevel="0" collapsed="false">
      <c r="A108" s="1" t="s">
        <v>81</v>
      </c>
      <c r="B108" s="1" t="s">
        <v>82</v>
      </c>
      <c r="C108" s="1" t="s">
        <v>83</v>
      </c>
      <c r="D108" s="1" t="s">
        <v>19</v>
      </c>
      <c r="E108" s="1" t="s">
        <v>20</v>
      </c>
      <c r="F108" s="1" t="n">
        <v>34</v>
      </c>
      <c r="G108" s="1" t="s">
        <v>24</v>
      </c>
      <c r="H108" s="1" t="n">
        <v>0.1713</v>
      </c>
      <c r="I108" s="1" t="n">
        <v>0.342739218389616</v>
      </c>
      <c r="J108" s="1" t="n">
        <v>0.387243112741644</v>
      </c>
      <c r="K108" s="1" t="n">
        <f aca="false">J108-I108</f>
        <v>0.0445038943520271</v>
      </c>
      <c r="L108" s="1" t="n">
        <v>0.717785998437983</v>
      </c>
    </row>
    <row r="109" customFormat="false" ht="15" hidden="false" customHeight="false" outlineLevel="0" collapsed="false">
      <c r="A109" s="1" t="s">
        <v>81</v>
      </c>
      <c r="B109" s="1" t="s">
        <v>82</v>
      </c>
      <c r="C109" s="1" t="s">
        <v>83</v>
      </c>
      <c r="D109" s="1" t="s">
        <v>19</v>
      </c>
      <c r="E109" s="1" t="s">
        <v>20</v>
      </c>
      <c r="F109" s="1" t="n">
        <v>34</v>
      </c>
      <c r="G109" s="1" t="s">
        <v>21</v>
      </c>
      <c r="H109" s="1" t="n">
        <v>0.167</v>
      </c>
      <c r="I109" s="1" t="n">
        <v>0.334227463340432</v>
      </c>
      <c r="J109" s="1" t="n">
        <v>0.366907484899123</v>
      </c>
      <c r="K109" s="1" t="n">
        <f aca="false">J109-I109</f>
        <v>0.032680021558691</v>
      </c>
      <c r="L109" s="1" t="n">
        <v>0.717785998437983</v>
      </c>
    </row>
    <row r="110" customFormat="false" ht="15" hidden="false" customHeight="false" outlineLevel="0" collapsed="false">
      <c r="A110" s="1" t="s">
        <v>81</v>
      </c>
      <c r="B110" s="1" t="s">
        <v>82</v>
      </c>
      <c r="C110" s="1" t="s">
        <v>83</v>
      </c>
      <c r="D110" s="1" t="s">
        <v>19</v>
      </c>
      <c r="E110" s="1" t="s">
        <v>20</v>
      </c>
      <c r="F110" s="1" t="n">
        <v>34</v>
      </c>
      <c r="G110" s="1" t="s">
        <v>26</v>
      </c>
      <c r="H110" s="1" t="n">
        <v>0.1</v>
      </c>
      <c r="I110" s="1" t="n">
        <v>0.309180654501047</v>
      </c>
      <c r="J110" s="1" t="n">
        <v>0.34624846601894</v>
      </c>
      <c r="K110" s="1" t="n">
        <f aca="false">J110-I110</f>
        <v>0.0370678115178934</v>
      </c>
      <c r="L110" s="1" t="n">
        <v>0.717785998437983</v>
      </c>
    </row>
    <row r="111" customFormat="false" ht="15" hidden="false" customHeight="false" outlineLevel="0" collapsed="false">
      <c r="A111" s="1" t="s">
        <v>84</v>
      </c>
      <c r="B111" s="1" t="s">
        <v>85</v>
      </c>
      <c r="C111" s="1" t="s">
        <v>86</v>
      </c>
      <c r="D111" s="1" t="s">
        <v>19</v>
      </c>
      <c r="E111" s="1" t="s">
        <v>20</v>
      </c>
      <c r="F111" s="1" t="n">
        <v>36</v>
      </c>
      <c r="G111" s="1" t="s">
        <v>56</v>
      </c>
      <c r="H111" s="1" t="n">
        <v>0.1901</v>
      </c>
      <c r="I111" s="1" t="n">
        <v>0.362344347350988</v>
      </c>
      <c r="J111" s="1" t="n">
        <v>0.485230283310525</v>
      </c>
      <c r="K111" s="1" t="n">
        <f aca="false">J111-I111</f>
        <v>0.122885935959537</v>
      </c>
      <c r="L111" s="1" t="n">
        <v>0.704767716501297</v>
      </c>
    </row>
    <row r="112" customFormat="false" ht="15" hidden="false" customHeight="false" outlineLevel="0" collapsed="false">
      <c r="A112" s="1" t="s">
        <v>84</v>
      </c>
      <c r="B112" s="1" t="s">
        <v>85</v>
      </c>
      <c r="C112" s="1" t="s">
        <v>86</v>
      </c>
      <c r="D112" s="1" t="s">
        <v>19</v>
      </c>
      <c r="E112" s="1" t="s">
        <v>20</v>
      </c>
      <c r="F112" s="1" t="n">
        <v>36</v>
      </c>
      <c r="G112" s="1" t="s">
        <v>23</v>
      </c>
      <c r="H112" s="1" t="n">
        <v>0.1793</v>
      </c>
      <c r="I112" s="1" t="n">
        <v>0.341608522195546</v>
      </c>
      <c r="J112" s="1" t="n">
        <v>0.401994892785911</v>
      </c>
      <c r="K112" s="1" t="n">
        <f aca="false">J112-I112</f>
        <v>0.0603863705903647</v>
      </c>
      <c r="L112" s="1" t="n">
        <v>0.704767716501297</v>
      </c>
    </row>
    <row r="113" customFormat="false" ht="15" hidden="false" customHeight="false" outlineLevel="0" collapsed="false">
      <c r="A113" s="1" t="s">
        <v>84</v>
      </c>
      <c r="B113" s="1" t="s">
        <v>85</v>
      </c>
      <c r="C113" s="1" t="s">
        <v>86</v>
      </c>
      <c r="D113" s="1" t="s">
        <v>19</v>
      </c>
      <c r="E113" s="1" t="s">
        <v>20</v>
      </c>
      <c r="F113" s="1" t="n">
        <v>36</v>
      </c>
      <c r="G113" s="1" t="s">
        <v>22</v>
      </c>
      <c r="H113" s="1" t="n">
        <v>0.1791</v>
      </c>
      <c r="I113" s="1" t="n">
        <v>0.341359299023654</v>
      </c>
      <c r="J113" s="1" t="n">
        <v>0.390663174965226</v>
      </c>
      <c r="K113" s="1" t="n">
        <f aca="false">J113-I113</f>
        <v>0.0493038759415725</v>
      </c>
      <c r="L113" s="1" t="n">
        <v>0.704767716501297</v>
      </c>
    </row>
    <row r="114" customFormat="false" ht="15" hidden="false" customHeight="false" outlineLevel="0" collapsed="false">
      <c r="A114" s="1" t="s">
        <v>84</v>
      </c>
      <c r="B114" s="1" t="s">
        <v>85</v>
      </c>
      <c r="C114" s="1" t="s">
        <v>86</v>
      </c>
      <c r="D114" s="1" t="s">
        <v>19</v>
      </c>
      <c r="E114" s="1" t="s">
        <v>20</v>
      </c>
      <c r="F114" s="1" t="n">
        <v>36</v>
      </c>
      <c r="G114" s="1" t="s">
        <v>21</v>
      </c>
      <c r="H114" s="1" t="n">
        <v>0.1785</v>
      </c>
      <c r="I114" s="1" t="n">
        <v>0.340228979144887</v>
      </c>
      <c r="J114" s="1" t="n">
        <v>0.454995080188239</v>
      </c>
      <c r="K114" s="1" t="n">
        <f aca="false">J114-I114</f>
        <v>0.114766101043352</v>
      </c>
      <c r="L114" s="1" t="n">
        <v>0.704767716501297</v>
      </c>
    </row>
    <row r="115" customFormat="false" ht="15" hidden="false" customHeight="false" outlineLevel="0" collapsed="false">
      <c r="A115" s="1" t="s">
        <v>84</v>
      </c>
      <c r="B115" s="1" t="s">
        <v>85</v>
      </c>
      <c r="C115" s="1" t="s">
        <v>86</v>
      </c>
      <c r="D115" s="1" t="s">
        <v>19</v>
      </c>
      <c r="E115" s="1" t="s">
        <v>20</v>
      </c>
      <c r="F115" s="1" t="n">
        <v>36</v>
      </c>
      <c r="G115" s="1" t="s">
        <v>25</v>
      </c>
      <c r="H115" s="1" t="n">
        <v>0.1729</v>
      </c>
      <c r="I115" s="1" t="n">
        <v>0.329583063462098</v>
      </c>
      <c r="J115" s="1" t="n">
        <v>0.413193341326634</v>
      </c>
      <c r="K115" s="1" t="n">
        <f aca="false">J115-I115</f>
        <v>0.0836102778645352</v>
      </c>
      <c r="L115" s="1" t="n">
        <v>0.704767716501297</v>
      </c>
    </row>
    <row r="116" customFormat="false" ht="15" hidden="false" customHeight="false" outlineLevel="0" collapsed="false">
      <c r="A116" s="1" t="s">
        <v>84</v>
      </c>
      <c r="B116" s="1" t="s">
        <v>85</v>
      </c>
      <c r="C116" s="1" t="s">
        <v>86</v>
      </c>
      <c r="D116" s="1" t="s">
        <v>19</v>
      </c>
      <c r="E116" s="1" t="s">
        <v>20</v>
      </c>
      <c r="F116" s="1" t="n">
        <v>36</v>
      </c>
      <c r="G116" s="1" t="s">
        <v>26</v>
      </c>
      <c r="H116" s="1" t="n">
        <v>0.1</v>
      </c>
      <c r="I116" s="1" t="n">
        <v>0.258024640105279</v>
      </c>
      <c r="J116" s="1" t="n">
        <v>0.353328148965097</v>
      </c>
      <c r="K116" s="1" t="n">
        <f aca="false">J116-I116</f>
        <v>0.0953035088598179</v>
      </c>
      <c r="L116" s="1" t="n">
        <v>0.704767716501297</v>
      </c>
    </row>
    <row r="117" customFormat="false" ht="15" hidden="false" customHeight="false" outlineLevel="0" collapsed="false">
      <c r="A117" s="1" t="s">
        <v>87</v>
      </c>
      <c r="B117" s="1" t="s">
        <v>88</v>
      </c>
      <c r="C117" s="1" t="s">
        <v>89</v>
      </c>
      <c r="D117" s="1" t="s">
        <v>19</v>
      </c>
      <c r="E117" s="1" t="s">
        <v>20</v>
      </c>
      <c r="F117" s="1" t="n">
        <v>38</v>
      </c>
      <c r="G117" s="1" t="s">
        <v>21</v>
      </c>
      <c r="H117" s="1" t="n">
        <v>0.188</v>
      </c>
      <c r="I117" s="1" t="n">
        <v>0.406227348113704</v>
      </c>
      <c r="J117" s="1" t="n">
        <v>0.359076722470837</v>
      </c>
      <c r="K117" s="1" t="n">
        <f aca="false">J117-I117</f>
        <v>-0.0471506256428672</v>
      </c>
      <c r="L117" s="1" t="n">
        <v>0.731804893130237</v>
      </c>
    </row>
    <row r="118" customFormat="false" ht="15" hidden="false" customHeight="false" outlineLevel="0" collapsed="false">
      <c r="A118" s="1" t="s">
        <v>87</v>
      </c>
      <c r="B118" s="1" t="s">
        <v>88</v>
      </c>
      <c r="C118" s="1" t="s">
        <v>89</v>
      </c>
      <c r="D118" s="1" t="s">
        <v>19</v>
      </c>
      <c r="E118" s="1" t="s">
        <v>20</v>
      </c>
      <c r="F118" s="1" t="n">
        <v>38</v>
      </c>
      <c r="G118" s="1" t="s">
        <v>56</v>
      </c>
      <c r="H118" s="1" t="n">
        <v>0.1828</v>
      </c>
      <c r="I118" s="1" t="n">
        <v>0.394973003298658</v>
      </c>
      <c r="J118" s="1" t="n">
        <v>0.323687640396334</v>
      </c>
      <c r="K118" s="1" t="n">
        <f aca="false">J118-I118</f>
        <v>-0.071285362902324</v>
      </c>
      <c r="L118" s="1" t="n">
        <v>0.731804893130237</v>
      </c>
    </row>
    <row r="119" customFormat="false" ht="15" hidden="false" customHeight="false" outlineLevel="0" collapsed="false">
      <c r="A119" s="1" t="s">
        <v>87</v>
      </c>
      <c r="B119" s="1" t="s">
        <v>88</v>
      </c>
      <c r="C119" s="1" t="s">
        <v>89</v>
      </c>
      <c r="D119" s="1" t="s">
        <v>19</v>
      </c>
      <c r="E119" s="1" t="s">
        <v>20</v>
      </c>
      <c r="F119" s="1" t="n">
        <v>38</v>
      </c>
      <c r="G119" s="1" t="s">
        <v>23</v>
      </c>
      <c r="H119" s="1" t="n">
        <v>0.1822</v>
      </c>
      <c r="I119" s="1" t="n">
        <v>0.393581964550691</v>
      </c>
      <c r="J119" s="1" t="n">
        <v>0.413918071064399</v>
      </c>
      <c r="K119" s="1" t="n">
        <f aca="false">J119-I119</f>
        <v>0.0203361065137086</v>
      </c>
      <c r="L119" s="1" t="n">
        <v>0.731804893130237</v>
      </c>
    </row>
    <row r="120" customFormat="false" ht="15" hidden="false" customHeight="false" outlineLevel="0" collapsed="false">
      <c r="A120" s="1" t="s">
        <v>87</v>
      </c>
      <c r="B120" s="1" t="s">
        <v>88</v>
      </c>
      <c r="C120" s="1" t="s">
        <v>89</v>
      </c>
      <c r="D120" s="1" t="s">
        <v>19</v>
      </c>
      <c r="E120" s="1" t="s">
        <v>20</v>
      </c>
      <c r="F120" s="1" t="n">
        <v>38</v>
      </c>
      <c r="G120" s="1" t="s">
        <v>22</v>
      </c>
      <c r="H120" s="1" t="n">
        <v>0.1775</v>
      </c>
      <c r="I120" s="1" t="n">
        <v>0.383477904495391</v>
      </c>
      <c r="J120" s="1" t="n">
        <v>0.353119786271492</v>
      </c>
      <c r="K120" s="1" t="n">
        <f aca="false">J120-I120</f>
        <v>-0.0303581182238992</v>
      </c>
      <c r="L120" s="1" t="n">
        <v>0.731804893130237</v>
      </c>
    </row>
    <row r="121" customFormat="false" ht="15" hidden="false" customHeight="false" outlineLevel="0" collapsed="false">
      <c r="A121" s="1" t="s">
        <v>87</v>
      </c>
      <c r="B121" s="1" t="s">
        <v>88</v>
      </c>
      <c r="C121" s="1" t="s">
        <v>89</v>
      </c>
      <c r="D121" s="1" t="s">
        <v>19</v>
      </c>
      <c r="E121" s="1" t="s">
        <v>20</v>
      </c>
      <c r="F121" s="1" t="n">
        <v>38</v>
      </c>
      <c r="G121" s="1" t="s">
        <v>25</v>
      </c>
      <c r="H121" s="1" t="n">
        <v>0.1695</v>
      </c>
      <c r="I121" s="1" t="n">
        <v>0.366078289310383</v>
      </c>
      <c r="J121" s="1" t="n">
        <v>0.359523296291757</v>
      </c>
      <c r="K121" s="1" t="n">
        <f aca="false">J121-I121</f>
        <v>-0.006554993018626</v>
      </c>
      <c r="L121" s="1" t="n">
        <v>0.731804893130237</v>
      </c>
    </row>
    <row r="122" customFormat="false" ht="15" hidden="false" customHeight="false" outlineLevel="0" collapsed="false">
      <c r="A122" s="1" t="s">
        <v>87</v>
      </c>
      <c r="B122" s="1" t="s">
        <v>88</v>
      </c>
      <c r="C122" s="1" t="s">
        <v>89</v>
      </c>
      <c r="D122" s="1" t="s">
        <v>19</v>
      </c>
      <c r="E122" s="1" t="s">
        <v>20</v>
      </c>
      <c r="F122" s="1" t="n">
        <v>38</v>
      </c>
      <c r="G122" s="1" t="s">
        <v>26</v>
      </c>
      <c r="H122" s="1" t="n">
        <v>0.1</v>
      </c>
      <c r="I122" s="1" t="n">
        <v>0.310073191952448</v>
      </c>
      <c r="J122" s="1" t="n">
        <v>0.31540512235533</v>
      </c>
      <c r="K122" s="1" t="n">
        <f aca="false">J122-I122</f>
        <v>0.00533193040288221</v>
      </c>
      <c r="L122" s="1" t="n">
        <v>0.731804893130237</v>
      </c>
    </row>
    <row r="123" customFormat="false" ht="15" hidden="false" customHeight="false" outlineLevel="0" collapsed="false">
      <c r="A123" s="1" t="s">
        <v>90</v>
      </c>
      <c r="B123" s="1" t="s">
        <v>91</v>
      </c>
      <c r="C123" s="1" t="s">
        <v>92</v>
      </c>
      <c r="D123" s="1" t="s">
        <v>19</v>
      </c>
      <c r="E123" s="1" t="s">
        <v>20</v>
      </c>
      <c r="F123" s="1" t="n">
        <v>40</v>
      </c>
      <c r="G123" s="1" t="s">
        <v>23</v>
      </c>
      <c r="H123" s="1" t="n">
        <v>0.2187</v>
      </c>
      <c r="I123" s="1" t="n">
        <v>0.43348992920768</v>
      </c>
      <c r="J123" s="1" t="n">
        <v>0.432609676916115</v>
      </c>
      <c r="K123" s="1" t="n">
        <f aca="false">J123-I123</f>
        <v>-0.000880252291565187</v>
      </c>
      <c r="L123" s="1" t="n">
        <v>0.766896688339251</v>
      </c>
    </row>
    <row r="124" customFormat="false" ht="15" hidden="false" customHeight="false" outlineLevel="0" collapsed="false">
      <c r="A124" s="1" t="s">
        <v>90</v>
      </c>
      <c r="B124" s="1" t="s">
        <v>91</v>
      </c>
      <c r="C124" s="1" t="s">
        <v>92</v>
      </c>
      <c r="D124" s="1" t="s">
        <v>19</v>
      </c>
      <c r="E124" s="1" t="s">
        <v>20</v>
      </c>
      <c r="F124" s="1" t="n">
        <v>40</v>
      </c>
      <c r="G124" s="1" t="s">
        <v>22</v>
      </c>
      <c r="H124" s="1" t="n">
        <v>0.1813</v>
      </c>
      <c r="I124" s="1" t="n">
        <v>0.359448559973493</v>
      </c>
      <c r="J124" s="1" t="n">
        <v>0.399392889936671</v>
      </c>
      <c r="K124" s="1" t="n">
        <f aca="false">J124-I124</f>
        <v>0.0399443299631783</v>
      </c>
      <c r="L124" s="1" t="n">
        <v>0.766896688339251</v>
      </c>
    </row>
    <row r="125" customFormat="false" ht="15" hidden="false" customHeight="false" outlineLevel="0" collapsed="false">
      <c r="A125" s="1" t="s">
        <v>90</v>
      </c>
      <c r="B125" s="1" t="s">
        <v>91</v>
      </c>
      <c r="C125" s="1" t="s">
        <v>92</v>
      </c>
      <c r="D125" s="1" t="s">
        <v>19</v>
      </c>
      <c r="E125" s="1" t="s">
        <v>20</v>
      </c>
      <c r="F125" s="1" t="n">
        <v>40</v>
      </c>
      <c r="G125" s="1" t="s">
        <v>24</v>
      </c>
      <c r="H125" s="1" t="n">
        <v>0.1776</v>
      </c>
      <c r="I125" s="1" t="n">
        <v>0.352122021731949</v>
      </c>
      <c r="J125" s="1" t="n">
        <v>0.360061355585275</v>
      </c>
      <c r="K125" s="1" t="n">
        <f aca="false">J125-I125</f>
        <v>0.0079393338533264</v>
      </c>
      <c r="L125" s="1" t="n">
        <v>0.766896688339251</v>
      </c>
    </row>
    <row r="126" customFormat="false" ht="15" hidden="false" customHeight="false" outlineLevel="0" collapsed="false">
      <c r="A126" s="1" t="s">
        <v>90</v>
      </c>
      <c r="B126" s="1" t="s">
        <v>91</v>
      </c>
      <c r="C126" s="1" t="s">
        <v>92</v>
      </c>
      <c r="D126" s="1" t="s">
        <v>19</v>
      </c>
      <c r="E126" s="1" t="s">
        <v>20</v>
      </c>
      <c r="F126" s="1" t="n">
        <v>40</v>
      </c>
      <c r="G126" s="1" t="s">
        <v>30</v>
      </c>
      <c r="H126" s="1" t="n">
        <v>0.1614</v>
      </c>
      <c r="I126" s="1" t="n">
        <v>0.319898727891945</v>
      </c>
      <c r="J126" s="1" t="n">
        <v>0.357241996608585</v>
      </c>
      <c r="K126" s="1" t="n">
        <f aca="false">J126-I126</f>
        <v>0.0373432687166397</v>
      </c>
      <c r="L126" s="1" t="n">
        <v>0.766896688339251</v>
      </c>
    </row>
    <row r="127" customFormat="false" ht="15" hidden="false" customHeight="false" outlineLevel="0" collapsed="false">
      <c r="A127" s="1" t="s">
        <v>90</v>
      </c>
      <c r="B127" s="1" t="s">
        <v>91</v>
      </c>
      <c r="C127" s="1" t="s">
        <v>92</v>
      </c>
      <c r="D127" s="1" t="s">
        <v>19</v>
      </c>
      <c r="E127" s="1" t="s">
        <v>20</v>
      </c>
      <c r="F127" s="1" t="n">
        <v>40</v>
      </c>
      <c r="G127" s="1" t="s">
        <v>21</v>
      </c>
      <c r="H127" s="1" t="n">
        <v>0.1609</v>
      </c>
      <c r="I127" s="1" t="n">
        <v>0.318975365330569</v>
      </c>
      <c r="J127" s="1" t="n">
        <v>0.355119161831047</v>
      </c>
      <c r="K127" s="1" t="n">
        <f aca="false">J127-I127</f>
        <v>0.0361437965004781</v>
      </c>
      <c r="L127" s="1" t="n">
        <v>0.766896688339251</v>
      </c>
    </row>
    <row r="128" customFormat="false" ht="15" hidden="false" customHeight="false" outlineLevel="0" collapsed="false">
      <c r="A128" s="1" t="s">
        <v>90</v>
      </c>
      <c r="B128" s="1" t="s">
        <v>91</v>
      </c>
      <c r="C128" s="1" t="s">
        <v>92</v>
      </c>
      <c r="D128" s="1" t="s">
        <v>19</v>
      </c>
      <c r="E128" s="1" t="s">
        <v>20</v>
      </c>
      <c r="F128" s="1" t="n">
        <v>40</v>
      </c>
      <c r="G128" s="1" t="s">
        <v>26</v>
      </c>
      <c r="H128" s="1" t="n">
        <v>0.1</v>
      </c>
      <c r="I128" s="1" t="n">
        <v>0.288996673441741</v>
      </c>
      <c r="J128" s="1" t="n">
        <v>0.340704468999275</v>
      </c>
      <c r="K128" s="1" t="n">
        <f aca="false">J128-I128</f>
        <v>0.0517077955575346</v>
      </c>
      <c r="L128" s="1" t="n">
        <v>0.766896688339251</v>
      </c>
    </row>
    <row r="129" customFormat="false" ht="15" hidden="false" customHeight="false" outlineLevel="0" collapsed="false">
      <c r="A129" s="1" t="s">
        <v>93</v>
      </c>
      <c r="B129" s="1" t="s">
        <v>94</v>
      </c>
      <c r="C129" s="1" t="s">
        <v>95</v>
      </c>
      <c r="D129" s="1" t="s">
        <v>19</v>
      </c>
      <c r="E129" s="1" t="s">
        <v>20</v>
      </c>
      <c r="F129" s="1" t="n">
        <v>42</v>
      </c>
      <c r="G129" s="1" t="s">
        <v>23</v>
      </c>
      <c r="H129" s="1" t="n">
        <v>0.2063</v>
      </c>
      <c r="I129" s="1" t="n">
        <v>0.411429720734684</v>
      </c>
      <c r="J129" s="1" t="n">
        <v>0.380519166156465</v>
      </c>
      <c r="K129" s="1" t="n">
        <f aca="false">J129-I129</f>
        <v>-0.0309105545782189</v>
      </c>
      <c r="L129" s="1" t="n">
        <v>0.628025866777813</v>
      </c>
    </row>
    <row r="130" customFormat="false" ht="15" hidden="false" customHeight="false" outlineLevel="0" collapsed="false">
      <c r="A130" s="1" t="s">
        <v>93</v>
      </c>
      <c r="B130" s="1" t="s">
        <v>94</v>
      </c>
      <c r="C130" s="1" t="s">
        <v>95</v>
      </c>
      <c r="D130" s="1" t="s">
        <v>19</v>
      </c>
      <c r="E130" s="1" t="s">
        <v>20</v>
      </c>
      <c r="F130" s="1" t="n">
        <v>42</v>
      </c>
      <c r="G130" s="1" t="s">
        <v>22</v>
      </c>
      <c r="H130" s="1" t="n">
        <v>0.1896</v>
      </c>
      <c r="I130" s="1" t="n">
        <v>0.378113096513461</v>
      </c>
      <c r="J130" s="1" t="n">
        <v>0.404101986098588</v>
      </c>
      <c r="K130" s="1" t="n">
        <f aca="false">J130-I130</f>
        <v>0.0259888895851269</v>
      </c>
      <c r="L130" s="1" t="n">
        <v>0.628025866777813</v>
      </c>
    </row>
    <row r="131" customFormat="false" ht="15" hidden="false" customHeight="false" outlineLevel="0" collapsed="false">
      <c r="A131" s="1" t="s">
        <v>93</v>
      </c>
      <c r="B131" s="1" t="s">
        <v>94</v>
      </c>
      <c r="C131" s="1" t="s">
        <v>95</v>
      </c>
      <c r="D131" s="1" t="s">
        <v>19</v>
      </c>
      <c r="E131" s="1" t="s">
        <v>20</v>
      </c>
      <c r="F131" s="1" t="n">
        <v>42</v>
      </c>
      <c r="G131" s="1" t="s">
        <v>30</v>
      </c>
      <c r="H131" s="1" t="n">
        <v>0.1732</v>
      </c>
      <c r="I131" s="1" t="n">
        <v>0.34530303178116</v>
      </c>
      <c r="J131" s="1" t="n">
        <v>0.345672777185805</v>
      </c>
      <c r="K131" s="1" t="n">
        <f aca="false">J131-I131</f>
        <v>0.000369745404644795</v>
      </c>
      <c r="L131" s="1" t="n">
        <v>0.628025866777813</v>
      </c>
    </row>
    <row r="132" customFormat="false" ht="15" hidden="false" customHeight="false" outlineLevel="0" collapsed="false">
      <c r="A132" s="1" t="s">
        <v>93</v>
      </c>
      <c r="B132" s="1" t="s">
        <v>94</v>
      </c>
      <c r="C132" s="1" t="s">
        <v>95</v>
      </c>
      <c r="D132" s="1" t="s">
        <v>19</v>
      </c>
      <c r="E132" s="1" t="s">
        <v>20</v>
      </c>
      <c r="F132" s="1" t="n">
        <v>42</v>
      </c>
      <c r="G132" s="1" t="s">
        <v>56</v>
      </c>
      <c r="H132" s="1" t="n">
        <v>0.1681</v>
      </c>
      <c r="I132" s="1" t="n">
        <v>0.335290682383086</v>
      </c>
      <c r="J132" s="1" t="n">
        <v>0.291545708213592</v>
      </c>
      <c r="K132" s="1" t="n">
        <f aca="false">J132-I132</f>
        <v>-0.0437449741694943</v>
      </c>
      <c r="L132" s="1" t="n">
        <v>0.628025866777813</v>
      </c>
    </row>
    <row r="133" customFormat="false" ht="15" hidden="false" customHeight="false" outlineLevel="0" collapsed="false">
      <c r="A133" s="1" t="s">
        <v>93</v>
      </c>
      <c r="B133" s="1" t="s">
        <v>94</v>
      </c>
      <c r="C133" s="1" t="s">
        <v>95</v>
      </c>
      <c r="D133" s="1" t="s">
        <v>19</v>
      </c>
      <c r="E133" s="1" t="s">
        <v>20</v>
      </c>
      <c r="F133" s="1" t="n">
        <v>42</v>
      </c>
      <c r="G133" s="1" t="s">
        <v>24</v>
      </c>
      <c r="H133" s="1" t="n">
        <v>0.1628</v>
      </c>
      <c r="I133" s="1" t="n">
        <v>0.324612760233043</v>
      </c>
      <c r="J133" s="1" t="n">
        <v>0.369195061935932</v>
      </c>
      <c r="K133" s="1" t="n">
        <f aca="false">J133-I133</f>
        <v>0.0445823017028894</v>
      </c>
      <c r="L133" s="1" t="n">
        <v>0.628025866777813</v>
      </c>
    </row>
    <row r="134" customFormat="false" ht="15" hidden="false" customHeight="false" outlineLevel="0" collapsed="false">
      <c r="A134" s="1" t="s">
        <v>93</v>
      </c>
      <c r="B134" s="1" t="s">
        <v>94</v>
      </c>
      <c r="C134" s="1" t="s">
        <v>95</v>
      </c>
      <c r="D134" s="1" t="s">
        <v>19</v>
      </c>
      <c r="E134" s="1" t="s">
        <v>20</v>
      </c>
      <c r="F134" s="1" t="n">
        <v>42</v>
      </c>
      <c r="G134" s="1" t="s">
        <v>26</v>
      </c>
      <c r="H134" s="1" t="n">
        <v>0.1</v>
      </c>
      <c r="I134" s="1" t="n">
        <v>0.305446690685491</v>
      </c>
      <c r="J134" s="1" t="n">
        <v>0.330626198183405</v>
      </c>
      <c r="K134" s="1" t="n">
        <f aca="false">J134-I134</f>
        <v>0.025179507497914</v>
      </c>
      <c r="L134" s="1" t="n">
        <v>0.628025866777813</v>
      </c>
    </row>
    <row r="135" customFormat="false" ht="15" hidden="false" customHeight="false" outlineLevel="0" collapsed="false">
      <c r="A135" s="1" t="s">
        <v>96</v>
      </c>
      <c r="B135" s="1" t="s">
        <v>97</v>
      </c>
      <c r="C135" s="1" t="s">
        <v>98</v>
      </c>
      <c r="D135" s="1" t="s">
        <v>19</v>
      </c>
      <c r="E135" s="1" t="s">
        <v>20</v>
      </c>
      <c r="F135" s="1" t="n">
        <v>44</v>
      </c>
      <c r="G135" s="1" t="s">
        <v>22</v>
      </c>
      <c r="H135" s="1" t="n">
        <v>0.1996</v>
      </c>
      <c r="I135" s="1" t="n">
        <v>0.384043817009489</v>
      </c>
      <c r="J135" s="1" t="n">
        <v>0.424460645752343</v>
      </c>
      <c r="K135" s="1" t="n">
        <f aca="false">J135-I135</f>
        <v>0.0404168287428537</v>
      </c>
      <c r="L135" s="1" t="n">
        <v>0.720769368294172</v>
      </c>
    </row>
    <row r="136" customFormat="false" ht="15" hidden="false" customHeight="false" outlineLevel="0" collapsed="false">
      <c r="A136" s="1" t="s">
        <v>96</v>
      </c>
      <c r="B136" s="1" t="s">
        <v>97</v>
      </c>
      <c r="C136" s="1" t="s">
        <v>98</v>
      </c>
      <c r="D136" s="1" t="s">
        <v>19</v>
      </c>
      <c r="E136" s="1" t="s">
        <v>20</v>
      </c>
      <c r="F136" s="1" t="n">
        <v>44</v>
      </c>
      <c r="G136" s="1" t="s">
        <v>23</v>
      </c>
      <c r="H136" s="1" t="n">
        <v>0.1847</v>
      </c>
      <c r="I136" s="1" t="n">
        <v>0.35528859887163</v>
      </c>
      <c r="J136" s="1" t="n">
        <v>0.424384332967475</v>
      </c>
      <c r="K136" s="1" t="n">
        <f aca="false">J136-I136</f>
        <v>0.0690957340958449</v>
      </c>
      <c r="L136" s="1" t="n">
        <v>0.720769368294172</v>
      </c>
    </row>
    <row r="137" customFormat="false" ht="15" hidden="false" customHeight="false" outlineLevel="0" collapsed="false">
      <c r="A137" s="1" t="s">
        <v>96</v>
      </c>
      <c r="B137" s="1" t="s">
        <v>97</v>
      </c>
      <c r="C137" s="1" t="s">
        <v>98</v>
      </c>
      <c r="D137" s="1" t="s">
        <v>19</v>
      </c>
      <c r="E137" s="1" t="s">
        <v>20</v>
      </c>
      <c r="F137" s="1" t="n">
        <v>44</v>
      </c>
      <c r="G137" s="1" t="s">
        <v>24</v>
      </c>
      <c r="H137" s="1" t="n">
        <v>0.1754</v>
      </c>
      <c r="I137" s="1" t="n">
        <v>0.337499893154898</v>
      </c>
      <c r="J137" s="1" t="n">
        <v>0.416996963092778</v>
      </c>
      <c r="K137" s="1" t="n">
        <f aca="false">J137-I137</f>
        <v>0.0794970699378796</v>
      </c>
      <c r="L137" s="1" t="n">
        <v>0.720769368294172</v>
      </c>
    </row>
    <row r="138" customFormat="false" ht="15" hidden="false" customHeight="false" outlineLevel="0" collapsed="false">
      <c r="A138" s="1" t="s">
        <v>96</v>
      </c>
      <c r="B138" s="1" t="s">
        <v>97</v>
      </c>
      <c r="C138" s="1" t="s">
        <v>98</v>
      </c>
      <c r="D138" s="1" t="s">
        <v>19</v>
      </c>
      <c r="E138" s="1" t="s">
        <v>20</v>
      </c>
      <c r="F138" s="1" t="n">
        <v>44</v>
      </c>
      <c r="G138" s="1" t="s">
        <v>30</v>
      </c>
      <c r="H138" s="1" t="n">
        <v>0.1752</v>
      </c>
      <c r="I138" s="1" t="n">
        <v>0.337111810134146</v>
      </c>
      <c r="J138" s="1" t="n">
        <v>0.398185434465675</v>
      </c>
      <c r="K138" s="1" t="n">
        <f aca="false">J138-I138</f>
        <v>0.0610736243315291</v>
      </c>
      <c r="L138" s="1" t="n">
        <v>0.720769368294172</v>
      </c>
    </row>
    <row r="139" customFormat="false" ht="15" hidden="false" customHeight="false" outlineLevel="0" collapsed="false">
      <c r="A139" s="1" t="s">
        <v>96</v>
      </c>
      <c r="B139" s="1" t="s">
        <v>97</v>
      </c>
      <c r="C139" s="1" t="s">
        <v>98</v>
      </c>
      <c r="D139" s="1" t="s">
        <v>19</v>
      </c>
      <c r="E139" s="1" t="s">
        <v>20</v>
      </c>
      <c r="F139" s="1" t="n">
        <v>44</v>
      </c>
      <c r="G139" s="1" t="s">
        <v>38</v>
      </c>
      <c r="H139" s="1" t="n">
        <v>0.165</v>
      </c>
      <c r="I139" s="1" t="n">
        <v>0.31741069070046</v>
      </c>
      <c r="J139" s="1" t="n">
        <v>0.399627710688215</v>
      </c>
      <c r="K139" s="1" t="n">
        <f aca="false">J139-I139</f>
        <v>0.0822170199877549</v>
      </c>
      <c r="L139" s="1" t="n">
        <v>0.720769368294172</v>
      </c>
    </row>
    <row r="140" customFormat="false" ht="15" hidden="false" customHeight="false" outlineLevel="0" collapsed="false">
      <c r="A140" s="1" t="s">
        <v>96</v>
      </c>
      <c r="B140" s="1" t="s">
        <v>97</v>
      </c>
      <c r="C140" s="1" t="s">
        <v>98</v>
      </c>
      <c r="D140" s="1" t="s">
        <v>19</v>
      </c>
      <c r="E140" s="1" t="s">
        <v>20</v>
      </c>
      <c r="F140" s="1" t="n">
        <v>44</v>
      </c>
      <c r="G140" s="1" t="s">
        <v>26</v>
      </c>
      <c r="H140" s="1" t="n">
        <v>0.1</v>
      </c>
      <c r="I140" s="1" t="n">
        <v>0.261813148733144</v>
      </c>
      <c r="J140" s="1" t="n">
        <v>0.372674345283632</v>
      </c>
      <c r="K140" s="1" t="n">
        <f aca="false">J140-I140</f>
        <v>0.110861196550488</v>
      </c>
      <c r="L140" s="1" t="n">
        <v>0.720769368294172</v>
      </c>
    </row>
    <row r="141" customFormat="false" ht="15" hidden="false" customHeight="false" outlineLevel="0" collapsed="false">
      <c r="A141" s="1" t="s">
        <v>99</v>
      </c>
      <c r="B141" s="1" t="s">
        <v>100</v>
      </c>
      <c r="C141" s="1" t="s">
        <v>101</v>
      </c>
      <c r="D141" s="1" t="s">
        <v>19</v>
      </c>
      <c r="E141" s="1" t="s">
        <v>20</v>
      </c>
      <c r="F141" s="1" t="n">
        <v>46</v>
      </c>
      <c r="G141" s="1" t="s">
        <v>22</v>
      </c>
      <c r="H141" s="1" t="n">
        <v>0.1896</v>
      </c>
      <c r="I141" s="1" t="n">
        <v>0.424747911428378</v>
      </c>
      <c r="J141" s="1" t="n">
        <v>0.427590581055526</v>
      </c>
      <c r="K141" s="1" t="n">
        <f aca="false">J141-I141</f>
        <v>0.0028426696271488</v>
      </c>
      <c r="L141" s="1" t="n">
        <v>0.722411929605002</v>
      </c>
    </row>
    <row r="142" customFormat="false" ht="15" hidden="false" customHeight="false" outlineLevel="0" collapsed="false">
      <c r="A142" s="1" t="s">
        <v>99</v>
      </c>
      <c r="B142" s="1" t="s">
        <v>100</v>
      </c>
      <c r="C142" s="1" t="s">
        <v>101</v>
      </c>
      <c r="D142" s="1" t="s">
        <v>19</v>
      </c>
      <c r="E142" s="1" t="s">
        <v>20</v>
      </c>
      <c r="F142" s="1" t="n">
        <v>46</v>
      </c>
      <c r="G142" s="1" t="s">
        <v>30</v>
      </c>
      <c r="H142" s="1" t="n">
        <v>0.1689</v>
      </c>
      <c r="I142" s="1" t="n">
        <v>0.378488642817944</v>
      </c>
      <c r="J142" s="1" t="n">
        <v>0.391687456573026</v>
      </c>
      <c r="K142" s="1" t="n">
        <f aca="false">J142-I142</f>
        <v>0.0131988137550823</v>
      </c>
      <c r="L142" s="1" t="n">
        <v>0.722411929605002</v>
      </c>
    </row>
    <row r="143" customFormat="false" ht="15" hidden="false" customHeight="false" outlineLevel="0" collapsed="false">
      <c r="A143" s="1" t="s">
        <v>99</v>
      </c>
      <c r="B143" s="1" t="s">
        <v>100</v>
      </c>
      <c r="C143" s="1" t="s">
        <v>101</v>
      </c>
      <c r="D143" s="1" t="s">
        <v>19</v>
      </c>
      <c r="E143" s="1" t="s">
        <v>20</v>
      </c>
      <c r="F143" s="1" t="n">
        <v>46</v>
      </c>
      <c r="G143" s="1" t="s">
        <v>24</v>
      </c>
      <c r="H143" s="1" t="n">
        <v>0.1685</v>
      </c>
      <c r="I143" s="1" t="n">
        <v>0.377547385651789</v>
      </c>
      <c r="J143" s="1" t="n">
        <v>0.352147966006203</v>
      </c>
      <c r="K143" s="1" t="n">
        <f aca="false">J143-I143</f>
        <v>-0.025399419645586</v>
      </c>
      <c r="L143" s="1" t="n">
        <v>0.722411929605002</v>
      </c>
    </row>
    <row r="144" customFormat="false" ht="15" hidden="false" customHeight="false" outlineLevel="0" collapsed="false">
      <c r="A144" s="1" t="s">
        <v>99</v>
      </c>
      <c r="B144" s="1" t="s">
        <v>100</v>
      </c>
      <c r="C144" s="1" t="s">
        <v>101</v>
      </c>
      <c r="D144" s="1" t="s">
        <v>19</v>
      </c>
      <c r="E144" s="1" t="s">
        <v>20</v>
      </c>
      <c r="F144" s="1" t="n">
        <v>46</v>
      </c>
      <c r="G144" s="1" t="s">
        <v>23</v>
      </c>
      <c r="H144" s="1" t="n">
        <v>0.1637</v>
      </c>
      <c r="I144" s="1" t="n">
        <v>0.366658907210472</v>
      </c>
      <c r="J144" s="1" t="n">
        <v>0.384631716213803</v>
      </c>
      <c r="K144" s="1" t="n">
        <f aca="false">J144-I144</f>
        <v>0.0179728090033313</v>
      </c>
      <c r="L144" s="1" t="n">
        <v>0.722411929605002</v>
      </c>
    </row>
    <row r="145" customFormat="false" ht="15" hidden="false" customHeight="false" outlineLevel="0" collapsed="false">
      <c r="A145" s="1" t="s">
        <v>99</v>
      </c>
      <c r="B145" s="1" t="s">
        <v>100</v>
      </c>
      <c r="C145" s="1" t="s">
        <v>101</v>
      </c>
      <c r="D145" s="1" t="s">
        <v>19</v>
      </c>
      <c r="E145" s="1" t="s">
        <v>20</v>
      </c>
      <c r="F145" s="1" t="n">
        <v>46</v>
      </c>
      <c r="G145" s="1" t="s">
        <v>21</v>
      </c>
      <c r="H145" s="1" t="n">
        <v>0.1558</v>
      </c>
      <c r="I145" s="1" t="n">
        <v>0.349133420510181</v>
      </c>
      <c r="J145" s="1" t="n">
        <v>0.324268240552612</v>
      </c>
      <c r="K145" s="1" t="n">
        <f aca="false">J145-I145</f>
        <v>-0.0248651799575697</v>
      </c>
      <c r="L145" s="1" t="n">
        <v>0.722411929605002</v>
      </c>
    </row>
    <row r="146" customFormat="false" ht="15" hidden="false" customHeight="false" outlineLevel="0" collapsed="false">
      <c r="A146" s="1" t="s">
        <v>99</v>
      </c>
      <c r="B146" s="1" t="s">
        <v>100</v>
      </c>
      <c r="C146" s="1" t="s">
        <v>101</v>
      </c>
      <c r="D146" s="1" t="s">
        <v>19</v>
      </c>
      <c r="E146" s="1" t="s">
        <v>20</v>
      </c>
      <c r="F146" s="1" t="n">
        <v>46</v>
      </c>
      <c r="G146" s="1" t="s">
        <v>26</v>
      </c>
      <c r="H146" s="1" t="n">
        <v>0.1534</v>
      </c>
      <c r="I146" s="1" t="n">
        <v>0.343673913318892</v>
      </c>
      <c r="J146" s="1" t="n">
        <v>0.367603975784973</v>
      </c>
      <c r="K146" s="1" t="n">
        <f aca="false">J146-I146</f>
        <v>0.0239300624660809</v>
      </c>
      <c r="L146" s="1" t="n">
        <v>0.722411929605002</v>
      </c>
    </row>
    <row r="147" customFormat="false" ht="15" hidden="false" customHeight="false" outlineLevel="0" collapsed="false">
      <c r="A147" s="1" t="s">
        <v>102</v>
      </c>
      <c r="B147" s="1" t="s">
        <v>103</v>
      </c>
      <c r="C147" s="1" t="s">
        <v>104</v>
      </c>
      <c r="D147" s="1" t="s">
        <v>19</v>
      </c>
      <c r="E147" s="1" t="s">
        <v>20</v>
      </c>
      <c r="F147" s="1" t="n">
        <v>48</v>
      </c>
      <c r="G147" s="1" t="s">
        <v>22</v>
      </c>
      <c r="H147" s="1" t="n">
        <v>0.1865</v>
      </c>
      <c r="I147" s="1" t="n">
        <v>0.401464951587041</v>
      </c>
      <c r="J147" s="1" t="n">
        <v>0.433377497270804</v>
      </c>
      <c r="K147" s="1" t="n">
        <f aca="false">J147-I147</f>
        <v>0.0319125456837627</v>
      </c>
      <c r="L147" s="1" t="n">
        <v>0.687879271648785</v>
      </c>
    </row>
    <row r="148" customFormat="false" ht="15" hidden="false" customHeight="false" outlineLevel="0" collapsed="false">
      <c r="A148" s="1" t="s">
        <v>102</v>
      </c>
      <c r="B148" s="1" t="s">
        <v>103</v>
      </c>
      <c r="C148" s="1" t="s">
        <v>104</v>
      </c>
      <c r="D148" s="1" t="s">
        <v>19</v>
      </c>
      <c r="E148" s="1" t="s">
        <v>20</v>
      </c>
      <c r="F148" s="1" t="n">
        <v>48</v>
      </c>
      <c r="G148" s="1" t="s">
        <v>23</v>
      </c>
      <c r="H148" s="1" t="n">
        <v>0.1796</v>
      </c>
      <c r="I148" s="1" t="n">
        <v>0.386660157034962</v>
      </c>
      <c r="J148" s="1" t="n">
        <v>0.442964245073706</v>
      </c>
      <c r="K148" s="1" t="n">
        <f aca="false">J148-I148</f>
        <v>0.0563040880387443</v>
      </c>
      <c r="L148" s="1" t="n">
        <v>0.687879271648785</v>
      </c>
    </row>
    <row r="149" customFormat="false" ht="15" hidden="false" customHeight="false" outlineLevel="0" collapsed="false">
      <c r="A149" s="1" t="s">
        <v>102</v>
      </c>
      <c r="B149" s="1" t="s">
        <v>103</v>
      </c>
      <c r="C149" s="1" t="s">
        <v>104</v>
      </c>
      <c r="D149" s="1" t="s">
        <v>19</v>
      </c>
      <c r="E149" s="1" t="s">
        <v>20</v>
      </c>
      <c r="F149" s="1" t="n">
        <v>48</v>
      </c>
      <c r="G149" s="1" t="s">
        <v>30</v>
      </c>
      <c r="H149" s="1" t="n">
        <v>0.1774</v>
      </c>
      <c r="I149" s="1" t="n">
        <v>0.381956746388143</v>
      </c>
      <c r="J149" s="1" t="n">
        <v>0.394726378581692</v>
      </c>
      <c r="K149" s="1" t="n">
        <f aca="false">J149-I149</f>
        <v>0.0127696321935486</v>
      </c>
      <c r="L149" s="1" t="n">
        <v>0.687879271648785</v>
      </c>
    </row>
    <row r="150" customFormat="false" ht="15" hidden="false" customHeight="false" outlineLevel="0" collapsed="false">
      <c r="A150" s="1" t="s">
        <v>102</v>
      </c>
      <c r="B150" s="1" t="s">
        <v>103</v>
      </c>
      <c r="C150" s="1" t="s">
        <v>104</v>
      </c>
      <c r="D150" s="1" t="s">
        <v>19</v>
      </c>
      <c r="E150" s="1" t="s">
        <v>20</v>
      </c>
      <c r="F150" s="1" t="n">
        <v>48</v>
      </c>
      <c r="G150" s="1" t="s">
        <v>26</v>
      </c>
      <c r="H150" s="1" t="n">
        <v>0.1537</v>
      </c>
      <c r="I150" s="1" t="n">
        <v>0.330818357687543</v>
      </c>
      <c r="J150" s="1" t="n">
        <v>0.406640466671809</v>
      </c>
      <c r="K150" s="1" t="n">
        <f aca="false">J150-I150</f>
        <v>0.075822108984266</v>
      </c>
      <c r="L150" s="1" t="n">
        <v>0.687879271648785</v>
      </c>
    </row>
    <row r="151" customFormat="false" ht="15" hidden="false" customHeight="false" outlineLevel="0" collapsed="false">
      <c r="A151" s="1" t="s">
        <v>102</v>
      </c>
      <c r="B151" s="1" t="s">
        <v>103</v>
      </c>
      <c r="C151" s="1" t="s">
        <v>104</v>
      </c>
      <c r="D151" s="1" t="s">
        <v>19</v>
      </c>
      <c r="E151" s="1" t="s">
        <v>20</v>
      </c>
      <c r="F151" s="1" t="n">
        <v>48</v>
      </c>
      <c r="G151" s="1" t="s">
        <v>24</v>
      </c>
      <c r="H151" s="1" t="n">
        <v>0.1525</v>
      </c>
      <c r="I151" s="1" t="n">
        <v>0.328378410813309</v>
      </c>
      <c r="J151" s="1" t="n">
        <v>0.416377690700169</v>
      </c>
      <c r="K151" s="1" t="n">
        <f aca="false">J151-I151</f>
        <v>0.0879992798868595</v>
      </c>
      <c r="L151" s="1" t="n">
        <v>0.687879271648785</v>
      </c>
    </row>
    <row r="152" customFormat="false" ht="15" hidden="false" customHeight="false" outlineLevel="0" collapsed="false">
      <c r="A152" s="1" t="s">
        <v>102</v>
      </c>
      <c r="B152" s="1" t="s">
        <v>103</v>
      </c>
      <c r="C152" s="1" t="s">
        <v>104</v>
      </c>
      <c r="D152" s="1" t="s">
        <v>19</v>
      </c>
      <c r="E152" s="1" t="s">
        <v>20</v>
      </c>
      <c r="F152" s="1" t="n">
        <v>48</v>
      </c>
      <c r="G152" s="1" t="s">
        <v>38</v>
      </c>
      <c r="H152" s="1" t="n">
        <v>0.1502</v>
      </c>
      <c r="I152" s="1" t="n">
        <v>0.323424783641475</v>
      </c>
      <c r="J152" s="1" t="n">
        <v>0.38101297799905</v>
      </c>
      <c r="K152" s="1" t="n">
        <f aca="false">J152-I152</f>
        <v>0.0575881943575752</v>
      </c>
      <c r="L152" s="1" t="n">
        <v>0.687879271648785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8" activeCellId="0" sqref="B18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21.48"/>
  </cols>
  <sheetData>
    <row r="1" customFormat="false" ht="12.8" hidden="false" customHeight="false" outlineLevel="0" collapsed="false">
      <c r="A1" s="5" t="s">
        <v>105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106</v>
      </c>
      <c r="B3" s="6" t="n">
        <f aca="false">scen5_hybrid!P2</f>
        <v>150</v>
      </c>
    </row>
    <row r="4" customFormat="false" ht="12.8" hidden="false" customHeight="false" outlineLevel="0" collapsed="false">
      <c r="A4" s="5" t="s">
        <v>107</v>
      </c>
      <c r="B4" s="5" t="n">
        <f aca="false">B10*SQRT((B3-2)/(1-B10^2))</f>
        <v>-2.61286154865902</v>
      </c>
    </row>
    <row r="5" customFormat="false" ht="12.8" hidden="false" customHeight="false" outlineLevel="0" collapsed="false">
      <c r="A5" s="5" t="s">
        <v>108</v>
      </c>
      <c r="B5" s="5" t="n">
        <f aca="false">_xlfn.T.DIST.2T(ABS(B4),B3-2)</f>
        <v>0.00990535003696562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2" t="s">
        <v>12</v>
      </c>
      <c r="B9" s="2" t="s">
        <v>14</v>
      </c>
    </row>
    <row r="10" customFormat="false" ht="12.8" hidden="false" customHeight="false" outlineLevel="0" collapsed="false">
      <c r="A10" s="8" t="n">
        <f aca="false">B3</f>
        <v>150</v>
      </c>
      <c r="B10" s="8" t="n">
        <f aca="false">scen5_hybrid!R2</f>
        <v>-0.209987278309567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E33" activeCellId="0" sqref="E33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32"/>
  </cols>
  <sheetData>
    <row r="2" customFormat="false" ht="12.8" hidden="false" customHeight="false" outlineLevel="0" collapsed="false">
      <c r="A2" s="9" t="s">
        <v>109</v>
      </c>
      <c r="B2" s="9"/>
    </row>
    <row r="3" customFormat="false" ht="12.8" hidden="false" customHeight="false" outlineLevel="0" collapsed="false">
      <c r="A3" s="10" t="s">
        <v>110</v>
      </c>
      <c r="B3" s="4" t="s">
        <v>111</v>
      </c>
    </row>
    <row r="4" customFormat="false" ht="12.8" hidden="false" customHeight="false" outlineLevel="0" collapsed="false">
      <c r="A4" s="7" t="n">
        <v>1</v>
      </c>
      <c r="B4" s="1" t="n">
        <v>0.748858285036974</v>
      </c>
    </row>
    <row r="5" customFormat="false" ht="12.8" hidden="false" customHeight="false" outlineLevel="0" collapsed="false">
      <c r="A5" s="7" t="n">
        <v>2</v>
      </c>
      <c r="B5" s="1" t="n">
        <v>0.759506316896281</v>
      </c>
    </row>
    <row r="6" customFormat="false" ht="12.8" hidden="false" customHeight="false" outlineLevel="0" collapsed="false">
      <c r="A6" s="7" t="n">
        <v>3</v>
      </c>
      <c r="B6" s="1" t="n">
        <v>0.715413876782416</v>
      </c>
    </row>
    <row r="7" customFormat="false" ht="12.8" hidden="false" customHeight="false" outlineLevel="0" collapsed="false">
      <c r="A7" s="7" t="n">
        <v>4</v>
      </c>
      <c r="B7" s="1" t="n">
        <v>0.758348390419844</v>
      </c>
    </row>
    <row r="8" customFormat="false" ht="12.8" hidden="false" customHeight="false" outlineLevel="0" collapsed="false">
      <c r="A8" s="7" t="n">
        <v>5</v>
      </c>
      <c r="B8" s="1" t="n">
        <v>0.810565062673861</v>
      </c>
    </row>
    <row r="9" customFormat="false" ht="12.8" hidden="false" customHeight="false" outlineLevel="0" collapsed="false">
      <c r="A9" s="7" t="n">
        <v>6</v>
      </c>
      <c r="B9" s="1" t="n">
        <v>0.742289112695254</v>
      </c>
    </row>
    <row r="10" customFormat="false" ht="12.8" hidden="false" customHeight="false" outlineLevel="0" collapsed="false">
      <c r="A10" s="7" t="n">
        <v>7</v>
      </c>
      <c r="B10" s="1" t="n">
        <v>0.764250642039974</v>
      </c>
    </row>
    <row r="11" customFormat="false" ht="12.8" hidden="false" customHeight="false" outlineLevel="0" collapsed="false">
      <c r="A11" s="7" t="n">
        <v>8</v>
      </c>
      <c r="B11" s="1" t="n">
        <v>0.698577720903755</v>
      </c>
    </row>
    <row r="12" customFormat="false" ht="12.8" hidden="false" customHeight="false" outlineLevel="0" collapsed="false">
      <c r="A12" s="7" t="n">
        <v>9</v>
      </c>
      <c r="B12" s="1" t="n">
        <v>0.766115238968207</v>
      </c>
    </row>
    <row r="13" customFormat="false" ht="12.8" hidden="false" customHeight="false" outlineLevel="0" collapsed="false">
      <c r="A13" s="7" t="n">
        <v>10</v>
      </c>
      <c r="B13" s="1" t="n">
        <v>0.777924199556208</v>
      </c>
    </row>
    <row r="14" customFormat="false" ht="12.8" hidden="false" customHeight="false" outlineLevel="0" collapsed="false">
      <c r="A14" s="7" t="n">
        <v>11</v>
      </c>
      <c r="B14" s="1" t="n">
        <v>0.73133786448165</v>
      </c>
    </row>
    <row r="15" customFormat="false" ht="12.8" hidden="false" customHeight="false" outlineLevel="0" collapsed="false">
      <c r="A15" s="7" t="n">
        <v>12</v>
      </c>
      <c r="B15" s="1" t="n">
        <v>0.761644594705368</v>
      </c>
    </row>
    <row r="16" customFormat="false" ht="12.8" hidden="false" customHeight="false" outlineLevel="0" collapsed="false">
      <c r="A16" s="7" t="n">
        <v>13</v>
      </c>
      <c r="B16" s="1" t="n">
        <v>0.719429365683328</v>
      </c>
    </row>
    <row r="17" customFormat="false" ht="12.8" hidden="false" customHeight="false" outlineLevel="0" collapsed="false">
      <c r="A17" s="7" t="n">
        <v>14</v>
      </c>
      <c r="B17" s="1" t="n">
        <v>0.678645514763614</v>
      </c>
    </row>
    <row r="18" customFormat="false" ht="12.8" hidden="false" customHeight="false" outlineLevel="0" collapsed="false">
      <c r="A18" s="7" t="n">
        <v>15</v>
      </c>
      <c r="B18" s="1" t="n">
        <v>0.704961007003307</v>
      </c>
    </row>
    <row r="19" customFormat="false" ht="12.8" hidden="false" customHeight="false" outlineLevel="0" collapsed="false">
      <c r="A19" s="7" t="n">
        <v>16</v>
      </c>
      <c r="B19" s="1" t="n">
        <v>0.701208294690294</v>
      </c>
    </row>
    <row r="20" customFormat="false" ht="12.8" hidden="false" customHeight="false" outlineLevel="0" collapsed="false">
      <c r="A20" s="7" t="n">
        <v>17</v>
      </c>
      <c r="B20" s="1" t="n">
        <v>0.790013915764348</v>
      </c>
    </row>
    <row r="21" customFormat="false" ht="12.8" hidden="false" customHeight="false" outlineLevel="0" collapsed="false">
      <c r="A21" s="7" t="n">
        <v>18</v>
      </c>
      <c r="B21" s="1" t="n">
        <v>0.717785998437983</v>
      </c>
    </row>
    <row r="22" customFormat="false" ht="12.8" hidden="false" customHeight="false" outlineLevel="0" collapsed="false">
      <c r="A22" s="7" t="n">
        <v>19</v>
      </c>
      <c r="B22" s="1" t="n">
        <v>0.704767716501297</v>
      </c>
    </row>
    <row r="23" customFormat="false" ht="12.8" hidden="false" customHeight="false" outlineLevel="0" collapsed="false">
      <c r="A23" s="7" t="n">
        <v>20</v>
      </c>
      <c r="B23" s="1" t="n">
        <v>0.731804893130237</v>
      </c>
    </row>
    <row r="24" customFormat="false" ht="12.8" hidden="false" customHeight="false" outlineLevel="0" collapsed="false">
      <c r="A24" s="7" t="n">
        <v>21</v>
      </c>
      <c r="B24" s="1" t="n">
        <v>0.766896688339251</v>
      </c>
    </row>
    <row r="25" customFormat="false" ht="12.8" hidden="false" customHeight="false" outlineLevel="0" collapsed="false">
      <c r="A25" s="7" t="n">
        <v>22</v>
      </c>
      <c r="B25" s="1" t="n">
        <v>0.628025866777813</v>
      </c>
    </row>
    <row r="26" customFormat="false" ht="12.8" hidden="false" customHeight="false" outlineLevel="0" collapsed="false">
      <c r="A26" s="7" t="n">
        <v>23</v>
      </c>
      <c r="B26" s="1" t="n">
        <v>0.720769368294172</v>
      </c>
    </row>
    <row r="27" customFormat="false" ht="12.8" hidden="false" customHeight="false" outlineLevel="0" collapsed="false">
      <c r="A27" s="7" t="n">
        <v>24</v>
      </c>
      <c r="B27" s="1" t="n">
        <v>0.722411929605002</v>
      </c>
    </row>
    <row r="28" customFormat="false" ht="12.8" hidden="false" customHeight="false" outlineLevel="0" collapsed="false">
      <c r="A28" s="3" t="n">
        <v>25</v>
      </c>
      <c r="B28" s="1" t="n">
        <v>0.687879271648785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J22" activeCellId="0" sqref="J22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1" min="1" style="1" width="11.51"/>
    <col collapsed="false" customWidth="true" hidden="false" outlineLevel="0" max="3" min="2" style="1" width="19.32"/>
    <col collapsed="false" customWidth="true" hidden="false" outlineLevel="0" max="5" min="5" style="1" width="29.51"/>
    <col collapsed="false" customWidth="true" hidden="false" outlineLevel="0" max="6" min="6" style="1" width="23.16"/>
    <col collapsed="false" customWidth="true" hidden="false" outlineLevel="0" max="7" min="7" style="1" width="21.48"/>
    <col collapsed="false" customWidth="true" hidden="false" outlineLevel="0" max="9" min="8" style="1" width="21.95"/>
    <col collapsed="false" customWidth="true" hidden="false" outlineLevel="0" max="10" min="10" style="1" width="20.4"/>
  </cols>
  <sheetData>
    <row r="2" customFormat="false" ht="13.1" hidden="false" customHeight="true" outlineLevel="0" collapsed="false">
      <c r="B2" s="11" t="s">
        <v>11</v>
      </c>
      <c r="C2" s="11"/>
    </row>
    <row r="3" customFormat="false" ht="12.8" hidden="false" customHeight="false" outlineLevel="0" collapsed="false">
      <c r="A3" s="10" t="s">
        <v>110</v>
      </c>
      <c r="B3" s="1" t="s">
        <v>111</v>
      </c>
      <c r="C3" s="3" t="s">
        <v>112</v>
      </c>
      <c r="E3" s="3" t="s">
        <v>113</v>
      </c>
      <c r="F3" s="3" t="s">
        <v>114</v>
      </c>
      <c r="G3" s="3" t="s">
        <v>115</v>
      </c>
      <c r="H3" s="3" t="s">
        <v>116</v>
      </c>
      <c r="I3" s="3" t="s">
        <v>117</v>
      </c>
      <c r="J3" s="3" t="s">
        <v>118</v>
      </c>
      <c r="K3" s="0" t="s">
        <v>119</v>
      </c>
      <c r="L3" s="0" t="s">
        <v>120</v>
      </c>
    </row>
    <row r="4" customFormat="false" ht="12.8" hidden="false" customHeight="false" outlineLevel="0" collapsed="false">
      <c r="A4" s="7" t="n">
        <v>1</v>
      </c>
      <c r="B4" s="1" t="n">
        <v>0.748858285036974</v>
      </c>
      <c r="C4" s="1" t="n">
        <v>0.75451956501659</v>
      </c>
      <c r="E4" s="3" t="n">
        <f aca="false">_xlfn.STDEV.S(B4:B28)</f>
        <v>0.0396760475881895</v>
      </c>
      <c r="F4" s="3" t="n">
        <f aca="false">_xlfn.STDEV.S(C4:C28)</f>
        <v>0.0705884316876649</v>
      </c>
      <c r="G4" s="3" t="n">
        <f aca="false">_xlfn.F.TEST(B4:B28,C4:C28)</f>
        <v>0.00648991839634226</v>
      </c>
      <c r="H4" s="3" t="n">
        <f aca="false">_xlfn.T.TEST(B4:B28, C4:C28, 2,2)</f>
        <v>2.42595870974212E-007</v>
      </c>
      <c r="I4" s="3" t="n">
        <f aca="false">_xlfn.T.TEST(B4:B28,C4:C28, 2,3)</f>
        <v>5.64111078210971E-007</v>
      </c>
      <c r="J4" s="3" t="n">
        <f aca="false">AVERAGE(B4:B28)-AVERAGE(C4:C28)</f>
        <v>0.0973216968461175</v>
      </c>
      <c r="K4" s="0" t="n">
        <f aca="false">AVERAGE(B4:B28)</f>
        <v>0.732377245431969</v>
      </c>
      <c r="L4" s="0" t="n">
        <f aca="false">AVERAGE(C4:C28)</f>
        <v>0.635055548585851</v>
      </c>
    </row>
    <row r="5" customFormat="false" ht="12.8" hidden="false" customHeight="false" outlineLevel="0" collapsed="false">
      <c r="A5" s="7" t="n">
        <v>2</v>
      </c>
      <c r="B5" s="1" t="n">
        <v>0.759506316896281</v>
      </c>
      <c r="C5" s="1" t="n">
        <v>0.583157820853806</v>
      </c>
    </row>
    <row r="6" customFormat="false" ht="12.8" hidden="false" customHeight="false" outlineLevel="0" collapsed="false">
      <c r="A6" s="7" t="n">
        <v>3</v>
      </c>
      <c r="B6" s="1" t="n">
        <v>0.715413876782416</v>
      </c>
      <c r="C6" s="1" t="n">
        <v>0.618904917761491</v>
      </c>
    </row>
    <row r="7" customFormat="false" ht="12.8" hidden="false" customHeight="false" outlineLevel="0" collapsed="false">
      <c r="A7" s="7" t="n">
        <v>4</v>
      </c>
      <c r="B7" s="1" t="n">
        <v>0.758348390419844</v>
      </c>
      <c r="C7" s="1" t="n">
        <v>0.74737712465141</v>
      </c>
    </row>
    <row r="8" customFormat="false" ht="12.8" hidden="false" customHeight="false" outlineLevel="0" collapsed="false">
      <c r="A8" s="7" t="n">
        <v>5</v>
      </c>
      <c r="B8" s="1" t="n">
        <v>0.810565062673861</v>
      </c>
      <c r="C8" s="1" t="n">
        <v>0.548980230623881</v>
      </c>
    </row>
    <row r="9" customFormat="false" ht="12.8" hidden="false" customHeight="false" outlineLevel="0" collapsed="false">
      <c r="A9" s="7" t="n">
        <v>6</v>
      </c>
      <c r="B9" s="1" t="n">
        <v>0.742289112695254</v>
      </c>
      <c r="C9" s="1" t="n">
        <v>0.632690227255637</v>
      </c>
    </row>
    <row r="10" customFormat="false" ht="12.8" hidden="false" customHeight="false" outlineLevel="0" collapsed="false">
      <c r="A10" s="7" t="n">
        <v>7</v>
      </c>
      <c r="B10" s="1" t="n">
        <v>0.764250642039974</v>
      </c>
      <c r="C10" s="1" t="n">
        <v>0.701786769943752</v>
      </c>
    </row>
    <row r="11" customFormat="false" ht="12.8" hidden="false" customHeight="false" outlineLevel="0" collapsed="false">
      <c r="A11" s="7" t="n">
        <v>8</v>
      </c>
      <c r="B11" s="1" t="n">
        <v>0.698577720903755</v>
      </c>
      <c r="C11" s="1" t="n">
        <v>0.584562320768019</v>
      </c>
    </row>
    <row r="12" customFormat="false" ht="12.8" hidden="false" customHeight="false" outlineLevel="0" collapsed="false">
      <c r="A12" s="7" t="n">
        <v>9</v>
      </c>
      <c r="B12" s="1" t="n">
        <v>0.766115238968207</v>
      </c>
      <c r="C12" s="1" t="n">
        <v>0.635530236435515</v>
      </c>
    </row>
    <row r="13" customFormat="false" ht="12.8" hidden="false" customHeight="false" outlineLevel="0" collapsed="false">
      <c r="A13" s="7" t="n">
        <v>10</v>
      </c>
      <c r="B13" s="1" t="n">
        <v>0.777924199556208</v>
      </c>
      <c r="C13" s="1" t="n">
        <v>0.69186077854627</v>
      </c>
    </row>
    <row r="14" customFormat="false" ht="12.8" hidden="false" customHeight="false" outlineLevel="0" collapsed="false">
      <c r="A14" s="7" t="n">
        <v>11</v>
      </c>
      <c r="B14" s="1" t="n">
        <v>0.73133786448165</v>
      </c>
      <c r="C14" s="1" t="n">
        <v>0.746874410758284</v>
      </c>
    </row>
    <row r="15" customFormat="false" ht="12.8" hidden="false" customHeight="false" outlineLevel="0" collapsed="false">
      <c r="A15" s="7" t="n">
        <v>12</v>
      </c>
      <c r="B15" s="1" t="n">
        <v>0.761644594705368</v>
      </c>
      <c r="C15" s="1" t="n">
        <v>0.646103343046236</v>
      </c>
    </row>
    <row r="16" customFormat="false" ht="12.8" hidden="false" customHeight="false" outlineLevel="0" collapsed="false">
      <c r="A16" s="7" t="n">
        <v>13</v>
      </c>
      <c r="B16" s="1" t="n">
        <v>0.719429365683328</v>
      </c>
      <c r="C16" s="1" t="n">
        <v>0.714267452106315</v>
      </c>
    </row>
    <row r="17" customFormat="false" ht="12.8" hidden="false" customHeight="false" outlineLevel="0" collapsed="false">
      <c r="A17" s="7" t="n">
        <v>14</v>
      </c>
      <c r="B17" s="1" t="n">
        <v>0.678645514763614</v>
      </c>
      <c r="C17" s="1" t="n">
        <v>0.64598849418726</v>
      </c>
    </row>
    <row r="18" customFormat="false" ht="12.8" hidden="false" customHeight="false" outlineLevel="0" collapsed="false">
      <c r="A18" s="7" t="n">
        <v>15</v>
      </c>
      <c r="B18" s="1" t="n">
        <v>0.704961007003307</v>
      </c>
      <c r="C18" s="1" t="n">
        <v>0.559125581602383</v>
      </c>
    </row>
    <row r="19" customFormat="false" ht="12.8" hidden="false" customHeight="false" outlineLevel="0" collapsed="false">
      <c r="A19" s="7" t="n">
        <v>16</v>
      </c>
      <c r="B19" s="1" t="n">
        <v>0.701208294690294</v>
      </c>
      <c r="C19" s="1" t="n">
        <v>0.664444142276853</v>
      </c>
    </row>
    <row r="20" customFormat="false" ht="12.8" hidden="false" customHeight="false" outlineLevel="0" collapsed="false">
      <c r="A20" s="7" t="n">
        <v>17</v>
      </c>
      <c r="B20" s="1" t="n">
        <v>0.790013915764348</v>
      </c>
      <c r="C20" s="1" t="n">
        <v>0.682928718328554</v>
      </c>
    </row>
    <row r="21" customFormat="false" ht="12.8" hidden="false" customHeight="false" outlineLevel="0" collapsed="false">
      <c r="A21" s="7" t="n">
        <v>18</v>
      </c>
      <c r="B21" s="1" t="n">
        <v>0.717785998437983</v>
      </c>
      <c r="C21" s="1" t="n">
        <v>0.609029777075647</v>
      </c>
    </row>
    <row r="22" customFormat="false" ht="12.8" hidden="false" customHeight="false" outlineLevel="0" collapsed="false">
      <c r="A22" s="7" t="n">
        <v>19</v>
      </c>
      <c r="B22" s="1" t="n">
        <v>0.704767716501297</v>
      </c>
      <c r="C22" s="1" t="n">
        <v>0.625136354501309</v>
      </c>
    </row>
    <row r="23" customFormat="false" ht="12.8" hidden="false" customHeight="false" outlineLevel="0" collapsed="false">
      <c r="A23" s="7" t="n">
        <v>20</v>
      </c>
      <c r="B23" s="1" t="n">
        <v>0.731804893130237</v>
      </c>
      <c r="C23" s="1" t="n">
        <v>0.628896991007055</v>
      </c>
    </row>
    <row r="24" customFormat="false" ht="12.8" hidden="false" customHeight="false" outlineLevel="0" collapsed="false">
      <c r="A24" s="7" t="n">
        <v>21</v>
      </c>
      <c r="B24" s="1" t="n">
        <v>0.766896688339251</v>
      </c>
      <c r="C24" s="1" t="n">
        <v>0.49049501481858</v>
      </c>
    </row>
    <row r="25" customFormat="false" ht="12.8" hidden="false" customHeight="false" outlineLevel="0" collapsed="false">
      <c r="A25" s="7" t="n">
        <v>22</v>
      </c>
      <c r="B25" s="1" t="n">
        <v>0.628025866777813</v>
      </c>
      <c r="C25" s="1" t="n">
        <v>0.551218385467124</v>
      </c>
    </row>
    <row r="26" customFormat="false" ht="12.8" hidden="false" customHeight="false" outlineLevel="0" collapsed="false">
      <c r="A26" s="7" t="n">
        <v>23</v>
      </c>
      <c r="B26" s="1" t="n">
        <v>0.720769368294172</v>
      </c>
      <c r="C26" s="1" t="n">
        <v>0.644659585583856</v>
      </c>
    </row>
    <row r="27" customFormat="false" ht="12.8" hidden="false" customHeight="false" outlineLevel="0" collapsed="false">
      <c r="A27" s="7" t="n">
        <v>24</v>
      </c>
      <c r="B27" s="1" t="n">
        <v>0.722411929605002</v>
      </c>
      <c r="C27" s="1" t="n">
        <v>0.654980886002206</v>
      </c>
    </row>
    <row r="28" customFormat="false" ht="12.8" hidden="false" customHeight="false" outlineLevel="0" collapsed="false">
      <c r="A28" s="3" t="n">
        <v>25</v>
      </c>
      <c r="B28" s="1" t="n">
        <v>0.687879271648785</v>
      </c>
      <c r="C28" s="1" t="n">
        <v>0.512869586028254</v>
      </c>
    </row>
    <row r="32" customFormat="false" ht="12.8" hidden="false" customHeight="false" outlineLevel="0" collapsed="false">
      <c r="A32" s="1" t="s">
        <v>121</v>
      </c>
    </row>
    <row r="34" customFormat="false" ht="12.8" hidden="false" customHeight="false" outlineLevel="0" collapsed="false">
      <c r="A34" s="10" t="s">
        <v>110</v>
      </c>
      <c r="B34" s="4" t="s">
        <v>122</v>
      </c>
      <c r="C34" s="1" t="s">
        <v>111</v>
      </c>
      <c r="E34" s="12" t="s">
        <v>123</v>
      </c>
    </row>
    <row r="35" customFormat="false" ht="12.8" hidden="false" customHeight="false" outlineLevel="0" collapsed="false">
      <c r="A35" s="7" t="n">
        <v>1</v>
      </c>
      <c r="B35" s="1" t="n">
        <v>0.775953672739373</v>
      </c>
      <c r="C35" s="1" t="n">
        <v>0.748858285036974</v>
      </c>
      <c r="E35" s="13" t="s">
        <v>124</v>
      </c>
      <c r="F35" s="1" t="n">
        <v>0.05</v>
      </c>
    </row>
    <row r="36" customFormat="false" ht="12.8" hidden="false" customHeight="false" outlineLevel="0" collapsed="false">
      <c r="A36" s="7" t="n">
        <v>2</v>
      </c>
      <c r="B36" s="1" t="n">
        <v>0.742381155272784</v>
      </c>
      <c r="C36" s="1" t="n">
        <v>0.759506316896281</v>
      </c>
      <c r="E36" s="13" t="s">
        <v>125</v>
      </c>
      <c r="F36" s="1" t="n">
        <v>0</v>
      </c>
    </row>
    <row r="37" customFormat="false" ht="12.8" hidden="false" customHeight="false" outlineLevel="0" collapsed="false">
      <c r="A37" s="7" t="n">
        <v>3</v>
      </c>
      <c r="B37" s="1" t="n">
        <v>0.71959451369822</v>
      </c>
      <c r="C37" s="1" t="n">
        <v>0.715413876782416</v>
      </c>
      <c r="E37" s="13"/>
      <c r="F37" s="12" t="s">
        <v>126</v>
      </c>
      <c r="G37" s="12" t="s">
        <v>127</v>
      </c>
    </row>
    <row r="38" customFormat="false" ht="12.8" hidden="false" customHeight="false" outlineLevel="0" collapsed="false">
      <c r="A38" s="7" t="n">
        <v>4</v>
      </c>
      <c r="B38" s="1" t="n">
        <v>0.744685778636444</v>
      </c>
      <c r="C38" s="1" t="n">
        <v>0.758348390419844</v>
      </c>
      <c r="E38" s="13" t="s">
        <v>128</v>
      </c>
      <c r="F38" s="1" t="n">
        <f aca="false">AVERAGE(inter_sysem_stats!$B$34:$B$59)</f>
        <v>0.732371045199738</v>
      </c>
      <c r="G38" s="1" t="n">
        <f aca="false">AVERAGE(inter_sysem_stats!$C$34:$C$59)</f>
        <v>0.732377245431969</v>
      </c>
    </row>
    <row r="39" customFormat="false" ht="12.8" hidden="false" customHeight="false" outlineLevel="0" collapsed="false">
      <c r="A39" s="7" t="n">
        <v>5</v>
      </c>
      <c r="B39" s="1" t="n">
        <v>0.810472087374711</v>
      </c>
      <c r="C39" s="1" t="n">
        <v>0.810565062673861</v>
      </c>
      <c r="E39" s="13" t="s">
        <v>129</v>
      </c>
      <c r="F39" s="1" t="n">
        <f aca="false">VAR(inter_sysem_stats!$B$34:$B$59)</f>
        <v>0.0021075812038888</v>
      </c>
      <c r="G39" s="1" t="n">
        <f aca="false">VAR(inter_sysem_stats!$C$34:$C$59)</f>
        <v>0.00157418875222028</v>
      </c>
    </row>
    <row r="40" customFormat="false" ht="12.8" hidden="false" customHeight="false" outlineLevel="0" collapsed="false">
      <c r="A40" s="7" t="n">
        <v>6</v>
      </c>
      <c r="B40" s="1" t="n">
        <v>0.726316259765409</v>
      </c>
      <c r="C40" s="1" t="n">
        <v>0.742289112695254</v>
      </c>
      <c r="E40" s="13" t="s">
        <v>130</v>
      </c>
      <c r="F40" s="1" t="n">
        <f aca="false">COUNT(inter_sysem_stats!$B$34:$B$59)</f>
        <v>25</v>
      </c>
      <c r="G40" s="1" t="n">
        <f aca="false">COUNT(inter_sysem_stats!$C$34:$C$59)</f>
        <v>25</v>
      </c>
    </row>
    <row r="41" customFormat="false" ht="12.8" hidden="false" customHeight="false" outlineLevel="0" collapsed="false">
      <c r="A41" s="7" t="n">
        <v>7</v>
      </c>
      <c r="B41" s="1" t="n">
        <v>0.793215439015998</v>
      </c>
      <c r="C41" s="1" t="n">
        <v>0.764250642039974</v>
      </c>
      <c r="E41" s="13" t="s">
        <v>131</v>
      </c>
      <c r="F41" s="1" t="n">
        <f aca="false">CORREL(inter_sysem_stats!$B$34:$B$59,inter_sysem_stats!$C$34:$C$59)</f>
        <v>0.613722872728166</v>
      </c>
    </row>
    <row r="42" customFormat="false" ht="12.8" hidden="false" customHeight="false" outlineLevel="0" collapsed="false">
      <c r="A42" s="7" t="n">
        <v>8</v>
      </c>
      <c r="B42" s="1" t="n">
        <v>0.704599278382629</v>
      </c>
      <c r="C42" s="1" t="n">
        <v>0.698577720903755</v>
      </c>
      <c r="E42" s="13" t="s">
        <v>132</v>
      </c>
      <c r="F42" s="1" t="n">
        <f aca="false" t="array" ref="F42:F42">AVERAGE(IF(ISODD(IF(ISNUMBER(inter_sysem_stats!$B$34:$B$59), 1, 0) * IF(ISNUMBER(inter_sysem_stats!$C$34:$C$59), 1, 0)), inter_sysem_stats!$B$34:$B$59 - inter_sysem_stats!$C$34:$C$59, "NA"))</f>
        <v>-6.20023223055544E-006</v>
      </c>
    </row>
    <row r="43" customFormat="false" ht="12.8" hidden="false" customHeight="false" outlineLevel="0" collapsed="false">
      <c r="A43" s="7" t="n">
        <v>9</v>
      </c>
      <c r="B43" s="1" t="n">
        <v>0.753231887262209</v>
      </c>
      <c r="C43" s="1" t="n">
        <v>0.766115238968207</v>
      </c>
      <c r="E43" s="13" t="s">
        <v>133</v>
      </c>
      <c r="F43" s="1" t="n">
        <f aca="false" t="array" ref="F43:F43">VAR(IF(ISODD(IF(ISNUMBER(inter_sysem_stats!$B$34:$B$59), 1, 0) * IF(ISNUMBER(inter_sysem_stats!$C$34:$C$59), 1, 0)), inter_sysem_stats!$B$34:$B$59 - inter_sysem_stats!$C$34:$C$59, "NA"))</f>
        <v>0.00144602187977776</v>
      </c>
    </row>
    <row r="44" customFormat="false" ht="12.8" hidden="false" customHeight="false" outlineLevel="0" collapsed="false">
      <c r="A44" s="7" t="n">
        <v>10</v>
      </c>
      <c r="B44" s="1" t="n">
        <v>0.786918063323164</v>
      </c>
      <c r="C44" s="1" t="n">
        <v>0.777924199556208</v>
      </c>
      <c r="E44" s="13" t="s">
        <v>134</v>
      </c>
      <c r="F44" s="1" t="n">
        <f aca="false" t="array" ref="F44:F44">SUM(IF(ISNUMBER(inter_sysem_stats!$B$34:$B$59), 1, 0) * IF(ISNUMBER(inter_sysem_stats!$C$34:$C$59), 1, 0)) - 1</f>
        <v>24</v>
      </c>
    </row>
    <row r="45" customFormat="false" ht="12.8" hidden="false" customHeight="false" outlineLevel="0" collapsed="false">
      <c r="A45" s="7" t="n">
        <v>11</v>
      </c>
      <c r="B45" s="1" t="n">
        <v>0.757737648671806</v>
      </c>
      <c r="C45" s="1" t="n">
        <v>0.73133786448165</v>
      </c>
      <c r="E45" s="13" t="s">
        <v>135</v>
      </c>
      <c r="F45" s="1" t="n">
        <f aca="false">(inter_sysem_stats!$F$42 - inter_sysem_stats!$F$36) / (inter_sysem_stats!$F$43 / ( inter_sysem_stats!$F$44 + 1)) ^ 0.5</f>
        <v>-0.000815249476376366</v>
      </c>
    </row>
    <row r="46" customFormat="false" ht="12.8" hidden="false" customHeight="false" outlineLevel="0" collapsed="false">
      <c r="A46" s="7" t="n">
        <v>12</v>
      </c>
      <c r="B46" s="1" t="n">
        <v>0.790488784330214</v>
      </c>
      <c r="C46" s="1" t="n">
        <v>0.761644594705368</v>
      </c>
      <c r="E46" s="13" t="s">
        <v>136</v>
      </c>
      <c r="F46" s="1" t="n">
        <f aca="false">TDIST(ABS(inter_sysem_stats!$F$45), inter_sysem_stats!$F$44, 1)</f>
        <v>0.499678131889963</v>
      </c>
    </row>
    <row r="47" customFormat="false" ht="12.8" hidden="false" customHeight="false" outlineLevel="0" collapsed="false">
      <c r="A47" s="7" t="n">
        <v>13</v>
      </c>
      <c r="B47" s="1" t="n">
        <v>0.692187737762497</v>
      </c>
      <c r="C47" s="1" t="n">
        <v>0.719429365683328</v>
      </c>
      <c r="E47" s="13" t="s">
        <v>137</v>
      </c>
      <c r="F47" s="1" t="n">
        <f aca="false">TINV(2*inter_sysem_stats!$F$35, inter_sysem_stats!$F$44)</f>
        <v>1.71088207990943</v>
      </c>
    </row>
    <row r="48" customFormat="false" ht="12.8" hidden="false" customHeight="false" outlineLevel="0" collapsed="false">
      <c r="A48" s="7" t="n">
        <v>14</v>
      </c>
      <c r="B48" s="1" t="n">
        <v>0.689379869171306</v>
      </c>
      <c r="C48" s="1" t="n">
        <v>0.678645514763614</v>
      </c>
      <c r="E48" s="13" t="s">
        <v>138</v>
      </c>
      <c r="F48" s="1" t="n">
        <f aca="false">TDIST(ABS(inter_sysem_stats!$F$45), inter_sysem_stats!$F$44, 2)</f>
        <v>0.999356263779926</v>
      </c>
    </row>
    <row r="49" customFormat="false" ht="12.8" hidden="false" customHeight="false" outlineLevel="0" collapsed="false">
      <c r="A49" s="7" t="n">
        <v>15</v>
      </c>
      <c r="B49" s="1" t="n">
        <v>0.769786735181106</v>
      </c>
      <c r="C49" s="1" t="n">
        <v>0.704961007003307</v>
      </c>
      <c r="E49" s="13" t="s">
        <v>139</v>
      </c>
      <c r="F49" s="1" t="n">
        <f aca="false">TINV(inter_sysem_stats!$F$35, inter_sysem_stats!$F$44)</f>
        <v>2.06389856162803</v>
      </c>
    </row>
    <row r="50" customFormat="false" ht="12.8" hidden="false" customHeight="false" outlineLevel="0" collapsed="false">
      <c r="A50" s="7" t="n">
        <v>16</v>
      </c>
      <c r="B50" s="1" t="n">
        <v>0.784212018718249</v>
      </c>
      <c r="C50" s="1" t="n">
        <v>0.701208294690294</v>
      </c>
    </row>
    <row r="51" customFormat="false" ht="12.8" hidden="false" customHeight="false" outlineLevel="0" collapsed="false">
      <c r="A51" s="7" t="n">
        <v>17</v>
      </c>
      <c r="B51" s="1" t="n">
        <v>0.741725308103978</v>
      </c>
      <c r="C51" s="1" t="n">
        <v>0.790013915764348</v>
      </c>
    </row>
    <row r="52" customFormat="false" ht="12.8" hidden="false" customHeight="false" outlineLevel="0" collapsed="false">
      <c r="A52" s="7" t="n">
        <v>18</v>
      </c>
      <c r="B52" s="1" t="n">
        <v>0.71842174917648</v>
      </c>
      <c r="C52" s="1" t="n">
        <v>0.717785998437983</v>
      </c>
    </row>
    <row r="53" customFormat="false" ht="12.8" hidden="false" customHeight="false" outlineLevel="0" collapsed="false">
      <c r="A53" s="7" t="n">
        <v>19</v>
      </c>
      <c r="B53" s="1" t="n">
        <v>0.676598731860284</v>
      </c>
      <c r="C53" s="1" t="n">
        <v>0.704767716501297</v>
      </c>
    </row>
    <row r="54" customFormat="false" ht="12.8" hidden="false" customHeight="false" outlineLevel="0" collapsed="false">
      <c r="A54" s="7" t="n">
        <v>20</v>
      </c>
      <c r="B54" s="1" t="n">
        <v>0.629078814128947</v>
      </c>
      <c r="C54" s="1" t="n">
        <v>0.731804893130237</v>
      </c>
    </row>
    <row r="55" customFormat="false" ht="12.8" hidden="false" customHeight="false" outlineLevel="0" collapsed="false">
      <c r="A55" s="7" t="n">
        <v>21</v>
      </c>
      <c r="B55" s="1" t="n">
        <v>0.716426666679795</v>
      </c>
      <c r="C55" s="1" t="n">
        <v>0.766896688339251</v>
      </c>
    </row>
    <row r="56" customFormat="false" ht="12.8" hidden="false" customHeight="false" outlineLevel="0" collapsed="false">
      <c r="A56" s="7" t="n">
        <v>22</v>
      </c>
      <c r="B56" s="1" t="n">
        <v>0.671030917852718</v>
      </c>
      <c r="C56" s="1" t="n">
        <v>0.628025866777813</v>
      </c>
    </row>
    <row r="57" customFormat="false" ht="12.8" hidden="false" customHeight="false" outlineLevel="0" collapsed="false">
      <c r="A57" s="7" t="n">
        <v>23</v>
      </c>
      <c r="B57" s="1" t="n">
        <v>0.727473528774715</v>
      </c>
      <c r="C57" s="1" t="n">
        <v>0.720769368294172</v>
      </c>
    </row>
    <row r="58" customFormat="false" ht="12.8" hidden="false" customHeight="false" outlineLevel="0" collapsed="false">
      <c r="A58" s="7" t="n">
        <v>24</v>
      </c>
      <c r="B58" s="1" t="n">
        <v>0.721776373024424</v>
      </c>
      <c r="C58" s="1" t="n">
        <v>0.722411929605002</v>
      </c>
    </row>
    <row r="59" customFormat="false" ht="12.8" hidden="false" customHeight="false" outlineLevel="0" collapsed="false">
      <c r="A59" s="3" t="n">
        <v>25</v>
      </c>
      <c r="B59" s="1" t="n">
        <v>0.665583111085999</v>
      </c>
      <c r="C59" s="1" t="n">
        <v>0.687879271648785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2026-02-20T16:18:17Z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